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13_ncr:1_{BAA68A7B-F288-4E72-9386-90C9FA0914D8}" xr6:coauthVersionLast="47" xr6:coauthVersionMax="47" xr10:uidLastSave="{00000000-0000-0000-0000-000000000000}"/>
  <bookViews>
    <workbookView xWindow="-108" yWindow="-108" windowWidth="23256" windowHeight="12456" activeTab="2" xr2:uid="{30497EDF-7081-4408-9C47-406C5C822883}"/>
  </bookViews>
  <sheets>
    <sheet name="CVD Dataset" sheetId="1" r:id="rId1"/>
    <sheet name="Cleaning" sheetId="2" r:id="rId2"/>
    <sheet name="Clean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2" l="1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U2" i="2"/>
  <c r="S1495" i="2"/>
  <c r="S1490" i="2"/>
  <c r="S1460" i="2"/>
  <c r="S1454" i="2"/>
  <c r="S1446" i="2"/>
  <c r="S1444" i="2"/>
  <c r="S1443" i="2"/>
  <c r="S1431" i="2"/>
  <c r="S1425" i="2"/>
  <c r="S1423" i="2"/>
  <c r="S1407" i="2"/>
  <c r="S1398" i="2"/>
  <c r="S1394" i="2"/>
  <c r="S1388" i="2"/>
  <c r="S1386" i="2"/>
  <c r="S1380" i="2"/>
  <c r="S1369" i="2"/>
  <c r="S1350" i="2"/>
  <c r="S1340" i="2"/>
  <c r="S1337" i="2"/>
  <c r="S1326" i="2"/>
  <c r="S1314" i="2"/>
  <c r="S1311" i="2"/>
  <c r="S1274" i="2"/>
  <c r="S1256" i="2"/>
  <c r="S1250" i="2"/>
  <c r="S1245" i="2"/>
  <c r="S1225" i="2"/>
  <c r="S1202" i="2"/>
  <c r="S1191" i="2"/>
  <c r="S1182" i="2"/>
  <c r="S1179" i="2"/>
  <c r="S1166" i="2"/>
  <c r="S1147" i="2"/>
  <c r="S1135" i="2"/>
  <c r="S1129" i="2"/>
  <c r="S1118" i="2"/>
  <c r="S1117" i="2"/>
  <c r="S1115" i="2"/>
  <c r="S1110" i="2"/>
  <c r="S1108" i="2"/>
  <c r="S1064" i="2"/>
  <c r="S1063" i="2"/>
  <c r="S1054" i="2"/>
  <c r="S1037" i="2"/>
  <c r="S1036" i="2"/>
  <c r="S1019" i="2"/>
  <c r="S1018" i="2"/>
  <c r="S1014" i="2"/>
  <c r="S997" i="2"/>
  <c r="S986" i="2"/>
  <c r="S948" i="2"/>
  <c r="S942" i="2"/>
  <c r="S936" i="2"/>
  <c r="S911" i="2"/>
  <c r="S905" i="2"/>
  <c r="S891" i="2"/>
  <c r="S883" i="2"/>
  <c r="S870" i="2"/>
  <c r="S869" i="2"/>
  <c r="S859" i="2"/>
  <c r="S853" i="2"/>
  <c r="S804" i="2"/>
  <c r="S795" i="2"/>
  <c r="S794" i="2"/>
  <c r="S787" i="2"/>
  <c r="S767" i="2"/>
  <c r="S759" i="2"/>
  <c r="S757" i="2"/>
  <c r="S752" i="2"/>
  <c r="S740" i="2"/>
  <c r="S737" i="2"/>
  <c r="S729" i="2"/>
  <c r="S724" i="2"/>
  <c r="S722" i="2"/>
  <c r="S697" i="2"/>
  <c r="S689" i="2"/>
  <c r="S661" i="2"/>
  <c r="S655" i="2"/>
  <c r="S649" i="2"/>
  <c r="S637" i="2"/>
  <c r="S636" i="2"/>
  <c r="S630" i="2"/>
  <c r="S622" i="2"/>
  <c r="S612" i="2"/>
  <c r="S603" i="2"/>
  <c r="S572" i="2"/>
  <c r="S569" i="2"/>
  <c r="S543" i="2"/>
  <c r="S533" i="2"/>
  <c r="S528" i="2"/>
  <c r="S524" i="2"/>
  <c r="S518" i="2"/>
  <c r="S508" i="2"/>
  <c r="S485" i="2"/>
  <c r="S481" i="2"/>
  <c r="S480" i="2"/>
  <c r="S470" i="2"/>
  <c r="S459" i="2"/>
  <c r="S455" i="2"/>
  <c r="S447" i="2"/>
  <c r="S444" i="2"/>
  <c r="S431" i="2"/>
  <c r="S428" i="2"/>
  <c r="S410" i="2"/>
  <c r="S384" i="2"/>
  <c r="S377" i="2"/>
  <c r="S354" i="2"/>
  <c r="S349" i="2"/>
  <c r="S331" i="2"/>
  <c r="S327" i="2"/>
  <c r="S321" i="2"/>
  <c r="S317" i="2"/>
  <c r="S315" i="2"/>
  <c r="S312" i="2"/>
  <c r="S305" i="2"/>
  <c r="S292" i="2"/>
  <c r="S281" i="2"/>
  <c r="S280" i="2"/>
  <c r="S272" i="2"/>
  <c r="S267" i="2"/>
  <c r="S259" i="2"/>
  <c r="S254" i="2"/>
  <c r="S252" i="2"/>
  <c r="S226" i="2"/>
  <c r="S218" i="2"/>
  <c r="S196" i="2"/>
  <c r="S195" i="2"/>
  <c r="S176" i="2"/>
  <c r="S172" i="2"/>
  <c r="S169" i="2"/>
  <c r="S146" i="2"/>
  <c r="S137" i="2"/>
  <c r="S129" i="2"/>
  <c r="S80" i="2"/>
  <c r="S63" i="2"/>
  <c r="S47" i="2"/>
  <c r="S27" i="2"/>
  <c r="S23" i="2"/>
  <c r="S14" i="2"/>
  <c r="S7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2" i="2"/>
  <c r="N93" i="2"/>
  <c r="N95" i="2"/>
  <c r="N96" i="2"/>
  <c r="N97" i="2"/>
  <c r="N98" i="2"/>
  <c r="N99" i="2"/>
  <c r="N100" i="2"/>
  <c r="N101" i="2"/>
  <c r="N103" i="2"/>
  <c r="N105" i="2"/>
  <c r="N106" i="2"/>
  <c r="N107" i="2"/>
  <c r="N108" i="2"/>
  <c r="N109" i="2"/>
  <c r="N110" i="2"/>
  <c r="N111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9" i="2"/>
  <c r="N210" i="2"/>
  <c r="N211" i="2"/>
  <c r="N212" i="2"/>
  <c r="N213" i="2"/>
  <c r="N215" i="2"/>
  <c r="N216" i="2"/>
  <c r="N217" i="2"/>
  <c r="N218" i="2"/>
  <c r="N219" i="2"/>
  <c r="N220" i="2"/>
  <c r="N221" i="2"/>
  <c r="N222" i="2"/>
  <c r="N223" i="2"/>
  <c r="N224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7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4" i="2"/>
  <c r="N325" i="2"/>
  <c r="N326" i="2"/>
  <c r="N327" i="2"/>
  <c r="N328" i="2"/>
  <c r="N329" i="2"/>
  <c r="N330" i="2"/>
  <c r="N331" i="2"/>
  <c r="N332" i="2"/>
  <c r="N333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9" i="2"/>
  <c r="N360" i="2"/>
  <c r="N361" i="2"/>
  <c r="N362" i="2"/>
  <c r="N363" i="2"/>
  <c r="N364" i="2"/>
  <c r="N366" i="2"/>
  <c r="N367" i="2"/>
  <c r="N368" i="2"/>
  <c r="N369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4" i="2"/>
  <c r="N385" i="2"/>
  <c r="N386" i="2"/>
  <c r="N387" i="2"/>
  <c r="N388" i="2"/>
  <c r="N389" i="2"/>
  <c r="N390" i="2"/>
  <c r="N391" i="2"/>
  <c r="N392" i="2"/>
  <c r="N393" i="2"/>
  <c r="N394" i="2"/>
  <c r="N396" i="2"/>
  <c r="N397" i="2"/>
  <c r="N398" i="2"/>
  <c r="N399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3" i="2"/>
  <c r="N484" i="2"/>
  <c r="N485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4" i="2"/>
  <c r="N515" i="2"/>
  <c r="N516" i="2"/>
  <c r="N517" i="2"/>
  <c r="N518" i="2"/>
  <c r="N519" i="2"/>
  <c r="N520" i="2"/>
  <c r="N521" i="2"/>
  <c r="N522" i="2"/>
  <c r="N523" i="2"/>
  <c r="N524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8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2" i="2"/>
  <c r="N593" i="2"/>
  <c r="N594" i="2"/>
  <c r="N595" i="2"/>
  <c r="N596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1" i="2"/>
  <c r="N632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8" i="2"/>
  <c r="N709" i="2"/>
  <c r="N710" i="2"/>
  <c r="N711" i="2"/>
  <c r="N712" i="2"/>
  <c r="N713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9" i="2"/>
  <c r="N1080" i="2"/>
  <c r="N1081" i="2"/>
  <c r="N1082" i="2"/>
  <c r="N1083" i="2"/>
  <c r="N1084" i="2"/>
  <c r="N1085" i="2"/>
  <c r="N1086" i="2"/>
  <c r="N1087" i="2"/>
  <c r="N1088" i="2"/>
  <c r="N1089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20" i="2"/>
  <c r="N1121" i="2"/>
  <c r="N1122" i="2"/>
  <c r="N1123" i="2"/>
  <c r="N1124" i="2"/>
  <c r="N1125" i="2"/>
  <c r="N1126" i="2"/>
  <c r="N1127" i="2"/>
  <c r="N1128" i="2"/>
  <c r="N1129" i="2"/>
  <c r="N1130" i="2"/>
  <c r="N1132" i="2"/>
  <c r="N1133" i="2"/>
  <c r="N1134" i="2"/>
  <c r="N1135" i="2"/>
  <c r="N1136" i="2"/>
  <c r="N1137" i="2"/>
  <c r="N1139" i="2"/>
  <c r="N1140" i="2"/>
  <c r="N1141" i="2"/>
  <c r="N1142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6" i="2"/>
  <c r="N1167" i="2"/>
  <c r="N1168" i="2"/>
  <c r="N1169" i="2"/>
  <c r="N1170" i="2"/>
  <c r="N1171" i="2"/>
  <c r="N1172" i="2"/>
  <c r="N1173" i="2"/>
  <c r="N1175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3" i="2"/>
  <c r="N1204" i="2"/>
  <c r="N1205" i="2"/>
  <c r="N1206" i="2"/>
  <c r="N1207" i="2"/>
  <c r="N1208" i="2"/>
  <c r="N1209" i="2"/>
  <c r="N1210" i="2"/>
  <c r="N1211" i="2"/>
  <c r="N1213" i="2"/>
  <c r="N1214" i="2"/>
  <c r="N1215" i="2"/>
  <c r="N1216" i="2"/>
  <c r="N1217" i="2"/>
  <c r="N1218" i="2"/>
  <c r="N1219" i="2"/>
  <c r="N1220" i="2"/>
  <c r="N1221" i="2"/>
  <c r="N1222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6" i="2"/>
  <c r="N1307" i="2"/>
  <c r="N1308" i="2"/>
  <c r="N1309" i="2"/>
  <c r="N1310" i="2"/>
  <c r="N1311" i="2"/>
  <c r="N1312" i="2"/>
  <c r="N1313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7" i="2"/>
  <c r="N1428" i="2"/>
  <c r="N1429" i="2"/>
  <c r="N1430" i="2"/>
  <c r="N1431" i="2"/>
  <c r="N1432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6" i="2"/>
  <c r="N1517" i="2"/>
  <c r="N1518" i="2"/>
  <c r="N1519" i="2"/>
  <c r="N1520" i="2"/>
  <c r="N1521" i="2"/>
  <c r="N1522" i="2"/>
  <c r="N1523" i="2"/>
  <c r="N1524" i="2"/>
  <c r="N1526" i="2"/>
  <c r="N1527" i="2"/>
  <c r="N1528" i="2"/>
  <c r="N1529" i="2"/>
  <c r="N1530" i="2"/>
  <c r="N2" i="2"/>
  <c r="M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M18" i="2" s="1"/>
  <c r="G19" i="2"/>
  <c r="G20" i="2"/>
  <c r="M20" i="2" s="1"/>
  <c r="G21" i="2"/>
  <c r="G22" i="2"/>
  <c r="G23" i="2"/>
  <c r="G25" i="2"/>
  <c r="G26" i="2"/>
  <c r="G27" i="2"/>
  <c r="G28" i="2"/>
  <c r="G29" i="2"/>
  <c r="G30" i="2"/>
  <c r="G31" i="2"/>
  <c r="G32" i="2"/>
  <c r="M32" i="2" s="1"/>
  <c r="G33" i="2"/>
  <c r="G34" i="2"/>
  <c r="G36" i="2"/>
  <c r="G37" i="2"/>
  <c r="G39" i="2"/>
  <c r="G40" i="2"/>
  <c r="G41" i="2"/>
  <c r="G42" i="2"/>
  <c r="G43" i="2"/>
  <c r="M43" i="2" s="1"/>
  <c r="G44" i="2"/>
  <c r="G45" i="2"/>
  <c r="M45" i="2" s="1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M69" i="2" s="1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9" i="2"/>
  <c r="G90" i="2"/>
  <c r="G91" i="2"/>
  <c r="G92" i="2"/>
  <c r="G94" i="2"/>
  <c r="G95" i="2"/>
  <c r="G96" i="2"/>
  <c r="G97" i="2"/>
  <c r="G98" i="2"/>
  <c r="G99" i="2"/>
  <c r="G100" i="2"/>
  <c r="G101" i="2"/>
  <c r="M101" i="2" s="1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M115" i="2" s="1"/>
  <c r="G116" i="2"/>
  <c r="G117" i="2"/>
  <c r="G118" i="2"/>
  <c r="G119" i="2"/>
  <c r="G120" i="2"/>
  <c r="M120" i="2" s="1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M171" i="2" s="1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M226" i="2" s="1"/>
  <c r="G227" i="2"/>
  <c r="M227" i="2" s="1"/>
  <c r="G229" i="2"/>
  <c r="G230" i="2"/>
  <c r="G231" i="2"/>
  <c r="G232" i="2"/>
  <c r="G233" i="2"/>
  <c r="G234" i="2"/>
  <c r="G235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M273" i="2" s="1"/>
  <c r="G274" i="2"/>
  <c r="G275" i="2"/>
  <c r="G276" i="2"/>
  <c r="G277" i="2"/>
  <c r="G278" i="2"/>
  <c r="G279" i="2"/>
  <c r="G280" i="2"/>
  <c r="G281" i="2"/>
  <c r="M281" i="2" s="1"/>
  <c r="G282" i="2"/>
  <c r="G283" i="2"/>
  <c r="G284" i="2"/>
  <c r="G285" i="2"/>
  <c r="G286" i="2"/>
  <c r="G287" i="2"/>
  <c r="M287" i="2" s="1"/>
  <c r="G288" i="2"/>
  <c r="G289" i="2"/>
  <c r="M289" i="2" s="1"/>
  <c r="G290" i="2"/>
  <c r="G291" i="2"/>
  <c r="M291" i="2" s="1"/>
  <c r="G292" i="2"/>
  <c r="G293" i="2"/>
  <c r="G294" i="2"/>
  <c r="M294" i="2" s="1"/>
  <c r="G295" i="2"/>
  <c r="M295" i="2" s="1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M345" i="2" s="1"/>
  <c r="G346" i="2"/>
  <c r="M346" i="2" s="1"/>
  <c r="G347" i="2"/>
  <c r="G348" i="2"/>
  <c r="G349" i="2"/>
  <c r="G350" i="2"/>
  <c r="G351" i="2"/>
  <c r="G352" i="2"/>
  <c r="M352" i="2" s="1"/>
  <c r="G353" i="2"/>
  <c r="G354" i="2"/>
  <c r="G356" i="2"/>
  <c r="M356" i="2" s="1"/>
  <c r="G357" i="2"/>
  <c r="G358" i="2"/>
  <c r="G359" i="2"/>
  <c r="G360" i="2"/>
  <c r="G361" i="2"/>
  <c r="G362" i="2"/>
  <c r="G363" i="2"/>
  <c r="M363" i="2" s="1"/>
  <c r="G364" i="2"/>
  <c r="G365" i="2"/>
  <c r="G366" i="2"/>
  <c r="G367" i="2"/>
  <c r="G368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M394" i="2" s="1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3" i="2"/>
  <c r="G424" i="2"/>
  <c r="G425" i="2"/>
  <c r="G426" i="2"/>
  <c r="G427" i="2"/>
  <c r="G428" i="2"/>
  <c r="G429" i="2"/>
  <c r="G430" i="2"/>
  <c r="G431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M465" i="2" s="1"/>
  <c r="G466" i="2"/>
  <c r="G467" i="2"/>
  <c r="M467" i="2" s="1"/>
  <c r="G468" i="2"/>
  <c r="G469" i="2"/>
  <c r="G470" i="2"/>
  <c r="G471" i="2"/>
  <c r="G472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7" i="2"/>
  <c r="G558" i="2"/>
  <c r="G559" i="2"/>
  <c r="G560" i="2"/>
  <c r="G561" i="2"/>
  <c r="G562" i="2"/>
  <c r="G563" i="2"/>
  <c r="G564" i="2"/>
  <c r="G565" i="2"/>
  <c r="G566" i="2"/>
  <c r="M566" i="2" s="1"/>
  <c r="G567" i="2"/>
  <c r="G568" i="2"/>
  <c r="G569" i="2"/>
  <c r="G570" i="2"/>
  <c r="G571" i="2"/>
  <c r="G572" i="2"/>
  <c r="G573" i="2"/>
  <c r="G574" i="2"/>
  <c r="G575" i="2"/>
  <c r="M575" i="2" s="1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6" i="2"/>
  <c r="G627" i="2"/>
  <c r="G628" i="2"/>
  <c r="G629" i="2"/>
  <c r="G630" i="2"/>
  <c r="G631" i="2"/>
  <c r="M631" i="2" s="1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M646" i="2" s="1"/>
  <c r="G647" i="2"/>
  <c r="G648" i="2"/>
  <c r="G649" i="2"/>
  <c r="G650" i="2"/>
  <c r="G651" i="2"/>
  <c r="G652" i="2"/>
  <c r="G653" i="2"/>
  <c r="G654" i="2"/>
  <c r="M654" i="2" s="1"/>
  <c r="G655" i="2"/>
  <c r="G656" i="2"/>
  <c r="G657" i="2"/>
  <c r="G658" i="2"/>
  <c r="G659" i="2"/>
  <c r="G660" i="2"/>
  <c r="G661" i="2"/>
  <c r="G662" i="2"/>
  <c r="G663" i="2"/>
  <c r="G664" i="2"/>
  <c r="M664" i="2" s="1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7" i="2"/>
  <c r="G688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M704" i="2" s="1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3" i="2"/>
  <c r="G724" i="2"/>
  <c r="G725" i="2"/>
  <c r="G726" i="2"/>
  <c r="G727" i="2"/>
  <c r="G728" i="2"/>
  <c r="G729" i="2"/>
  <c r="G730" i="2"/>
  <c r="G731" i="2"/>
  <c r="G732" i="2"/>
  <c r="G734" i="2"/>
  <c r="G735" i="2"/>
  <c r="G736" i="2"/>
  <c r="G737" i="2"/>
  <c r="G738" i="2"/>
  <c r="G739" i="2"/>
  <c r="G740" i="2"/>
  <c r="G741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M766" i="2" s="1"/>
  <c r="G767" i="2"/>
  <c r="G768" i="2"/>
  <c r="G769" i="2"/>
  <c r="M769" i="2" s="1"/>
  <c r="G770" i="2"/>
  <c r="G771" i="2"/>
  <c r="G772" i="2"/>
  <c r="G773" i="2"/>
  <c r="G774" i="2"/>
  <c r="G775" i="2"/>
  <c r="G776" i="2"/>
  <c r="G777" i="2"/>
  <c r="G778" i="2"/>
  <c r="G779" i="2"/>
  <c r="G780" i="2"/>
  <c r="G781" i="2"/>
  <c r="M781" i="2" s="1"/>
  <c r="G782" i="2"/>
  <c r="G783" i="2"/>
  <c r="G784" i="2"/>
  <c r="G785" i="2"/>
  <c r="G786" i="2"/>
  <c r="G787" i="2"/>
  <c r="M787" i="2" s="1"/>
  <c r="G788" i="2"/>
  <c r="G789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M827" i="2" s="1"/>
  <c r="G828" i="2"/>
  <c r="G829" i="2"/>
  <c r="M829" i="2" s="1"/>
  <c r="G830" i="2"/>
  <c r="G831" i="2"/>
  <c r="M831" i="2" s="1"/>
  <c r="G832" i="2"/>
  <c r="G833" i="2"/>
  <c r="G834" i="2"/>
  <c r="G836" i="2"/>
  <c r="G837" i="2"/>
  <c r="G838" i="2"/>
  <c r="G839" i="2"/>
  <c r="G840" i="2"/>
  <c r="G841" i="2"/>
  <c r="G842" i="2"/>
  <c r="G843" i="2"/>
  <c r="G844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M861" i="2" s="1"/>
  <c r="G862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M895" i="2" s="1"/>
  <c r="G896" i="2"/>
  <c r="G897" i="2"/>
  <c r="G898" i="2"/>
  <c r="G899" i="2"/>
  <c r="G900" i="2"/>
  <c r="G901" i="2"/>
  <c r="M901" i="2" s="1"/>
  <c r="G902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8" i="2"/>
  <c r="G919" i="2"/>
  <c r="G920" i="2"/>
  <c r="G921" i="2"/>
  <c r="G922" i="2"/>
  <c r="G923" i="2"/>
  <c r="G924" i="2"/>
  <c r="G925" i="2"/>
  <c r="G926" i="2"/>
  <c r="G928" i="2"/>
  <c r="G929" i="2"/>
  <c r="G931" i="2"/>
  <c r="G932" i="2"/>
  <c r="G933" i="2"/>
  <c r="G934" i="2"/>
  <c r="G935" i="2"/>
  <c r="G936" i="2"/>
  <c r="G937" i="2"/>
  <c r="G938" i="2"/>
  <c r="M938" i="2" s="1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M962" i="2" s="1"/>
  <c r="G963" i="2"/>
  <c r="G964" i="2"/>
  <c r="G965" i="2"/>
  <c r="G966" i="2"/>
  <c r="G967" i="2"/>
  <c r="M967" i="2" s="1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3" i="2"/>
  <c r="G984" i="2"/>
  <c r="G985" i="2"/>
  <c r="G986" i="2"/>
  <c r="G987" i="2"/>
  <c r="G988" i="2"/>
  <c r="G990" i="2"/>
  <c r="G991" i="2"/>
  <c r="M991" i="2" s="1"/>
  <c r="G992" i="2"/>
  <c r="G993" i="2"/>
  <c r="G994" i="2"/>
  <c r="G995" i="2"/>
  <c r="G997" i="2"/>
  <c r="M997" i="2" s="1"/>
  <c r="G998" i="2"/>
  <c r="G1000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8" i="2"/>
  <c r="G1049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3" i="2"/>
  <c r="M1073" i="2" s="1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M1099" i="2" s="1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M1112" i="2" s="1"/>
  <c r="G1113" i="2"/>
  <c r="G1114" i="2"/>
  <c r="G1115" i="2"/>
  <c r="G1116" i="2"/>
  <c r="G1117" i="2"/>
  <c r="G1118" i="2"/>
  <c r="G1119" i="2"/>
  <c r="G1121" i="2"/>
  <c r="G1122" i="2"/>
  <c r="G1123" i="2"/>
  <c r="G1124" i="2"/>
  <c r="G1125" i="2"/>
  <c r="G1126" i="2"/>
  <c r="G1127" i="2"/>
  <c r="G1128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M1166" i="2" s="1"/>
  <c r="G1167" i="2"/>
  <c r="G1168" i="2"/>
  <c r="G1169" i="2"/>
  <c r="G1170" i="2"/>
  <c r="G1171" i="2"/>
  <c r="G1172" i="2"/>
  <c r="G1173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3" i="2"/>
  <c r="G1194" i="2"/>
  <c r="M1194" i="2" s="1"/>
  <c r="G1195" i="2"/>
  <c r="G1196" i="2"/>
  <c r="G1197" i="2"/>
  <c r="G1198" i="2"/>
  <c r="G1200" i="2"/>
  <c r="G1201" i="2"/>
  <c r="G1202" i="2"/>
  <c r="G1203" i="2"/>
  <c r="G1204" i="2"/>
  <c r="G1205" i="2"/>
  <c r="G1206" i="2"/>
  <c r="M1206" i="2" s="1"/>
  <c r="G1207" i="2"/>
  <c r="G1208" i="2"/>
  <c r="G1209" i="2"/>
  <c r="G1210" i="2"/>
  <c r="G1211" i="2"/>
  <c r="G1212" i="2"/>
  <c r="G1213" i="2"/>
  <c r="G1214" i="2"/>
  <c r="M1214" i="2" s="1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M1248" i="2" s="1"/>
  <c r="G1249" i="2"/>
  <c r="G1250" i="2"/>
  <c r="G1251" i="2"/>
  <c r="G1252" i="2"/>
  <c r="G1253" i="2"/>
  <c r="M1253" i="2" s="1"/>
  <c r="G1254" i="2"/>
  <c r="G1255" i="2"/>
  <c r="G1256" i="2"/>
  <c r="G1257" i="2"/>
  <c r="G1258" i="2"/>
  <c r="G1260" i="2"/>
  <c r="G1261" i="2"/>
  <c r="G1262" i="2"/>
  <c r="M1262" i="2" s="1"/>
  <c r="G1263" i="2"/>
  <c r="G1265" i="2"/>
  <c r="G1266" i="2"/>
  <c r="G1267" i="2"/>
  <c r="M1267" i="2" s="1"/>
  <c r="G1268" i="2"/>
  <c r="G1269" i="2"/>
  <c r="G1271" i="2"/>
  <c r="G1272" i="2"/>
  <c r="G1273" i="2"/>
  <c r="G1274" i="2"/>
  <c r="G1275" i="2"/>
  <c r="G1276" i="2"/>
  <c r="G1277" i="2"/>
  <c r="G1278" i="2"/>
  <c r="G1279" i="2"/>
  <c r="G1280" i="2"/>
  <c r="G1281" i="2"/>
  <c r="G1283" i="2"/>
  <c r="G1284" i="2"/>
  <c r="G1285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2" i="2"/>
  <c r="G1303" i="2"/>
  <c r="M1303" i="2" s="1"/>
  <c r="G1305" i="2"/>
  <c r="G1306" i="2"/>
  <c r="M1306" i="2" s="1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1" i="2"/>
  <c r="G1362" i="2"/>
  <c r="G1363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M1384" i="2" s="1"/>
  <c r="G1385" i="2"/>
  <c r="G1386" i="2"/>
  <c r="G1387" i="2"/>
  <c r="G1388" i="2"/>
  <c r="G1389" i="2"/>
  <c r="G1390" i="2"/>
  <c r="G1391" i="2"/>
  <c r="G1392" i="2"/>
  <c r="M1392" i="2" s="1"/>
  <c r="G1393" i="2"/>
  <c r="G1394" i="2"/>
  <c r="G1395" i="2"/>
  <c r="G1396" i="2"/>
  <c r="G1397" i="2"/>
  <c r="G1398" i="2"/>
  <c r="G1399" i="2"/>
  <c r="M1399" i="2" s="1"/>
  <c r="G1400" i="2"/>
  <c r="G1401" i="2"/>
  <c r="G1402" i="2"/>
  <c r="G1403" i="2"/>
  <c r="G1404" i="2"/>
  <c r="G1405" i="2"/>
  <c r="G1406" i="2"/>
  <c r="G1407" i="2"/>
  <c r="M1407" i="2" s="1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M1423" i="2" s="1"/>
  <c r="G1424" i="2"/>
  <c r="G1425" i="2"/>
  <c r="G1426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M1442" i="2" s="1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6" i="2"/>
  <c r="G1477" i="2"/>
  <c r="G1478" i="2"/>
  <c r="G1479" i="2"/>
  <c r="G1480" i="2"/>
  <c r="G1482" i="2"/>
  <c r="G1483" i="2"/>
  <c r="M1483" i="2" s="1"/>
  <c r="G1484" i="2"/>
  <c r="G1485" i="2"/>
  <c r="M1485" i="2" s="1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M1517" i="2" s="1"/>
  <c r="G1518" i="2"/>
  <c r="G1521" i="2"/>
  <c r="G1522" i="2"/>
  <c r="G1523" i="2"/>
  <c r="G1524" i="2"/>
  <c r="G1525" i="2"/>
  <c r="G1526" i="2"/>
  <c r="G1527" i="2"/>
  <c r="G1528" i="2"/>
  <c r="G1529" i="2"/>
  <c r="G1530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G24" i="2" s="1"/>
  <c r="E25" i="2"/>
  <c r="E26" i="2"/>
  <c r="E27" i="2"/>
  <c r="E28" i="2"/>
  <c r="E29" i="2"/>
  <c r="E30" i="2"/>
  <c r="E31" i="2"/>
  <c r="E32" i="2"/>
  <c r="E33" i="2"/>
  <c r="E34" i="2"/>
  <c r="E35" i="2"/>
  <c r="G35" i="2" s="1"/>
  <c r="E36" i="2"/>
  <c r="E37" i="2"/>
  <c r="E38" i="2"/>
  <c r="G38" i="2" s="1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G70" i="2" s="1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G88" i="2" s="1"/>
  <c r="E89" i="2"/>
  <c r="E90" i="2"/>
  <c r="E91" i="2"/>
  <c r="E92" i="2"/>
  <c r="E93" i="2"/>
  <c r="G93" i="2" s="1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G141" i="2" s="1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G193" i="2" s="1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G207" i="2" s="1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G228" i="2" s="1"/>
  <c r="E229" i="2"/>
  <c r="E230" i="2"/>
  <c r="E231" i="2"/>
  <c r="E232" i="2"/>
  <c r="E233" i="2"/>
  <c r="E234" i="2"/>
  <c r="E235" i="2"/>
  <c r="E236" i="2"/>
  <c r="G236" i="2" s="1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G325" i="2" s="1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G355" i="2" s="1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G369" i="2" s="1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G422" i="2" s="1"/>
  <c r="E423" i="2"/>
  <c r="E424" i="2"/>
  <c r="E425" i="2"/>
  <c r="E426" i="2"/>
  <c r="E427" i="2"/>
  <c r="E428" i="2"/>
  <c r="E429" i="2"/>
  <c r="E430" i="2"/>
  <c r="E431" i="2"/>
  <c r="E432" i="2"/>
  <c r="G432" i="2" s="1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G473" i="2" s="1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G556" i="2" s="1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G625" i="2" s="1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G686" i="2" s="1"/>
  <c r="E687" i="2"/>
  <c r="E688" i="2"/>
  <c r="E689" i="2"/>
  <c r="G689" i="2" s="1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G722" i="2" s="1"/>
  <c r="E723" i="2"/>
  <c r="E724" i="2"/>
  <c r="E725" i="2"/>
  <c r="E726" i="2"/>
  <c r="E727" i="2"/>
  <c r="E728" i="2"/>
  <c r="E729" i="2"/>
  <c r="E730" i="2"/>
  <c r="E731" i="2"/>
  <c r="E732" i="2"/>
  <c r="E733" i="2"/>
  <c r="G733" i="2" s="1"/>
  <c r="E734" i="2"/>
  <c r="E735" i="2"/>
  <c r="E736" i="2"/>
  <c r="E737" i="2"/>
  <c r="E738" i="2"/>
  <c r="E739" i="2"/>
  <c r="E740" i="2"/>
  <c r="E741" i="2"/>
  <c r="E742" i="2"/>
  <c r="G742" i="2" s="1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G790" i="2" s="1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G809" i="2" s="1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G835" i="2" s="1"/>
  <c r="E836" i="2"/>
  <c r="E837" i="2"/>
  <c r="E838" i="2"/>
  <c r="E839" i="2"/>
  <c r="E840" i="2"/>
  <c r="E841" i="2"/>
  <c r="E842" i="2"/>
  <c r="E843" i="2"/>
  <c r="E844" i="2"/>
  <c r="E845" i="2"/>
  <c r="G845" i="2" s="1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G863" i="2" s="1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G903" i="2" s="1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G917" i="2" s="1"/>
  <c r="E918" i="2"/>
  <c r="E919" i="2"/>
  <c r="E920" i="2"/>
  <c r="E921" i="2"/>
  <c r="E922" i="2"/>
  <c r="E923" i="2"/>
  <c r="E924" i="2"/>
  <c r="E925" i="2"/>
  <c r="E926" i="2"/>
  <c r="E927" i="2"/>
  <c r="G927" i="2" s="1"/>
  <c r="E928" i="2"/>
  <c r="E929" i="2"/>
  <c r="E930" i="2"/>
  <c r="G930" i="2" s="1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G982" i="2" s="1"/>
  <c r="E983" i="2"/>
  <c r="E984" i="2"/>
  <c r="E985" i="2"/>
  <c r="E986" i="2"/>
  <c r="E987" i="2"/>
  <c r="E988" i="2"/>
  <c r="E989" i="2"/>
  <c r="G989" i="2" s="1"/>
  <c r="E990" i="2"/>
  <c r="E991" i="2"/>
  <c r="E992" i="2"/>
  <c r="E993" i="2"/>
  <c r="E994" i="2"/>
  <c r="E995" i="2"/>
  <c r="E996" i="2"/>
  <c r="G996" i="2" s="1"/>
  <c r="E997" i="2"/>
  <c r="E998" i="2"/>
  <c r="E999" i="2"/>
  <c r="G999" i="2" s="1"/>
  <c r="E1000" i="2"/>
  <c r="E1001" i="2"/>
  <c r="G1001" i="2" s="1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G1047" i="2" s="1"/>
  <c r="E1048" i="2"/>
  <c r="E1049" i="2"/>
  <c r="E1050" i="2"/>
  <c r="G1050" i="2" s="1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G1072" i="2" s="1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G1120" i="2" s="1"/>
  <c r="E1121" i="2"/>
  <c r="E1122" i="2"/>
  <c r="E1123" i="2"/>
  <c r="E1124" i="2"/>
  <c r="E1125" i="2"/>
  <c r="E1126" i="2"/>
  <c r="E1127" i="2"/>
  <c r="E1128" i="2"/>
  <c r="E1129" i="2"/>
  <c r="G1129" i="2" s="1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G1174" i="2" s="1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G1192" i="2" s="1"/>
  <c r="E1193" i="2"/>
  <c r="E1194" i="2"/>
  <c r="E1195" i="2"/>
  <c r="E1196" i="2"/>
  <c r="E1197" i="2"/>
  <c r="E1198" i="2"/>
  <c r="E1199" i="2"/>
  <c r="G1199" i="2" s="1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G1234" i="2" s="1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G1259" i="2" s="1"/>
  <c r="E1260" i="2"/>
  <c r="E1261" i="2"/>
  <c r="E1262" i="2"/>
  <c r="E1263" i="2"/>
  <c r="E1264" i="2"/>
  <c r="G1264" i="2" s="1"/>
  <c r="E1265" i="2"/>
  <c r="E1266" i="2"/>
  <c r="E1267" i="2"/>
  <c r="E1268" i="2"/>
  <c r="E1269" i="2"/>
  <c r="E1270" i="2"/>
  <c r="G1270" i="2" s="1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G1282" i="2" s="1"/>
  <c r="E1283" i="2"/>
  <c r="E1284" i="2"/>
  <c r="E1285" i="2"/>
  <c r="E1286" i="2"/>
  <c r="G1286" i="2" s="1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G1301" i="2" s="1"/>
  <c r="E1302" i="2"/>
  <c r="E1303" i="2"/>
  <c r="E1304" i="2"/>
  <c r="G1304" i="2" s="1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G1341" i="2" s="1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G1360" i="2" s="1"/>
  <c r="E1361" i="2"/>
  <c r="E1362" i="2"/>
  <c r="E1363" i="2"/>
  <c r="E1364" i="2"/>
  <c r="G1364" i="2" s="1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G1427" i="2" s="1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G1455" i="2" s="1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G1475" i="2" s="1"/>
  <c r="E1476" i="2"/>
  <c r="E1477" i="2"/>
  <c r="E1478" i="2"/>
  <c r="E1479" i="2"/>
  <c r="E1480" i="2"/>
  <c r="E1481" i="2"/>
  <c r="G1481" i="2" s="1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G1519" i="2" s="1"/>
  <c r="E1520" i="2"/>
  <c r="G1520" i="2" s="1"/>
  <c r="E1521" i="2"/>
  <c r="E1522" i="2"/>
  <c r="E1523" i="2"/>
  <c r="E1524" i="2"/>
  <c r="E1525" i="2"/>
  <c r="E1526" i="2"/>
  <c r="E1527" i="2"/>
  <c r="E1528" i="2"/>
  <c r="E1529" i="2"/>
  <c r="E1530" i="2"/>
  <c r="E2" i="2"/>
  <c r="M237" i="2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2" i="3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1514" i="2"/>
  <c r="AF1515" i="2"/>
  <c r="AF1516" i="2"/>
  <c r="AF1517" i="2"/>
  <c r="AF1518" i="2"/>
  <c r="AF1519" i="2"/>
  <c r="AF1520" i="2"/>
  <c r="AF1521" i="2"/>
  <c r="AF1522" i="2"/>
  <c r="AF1523" i="2"/>
  <c r="AF1524" i="2"/>
  <c r="AF1525" i="2"/>
  <c r="AF1526" i="2"/>
  <c r="AF1527" i="2"/>
  <c r="AF1528" i="2"/>
  <c r="AF1529" i="2"/>
  <c r="AF1530" i="2"/>
  <c r="AF2" i="2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I1489" i="2"/>
  <c r="AI1490" i="2"/>
  <c r="AI1491" i="2"/>
  <c r="AI1492" i="2"/>
  <c r="AI1493" i="2"/>
  <c r="AI1494" i="2"/>
  <c r="AI1495" i="2"/>
  <c r="AI1496" i="2"/>
  <c r="AI1497" i="2"/>
  <c r="AI1498" i="2"/>
  <c r="AI1499" i="2"/>
  <c r="AI1500" i="2"/>
  <c r="AI15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1514" i="2"/>
  <c r="AI1515" i="2"/>
  <c r="AI1516" i="2"/>
  <c r="AI1517" i="2"/>
  <c r="AI1518" i="2"/>
  <c r="AI1519" i="2"/>
  <c r="AI1520" i="2"/>
  <c r="AI1521" i="2"/>
  <c r="AI1522" i="2"/>
  <c r="AI1523" i="2"/>
  <c r="AI1524" i="2"/>
  <c r="AI1525" i="2"/>
  <c r="AI1526" i="2"/>
  <c r="AI1527" i="2"/>
  <c r="AI1528" i="2"/>
  <c r="AI1529" i="2"/>
  <c r="AI1530" i="2"/>
  <c r="AI2" i="2"/>
  <c r="W3" i="2"/>
  <c r="X3" i="2" s="1"/>
  <c r="W4" i="2"/>
  <c r="X4" i="2" s="1"/>
  <c r="W5" i="2"/>
  <c r="X5" i="2" s="1"/>
  <c r="W6" i="2"/>
  <c r="X6" i="2" s="1"/>
  <c r="W7" i="2"/>
  <c r="X7" i="2" s="1"/>
  <c r="W8" i="2"/>
  <c r="X8" i="2" s="1"/>
  <c r="W9" i="2"/>
  <c r="X9" i="2" s="1"/>
  <c r="W10" i="2"/>
  <c r="X10" i="2" s="1"/>
  <c r="W11" i="2"/>
  <c r="X11" i="2" s="1"/>
  <c r="W12" i="2"/>
  <c r="X12" i="2" s="1"/>
  <c r="W13" i="2"/>
  <c r="X13" i="2" s="1"/>
  <c r="W14" i="2"/>
  <c r="X14" i="2" s="1"/>
  <c r="W15" i="2"/>
  <c r="X15" i="2" s="1"/>
  <c r="W16" i="2"/>
  <c r="X16" i="2" s="1"/>
  <c r="W17" i="2"/>
  <c r="X17" i="2" s="1"/>
  <c r="W18" i="2"/>
  <c r="X18" i="2" s="1"/>
  <c r="W19" i="2"/>
  <c r="X19" i="2" s="1"/>
  <c r="W20" i="2"/>
  <c r="X20" i="2" s="1"/>
  <c r="W21" i="2"/>
  <c r="X21" i="2" s="1"/>
  <c r="W22" i="2"/>
  <c r="X22" i="2" s="1"/>
  <c r="W23" i="2"/>
  <c r="X23" i="2" s="1"/>
  <c r="W24" i="2"/>
  <c r="X24" i="2" s="1"/>
  <c r="W25" i="2"/>
  <c r="X25" i="2" s="1"/>
  <c r="W26" i="2"/>
  <c r="X26" i="2" s="1"/>
  <c r="W27" i="2"/>
  <c r="X27" i="2" s="1"/>
  <c r="W28" i="2"/>
  <c r="X28" i="2" s="1"/>
  <c r="W29" i="2"/>
  <c r="X29" i="2" s="1"/>
  <c r="W30" i="2"/>
  <c r="X30" i="2" s="1"/>
  <c r="W31" i="2"/>
  <c r="X31" i="2" s="1"/>
  <c r="W32" i="2"/>
  <c r="X32" i="2" s="1"/>
  <c r="W33" i="2"/>
  <c r="X33" i="2" s="1"/>
  <c r="W34" i="2"/>
  <c r="X34" i="2" s="1"/>
  <c r="W35" i="2"/>
  <c r="X35" i="2" s="1"/>
  <c r="W36" i="2"/>
  <c r="X36" i="2" s="1"/>
  <c r="W37" i="2"/>
  <c r="X37" i="2" s="1"/>
  <c r="W38" i="2"/>
  <c r="X38" i="2" s="1"/>
  <c r="W39" i="2"/>
  <c r="X39" i="2" s="1"/>
  <c r="W40" i="2"/>
  <c r="X40" i="2" s="1"/>
  <c r="W41" i="2"/>
  <c r="X41" i="2" s="1"/>
  <c r="W42" i="2"/>
  <c r="X42" i="2" s="1"/>
  <c r="W43" i="2"/>
  <c r="X43" i="2" s="1"/>
  <c r="W44" i="2"/>
  <c r="X44" i="2" s="1"/>
  <c r="W45" i="2"/>
  <c r="X45" i="2" s="1"/>
  <c r="W46" i="2"/>
  <c r="X46" i="2" s="1"/>
  <c r="W47" i="2"/>
  <c r="X47" i="2" s="1"/>
  <c r="W48" i="2"/>
  <c r="X48" i="2" s="1"/>
  <c r="W49" i="2"/>
  <c r="X49" i="2" s="1"/>
  <c r="W50" i="2"/>
  <c r="X50" i="2" s="1"/>
  <c r="W51" i="2"/>
  <c r="X51" i="2" s="1"/>
  <c r="W52" i="2"/>
  <c r="X52" i="2" s="1"/>
  <c r="W53" i="2"/>
  <c r="X53" i="2" s="1"/>
  <c r="W54" i="2"/>
  <c r="X54" i="2" s="1"/>
  <c r="W55" i="2"/>
  <c r="X55" i="2" s="1"/>
  <c r="W56" i="2"/>
  <c r="X56" i="2" s="1"/>
  <c r="W57" i="2"/>
  <c r="X57" i="2" s="1"/>
  <c r="W58" i="2"/>
  <c r="X58" i="2" s="1"/>
  <c r="W59" i="2"/>
  <c r="X59" i="2" s="1"/>
  <c r="W60" i="2"/>
  <c r="X60" i="2" s="1"/>
  <c r="W61" i="2"/>
  <c r="X61" i="2" s="1"/>
  <c r="W62" i="2"/>
  <c r="X62" i="2" s="1"/>
  <c r="W63" i="2"/>
  <c r="X63" i="2" s="1"/>
  <c r="W64" i="2"/>
  <c r="X64" i="2" s="1"/>
  <c r="W65" i="2"/>
  <c r="X65" i="2" s="1"/>
  <c r="W66" i="2"/>
  <c r="X66" i="2" s="1"/>
  <c r="W67" i="2"/>
  <c r="X67" i="2" s="1"/>
  <c r="W68" i="2"/>
  <c r="X68" i="2" s="1"/>
  <c r="W69" i="2"/>
  <c r="X69" i="2" s="1"/>
  <c r="W70" i="2"/>
  <c r="X70" i="2" s="1"/>
  <c r="W71" i="2"/>
  <c r="X71" i="2" s="1"/>
  <c r="W72" i="2"/>
  <c r="X72" i="2" s="1"/>
  <c r="W73" i="2"/>
  <c r="X73" i="2" s="1"/>
  <c r="W74" i="2"/>
  <c r="X74" i="2" s="1"/>
  <c r="W75" i="2"/>
  <c r="X75" i="2" s="1"/>
  <c r="W76" i="2"/>
  <c r="X76" i="2" s="1"/>
  <c r="W77" i="2"/>
  <c r="X77" i="2" s="1"/>
  <c r="W78" i="2"/>
  <c r="X78" i="2" s="1"/>
  <c r="W79" i="2"/>
  <c r="X79" i="2" s="1"/>
  <c r="W80" i="2"/>
  <c r="X80" i="2" s="1"/>
  <c r="W81" i="2"/>
  <c r="X81" i="2" s="1"/>
  <c r="W82" i="2"/>
  <c r="X82" i="2" s="1"/>
  <c r="W83" i="2"/>
  <c r="X83" i="2" s="1"/>
  <c r="W84" i="2"/>
  <c r="X84" i="2" s="1"/>
  <c r="W85" i="2"/>
  <c r="X85" i="2" s="1"/>
  <c r="W86" i="2"/>
  <c r="X86" i="2" s="1"/>
  <c r="W87" i="2"/>
  <c r="X87" i="2" s="1"/>
  <c r="W88" i="2"/>
  <c r="X88" i="2" s="1"/>
  <c r="W89" i="2"/>
  <c r="X89" i="2" s="1"/>
  <c r="W90" i="2"/>
  <c r="X90" i="2" s="1"/>
  <c r="W91" i="2"/>
  <c r="X91" i="2" s="1"/>
  <c r="W92" i="2"/>
  <c r="X92" i="2" s="1"/>
  <c r="W93" i="2"/>
  <c r="X93" i="2" s="1"/>
  <c r="W94" i="2"/>
  <c r="X94" i="2" s="1"/>
  <c r="W95" i="2"/>
  <c r="X95" i="2" s="1"/>
  <c r="W96" i="2"/>
  <c r="X96" i="2" s="1"/>
  <c r="W97" i="2"/>
  <c r="X97" i="2" s="1"/>
  <c r="W98" i="2"/>
  <c r="X98" i="2" s="1"/>
  <c r="W99" i="2"/>
  <c r="X99" i="2" s="1"/>
  <c r="W100" i="2"/>
  <c r="X100" i="2" s="1"/>
  <c r="W101" i="2"/>
  <c r="X101" i="2" s="1"/>
  <c r="W102" i="2"/>
  <c r="X102" i="2" s="1"/>
  <c r="W103" i="2"/>
  <c r="X103" i="2" s="1"/>
  <c r="W104" i="2"/>
  <c r="X104" i="2" s="1"/>
  <c r="W105" i="2"/>
  <c r="X105" i="2" s="1"/>
  <c r="W106" i="2"/>
  <c r="X106" i="2" s="1"/>
  <c r="W107" i="2"/>
  <c r="X107" i="2" s="1"/>
  <c r="W108" i="2"/>
  <c r="X108" i="2" s="1"/>
  <c r="W109" i="2"/>
  <c r="X109" i="2" s="1"/>
  <c r="W110" i="2"/>
  <c r="X110" i="2" s="1"/>
  <c r="W111" i="2"/>
  <c r="X111" i="2" s="1"/>
  <c r="W112" i="2"/>
  <c r="X112" i="2" s="1"/>
  <c r="W113" i="2"/>
  <c r="X113" i="2" s="1"/>
  <c r="W114" i="2"/>
  <c r="X114" i="2" s="1"/>
  <c r="W115" i="2"/>
  <c r="X115" i="2" s="1"/>
  <c r="W116" i="2"/>
  <c r="X116" i="2" s="1"/>
  <c r="W117" i="2"/>
  <c r="X117" i="2" s="1"/>
  <c r="W118" i="2"/>
  <c r="X118" i="2" s="1"/>
  <c r="W119" i="2"/>
  <c r="X119" i="2" s="1"/>
  <c r="W120" i="2"/>
  <c r="X120" i="2" s="1"/>
  <c r="W121" i="2"/>
  <c r="X121" i="2" s="1"/>
  <c r="W122" i="2"/>
  <c r="X122" i="2" s="1"/>
  <c r="W123" i="2"/>
  <c r="X123" i="2" s="1"/>
  <c r="W124" i="2"/>
  <c r="X124" i="2" s="1"/>
  <c r="W125" i="2"/>
  <c r="X125" i="2" s="1"/>
  <c r="W126" i="2"/>
  <c r="X126" i="2" s="1"/>
  <c r="W127" i="2"/>
  <c r="X127" i="2" s="1"/>
  <c r="W128" i="2"/>
  <c r="X128" i="2" s="1"/>
  <c r="W129" i="2"/>
  <c r="X129" i="2" s="1"/>
  <c r="W130" i="2"/>
  <c r="X130" i="2" s="1"/>
  <c r="W131" i="2"/>
  <c r="X131" i="2" s="1"/>
  <c r="W132" i="2"/>
  <c r="X132" i="2" s="1"/>
  <c r="W133" i="2"/>
  <c r="X133" i="2" s="1"/>
  <c r="W134" i="2"/>
  <c r="X134" i="2" s="1"/>
  <c r="W135" i="2"/>
  <c r="X135" i="2" s="1"/>
  <c r="W136" i="2"/>
  <c r="X136" i="2" s="1"/>
  <c r="W137" i="2"/>
  <c r="X137" i="2" s="1"/>
  <c r="W138" i="2"/>
  <c r="X138" i="2" s="1"/>
  <c r="W139" i="2"/>
  <c r="X139" i="2" s="1"/>
  <c r="W140" i="2"/>
  <c r="X140" i="2" s="1"/>
  <c r="W141" i="2"/>
  <c r="X141" i="2" s="1"/>
  <c r="W142" i="2"/>
  <c r="X142" i="2" s="1"/>
  <c r="W143" i="2"/>
  <c r="X143" i="2" s="1"/>
  <c r="W144" i="2"/>
  <c r="X144" i="2" s="1"/>
  <c r="W145" i="2"/>
  <c r="X145" i="2" s="1"/>
  <c r="W146" i="2"/>
  <c r="X146" i="2" s="1"/>
  <c r="W147" i="2"/>
  <c r="X147" i="2" s="1"/>
  <c r="W148" i="2"/>
  <c r="X148" i="2" s="1"/>
  <c r="W149" i="2"/>
  <c r="X149" i="2" s="1"/>
  <c r="W150" i="2"/>
  <c r="X150" i="2" s="1"/>
  <c r="W151" i="2"/>
  <c r="X151" i="2" s="1"/>
  <c r="W152" i="2"/>
  <c r="X152" i="2" s="1"/>
  <c r="W153" i="2"/>
  <c r="X153" i="2" s="1"/>
  <c r="W154" i="2"/>
  <c r="X154" i="2" s="1"/>
  <c r="W155" i="2"/>
  <c r="X155" i="2" s="1"/>
  <c r="W156" i="2"/>
  <c r="X156" i="2" s="1"/>
  <c r="W157" i="2"/>
  <c r="X157" i="2" s="1"/>
  <c r="W158" i="2"/>
  <c r="X158" i="2" s="1"/>
  <c r="W159" i="2"/>
  <c r="X159" i="2" s="1"/>
  <c r="W160" i="2"/>
  <c r="X160" i="2" s="1"/>
  <c r="W161" i="2"/>
  <c r="X161" i="2" s="1"/>
  <c r="W162" i="2"/>
  <c r="X162" i="2" s="1"/>
  <c r="W163" i="2"/>
  <c r="X163" i="2" s="1"/>
  <c r="W164" i="2"/>
  <c r="X164" i="2" s="1"/>
  <c r="W165" i="2"/>
  <c r="X165" i="2" s="1"/>
  <c r="W166" i="2"/>
  <c r="X166" i="2" s="1"/>
  <c r="W167" i="2"/>
  <c r="X167" i="2" s="1"/>
  <c r="W168" i="2"/>
  <c r="X168" i="2" s="1"/>
  <c r="W169" i="2"/>
  <c r="X169" i="2" s="1"/>
  <c r="W170" i="2"/>
  <c r="X170" i="2" s="1"/>
  <c r="W171" i="2"/>
  <c r="X171" i="2" s="1"/>
  <c r="W172" i="2"/>
  <c r="X172" i="2" s="1"/>
  <c r="W173" i="2"/>
  <c r="X173" i="2" s="1"/>
  <c r="W174" i="2"/>
  <c r="X174" i="2" s="1"/>
  <c r="W175" i="2"/>
  <c r="X175" i="2" s="1"/>
  <c r="W176" i="2"/>
  <c r="X176" i="2" s="1"/>
  <c r="W177" i="2"/>
  <c r="X177" i="2" s="1"/>
  <c r="W178" i="2"/>
  <c r="X178" i="2" s="1"/>
  <c r="W179" i="2"/>
  <c r="X179" i="2" s="1"/>
  <c r="W180" i="2"/>
  <c r="X180" i="2" s="1"/>
  <c r="W181" i="2"/>
  <c r="X181" i="2" s="1"/>
  <c r="W182" i="2"/>
  <c r="X182" i="2" s="1"/>
  <c r="W183" i="2"/>
  <c r="X183" i="2" s="1"/>
  <c r="W184" i="2"/>
  <c r="X184" i="2" s="1"/>
  <c r="W185" i="2"/>
  <c r="X185" i="2" s="1"/>
  <c r="W186" i="2"/>
  <c r="X186" i="2" s="1"/>
  <c r="W187" i="2"/>
  <c r="X187" i="2" s="1"/>
  <c r="W188" i="2"/>
  <c r="X188" i="2" s="1"/>
  <c r="W189" i="2"/>
  <c r="X189" i="2" s="1"/>
  <c r="W190" i="2"/>
  <c r="X190" i="2" s="1"/>
  <c r="W191" i="2"/>
  <c r="X191" i="2" s="1"/>
  <c r="W192" i="2"/>
  <c r="X192" i="2" s="1"/>
  <c r="W193" i="2"/>
  <c r="X193" i="2" s="1"/>
  <c r="W194" i="2"/>
  <c r="X194" i="2" s="1"/>
  <c r="W195" i="2"/>
  <c r="X195" i="2" s="1"/>
  <c r="W196" i="2"/>
  <c r="X196" i="2" s="1"/>
  <c r="W197" i="2"/>
  <c r="X197" i="2" s="1"/>
  <c r="W198" i="2"/>
  <c r="X198" i="2" s="1"/>
  <c r="W199" i="2"/>
  <c r="X199" i="2" s="1"/>
  <c r="W200" i="2"/>
  <c r="X200" i="2" s="1"/>
  <c r="W201" i="2"/>
  <c r="X201" i="2" s="1"/>
  <c r="W202" i="2"/>
  <c r="X202" i="2" s="1"/>
  <c r="W203" i="2"/>
  <c r="X203" i="2" s="1"/>
  <c r="W204" i="2"/>
  <c r="X204" i="2" s="1"/>
  <c r="W205" i="2"/>
  <c r="X205" i="2" s="1"/>
  <c r="W206" i="2"/>
  <c r="X206" i="2" s="1"/>
  <c r="W207" i="2"/>
  <c r="X207" i="2" s="1"/>
  <c r="W208" i="2"/>
  <c r="X208" i="2" s="1"/>
  <c r="W209" i="2"/>
  <c r="X209" i="2" s="1"/>
  <c r="W210" i="2"/>
  <c r="X210" i="2" s="1"/>
  <c r="W211" i="2"/>
  <c r="X211" i="2" s="1"/>
  <c r="W212" i="2"/>
  <c r="X212" i="2" s="1"/>
  <c r="W213" i="2"/>
  <c r="X213" i="2" s="1"/>
  <c r="W214" i="2"/>
  <c r="X214" i="2" s="1"/>
  <c r="W215" i="2"/>
  <c r="X215" i="2" s="1"/>
  <c r="W216" i="2"/>
  <c r="X216" i="2" s="1"/>
  <c r="W217" i="2"/>
  <c r="X217" i="2" s="1"/>
  <c r="W218" i="2"/>
  <c r="X218" i="2" s="1"/>
  <c r="W219" i="2"/>
  <c r="X219" i="2" s="1"/>
  <c r="W220" i="2"/>
  <c r="X220" i="2" s="1"/>
  <c r="W221" i="2"/>
  <c r="X221" i="2" s="1"/>
  <c r="W222" i="2"/>
  <c r="X222" i="2" s="1"/>
  <c r="W223" i="2"/>
  <c r="X223" i="2" s="1"/>
  <c r="W224" i="2"/>
  <c r="X224" i="2" s="1"/>
  <c r="W225" i="2"/>
  <c r="X225" i="2" s="1"/>
  <c r="W226" i="2"/>
  <c r="X226" i="2" s="1"/>
  <c r="W227" i="2"/>
  <c r="X227" i="2" s="1"/>
  <c r="W228" i="2"/>
  <c r="X228" i="2" s="1"/>
  <c r="W229" i="2"/>
  <c r="X229" i="2" s="1"/>
  <c r="W230" i="2"/>
  <c r="X230" i="2" s="1"/>
  <c r="W231" i="2"/>
  <c r="X231" i="2" s="1"/>
  <c r="W232" i="2"/>
  <c r="X232" i="2" s="1"/>
  <c r="W233" i="2"/>
  <c r="X233" i="2" s="1"/>
  <c r="W234" i="2"/>
  <c r="X234" i="2" s="1"/>
  <c r="W235" i="2"/>
  <c r="X235" i="2" s="1"/>
  <c r="W236" i="2"/>
  <c r="X236" i="2" s="1"/>
  <c r="W237" i="2"/>
  <c r="X237" i="2" s="1"/>
  <c r="W238" i="2"/>
  <c r="X238" i="2" s="1"/>
  <c r="W239" i="2"/>
  <c r="X239" i="2" s="1"/>
  <c r="W240" i="2"/>
  <c r="X240" i="2" s="1"/>
  <c r="W241" i="2"/>
  <c r="X241" i="2" s="1"/>
  <c r="W242" i="2"/>
  <c r="X242" i="2" s="1"/>
  <c r="W243" i="2"/>
  <c r="X243" i="2" s="1"/>
  <c r="W244" i="2"/>
  <c r="X244" i="2" s="1"/>
  <c r="W245" i="2"/>
  <c r="X245" i="2" s="1"/>
  <c r="W246" i="2"/>
  <c r="X246" i="2" s="1"/>
  <c r="W247" i="2"/>
  <c r="X247" i="2" s="1"/>
  <c r="W248" i="2"/>
  <c r="X248" i="2" s="1"/>
  <c r="W249" i="2"/>
  <c r="X249" i="2" s="1"/>
  <c r="W250" i="2"/>
  <c r="X250" i="2" s="1"/>
  <c r="W251" i="2"/>
  <c r="X251" i="2" s="1"/>
  <c r="W252" i="2"/>
  <c r="X252" i="2" s="1"/>
  <c r="W253" i="2"/>
  <c r="X253" i="2" s="1"/>
  <c r="W254" i="2"/>
  <c r="X254" i="2" s="1"/>
  <c r="W255" i="2"/>
  <c r="X255" i="2" s="1"/>
  <c r="W256" i="2"/>
  <c r="X256" i="2" s="1"/>
  <c r="W257" i="2"/>
  <c r="X257" i="2" s="1"/>
  <c r="W258" i="2"/>
  <c r="X258" i="2" s="1"/>
  <c r="W259" i="2"/>
  <c r="X259" i="2" s="1"/>
  <c r="W260" i="2"/>
  <c r="X260" i="2" s="1"/>
  <c r="W261" i="2"/>
  <c r="X261" i="2" s="1"/>
  <c r="W262" i="2"/>
  <c r="X262" i="2" s="1"/>
  <c r="W263" i="2"/>
  <c r="X263" i="2" s="1"/>
  <c r="W264" i="2"/>
  <c r="X264" i="2" s="1"/>
  <c r="W265" i="2"/>
  <c r="X265" i="2" s="1"/>
  <c r="W266" i="2"/>
  <c r="X266" i="2" s="1"/>
  <c r="W267" i="2"/>
  <c r="X267" i="2" s="1"/>
  <c r="W268" i="2"/>
  <c r="X268" i="2" s="1"/>
  <c r="W269" i="2"/>
  <c r="X269" i="2" s="1"/>
  <c r="W270" i="2"/>
  <c r="X270" i="2" s="1"/>
  <c r="W271" i="2"/>
  <c r="X271" i="2" s="1"/>
  <c r="W272" i="2"/>
  <c r="X272" i="2" s="1"/>
  <c r="W273" i="2"/>
  <c r="X273" i="2" s="1"/>
  <c r="W274" i="2"/>
  <c r="X274" i="2" s="1"/>
  <c r="W275" i="2"/>
  <c r="X275" i="2" s="1"/>
  <c r="W276" i="2"/>
  <c r="X276" i="2" s="1"/>
  <c r="W277" i="2"/>
  <c r="X277" i="2" s="1"/>
  <c r="W278" i="2"/>
  <c r="X278" i="2" s="1"/>
  <c r="W279" i="2"/>
  <c r="X279" i="2" s="1"/>
  <c r="W280" i="2"/>
  <c r="X280" i="2" s="1"/>
  <c r="W281" i="2"/>
  <c r="X281" i="2" s="1"/>
  <c r="W282" i="2"/>
  <c r="X282" i="2" s="1"/>
  <c r="W283" i="2"/>
  <c r="X283" i="2" s="1"/>
  <c r="W284" i="2"/>
  <c r="X284" i="2" s="1"/>
  <c r="W285" i="2"/>
  <c r="X285" i="2" s="1"/>
  <c r="W286" i="2"/>
  <c r="X286" i="2" s="1"/>
  <c r="W287" i="2"/>
  <c r="X287" i="2" s="1"/>
  <c r="W288" i="2"/>
  <c r="X288" i="2" s="1"/>
  <c r="W289" i="2"/>
  <c r="X289" i="2" s="1"/>
  <c r="W290" i="2"/>
  <c r="X290" i="2" s="1"/>
  <c r="W291" i="2"/>
  <c r="X291" i="2" s="1"/>
  <c r="W292" i="2"/>
  <c r="X292" i="2" s="1"/>
  <c r="W293" i="2"/>
  <c r="X293" i="2" s="1"/>
  <c r="W294" i="2"/>
  <c r="X294" i="2" s="1"/>
  <c r="W295" i="2"/>
  <c r="X295" i="2" s="1"/>
  <c r="W296" i="2"/>
  <c r="X296" i="2" s="1"/>
  <c r="W297" i="2"/>
  <c r="X297" i="2" s="1"/>
  <c r="W298" i="2"/>
  <c r="X298" i="2" s="1"/>
  <c r="W299" i="2"/>
  <c r="X299" i="2" s="1"/>
  <c r="W300" i="2"/>
  <c r="X300" i="2" s="1"/>
  <c r="W301" i="2"/>
  <c r="X301" i="2" s="1"/>
  <c r="W302" i="2"/>
  <c r="X302" i="2" s="1"/>
  <c r="W303" i="2"/>
  <c r="X303" i="2" s="1"/>
  <c r="W304" i="2"/>
  <c r="X304" i="2" s="1"/>
  <c r="W305" i="2"/>
  <c r="X305" i="2" s="1"/>
  <c r="W306" i="2"/>
  <c r="X306" i="2" s="1"/>
  <c r="W307" i="2"/>
  <c r="X307" i="2" s="1"/>
  <c r="W308" i="2"/>
  <c r="X308" i="2" s="1"/>
  <c r="W309" i="2"/>
  <c r="X309" i="2" s="1"/>
  <c r="W310" i="2"/>
  <c r="X310" i="2" s="1"/>
  <c r="W311" i="2"/>
  <c r="X311" i="2" s="1"/>
  <c r="W312" i="2"/>
  <c r="X312" i="2" s="1"/>
  <c r="W313" i="2"/>
  <c r="X313" i="2" s="1"/>
  <c r="W314" i="2"/>
  <c r="X314" i="2" s="1"/>
  <c r="W315" i="2"/>
  <c r="X315" i="2" s="1"/>
  <c r="W316" i="2"/>
  <c r="X316" i="2" s="1"/>
  <c r="W317" i="2"/>
  <c r="X317" i="2" s="1"/>
  <c r="W318" i="2"/>
  <c r="X318" i="2" s="1"/>
  <c r="W319" i="2"/>
  <c r="X319" i="2" s="1"/>
  <c r="W320" i="2"/>
  <c r="X320" i="2" s="1"/>
  <c r="W321" i="2"/>
  <c r="X321" i="2" s="1"/>
  <c r="W322" i="2"/>
  <c r="X322" i="2" s="1"/>
  <c r="W323" i="2"/>
  <c r="X323" i="2" s="1"/>
  <c r="W324" i="2"/>
  <c r="X324" i="2" s="1"/>
  <c r="W325" i="2"/>
  <c r="X325" i="2" s="1"/>
  <c r="W326" i="2"/>
  <c r="X326" i="2" s="1"/>
  <c r="W327" i="2"/>
  <c r="X327" i="2" s="1"/>
  <c r="W328" i="2"/>
  <c r="X328" i="2" s="1"/>
  <c r="W329" i="2"/>
  <c r="X329" i="2" s="1"/>
  <c r="W330" i="2"/>
  <c r="X330" i="2" s="1"/>
  <c r="W331" i="2"/>
  <c r="X331" i="2" s="1"/>
  <c r="W332" i="2"/>
  <c r="X332" i="2" s="1"/>
  <c r="W333" i="2"/>
  <c r="X333" i="2" s="1"/>
  <c r="W334" i="2"/>
  <c r="X334" i="2" s="1"/>
  <c r="W335" i="2"/>
  <c r="X335" i="2" s="1"/>
  <c r="W336" i="2"/>
  <c r="X336" i="2" s="1"/>
  <c r="W337" i="2"/>
  <c r="X337" i="2" s="1"/>
  <c r="W338" i="2"/>
  <c r="X338" i="2" s="1"/>
  <c r="W339" i="2"/>
  <c r="X339" i="2" s="1"/>
  <c r="W340" i="2"/>
  <c r="X340" i="2" s="1"/>
  <c r="W341" i="2"/>
  <c r="X341" i="2" s="1"/>
  <c r="W342" i="2"/>
  <c r="X342" i="2" s="1"/>
  <c r="W343" i="2"/>
  <c r="X343" i="2" s="1"/>
  <c r="W344" i="2"/>
  <c r="X344" i="2" s="1"/>
  <c r="W345" i="2"/>
  <c r="X345" i="2" s="1"/>
  <c r="W346" i="2"/>
  <c r="X346" i="2" s="1"/>
  <c r="W347" i="2"/>
  <c r="X347" i="2" s="1"/>
  <c r="W348" i="2"/>
  <c r="X348" i="2" s="1"/>
  <c r="W349" i="2"/>
  <c r="X349" i="2" s="1"/>
  <c r="W350" i="2"/>
  <c r="X350" i="2" s="1"/>
  <c r="W351" i="2"/>
  <c r="X351" i="2" s="1"/>
  <c r="W352" i="2"/>
  <c r="X352" i="2" s="1"/>
  <c r="W353" i="2"/>
  <c r="X353" i="2" s="1"/>
  <c r="W354" i="2"/>
  <c r="X354" i="2" s="1"/>
  <c r="W355" i="2"/>
  <c r="X355" i="2" s="1"/>
  <c r="W356" i="2"/>
  <c r="X356" i="2" s="1"/>
  <c r="W357" i="2"/>
  <c r="X357" i="2" s="1"/>
  <c r="W358" i="2"/>
  <c r="X358" i="2" s="1"/>
  <c r="W359" i="2"/>
  <c r="X359" i="2" s="1"/>
  <c r="W360" i="2"/>
  <c r="X360" i="2" s="1"/>
  <c r="W361" i="2"/>
  <c r="X361" i="2" s="1"/>
  <c r="W362" i="2"/>
  <c r="X362" i="2" s="1"/>
  <c r="W363" i="2"/>
  <c r="X363" i="2" s="1"/>
  <c r="W364" i="2"/>
  <c r="X364" i="2" s="1"/>
  <c r="W365" i="2"/>
  <c r="X365" i="2" s="1"/>
  <c r="W366" i="2"/>
  <c r="X366" i="2" s="1"/>
  <c r="W367" i="2"/>
  <c r="X367" i="2" s="1"/>
  <c r="W368" i="2"/>
  <c r="X368" i="2" s="1"/>
  <c r="W369" i="2"/>
  <c r="X369" i="2" s="1"/>
  <c r="W370" i="2"/>
  <c r="X370" i="2" s="1"/>
  <c r="W371" i="2"/>
  <c r="X371" i="2" s="1"/>
  <c r="W372" i="2"/>
  <c r="X372" i="2" s="1"/>
  <c r="W373" i="2"/>
  <c r="X373" i="2" s="1"/>
  <c r="W374" i="2"/>
  <c r="X374" i="2" s="1"/>
  <c r="W375" i="2"/>
  <c r="X375" i="2" s="1"/>
  <c r="W376" i="2"/>
  <c r="X376" i="2" s="1"/>
  <c r="W377" i="2"/>
  <c r="X377" i="2" s="1"/>
  <c r="W378" i="2"/>
  <c r="X378" i="2" s="1"/>
  <c r="W379" i="2"/>
  <c r="X379" i="2" s="1"/>
  <c r="W380" i="2"/>
  <c r="X380" i="2" s="1"/>
  <c r="W381" i="2"/>
  <c r="X381" i="2" s="1"/>
  <c r="W382" i="2"/>
  <c r="X382" i="2" s="1"/>
  <c r="W383" i="2"/>
  <c r="X383" i="2" s="1"/>
  <c r="W384" i="2"/>
  <c r="X384" i="2" s="1"/>
  <c r="W385" i="2"/>
  <c r="X385" i="2" s="1"/>
  <c r="W386" i="2"/>
  <c r="X386" i="2" s="1"/>
  <c r="W387" i="2"/>
  <c r="X387" i="2" s="1"/>
  <c r="W388" i="2"/>
  <c r="X388" i="2" s="1"/>
  <c r="W389" i="2"/>
  <c r="X389" i="2" s="1"/>
  <c r="W390" i="2"/>
  <c r="X390" i="2" s="1"/>
  <c r="W391" i="2"/>
  <c r="X391" i="2" s="1"/>
  <c r="W392" i="2"/>
  <c r="X392" i="2" s="1"/>
  <c r="W393" i="2"/>
  <c r="X393" i="2" s="1"/>
  <c r="W394" i="2"/>
  <c r="X394" i="2" s="1"/>
  <c r="W395" i="2"/>
  <c r="X395" i="2" s="1"/>
  <c r="W396" i="2"/>
  <c r="X396" i="2" s="1"/>
  <c r="W397" i="2"/>
  <c r="X397" i="2" s="1"/>
  <c r="W398" i="2"/>
  <c r="X398" i="2" s="1"/>
  <c r="W399" i="2"/>
  <c r="X399" i="2" s="1"/>
  <c r="W400" i="2"/>
  <c r="X400" i="2" s="1"/>
  <c r="W401" i="2"/>
  <c r="X401" i="2" s="1"/>
  <c r="W402" i="2"/>
  <c r="X402" i="2" s="1"/>
  <c r="W403" i="2"/>
  <c r="X403" i="2" s="1"/>
  <c r="W404" i="2"/>
  <c r="X404" i="2" s="1"/>
  <c r="W405" i="2"/>
  <c r="X405" i="2" s="1"/>
  <c r="W406" i="2"/>
  <c r="X406" i="2" s="1"/>
  <c r="W407" i="2"/>
  <c r="X407" i="2" s="1"/>
  <c r="W408" i="2"/>
  <c r="X408" i="2" s="1"/>
  <c r="W409" i="2"/>
  <c r="X409" i="2" s="1"/>
  <c r="W410" i="2"/>
  <c r="X410" i="2" s="1"/>
  <c r="W411" i="2"/>
  <c r="X411" i="2" s="1"/>
  <c r="W412" i="2"/>
  <c r="X412" i="2" s="1"/>
  <c r="W413" i="2"/>
  <c r="X413" i="2" s="1"/>
  <c r="W414" i="2"/>
  <c r="X414" i="2" s="1"/>
  <c r="W415" i="2"/>
  <c r="X415" i="2" s="1"/>
  <c r="W416" i="2"/>
  <c r="X416" i="2" s="1"/>
  <c r="W417" i="2"/>
  <c r="X417" i="2" s="1"/>
  <c r="W418" i="2"/>
  <c r="X418" i="2" s="1"/>
  <c r="W419" i="2"/>
  <c r="X419" i="2" s="1"/>
  <c r="W420" i="2"/>
  <c r="X420" i="2" s="1"/>
  <c r="W421" i="2"/>
  <c r="X421" i="2" s="1"/>
  <c r="W422" i="2"/>
  <c r="X422" i="2" s="1"/>
  <c r="W423" i="2"/>
  <c r="X423" i="2" s="1"/>
  <c r="W424" i="2"/>
  <c r="X424" i="2" s="1"/>
  <c r="W425" i="2"/>
  <c r="X425" i="2" s="1"/>
  <c r="W426" i="2"/>
  <c r="X426" i="2" s="1"/>
  <c r="W427" i="2"/>
  <c r="X427" i="2" s="1"/>
  <c r="W428" i="2"/>
  <c r="X428" i="2" s="1"/>
  <c r="W429" i="2"/>
  <c r="X429" i="2" s="1"/>
  <c r="W430" i="2"/>
  <c r="X430" i="2" s="1"/>
  <c r="W431" i="2"/>
  <c r="X431" i="2" s="1"/>
  <c r="W432" i="2"/>
  <c r="X432" i="2" s="1"/>
  <c r="W433" i="2"/>
  <c r="X433" i="2" s="1"/>
  <c r="W434" i="2"/>
  <c r="X434" i="2" s="1"/>
  <c r="W435" i="2"/>
  <c r="X435" i="2" s="1"/>
  <c r="W436" i="2"/>
  <c r="X436" i="2" s="1"/>
  <c r="W437" i="2"/>
  <c r="X437" i="2" s="1"/>
  <c r="W438" i="2"/>
  <c r="X438" i="2" s="1"/>
  <c r="W439" i="2"/>
  <c r="X439" i="2" s="1"/>
  <c r="W440" i="2"/>
  <c r="X440" i="2" s="1"/>
  <c r="W441" i="2"/>
  <c r="X441" i="2" s="1"/>
  <c r="W442" i="2"/>
  <c r="X442" i="2" s="1"/>
  <c r="W443" i="2"/>
  <c r="X443" i="2" s="1"/>
  <c r="W444" i="2"/>
  <c r="X444" i="2" s="1"/>
  <c r="W445" i="2"/>
  <c r="X445" i="2" s="1"/>
  <c r="W446" i="2"/>
  <c r="X446" i="2" s="1"/>
  <c r="W447" i="2"/>
  <c r="X447" i="2" s="1"/>
  <c r="W448" i="2"/>
  <c r="X448" i="2" s="1"/>
  <c r="W449" i="2"/>
  <c r="X449" i="2" s="1"/>
  <c r="W450" i="2"/>
  <c r="X450" i="2" s="1"/>
  <c r="W451" i="2"/>
  <c r="X451" i="2" s="1"/>
  <c r="W452" i="2"/>
  <c r="X452" i="2" s="1"/>
  <c r="W453" i="2"/>
  <c r="X453" i="2" s="1"/>
  <c r="W454" i="2"/>
  <c r="X454" i="2" s="1"/>
  <c r="W455" i="2"/>
  <c r="X455" i="2" s="1"/>
  <c r="W456" i="2"/>
  <c r="X456" i="2" s="1"/>
  <c r="W457" i="2"/>
  <c r="X457" i="2" s="1"/>
  <c r="W458" i="2"/>
  <c r="X458" i="2" s="1"/>
  <c r="W459" i="2"/>
  <c r="X459" i="2" s="1"/>
  <c r="W460" i="2"/>
  <c r="X460" i="2" s="1"/>
  <c r="W461" i="2"/>
  <c r="X461" i="2" s="1"/>
  <c r="W462" i="2"/>
  <c r="X462" i="2" s="1"/>
  <c r="W463" i="2"/>
  <c r="X463" i="2" s="1"/>
  <c r="W464" i="2"/>
  <c r="X464" i="2" s="1"/>
  <c r="W465" i="2"/>
  <c r="X465" i="2" s="1"/>
  <c r="W466" i="2"/>
  <c r="X466" i="2" s="1"/>
  <c r="W467" i="2"/>
  <c r="X467" i="2" s="1"/>
  <c r="W468" i="2"/>
  <c r="X468" i="2" s="1"/>
  <c r="W469" i="2"/>
  <c r="X469" i="2" s="1"/>
  <c r="W470" i="2"/>
  <c r="X470" i="2" s="1"/>
  <c r="W471" i="2"/>
  <c r="X471" i="2" s="1"/>
  <c r="W472" i="2"/>
  <c r="X472" i="2" s="1"/>
  <c r="W473" i="2"/>
  <c r="X473" i="2" s="1"/>
  <c r="W474" i="2"/>
  <c r="X474" i="2" s="1"/>
  <c r="W475" i="2"/>
  <c r="X475" i="2" s="1"/>
  <c r="W476" i="2"/>
  <c r="X476" i="2" s="1"/>
  <c r="W477" i="2"/>
  <c r="X477" i="2" s="1"/>
  <c r="W478" i="2"/>
  <c r="X478" i="2" s="1"/>
  <c r="W479" i="2"/>
  <c r="X479" i="2" s="1"/>
  <c r="W480" i="2"/>
  <c r="X480" i="2" s="1"/>
  <c r="W481" i="2"/>
  <c r="X481" i="2" s="1"/>
  <c r="W482" i="2"/>
  <c r="X482" i="2" s="1"/>
  <c r="W483" i="2"/>
  <c r="X483" i="2" s="1"/>
  <c r="W484" i="2"/>
  <c r="X484" i="2" s="1"/>
  <c r="W485" i="2"/>
  <c r="X485" i="2" s="1"/>
  <c r="W486" i="2"/>
  <c r="X486" i="2" s="1"/>
  <c r="W487" i="2"/>
  <c r="X487" i="2" s="1"/>
  <c r="W488" i="2"/>
  <c r="X488" i="2" s="1"/>
  <c r="W489" i="2"/>
  <c r="X489" i="2" s="1"/>
  <c r="W490" i="2"/>
  <c r="X490" i="2" s="1"/>
  <c r="W491" i="2"/>
  <c r="X491" i="2" s="1"/>
  <c r="W492" i="2"/>
  <c r="X492" i="2" s="1"/>
  <c r="W493" i="2"/>
  <c r="X493" i="2" s="1"/>
  <c r="W494" i="2"/>
  <c r="X494" i="2" s="1"/>
  <c r="W495" i="2"/>
  <c r="X495" i="2" s="1"/>
  <c r="W496" i="2"/>
  <c r="X496" i="2" s="1"/>
  <c r="W497" i="2"/>
  <c r="X497" i="2" s="1"/>
  <c r="W498" i="2"/>
  <c r="X498" i="2" s="1"/>
  <c r="W499" i="2"/>
  <c r="X499" i="2" s="1"/>
  <c r="W500" i="2"/>
  <c r="X500" i="2" s="1"/>
  <c r="W501" i="2"/>
  <c r="X501" i="2" s="1"/>
  <c r="W502" i="2"/>
  <c r="X502" i="2" s="1"/>
  <c r="W503" i="2"/>
  <c r="X503" i="2" s="1"/>
  <c r="W504" i="2"/>
  <c r="X504" i="2" s="1"/>
  <c r="W505" i="2"/>
  <c r="X505" i="2" s="1"/>
  <c r="W506" i="2"/>
  <c r="X506" i="2" s="1"/>
  <c r="W507" i="2"/>
  <c r="X507" i="2" s="1"/>
  <c r="W508" i="2"/>
  <c r="X508" i="2" s="1"/>
  <c r="W509" i="2"/>
  <c r="X509" i="2" s="1"/>
  <c r="W510" i="2"/>
  <c r="X510" i="2" s="1"/>
  <c r="W511" i="2"/>
  <c r="X511" i="2" s="1"/>
  <c r="W512" i="2"/>
  <c r="X512" i="2" s="1"/>
  <c r="W513" i="2"/>
  <c r="X513" i="2" s="1"/>
  <c r="W514" i="2"/>
  <c r="X514" i="2" s="1"/>
  <c r="W515" i="2"/>
  <c r="X515" i="2" s="1"/>
  <c r="W516" i="2"/>
  <c r="X516" i="2" s="1"/>
  <c r="W517" i="2"/>
  <c r="X517" i="2" s="1"/>
  <c r="W518" i="2"/>
  <c r="X518" i="2" s="1"/>
  <c r="W519" i="2"/>
  <c r="X519" i="2" s="1"/>
  <c r="W520" i="2"/>
  <c r="X520" i="2" s="1"/>
  <c r="W521" i="2"/>
  <c r="X521" i="2" s="1"/>
  <c r="W522" i="2"/>
  <c r="X522" i="2" s="1"/>
  <c r="W523" i="2"/>
  <c r="X523" i="2" s="1"/>
  <c r="W524" i="2"/>
  <c r="X524" i="2" s="1"/>
  <c r="W525" i="2"/>
  <c r="X525" i="2" s="1"/>
  <c r="W526" i="2"/>
  <c r="X526" i="2" s="1"/>
  <c r="W527" i="2"/>
  <c r="X527" i="2" s="1"/>
  <c r="W528" i="2"/>
  <c r="X528" i="2" s="1"/>
  <c r="W529" i="2"/>
  <c r="X529" i="2" s="1"/>
  <c r="W530" i="2"/>
  <c r="X530" i="2" s="1"/>
  <c r="W531" i="2"/>
  <c r="X531" i="2" s="1"/>
  <c r="W532" i="2"/>
  <c r="X532" i="2" s="1"/>
  <c r="W533" i="2"/>
  <c r="X533" i="2" s="1"/>
  <c r="W534" i="2"/>
  <c r="X534" i="2" s="1"/>
  <c r="W535" i="2"/>
  <c r="X535" i="2" s="1"/>
  <c r="W536" i="2"/>
  <c r="X536" i="2" s="1"/>
  <c r="W537" i="2"/>
  <c r="X537" i="2" s="1"/>
  <c r="W538" i="2"/>
  <c r="X538" i="2" s="1"/>
  <c r="W539" i="2"/>
  <c r="X539" i="2" s="1"/>
  <c r="W540" i="2"/>
  <c r="X540" i="2" s="1"/>
  <c r="W541" i="2"/>
  <c r="X541" i="2" s="1"/>
  <c r="W542" i="2"/>
  <c r="X542" i="2" s="1"/>
  <c r="W543" i="2"/>
  <c r="X543" i="2" s="1"/>
  <c r="W544" i="2"/>
  <c r="X544" i="2" s="1"/>
  <c r="W545" i="2"/>
  <c r="X545" i="2" s="1"/>
  <c r="W546" i="2"/>
  <c r="X546" i="2" s="1"/>
  <c r="W547" i="2"/>
  <c r="X547" i="2" s="1"/>
  <c r="W548" i="2"/>
  <c r="X548" i="2" s="1"/>
  <c r="W549" i="2"/>
  <c r="X549" i="2" s="1"/>
  <c r="W550" i="2"/>
  <c r="X550" i="2" s="1"/>
  <c r="W551" i="2"/>
  <c r="X551" i="2" s="1"/>
  <c r="W552" i="2"/>
  <c r="X552" i="2" s="1"/>
  <c r="W553" i="2"/>
  <c r="X553" i="2" s="1"/>
  <c r="W554" i="2"/>
  <c r="X554" i="2" s="1"/>
  <c r="W555" i="2"/>
  <c r="X555" i="2" s="1"/>
  <c r="W556" i="2"/>
  <c r="X556" i="2" s="1"/>
  <c r="W557" i="2"/>
  <c r="X557" i="2" s="1"/>
  <c r="W558" i="2"/>
  <c r="X558" i="2" s="1"/>
  <c r="W559" i="2"/>
  <c r="X559" i="2" s="1"/>
  <c r="W560" i="2"/>
  <c r="X560" i="2" s="1"/>
  <c r="W561" i="2"/>
  <c r="X561" i="2" s="1"/>
  <c r="W562" i="2"/>
  <c r="X562" i="2" s="1"/>
  <c r="W563" i="2"/>
  <c r="X563" i="2" s="1"/>
  <c r="W564" i="2"/>
  <c r="X564" i="2" s="1"/>
  <c r="W565" i="2"/>
  <c r="X565" i="2" s="1"/>
  <c r="W566" i="2"/>
  <c r="X566" i="2" s="1"/>
  <c r="W567" i="2"/>
  <c r="X567" i="2" s="1"/>
  <c r="W568" i="2"/>
  <c r="X568" i="2" s="1"/>
  <c r="W569" i="2"/>
  <c r="X569" i="2" s="1"/>
  <c r="W570" i="2"/>
  <c r="X570" i="2" s="1"/>
  <c r="W571" i="2"/>
  <c r="X571" i="2" s="1"/>
  <c r="W572" i="2"/>
  <c r="X572" i="2" s="1"/>
  <c r="W573" i="2"/>
  <c r="X573" i="2" s="1"/>
  <c r="W574" i="2"/>
  <c r="X574" i="2" s="1"/>
  <c r="W575" i="2"/>
  <c r="X575" i="2" s="1"/>
  <c r="W576" i="2"/>
  <c r="X576" i="2" s="1"/>
  <c r="W577" i="2"/>
  <c r="X577" i="2" s="1"/>
  <c r="W578" i="2"/>
  <c r="X578" i="2" s="1"/>
  <c r="W579" i="2"/>
  <c r="X579" i="2" s="1"/>
  <c r="W580" i="2"/>
  <c r="X580" i="2" s="1"/>
  <c r="W581" i="2"/>
  <c r="X581" i="2" s="1"/>
  <c r="W582" i="2"/>
  <c r="X582" i="2" s="1"/>
  <c r="W583" i="2"/>
  <c r="X583" i="2" s="1"/>
  <c r="W584" i="2"/>
  <c r="X584" i="2" s="1"/>
  <c r="W585" i="2"/>
  <c r="X585" i="2" s="1"/>
  <c r="W586" i="2"/>
  <c r="X586" i="2" s="1"/>
  <c r="W587" i="2"/>
  <c r="X587" i="2" s="1"/>
  <c r="W588" i="2"/>
  <c r="X588" i="2" s="1"/>
  <c r="W589" i="2"/>
  <c r="X589" i="2" s="1"/>
  <c r="W590" i="2"/>
  <c r="X590" i="2" s="1"/>
  <c r="W591" i="2"/>
  <c r="X591" i="2" s="1"/>
  <c r="W592" i="2"/>
  <c r="X592" i="2" s="1"/>
  <c r="W593" i="2"/>
  <c r="X593" i="2" s="1"/>
  <c r="W594" i="2"/>
  <c r="X594" i="2" s="1"/>
  <c r="W595" i="2"/>
  <c r="X595" i="2" s="1"/>
  <c r="W596" i="2"/>
  <c r="X596" i="2" s="1"/>
  <c r="W597" i="2"/>
  <c r="X597" i="2" s="1"/>
  <c r="W598" i="2"/>
  <c r="X598" i="2" s="1"/>
  <c r="W599" i="2"/>
  <c r="X599" i="2" s="1"/>
  <c r="W600" i="2"/>
  <c r="X600" i="2" s="1"/>
  <c r="W601" i="2"/>
  <c r="X601" i="2" s="1"/>
  <c r="W602" i="2"/>
  <c r="X602" i="2" s="1"/>
  <c r="W603" i="2"/>
  <c r="X603" i="2" s="1"/>
  <c r="W604" i="2"/>
  <c r="X604" i="2" s="1"/>
  <c r="W605" i="2"/>
  <c r="X605" i="2" s="1"/>
  <c r="W606" i="2"/>
  <c r="X606" i="2" s="1"/>
  <c r="W607" i="2"/>
  <c r="X607" i="2" s="1"/>
  <c r="W608" i="2"/>
  <c r="X608" i="2" s="1"/>
  <c r="W609" i="2"/>
  <c r="X609" i="2" s="1"/>
  <c r="W610" i="2"/>
  <c r="X610" i="2" s="1"/>
  <c r="W611" i="2"/>
  <c r="X611" i="2" s="1"/>
  <c r="W612" i="2"/>
  <c r="X612" i="2" s="1"/>
  <c r="W613" i="2"/>
  <c r="X613" i="2" s="1"/>
  <c r="W614" i="2"/>
  <c r="X614" i="2" s="1"/>
  <c r="W615" i="2"/>
  <c r="X615" i="2" s="1"/>
  <c r="W616" i="2"/>
  <c r="X616" i="2" s="1"/>
  <c r="W617" i="2"/>
  <c r="X617" i="2" s="1"/>
  <c r="W618" i="2"/>
  <c r="X618" i="2" s="1"/>
  <c r="W619" i="2"/>
  <c r="X619" i="2" s="1"/>
  <c r="W620" i="2"/>
  <c r="X620" i="2" s="1"/>
  <c r="W621" i="2"/>
  <c r="X621" i="2" s="1"/>
  <c r="W622" i="2"/>
  <c r="X622" i="2" s="1"/>
  <c r="W623" i="2"/>
  <c r="X623" i="2" s="1"/>
  <c r="W624" i="2"/>
  <c r="X624" i="2" s="1"/>
  <c r="W625" i="2"/>
  <c r="X625" i="2" s="1"/>
  <c r="W626" i="2"/>
  <c r="X626" i="2" s="1"/>
  <c r="W627" i="2"/>
  <c r="X627" i="2" s="1"/>
  <c r="W628" i="2"/>
  <c r="X628" i="2" s="1"/>
  <c r="W629" i="2"/>
  <c r="X629" i="2" s="1"/>
  <c r="W630" i="2"/>
  <c r="X630" i="2" s="1"/>
  <c r="W631" i="2"/>
  <c r="X631" i="2" s="1"/>
  <c r="W632" i="2"/>
  <c r="X632" i="2" s="1"/>
  <c r="W633" i="2"/>
  <c r="X633" i="2" s="1"/>
  <c r="W634" i="2"/>
  <c r="X634" i="2" s="1"/>
  <c r="W635" i="2"/>
  <c r="X635" i="2" s="1"/>
  <c r="W636" i="2"/>
  <c r="X636" i="2" s="1"/>
  <c r="W637" i="2"/>
  <c r="X637" i="2" s="1"/>
  <c r="W638" i="2"/>
  <c r="X638" i="2" s="1"/>
  <c r="W639" i="2"/>
  <c r="X639" i="2" s="1"/>
  <c r="W640" i="2"/>
  <c r="X640" i="2" s="1"/>
  <c r="W641" i="2"/>
  <c r="X641" i="2" s="1"/>
  <c r="W642" i="2"/>
  <c r="X642" i="2" s="1"/>
  <c r="W643" i="2"/>
  <c r="X643" i="2" s="1"/>
  <c r="W644" i="2"/>
  <c r="X644" i="2" s="1"/>
  <c r="W645" i="2"/>
  <c r="X645" i="2" s="1"/>
  <c r="W646" i="2"/>
  <c r="X646" i="2" s="1"/>
  <c r="W647" i="2"/>
  <c r="X647" i="2" s="1"/>
  <c r="W648" i="2"/>
  <c r="X648" i="2" s="1"/>
  <c r="W649" i="2"/>
  <c r="X649" i="2" s="1"/>
  <c r="W650" i="2"/>
  <c r="X650" i="2" s="1"/>
  <c r="W651" i="2"/>
  <c r="X651" i="2" s="1"/>
  <c r="W652" i="2"/>
  <c r="X652" i="2" s="1"/>
  <c r="W653" i="2"/>
  <c r="X653" i="2" s="1"/>
  <c r="W654" i="2"/>
  <c r="X654" i="2" s="1"/>
  <c r="W655" i="2"/>
  <c r="X655" i="2" s="1"/>
  <c r="W656" i="2"/>
  <c r="X656" i="2" s="1"/>
  <c r="W657" i="2"/>
  <c r="X657" i="2" s="1"/>
  <c r="W658" i="2"/>
  <c r="X658" i="2" s="1"/>
  <c r="W659" i="2"/>
  <c r="X659" i="2" s="1"/>
  <c r="W660" i="2"/>
  <c r="X660" i="2" s="1"/>
  <c r="W661" i="2"/>
  <c r="X661" i="2" s="1"/>
  <c r="W662" i="2"/>
  <c r="X662" i="2" s="1"/>
  <c r="W663" i="2"/>
  <c r="X663" i="2" s="1"/>
  <c r="W664" i="2"/>
  <c r="X664" i="2" s="1"/>
  <c r="W665" i="2"/>
  <c r="X665" i="2" s="1"/>
  <c r="W666" i="2"/>
  <c r="X666" i="2" s="1"/>
  <c r="W667" i="2"/>
  <c r="X667" i="2" s="1"/>
  <c r="W668" i="2"/>
  <c r="X668" i="2" s="1"/>
  <c r="W669" i="2"/>
  <c r="X669" i="2" s="1"/>
  <c r="W670" i="2"/>
  <c r="X670" i="2" s="1"/>
  <c r="W671" i="2"/>
  <c r="X671" i="2" s="1"/>
  <c r="W672" i="2"/>
  <c r="X672" i="2" s="1"/>
  <c r="W673" i="2"/>
  <c r="X673" i="2" s="1"/>
  <c r="W674" i="2"/>
  <c r="X674" i="2" s="1"/>
  <c r="W675" i="2"/>
  <c r="X675" i="2" s="1"/>
  <c r="W676" i="2"/>
  <c r="X676" i="2" s="1"/>
  <c r="W677" i="2"/>
  <c r="X677" i="2" s="1"/>
  <c r="W678" i="2"/>
  <c r="X678" i="2" s="1"/>
  <c r="W679" i="2"/>
  <c r="X679" i="2" s="1"/>
  <c r="W680" i="2"/>
  <c r="X680" i="2" s="1"/>
  <c r="W681" i="2"/>
  <c r="X681" i="2" s="1"/>
  <c r="W682" i="2"/>
  <c r="X682" i="2" s="1"/>
  <c r="W683" i="2"/>
  <c r="X683" i="2" s="1"/>
  <c r="W684" i="2"/>
  <c r="X684" i="2" s="1"/>
  <c r="W685" i="2"/>
  <c r="X685" i="2" s="1"/>
  <c r="W686" i="2"/>
  <c r="X686" i="2" s="1"/>
  <c r="W687" i="2"/>
  <c r="X687" i="2" s="1"/>
  <c r="W688" i="2"/>
  <c r="X688" i="2" s="1"/>
  <c r="W689" i="2"/>
  <c r="X689" i="2" s="1"/>
  <c r="W690" i="2"/>
  <c r="X690" i="2" s="1"/>
  <c r="W691" i="2"/>
  <c r="X691" i="2" s="1"/>
  <c r="W692" i="2"/>
  <c r="X692" i="2" s="1"/>
  <c r="W693" i="2"/>
  <c r="X693" i="2" s="1"/>
  <c r="W694" i="2"/>
  <c r="X694" i="2" s="1"/>
  <c r="W695" i="2"/>
  <c r="X695" i="2" s="1"/>
  <c r="W696" i="2"/>
  <c r="X696" i="2" s="1"/>
  <c r="W697" i="2"/>
  <c r="X697" i="2" s="1"/>
  <c r="W698" i="2"/>
  <c r="X698" i="2" s="1"/>
  <c r="W699" i="2"/>
  <c r="X699" i="2" s="1"/>
  <c r="W700" i="2"/>
  <c r="X700" i="2" s="1"/>
  <c r="W701" i="2"/>
  <c r="X701" i="2" s="1"/>
  <c r="W702" i="2"/>
  <c r="X702" i="2" s="1"/>
  <c r="W703" i="2"/>
  <c r="X703" i="2" s="1"/>
  <c r="W704" i="2"/>
  <c r="X704" i="2" s="1"/>
  <c r="W705" i="2"/>
  <c r="X705" i="2" s="1"/>
  <c r="W706" i="2"/>
  <c r="X706" i="2" s="1"/>
  <c r="W707" i="2"/>
  <c r="X707" i="2" s="1"/>
  <c r="W708" i="2"/>
  <c r="X708" i="2" s="1"/>
  <c r="W709" i="2"/>
  <c r="X709" i="2" s="1"/>
  <c r="W710" i="2"/>
  <c r="X710" i="2" s="1"/>
  <c r="W711" i="2"/>
  <c r="X711" i="2" s="1"/>
  <c r="W712" i="2"/>
  <c r="X712" i="2" s="1"/>
  <c r="W713" i="2"/>
  <c r="X713" i="2" s="1"/>
  <c r="W714" i="2"/>
  <c r="X714" i="2" s="1"/>
  <c r="W715" i="2"/>
  <c r="X715" i="2" s="1"/>
  <c r="W716" i="2"/>
  <c r="X716" i="2" s="1"/>
  <c r="W717" i="2"/>
  <c r="X717" i="2" s="1"/>
  <c r="W718" i="2"/>
  <c r="X718" i="2" s="1"/>
  <c r="W719" i="2"/>
  <c r="X719" i="2" s="1"/>
  <c r="W720" i="2"/>
  <c r="X720" i="2" s="1"/>
  <c r="W721" i="2"/>
  <c r="X721" i="2" s="1"/>
  <c r="W722" i="2"/>
  <c r="X722" i="2" s="1"/>
  <c r="W723" i="2"/>
  <c r="X723" i="2" s="1"/>
  <c r="W724" i="2"/>
  <c r="X724" i="2" s="1"/>
  <c r="W725" i="2"/>
  <c r="X725" i="2" s="1"/>
  <c r="W726" i="2"/>
  <c r="X726" i="2" s="1"/>
  <c r="W727" i="2"/>
  <c r="X727" i="2" s="1"/>
  <c r="W728" i="2"/>
  <c r="X728" i="2" s="1"/>
  <c r="W729" i="2"/>
  <c r="X729" i="2" s="1"/>
  <c r="W730" i="2"/>
  <c r="X730" i="2" s="1"/>
  <c r="W731" i="2"/>
  <c r="X731" i="2" s="1"/>
  <c r="W732" i="2"/>
  <c r="X732" i="2" s="1"/>
  <c r="W733" i="2"/>
  <c r="X733" i="2" s="1"/>
  <c r="W734" i="2"/>
  <c r="X734" i="2" s="1"/>
  <c r="W735" i="2"/>
  <c r="X735" i="2" s="1"/>
  <c r="W736" i="2"/>
  <c r="X736" i="2" s="1"/>
  <c r="W737" i="2"/>
  <c r="X737" i="2" s="1"/>
  <c r="W738" i="2"/>
  <c r="X738" i="2" s="1"/>
  <c r="W739" i="2"/>
  <c r="X739" i="2" s="1"/>
  <c r="W740" i="2"/>
  <c r="X740" i="2" s="1"/>
  <c r="W741" i="2"/>
  <c r="X741" i="2" s="1"/>
  <c r="W742" i="2"/>
  <c r="X742" i="2" s="1"/>
  <c r="W743" i="2"/>
  <c r="X743" i="2" s="1"/>
  <c r="W744" i="2"/>
  <c r="X744" i="2" s="1"/>
  <c r="W745" i="2"/>
  <c r="X745" i="2" s="1"/>
  <c r="W746" i="2"/>
  <c r="X746" i="2" s="1"/>
  <c r="W747" i="2"/>
  <c r="X747" i="2" s="1"/>
  <c r="W748" i="2"/>
  <c r="X748" i="2" s="1"/>
  <c r="W749" i="2"/>
  <c r="X749" i="2" s="1"/>
  <c r="W750" i="2"/>
  <c r="X750" i="2" s="1"/>
  <c r="W751" i="2"/>
  <c r="X751" i="2" s="1"/>
  <c r="W752" i="2"/>
  <c r="X752" i="2" s="1"/>
  <c r="W753" i="2"/>
  <c r="X753" i="2" s="1"/>
  <c r="W754" i="2"/>
  <c r="X754" i="2" s="1"/>
  <c r="W755" i="2"/>
  <c r="X755" i="2" s="1"/>
  <c r="W756" i="2"/>
  <c r="X756" i="2" s="1"/>
  <c r="W757" i="2"/>
  <c r="X757" i="2" s="1"/>
  <c r="W758" i="2"/>
  <c r="X758" i="2" s="1"/>
  <c r="W759" i="2"/>
  <c r="X759" i="2" s="1"/>
  <c r="W760" i="2"/>
  <c r="X760" i="2" s="1"/>
  <c r="W761" i="2"/>
  <c r="X761" i="2" s="1"/>
  <c r="W762" i="2"/>
  <c r="X762" i="2" s="1"/>
  <c r="W763" i="2"/>
  <c r="X763" i="2" s="1"/>
  <c r="W764" i="2"/>
  <c r="X764" i="2" s="1"/>
  <c r="W765" i="2"/>
  <c r="X765" i="2" s="1"/>
  <c r="W766" i="2"/>
  <c r="X766" i="2" s="1"/>
  <c r="W767" i="2"/>
  <c r="X767" i="2" s="1"/>
  <c r="W768" i="2"/>
  <c r="X768" i="2" s="1"/>
  <c r="W769" i="2"/>
  <c r="X769" i="2" s="1"/>
  <c r="W770" i="2"/>
  <c r="X770" i="2" s="1"/>
  <c r="W771" i="2"/>
  <c r="X771" i="2" s="1"/>
  <c r="W772" i="2"/>
  <c r="X772" i="2" s="1"/>
  <c r="W773" i="2"/>
  <c r="X773" i="2" s="1"/>
  <c r="W774" i="2"/>
  <c r="X774" i="2" s="1"/>
  <c r="W775" i="2"/>
  <c r="X775" i="2" s="1"/>
  <c r="W776" i="2"/>
  <c r="X776" i="2" s="1"/>
  <c r="W777" i="2"/>
  <c r="X777" i="2" s="1"/>
  <c r="W778" i="2"/>
  <c r="X778" i="2" s="1"/>
  <c r="W779" i="2"/>
  <c r="X779" i="2" s="1"/>
  <c r="W780" i="2"/>
  <c r="X780" i="2" s="1"/>
  <c r="W781" i="2"/>
  <c r="X781" i="2" s="1"/>
  <c r="W782" i="2"/>
  <c r="X782" i="2" s="1"/>
  <c r="W783" i="2"/>
  <c r="X783" i="2" s="1"/>
  <c r="W784" i="2"/>
  <c r="X784" i="2" s="1"/>
  <c r="W785" i="2"/>
  <c r="X785" i="2" s="1"/>
  <c r="W786" i="2"/>
  <c r="X786" i="2" s="1"/>
  <c r="W787" i="2"/>
  <c r="X787" i="2" s="1"/>
  <c r="W788" i="2"/>
  <c r="X788" i="2" s="1"/>
  <c r="W789" i="2"/>
  <c r="X789" i="2" s="1"/>
  <c r="W790" i="2"/>
  <c r="X790" i="2" s="1"/>
  <c r="W791" i="2"/>
  <c r="X791" i="2" s="1"/>
  <c r="W792" i="2"/>
  <c r="X792" i="2" s="1"/>
  <c r="W793" i="2"/>
  <c r="X793" i="2" s="1"/>
  <c r="W794" i="2"/>
  <c r="X794" i="2" s="1"/>
  <c r="W795" i="2"/>
  <c r="X795" i="2" s="1"/>
  <c r="W796" i="2"/>
  <c r="X796" i="2" s="1"/>
  <c r="W797" i="2"/>
  <c r="X797" i="2" s="1"/>
  <c r="W798" i="2"/>
  <c r="X798" i="2" s="1"/>
  <c r="W799" i="2"/>
  <c r="X799" i="2" s="1"/>
  <c r="W800" i="2"/>
  <c r="X800" i="2" s="1"/>
  <c r="W801" i="2"/>
  <c r="X801" i="2" s="1"/>
  <c r="W802" i="2"/>
  <c r="X802" i="2" s="1"/>
  <c r="W803" i="2"/>
  <c r="X803" i="2" s="1"/>
  <c r="W804" i="2"/>
  <c r="X804" i="2" s="1"/>
  <c r="W805" i="2"/>
  <c r="X805" i="2" s="1"/>
  <c r="W806" i="2"/>
  <c r="X806" i="2" s="1"/>
  <c r="W807" i="2"/>
  <c r="X807" i="2" s="1"/>
  <c r="W808" i="2"/>
  <c r="X808" i="2" s="1"/>
  <c r="W809" i="2"/>
  <c r="X809" i="2" s="1"/>
  <c r="W810" i="2"/>
  <c r="X810" i="2" s="1"/>
  <c r="W811" i="2"/>
  <c r="X811" i="2" s="1"/>
  <c r="W812" i="2"/>
  <c r="X812" i="2" s="1"/>
  <c r="W813" i="2"/>
  <c r="X813" i="2" s="1"/>
  <c r="W814" i="2"/>
  <c r="X814" i="2" s="1"/>
  <c r="W815" i="2"/>
  <c r="X815" i="2" s="1"/>
  <c r="W816" i="2"/>
  <c r="X816" i="2" s="1"/>
  <c r="W817" i="2"/>
  <c r="X817" i="2" s="1"/>
  <c r="W818" i="2"/>
  <c r="X818" i="2" s="1"/>
  <c r="W819" i="2"/>
  <c r="X819" i="2" s="1"/>
  <c r="W820" i="2"/>
  <c r="X820" i="2" s="1"/>
  <c r="W821" i="2"/>
  <c r="X821" i="2" s="1"/>
  <c r="W822" i="2"/>
  <c r="X822" i="2" s="1"/>
  <c r="W823" i="2"/>
  <c r="X823" i="2" s="1"/>
  <c r="W824" i="2"/>
  <c r="X824" i="2" s="1"/>
  <c r="W825" i="2"/>
  <c r="X825" i="2" s="1"/>
  <c r="W826" i="2"/>
  <c r="X826" i="2" s="1"/>
  <c r="W827" i="2"/>
  <c r="X827" i="2" s="1"/>
  <c r="W828" i="2"/>
  <c r="X828" i="2" s="1"/>
  <c r="W829" i="2"/>
  <c r="X829" i="2" s="1"/>
  <c r="W830" i="2"/>
  <c r="X830" i="2" s="1"/>
  <c r="W831" i="2"/>
  <c r="X831" i="2" s="1"/>
  <c r="W832" i="2"/>
  <c r="X832" i="2" s="1"/>
  <c r="W833" i="2"/>
  <c r="X833" i="2" s="1"/>
  <c r="W834" i="2"/>
  <c r="X834" i="2" s="1"/>
  <c r="W835" i="2"/>
  <c r="X835" i="2" s="1"/>
  <c r="W836" i="2"/>
  <c r="X836" i="2" s="1"/>
  <c r="W837" i="2"/>
  <c r="X837" i="2" s="1"/>
  <c r="W838" i="2"/>
  <c r="X838" i="2" s="1"/>
  <c r="W839" i="2"/>
  <c r="X839" i="2" s="1"/>
  <c r="W840" i="2"/>
  <c r="X840" i="2" s="1"/>
  <c r="W841" i="2"/>
  <c r="X841" i="2" s="1"/>
  <c r="W842" i="2"/>
  <c r="X842" i="2" s="1"/>
  <c r="W843" i="2"/>
  <c r="X843" i="2" s="1"/>
  <c r="W844" i="2"/>
  <c r="X844" i="2" s="1"/>
  <c r="W845" i="2"/>
  <c r="X845" i="2" s="1"/>
  <c r="W846" i="2"/>
  <c r="X846" i="2" s="1"/>
  <c r="W847" i="2"/>
  <c r="X847" i="2" s="1"/>
  <c r="W848" i="2"/>
  <c r="X848" i="2" s="1"/>
  <c r="W849" i="2"/>
  <c r="X849" i="2" s="1"/>
  <c r="W850" i="2"/>
  <c r="X850" i="2" s="1"/>
  <c r="W851" i="2"/>
  <c r="X851" i="2" s="1"/>
  <c r="W852" i="2"/>
  <c r="X852" i="2" s="1"/>
  <c r="W853" i="2"/>
  <c r="X853" i="2" s="1"/>
  <c r="W854" i="2"/>
  <c r="X854" i="2" s="1"/>
  <c r="W855" i="2"/>
  <c r="X855" i="2" s="1"/>
  <c r="W856" i="2"/>
  <c r="X856" i="2" s="1"/>
  <c r="W857" i="2"/>
  <c r="X857" i="2" s="1"/>
  <c r="W858" i="2"/>
  <c r="X858" i="2" s="1"/>
  <c r="W859" i="2"/>
  <c r="X859" i="2" s="1"/>
  <c r="W860" i="2"/>
  <c r="X860" i="2" s="1"/>
  <c r="W861" i="2"/>
  <c r="X861" i="2" s="1"/>
  <c r="W862" i="2"/>
  <c r="X862" i="2" s="1"/>
  <c r="W863" i="2"/>
  <c r="X863" i="2" s="1"/>
  <c r="W864" i="2"/>
  <c r="X864" i="2" s="1"/>
  <c r="W865" i="2"/>
  <c r="X865" i="2" s="1"/>
  <c r="W866" i="2"/>
  <c r="X866" i="2" s="1"/>
  <c r="W867" i="2"/>
  <c r="X867" i="2" s="1"/>
  <c r="W868" i="2"/>
  <c r="X868" i="2" s="1"/>
  <c r="W869" i="2"/>
  <c r="X869" i="2" s="1"/>
  <c r="W870" i="2"/>
  <c r="X870" i="2" s="1"/>
  <c r="W871" i="2"/>
  <c r="X871" i="2" s="1"/>
  <c r="W872" i="2"/>
  <c r="X872" i="2" s="1"/>
  <c r="W873" i="2"/>
  <c r="X873" i="2" s="1"/>
  <c r="W874" i="2"/>
  <c r="X874" i="2" s="1"/>
  <c r="W875" i="2"/>
  <c r="X875" i="2" s="1"/>
  <c r="W876" i="2"/>
  <c r="X876" i="2" s="1"/>
  <c r="W877" i="2"/>
  <c r="X877" i="2" s="1"/>
  <c r="W878" i="2"/>
  <c r="X878" i="2" s="1"/>
  <c r="W879" i="2"/>
  <c r="X879" i="2" s="1"/>
  <c r="W880" i="2"/>
  <c r="X880" i="2" s="1"/>
  <c r="W881" i="2"/>
  <c r="X881" i="2" s="1"/>
  <c r="W882" i="2"/>
  <c r="X882" i="2" s="1"/>
  <c r="W883" i="2"/>
  <c r="X883" i="2" s="1"/>
  <c r="W884" i="2"/>
  <c r="X884" i="2" s="1"/>
  <c r="W885" i="2"/>
  <c r="X885" i="2" s="1"/>
  <c r="W886" i="2"/>
  <c r="X886" i="2" s="1"/>
  <c r="W887" i="2"/>
  <c r="X887" i="2" s="1"/>
  <c r="W888" i="2"/>
  <c r="X888" i="2" s="1"/>
  <c r="W889" i="2"/>
  <c r="X889" i="2" s="1"/>
  <c r="W890" i="2"/>
  <c r="X890" i="2" s="1"/>
  <c r="W891" i="2"/>
  <c r="X891" i="2" s="1"/>
  <c r="W892" i="2"/>
  <c r="X892" i="2" s="1"/>
  <c r="W893" i="2"/>
  <c r="X893" i="2" s="1"/>
  <c r="W894" i="2"/>
  <c r="X894" i="2" s="1"/>
  <c r="W895" i="2"/>
  <c r="X895" i="2" s="1"/>
  <c r="W896" i="2"/>
  <c r="X896" i="2" s="1"/>
  <c r="W897" i="2"/>
  <c r="X897" i="2" s="1"/>
  <c r="W898" i="2"/>
  <c r="X898" i="2" s="1"/>
  <c r="W899" i="2"/>
  <c r="X899" i="2" s="1"/>
  <c r="W900" i="2"/>
  <c r="X900" i="2" s="1"/>
  <c r="W901" i="2"/>
  <c r="X901" i="2" s="1"/>
  <c r="W902" i="2"/>
  <c r="X902" i="2" s="1"/>
  <c r="W903" i="2"/>
  <c r="X903" i="2" s="1"/>
  <c r="W904" i="2"/>
  <c r="X904" i="2" s="1"/>
  <c r="W905" i="2"/>
  <c r="X905" i="2" s="1"/>
  <c r="W906" i="2"/>
  <c r="X906" i="2" s="1"/>
  <c r="W907" i="2"/>
  <c r="X907" i="2" s="1"/>
  <c r="W908" i="2"/>
  <c r="X908" i="2" s="1"/>
  <c r="W909" i="2"/>
  <c r="X909" i="2" s="1"/>
  <c r="W910" i="2"/>
  <c r="X910" i="2" s="1"/>
  <c r="W911" i="2"/>
  <c r="X911" i="2" s="1"/>
  <c r="W912" i="2"/>
  <c r="X912" i="2" s="1"/>
  <c r="W913" i="2"/>
  <c r="X913" i="2" s="1"/>
  <c r="W914" i="2"/>
  <c r="X914" i="2" s="1"/>
  <c r="W915" i="2"/>
  <c r="X915" i="2" s="1"/>
  <c r="W916" i="2"/>
  <c r="X916" i="2" s="1"/>
  <c r="W917" i="2"/>
  <c r="X917" i="2" s="1"/>
  <c r="W918" i="2"/>
  <c r="X918" i="2" s="1"/>
  <c r="W919" i="2"/>
  <c r="X919" i="2" s="1"/>
  <c r="W920" i="2"/>
  <c r="X920" i="2" s="1"/>
  <c r="W921" i="2"/>
  <c r="X921" i="2" s="1"/>
  <c r="W922" i="2"/>
  <c r="X922" i="2" s="1"/>
  <c r="W923" i="2"/>
  <c r="X923" i="2" s="1"/>
  <c r="W924" i="2"/>
  <c r="X924" i="2" s="1"/>
  <c r="W925" i="2"/>
  <c r="X925" i="2" s="1"/>
  <c r="W926" i="2"/>
  <c r="X926" i="2" s="1"/>
  <c r="W927" i="2"/>
  <c r="X927" i="2" s="1"/>
  <c r="W928" i="2"/>
  <c r="X928" i="2" s="1"/>
  <c r="W929" i="2"/>
  <c r="X929" i="2" s="1"/>
  <c r="W930" i="2"/>
  <c r="X930" i="2" s="1"/>
  <c r="W931" i="2"/>
  <c r="X931" i="2" s="1"/>
  <c r="W932" i="2"/>
  <c r="X932" i="2" s="1"/>
  <c r="W933" i="2"/>
  <c r="X933" i="2" s="1"/>
  <c r="W934" i="2"/>
  <c r="X934" i="2" s="1"/>
  <c r="W935" i="2"/>
  <c r="X935" i="2" s="1"/>
  <c r="W936" i="2"/>
  <c r="X936" i="2" s="1"/>
  <c r="W937" i="2"/>
  <c r="X937" i="2" s="1"/>
  <c r="W938" i="2"/>
  <c r="X938" i="2" s="1"/>
  <c r="W939" i="2"/>
  <c r="X939" i="2" s="1"/>
  <c r="W940" i="2"/>
  <c r="X940" i="2" s="1"/>
  <c r="W941" i="2"/>
  <c r="X941" i="2" s="1"/>
  <c r="W942" i="2"/>
  <c r="X942" i="2" s="1"/>
  <c r="W943" i="2"/>
  <c r="X943" i="2" s="1"/>
  <c r="W944" i="2"/>
  <c r="X944" i="2" s="1"/>
  <c r="W945" i="2"/>
  <c r="X945" i="2" s="1"/>
  <c r="W946" i="2"/>
  <c r="X946" i="2" s="1"/>
  <c r="W947" i="2"/>
  <c r="X947" i="2" s="1"/>
  <c r="W948" i="2"/>
  <c r="X948" i="2" s="1"/>
  <c r="W949" i="2"/>
  <c r="X949" i="2" s="1"/>
  <c r="W950" i="2"/>
  <c r="X950" i="2" s="1"/>
  <c r="W951" i="2"/>
  <c r="X951" i="2" s="1"/>
  <c r="W952" i="2"/>
  <c r="X952" i="2" s="1"/>
  <c r="W953" i="2"/>
  <c r="X953" i="2" s="1"/>
  <c r="W954" i="2"/>
  <c r="X954" i="2" s="1"/>
  <c r="W955" i="2"/>
  <c r="X955" i="2" s="1"/>
  <c r="W956" i="2"/>
  <c r="X956" i="2" s="1"/>
  <c r="W957" i="2"/>
  <c r="X957" i="2" s="1"/>
  <c r="W958" i="2"/>
  <c r="X958" i="2" s="1"/>
  <c r="W959" i="2"/>
  <c r="X959" i="2" s="1"/>
  <c r="W960" i="2"/>
  <c r="X960" i="2" s="1"/>
  <c r="W961" i="2"/>
  <c r="X961" i="2" s="1"/>
  <c r="W962" i="2"/>
  <c r="X962" i="2" s="1"/>
  <c r="W963" i="2"/>
  <c r="X963" i="2" s="1"/>
  <c r="W964" i="2"/>
  <c r="X964" i="2" s="1"/>
  <c r="W965" i="2"/>
  <c r="X965" i="2" s="1"/>
  <c r="W966" i="2"/>
  <c r="X966" i="2" s="1"/>
  <c r="W967" i="2"/>
  <c r="X967" i="2" s="1"/>
  <c r="W968" i="2"/>
  <c r="X968" i="2" s="1"/>
  <c r="W969" i="2"/>
  <c r="X969" i="2" s="1"/>
  <c r="W970" i="2"/>
  <c r="X970" i="2" s="1"/>
  <c r="W971" i="2"/>
  <c r="X971" i="2" s="1"/>
  <c r="W972" i="2"/>
  <c r="X972" i="2" s="1"/>
  <c r="W973" i="2"/>
  <c r="X973" i="2" s="1"/>
  <c r="W974" i="2"/>
  <c r="X974" i="2" s="1"/>
  <c r="W975" i="2"/>
  <c r="X975" i="2" s="1"/>
  <c r="W976" i="2"/>
  <c r="X976" i="2" s="1"/>
  <c r="W977" i="2"/>
  <c r="X977" i="2" s="1"/>
  <c r="W978" i="2"/>
  <c r="X978" i="2" s="1"/>
  <c r="W979" i="2"/>
  <c r="X979" i="2" s="1"/>
  <c r="W980" i="2"/>
  <c r="X980" i="2" s="1"/>
  <c r="W981" i="2"/>
  <c r="X981" i="2" s="1"/>
  <c r="W982" i="2"/>
  <c r="X982" i="2" s="1"/>
  <c r="W983" i="2"/>
  <c r="X983" i="2" s="1"/>
  <c r="W984" i="2"/>
  <c r="X984" i="2" s="1"/>
  <c r="W985" i="2"/>
  <c r="X985" i="2" s="1"/>
  <c r="W986" i="2"/>
  <c r="X986" i="2" s="1"/>
  <c r="W987" i="2"/>
  <c r="X987" i="2" s="1"/>
  <c r="W988" i="2"/>
  <c r="X988" i="2" s="1"/>
  <c r="W989" i="2"/>
  <c r="X989" i="2" s="1"/>
  <c r="W990" i="2"/>
  <c r="X990" i="2" s="1"/>
  <c r="W991" i="2"/>
  <c r="X991" i="2" s="1"/>
  <c r="W992" i="2"/>
  <c r="X992" i="2" s="1"/>
  <c r="W993" i="2"/>
  <c r="X993" i="2" s="1"/>
  <c r="W994" i="2"/>
  <c r="X994" i="2" s="1"/>
  <c r="W995" i="2"/>
  <c r="X995" i="2" s="1"/>
  <c r="W996" i="2"/>
  <c r="X996" i="2" s="1"/>
  <c r="W997" i="2"/>
  <c r="X997" i="2" s="1"/>
  <c r="W998" i="2"/>
  <c r="X998" i="2" s="1"/>
  <c r="W999" i="2"/>
  <c r="X999" i="2" s="1"/>
  <c r="W1000" i="2"/>
  <c r="X1000" i="2" s="1"/>
  <c r="W1001" i="2"/>
  <c r="X1001" i="2" s="1"/>
  <c r="W1002" i="2"/>
  <c r="X1002" i="2" s="1"/>
  <c r="W1003" i="2"/>
  <c r="X1003" i="2" s="1"/>
  <c r="W1004" i="2"/>
  <c r="X1004" i="2" s="1"/>
  <c r="W1005" i="2"/>
  <c r="X1005" i="2" s="1"/>
  <c r="W1006" i="2"/>
  <c r="X1006" i="2" s="1"/>
  <c r="W1007" i="2"/>
  <c r="X1007" i="2" s="1"/>
  <c r="W1008" i="2"/>
  <c r="X1008" i="2" s="1"/>
  <c r="W1009" i="2"/>
  <c r="X1009" i="2" s="1"/>
  <c r="W1010" i="2"/>
  <c r="X1010" i="2" s="1"/>
  <c r="W1011" i="2"/>
  <c r="X1011" i="2" s="1"/>
  <c r="W1012" i="2"/>
  <c r="X1012" i="2" s="1"/>
  <c r="W1013" i="2"/>
  <c r="X1013" i="2" s="1"/>
  <c r="W1014" i="2"/>
  <c r="X1014" i="2" s="1"/>
  <c r="W1015" i="2"/>
  <c r="X1015" i="2" s="1"/>
  <c r="W1016" i="2"/>
  <c r="X1016" i="2" s="1"/>
  <c r="W1017" i="2"/>
  <c r="X1017" i="2" s="1"/>
  <c r="W1018" i="2"/>
  <c r="X1018" i="2" s="1"/>
  <c r="W1019" i="2"/>
  <c r="X1019" i="2" s="1"/>
  <c r="W1020" i="2"/>
  <c r="X1020" i="2" s="1"/>
  <c r="W1021" i="2"/>
  <c r="X1021" i="2" s="1"/>
  <c r="W1022" i="2"/>
  <c r="X1022" i="2" s="1"/>
  <c r="W1023" i="2"/>
  <c r="X1023" i="2" s="1"/>
  <c r="W1024" i="2"/>
  <c r="X1024" i="2" s="1"/>
  <c r="W1025" i="2"/>
  <c r="X1025" i="2" s="1"/>
  <c r="W1026" i="2"/>
  <c r="X1026" i="2" s="1"/>
  <c r="W1027" i="2"/>
  <c r="X1027" i="2" s="1"/>
  <c r="W1028" i="2"/>
  <c r="X1028" i="2" s="1"/>
  <c r="W1029" i="2"/>
  <c r="X1029" i="2" s="1"/>
  <c r="W1030" i="2"/>
  <c r="X1030" i="2" s="1"/>
  <c r="W1031" i="2"/>
  <c r="X1031" i="2" s="1"/>
  <c r="W1032" i="2"/>
  <c r="X1032" i="2" s="1"/>
  <c r="W1033" i="2"/>
  <c r="X1033" i="2" s="1"/>
  <c r="W1034" i="2"/>
  <c r="X1034" i="2" s="1"/>
  <c r="W1035" i="2"/>
  <c r="X1035" i="2" s="1"/>
  <c r="W1036" i="2"/>
  <c r="X1036" i="2" s="1"/>
  <c r="W1037" i="2"/>
  <c r="X1037" i="2" s="1"/>
  <c r="W1038" i="2"/>
  <c r="X1038" i="2" s="1"/>
  <c r="W1039" i="2"/>
  <c r="X1039" i="2" s="1"/>
  <c r="W1040" i="2"/>
  <c r="X1040" i="2" s="1"/>
  <c r="W1041" i="2"/>
  <c r="X1041" i="2" s="1"/>
  <c r="W1042" i="2"/>
  <c r="X1042" i="2" s="1"/>
  <c r="W1043" i="2"/>
  <c r="X1043" i="2" s="1"/>
  <c r="W1044" i="2"/>
  <c r="X1044" i="2" s="1"/>
  <c r="W1045" i="2"/>
  <c r="X1045" i="2" s="1"/>
  <c r="W1046" i="2"/>
  <c r="X1046" i="2" s="1"/>
  <c r="W1047" i="2"/>
  <c r="X1047" i="2" s="1"/>
  <c r="W1048" i="2"/>
  <c r="X1048" i="2" s="1"/>
  <c r="W1049" i="2"/>
  <c r="X1049" i="2" s="1"/>
  <c r="W1050" i="2"/>
  <c r="X1050" i="2" s="1"/>
  <c r="W1051" i="2"/>
  <c r="X1051" i="2" s="1"/>
  <c r="W1052" i="2"/>
  <c r="X1052" i="2" s="1"/>
  <c r="W1053" i="2"/>
  <c r="X1053" i="2" s="1"/>
  <c r="W1054" i="2"/>
  <c r="X1054" i="2" s="1"/>
  <c r="W1055" i="2"/>
  <c r="X1055" i="2" s="1"/>
  <c r="W1056" i="2"/>
  <c r="X1056" i="2" s="1"/>
  <c r="W1057" i="2"/>
  <c r="X1057" i="2" s="1"/>
  <c r="W1058" i="2"/>
  <c r="X1058" i="2" s="1"/>
  <c r="W1059" i="2"/>
  <c r="X1059" i="2" s="1"/>
  <c r="W1060" i="2"/>
  <c r="X1060" i="2" s="1"/>
  <c r="W1061" i="2"/>
  <c r="X1061" i="2" s="1"/>
  <c r="W1062" i="2"/>
  <c r="X1062" i="2" s="1"/>
  <c r="W1063" i="2"/>
  <c r="X1063" i="2" s="1"/>
  <c r="W1064" i="2"/>
  <c r="X1064" i="2" s="1"/>
  <c r="W1065" i="2"/>
  <c r="X1065" i="2" s="1"/>
  <c r="W1066" i="2"/>
  <c r="X1066" i="2" s="1"/>
  <c r="W1067" i="2"/>
  <c r="X1067" i="2" s="1"/>
  <c r="W1068" i="2"/>
  <c r="X1068" i="2" s="1"/>
  <c r="W1069" i="2"/>
  <c r="X1069" i="2" s="1"/>
  <c r="W1070" i="2"/>
  <c r="X1070" i="2" s="1"/>
  <c r="W1071" i="2"/>
  <c r="X1071" i="2" s="1"/>
  <c r="W1072" i="2"/>
  <c r="X1072" i="2" s="1"/>
  <c r="W1073" i="2"/>
  <c r="X1073" i="2" s="1"/>
  <c r="W1074" i="2"/>
  <c r="X1074" i="2" s="1"/>
  <c r="W1075" i="2"/>
  <c r="X1075" i="2" s="1"/>
  <c r="W1076" i="2"/>
  <c r="X1076" i="2" s="1"/>
  <c r="W1077" i="2"/>
  <c r="X1077" i="2" s="1"/>
  <c r="W1078" i="2"/>
  <c r="X1078" i="2" s="1"/>
  <c r="W1079" i="2"/>
  <c r="X1079" i="2" s="1"/>
  <c r="W1080" i="2"/>
  <c r="X1080" i="2" s="1"/>
  <c r="W1081" i="2"/>
  <c r="X1081" i="2" s="1"/>
  <c r="W1082" i="2"/>
  <c r="X1082" i="2" s="1"/>
  <c r="W1083" i="2"/>
  <c r="X1083" i="2" s="1"/>
  <c r="W1084" i="2"/>
  <c r="X1084" i="2" s="1"/>
  <c r="W1085" i="2"/>
  <c r="X1085" i="2" s="1"/>
  <c r="W1086" i="2"/>
  <c r="X1086" i="2" s="1"/>
  <c r="W1087" i="2"/>
  <c r="X1087" i="2" s="1"/>
  <c r="W1088" i="2"/>
  <c r="X1088" i="2" s="1"/>
  <c r="W1089" i="2"/>
  <c r="X1089" i="2" s="1"/>
  <c r="W1090" i="2"/>
  <c r="X1090" i="2" s="1"/>
  <c r="W1091" i="2"/>
  <c r="X1091" i="2" s="1"/>
  <c r="W1092" i="2"/>
  <c r="X1092" i="2" s="1"/>
  <c r="W1093" i="2"/>
  <c r="X1093" i="2" s="1"/>
  <c r="W1094" i="2"/>
  <c r="X1094" i="2" s="1"/>
  <c r="W1095" i="2"/>
  <c r="X1095" i="2" s="1"/>
  <c r="W1096" i="2"/>
  <c r="X1096" i="2" s="1"/>
  <c r="W1097" i="2"/>
  <c r="X1097" i="2" s="1"/>
  <c r="W1098" i="2"/>
  <c r="X1098" i="2" s="1"/>
  <c r="W1099" i="2"/>
  <c r="X1099" i="2" s="1"/>
  <c r="W1100" i="2"/>
  <c r="X1100" i="2" s="1"/>
  <c r="W1101" i="2"/>
  <c r="X1101" i="2" s="1"/>
  <c r="W1102" i="2"/>
  <c r="X1102" i="2" s="1"/>
  <c r="W1103" i="2"/>
  <c r="X1103" i="2" s="1"/>
  <c r="W1104" i="2"/>
  <c r="X1104" i="2" s="1"/>
  <c r="W1105" i="2"/>
  <c r="X1105" i="2" s="1"/>
  <c r="W1106" i="2"/>
  <c r="X1106" i="2" s="1"/>
  <c r="W1107" i="2"/>
  <c r="X1107" i="2" s="1"/>
  <c r="W1108" i="2"/>
  <c r="X1108" i="2" s="1"/>
  <c r="W1109" i="2"/>
  <c r="X1109" i="2" s="1"/>
  <c r="W1110" i="2"/>
  <c r="X1110" i="2" s="1"/>
  <c r="W1111" i="2"/>
  <c r="X1111" i="2" s="1"/>
  <c r="W1112" i="2"/>
  <c r="X1112" i="2" s="1"/>
  <c r="W1113" i="2"/>
  <c r="X1113" i="2" s="1"/>
  <c r="W1114" i="2"/>
  <c r="X1114" i="2" s="1"/>
  <c r="W1115" i="2"/>
  <c r="X1115" i="2" s="1"/>
  <c r="W1116" i="2"/>
  <c r="X1116" i="2" s="1"/>
  <c r="W1117" i="2"/>
  <c r="X1117" i="2" s="1"/>
  <c r="W1118" i="2"/>
  <c r="X1118" i="2" s="1"/>
  <c r="W1119" i="2"/>
  <c r="X1119" i="2" s="1"/>
  <c r="W1120" i="2"/>
  <c r="X1120" i="2" s="1"/>
  <c r="W1121" i="2"/>
  <c r="X1121" i="2" s="1"/>
  <c r="W1122" i="2"/>
  <c r="X1122" i="2" s="1"/>
  <c r="W1123" i="2"/>
  <c r="X1123" i="2" s="1"/>
  <c r="W1124" i="2"/>
  <c r="X1124" i="2" s="1"/>
  <c r="W1125" i="2"/>
  <c r="X1125" i="2" s="1"/>
  <c r="W1126" i="2"/>
  <c r="X1126" i="2" s="1"/>
  <c r="W1127" i="2"/>
  <c r="X1127" i="2" s="1"/>
  <c r="W1128" i="2"/>
  <c r="X1128" i="2" s="1"/>
  <c r="W1129" i="2"/>
  <c r="X1129" i="2" s="1"/>
  <c r="W1130" i="2"/>
  <c r="X1130" i="2" s="1"/>
  <c r="W1131" i="2"/>
  <c r="X1131" i="2" s="1"/>
  <c r="W1132" i="2"/>
  <c r="X1132" i="2" s="1"/>
  <c r="W1133" i="2"/>
  <c r="X1133" i="2" s="1"/>
  <c r="W1134" i="2"/>
  <c r="X1134" i="2" s="1"/>
  <c r="W1135" i="2"/>
  <c r="X1135" i="2" s="1"/>
  <c r="W1136" i="2"/>
  <c r="X1136" i="2" s="1"/>
  <c r="W1137" i="2"/>
  <c r="X1137" i="2" s="1"/>
  <c r="W1138" i="2"/>
  <c r="X1138" i="2" s="1"/>
  <c r="W1139" i="2"/>
  <c r="X1139" i="2" s="1"/>
  <c r="W1140" i="2"/>
  <c r="X1140" i="2" s="1"/>
  <c r="W1141" i="2"/>
  <c r="X1141" i="2" s="1"/>
  <c r="W1142" i="2"/>
  <c r="X1142" i="2" s="1"/>
  <c r="W1143" i="2"/>
  <c r="X1143" i="2" s="1"/>
  <c r="W1144" i="2"/>
  <c r="X1144" i="2" s="1"/>
  <c r="W1145" i="2"/>
  <c r="X1145" i="2" s="1"/>
  <c r="W1146" i="2"/>
  <c r="X1146" i="2" s="1"/>
  <c r="W1147" i="2"/>
  <c r="X1147" i="2" s="1"/>
  <c r="W1148" i="2"/>
  <c r="X1148" i="2" s="1"/>
  <c r="W1149" i="2"/>
  <c r="X1149" i="2" s="1"/>
  <c r="W1150" i="2"/>
  <c r="X1150" i="2" s="1"/>
  <c r="W1151" i="2"/>
  <c r="X1151" i="2" s="1"/>
  <c r="W1152" i="2"/>
  <c r="X1152" i="2" s="1"/>
  <c r="W1153" i="2"/>
  <c r="X1153" i="2" s="1"/>
  <c r="W1154" i="2"/>
  <c r="X1154" i="2" s="1"/>
  <c r="W1155" i="2"/>
  <c r="X1155" i="2" s="1"/>
  <c r="W1156" i="2"/>
  <c r="X1156" i="2" s="1"/>
  <c r="W1157" i="2"/>
  <c r="X1157" i="2" s="1"/>
  <c r="W1158" i="2"/>
  <c r="X1158" i="2" s="1"/>
  <c r="W1159" i="2"/>
  <c r="X1159" i="2" s="1"/>
  <c r="W1160" i="2"/>
  <c r="X1160" i="2" s="1"/>
  <c r="W1161" i="2"/>
  <c r="X1161" i="2" s="1"/>
  <c r="W1162" i="2"/>
  <c r="X1162" i="2" s="1"/>
  <c r="W1163" i="2"/>
  <c r="X1163" i="2" s="1"/>
  <c r="W1164" i="2"/>
  <c r="X1164" i="2" s="1"/>
  <c r="W1165" i="2"/>
  <c r="X1165" i="2" s="1"/>
  <c r="W1166" i="2"/>
  <c r="X1166" i="2" s="1"/>
  <c r="W1167" i="2"/>
  <c r="X1167" i="2" s="1"/>
  <c r="W1168" i="2"/>
  <c r="X1168" i="2" s="1"/>
  <c r="W1169" i="2"/>
  <c r="X1169" i="2" s="1"/>
  <c r="W1170" i="2"/>
  <c r="X1170" i="2" s="1"/>
  <c r="W1171" i="2"/>
  <c r="X1171" i="2" s="1"/>
  <c r="W1172" i="2"/>
  <c r="X1172" i="2" s="1"/>
  <c r="W1173" i="2"/>
  <c r="X1173" i="2" s="1"/>
  <c r="W1174" i="2"/>
  <c r="X1174" i="2" s="1"/>
  <c r="W1175" i="2"/>
  <c r="X1175" i="2" s="1"/>
  <c r="W1176" i="2"/>
  <c r="X1176" i="2" s="1"/>
  <c r="W1177" i="2"/>
  <c r="X1177" i="2" s="1"/>
  <c r="W1178" i="2"/>
  <c r="X1178" i="2" s="1"/>
  <c r="W1179" i="2"/>
  <c r="X1179" i="2" s="1"/>
  <c r="W1180" i="2"/>
  <c r="X1180" i="2" s="1"/>
  <c r="W1181" i="2"/>
  <c r="X1181" i="2" s="1"/>
  <c r="W1182" i="2"/>
  <c r="X1182" i="2" s="1"/>
  <c r="W1183" i="2"/>
  <c r="X1183" i="2" s="1"/>
  <c r="W1184" i="2"/>
  <c r="X1184" i="2" s="1"/>
  <c r="W1185" i="2"/>
  <c r="X1185" i="2" s="1"/>
  <c r="W1186" i="2"/>
  <c r="X1186" i="2" s="1"/>
  <c r="W1187" i="2"/>
  <c r="X1187" i="2" s="1"/>
  <c r="W1188" i="2"/>
  <c r="X1188" i="2" s="1"/>
  <c r="W1189" i="2"/>
  <c r="X1189" i="2" s="1"/>
  <c r="W1190" i="2"/>
  <c r="X1190" i="2" s="1"/>
  <c r="W1191" i="2"/>
  <c r="X1191" i="2" s="1"/>
  <c r="W1192" i="2"/>
  <c r="X1192" i="2" s="1"/>
  <c r="W1193" i="2"/>
  <c r="X1193" i="2" s="1"/>
  <c r="W1194" i="2"/>
  <c r="X1194" i="2" s="1"/>
  <c r="W1195" i="2"/>
  <c r="X1195" i="2" s="1"/>
  <c r="W1196" i="2"/>
  <c r="X1196" i="2" s="1"/>
  <c r="W1197" i="2"/>
  <c r="X1197" i="2" s="1"/>
  <c r="W1198" i="2"/>
  <c r="X1198" i="2" s="1"/>
  <c r="W1199" i="2"/>
  <c r="X1199" i="2" s="1"/>
  <c r="W1200" i="2"/>
  <c r="X1200" i="2" s="1"/>
  <c r="W1201" i="2"/>
  <c r="X1201" i="2" s="1"/>
  <c r="W1202" i="2"/>
  <c r="X1202" i="2" s="1"/>
  <c r="W1203" i="2"/>
  <c r="X1203" i="2" s="1"/>
  <c r="W1204" i="2"/>
  <c r="X1204" i="2" s="1"/>
  <c r="W1205" i="2"/>
  <c r="X1205" i="2" s="1"/>
  <c r="W1206" i="2"/>
  <c r="X1206" i="2" s="1"/>
  <c r="W1207" i="2"/>
  <c r="X1207" i="2" s="1"/>
  <c r="W1208" i="2"/>
  <c r="X1208" i="2" s="1"/>
  <c r="W1209" i="2"/>
  <c r="X1209" i="2" s="1"/>
  <c r="W1210" i="2"/>
  <c r="X1210" i="2" s="1"/>
  <c r="W1211" i="2"/>
  <c r="X1211" i="2" s="1"/>
  <c r="W1212" i="2"/>
  <c r="X1212" i="2" s="1"/>
  <c r="W1213" i="2"/>
  <c r="X1213" i="2" s="1"/>
  <c r="W1214" i="2"/>
  <c r="X1214" i="2" s="1"/>
  <c r="W1215" i="2"/>
  <c r="X1215" i="2" s="1"/>
  <c r="W1216" i="2"/>
  <c r="X1216" i="2" s="1"/>
  <c r="W1217" i="2"/>
  <c r="X1217" i="2" s="1"/>
  <c r="W1218" i="2"/>
  <c r="X1218" i="2" s="1"/>
  <c r="W1219" i="2"/>
  <c r="X1219" i="2" s="1"/>
  <c r="W1220" i="2"/>
  <c r="X1220" i="2" s="1"/>
  <c r="W1221" i="2"/>
  <c r="X1221" i="2" s="1"/>
  <c r="W1222" i="2"/>
  <c r="X1222" i="2" s="1"/>
  <c r="W1223" i="2"/>
  <c r="X1223" i="2" s="1"/>
  <c r="W1224" i="2"/>
  <c r="X1224" i="2" s="1"/>
  <c r="W1225" i="2"/>
  <c r="X1225" i="2" s="1"/>
  <c r="W1226" i="2"/>
  <c r="X1226" i="2" s="1"/>
  <c r="W1227" i="2"/>
  <c r="X1227" i="2" s="1"/>
  <c r="W1228" i="2"/>
  <c r="X1228" i="2" s="1"/>
  <c r="W1229" i="2"/>
  <c r="X1229" i="2" s="1"/>
  <c r="W1230" i="2"/>
  <c r="X1230" i="2" s="1"/>
  <c r="W1231" i="2"/>
  <c r="X1231" i="2" s="1"/>
  <c r="W1232" i="2"/>
  <c r="X1232" i="2" s="1"/>
  <c r="W1233" i="2"/>
  <c r="X1233" i="2" s="1"/>
  <c r="W1234" i="2"/>
  <c r="X1234" i="2" s="1"/>
  <c r="W1235" i="2"/>
  <c r="X1235" i="2" s="1"/>
  <c r="W1236" i="2"/>
  <c r="X1236" i="2" s="1"/>
  <c r="W1237" i="2"/>
  <c r="X1237" i="2" s="1"/>
  <c r="W1238" i="2"/>
  <c r="X1238" i="2" s="1"/>
  <c r="W1239" i="2"/>
  <c r="X1239" i="2" s="1"/>
  <c r="W1240" i="2"/>
  <c r="X1240" i="2" s="1"/>
  <c r="W1241" i="2"/>
  <c r="X1241" i="2" s="1"/>
  <c r="W1242" i="2"/>
  <c r="X1242" i="2" s="1"/>
  <c r="W1243" i="2"/>
  <c r="X1243" i="2" s="1"/>
  <c r="W1244" i="2"/>
  <c r="X1244" i="2" s="1"/>
  <c r="W1245" i="2"/>
  <c r="X1245" i="2" s="1"/>
  <c r="W1246" i="2"/>
  <c r="X1246" i="2" s="1"/>
  <c r="W1247" i="2"/>
  <c r="X1247" i="2" s="1"/>
  <c r="W1248" i="2"/>
  <c r="X1248" i="2" s="1"/>
  <c r="W1249" i="2"/>
  <c r="X1249" i="2" s="1"/>
  <c r="W1250" i="2"/>
  <c r="X1250" i="2" s="1"/>
  <c r="W1251" i="2"/>
  <c r="X1251" i="2" s="1"/>
  <c r="W1252" i="2"/>
  <c r="X1252" i="2" s="1"/>
  <c r="W1253" i="2"/>
  <c r="X1253" i="2" s="1"/>
  <c r="W1254" i="2"/>
  <c r="X1254" i="2" s="1"/>
  <c r="W1255" i="2"/>
  <c r="X1255" i="2" s="1"/>
  <c r="W1256" i="2"/>
  <c r="X1256" i="2" s="1"/>
  <c r="W1257" i="2"/>
  <c r="X1257" i="2" s="1"/>
  <c r="W1258" i="2"/>
  <c r="X1258" i="2" s="1"/>
  <c r="W1259" i="2"/>
  <c r="X1259" i="2" s="1"/>
  <c r="W1260" i="2"/>
  <c r="X1260" i="2" s="1"/>
  <c r="W1261" i="2"/>
  <c r="X1261" i="2" s="1"/>
  <c r="W1262" i="2"/>
  <c r="X1262" i="2" s="1"/>
  <c r="W1263" i="2"/>
  <c r="X1263" i="2" s="1"/>
  <c r="W1264" i="2"/>
  <c r="X1264" i="2" s="1"/>
  <c r="W1265" i="2"/>
  <c r="X1265" i="2" s="1"/>
  <c r="W1266" i="2"/>
  <c r="X1266" i="2" s="1"/>
  <c r="W1267" i="2"/>
  <c r="X1267" i="2" s="1"/>
  <c r="W1268" i="2"/>
  <c r="X1268" i="2" s="1"/>
  <c r="W1269" i="2"/>
  <c r="X1269" i="2" s="1"/>
  <c r="W1270" i="2"/>
  <c r="X1270" i="2" s="1"/>
  <c r="W1271" i="2"/>
  <c r="X1271" i="2" s="1"/>
  <c r="W1272" i="2"/>
  <c r="X1272" i="2" s="1"/>
  <c r="W1273" i="2"/>
  <c r="X1273" i="2" s="1"/>
  <c r="W1274" i="2"/>
  <c r="X1274" i="2" s="1"/>
  <c r="W1275" i="2"/>
  <c r="X1275" i="2" s="1"/>
  <c r="W1276" i="2"/>
  <c r="X1276" i="2" s="1"/>
  <c r="W1277" i="2"/>
  <c r="X1277" i="2" s="1"/>
  <c r="W1278" i="2"/>
  <c r="X1278" i="2" s="1"/>
  <c r="W1279" i="2"/>
  <c r="X1279" i="2" s="1"/>
  <c r="W1280" i="2"/>
  <c r="X1280" i="2" s="1"/>
  <c r="W1281" i="2"/>
  <c r="X1281" i="2" s="1"/>
  <c r="W1282" i="2"/>
  <c r="X1282" i="2" s="1"/>
  <c r="W1283" i="2"/>
  <c r="X1283" i="2" s="1"/>
  <c r="W1284" i="2"/>
  <c r="X1284" i="2" s="1"/>
  <c r="W1285" i="2"/>
  <c r="X1285" i="2" s="1"/>
  <c r="W1286" i="2"/>
  <c r="X1286" i="2" s="1"/>
  <c r="W1287" i="2"/>
  <c r="X1287" i="2" s="1"/>
  <c r="W1288" i="2"/>
  <c r="X1288" i="2" s="1"/>
  <c r="W1289" i="2"/>
  <c r="X1289" i="2" s="1"/>
  <c r="W1290" i="2"/>
  <c r="X1290" i="2" s="1"/>
  <c r="W1291" i="2"/>
  <c r="X1291" i="2" s="1"/>
  <c r="W1292" i="2"/>
  <c r="X1292" i="2" s="1"/>
  <c r="W1293" i="2"/>
  <c r="X1293" i="2" s="1"/>
  <c r="W1294" i="2"/>
  <c r="X1294" i="2" s="1"/>
  <c r="W1295" i="2"/>
  <c r="X1295" i="2" s="1"/>
  <c r="W1296" i="2"/>
  <c r="X1296" i="2" s="1"/>
  <c r="W1297" i="2"/>
  <c r="X1297" i="2" s="1"/>
  <c r="W1298" i="2"/>
  <c r="X1298" i="2" s="1"/>
  <c r="W1299" i="2"/>
  <c r="X1299" i="2" s="1"/>
  <c r="W1300" i="2"/>
  <c r="X1300" i="2" s="1"/>
  <c r="W1301" i="2"/>
  <c r="X1301" i="2" s="1"/>
  <c r="W1302" i="2"/>
  <c r="X1302" i="2" s="1"/>
  <c r="W1303" i="2"/>
  <c r="X1303" i="2" s="1"/>
  <c r="W1304" i="2"/>
  <c r="X1304" i="2" s="1"/>
  <c r="W1305" i="2"/>
  <c r="X1305" i="2" s="1"/>
  <c r="W1306" i="2"/>
  <c r="X1306" i="2" s="1"/>
  <c r="W1307" i="2"/>
  <c r="X1307" i="2" s="1"/>
  <c r="W1308" i="2"/>
  <c r="X1308" i="2" s="1"/>
  <c r="W1309" i="2"/>
  <c r="X1309" i="2" s="1"/>
  <c r="W1310" i="2"/>
  <c r="X1310" i="2" s="1"/>
  <c r="W1311" i="2"/>
  <c r="X1311" i="2" s="1"/>
  <c r="W1312" i="2"/>
  <c r="X1312" i="2" s="1"/>
  <c r="W1313" i="2"/>
  <c r="X1313" i="2" s="1"/>
  <c r="W1314" i="2"/>
  <c r="X1314" i="2" s="1"/>
  <c r="W1315" i="2"/>
  <c r="X1315" i="2" s="1"/>
  <c r="W1316" i="2"/>
  <c r="X1316" i="2" s="1"/>
  <c r="W1317" i="2"/>
  <c r="X1317" i="2" s="1"/>
  <c r="W1318" i="2"/>
  <c r="X1318" i="2" s="1"/>
  <c r="W1319" i="2"/>
  <c r="X1319" i="2" s="1"/>
  <c r="W1320" i="2"/>
  <c r="X1320" i="2" s="1"/>
  <c r="W1321" i="2"/>
  <c r="X1321" i="2" s="1"/>
  <c r="W1322" i="2"/>
  <c r="X1322" i="2" s="1"/>
  <c r="W1323" i="2"/>
  <c r="X1323" i="2" s="1"/>
  <c r="W1324" i="2"/>
  <c r="X1324" i="2" s="1"/>
  <c r="W1325" i="2"/>
  <c r="X1325" i="2" s="1"/>
  <c r="W1326" i="2"/>
  <c r="X1326" i="2" s="1"/>
  <c r="W1327" i="2"/>
  <c r="X1327" i="2" s="1"/>
  <c r="W1328" i="2"/>
  <c r="X1328" i="2" s="1"/>
  <c r="W1329" i="2"/>
  <c r="X1329" i="2" s="1"/>
  <c r="W1330" i="2"/>
  <c r="X1330" i="2" s="1"/>
  <c r="W1331" i="2"/>
  <c r="X1331" i="2" s="1"/>
  <c r="W1332" i="2"/>
  <c r="X1332" i="2" s="1"/>
  <c r="W1333" i="2"/>
  <c r="X1333" i="2" s="1"/>
  <c r="W1334" i="2"/>
  <c r="X1334" i="2" s="1"/>
  <c r="W1335" i="2"/>
  <c r="X1335" i="2" s="1"/>
  <c r="W1336" i="2"/>
  <c r="X1336" i="2" s="1"/>
  <c r="W1337" i="2"/>
  <c r="X1337" i="2" s="1"/>
  <c r="W1338" i="2"/>
  <c r="X1338" i="2" s="1"/>
  <c r="W1339" i="2"/>
  <c r="X1339" i="2" s="1"/>
  <c r="W1340" i="2"/>
  <c r="X1340" i="2" s="1"/>
  <c r="W1341" i="2"/>
  <c r="X1341" i="2" s="1"/>
  <c r="W1342" i="2"/>
  <c r="X1342" i="2" s="1"/>
  <c r="W1343" i="2"/>
  <c r="X1343" i="2" s="1"/>
  <c r="W1344" i="2"/>
  <c r="X1344" i="2" s="1"/>
  <c r="W1345" i="2"/>
  <c r="X1345" i="2" s="1"/>
  <c r="W1346" i="2"/>
  <c r="X1346" i="2" s="1"/>
  <c r="W1347" i="2"/>
  <c r="X1347" i="2" s="1"/>
  <c r="W1348" i="2"/>
  <c r="X1348" i="2" s="1"/>
  <c r="W1349" i="2"/>
  <c r="X1349" i="2" s="1"/>
  <c r="W1350" i="2"/>
  <c r="X1350" i="2" s="1"/>
  <c r="W1351" i="2"/>
  <c r="X1351" i="2" s="1"/>
  <c r="W1352" i="2"/>
  <c r="X1352" i="2" s="1"/>
  <c r="W1353" i="2"/>
  <c r="X1353" i="2" s="1"/>
  <c r="W1354" i="2"/>
  <c r="X1354" i="2" s="1"/>
  <c r="W1355" i="2"/>
  <c r="X1355" i="2" s="1"/>
  <c r="W1356" i="2"/>
  <c r="X1356" i="2" s="1"/>
  <c r="W1357" i="2"/>
  <c r="X1357" i="2" s="1"/>
  <c r="W1358" i="2"/>
  <c r="X1358" i="2" s="1"/>
  <c r="W1359" i="2"/>
  <c r="X1359" i="2" s="1"/>
  <c r="W1360" i="2"/>
  <c r="X1360" i="2" s="1"/>
  <c r="W1361" i="2"/>
  <c r="X1361" i="2" s="1"/>
  <c r="W1362" i="2"/>
  <c r="X1362" i="2" s="1"/>
  <c r="W1363" i="2"/>
  <c r="X1363" i="2" s="1"/>
  <c r="W1364" i="2"/>
  <c r="X1364" i="2" s="1"/>
  <c r="W1365" i="2"/>
  <c r="X1365" i="2" s="1"/>
  <c r="W1366" i="2"/>
  <c r="X1366" i="2" s="1"/>
  <c r="W1367" i="2"/>
  <c r="X1367" i="2" s="1"/>
  <c r="W1368" i="2"/>
  <c r="X1368" i="2" s="1"/>
  <c r="W1369" i="2"/>
  <c r="X1369" i="2" s="1"/>
  <c r="W1370" i="2"/>
  <c r="X1370" i="2" s="1"/>
  <c r="W1371" i="2"/>
  <c r="X1371" i="2" s="1"/>
  <c r="W1372" i="2"/>
  <c r="X1372" i="2" s="1"/>
  <c r="W1373" i="2"/>
  <c r="X1373" i="2" s="1"/>
  <c r="W1374" i="2"/>
  <c r="X1374" i="2" s="1"/>
  <c r="W1375" i="2"/>
  <c r="X1375" i="2" s="1"/>
  <c r="W1376" i="2"/>
  <c r="X1376" i="2" s="1"/>
  <c r="W1377" i="2"/>
  <c r="X1377" i="2" s="1"/>
  <c r="W1378" i="2"/>
  <c r="X1378" i="2" s="1"/>
  <c r="W1379" i="2"/>
  <c r="X1379" i="2" s="1"/>
  <c r="W1380" i="2"/>
  <c r="X1380" i="2" s="1"/>
  <c r="W1381" i="2"/>
  <c r="X1381" i="2" s="1"/>
  <c r="W1382" i="2"/>
  <c r="X1382" i="2" s="1"/>
  <c r="W1383" i="2"/>
  <c r="X1383" i="2" s="1"/>
  <c r="W1384" i="2"/>
  <c r="X1384" i="2" s="1"/>
  <c r="W1385" i="2"/>
  <c r="X1385" i="2" s="1"/>
  <c r="W1386" i="2"/>
  <c r="X1386" i="2" s="1"/>
  <c r="W1387" i="2"/>
  <c r="X1387" i="2" s="1"/>
  <c r="W1388" i="2"/>
  <c r="X1388" i="2" s="1"/>
  <c r="W1389" i="2"/>
  <c r="X1389" i="2" s="1"/>
  <c r="W1390" i="2"/>
  <c r="X1390" i="2" s="1"/>
  <c r="W1391" i="2"/>
  <c r="X1391" i="2" s="1"/>
  <c r="W1392" i="2"/>
  <c r="X1392" i="2" s="1"/>
  <c r="W1393" i="2"/>
  <c r="X1393" i="2" s="1"/>
  <c r="W1394" i="2"/>
  <c r="X1394" i="2" s="1"/>
  <c r="W1395" i="2"/>
  <c r="X1395" i="2" s="1"/>
  <c r="W1396" i="2"/>
  <c r="X1396" i="2" s="1"/>
  <c r="W1397" i="2"/>
  <c r="X1397" i="2" s="1"/>
  <c r="W1398" i="2"/>
  <c r="X1398" i="2" s="1"/>
  <c r="W1399" i="2"/>
  <c r="X1399" i="2" s="1"/>
  <c r="W1400" i="2"/>
  <c r="X1400" i="2" s="1"/>
  <c r="W1401" i="2"/>
  <c r="X1401" i="2" s="1"/>
  <c r="W1402" i="2"/>
  <c r="X1402" i="2" s="1"/>
  <c r="W1403" i="2"/>
  <c r="X1403" i="2" s="1"/>
  <c r="W1404" i="2"/>
  <c r="X1404" i="2" s="1"/>
  <c r="W1405" i="2"/>
  <c r="X1405" i="2" s="1"/>
  <c r="W1406" i="2"/>
  <c r="X1406" i="2" s="1"/>
  <c r="W1407" i="2"/>
  <c r="X1407" i="2" s="1"/>
  <c r="W1408" i="2"/>
  <c r="X1408" i="2" s="1"/>
  <c r="W1409" i="2"/>
  <c r="X1409" i="2" s="1"/>
  <c r="W1410" i="2"/>
  <c r="X1410" i="2" s="1"/>
  <c r="W1411" i="2"/>
  <c r="X1411" i="2" s="1"/>
  <c r="W1412" i="2"/>
  <c r="X1412" i="2" s="1"/>
  <c r="W1413" i="2"/>
  <c r="X1413" i="2" s="1"/>
  <c r="W1414" i="2"/>
  <c r="X1414" i="2" s="1"/>
  <c r="W1415" i="2"/>
  <c r="X1415" i="2" s="1"/>
  <c r="W1416" i="2"/>
  <c r="X1416" i="2" s="1"/>
  <c r="W1417" i="2"/>
  <c r="X1417" i="2" s="1"/>
  <c r="W1418" i="2"/>
  <c r="X1418" i="2" s="1"/>
  <c r="W1419" i="2"/>
  <c r="X1419" i="2" s="1"/>
  <c r="W1420" i="2"/>
  <c r="X1420" i="2" s="1"/>
  <c r="W1421" i="2"/>
  <c r="X1421" i="2" s="1"/>
  <c r="W1422" i="2"/>
  <c r="X1422" i="2" s="1"/>
  <c r="W1423" i="2"/>
  <c r="X1423" i="2" s="1"/>
  <c r="W1424" i="2"/>
  <c r="X1424" i="2" s="1"/>
  <c r="W1425" i="2"/>
  <c r="X1425" i="2" s="1"/>
  <c r="W1426" i="2"/>
  <c r="X1426" i="2" s="1"/>
  <c r="W1427" i="2"/>
  <c r="X1427" i="2" s="1"/>
  <c r="W1428" i="2"/>
  <c r="X1428" i="2" s="1"/>
  <c r="W1429" i="2"/>
  <c r="X1429" i="2" s="1"/>
  <c r="W1430" i="2"/>
  <c r="X1430" i="2" s="1"/>
  <c r="W1431" i="2"/>
  <c r="X1431" i="2" s="1"/>
  <c r="W1432" i="2"/>
  <c r="X1432" i="2" s="1"/>
  <c r="W1433" i="2"/>
  <c r="X1433" i="2" s="1"/>
  <c r="W1434" i="2"/>
  <c r="X1434" i="2" s="1"/>
  <c r="W1435" i="2"/>
  <c r="X1435" i="2" s="1"/>
  <c r="W1436" i="2"/>
  <c r="X1436" i="2" s="1"/>
  <c r="W1437" i="2"/>
  <c r="X1437" i="2" s="1"/>
  <c r="W1438" i="2"/>
  <c r="X1438" i="2" s="1"/>
  <c r="W1439" i="2"/>
  <c r="X1439" i="2" s="1"/>
  <c r="W1440" i="2"/>
  <c r="X1440" i="2" s="1"/>
  <c r="W1441" i="2"/>
  <c r="X1441" i="2" s="1"/>
  <c r="W1442" i="2"/>
  <c r="X1442" i="2" s="1"/>
  <c r="W1443" i="2"/>
  <c r="X1443" i="2" s="1"/>
  <c r="W1444" i="2"/>
  <c r="X1444" i="2" s="1"/>
  <c r="W1445" i="2"/>
  <c r="X1445" i="2" s="1"/>
  <c r="W1446" i="2"/>
  <c r="X1446" i="2" s="1"/>
  <c r="W1447" i="2"/>
  <c r="X1447" i="2" s="1"/>
  <c r="W1448" i="2"/>
  <c r="X1448" i="2" s="1"/>
  <c r="W1449" i="2"/>
  <c r="X1449" i="2" s="1"/>
  <c r="W1450" i="2"/>
  <c r="X1450" i="2" s="1"/>
  <c r="W1451" i="2"/>
  <c r="X1451" i="2" s="1"/>
  <c r="W1452" i="2"/>
  <c r="X1452" i="2" s="1"/>
  <c r="W1453" i="2"/>
  <c r="X1453" i="2" s="1"/>
  <c r="W1454" i="2"/>
  <c r="X1454" i="2" s="1"/>
  <c r="W1455" i="2"/>
  <c r="X1455" i="2" s="1"/>
  <c r="W1456" i="2"/>
  <c r="X1456" i="2" s="1"/>
  <c r="W1457" i="2"/>
  <c r="X1457" i="2" s="1"/>
  <c r="W1458" i="2"/>
  <c r="X1458" i="2" s="1"/>
  <c r="W1459" i="2"/>
  <c r="X1459" i="2" s="1"/>
  <c r="W1460" i="2"/>
  <c r="X1460" i="2" s="1"/>
  <c r="W1461" i="2"/>
  <c r="X1461" i="2" s="1"/>
  <c r="W1462" i="2"/>
  <c r="X1462" i="2" s="1"/>
  <c r="W1463" i="2"/>
  <c r="X1463" i="2" s="1"/>
  <c r="W1464" i="2"/>
  <c r="X1464" i="2" s="1"/>
  <c r="W1465" i="2"/>
  <c r="X1465" i="2" s="1"/>
  <c r="W1466" i="2"/>
  <c r="X1466" i="2" s="1"/>
  <c r="W1467" i="2"/>
  <c r="X1467" i="2" s="1"/>
  <c r="W1468" i="2"/>
  <c r="X1468" i="2" s="1"/>
  <c r="W1469" i="2"/>
  <c r="X1469" i="2" s="1"/>
  <c r="W1470" i="2"/>
  <c r="X1470" i="2" s="1"/>
  <c r="W1471" i="2"/>
  <c r="X1471" i="2" s="1"/>
  <c r="W1472" i="2"/>
  <c r="X1472" i="2" s="1"/>
  <c r="W1473" i="2"/>
  <c r="X1473" i="2" s="1"/>
  <c r="W1474" i="2"/>
  <c r="X1474" i="2" s="1"/>
  <c r="W1475" i="2"/>
  <c r="X1475" i="2" s="1"/>
  <c r="W1476" i="2"/>
  <c r="X1476" i="2" s="1"/>
  <c r="W1477" i="2"/>
  <c r="X1477" i="2" s="1"/>
  <c r="W1478" i="2"/>
  <c r="X1478" i="2" s="1"/>
  <c r="W1479" i="2"/>
  <c r="X1479" i="2" s="1"/>
  <c r="W1480" i="2"/>
  <c r="X1480" i="2" s="1"/>
  <c r="W1481" i="2"/>
  <c r="X1481" i="2" s="1"/>
  <c r="W1482" i="2"/>
  <c r="X1482" i="2" s="1"/>
  <c r="W1483" i="2"/>
  <c r="X1483" i="2" s="1"/>
  <c r="W1484" i="2"/>
  <c r="X1484" i="2" s="1"/>
  <c r="W1485" i="2"/>
  <c r="X1485" i="2" s="1"/>
  <c r="W1486" i="2"/>
  <c r="X1486" i="2" s="1"/>
  <c r="W1487" i="2"/>
  <c r="X1487" i="2" s="1"/>
  <c r="W1488" i="2"/>
  <c r="X1488" i="2" s="1"/>
  <c r="W1489" i="2"/>
  <c r="X1489" i="2" s="1"/>
  <c r="W1490" i="2"/>
  <c r="X1490" i="2" s="1"/>
  <c r="W1491" i="2"/>
  <c r="X1491" i="2" s="1"/>
  <c r="W1492" i="2"/>
  <c r="X1492" i="2" s="1"/>
  <c r="W1493" i="2"/>
  <c r="X1493" i="2" s="1"/>
  <c r="W1494" i="2"/>
  <c r="X1494" i="2" s="1"/>
  <c r="W1495" i="2"/>
  <c r="X1495" i="2" s="1"/>
  <c r="W1496" i="2"/>
  <c r="X1496" i="2" s="1"/>
  <c r="W1497" i="2"/>
  <c r="X1497" i="2" s="1"/>
  <c r="W1498" i="2"/>
  <c r="X1498" i="2" s="1"/>
  <c r="W1499" i="2"/>
  <c r="X1499" i="2" s="1"/>
  <c r="W1500" i="2"/>
  <c r="X1500" i="2" s="1"/>
  <c r="W1501" i="2"/>
  <c r="X1501" i="2" s="1"/>
  <c r="W1502" i="2"/>
  <c r="X1502" i="2" s="1"/>
  <c r="W1503" i="2"/>
  <c r="X1503" i="2" s="1"/>
  <c r="W1504" i="2"/>
  <c r="X1504" i="2" s="1"/>
  <c r="W1505" i="2"/>
  <c r="X1505" i="2" s="1"/>
  <c r="W1506" i="2"/>
  <c r="X1506" i="2" s="1"/>
  <c r="W1507" i="2"/>
  <c r="X1507" i="2" s="1"/>
  <c r="W1508" i="2"/>
  <c r="X1508" i="2" s="1"/>
  <c r="W1509" i="2"/>
  <c r="X1509" i="2" s="1"/>
  <c r="W1510" i="2"/>
  <c r="X1510" i="2" s="1"/>
  <c r="W1511" i="2"/>
  <c r="X1511" i="2" s="1"/>
  <c r="W1512" i="2"/>
  <c r="X1512" i="2" s="1"/>
  <c r="W1513" i="2"/>
  <c r="X1513" i="2" s="1"/>
  <c r="W1514" i="2"/>
  <c r="X1514" i="2" s="1"/>
  <c r="W1515" i="2"/>
  <c r="X1515" i="2" s="1"/>
  <c r="W1516" i="2"/>
  <c r="X1516" i="2" s="1"/>
  <c r="W1517" i="2"/>
  <c r="X1517" i="2" s="1"/>
  <c r="W1518" i="2"/>
  <c r="X1518" i="2" s="1"/>
  <c r="W1519" i="2"/>
  <c r="X1519" i="2" s="1"/>
  <c r="W1520" i="2"/>
  <c r="X1520" i="2" s="1"/>
  <c r="W1521" i="2"/>
  <c r="X1521" i="2" s="1"/>
  <c r="W1522" i="2"/>
  <c r="X1522" i="2" s="1"/>
  <c r="W1523" i="2"/>
  <c r="X1523" i="2" s="1"/>
  <c r="W1524" i="2"/>
  <c r="X1524" i="2" s="1"/>
  <c r="W1525" i="2"/>
  <c r="X1525" i="2" s="1"/>
  <c r="W1526" i="2"/>
  <c r="X1526" i="2" s="1"/>
  <c r="W1527" i="2"/>
  <c r="X1527" i="2" s="1"/>
  <c r="W1528" i="2"/>
  <c r="X1528" i="2" s="1"/>
  <c r="W1529" i="2"/>
  <c r="X1529" i="2" s="1"/>
  <c r="W1530" i="2"/>
  <c r="X1530" i="2" s="1"/>
  <c r="W2" i="2"/>
  <c r="X2" i="2" s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7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4" i="2"/>
  <c r="U66" i="2"/>
  <c r="U67" i="2"/>
  <c r="U68" i="2"/>
  <c r="U69" i="2"/>
  <c r="U70" i="2"/>
  <c r="U71" i="2"/>
  <c r="U72" i="2"/>
  <c r="U73" i="2"/>
  <c r="U74" i="2"/>
  <c r="U75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8" i="2"/>
  <c r="U99" i="2"/>
  <c r="U100" i="2"/>
  <c r="U101" i="2"/>
  <c r="U102" i="2"/>
  <c r="U103" i="2"/>
  <c r="U104" i="2"/>
  <c r="U105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30" i="2"/>
  <c r="U131" i="2"/>
  <c r="U132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5" i="2"/>
  <c r="U186" i="2"/>
  <c r="U187" i="2"/>
  <c r="U188" i="2"/>
  <c r="U189" i="2"/>
  <c r="U190" i="2"/>
  <c r="U191" i="2"/>
  <c r="U192" i="2"/>
  <c r="U194" i="2"/>
  <c r="U195" i="2"/>
  <c r="U196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4" i="2"/>
  <c r="U225" i="2"/>
  <c r="U226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8" i="2"/>
  <c r="U259" i="2"/>
  <c r="U260" i="2"/>
  <c r="U261" i="2"/>
  <c r="U262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7" i="2"/>
  <c r="U308" i="2"/>
  <c r="U309" i="2"/>
  <c r="U310" i="2"/>
  <c r="U312" i="2"/>
  <c r="U313" i="2"/>
  <c r="U314" i="2"/>
  <c r="U315" i="2"/>
  <c r="U316" i="2"/>
  <c r="U317" i="2"/>
  <c r="U318" i="2"/>
  <c r="U319" i="2"/>
  <c r="U321" i="2"/>
  <c r="U322" i="2"/>
  <c r="U323" i="2"/>
  <c r="U324" i="2"/>
  <c r="U325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2" i="2"/>
  <c r="U393" i="2"/>
  <c r="U394" i="2"/>
  <c r="U395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8" i="2"/>
  <c r="U439" i="2"/>
  <c r="U440" i="2"/>
  <c r="U441" i="2"/>
  <c r="U442" i="2"/>
  <c r="U443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6" i="2"/>
  <c r="U477" i="2"/>
  <c r="U478" i="2"/>
  <c r="U479" i="2"/>
  <c r="U480" i="2"/>
  <c r="U481" i="2"/>
  <c r="U482" i="2"/>
  <c r="U483" i="2"/>
  <c r="U484" i="2"/>
  <c r="U486" i="2"/>
  <c r="U487" i="2"/>
  <c r="U488" i="2"/>
  <c r="U490" i="2"/>
  <c r="U491" i="2"/>
  <c r="U492" i="2"/>
  <c r="U493" i="2"/>
  <c r="U494" i="2"/>
  <c r="U495" i="2"/>
  <c r="U496" i="2"/>
  <c r="U498" i="2"/>
  <c r="U499" i="2"/>
  <c r="U500" i="2"/>
  <c r="U501" i="2"/>
  <c r="U502" i="2"/>
  <c r="U503" i="2"/>
  <c r="U504" i="2"/>
  <c r="U505" i="2"/>
  <c r="U506" i="2"/>
  <c r="U507" i="2"/>
  <c r="U508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1" i="2"/>
  <c r="U533" i="2"/>
  <c r="U534" i="2"/>
  <c r="U535" i="2"/>
  <c r="U536" i="2"/>
  <c r="U537" i="2"/>
  <c r="U538" i="2"/>
  <c r="U539" i="2"/>
  <c r="U540" i="2"/>
  <c r="U541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6" i="2"/>
  <c r="U707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6" i="2"/>
  <c r="U977" i="2"/>
  <c r="U978" i="2"/>
  <c r="U979" i="2"/>
  <c r="U980" i="2"/>
  <c r="U981" i="2"/>
  <c r="U982" i="2"/>
  <c r="U983" i="2"/>
  <c r="U984" i="2"/>
  <c r="U985" i="2"/>
  <c r="U987" i="2"/>
  <c r="U988" i="2"/>
  <c r="U989" i="2"/>
  <c r="U990" i="2"/>
  <c r="U991" i="2"/>
  <c r="U992" i="2"/>
  <c r="U993" i="2"/>
  <c r="U994" i="2"/>
  <c r="U995" i="2"/>
  <c r="U996" i="2"/>
  <c r="U997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50" i="2"/>
  <c r="U1151" i="2"/>
  <c r="U1152" i="2"/>
  <c r="U1153" i="2"/>
  <c r="U1155" i="2"/>
  <c r="U1157" i="2"/>
  <c r="U1158" i="2"/>
  <c r="U1159" i="2"/>
  <c r="U1160" i="2"/>
  <c r="U1162" i="2"/>
  <c r="U1163" i="2"/>
  <c r="U1164" i="2"/>
  <c r="U1165" i="2"/>
  <c r="U1166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8" i="2"/>
  <c r="U1269" i="2"/>
  <c r="U1270" i="2"/>
  <c r="U1271" i="2"/>
  <c r="U1272" i="2"/>
  <c r="U1273" i="2"/>
  <c r="U1274" i="2"/>
  <c r="U1275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4" i="2"/>
  <c r="U1295" i="2"/>
  <c r="U1296" i="2"/>
  <c r="U1297" i="2"/>
  <c r="U1298" i="2"/>
  <c r="U1299" i="2"/>
  <c r="U1300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50" i="2"/>
  <c r="U1351" i="2"/>
  <c r="U1352" i="2"/>
  <c r="U1353" i="2"/>
  <c r="U1354" i="2"/>
  <c r="U1355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60" i="2"/>
  <c r="U1461" i="2"/>
  <c r="U1462" i="2"/>
  <c r="U1463" i="2"/>
  <c r="U1464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6" i="2"/>
  <c r="U1487" i="2"/>
  <c r="U1488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S3" i="2"/>
  <c r="S4" i="2"/>
  <c r="S5" i="2"/>
  <c r="S6" i="2"/>
  <c r="S8" i="2"/>
  <c r="S9" i="2"/>
  <c r="S10" i="2"/>
  <c r="S11" i="2"/>
  <c r="S12" i="2"/>
  <c r="S13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30" i="2"/>
  <c r="S131" i="2"/>
  <c r="S132" i="2"/>
  <c r="S133" i="2"/>
  <c r="S134" i="2"/>
  <c r="S135" i="2"/>
  <c r="S136" i="2"/>
  <c r="S138" i="2"/>
  <c r="S139" i="2"/>
  <c r="S140" i="2"/>
  <c r="S141" i="2"/>
  <c r="S142" i="2"/>
  <c r="S143" i="2"/>
  <c r="S144" i="2"/>
  <c r="S145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70" i="2"/>
  <c r="S171" i="2"/>
  <c r="S173" i="2"/>
  <c r="S174" i="2"/>
  <c r="S175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9" i="2"/>
  <c r="S220" i="2"/>
  <c r="S221" i="2"/>
  <c r="S222" i="2"/>
  <c r="S223" i="2"/>
  <c r="S224" i="2"/>
  <c r="S225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3" i="2"/>
  <c r="S255" i="2"/>
  <c r="S256" i="2"/>
  <c r="S257" i="2"/>
  <c r="S258" i="2"/>
  <c r="S260" i="2"/>
  <c r="S261" i="2"/>
  <c r="S262" i="2"/>
  <c r="S263" i="2"/>
  <c r="S264" i="2"/>
  <c r="S265" i="2"/>
  <c r="S266" i="2"/>
  <c r="S268" i="2"/>
  <c r="S269" i="2"/>
  <c r="S270" i="2"/>
  <c r="S271" i="2"/>
  <c r="S273" i="2"/>
  <c r="S274" i="2"/>
  <c r="S275" i="2"/>
  <c r="S276" i="2"/>
  <c r="S277" i="2"/>
  <c r="S278" i="2"/>
  <c r="S279" i="2"/>
  <c r="S282" i="2"/>
  <c r="S283" i="2"/>
  <c r="S284" i="2"/>
  <c r="S285" i="2"/>
  <c r="S286" i="2"/>
  <c r="S287" i="2"/>
  <c r="S288" i="2"/>
  <c r="S289" i="2"/>
  <c r="S290" i="2"/>
  <c r="S291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6" i="2"/>
  <c r="S307" i="2"/>
  <c r="S308" i="2"/>
  <c r="S309" i="2"/>
  <c r="S310" i="2"/>
  <c r="S311" i="2"/>
  <c r="S313" i="2"/>
  <c r="S314" i="2"/>
  <c r="S316" i="2"/>
  <c r="S318" i="2"/>
  <c r="S319" i="2"/>
  <c r="S320" i="2"/>
  <c r="S322" i="2"/>
  <c r="S323" i="2"/>
  <c r="S324" i="2"/>
  <c r="S325" i="2"/>
  <c r="S326" i="2"/>
  <c r="S328" i="2"/>
  <c r="S329" i="2"/>
  <c r="S330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50" i="2"/>
  <c r="S351" i="2"/>
  <c r="S352" i="2"/>
  <c r="S353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8" i="2"/>
  <c r="S379" i="2"/>
  <c r="S380" i="2"/>
  <c r="S381" i="2"/>
  <c r="S382" i="2"/>
  <c r="S383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9" i="2"/>
  <c r="S430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5" i="2"/>
  <c r="S446" i="2"/>
  <c r="S448" i="2"/>
  <c r="S449" i="2"/>
  <c r="S450" i="2"/>
  <c r="S451" i="2"/>
  <c r="S452" i="2"/>
  <c r="S453" i="2"/>
  <c r="S454" i="2"/>
  <c r="S456" i="2"/>
  <c r="S457" i="2"/>
  <c r="S458" i="2"/>
  <c r="S460" i="2"/>
  <c r="S461" i="2"/>
  <c r="S462" i="2"/>
  <c r="S463" i="2"/>
  <c r="S464" i="2"/>
  <c r="S465" i="2"/>
  <c r="S466" i="2"/>
  <c r="S467" i="2"/>
  <c r="S468" i="2"/>
  <c r="S469" i="2"/>
  <c r="S471" i="2"/>
  <c r="S472" i="2"/>
  <c r="S473" i="2"/>
  <c r="S474" i="2"/>
  <c r="S475" i="2"/>
  <c r="S476" i="2"/>
  <c r="S477" i="2"/>
  <c r="S478" i="2"/>
  <c r="S479" i="2"/>
  <c r="S482" i="2"/>
  <c r="S483" i="2"/>
  <c r="S484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9" i="2"/>
  <c r="S510" i="2"/>
  <c r="S511" i="2"/>
  <c r="S512" i="2"/>
  <c r="S513" i="2"/>
  <c r="S514" i="2"/>
  <c r="S515" i="2"/>
  <c r="S516" i="2"/>
  <c r="S517" i="2"/>
  <c r="S519" i="2"/>
  <c r="S520" i="2"/>
  <c r="S521" i="2"/>
  <c r="S522" i="2"/>
  <c r="S523" i="2"/>
  <c r="S525" i="2"/>
  <c r="S526" i="2"/>
  <c r="S527" i="2"/>
  <c r="S529" i="2"/>
  <c r="S530" i="2"/>
  <c r="S531" i="2"/>
  <c r="S532" i="2"/>
  <c r="S534" i="2"/>
  <c r="S535" i="2"/>
  <c r="S536" i="2"/>
  <c r="S537" i="2"/>
  <c r="S538" i="2"/>
  <c r="S539" i="2"/>
  <c r="S540" i="2"/>
  <c r="S541" i="2"/>
  <c r="S542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70" i="2"/>
  <c r="S571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4" i="2"/>
  <c r="S605" i="2"/>
  <c r="S606" i="2"/>
  <c r="S607" i="2"/>
  <c r="S608" i="2"/>
  <c r="S609" i="2"/>
  <c r="S610" i="2"/>
  <c r="S611" i="2"/>
  <c r="S613" i="2"/>
  <c r="S614" i="2"/>
  <c r="S615" i="2"/>
  <c r="S616" i="2"/>
  <c r="S617" i="2"/>
  <c r="S618" i="2"/>
  <c r="S619" i="2"/>
  <c r="S620" i="2"/>
  <c r="S621" i="2"/>
  <c r="S623" i="2"/>
  <c r="S624" i="2"/>
  <c r="S625" i="2"/>
  <c r="S626" i="2"/>
  <c r="S627" i="2"/>
  <c r="S628" i="2"/>
  <c r="S629" i="2"/>
  <c r="S631" i="2"/>
  <c r="S632" i="2"/>
  <c r="S633" i="2"/>
  <c r="S634" i="2"/>
  <c r="S635" i="2"/>
  <c r="S638" i="2"/>
  <c r="S639" i="2"/>
  <c r="S640" i="2"/>
  <c r="S641" i="2"/>
  <c r="S642" i="2"/>
  <c r="S643" i="2"/>
  <c r="S644" i="2"/>
  <c r="S645" i="2"/>
  <c r="S646" i="2"/>
  <c r="S647" i="2"/>
  <c r="S648" i="2"/>
  <c r="S650" i="2"/>
  <c r="S651" i="2"/>
  <c r="S652" i="2"/>
  <c r="S653" i="2"/>
  <c r="S654" i="2"/>
  <c r="S656" i="2"/>
  <c r="S657" i="2"/>
  <c r="S658" i="2"/>
  <c r="S659" i="2"/>
  <c r="S660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90" i="2"/>
  <c r="S691" i="2"/>
  <c r="S692" i="2"/>
  <c r="S693" i="2"/>
  <c r="S694" i="2"/>
  <c r="S695" i="2"/>
  <c r="S696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3" i="2"/>
  <c r="S725" i="2"/>
  <c r="S726" i="2"/>
  <c r="S727" i="2"/>
  <c r="S728" i="2"/>
  <c r="S730" i="2"/>
  <c r="S731" i="2"/>
  <c r="S732" i="2"/>
  <c r="S733" i="2"/>
  <c r="S734" i="2"/>
  <c r="S735" i="2"/>
  <c r="S736" i="2"/>
  <c r="S738" i="2"/>
  <c r="S739" i="2"/>
  <c r="S741" i="2"/>
  <c r="S742" i="2"/>
  <c r="S743" i="2"/>
  <c r="S744" i="2"/>
  <c r="S745" i="2"/>
  <c r="S746" i="2"/>
  <c r="S747" i="2"/>
  <c r="S748" i="2"/>
  <c r="S749" i="2"/>
  <c r="S750" i="2"/>
  <c r="S751" i="2"/>
  <c r="S753" i="2"/>
  <c r="S754" i="2"/>
  <c r="S755" i="2"/>
  <c r="S756" i="2"/>
  <c r="S758" i="2"/>
  <c r="S760" i="2"/>
  <c r="S761" i="2"/>
  <c r="S762" i="2"/>
  <c r="S763" i="2"/>
  <c r="S764" i="2"/>
  <c r="S765" i="2"/>
  <c r="S766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8" i="2"/>
  <c r="S789" i="2"/>
  <c r="S790" i="2"/>
  <c r="S791" i="2"/>
  <c r="S792" i="2"/>
  <c r="S793" i="2"/>
  <c r="S796" i="2"/>
  <c r="S797" i="2"/>
  <c r="S798" i="2"/>
  <c r="S799" i="2"/>
  <c r="S800" i="2"/>
  <c r="S801" i="2"/>
  <c r="S802" i="2"/>
  <c r="S803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4" i="2"/>
  <c r="S855" i="2"/>
  <c r="S856" i="2"/>
  <c r="S857" i="2"/>
  <c r="S858" i="2"/>
  <c r="S860" i="2"/>
  <c r="S861" i="2"/>
  <c r="S862" i="2"/>
  <c r="S863" i="2"/>
  <c r="S864" i="2"/>
  <c r="S865" i="2"/>
  <c r="S866" i="2"/>
  <c r="S867" i="2"/>
  <c r="S868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4" i="2"/>
  <c r="S885" i="2"/>
  <c r="S886" i="2"/>
  <c r="S887" i="2"/>
  <c r="S888" i="2"/>
  <c r="S889" i="2"/>
  <c r="S890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6" i="2"/>
  <c r="S907" i="2"/>
  <c r="S908" i="2"/>
  <c r="S909" i="2"/>
  <c r="S910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7" i="2"/>
  <c r="S938" i="2"/>
  <c r="S939" i="2"/>
  <c r="S940" i="2"/>
  <c r="S941" i="2"/>
  <c r="S943" i="2"/>
  <c r="S944" i="2"/>
  <c r="S945" i="2"/>
  <c r="S946" i="2"/>
  <c r="S947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7" i="2"/>
  <c r="S988" i="2"/>
  <c r="S989" i="2"/>
  <c r="S990" i="2"/>
  <c r="S991" i="2"/>
  <c r="S992" i="2"/>
  <c r="S993" i="2"/>
  <c r="S994" i="2"/>
  <c r="S995" i="2"/>
  <c r="S996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5" i="2"/>
  <c r="S1016" i="2"/>
  <c r="S1017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5" i="2"/>
  <c r="S1056" i="2"/>
  <c r="S1057" i="2"/>
  <c r="S1058" i="2"/>
  <c r="S1059" i="2"/>
  <c r="S1060" i="2"/>
  <c r="S1061" i="2"/>
  <c r="S1062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9" i="2"/>
  <c r="S1111" i="2"/>
  <c r="S1112" i="2"/>
  <c r="S1113" i="2"/>
  <c r="S1114" i="2"/>
  <c r="S1116" i="2"/>
  <c r="S1119" i="2"/>
  <c r="S1120" i="2"/>
  <c r="S1121" i="2"/>
  <c r="S1122" i="2"/>
  <c r="S1123" i="2"/>
  <c r="S1124" i="2"/>
  <c r="S1125" i="2"/>
  <c r="S1126" i="2"/>
  <c r="S1127" i="2"/>
  <c r="S1128" i="2"/>
  <c r="S1130" i="2"/>
  <c r="S1131" i="2"/>
  <c r="S1132" i="2"/>
  <c r="S1133" i="2"/>
  <c r="S1134" i="2"/>
  <c r="S1136" i="2"/>
  <c r="S1137" i="2"/>
  <c r="S1138" i="2"/>
  <c r="S1139" i="2"/>
  <c r="S1140" i="2"/>
  <c r="S1141" i="2"/>
  <c r="S1142" i="2"/>
  <c r="S1143" i="2"/>
  <c r="S1144" i="2"/>
  <c r="S1145" i="2"/>
  <c r="S1146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80" i="2"/>
  <c r="S1181" i="2"/>
  <c r="S1183" i="2"/>
  <c r="S1184" i="2"/>
  <c r="S1185" i="2"/>
  <c r="S1186" i="2"/>
  <c r="S1187" i="2"/>
  <c r="S1188" i="2"/>
  <c r="S1189" i="2"/>
  <c r="S1190" i="2"/>
  <c r="S1192" i="2"/>
  <c r="S1193" i="2"/>
  <c r="S1194" i="2"/>
  <c r="S1195" i="2"/>
  <c r="S1196" i="2"/>
  <c r="S1197" i="2"/>
  <c r="S1198" i="2"/>
  <c r="S1199" i="2"/>
  <c r="S1200" i="2"/>
  <c r="S1201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6" i="2"/>
  <c r="S1247" i="2"/>
  <c r="S1248" i="2"/>
  <c r="S1249" i="2"/>
  <c r="S1251" i="2"/>
  <c r="S1252" i="2"/>
  <c r="S1253" i="2"/>
  <c r="S1254" i="2"/>
  <c r="S1255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2" i="2"/>
  <c r="S1313" i="2"/>
  <c r="S1315" i="2"/>
  <c r="S1316" i="2"/>
  <c r="S1317" i="2"/>
  <c r="S1318" i="2"/>
  <c r="S1319" i="2"/>
  <c r="S1320" i="2"/>
  <c r="S1321" i="2"/>
  <c r="S1322" i="2"/>
  <c r="S1323" i="2"/>
  <c r="S1324" i="2"/>
  <c r="S1325" i="2"/>
  <c r="S1327" i="2"/>
  <c r="S1328" i="2"/>
  <c r="S1329" i="2"/>
  <c r="S1330" i="2"/>
  <c r="S1331" i="2"/>
  <c r="S1332" i="2"/>
  <c r="S1333" i="2"/>
  <c r="S1334" i="2"/>
  <c r="S1335" i="2"/>
  <c r="S1336" i="2"/>
  <c r="S1338" i="2"/>
  <c r="S1339" i="2"/>
  <c r="S1341" i="2"/>
  <c r="S1342" i="2"/>
  <c r="S1343" i="2"/>
  <c r="S1344" i="2"/>
  <c r="S1345" i="2"/>
  <c r="S1346" i="2"/>
  <c r="S1347" i="2"/>
  <c r="S1348" i="2"/>
  <c r="S1349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70" i="2"/>
  <c r="S1371" i="2"/>
  <c r="S1372" i="2"/>
  <c r="S1373" i="2"/>
  <c r="S1374" i="2"/>
  <c r="S1375" i="2"/>
  <c r="S1376" i="2"/>
  <c r="S1377" i="2"/>
  <c r="S1378" i="2"/>
  <c r="S1379" i="2"/>
  <c r="S1381" i="2"/>
  <c r="S1382" i="2"/>
  <c r="S1383" i="2"/>
  <c r="S1384" i="2"/>
  <c r="S1385" i="2"/>
  <c r="S1387" i="2"/>
  <c r="S1389" i="2"/>
  <c r="S1390" i="2"/>
  <c r="S1391" i="2"/>
  <c r="S1392" i="2"/>
  <c r="S1393" i="2"/>
  <c r="S1395" i="2"/>
  <c r="S1396" i="2"/>
  <c r="S1397" i="2"/>
  <c r="S1399" i="2"/>
  <c r="S1400" i="2"/>
  <c r="S1401" i="2"/>
  <c r="S1402" i="2"/>
  <c r="S1403" i="2"/>
  <c r="S1404" i="2"/>
  <c r="S1405" i="2"/>
  <c r="S1406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4" i="2"/>
  <c r="S1426" i="2"/>
  <c r="S1427" i="2"/>
  <c r="S1428" i="2"/>
  <c r="S1429" i="2"/>
  <c r="S1430" i="2"/>
  <c r="S1432" i="2"/>
  <c r="S1433" i="2"/>
  <c r="S1434" i="2"/>
  <c r="S1435" i="2"/>
  <c r="S1436" i="2"/>
  <c r="S1437" i="2"/>
  <c r="S1438" i="2"/>
  <c r="S1439" i="2"/>
  <c r="S1440" i="2"/>
  <c r="S1441" i="2"/>
  <c r="S1442" i="2"/>
  <c r="S1445" i="2"/>
  <c r="S1447" i="2"/>
  <c r="S1448" i="2"/>
  <c r="S1449" i="2"/>
  <c r="S1450" i="2"/>
  <c r="S1451" i="2"/>
  <c r="S1452" i="2"/>
  <c r="S1453" i="2"/>
  <c r="S1455" i="2"/>
  <c r="S1456" i="2"/>
  <c r="S1457" i="2"/>
  <c r="S1458" i="2"/>
  <c r="S1459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1" i="2"/>
  <c r="S1492" i="2"/>
  <c r="S1493" i="2"/>
  <c r="S1494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2" i="2"/>
  <c r="S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9" i="2"/>
  <c r="M21" i="2"/>
  <c r="M22" i="2"/>
  <c r="M23" i="2"/>
  <c r="M24" i="2"/>
  <c r="M25" i="2"/>
  <c r="M26" i="2"/>
  <c r="M27" i="2"/>
  <c r="M28" i="2"/>
  <c r="M29" i="2"/>
  <c r="M30" i="2"/>
  <c r="M31" i="2"/>
  <c r="M33" i="2"/>
  <c r="M34" i="2"/>
  <c r="M35" i="2"/>
  <c r="M36" i="2"/>
  <c r="M37" i="2"/>
  <c r="M38" i="2"/>
  <c r="M39" i="2"/>
  <c r="M40" i="2"/>
  <c r="M41" i="2"/>
  <c r="M42" i="2"/>
  <c r="M44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6" i="2"/>
  <c r="M117" i="2"/>
  <c r="M118" i="2"/>
  <c r="M119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8" i="2"/>
  <c r="M229" i="2"/>
  <c r="M230" i="2"/>
  <c r="M231" i="2"/>
  <c r="M232" i="2"/>
  <c r="M233" i="2"/>
  <c r="M234" i="2"/>
  <c r="M235" i="2"/>
  <c r="M238" i="2"/>
  <c r="M239" i="2"/>
  <c r="M240" i="2"/>
  <c r="M241" i="2"/>
  <c r="M242" i="2"/>
  <c r="M243" i="2"/>
  <c r="M244" i="2"/>
  <c r="M245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4" i="2"/>
  <c r="M275" i="2"/>
  <c r="M276" i="2"/>
  <c r="M277" i="2"/>
  <c r="M278" i="2"/>
  <c r="M279" i="2"/>
  <c r="M280" i="2"/>
  <c r="M282" i="2"/>
  <c r="M283" i="2"/>
  <c r="M284" i="2"/>
  <c r="M285" i="2"/>
  <c r="M286" i="2"/>
  <c r="M288" i="2"/>
  <c r="M290" i="2"/>
  <c r="M292" i="2"/>
  <c r="M293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7" i="2"/>
  <c r="M348" i="2"/>
  <c r="M349" i="2"/>
  <c r="M350" i="2"/>
  <c r="M351" i="2"/>
  <c r="M353" i="2"/>
  <c r="M354" i="2"/>
  <c r="M355" i="2"/>
  <c r="M357" i="2"/>
  <c r="M358" i="2"/>
  <c r="M359" i="2"/>
  <c r="M360" i="2"/>
  <c r="M361" i="2"/>
  <c r="M362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6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7" i="2"/>
  <c r="M568" i="2"/>
  <c r="M569" i="2"/>
  <c r="M570" i="2"/>
  <c r="M571" i="2"/>
  <c r="M572" i="2"/>
  <c r="M573" i="2"/>
  <c r="M574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7" i="2"/>
  <c r="M648" i="2"/>
  <c r="M649" i="2"/>
  <c r="M650" i="2"/>
  <c r="M651" i="2"/>
  <c r="M652" i="2"/>
  <c r="M653" i="2"/>
  <c r="M655" i="2"/>
  <c r="M656" i="2"/>
  <c r="M657" i="2"/>
  <c r="M658" i="2"/>
  <c r="M659" i="2"/>
  <c r="M660" i="2"/>
  <c r="M661" i="2"/>
  <c r="M662" i="2"/>
  <c r="M663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7" i="2"/>
  <c r="M768" i="2"/>
  <c r="M770" i="2"/>
  <c r="M771" i="2"/>
  <c r="M772" i="2"/>
  <c r="M773" i="2"/>
  <c r="M774" i="2"/>
  <c r="M775" i="2"/>
  <c r="M776" i="2"/>
  <c r="M777" i="2"/>
  <c r="M778" i="2"/>
  <c r="M779" i="2"/>
  <c r="M780" i="2"/>
  <c r="M782" i="2"/>
  <c r="M783" i="2"/>
  <c r="M784" i="2"/>
  <c r="M785" i="2"/>
  <c r="M786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8" i="2"/>
  <c r="M830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6" i="2"/>
  <c r="M897" i="2"/>
  <c r="M898" i="2"/>
  <c r="M899" i="2"/>
  <c r="M900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8" i="2"/>
  <c r="M919" i="2"/>
  <c r="M920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3" i="2"/>
  <c r="M964" i="2"/>
  <c r="M965" i="2"/>
  <c r="M966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2" i="2"/>
  <c r="M993" i="2"/>
  <c r="M994" i="2"/>
  <c r="M995" i="2"/>
  <c r="M996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5" i="2"/>
  <c r="M1196" i="2"/>
  <c r="M1197" i="2"/>
  <c r="M1198" i="2"/>
  <c r="M1199" i="2"/>
  <c r="M1200" i="2"/>
  <c r="M1201" i="2"/>
  <c r="M1202" i="2"/>
  <c r="M1203" i="2"/>
  <c r="M1204" i="2"/>
  <c r="M1205" i="2"/>
  <c r="M1207" i="2"/>
  <c r="M1208" i="2"/>
  <c r="M1209" i="2"/>
  <c r="M1210" i="2"/>
  <c r="M1211" i="2"/>
  <c r="M1212" i="2"/>
  <c r="M1213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9" i="2"/>
  <c r="M1250" i="2"/>
  <c r="M1251" i="2"/>
  <c r="M1252" i="2"/>
  <c r="M1254" i="2"/>
  <c r="M1255" i="2"/>
  <c r="M1256" i="2"/>
  <c r="M1257" i="2"/>
  <c r="M1258" i="2"/>
  <c r="M1259" i="2"/>
  <c r="M1261" i="2"/>
  <c r="M1263" i="2"/>
  <c r="M1265" i="2"/>
  <c r="M1266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4" i="2"/>
  <c r="M1305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5" i="2"/>
  <c r="M1386" i="2"/>
  <c r="M1387" i="2"/>
  <c r="M1388" i="2"/>
  <c r="M1389" i="2"/>
  <c r="M1390" i="2"/>
  <c r="M1391" i="2"/>
  <c r="M1393" i="2"/>
  <c r="M1394" i="2"/>
  <c r="M1395" i="2"/>
  <c r="M1396" i="2"/>
  <c r="M1397" i="2"/>
  <c r="M1398" i="2"/>
  <c r="M1400" i="2"/>
  <c r="M1401" i="2"/>
  <c r="M1402" i="2"/>
  <c r="M1403" i="2"/>
  <c r="M1404" i="2"/>
  <c r="M1405" i="2"/>
  <c r="M1406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4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2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I25" i="2"/>
  <c r="J25" i="2" s="1"/>
  <c r="I26" i="2"/>
  <c r="J26" i="2" s="1"/>
  <c r="I27" i="2"/>
  <c r="J27" i="2" s="1"/>
  <c r="I28" i="2"/>
  <c r="J28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I36" i="2"/>
  <c r="J36" i="2" s="1"/>
  <c r="I37" i="2"/>
  <c r="J37" i="2" s="1"/>
  <c r="I38" i="2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I71" i="2"/>
  <c r="J71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I89" i="2"/>
  <c r="J89" i="2" s="1"/>
  <c r="I90" i="2"/>
  <c r="J90" i="2" s="1"/>
  <c r="I91" i="2"/>
  <c r="J91" i="2" s="1"/>
  <c r="I92" i="2"/>
  <c r="J92" i="2" s="1"/>
  <c r="I93" i="2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2" i="2"/>
  <c r="J102" i="2" s="1"/>
  <c r="I103" i="2"/>
  <c r="J103" i="2" s="1"/>
  <c r="I104" i="2"/>
  <c r="J104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I194" i="2"/>
  <c r="J194" i="2" s="1"/>
  <c r="I195" i="2"/>
  <c r="J195" i="2" s="1"/>
  <c r="I196" i="2"/>
  <c r="J196" i="2" s="1"/>
  <c r="I197" i="2"/>
  <c r="J197" i="2" s="1"/>
  <c r="I199" i="2"/>
  <c r="J199" i="2" s="1"/>
  <c r="I200" i="2"/>
  <c r="J200" i="2" s="1"/>
  <c r="I202" i="2"/>
  <c r="J202" i="2" s="1"/>
  <c r="I203" i="2"/>
  <c r="J203" i="2" s="1"/>
  <c r="I204" i="2"/>
  <c r="J204" i="2" s="1"/>
  <c r="I206" i="2"/>
  <c r="J206" i="2" s="1"/>
  <c r="I207" i="2"/>
  <c r="I208" i="2"/>
  <c r="J208" i="2" s="1"/>
  <c r="I209" i="2"/>
  <c r="J209" i="2" s="1"/>
  <c r="I210" i="2"/>
  <c r="J210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I229" i="2"/>
  <c r="J229" i="2" s="1"/>
  <c r="I230" i="2"/>
  <c r="J230" i="2" s="1"/>
  <c r="I231" i="2"/>
  <c r="J231" i="2" s="1"/>
  <c r="I232" i="2"/>
  <c r="J232" i="2" s="1"/>
  <c r="I234" i="2"/>
  <c r="J234" i="2" s="1"/>
  <c r="I235" i="2"/>
  <c r="J235" i="2" s="1"/>
  <c r="I236" i="2"/>
  <c r="I237" i="2"/>
  <c r="J237" i="2" s="1"/>
  <c r="I238" i="2"/>
  <c r="J238" i="2" s="1"/>
  <c r="I239" i="2"/>
  <c r="J239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5" i="2"/>
  <c r="I356" i="2"/>
  <c r="J356" i="2" s="1"/>
  <c r="I357" i="2"/>
  <c r="J357" i="2" s="1"/>
  <c r="I358" i="2"/>
  <c r="J358" i="2" s="1"/>
  <c r="I360" i="2"/>
  <c r="J360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2" i="2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4" i="2"/>
  <c r="J534" i="2" s="1"/>
  <c r="I535" i="2"/>
  <c r="J535" i="2" s="1"/>
  <c r="I536" i="2"/>
  <c r="J536" i="2" s="1"/>
  <c r="I537" i="2"/>
  <c r="J537" i="2" s="1"/>
  <c r="I538" i="2"/>
  <c r="J538" i="2" s="1"/>
  <c r="I540" i="2"/>
  <c r="J540" i="2" s="1"/>
  <c r="I541" i="2"/>
  <c r="J541" i="2" s="1"/>
  <c r="I542" i="2"/>
  <c r="J542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50" i="2"/>
  <c r="J650" i="2" s="1"/>
  <c r="I651" i="2"/>
  <c r="J651" i="2" s="1"/>
  <c r="I652" i="2"/>
  <c r="J652" i="2" s="1"/>
  <c r="I653" i="2"/>
  <c r="J653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4" i="2"/>
  <c r="J664" i="2" s="1"/>
  <c r="I665" i="2"/>
  <c r="J665" i="2" s="1"/>
  <c r="I666" i="2"/>
  <c r="J666" i="2" s="1"/>
  <c r="I668" i="2"/>
  <c r="J668" i="2" s="1"/>
  <c r="I669" i="2"/>
  <c r="J669" i="2" s="1"/>
  <c r="I670" i="2"/>
  <c r="J670" i="2" s="1"/>
  <c r="I671" i="2"/>
  <c r="J671" i="2" s="1"/>
  <c r="I673" i="2"/>
  <c r="J673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I687" i="2"/>
  <c r="J687" i="2" s="1"/>
  <c r="I688" i="2"/>
  <c r="J688" i="2" s="1"/>
  <c r="I689" i="2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I846" i="2"/>
  <c r="J846" i="2" s="1"/>
  <c r="I847" i="2"/>
  <c r="J847" i="2" s="1"/>
  <c r="I848" i="2"/>
  <c r="J848" i="2" s="1"/>
  <c r="I849" i="2"/>
  <c r="J849" i="2" s="1"/>
  <c r="I850" i="2"/>
  <c r="J850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6" i="2"/>
  <c r="J886" i="2" s="1"/>
  <c r="I887" i="2"/>
  <c r="J887" i="2" s="1"/>
  <c r="I888" i="2"/>
  <c r="J888" i="2" s="1"/>
  <c r="I889" i="2"/>
  <c r="J889" i="2" s="1"/>
  <c r="I890" i="2"/>
  <c r="J890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I928" i="2"/>
  <c r="J928" i="2" s="1"/>
  <c r="I929" i="2"/>
  <c r="J929" i="2" s="1"/>
  <c r="I930" i="2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I983" i="2"/>
  <c r="J983" i="2" s="1"/>
  <c r="I984" i="2"/>
  <c r="J984" i="2" s="1"/>
  <c r="I985" i="2"/>
  <c r="J985" i="2" s="1"/>
  <c r="I987" i="2"/>
  <c r="J987" i="2" s="1"/>
  <c r="I988" i="2"/>
  <c r="J988" i="2" s="1"/>
  <c r="I989" i="2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I997" i="2"/>
  <c r="J997" i="2" s="1"/>
  <c r="I998" i="2"/>
  <c r="J998" i="2" s="1"/>
  <c r="I999" i="2"/>
  <c r="I1000" i="2"/>
  <c r="J1000" i="2" s="1"/>
  <c r="I1001" i="2"/>
  <c r="I1002" i="2"/>
  <c r="J1002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7" i="2"/>
  <c r="I1048" i="2"/>
  <c r="J1048" i="2" s="1"/>
  <c r="I1049" i="2"/>
  <c r="J1049" i="2" s="1"/>
  <c r="I1050" i="2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1" i="2"/>
  <c r="J1071" i="2" s="1"/>
  <c r="I1072" i="2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1" i="2"/>
  <c r="J1221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I1260" i="2"/>
  <c r="J1260" i="2" s="1"/>
  <c r="I1261" i="2"/>
  <c r="J1261" i="2" s="1"/>
  <c r="I1262" i="2"/>
  <c r="J1262" i="2" s="1"/>
  <c r="I1263" i="2"/>
  <c r="J1263" i="2" s="1"/>
  <c r="I1264" i="2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J1281" i="2" s="1"/>
  <c r="I1282" i="2"/>
  <c r="I1283" i="2"/>
  <c r="J1283" i="2" s="1"/>
  <c r="I1284" i="2"/>
  <c r="J1284" i="2" s="1"/>
  <c r="I1286" i="2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I1302" i="2"/>
  <c r="J1302" i="2" s="1"/>
  <c r="I1303" i="2"/>
  <c r="J1303" i="2" s="1"/>
  <c r="I1304" i="2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9" i="2"/>
  <c r="J1329" i="2" s="1"/>
  <c r="I1330" i="2"/>
  <c r="J1330" i="2" s="1"/>
  <c r="I1331" i="2"/>
  <c r="J1331" i="2" s="1"/>
  <c r="I1333" i="2"/>
  <c r="J1333" i="2" s="1"/>
  <c r="I1334" i="2"/>
  <c r="J1334" i="2" s="1"/>
  <c r="I1335" i="2"/>
  <c r="J1335" i="2" s="1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I1361" i="2"/>
  <c r="J1361" i="2" s="1"/>
  <c r="I1362" i="2"/>
  <c r="J1362" i="2" s="1"/>
  <c r="I1363" i="2"/>
  <c r="J1363" i="2" s="1"/>
  <c r="I1364" i="2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J1382" i="2" s="1"/>
  <c r="I1383" i="2"/>
  <c r="J1383" i="2" s="1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I1403" i="2"/>
  <c r="J1403" i="2" s="1"/>
  <c r="I1404" i="2"/>
  <c r="J1404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I1428" i="2"/>
  <c r="J1428" i="2" s="1"/>
  <c r="I1429" i="2"/>
  <c r="J1429" i="2" s="1"/>
  <c r="I1430" i="2"/>
  <c r="J1430" i="2" s="1"/>
  <c r="I1431" i="2"/>
  <c r="J1431" i="2" s="1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J1446" i="2" s="1"/>
  <c r="I1447" i="2"/>
  <c r="J1447" i="2" s="1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J1453" i="2" s="1"/>
  <c r="I1454" i="2"/>
  <c r="J1454" i="2" s="1"/>
  <c r="I1455" i="2"/>
  <c r="I1456" i="2"/>
  <c r="J1456" i="2" s="1"/>
  <c r="I1457" i="2"/>
  <c r="J1457" i="2" s="1"/>
  <c r="I1458" i="2"/>
  <c r="J1458" i="2" s="1"/>
  <c r="I1460" i="2"/>
  <c r="J1460" i="2" s="1"/>
  <c r="I1462" i="2"/>
  <c r="J1462" i="2" s="1"/>
  <c r="I1463" i="2"/>
  <c r="J1463" i="2" s="1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1" i="2"/>
  <c r="J1471" i="2" s="1"/>
  <c r="I1472" i="2"/>
  <c r="J1472" i="2" s="1"/>
  <c r="I1473" i="2"/>
  <c r="J1473" i="2" s="1"/>
  <c r="I1474" i="2"/>
  <c r="J1474" i="2" s="1"/>
  <c r="I1475" i="2"/>
  <c r="I1476" i="2"/>
  <c r="J1476" i="2" s="1"/>
  <c r="I1477" i="2"/>
  <c r="J1477" i="2" s="1"/>
  <c r="I1478" i="2"/>
  <c r="J1478" i="2" s="1"/>
  <c r="I1479" i="2"/>
  <c r="J1479" i="2" s="1"/>
  <c r="I1480" i="2"/>
  <c r="J1480" i="2" s="1"/>
  <c r="I1481" i="2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J1491" i="2" s="1"/>
  <c r="I1492" i="2"/>
  <c r="J1492" i="2" s="1"/>
  <c r="I1493" i="2"/>
  <c r="J1493" i="2" s="1"/>
  <c r="I1494" i="2"/>
  <c r="J1494" i="2" s="1"/>
  <c r="I1495" i="2"/>
  <c r="J1495" i="2" s="1"/>
  <c r="I1496" i="2"/>
  <c r="J1496" i="2" s="1"/>
  <c r="I1497" i="2"/>
  <c r="J1497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J1510" i="2" s="1"/>
  <c r="I1511" i="2"/>
  <c r="J1511" i="2" s="1"/>
  <c r="I1512" i="2"/>
  <c r="J1512" i="2" s="1"/>
  <c r="I1514" i="2"/>
  <c r="J1514" i="2" s="1"/>
  <c r="I1515" i="2"/>
  <c r="J1515" i="2" s="1"/>
  <c r="I1516" i="2"/>
  <c r="J1516" i="2" s="1"/>
  <c r="I1517" i="2"/>
  <c r="J1517" i="2" s="1"/>
  <c r="I1518" i="2"/>
  <c r="J1518" i="2" s="1"/>
  <c r="I1519" i="2"/>
  <c r="I1520" i="2"/>
  <c r="I1521" i="2"/>
  <c r="J1521" i="2" s="1"/>
  <c r="I1522" i="2"/>
  <c r="J1522" i="2" s="1"/>
  <c r="I1523" i="2"/>
  <c r="J1523" i="2" s="1"/>
  <c r="I1524" i="2"/>
  <c r="J1524" i="2" s="1"/>
  <c r="I1525" i="2"/>
  <c r="J1525" i="2" s="1"/>
  <c r="I1527" i="2"/>
  <c r="J1527" i="2" s="1"/>
  <c r="I1528" i="2"/>
  <c r="J1528" i="2" s="1"/>
  <c r="I1529" i="2"/>
  <c r="J1529" i="2" s="1"/>
  <c r="I1530" i="2"/>
  <c r="J1530" i="2" s="1"/>
  <c r="I2" i="2"/>
  <c r="J2" i="2" s="1"/>
  <c r="N714" i="2" l="1"/>
  <c r="N790" i="2"/>
  <c r="T2" i="2"/>
  <c r="N214" i="2"/>
  <c r="N1176" i="2"/>
  <c r="N1202" i="2"/>
  <c r="N525" i="2"/>
  <c r="N513" i="2"/>
  <c r="N365" i="2"/>
  <c r="N1165" i="2"/>
  <c r="N395" i="2"/>
  <c r="N1433" i="2"/>
  <c r="N1281" i="2"/>
  <c r="N334" i="2"/>
  <c r="N370" i="2"/>
  <c r="N1525" i="2"/>
  <c r="N1488" i="2"/>
  <c r="N591" i="2"/>
  <c r="N288" i="2"/>
  <c r="N208" i="2"/>
  <c r="N1305" i="2"/>
  <c r="N1138" i="2"/>
  <c r="N597" i="2"/>
  <c r="N1143" i="2"/>
  <c r="N1131" i="2"/>
  <c r="N1119" i="2"/>
  <c r="N1008" i="2"/>
  <c r="N763" i="2"/>
  <c r="N715" i="2"/>
  <c r="N248" i="2"/>
  <c r="N400" i="2"/>
  <c r="N323" i="2"/>
  <c r="N91" i="2"/>
  <c r="N102" i="2"/>
  <c r="N776" i="2"/>
  <c r="N1212" i="2"/>
  <c r="N1174" i="2"/>
  <c r="N633" i="2"/>
  <c r="N486" i="2"/>
  <c r="N225" i="2"/>
  <c r="N847" i="2"/>
  <c r="N557" i="2"/>
  <c r="N151" i="2"/>
  <c r="N51" i="2"/>
  <c r="N37" i="2"/>
  <c r="N132" i="2"/>
  <c r="N335" i="2"/>
  <c r="N104" i="2"/>
  <c r="N1263" i="2"/>
  <c r="N1223" i="2"/>
  <c r="N807" i="2"/>
  <c r="N707" i="2"/>
  <c r="N112" i="2"/>
  <c r="N1314" i="2"/>
  <c r="N383" i="2"/>
  <c r="N358" i="2"/>
  <c r="N1090" i="2"/>
  <c r="N1078" i="2"/>
  <c r="N559" i="2"/>
  <c r="N65" i="2"/>
  <c r="N1515" i="2"/>
  <c r="N630" i="2"/>
  <c r="N1426" i="2"/>
  <c r="N741" i="2"/>
  <c r="N21" i="2"/>
  <c r="N94" i="2"/>
  <c r="M1264" i="2"/>
  <c r="J1234" i="2"/>
  <c r="J1520" i="2"/>
  <c r="J1519" i="2"/>
  <c r="J742" i="2"/>
  <c r="J141" i="2"/>
  <c r="J996" i="2"/>
  <c r="J1481" i="2"/>
  <c r="J1304" i="2"/>
  <c r="J689" i="2"/>
  <c r="J1199" i="2"/>
  <c r="J35" i="2"/>
  <c r="J1341" i="2"/>
  <c r="J24" i="2"/>
  <c r="J193" i="2"/>
  <c r="J1286" i="2"/>
  <c r="J989" i="2"/>
  <c r="J790" i="2"/>
  <c r="J70" i="2"/>
  <c r="J1270" i="2"/>
  <c r="J355" i="2"/>
  <c r="J1174" i="2"/>
  <c r="J422" i="2"/>
  <c r="J93" i="2"/>
  <c r="J835" i="2"/>
  <c r="J1282" i="2"/>
  <c r="J809" i="2"/>
  <c r="J432" i="2"/>
  <c r="J228" i="2"/>
  <c r="J863" i="2"/>
  <c r="J1192" i="2"/>
  <c r="J1120" i="2"/>
  <c r="J982" i="2"/>
  <c r="J369" i="2"/>
  <c r="M917" i="2"/>
  <c r="J917" i="2"/>
  <c r="J1360" i="2"/>
  <c r="J1001" i="2"/>
  <c r="J845" i="2"/>
  <c r="J325" i="2"/>
  <c r="J1129" i="2"/>
  <c r="J1427" i="2"/>
  <c r="J930" i="2"/>
  <c r="J733" i="2"/>
  <c r="J556" i="2"/>
  <c r="J38" i="2"/>
  <c r="J999" i="2"/>
  <c r="J88" i="2"/>
  <c r="J686" i="2"/>
  <c r="J1364" i="2"/>
  <c r="J1475" i="2"/>
  <c r="M236" i="2"/>
  <c r="J236" i="2"/>
  <c r="J1301" i="2"/>
  <c r="J903" i="2"/>
  <c r="J473" i="2"/>
  <c r="J1264" i="2"/>
  <c r="J625" i="2"/>
  <c r="J1050" i="2"/>
  <c r="J207" i="2"/>
  <c r="J722" i="2"/>
  <c r="J1455" i="2"/>
  <c r="J1259" i="2"/>
  <c r="J1047" i="2"/>
  <c r="J1072" i="2"/>
  <c r="J927" i="2"/>
  <c r="T1265" i="2"/>
  <c r="T1253" i="2"/>
  <c r="T1241" i="2"/>
  <c r="T1121" i="2"/>
  <c r="T1109" i="2"/>
  <c r="T1049" i="2"/>
  <c r="T1037" i="2"/>
  <c r="T1013" i="2"/>
  <c r="T1001" i="2"/>
  <c r="T989" i="2"/>
  <c r="T1516" i="2"/>
  <c r="T1480" i="2"/>
  <c r="T1456" i="2"/>
  <c r="T1432" i="2"/>
  <c r="T1408" i="2"/>
  <c r="T1384" i="2"/>
  <c r="T1360" i="2"/>
  <c r="T1336" i="2"/>
  <c r="T1312" i="2"/>
  <c r="T1288" i="2"/>
  <c r="T1264" i="2"/>
  <c r="T1240" i="2"/>
  <c r="T1216" i="2"/>
  <c r="T1192" i="2"/>
  <c r="T1168" i="2"/>
  <c r="T1144" i="2"/>
  <c r="T1120" i="2"/>
  <c r="T1096" i="2"/>
  <c r="T1072" i="2"/>
  <c r="T1048" i="2"/>
  <c r="T1024" i="2"/>
  <c r="T1000" i="2"/>
  <c r="T988" i="2"/>
  <c r="T976" i="2"/>
  <c r="T952" i="2"/>
  <c r="T940" i="2"/>
  <c r="T928" i="2"/>
  <c r="T916" i="2"/>
  <c r="T904" i="2"/>
  <c r="T892" i="2"/>
  <c r="T880" i="2"/>
  <c r="T868" i="2"/>
  <c r="T856" i="2"/>
  <c r="T844" i="2"/>
  <c r="T832" i="2"/>
  <c r="T820" i="2"/>
  <c r="T808" i="2"/>
  <c r="T796" i="2"/>
  <c r="T784" i="2"/>
  <c r="T772" i="2"/>
  <c r="U772" i="2" s="1"/>
  <c r="T760" i="2"/>
  <c r="T748" i="2"/>
  <c r="T736" i="2"/>
  <c r="T712" i="2"/>
  <c r="T688" i="2"/>
  <c r="T664" i="2"/>
  <c r="T640" i="2"/>
  <c r="T616" i="2"/>
  <c r="T592" i="2"/>
  <c r="T568" i="2"/>
  <c r="T544" i="2"/>
  <c r="T496" i="2"/>
  <c r="T1528" i="2"/>
  <c r="T1504" i="2"/>
  <c r="T1492" i="2"/>
  <c r="T1468" i="2"/>
  <c r="T1444" i="2"/>
  <c r="T1420" i="2"/>
  <c r="T1396" i="2"/>
  <c r="T1372" i="2"/>
  <c r="T1348" i="2"/>
  <c r="T1324" i="2"/>
  <c r="T1300" i="2"/>
  <c r="T1276" i="2"/>
  <c r="U1276" i="2" s="1"/>
  <c r="T1252" i="2"/>
  <c r="T1228" i="2"/>
  <c r="T1204" i="2"/>
  <c r="T1180" i="2"/>
  <c r="T1156" i="2"/>
  <c r="U1156" i="2" s="1"/>
  <c r="T1132" i="2"/>
  <c r="T1108" i="2"/>
  <c r="T1084" i="2"/>
  <c r="T1060" i="2"/>
  <c r="T1036" i="2"/>
  <c r="T1012" i="2"/>
  <c r="T964" i="2"/>
  <c r="T724" i="2"/>
  <c r="T700" i="2"/>
  <c r="T676" i="2"/>
  <c r="T652" i="2"/>
  <c r="T628" i="2"/>
  <c r="T604" i="2"/>
  <c r="T580" i="2"/>
  <c r="T556" i="2"/>
  <c r="T532" i="2"/>
  <c r="U532" i="2" s="1"/>
  <c r="T520" i="2"/>
  <c r="T508" i="2"/>
  <c r="T484" i="2"/>
  <c r="T965" i="2"/>
  <c r="T953" i="2"/>
  <c r="T941" i="2"/>
  <c r="T929" i="2"/>
  <c r="T917" i="2"/>
  <c r="T905" i="2"/>
  <c r="T893" i="2"/>
  <c r="T881" i="2"/>
  <c r="T869" i="2"/>
  <c r="T857" i="2"/>
  <c r="T845" i="2"/>
  <c r="T833" i="2"/>
  <c r="T821" i="2"/>
  <c r="T809" i="2"/>
  <c r="T797" i="2"/>
  <c r="T785" i="2"/>
  <c r="T773" i="2"/>
  <c r="T761" i="2"/>
  <c r="T749" i="2"/>
  <c r="T737" i="2"/>
  <c r="T725" i="2"/>
  <c r="T713" i="2"/>
  <c r="T701" i="2"/>
  <c r="T689" i="2"/>
  <c r="U689" i="2" s="1"/>
  <c r="T677" i="2"/>
  <c r="T665" i="2"/>
  <c r="T653" i="2"/>
  <c r="U653" i="2" s="1"/>
  <c r="T641" i="2"/>
  <c r="T629" i="2"/>
  <c r="T617" i="2"/>
  <c r="T605" i="2"/>
  <c r="T593" i="2"/>
  <c r="T581" i="2"/>
  <c r="T569" i="2"/>
  <c r="T557" i="2"/>
  <c r="T545" i="2"/>
  <c r="T533" i="2"/>
  <c r="T521" i="2"/>
  <c r="T509" i="2"/>
  <c r="U509" i="2" s="1"/>
  <c r="T497" i="2"/>
  <c r="U497" i="2" s="1"/>
  <c r="T485" i="2"/>
  <c r="U485" i="2" s="1"/>
  <c r="T473" i="2"/>
  <c r="T461" i="2"/>
  <c r="T449" i="2"/>
  <c r="T437" i="2"/>
  <c r="U437" i="2" s="1"/>
  <c r="T425" i="2"/>
  <c r="T413" i="2"/>
  <c r="T401" i="2"/>
  <c r="T389" i="2"/>
  <c r="T377" i="2"/>
  <c r="T365" i="2"/>
  <c r="T353" i="2"/>
  <c r="T341" i="2"/>
  <c r="T329" i="2"/>
  <c r="T317" i="2"/>
  <c r="T305" i="2"/>
  <c r="T293" i="2"/>
  <c r="T281" i="2"/>
  <c r="T269" i="2"/>
  <c r="T257" i="2"/>
  <c r="U257" i="2" s="1"/>
  <c r="T245" i="2"/>
  <c r="T233" i="2"/>
  <c r="T221" i="2"/>
  <c r="T209" i="2"/>
  <c r="T197" i="2"/>
  <c r="U197" i="2" s="1"/>
  <c r="T185" i="2"/>
  <c r="T173" i="2"/>
  <c r="T161" i="2"/>
  <c r="T149" i="2"/>
  <c r="T137" i="2"/>
  <c r="T125" i="2"/>
  <c r="T113" i="2"/>
  <c r="T101" i="2"/>
  <c r="T89" i="2"/>
  <c r="T77" i="2"/>
  <c r="T65" i="2"/>
  <c r="U65" i="2" s="1"/>
  <c r="T53" i="2"/>
  <c r="T41" i="2"/>
  <c r="T29" i="2"/>
  <c r="T17" i="2"/>
  <c r="T5" i="2"/>
  <c r="T1496" i="2"/>
  <c r="T1472" i="2"/>
  <c r="T1388" i="2"/>
  <c r="T1376" i="2"/>
  <c r="T1364" i="2"/>
  <c r="T1352" i="2"/>
  <c r="T1316" i="2"/>
  <c r="T1064" i="2"/>
  <c r="T1040" i="2"/>
  <c r="T1004" i="2"/>
  <c r="T980" i="2"/>
  <c r="T956" i="2"/>
  <c r="T920" i="2"/>
  <c r="T896" i="2"/>
  <c r="T872" i="2"/>
  <c r="T836" i="2"/>
  <c r="T812" i="2"/>
  <c r="T776" i="2"/>
  <c r="T752" i="2"/>
  <c r="T728" i="2"/>
  <c r="T704" i="2"/>
  <c r="T668" i="2"/>
  <c r="T632" i="2"/>
  <c r="T524" i="2"/>
  <c r="T512" i="2"/>
  <c r="T500" i="2"/>
  <c r="T488" i="2"/>
  <c r="T476" i="2"/>
  <c r="T464" i="2"/>
  <c r="T452" i="2"/>
  <c r="T440" i="2"/>
  <c r="T428" i="2"/>
  <c r="T416" i="2"/>
  <c r="T404" i="2"/>
  <c r="T392" i="2"/>
  <c r="T380" i="2"/>
  <c r="T368" i="2"/>
  <c r="T356" i="2"/>
  <c r="T344" i="2"/>
  <c r="T332" i="2"/>
  <c r="T320" i="2"/>
  <c r="U320" i="2" s="1"/>
  <c r="T308" i="2"/>
  <c r="T296" i="2"/>
  <c r="T284" i="2"/>
  <c r="T272" i="2"/>
  <c r="T260" i="2"/>
  <c r="T248" i="2"/>
  <c r="T236" i="2"/>
  <c r="T224" i="2"/>
  <c r="T212" i="2"/>
  <c r="T200" i="2"/>
  <c r="T188" i="2"/>
  <c r="T176" i="2"/>
  <c r="T164" i="2"/>
  <c r="T152" i="2"/>
  <c r="T140" i="2"/>
  <c r="T128" i="2"/>
  <c r="T116" i="2"/>
  <c r="T104" i="2"/>
  <c r="T92" i="2"/>
  <c r="T80" i="2"/>
  <c r="T68" i="2"/>
  <c r="T56" i="2"/>
  <c r="T44" i="2"/>
  <c r="T32" i="2"/>
  <c r="T20" i="2"/>
  <c r="T8" i="2"/>
  <c r="T1524" i="2"/>
  <c r="T1488" i="2"/>
  <c r="T1464" i="2"/>
  <c r="T1440" i="2"/>
  <c r="T1428" i="2"/>
  <c r="T1404" i="2"/>
  <c r="T1392" i="2"/>
  <c r="T1272" i="2"/>
  <c r="T924" i="2"/>
  <c r="T900" i="2"/>
  <c r="T1520" i="2"/>
  <c r="T1508" i="2"/>
  <c r="T1484" i="2"/>
  <c r="T1460" i="2"/>
  <c r="T1448" i="2"/>
  <c r="T1436" i="2"/>
  <c r="T1424" i="2"/>
  <c r="T1412" i="2"/>
  <c r="T1400" i="2"/>
  <c r="T1340" i="2"/>
  <c r="T1328" i="2"/>
  <c r="T1304" i="2"/>
  <c r="T1292" i="2"/>
  <c r="T1280" i="2"/>
  <c r="T1268" i="2"/>
  <c r="T1256" i="2"/>
  <c r="T1244" i="2"/>
  <c r="T1232" i="2"/>
  <c r="T1220" i="2"/>
  <c r="T1208" i="2"/>
  <c r="T1196" i="2"/>
  <c r="T1184" i="2"/>
  <c r="T1172" i="2"/>
  <c r="T1160" i="2"/>
  <c r="T1148" i="2"/>
  <c r="T1136" i="2"/>
  <c r="T1124" i="2"/>
  <c r="T1112" i="2"/>
  <c r="T1100" i="2"/>
  <c r="T1088" i="2"/>
  <c r="T1076" i="2"/>
  <c r="T1052" i="2"/>
  <c r="T1028" i="2"/>
  <c r="T1016" i="2"/>
  <c r="T992" i="2"/>
  <c r="T968" i="2"/>
  <c r="T944" i="2"/>
  <c r="T932" i="2"/>
  <c r="T908" i="2"/>
  <c r="T884" i="2"/>
  <c r="T860" i="2"/>
  <c r="T848" i="2"/>
  <c r="T824" i="2"/>
  <c r="T800" i="2"/>
  <c r="T788" i="2"/>
  <c r="T764" i="2"/>
  <c r="T740" i="2"/>
  <c r="T716" i="2"/>
  <c r="T692" i="2"/>
  <c r="T680" i="2"/>
  <c r="T656" i="2"/>
  <c r="T644" i="2"/>
  <c r="T620" i="2"/>
  <c r="T608" i="2"/>
  <c r="T596" i="2"/>
  <c r="T584" i="2"/>
  <c r="T572" i="2"/>
  <c r="T560" i="2"/>
  <c r="T548" i="2"/>
  <c r="T536" i="2"/>
  <c r="T1320" i="2"/>
  <c r="T1296" i="2"/>
  <c r="T1248" i="2"/>
  <c r="T1236" i="2"/>
  <c r="T1188" i="2"/>
  <c r="T1134" i="2"/>
  <c r="T1122" i="2"/>
  <c r="T1110" i="2"/>
  <c r="T1098" i="2"/>
  <c r="T1086" i="2"/>
  <c r="T1375" i="2"/>
  <c r="T1303" i="2"/>
  <c r="T1267" i="2"/>
  <c r="U1267" i="2" s="1"/>
  <c r="T1219" i="2"/>
  <c r="T1183" i="2"/>
  <c r="T871" i="2"/>
  <c r="T727" i="2"/>
  <c r="T559" i="2"/>
  <c r="T415" i="2"/>
  <c r="T367" i="2"/>
  <c r="T319" i="2"/>
  <c r="T223" i="2"/>
  <c r="U223" i="2" s="1"/>
  <c r="T211" i="2"/>
  <c r="T175" i="2"/>
  <c r="T151" i="2"/>
  <c r="T31" i="2"/>
  <c r="T1074" i="2"/>
  <c r="T1062" i="2"/>
  <c r="T1050" i="2"/>
  <c r="T1038" i="2"/>
  <c r="T1026" i="2"/>
  <c r="T1014" i="2"/>
  <c r="T1002" i="2"/>
  <c r="T990" i="2"/>
  <c r="T978" i="2"/>
  <c r="T966" i="2"/>
  <c r="T954" i="2"/>
  <c r="T942" i="2"/>
  <c r="T930" i="2"/>
  <c r="T918" i="2"/>
  <c r="T906" i="2"/>
  <c r="T894" i="2"/>
  <c r="T882" i="2"/>
  <c r="T870" i="2"/>
  <c r="T858" i="2"/>
  <c r="T846" i="2"/>
  <c r="T834" i="2"/>
  <c r="T822" i="2"/>
  <c r="T810" i="2"/>
  <c r="T798" i="2"/>
  <c r="T786" i="2"/>
  <c r="T774" i="2"/>
  <c r="T762" i="2"/>
  <c r="T750" i="2"/>
  <c r="T738" i="2"/>
  <c r="T726" i="2"/>
  <c r="T714" i="2"/>
  <c r="T702" i="2"/>
  <c r="T690" i="2"/>
  <c r="T678" i="2"/>
  <c r="T666" i="2"/>
  <c r="T654" i="2"/>
  <c r="T642" i="2"/>
  <c r="T630" i="2"/>
  <c r="T618" i="2"/>
  <c r="T606" i="2"/>
  <c r="T594" i="2"/>
  <c r="T582" i="2"/>
  <c r="T570" i="2"/>
  <c r="T558" i="2"/>
  <c r="T546" i="2"/>
  <c r="T534" i="2"/>
  <c r="T522" i="2"/>
  <c r="T510" i="2"/>
  <c r="T498" i="2"/>
  <c r="T486" i="2"/>
  <c r="T474" i="2"/>
  <c r="T462" i="2"/>
  <c r="T450" i="2"/>
  <c r="T438" i="2"/>
  <c r="T426" i="2"/>
  <c r="T414" i="2"/>
  <c r="T402" i="2"/>
  <c r="T390" i="2"/>
  <c r="T378" i="2"/>
  <c r="T366" i="2"/>
  <c r="T354" i="2"/>
  <c r="T342" i="2"/>
  <c r="T330" i="2"/>
  <c r="T318" i="2"/>
  <c r="T306" i="2"/>
  <c r="U306" i="2" s="1"/>
  <c r="T294" i="2"/>
  <c r="T282" i="2"/>
  <c r="T270" i="2"/>
  <c r="T258" i="2"/>
  <c r="T246" i="2"/>
  <c r="T234" i="2"/>
  <c r="T222" i="2"/>
  <c r="T210" i="2"/>
  <c r="T198" i="2"/>
  <c r="T186" i="2"/>
  <c r="T174" i="2"/>
  <c r="T162" i="2"/>
  <c r="T150" i="2"/>
  <c r="T138" i="2"/>
  <c r="T126" i="2"/>
  <c r="T114" i="2"/>
  <c r="T102" i="2"/>
  <c r="T90" i="2"/>
  <c r="T78" i="2"/>
  <c r="T66" i="2"/>
  <c r="T54" i="2"/>
  <c r="T42" i="2"/>
  <c r="T30" i="2"/>
  <c r="T18" i="2"/>
  <c r="U18" i="2" s="1"/>
  <c r="T6" i="2"/>
  <c r="T215" i="2"/>
  <c r="T179" i="2"/>
  <c r="T1221" i="2"/>
  <c r="T865" i="2"/>
  <c r="T793" i="2"/>
  <c r="T1481" i="2"/>
  <c r="T119" i="2"/>
  <c r="T1529" i="2"/>
  <c r="T1517" i="2"/>
  <c r="T1505" i="2"/>
  <c r="T1493" i="2"/>
  <c r="T1469" i="2"/>
  <c r="T1457" i="2"/>
  <c r="T1445" i="2"/>
  <c r="T1433" i="2"/>
  <c r="T1421" i="2"/>
  <c r="T1409" i="2"/>
  <c r="T1397" i="2"/>
  <c r="T1385" i="2"/>
  <c r="T1373" i="2"/>
  <c r="T1361" i="2"/>
  <c r="T1349" i="2"/>
  <c r="U1349" i="2" s="1"/>
  <c r="T1337" i="2"/>
  <c r="T1325" i="2"/>
  <c r="T1313" i="2"/>
  <c r="T1301" i="2"/>
  <c r="U1301" i="2" s="1"/>
  <c r="T1289" i="2"/>
  <c r="T1277" i="2"/>
  <c r="T1081" i="2"/>
  <c r="T708" i="2"/>
  <c r="U708" i="2" s="1"/>
  <c r="T696" i="2"/>
  <c r="T564" i="2"/>
  <c r="T480" i="2"/>
  <c r="T288" i="2"/>
  <c r="T180" i="2"/>
  <c r="T624" i="2"/>
  <c r="T516" i="2"/>
  <c r="T1343" i="2"/>
  <c r="T1247" i="2"/>
  <c r="T1067" i="2"/>
  <c r="T923" i="2"/>
  <c r="T767" i="2"/>
  <c r="T587" i="2"/>
  <c r="T563" i="2"/>
  <c r="T395" i="2"/>
  <c r="T371" i="2"/>
  <c r="T323" i="2"/>
  <c r="T311" i="2"/>
  <c r="U311" i="2" s="1"/>
  <c r="T155" i="2"/>
  <c r="T11" i="2"/>
  <c r="T1234" i="2"/>
  <c r="T1500" i="2"/>
  <c r="T1222" i="2"/>
  <c r="T1523" i="2"/>
  <c r="T1499" i="2"/>
  <c r="T1487" i="2"/>
  <c r="T1475" i="2"/>
  <c r="T1463" i="2"/>
  <c r="T1451" i="2"/>
  <c r="T1427" i="2"/>
  <c r="T1415" i="2"/>
  <c r="T1403" i="2"/>
  <c r="T1391" i="2"/>
  <c r="T1355" i="2"/>
  <c r="T1319" i="2"/>
  <c r="T1295" i="2"/>
  <c r="T1271" i="2"/>
  <c r="T1223" i="2"/>
  <c r="T1199" i="2"/>
  <c r="T1187" i="2"/>
  <c r="T1151" i="2"/>
  <c r="T1103" i="2"/>
  <c r="T1091" i="2"/>
  <c r="T743" i="2"/>
  <c r="T623" i="2"/>
  <c r="T599" i="2"/>
  <c r="T539" i="2"/>
  <c r="T515" i="2"/>
  <c r="T503" i="2"/>
  <c r="T407" i="2"/>
  <c r="T347" i="2"/>
  <c r="T203" i="2"/>
  <c r="T131" i="2"/>
  <c r="T23" i="2"/>
  <c r="T1377" i="2"/>
  <c r="T1077" i="2"/>
  <c r="T957" i="2"/>
  <c r="T705" i="2"/>
  <c r="U705" i="2" s="1"/>
  <c r="T472" i="2"/>
  <c r="T460" i="2"/>
  <c r="T448" i="2"/>
  <c r="T436" i="2"/>
  <c r="T424" i="2"/>
  <c r="T412" i="2"/>
  <c r="T400" i="2"/>
  <c r="T388" i="2"/>
  <c r="T376" i="2"/>
  <c r="T364" i="2"/>
  <c r="T352" i="2"/>
  <c r="T340" i="2"/>
  <c r="T328" i="2"/>
  <c r="T316" i="2"/>
  <c r="T304" i="2"/>
  <c r="T292" i="2"/>
  <c r="T280" i="2"/>
  <c r="T268" i="2"/>
  <c r="T256" i="2"/>
  <c r="T244" i="2"/>
  <c r="T232" i="2"/>
  <c r="T220" i="2"/>
  <c r="T208" i="2"/>
  <c r="T196" i="2"/>
  <c r="T184" i="2"/>
  <c r="U184" i="2" s="1"/>
  <c r="T172" i="2"/>
  <c r="T160" i="2"/>
  <c r="T148" i="2"/>
  <c r="T136" i="2"/>
  <c r="T124" i="2"/>
  <c r="T112" i="2"/>
  <c r="T100" i="2"/>
  <c r="T88" i="2"/>
  <c r="T64" i="2"/>
  <c r="T52" i="2"/>
  <c r="T40" i="2"/>
  <c r="T28" i="2"/>
  <c r="T16" i="2"/>
  <c r="U16" i="2" s="1"/>
  <c r="T4" i="2"/>
  <c r="T1527" i="2"/>
  <c r="T1515" i="2"/>
  <c r="T1503" i="2"/>
  <c r="T1491" i="2"/>
  <c r="T1479" i="2"/>
  <c r="T1467" i="2"/>
  <c r="T1455" i="2"/>
  <c r="T1443" i="2"/>
  <c r="T1431" i="2"/>
  <c r="T1419" i="2"/>
  <c r="T1407" i="2"/>
  <c r="T1395" i="2"/>
  <c r="T1383" i="2"/>
  <c r="T1371" i="2"/>
  <c r="T1359" i="2"/>
  <c r="T1347" i="2"/>
  <c r="T1335" i="2"/>
  <c r="T1323" i="2"/>
  <c r="T1311" i="2"/>
  <c r="T1299" i="2"/>
  <c r="T1287" i="2"/>
  <c r="T1275" i="2"/>
  <c r="T1263" i="2"/>
  <c r="T1251" i="2"/>
  <c r="T1239" i="2"/>
  <c r="T1227" i="2"/>
  <c r="T1215" i="2"/>
  <c r="T1203" i="2"/>
  <c r="T1191" i="2"/>
  <c r="T1179" i="2"/>
  <c r="T1167" i="2"/>
  <c r="U1167" i="2" s="1"/>
  <c r="T1155" i="2"/>
  <c r="T1143" i="2"/>
  <c r="T1131" i="2"/>
  <c r="T1119" i="2"/>
  <c r="T1107" i="2"/>
  <c r="T1095" i="2"/>
  <c r="T1083" i="2"/>
  <c r="T1071" i="2"/>
  <c r="T1059" i="2"/>
  <c r="T1047" i="2"/>
  <c r="T1035" i="2"/>
  <c r="T1023" i="2"/>
  <c r="T1011" i="2"/>
  <c r="T1526" i="2"/>
  <c r="T1514" i="2"/>
  <c r="T1502" i="2"/>
  <c r="T1490" i="2"/>
  <c r="T1478" i="2"/>
  <c r="T1466" i="2"/>
  <c r="T1454" i="2"/>
  <c r="T1442" i="2"/>
  <c r="T1430" i="2"/>
  <c r="T1418" i="2"/>
  <c r="T1406" i="2"/>
  <c r="T1394" i="2"/>
  <c r="T1382" i="2"/>
  <c r="T1370" i="2"/>
  <c r="T1358" i="2"/>
  <c r="T1346" i="2"/>
  <c r="T1334" i="2"/>
  <c r="T1322" i="2"/>
  <c r="T1310" i="2"/>
  <c r="T1298" i="2"/>
  <c r="T1286" i="2"/>
  <c r="T1274" i="2"/>
  <c r="T1262" i="2"/>
  <c r="T1250" i="2"/>
  <c r="T1238" i="2"/>
  <c r="T1226" i="2"/>
  <c r="T1214" i="2"/>
  <c r="T1202" i="2"/>
  <c r="T1190" i="2"/>
  <c r="T1178" i="2"/>
  <c r="T1166" i="2"/>
  <c r="T1154" i="2"/>
  <c r="U1154" i="2" s="1"/>
  <c r="T1142" i="2"/>
  <c r="T1130" i="2"/>
  <c r="T1118" i="2"/>
  <c r="T1106" i="2"/>
  <c r="T1094" i="2"/>
  <c r="T1082" i="2"/>
  <c r="T1070" i="2"/>
  <c r="T1058" i="2"/>
  <c r="T1046" i="2"/>
  <c r="T1034" i="2"/>
  <c r="T1022" i="2"/>
  <c r="T1010" i="2"/>
  <c r="T998" i="2"/>
  <c r="U998" i="2" s="1"/>
  <c r="T986" i="2"/>
  <c r="U986" i="2" s="1"/>
  <c r="T974" i="2"/>
  <c r="T962" i="2"/>
  <c r="T950" i="2"/>
  <c r="T938" i="2"/>
  <c r="T926" i="2"/>
  <c r="T914" i="2"/>
  <c r="T902" i="2"/>
  <c r="T890" i="2"/>
  <c r="T878" i="2"/>
  <c r="T866" i="2"/>
  <c r="T854" i="2"/>
  <c r="T842" i="2"/>
  <c r="U842" i="2" s="1"/>
  <c r="T830" i="2"/>
  <c r="T818" i="2"/>
  <c r="T806" i="2"/>
  <c r="T794" i="2"/>
  <c r="U794" i="2" s="1"/>
  <c r="T782" i="2"/>
  <c r="T770" i="2"/>
  <c r="T758" i="2"/>
  <c r="T746" i="2"/>
  <c r="T734" i="2"/>
  <c r="T722" i="2"/>
  <c r="T710" i="2"/>
  <c r="T698" i="2"/>
  <c r="T686" i="2"/>
  <c r="T674" i="2"/>
  <c r="T662" i="2"/>
  <c r="T650" i="2"/>
  <c r="T638" i="2"/>
  <c r="T626" i="2"/>
  <c r="T614" i="2"/>
  <c r="T602" i="2"/>
  <c r="T590" i="2"/>
  <c r="T578" i="2"/>
  <c r="T566" i="2"/>
  <c r="T554" i="2"/>
  <c r="T542" i="2"/>
  <c r="U542" i="2" s="1"/>
  <c r="T530" i="2"/>
  <c r="U530" i="2" s="1"/>
  <c r="T518" i="2"/>
  <c r="T506" i="2"/>
  <c r="T494" i="2"/>
  <c r="T482" i="2"/>
  <c r="T470" i="2"/>
  <c r="T458" i="2"/>
  <c r="T446" i="2"/>
  <c r="T434" i="2"/>
  <c r="T422" i="2"/>
  <c r="T410" i="2"/>
  <c r="T398" i="2"/>
  <c r="T386" i="2"/>
  <c r="T374" i="2"/>
  <c r="T362" i="2"/>
  <c r="T350" i="2"/>
  <c r="T338" i="2"/>
  <c r="T326" i="2"/>
  <c r="U326" i="2" s="1"/>
  <c r="T314" i="2"/>
  <c r="T302" i="2"/>
  <c r="T290" i="2"/>
  <c r="U290" i="2" s="1"/>
  <c r="T278" i="2"/>
  <c r="T266" i="2"/>
  <c r="T254" i="2"/>
  <c r="T242" i="2"/>
  <c r="U242" i="2" s="1"/>
  <c r="T230" i="2"/>
  <c r="T218" i="2"/>
  <c r="T206" i="2"/>
  <c r="T194" i="2"/>
  <c r="T182" i="2"/>
  <c r="T170" i="2"/>
  <c r="T158" i="2"/>
  <c r="T146" i="2"/>
  <c r="T134" i="2"/>
  <c r="T122" i="2"/>
  <c r="T110" i="2"/>
  <c r="T98" i="2"/>
  <c r="T86" i="2"/>
  <c r="T74" i="2"/>
  <c r="T62" i="2"/>
  <c r="T50" i="2"/>
  <c r="T38" i="2"/>
  <c r="T26" i="2"/>
  <c r="T14" i="2"/>
  <c r="T999" i="2"/>
  <c r="T987" i="2"/>
  <c r="T963" i="2"/>
  <c r="T951" i="2"/>
  <c r="T939" i="2"/>
  <c r="T927" i="2"/>
  <c r="T915" i="2"/>
  <c r="T903" i="2"/>
  <c r="T891" i="2"/>
  <c r="T879" i="2"/>
  <c r="T867" i="2"/>
  <c r="T855" i="2"/>
  <c r="T843" i="2"/>
  <c r="T831" i="2"/>
  <c r="T819" i="2"/>
  <c r="T807" i="2"/>
  <c r="T795" i="2"/>
  <c r="T783" i="2"/>
  <c r="T771" i="2"/>
  <c r="T759" i="2"/>
  <c r="T747" i="2"/>
  <c r="T735" i="2"/>
  <c r="T723" i="2"/>
  <c r="T711" i="2"/>
  <c r="T699" i="2"/>
  <c r="T687" i="2"/>
  <c r="T675" i="2"/>
  <c r="T663" i="2"/>
  <c r="T651" i="2"/>
  <c r="T639" i="2"/>
  <c r="T627" i="2"/>
  <c r="T615" i="2"/>
  <c r="T603" i="2"/>
  <c r="T591" i="2"/>
  <c r="T579" i="2"/>
  <c r="T567" i="2"/>
  <c r="T555" i="2"/>
  <c r="T543" i="2"/>
  <c r="T531" i="2"/>
  <c r="T519" i="2"/>
  <c r="T507" i="2"/>
  <c r="T495" i="2"/>
  <c r="T483" i="2"/>
  <c r="T471" i="2"/>
  <c r="T459" i="2"/>
  <c r="T447" i="2"/>
  <c r="T435" i="2"/>
  <c r="T423" i="2"/>
  <c r="T411" i="2"/>
  <c r="T399" i="2"/>
  <c r="T387" i="2"/>
  <c r="T375" i="2"/>
  <c r="T363" i="2"/>
  <c r="T351" i="2"/>
  <c r="T339" i="2"/>
  <c r="T327" i="2"/>
  <c r="U327" i="2" s="1"/>
  <c r="T315" i="2"/>
  <c r="T303" i="2"/>
  <c r="T291" i="2"/>
  <c r="T279" i="2"/>
  <c r="T267" i="2"/>
  <c r="T255" i="2"/>
  <c r="T243" i="2"/>
  <c r="T231" i="2"/>
  <c r="T219" i="2"/>
  <c r="T207" i="2"/>
  <c r="T195" i="2"/>
  <c r="T183" i="2"/>
  <c r="T171" i="2"/>
  <c r="T159" i="2"/>
  <c r="T147" i="2"/>
  <c r="T135" i="2"/>
  <c r="T123" i="2"/>
  <c r="T111" i="2"/>
  <c r="T99" i="2"/>
  <c r="T87" i="2"/>
  <c r="T75" i="2"/>
  <c r="T63" i="2"/>
  <c r="U63" i="2" s="1"/>
  <c r="T51" i="2"/>
  <c r="T39" i="2"/>
  <c r="T27" i="2"/>
  <c r="T15" i="2"/>
  <c r="T3" i="2"/>
  <c r="T1525" i="2"/>
  <c r="T1513" i="2"/>
  <c r="U1513" i="2" s="1"/>
  <c r="T1501" i="2"/>
  <c r="T1489" i="2"/>
  <c r="U1489" i="2" s="1"/>
  <c r="T1477" i="2"/>
  <c r="T1465" i="2"/>
  <c r="U1465" i="2" s="1"/>
  <c r="T1453" i="2"/>
  <c r="T1441" i="2"/>
  <c r="T1429" i="2"/>
  <c r="T1417" i="2"/>
  <c r="T1405" i="2"/>
  <c r="T1393" i="2"/>
  <c r="T1381" i="2"/>
  <c r="T1369" i="2"/>
  <c r="T1357" i="2"/>
  <c r="T1345" i="2"/>
  <c r="T1333" i="2"/>
  <c r="T1321" i="2"/>
  <c r="T1309" i="2"/>
  <c r="T1297" i="2"/>
  <c r="T1285" i="2"/>
  <c r="T1273" i="2"/>
  <c r="T1261" i="2"/>
  <c r="T1249" i="2"/>
  <c r="T1237" i="2"/>
  <c r="T1225" i="2"/>
  <c r="T1213" i="2"/>
  <c r="T1201" i="2"/>
  <c r="T1189" i="2"/>
  <c r="T1177" i="2"/>
  <c r="T1165" i="2"/>
  <c r="T1153" i="2"/>
  <c r="T1141" i="2"/>
  <c r="T1129" i="2"/>
  <c r="T1105" i="2"/>
  <c r="T1021" i="2"/>
  <c r="T973" i="2"/>
  <c r="T937" i="2"/>
  <c r="T889" i="2"/>
  <c r="T853" i="2"/>
  <c r="T781" i="2"/>
  <c r="T757" i="2"/>
  <c r="T709" i="2"/>
  <c r="T661" i="2"/>
  <c r="T637" i="2"/>
  <c r="T625" i="2"/>
  <c r="T601" i="2"/>
  <c r="U601" i="2" s="1"/>
  <c r="T577" i="2"/>
  <c r="T481" i="2"/>
  <c r="T469" i="2"/>
  <c r="T433" i="2"/>
  <c r="T409" i="2"/>
  <c r="T349" i="2"/>
  <c r="T289" i="2"/>
  <c r="T241" i="2"/>
  <c r="T193" i="2"/>
  <c r="U193" i="2" s="1"/>
  <c r="T97" i="2"/>
  <c r="U97" i="2" s="1"/>
  <c r="T85" i="2"/>
  <c r="T25" i="2"/>
  <c r="T1123" i="2"/>
  <c r="T643" i="2"/>
  <c r="T535" i="2"/>
  <c r="T1133" i="2"/>
  <c r="T1097" i="2"/>
  <c r="T1061" i="2"/>
  <c r="T1512" i="2"/>
  <c r="T1476" i="2"/>
  <c r="T1452" i="2"/>
  <c r="T1332" i="2"/>
  <c r="T1284" i="2"/>
  <c r="T1224" i="2"/>
  <c r="T1200" i="2"/>
  <c r="T1164" i="2"/>
  <c r="T780" i="2"/>
  <c r="T1146" i="2"/>
  <c r="T1522" i="2"/>
  <c r="T1510" i="2"/>
  <c r="T1498" i="2"/>
  <c r="T1486" i="2"/>
  <c r="T1474" i="2"/>
  <c r="T1462" i="2"/>
  <c r="T1450" i="2"/>
  <c r="T1438" i="2"/>
  <c r="T1426" i="2"/>
  <c r="T1414" i="2"/>
  <c r="T1402" i="2"/>
  <c r="T1390" i="2"/>
  <c r="T1378" i="2"/>
  <c r="T1366" i="2"/>
  <c r="T1354" i="2"/>
  <c r="T1342" i="2"/>
  <c r="T1330" i="2"/>
  <c r="T1318" i="2"/>
  <c r="T1306" i="2"/>
  <c r="T1294" i="2"/>
  <c r="T1282" i="2"/>
  <c r="T1270" i="2"/>
  <c r="T1258" i="2"/>
  <c r="T1246" i="2"/>
  <c r="T1210" i="2"/>
  <c r="T1198" i="2"/>
  <c r="T1186" i="2"/>
  <c r="T1174" i="2"/>
  <c r="T1162" i="2"/>
  <c r="T1150" i="2"/>
  <c r="T1138" i="2"/>
  <c r="T1126" i="2"/>
  <c r="T1114" i="2"/>
  <c r="T1102" i="2"/>
  <c r="T1090" i="2"/>
  <c r="T1078" i="2"/>
  <c r="T1066" i="2"/>
  <c r="T1054" i="2"/>
  <c r="T1042" i="2"/>
  <c r="T1030" i="2"/>
  <c r="T1018" i="2"/>
  <c r="T1006" i="2"/>
  <c r="T994" i="2"/>
  <c r="T982" i="2"/>
  <c r="T970" i="2"/>
  <c r="T958" i="2"/>
  <c r="T946" i="2"/>
  <c r="T1511" i="2"/>
  <c r="T1439" i="2"/>
  <c r="T1331" i="2"/>
  <c r="T1163" i="2"/>
  <c r="T1079" i="2"/>
  <c r="T1521" i="2"/>
  <c r="T1509" i="2"/>
  <c r="T1497" i="2"/>
  <c r="T1485" i="2"/>
  <c r="U1485" i="2" s="1"/>
  <c r="T1473" i="2"/>
  <c r="T1461" i="2"/>
  <c r="T1449" i="2"/>
  <c r="T1437" i="2"/>
  <c r="T1425" i="2"/>
  <c r="T1413" i="2"/>
  <c r="T1401" i="2"/>
  <c r="T1389" i="2"/>
  <c r="T1365" i="2"/>
  <c r="T1353" i="2"/>
  <c r="T1341" i="2"/>
  <c r="T1329" i="2"/>
  <c r="T1317" i="2"/>
  <c r="T1305" i="2"/>
  <c r="T1293" i="2"/>
  <c r="U1293" i="2" s="1"/>
  <c r="T1281" i="2"/>
  <c r="T1269" i="2"/>
  <c r="T1257" i="2"/>
  <c r="T1245" i="2"/>
  <c r="T1233" i="2"/>
  <c r="T1209" i="2"/>
  <c r="U1209" i="2" s="1"/>
  <c r="T1197" i="2"/>
  <c r="T1185" i="2"/>
  <c r="T1173" i="2"/>
  <c r="T1161" i="2"/>
  <c r="U1161" i="2" s="1"/>
  <c r="T1149" i="2"/>
  <c r="U1149" i="2" s="1"/>
  <c r="T1137" i="2"/>
  <c r="T1125" i="2"/>
  <c r="T1113" i="2"/>
  <c r="T1101" i="2"/>
  <c r="T1089" i="2"/>
  <c r="T1065" i="2"/>
  <c r="T1053" i="2"/>
  <c r="T1041" i="2"/>
  <c r="T1029" i="2"/>
  <c r="T1017" i="2"/>
  <c r="T1005" i="2"/>
  <c r="T993" i="2"/>
  <c r="T981" i="2"/>
  <c r="T969" i="2"/>
  <c r="T945" i="2"/>
  <c r="T933" i="2"/>
  <c r="T921" i="2"/>
  <c r="T909" i="2"/>
  <c r="T897" i="2"/>
  <c r="T885" i="2"/>
  <c r="T873" i="2"/>
  <c r="T861" i="2"/>
  <c r="T849" i="2"/>
  <c r="T934" i="2"/>
  <c r="T922" i="2"/>
  <c r="T910" i="2"/>
  <c r="T898" i="2"/>
  <c r="T886" i="2"/>
  <c r="T874" i="2"/>
  <c r="T862" i="2"/>
  <c r="T850" i="2"/>
  <c r="T838" i="2"/>
  <c r="T826" i="2"/>
  <c r="T814" i="2"/>
  <c r="T802" i="2"/>
  <c r="T790" i="2"/>
  <c r="T778" i="2"/>
  <c r="T766" i="2"/>
  <c r="T754" i="2"/>
  <c r="T742" i="2"/>
  <c r="T730" i="2"/>
  <c r="T718" i="2"/>
  <c r="T706" i="2"/>
  <c r="T694" i="2"/>
  <c r="T682" i="2"/>
  <c r="T670" i="2"/>
  <c r="T658" i="2"/>
  <c r="T646" i="2"/>
  <c r="T634" i="2"/>
  <c r="T622" i="2"/>
  <c r="T610" i="2"/>
  <c r="T598" i="2"/>
  <c r="T586" i="2"/>
  <c r="T574" i="2"/>
  <c r="T562" i="2"/>
  <c r="T550" i="2"/>
  <c r="T538" i="2"/>
  <c r="T526" i="2"/>
  <c r="T514" i="2"/>
  <c r="T502" i="2"/>
  <c r="T490" i="2"/>
  <c r="T478" i="2"/>
  <c r="T466" i="2"/>
  <c r="T454" i="2"/>
  <c r="T442" i="2"/>
  <c r="T430" i="2"/>
  <c r="T418" i="2"/>
  <c r="T406" i="2"/>
  <c r="T394" i="2"/>
  <c r="T382" i="2"/>
  <c r="T370" i="2"/>
  <c r="T358" i="2"/>
  <c r="T346" i="2"/>
  <c r="T334" i="2"/>
  <c r="T322" i="2"/>
  <c r="T310" i="2"/>
  <c r="T298" i="2"/>
  <c r="T286" i="2"/>
  <c r="T274" i="2"/>
  <c r="T262" i="2"/>
  <c r="T250" i="2"/>
  <c r="T238" i="2"/>
  <c r="T226" i="2"/>
  <c r="T214" i="2"/>
  <c r="T202" i="2"/>
  <c r="T190" i="2"/>
  <c r="T178" i="2"/>
  <c r="T166" i="2"/>
  <c r="T154" i="2"/>
  <c r="T142" i="2"/>
  <c r="T130" i="2"/>
  <c r="T118" i="2"/>
  <c r="T106" i="2"/>
  <c r="U106" i="2" s="1"/>
  <c r="T94" i="2"/>
  <c r="T82" i="2"/>
  <c r="T70" i="2"/>
  <c r="T58" i="2"/>
  <c r="T46" i="2"/>
  <c r="T34" i="2"/>
  <c r="T22" i="2"/>
  <c r="T10" i="2"/>
  <c r="T899" i="2"/>
  <c r="T887" i="2"/>
  <c r="T863" i="2"/>
  <c r="T837" i="2"/>
  <c r="T825" i="2"/>
  <c r="T813" i="2"/>
  <c r="T801" i="2"/>
  <c r="T789" i="2"/>
  <c r="T777" i="2"/>
  <c r="T765" i="2"/>
  <c r="T753" i="2"/>
  <c r="T741" i="2"/>
  <c r="T729" i="2"/>
  <c r="T717" i="2"/>
  <c r="T693" i="2"/>
  <c r="T681" i="2"/>
  <c r="T669" i="2"/>
  <c r="T657" i="2"/>
  <c r="T645" i="2"/>
  <c r="T633" i="2"/>
  <c r="T621" i="2"/>
  <c r="T609" i="2"/>
  <c r="T597" i="2"/>
  <c r="T585" i="2"/>
  <c r="T573" i="2"/>
  <c r="T561" i="2"/>
  <c r="T549" i="2"/>
  <c r="T537" i="2"/>
  <c r="T525" i="2"/>
  <c r="T513" i="2"/>
  <c r="T501" i="2"/>
  <c r="T489" i="2"/>
  <c r="U489" i="2" s="1"/>
  <c r="T477" i="2"/>
  <c r="T465" i="2"/>
  <c r="T453" i="2"/>
  <c r="T441" i="2"/>
  <c r="T429" i="2"/>
  <c r="T417" i="2"/>
  <c r="T405" i="2"/>
  <c r="T393" i="2"/>
  <c r="T381" i="2"/>
  <c r="T369" i="2"/>
  <c r="T357" i="2"/>
  <c r="T345" i="2"/>
  <c r="T333" i="2"/>
  <c r="T321" i="2"/>
  <c r="T309" i="2"/>
  <c r="T297" i="2"/>
  <c r="T285" i="2"/>
  <c r="T273" i="2"/>
  <c r="T261" i="2"/>
  <c r="T249" i="2"/>
  <c r="T237" i="2"/>
  <c r="T225" i="2"/>
  <c r="T213" i="2"/>
  <c r="T201" i="2"/>
  <c r="T189" i="2"/>
  <c r="T177" i="2"/>
  <c r="T165" i="2"/>
  <c r="U165" i="2" s="1"/>
  <c r="T153" i="2"/>
  <c r="T141" i="2"/>
  <c r="T129" i="2"/>
  <c r="U129" i="2" s="1"/>
  <c r="T117" i="2"/>
  <c r="T105" i="2"/>
  <c r="T93" i="2"/>
  <c r="T81" i="2"/>
  <c r="T69" i="2"/>
  <c r="T57" i="2"/>
  <c r="T45" i="2"/>
  <c r="T33" i="2"/>
  <c r="T21" i="2"/>
  <c r="T9" i="2"/>
  <c r="T385" i="2"/>
  <c r="T277" i="2"/>
  <c r="T217" i="2"/>
  <c r="T49" i="2"/>
  <c r="T732" i="2"/>
  <c r="T636" i="2"/>
  <c r="T372" i="2"/>
  <c r="T324" i="2"/>
  <c r="T132" i="2"/>
  <c r="T96" i="2"/>
  <c r="T1356" i="2"/>
  <c r="U1356" i="2" s="1"/>
  <c r="T1519" i="2"/>
  <c r="T1507" i="2"/>
  <c r="T1495" i="2"/>
  <c r="T1483" i="2"/>
  <c r="T1471" i="2"/>
  <c r="T1459" i="2"/>
  <c r="U1459" i="2" s="1"/>
  <c r="T1447" i="2"/>
  <c r="T1435" i="2"/>
  <c r="T1423" i="2"/>
  <c r="T1411" i="2"/>
  <c r="T1399" i="2"/>
  <c r="T1387" i="2"/>
  <c r="T1363" i="2"/>
  <c r="T1351" i="2"/>
  <c r="T1339" i="2"/>
  <c r="T1327" i="2"/>
  <c r="T1315" i="2"/>
  <c r="T1291" i="2"/>
  <c r="T1279" i="2"/>
  <c r="T1255" i="2"/>
  <c r="T1243" i="2"/>
  <c r="T1231" i="2"/>
  <c r="T1207" i="2"/>
  <c r="T1195" i="2"/>
  <c r="T1171" i="2"/>
  <c r="T1159" i="2"/>
  <c r="T1147" i="2"/>
  <c r="T1135" i="2"/>
  <c r="T1111" i="2"/>
  <c r="T1099" i="2"/>
  <c r="T1087" i="2"/>
  <c r="T1075" i="2"/>
  <c r="T1063" i="2"/>
  <c r="U1063" i="2" s="1"/>
  <c r="T1051" i="2"/>
  <c r="T1039" i="2"/>
  <c r="T1027" i="2"/>
  <c r="U1027" i="2" s="1"/>
  <c r="T1015" i="2"/>
  <c r="T1003" i="2"/>
  <c r="T991" i="2"/>
  <c r="T979" i="2"/>
  <c r="T967" i="2"/>
  <c r="T955" i="2"/>
  <c r="T943" i="2"/>
  <c r="T931" i="2"/>
  <c r="T919" i="2"/>
  <c r="T907" i="2"/>
  <c r="T895" i="2"/>
  <c r="T679" i="2"/>
  <c r="T655" i="2"/>
  <c r="T607" i="2"/>
  <c r="T595" i="2"/>
  <c r="T1530" i="2"/>
  <c r="T1518" i="2"/>
  <c r="T1506" i="2"/>
  <c r="T1494" i="2"/>
  <c r="T1482" i="2"/>
  <c r="T1470" i="2"/>
  <c r="T1458" i="2"/>
  <c r="T1446" i="2"/>
  <c r="T1434" i="2"/>
  <c r="T1422" i="2"/>
  <c r="T1410" i="2"/>
  <c r="T1398" i="2"/>
  <c r="T1386" i="2"/>
  <c r="T1374" i="2"/>
  <c r="T1362" i="2"/>
  <c r="T1350" i="2"/>
  <c r="T1338" i="2"/>
  <c r="T1326" i="2"/>
  <c r="T1314" i="2"/>
  <c r="T1302" i="2"/>
  <c r="T1290" i="2"/>
  <c r="T1278" i="2"/>
  <c r="T1266" i="2"/>
  <c r="T1254" i="2"/>
  <c r="T1242" i="2"/>
  <c r="T1230" i="2"/>
  <c r="T1218" i="2"/>
  <c r="T1206" i="2"/>
  <c r="T1194" i="2"/>
  <c r="T1182" i="2"/>
  <c r="U1182" i="2" s="1"/>
  <c r="T1170" i="2"/>
  <c r="T1158" i="2"/>
  <c r="T76" i="2"/>
  <c r="U76" i="2" s="1"/>
  <c r="T975" i="2"/>
  <c r="U975" i="2" s="1"/>
  <c r="T883" i="2"/>
  <c r="T859" i="2"/>
  <c r="T847" i="2"/>
  <c r="T835" i="2"/>
  <c r="T823" i="2"/>
  <c r="T811" i="2"/>
  <c r="T799" i="2"/>
  <c r="T787" i="2"/>
  <c r="T775" i="2"/>
  <c r="T763" i="2"/>
  <c r="T751" i="2"/>
  <c r="T739" i="2"/>
  <c r="T715" i="2"/>
  <c r="T703" i="2"/>
  <c r="T691" i="2"/>
  <c r="T667" i="2"/>
  <c r="T631" i="2"/>
  <c r="T619" i="2"/>
  <c r="T583" i="2"/>
  <c r="T571" i="2"/>
  <c r="T547" i="2"/>
  <c r="T523" i="2"/>
  <c r="T511" i="2"/>
  <c r="T499" i="2"/>
  <c r="T487" i="2"/>
  <c r="T475" i="2"/>
  <c r="U475" i="2" s="1"/>
  <c r="T463" i="2"/>
  <c r="T451" i="2"/>
  <c r="T439" i="2"/>
  <c r="T427" i="2"/>
  <c r="T403" i="2"/>
  <c r="T391" i="2"/>
  <c r="U391" i="2" s="1"/>
  <c r="T379" i="2"/>
  <c r="T355" i="2"/>
  <c r="T343" i="2"/>
  <c r="T331" i="2"/>
  <c r="T307" i="2"/>
  <c r="T295" i="2"/>
  <c r="T283" i="2"/>
  <c r="T271" i="2"/>
  <c r="T259" i="2"/>
  <c r="T247" i="2"/>
  <c r="T235" i="2"/>
  <c r="T199" i="2"/>
  <c r="T187" i="2"/>
  <c r="T163" i="2"/>
  <c r="T139" i="2"/>
  <c r="T127" i="2"/>
  <c r="T115" i="2"/>
  <c r="T103" i="2"/>
  <c r="T91" i="2"/>
  <c r="T79" i="2"/>
  <c r="T67" i="2"/>
  <c r="T55" i="2"/>
  <c r="T43" i="2"/>
  <c r="T19" i="2"/>
  <c r="U19" i="2" s="1"/>
  <c r="T7" i="2"/>
  <c r="T337" i="2"/>
  <c r="T325" i="2"/>
  <c r="T313" i="2"/>
  <c r="T301" i="2"/>
  <c r="T265" i="2"/>
  <c r="T253" i="2"/>
  <c r="T229" i="2"/>
  <c r="T205" i="2"/>
  <c r="T181" i="2"/>
  <c r="T169" i="2"/>
  <c r="T157" i="2"/>
  <c r="T145" i="2"/>
  <c r="T133" i="2"/>
  <c r="U133" i="2" s="1"/>
  <c r="T121" i="2"/>
  <c r="T109" i="2"/>
  <c r="T73" i="2"/>
  <c r="T61" i="2"/>
  <c r="T37" i="2"/>
  <c r="T13" i="2"/>
  <c r="T1117" i="2"/>
  <c r="U1117" i="2" s="1"/>
  <c r="T1093" i="2"/>
  <c r="T1069" i="2"/>
  <c r="T1057" i="2"/>
  <c r="T1045" i="2"/>
  <c r="T1033" i="2"/>
  <c r="T1009" i="2"/>
  <c r="T997" i="2"/>
  <c r="T985" i="2"/>
  <c r="T961" i="2"/>
  <c r="T949" i="2"/>
  <c r="T925" i="2"/>
  <c r="U925" i="2" s="1"/>
  <c r="T913" i="2"/>
  <c r="T901" i="2"/>
  <c r="T877" i="2"/>
  <c r="T841" i="2"/>
  <c r="T829" i="2"/>
  <c r="T817" i="2"/>
  <c r="T805" i="2"/>
  <c r="T769" i="2"/>
  <c r="T745" i="2"/>
  <c r="T733" i="2"/>
  <c r="T721" i="2"/>
  <c r="T697" i="2"/>
  <c r="T685" i="2"/>
  <c r="T649" i="2"/>
  <c r="T613" i="2"/>
  <c r="T589" i="2"/>
  <c r="T565" i="2"/>
  <c r="T553" i="2"/>
  <c r="T541" i="2"/>
  <c r="T529" i="2"/>
  <c r="T517" i="2"/>
  <c r="T505" i="2"/>
  <c r="T493" i="2"/>
  <c r="T457" i="2"/>
  <c r="T445" i="2"/>
  <c r="T421" i="2"/>
  <c r="T397" i="2"/>
  <c r="T373" i="2"/>
  <c r="T361" i="2"/>
  <c r="T1416" i="2"/>
  <c r="T1380" i="2"/>
  <c r="T1368" i="2"/>
  <c r="T1344" i="2"/>
  <c r="T1308" i="2"/>
  <c r="T1260" i="2"/>
  <c r="T1212" i="2"/>
  <c r="T1176" i="2"/>
  <c r="T1152" i="2"/>
  <c r="T1140" i="2"/>
  <c r="T1128" i="2"/>
  <c r="T1116" i="2"/>
  <c r="T1104" i="2"/>
  <c r="T1092" i="2"/>
  <c r="T1080" i="2"/>
  <c r="T1068" i="2"/>
  <c r="T1056" i="2"/>
  <c r="T1044" i="2"/>
  <c r="T1032" i="2"/>
  <c r="T1020" i="2"/>
  <c r="T1008" i="2"/>
  <c r="T996" i="2"/>
  <c r="T984" i="2"/>
  <c r="T972" i="2"/>
  <c r="T960" i="2"/>
  <c r="U960" i="2" s="1"/>
  <c r="T948" i="2"/>
  <c r="T936" i="2"/>
  <c r="T912" i="2"/>
  <c r="T888" i="2"/>
  <c r="T876" i="2"/>
  <c r="T864" i="2"/>
  <c r="T852" i="2"/>
  <c r="T840" i="2"/>
  <c r="T828" i="2"/>
  <c r="U828" i="2" s="1"/>
  <c r="T816" i="2"/>
  <c r="T804" i="2"/>
  <c r="T792" i="2"/>
  <c r="T768" i="2"/>
  <c r="T756" i="2"/>
  <c r="T744" i="2"/>
  <c r="T720" i="2"/>
  <c r="T684" i="2"/>
  <c r="T672" i="2"/>
  <c r="T660" i="2"/>
  <c r="T648" i="2"/>
  <c r="T612" i="2"/>
  <c r="T600" i="2"/>
  <c r="T588" i="2"/>
  <c r="T576" i="2"/>
  <c r="T552" i="2"/>
  <c r="T540" i="2"/>
  <c r="T528" i="2"/>
  <c r="T504" i="2"/>
  <c r="T492" i="2"/>
  <c r="T468" i="2"/>
  <c r="T456" i="2"/>
  <c r="T444" i="2"/>
  <c r="U444" i="2" s="1"/>
  <c r="T432" i="2"/>
  <c r="T420" i="2"/>
  <c r="T408" i="2"/>
  <c r="T396" i="2"/>
  <c r="U396" i="2" s="1"/>
  <c r="T384" i="2"/>
  <c r="T360" i="2"/>
  <c r="T348" i="2"/>
  <c r="T336" i="2"/>
  <c r="T312" i="2"/>
  <c r="T300" i="2"/>
  <c r="T276" i="2"/>
  <c r="T264" i="2"/>
  <c r="T252" i="2"/>
  <c r="T240" i="2"/>
  <c r="T228" i="2"/>
  <c r="T216" i="2"/>
  <c r="T204" i="2"/>
  <c r="T192" i="2"/>
  <c r="T168" i="2"/>
  <c r="T156" i="2"/>
  <c r="T144" i="2"/>
  <c r="T120" i="2"/>
  <c r="T108" i="2"/>
  <c r="T84" i="2"/>
  <c r="T72" i="2"/>
  <c r="T60" i="2"/>
  <c r="T48" i="2"/>
  <c r="T36" i="2"/>
  <c r="T24" i="2"/>
  <c r="T12" i="2"/>
  <c r="T673" i="2"/>
  <c r="T1379" i="2"/>
  <c r="T1367" i="2"/>
  <c r="T1307" i="2"/>
  <c r="T1283" i="2"/>
  <c r="T1259" i="2"/>
  <c r="T1235" i="2"/>
  <c r="T1211" i="2"/>
  <c r="T1175" i="2"/>
  <c r="T1139" i="2"/>
  <c r="T851" i="2"/>
  <c r="T827" i="2"/>
  <c r="T779" i="2"/>
  <c r="T731" i="2"/>
  <c r="T707" i="2"/>
  <c r="T695" i="2"/>
  <c r="T611" i="2"/>
  <c r="T491" i="2"/>
  <c r="T455" i="2"/>
  <c r="T419" i="2"/>
  <c r="T299" i="2"/>
  <c r="T263" i="2"/>
  <c r="U263" i="2" s="1"/>
  <c r="T227" i="2"/>
  <c r="U227" i="2" s="1"/>
  <c r="T107" i="2"/>
  <c r="T71" i="2"/>
  <c r="T35" i="2"/>
  <c r="U35" i="2" s="1"/>
  <c r="T1229" i="2"/>
  <c r="T1217" i="2"/>
  <c r="T1205" i="2"/>
  <c r="T1193" i="2"/>
  <c r="T1181" i="2"/>
  <c r="T1169" i="2"/>
  <c r="T1157" i="2"/>
  <c r="T1145" i="2"/>
  <c r="T1085" i="2"/>
  <c r="T1073" i="2"/>
  <c r="T1025" i="2"/>
  <c r="T977" i="2"/>
  <c r="T1127" i="2"/>
  <c r="T1115" i="2"/>
  <c r="T1055" i="2"/>
  <c r="T1043" i="2"/>
  <c r="T1031" i="2"/>
  <c r="T1019" i="2"/>
  <c r="T1007" i="2"/>
  <c r="T995" i="2"/>
  <c r="T983" i="2"/>
  <c r="T971" i="2"/>
  <c r="T959" i="2"/>
  <c r="T947" i="2"/>
  <c r="T935" i="2"/>
  <c r="T911" i="2"/>
  <c r="T875" i="2"/>
  <c r="T839" i="2"/>
  <c r="T815" i="2"/>
  <c r="T803" i="2"/>
  <c r="T791" i="2"/>
  <c r="T755" i="2"/>
  <c r="T719" i="2"/>
  <c r="T683" i="2"/>
  <c r="T671" i="2"/>
  <c r="T659" i="2"/>
  <c r="T647" i="2"/>
  <c r="T635" i="2"/>
  <c r="T575" i="2"/>
  <c r="T551" i="2"/>
  <c r="T527" i="2"/>
  <c r="T479" i="2"/>
  <c r="T467" i="2"/>
  <c r="T443" i="2"/>
  <c r="T431" i="2"/>
  <c r="T383" i="2"/>
  <c r="T359" i="2"/>
  <c r="T335" i="2"/>
  <c r="T287" i="2"/>
  <c r="T275" i="2"/>
  <c r="T251" i="2"/>
  <c r="T239" i="2"/>
  <c r="T191" i="2"/>
  <c r="T167" i="2"/>
  <c r="T143" i="2"/>
  <c r="T95" i="2"/>
  <c r="T83" i="2"/>
  <c r="T59" i="2"/>
  <c r="T47" i="2"/>
  <c r="M921" i="2"/>
  <c r="M482" i="2"/>
  <c r="N482" i="2" s="1"/>
  <c r="M1260" i="2"/>
  <c r="M246" i="2"/>
  <c r="N246" i="2" s="1"/>
  <c r="I750" i="2"/>
  <c r="J750" i="2" s="1"/>
  <c r="I543" i="2"/>
  <c r="J543" i="2" s="1"/>
  <c r="I663" i="2"/>
  <c r="J663" i="2" s="1"/>
  <c r="I654" i="2"/>
  <c r="J654" i="2" s="1"/>
  <c r="I460" i="2"/>
  <c r="J460" i="2" s="1"/>
  <c r="I533" i="2"/>
  <c r="J533" i="2" s="1"/>
  <c r="I1101" i="2"/>
  <c r="J1101" i="2" s="1"/>
  <c r="I532" i="2"/>
  <c r="J532" i="2" s="1"/>
  <c r="I198" i="2"/>
  <c r="J198" i="2" s="1"/>
  <c r="I953" i="2"/>
  <c r="J953" i="2" s="1"/>
  <c r="I1470" i="2"/>
  <c r="J1470" i="2" s="1"/>
  <c r="I891" i="2"/>
  <c r="J891" i="2" s="1"/>
  <c r="I354" i="2"/>
  <c r="J354" i="2" s="1"/>
  <c r="I306" i="2"/>
  <c r="J306" i="2" s="1"/>
  <c r="I305" i="2"/>
  <c r="J305" i="2" s="1"/>
  <c r="I1206" i="2"/>
  <c r="J1206" i="2" s="1"/>
  <c r="I233" i="2"/>
  <c r="J233" i="2" s="1"/>
  <c r="I499" i="2"/>
  <c r="J499" i="2" s="1"/>
  <c r="I1328" i="2"/>
  <c r="J1328" i="2" s="1"/>
  <c r="I431" i="2"/>
  <c r="J431" i="2" s="1"/>
  <c r="I667" i="2"/>
  <c r="J667" i="2" s="1"/>
  <c r="I1082" i="2"/>
  <c r="J1082" i="2" s="1"/>
  <c r="I29" i="2"/>
  <c r="J29" i="2" s="1"/>
  <c r="I573" i="2"/>
  <c r="J573" i="2" s="1"/>
  <c r="I394" i="2"/>
  <c r="J394" i="2" s="1"/>
  <c r="I513" i="2"/>
  <c r="J513" i="2" s="1"/>
  <c r="I1003" i="2"/>
  <c r="J1003" i="2" s="1"/>
  <c r="I1461" i="2"/>
  <c r="J1461" i="2" s="1"/>
  <c r="I105" i="2"/>
  <c r="J105" i="2" s="1"/>
  <c r="I101" i="2"/>
  <c r="J101" i="2" s="1"/>
  <c r="I1212" i="2"/>
  <c r="J1212" i="2" s="1"/>
  <c r="I337" i="2"/>
  <c r="J337" i="2" s="1"/>
  <c r="I539" i="2"/>
  <c r="J539" i="2" s="1"/>
  <c r="I347" i="2"/>
  <c r="J347" i="2" s="1"/>
  <c r="I1249" i="2"/>
  <c r="J1249" i="2" s="1"/>
  <c r="I361" i="2"/>
  <c r="J361" i="2" s="1"/>
  <c r="I1222" i="2"/>
  <c r="J1222" i="2" s="1"/>
  <c r="I359" i="2"/>
  <c r="J359" i="2" s="1"/>
  <c r="I634" i="2"/>
  <c r="J634" i="2" s="1"/>
  <c r="I240" i="2"/>
  <c r="J240" i="2" s="1"/>
  <c r="I974" i="2"/>
  <c r="J974" i="2" s="1"/>
  <c r="I1220" i="2"/>
  <c r="J1220" i="2" s="1"/>
  <c r="I362" i="2"/>
  <c r="J362" i="2" s="1"/>
  <c r="I1405" i="2"/>
  <c r="J1405" i="2" s="1"/>
  <c r="I1046" i="2"/>
  <c r="J1046" i="2" s="1"/>
  <c r="I72" i="2"/>
  <c r="J72" i="2" s="1"/>
  <c r="I1526" i="2"/>
  <c r="J1526" i="2" s="1"/>
  <c r="I600" i="2"/>
  <c r="J600" i="2" s="1"/>
  <c r="I1513" i="2"/>
  <c r="J1513" i="2" s="1"/>
  <c r="I851" i="2"/>
  <c r="J851" i="2" s="1"/>
  <c r="I205" i="2"/>
  <c r="J205" i="2" s="1"/>
  <c r="I1070" i="2"/>
  <c r="J1070" i="2" s="1"/>
  <c r="I1332" i="2"/>
  <c r="J1332" i="2" s="1"/>
  <c r="I986" i="2"/>
  <c r="J986" i="2" s="1"/>
  <c r="I1285" i="2"/>
  <c r="J1285" i="2" s="1"/>
  <c r="I674" i="2"/>
  <c r="J674" i="2" s="1"/>
  <c r="I649" i="2"/>
  <c r="J649" i="2" s="1"/>
  <c r="I1498" i="2"/>
  <c r="J1498" i="2" s="1"/>
  <c r="I874" i="2"/>
  <c r="J874" i="2" s="1"/>
  <c r="I1459" i="2"/>
  <c r="J1459" i="2" s="1"/>
  <c r="I885" i="2"/>
  <c r="J885" i="2" s="1"/>
  <c r="I672" i="2"/>
  <c r="J672" i="2" s="1"/>
  <c r="I201" i="2"/>
  <c r="J201" i="2" s="1"/>
  <c r="I211" i="2"/>
  <c r="J21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68D53A-AAFA-43E8-AAB8-E477356F207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<sst xmlns="http://schemas.openxmlformats.org/spreadsheetml/2006/main" count="33717" uniqueCount="1310">
  <si>
    <t>Sex</t>
  </si>
  <si>
    <t>Age</t>
  </si>
  <si>
    <t>Weight (kg)</t>
  </si>
  <si>
    <t>Height (m)</t>
  </si>
  <si>
    <t>BMI</t>
  </si>
  <si>
    <t>Abdominal Circumference (cm)</t>
  </si>
  <si>
    <t>Blood Pressure (mmHg)</t>
  </si>
  <si>
    <t>Total Cholesterol (mg/dL)</t>
  </si>
  <si>
    <t>HDL (mg/dL)</t>
  </si>
  <si>
    <t>Fasting Blood Sugar (mg/dL)</t>
  </si>
  <si>
    <t>Smoking Status</t>
  </si>
  <si>
    <t>Diabetes Status</t>
  </si>
  <si>
    <t>Physical Activity Level</t>
  </si>
  <si>
    <t>Waist-to-Height Ratio</t>
  </si>
  <si>
    <t>Systolic BP</t>
  </si>
  <si>
    <t>Diastolic BP</t>
  </si>
  <si>
    <t>Blood Pressure Category</t>
  </si>
  <si>
    <t>Estimated LDL (mg/dL)</t>
  </si>
  <si>
    <t>CVD Risk Score</t>
  </si>
  <si>
    <t>CVD Risk Level</t>
  </si>
  <si>
    <t>F</t>
  </si>
  <si>
    <t>125/79</t>
  </si>
  <si>
    <t>N</t>
  </si>
  <si>
    <t>Y</t>
  </si>
  <si>
    <t>Low</t>
  </si>
  <si>
    <t>Elevated</t>
  </si>
  <si>
    <t>INTERMEDIARY</t>
  </si>
  <si>
    <t>139/70</t>
  </si>
  <si>
    <t>High</t>
  </si>
  <si>
    <t>Hypertension Stage 1</t>
  </si>
  <si>
    <t>HIGH</t>
  </si>
  <si>
    <t>M</t>
  </si>
  <si>
    <t>104/77</t>
  </si>
  <si>
    <t>Normal</t>
  </si>
  <si>
    <t>140/83</t>
  </si>
  <si>
    <t>144/83</t>
  </si>
  <si>
    <t>142/90</t>
  </si>
  <si>
    <t>Moderate</t>
  </si>
  <si>
    <t>Hypertension Stage 2</t>
  </si>
  <si>
    <t>96/63</t>
  </si>
  <si>
    <t>115/73</t>
  </si>
  <si>
    <t>107/95</t>
  </si>
  <si>
    <t>133/83</t>
  </si>
  <si>
    <t>129/87</t>
  </si>
  <si>
    <t>134/91</t>
  </si>
  <si>
    <t>102/63</t>
  </si>
  <si>
    <t>142/92</t>
  </si>
  <si>
    <t>101/64</t>
  </si>
  <si>
    <t>101/67</t>
  </si>
  <si>
    <t>138/99</t>
  </si>
  <si>
    <t>129/100</t>
  </si>
  <si>
    <t>138/96</t>
  </si>
  <si>
    <t>LOW</t>
  </si>
  <si>
    <t>95/92</t>
  </si>
  <si>
    <t>132/92</t>
  </si>
  <si>
    <t>120/89</t>
  </si>
  <si>
    <t>121/79</t>
  </si>
  <si>
    <t>102/74</t>
  </si>
  <si>
    <t>98/99</t>
  </si>
  <si>
    <t>137/70</t>
  </si>
  <si>
    <t>148/97</t>
  </si>
  <si>
    <t>128/66</t>
  </si>
  <si>
    <t>97/63</t>
  </si>
  <si>
    <t>91/95</t>
  </si>
  <si>
    <t>97/75</t>
  </si>
  <si>
    <t>109/64</t>
  </si>
  <si>
    <t>106/87</t>
  </si>
  <si>
    <t>100/83</t>
  </si>
  <si>
    <t>122/84</t>
  </si>
  <si>
    <t>136/80</t>
  </si>
  <si>
    <t>99/99</t>
  </si>
  <si>
    <t>144/73</t>
  </si>
  <si>
    <t>130/75</t>
  </si>
  <si>
    <t>134/64</t>
  </si>
  <si>
    <t>117/85</t>
  </si>
  <si>
    <t>116/61</t>
  </si>
  <si>
    <t>105/64</t>
  </si>
  <si>
    <t>129/78</t>
  </si>
  <si>
    <t>94/61</t>
  </si>
  <si>
    <t>129/75</t>
  </si>
  <si>
    <t>110/74</t>
  </si>
  <si>
    <t>120/77</t>
  </si>
  <si>
    <t>145/84</t>
  </si>
  <si>
    <t>97/73</t>
  </si>
  <si>
    <t>135/96</t>
  </si>
  <si>
    <t>135/75</t>
  </si>
  <si>
    <t>102/71</t>
  </si>
  <si>
    <t>148/92</t>
  </si>
  <si>
    <t>139/66</t>
  </si>
  <si>
    <t>94/81</t>
  </si>
  <si>
    <t>104/60</t>
  </si>
  <si>
    <t>129/71</t>
  </si>
  <si>
    <t>98/73</t>
  </si>
  <si>
    <t>149/84</t>
  </si>
  <si>
    <t>103/98</t>
  </si>
  <si>
    <t>99/92</t>
  </si>
  <si>
    <t>114/91</t>
  </si>
  <si>
    <t>116/64</t>
  </si>
  <si>
    <t>93/65</t>
  </si>
  <si>
    <t>113/63</t>
  </si>
  <si>
    <t>142/66</t>
  </si>
  <si>
    <t>142/69</t>
  </si>
  <si>
    <t>140/68</t>
  </si>
  <si>
    <t>102/79</t>
  </si>
  <si>
    <t>96/65</t>
  </si>
  <si>
    <t>101/81</t>
  </si>
  <si>
    <t>112/83</t>
  </si>
  <si>
    <t>93/67</t>
  </si>
  <si>
    <t>132/73</t>
  </si>
  <si>
    <t>98/63</t>
  </si>
  <si>
    <t>120/74</t>
  </si>
  <si>
    <t>90/95</t>
  </si>
  <si>
    <t>94/78</t>
  </si>
  <si>
    <t>127/96</t>
  </si>
  <si>
    <t>120/87</t>
  </si>
  <si>
    <t>99/90</t>
  </si>
  <si>
    <t>114/63</t>
  </si>
  <si>
    <t>132/97</t>
  </si>
  <si>
    <t>111/68</t>
  </si>
  <si>
    <t>97/69</t>
  </si>
  <si>
    <t>120/71</t>
  </si>
  <si>
    <t>130/97</t>
  </si>
  <si>
    <t>119/65</t>
  </si>
  <si>
    <t>120/96</t>
  </si>
  <si>
    <t>111/93</t>
  </si>
  <si>
    <t>105/100</t>
  </si>
  <si>
    <t>100/91</t>
  </si>
  <si>
    <t>98/64</t>
  </si>
  <si>
    <t>135/80</t>
  </si>
  <si>
    <t>124/72</t>
  </si>
  <si>
    <t>127/98</t>
  </si>
  <si>
    <t>90/78</t>
  </si>
  <si>
    <t>103/96</t>
  </si>
  <si>
    <t>103/81</t>
  </si>
  <si>
    <t>111/98</t>
  </si>
  <si>
    <t>92/73</t>
  </si>
  <si>
    <t>99/97</t>
  </si>
  <si>
    <t>107/67</t>
  </si>
  <si>
    <t>137/68</t>
  </si>
  <si>
    <t>104/81</t>
  </si>
  <si>
    <t>113/99</t>
  </si>
  <si>
    <t>90/67</t>
  </si>
  <si>
    <t>122/88</t>
  </si>
  <si>
    <t>133/97</t>
  </si>
  <si>
    <t>135/100</t>
  </si>
  <si>
    <t>114/96</t>
  </si>
  <si>
    <t>117/97</t>
  </si>
  <si>
    <t>139/61</t>
  </si>
  <si>
    <t>117/61</t>
  </si>
  <si>
    <t>108/81</t>
  </si>
  <si>
    <t>94/92</t>
  </si>
  <si>
    <t>137/82</t>
  </si>
  <si>
    <t>128/91</t>
  </si>
  <si>
    <t>94/79</t>
  </si>
  <si>
    <t>149/66</t>
  </si>
  <si>
    <t>135/77</t>
  </si>
  <si>
    <t>100/76</t>
  </si>
  <si>
    <t>95/84</t>
  </si>
  <si>
    <t>110/83</t>
  </si>
  <si>
    <t>92/90</t>
  </si>
  <si>
    <t>111/94</t>
  </si>
  <si>
    <t>107/66</t>
  </si>
  <si>
    <t>98/72</t>
  </si>
  <si>
    <t>150/96</t>
  </si>
  <si>
    <t>96/69</t>
  </si>
  <si>
    <t>130/95</t>
  </si>
  <si>
    <t>140/85</t>
  </si>
  <si>
    <t>138/73</t>
  </si>
  <si>
    <t>101/82</t>
  </si>
  <si>
    <t>126/64</t>
  </si>
  <si>
    <t>135/82</t>
  </si>
  <si>
    <t>150/71</t>
  </si>
  <si>
    <t>116/93</t>
  </si>
  <si>
    <t>96/90</t>
  </si>
  <si>
    <t>117/93</t>
  </si>
  <si>
    <t>97/84</t>
  </si>
  <si>
    <t>145/96</t>
  </si>
  <si>
    <t>127/77</t>
  </si>
  <si>
    <t>98/60</t>
  </si>
  <si>
    <t>91/79</t>
  </si>
  <si>
    <t>147/82</t>
  </si>
  <si>
    <t>117/91</t>
  </si>
  <si>
    <t>119/81</t>
  </si>
  <si>
    <t>136/61</t>
  </si>
  <si>
    <t>149/81</t>
  </si>
  <si>
    <t>97/79</t>
  </si>
  <si>
    <t>140/86</t>
  </si>
  <si>
    <t>121/67</t>
  </si>
  <si>
    <t>150/84</t>
  </si>
  <si>
    <t>131/79</t>
  </si>
  <si>
    <t>119/92</t>
  </si>
  <si>
    <t>144/72</t>
  </si>
  <si>
    <t>144/70</t>
  </si>
  <si>
    <t>137/64</t>
  </si>
  <si>
    <t>124/76</t>
  </si>
  <si>
    <t>142/79</t>
  </si>
  <si>
    <t>92/84</t>
  </si>
  <si>
    <t>133/75</t>
  </si>
  <si>
    <t>125/73</t>
  </si>
  <si>
    <t>97/74</t>
  </si>
  <si>
    <t>146/73</t>
  </si>
  <si>
    <t>91/61</t>
  </si>
  <si>
    <t>119/89</t>
  </si>
  <si>
    <t>133/65</t>
  </si>
  <si>
    <t>118/89</t>
  </si>
  <si>
    <t>121/94</t>
  </si>
  <si>
    <t>141/69</t>
  </si>
  <si>
    <t>130/71</t>
  </si>
  <si>
    <t>111/84</t>
  </si>
  <si>
    <t>102/60</t>
  </si>
  <si>
    <t>107/61</t>
  </si>
  <si>
    <t>133/77</t>
  </si>
  <si>
    <t>112/91</t>
  </si>
  <si>
    <t>122/65</t>
  </si>
  <si>
    <t>90/92</t>
  </si>
  <si>
    <t>133/70</t>
  </si>
  <si>
    <t>142/64</t>
  </si>
  <si>
    <t>117/62</t>
  </si>
  <si>
    <t>141/65</t>
  </si>
  <si>
    <t>113/94</t>
  </si>
  <si>
    <t>122/80</t>
  </si>
  <si>
    <t>97/64</t>
  </si>
  <si>
    <t>144/74</t>
  </si>
  <si>
    <t>130/73</t>
  </si>
  <si>
    <t>95/62</t>
  </si>
  <si>
    <t>121/83</t>
  </si>
  <si>
    <t>118/84</t>
  </si>
  <si>
    <t>143/89</t>
  </si>
  <si>
    <t>139/76</t>
  </si>
  <si>
    <t>97/89</t>
  </si>
  <si>
    <t>118/61</t>
  </si>
  <si>
    <t>91/64</t>
  </si>
  <si>
    <t>98/94</t>
  </si>
  <si>
    <t>114/92</t>
  </si>
  <si>
    <t>110/81</t>
  </si>
  <si>
    <t>98/87</t>
  </si>
  <si>
    <t>107/88</t>
  </si>
  <si>
    <t>90/72</t>
  </si>
  <si>
    <t>149/68</t>
  </si>
  <si>
    <t>90/80</t>
  </si>
  <si>
    <t>135/61</t>
  </si>
  <si>
    <t>127/71</t>
  </si>
  <si>
    <t>111/86</t>
  </si>
  <si>
    <t>140/70</t>
  </si>
  <si>
    <t>96/73</t>
  </si>
  <si>
    <t>143/67</t>
  </si>
  <si>
    <t>148/91</t>
  </si>
  <si>
    <t>124/70</t>
  </si>
  <si>
    <t>128/81</t>
  </si>
  <si>
    <t>92/89</t>
  </si>
  <si>
    <t>141/78</t>
  </si>
  <si>
    <t>137/76</t>
  </si>
  <si>
    <t>133/63</t>
  </si>
  <si>
    <t>131/95</t>
  </si>
  <si>
    <t>129/86</t>
  </si>
  <si>
    <t>119/61</t>
  </si>
  <si>
    <t>127/84</t>
  </si>
  <si>
    <t>139/86</t>
  </si>
  <si>
    <t>126/71</t>
  </si>
  <si>
    <t>140/69</t>
  </si>
  <si>
    <t>127/91</t>
  </si>
  <si>
    <t>103/73</t>
  </si>
  <si>
    <t>126/86</t>
  </si>
  <si>
    <t>150/61</t>
  </si>
  <si>
    <t>94/64</t>
  </si>
  <si>
    <t>110/92</t>
  </si>
  <si>
    <t>98/66</t>
  </si>
  <si>
    <t>125/65</t>
  </si>
  <si>
    <t>121/68</t>
  </si>
  <si>
    <t>133/86</t>
  </si>
  <si>
    <t>101/98</t>
  </si>
  <si>
    <t>121/100</t>
  </si>
  <si>
    <t>148/96</t>
  </si>
  <si>
    <t>100/62</t>
  </si>
  <si>
    <t>103/82</t>
  </si>
  <si>
    <t>110/78</t>
  </si>
  <si>
    <t>94/73</t>
  </si>
  <si>
    <t>109/83</t>
  </si>
  <si>
    <t>113/69</t>
  </si>
  <si>
    <t>136/76</t>
  </si>
  <si>
    <t>139/64</t>
  </si>
  <si>
    <t>114/69</t>
  </si>
  <si>
    <t>118/64</t>
  </si>
  <si>
    <t>124/66</t>
  </si>
  <si>
    <t>94/93</t>
  </si>
  <si>
    <t>117/66</t>
  </si>
  <si>
    <t>103/99</t>
  </si>
  <si>
    <t>114/90</t>
  </si>
  <si>
    <t>116/69</t>
  </si>
  <si>
    <t>136/93</t>
  </si>
  <si>
    <t>99/82</t>
  </si>
  <si>
    <t>100/96</t>
  </si>
  <si>
    <t>140/95</t>
  </si>
  <si>
    <t>101/72</t>
  </si>
  <si>
    <t>99/76</t>
  </si>
  <si>
    <t>150/91</t>
  </si>
  <si>
    <t>139/81</t>
  </si>
  <si>
    <t>104/83</t>
  </si>
  <si>
    <t>147/64</t>
  </si>
  <si>
    <t>117/69</t>
  </si>
  <si>
    <t>115/100</t>
  </si>
  <si>
    <t>141/85</t>
  </si>
  <si>
    <t>110/77</t>
  </si>
  <si>
    <t>136/85</t>
  </si>
  <si>
    <t>145/62</t>
  </si>
  <si>
    <t>113/72</t>
  </si>
  <si>
    <t>123/75</t>
  </si>
  <si>
    <t>99/75</t>
  </si>
  <si>
    <t>106/61</t>
  </si>
  <si>
    <t>129/77</t>
  </si>
  <si>
    <t>101/78</t>
  </si>
  <si>
    <t>98/76</t>
  </si>
  <si>
    <t>108/67</t>
  </si>
  <si>
    <t>121/88</t>
  </si>
  <si>
    <t>91/88</t>
  </si>
  <si>
    <t>100/90</t>
  </si>
  <si>
    <t>104/85</t>
  </si>
  <si>
    <t>129/63</t>
  </si>
  <si>
    <t>128/88</t>
  </si>
  <si>
    <t>124/91</t>
  </si>
  <si>
    <t>131/67</t>
  </si>
  <si>
    <t>124/90</t>
  </si>
  <si>
    <t>111/78</t>
  </si>
  <si>
    <t>128/93</t>
  </si>
  <si>
    <t>109/67</t>
  </si>
  <si>
    <t>116/83</t>
  </si>
  <si>
    <t>136/60</t>
  </si>
  <si>
    <t>149/61</t>
  </si>
  <si>
    <t>133/74</t>
  </si>
  <si>
    <t>142/67</t>
  </si>
  <si>
    <t>149/93</t>
  </si>
  <si>
    <t>93/89</t>
  </si>
  <si>
    <t>123/77</t>
  </si>
  <si>
    <t>106/83</t>
  </si>
  <si>
    <t>117/64</t>
  </si>
  <si>
    <t>100/80</t>
  </si>
  <si>
    <t>99/70</t>
  </si>
  <si>
    <t>145/60</t>
  </si>
  <si>
    <t>104/96</t>
  </si>
  <si>
    <t>110/71</t>
  </si>
  <si>
    <t>123/89</t>
  </si>
  <si>
    <t>93/85</t>
  </si>
  <si>
    <t>95/66</t>
  </si>
  <si>
    <t>129/94</t>
  </si>
  <si>
    <t>99/83</t>
  </si>
  <si>
    <t>116/72</t>
  </si>
  <si>
    <t>110/93</t>
  </si>
  <si>
    <t>111/76</t>
  </si>
  <si>
    <t>125/61</t>
  </si>
  <si>
    <t>93/63</t>
  </si>
  <si>
    <t>141/79</t>
  </si>
  <si>
    <t>138/100</t>
  </si>
  <si>
    <t>108/65</t>
  </si>
  <si>
    <t>137/81</t>
  </si>
  <si>
    <t>135/91</t>
  </si>
  <si>
    <t>109/70</t>
  </si>
  <si>
    <t>129/80</t>
  </si>
  <si>
    <t>136/97</t>
  </si>
  <si>
    <t>96/93</t>
  </si>
  <si>
    <t>103/69</t>
  </si>
  <si>
    <t>135/90</t>
  </si>
  <si>
    <t>148/64</t>
  </si>
  <si>
    <t>150/78</t>
  </si>
  <si>
    <t>127/78</t>
  </si>
  <si>
    <t>117/81</t>
  </si>
  <si>
    <t>125/100</t>
  </si>
  <si>
    <t>126/80</t>
  </si>
  <si>
    <t>132/86</t>
  </si>
  <si>
    <t>92/74</t>
  </si>
  <si>
    <t>93/88</t>
  </si>
  <si>
    <t>126/60</t>
  </si>
  <si>
    <t>120/83</t>
  </si>
  <si>
    <t>134/82</t>
  </si>
  <si>
    <t>130/87</t>
  </si>
  <si>
    <t>95/60</t>
  </si>
  <si>
    <t>128/75</t>
  </si>
  <si>
    <t>140/89</t>
  </si>
  <si>
    <t>116/100</t>
  </si>
  <si>
    <t>133/94</t>
  </si>
  <si>
    <t>143/93</t>
  </si>
  <si>
    <t>146/61</t>
  </si>
  <si>
    <t>119/75</t>
  </si>
  <si>
    <t>139/85</t>
  </si>
  <si>
    <t>113/96</t>
  </si>
  <si>
    <t>108/61</t>
  </si>
  <si>
    <t>105/88</t>
  </si>
  <si>
    <t>143/98</t>
  </si>
  <si>
    <t>117/84</t>
  </si>
  <si>
    <t>139/79</t>
  </si>
  <si>
    <t>120/72</t>
  </si>
  <si>
    <t>135/88</t>
  </si>
  <si>
    <t>139/63</t>
  </si>
  <si>
    <t>107/74</t>
  </si>
  <si>
    <t>123/93</t>
  </si>
  <si>
    <t>148/85</t>
  </si>
  <si>
    <t>122/71</t>
  </si>
  <si>
    <t>96/72</t>
  </si>
  <si>
    <t>119/69</t>
  </si>
  <si>
    <t>97/87</t>
  </si>
  <si>
    <t>111/90</t>
  </si>
  <si>
    <t>113/95</t>
  </si>
  <si>
    <t>133/87</t>
  </si>
  <si>
    <t>102/91</t>
  </si>
  <si>
    <t>103/88</t>
  </si>
  <si>
    <t>135/85</t>
  </si>
  <si>
    <t>97/71</t>
  </si>
  <si>
    <t>108/87</t>
  </si>
  <si>
    <t>127/75</t>
  </si>
  <si>
    <t>149/78</t>
  </si>
  <si>
    <t>149/91</t>
  </si>
  <si>
    <t>93/78</t>
  </si>
  <si>
    <t>141/95</t>
  </si>
  <si>
    <t>112/97</t>
  </si>
  <si>
    <t>133/64</t>
  </si>
  <si>
    <t>150/64</t>
  </si>
  <si>
    <t>98/88</t>
  </si>
  <si>
    <t>128/64</t>
  </si>
  <si>
    <t>142/87</t>
  </si>
  <si>
    <t>96/85</t>
  </si>
  <si>
    <t>104/84</t>
  </si>
  <si>
    <t>132/87</t>
  </si>
  <si>
    <t>131/88</t>
  </si>
  <si>
    <t>122/75</t>
  </si>
  <si>
    <t>141/70</t>
  </si>
  <si>
    <t>95/97</t>
  </si>
  <si>
    <t>108/64</t>
  </si>
  <si>
    <t>91/65</t>
  </si>
  <si>
    <t>143/70</t>
  </si>
  <si>
    <t>126/74</t>
  </si>
  <si>
    <t>135/66</t>
  </si>
  <si>
    <t>115/64</t>
  </si>
  <si>
    <t>121/92</t>
  </si>
  <si>
    <t>119/99</t>
  </si>
  <si>
    <t>134/89</t>
  </si>
  <si>
    <t>141/76</t>
  </si>
  <si>
    <t>145/71</t>
  </si>
  <si>
    <t>148/95</t>
  </si>
  <si>
    <t>111/69</t>
  </si>
  <si>
    <t>134/69</t>
  </si>
  <si>
    <t>120/70</t>
  </si>
  <si>
    <t>114/70</t>
  </si>
  <si>
    <t>134/67</t>
  </si>
  <si>
    <t>95/94</t>
  </si>
  <si>
    <t>116/86</t>
  </si>
  <si>
    <t>146/95</t>
  </si>
  <si>
    <t>130/94</t>
  </si>
  <si>
    <t>129/61</t>
  </si>
  <si>
    <t>112/85</t>
  </si>
  <si>
    <t>112/71</t>
  </si>
  <si>
    <t>123/83</t>
  </si>
  <si>
    <t>116/89</t>
  </si>
  <si>
    <t>122/91</t>
  </si>
  <si>
    <t>99/89</t>
  </si>
  <si>
    <t>102/93</t>
  </si>
  <si>
    <t>126/66</t>
  </si>
  <si>
    <t>139/82</t>
  </si>
  <si>
    <t>141/82</t>
  </si>
  <si>
    <t>129/92</t>
  </si>
  <si>
    <t>95/96</t>
  </si>
  <si>
    <t>113/79</t>
  </si>
  <si>
    <t>140/98</t>
  </si>
  <si>
    <t>106/73</t>
  </si>
  <si>
    <t>115/94</t>
  </si>
  <si>
    <t>113/91</t>
  </si>
  <si>
    <t>92/66</t>
  </si>
  <si>
    <t>115/75</t>
  </si>
  <si>
    <t>132/69</t>
  </si>
  <si>
    <t>103/64</t>
  </si>
  <si>
    <t>96/78</t>
  </si>
  <si>
    <t>111/85</t>
  </si>
  <si>
    <t>132/95</t>
  </si>
  <si>
    <t>97/80</t>
  </si>
  <si>
    <t>92/96</t>
  </si>
  <si>
    <t>91/71</t>
  </si>
  <si>
    <t>98/90</t>
  </si>
  <si>
    <t>150/97</t>
  </si>
  <si>
    <t>133/71</t>
  </si>
  <si>
    <t>127/80</t>
  </si>
  <si>
    <t>143/75</t>
  </si>
  <si>
    <t>123/87</t>
  </si>
  <si>
    <t>125/63</t>
  </si>
  <si>
    <t>115/71</t>
  </si>
  <si>
    <t>147/63</t>
  </si>
  <si>
    <t>149/89</t>
  </si>
  <si>
    <t>145/63</t>
  </si>
  <si>
    <t>136/95</t>
  </si>
  <si>
    <t>103/80</t>
  </si>
  <si>
    <t>107/64</t>
  </si>
  <si>
    <t>141/81</t>
  </si>
  <si>
    <t>126/62</t>
  </si>
  <si>
    <t>136/83</t>
  </si>
  <si>
    <t>135/87</t>
  </si>
  <si>
    <t>100/63</t>
  </si>
  <si>
    <t>94/86</t>
  </si>
  <si>
    <t>102/62</t>
  </si>
  <si>
    <t>135/76</t>
  </si>
  <si>
    <t>126/76</t>
  </si>
  <si>
    <t>90/82</t>
  </si>
  <si>
    <t>131/80</t>
  </si>
  <si>
    <t>91/66</t>
  </si>
  <si>
    <t>104/93</t>
  </si>
  <si>
    <t>148/87</t>
  </si>
  <si>
    <t>120/94</t>
  </si>
  <si>
    <t>96/98</t>
  </si>
  <si>
    <t>117/98</t>
  </si>
  <si>
    <t>144/86</t>
  </si>
  <si>
    <t>102/86</t>
  </si>
  <si>
    <t>111/83</t>
  </si>
  <si>
    <t>112/84</t>
  </si>
  <si>
    <t>108/66</t>
  </si>
  <si>
    <t>125/99</t>
  </si>
  <si>
    <t>119/88</t>
  </si>
  <si>
    <t>132/71</t>
  </si>
  <si>
    <t>118/76</t>
  </si>
  <si>
    <t>102/99</t>
  </si>
  <si>
    <t>130/89</t>
  </si>
  <si>
    <t>116/91</t>
  </si>
  <si>
    <t>109/76</t>
  </si>
  <si>
    <t>142/73</t>
  </si>
  <si>
    <t>124/92</t>
  </si>
  <si>
    <t>91/81</t>
  </si>
  <si>
    <t>130/99</t>
  </si>
  <si>
    <t>142/72</t>
  </si>
  <si>
    <t>119/83</t>
  </si>
  <si>
    <t>118/100</t>
  </si>
  <si>
    <t>147/74</t>
  </si>
  <si>
    <t>142/76</t>
  </si>
  <si>
    <t>127/93</t>
  </si>
  <si>
    <t>91/70</t>
  </si>
  <si>
    <t>116/87</t>
  </si>
  <si>
    <t>147/79</t>
  </si>
  <si>
    <t>97/72</t>
  </si>
  <si>
    <t>119/72</t>
  </si>
  <si>
    <t>137/91</t>
  </si>
  <si>
    <t>93/61</t>
  </si>
  <si>
    <t>134/72</t>
  </si>
  <si>
    <t>150/80</t>
  </si>
  <si>
    <t>125/64</t>
  </si>
  <si>
    <t>102/84</t>
  </si>
  <si>
    <t>117/86</t>
  </si>
  <si>
    <t>112/79</t>
  </si>
  <si>
    <t>120/100</t>
  </si>
  <si>
    <t>113/87</t>
  </si>
  <si>
    <t>120/97</t>
  </si>
  <si>
    <t>93/73</t>
  </si>
  <si>
    <t>96/71</t>
  </si>
  <si>
    <t>136/67</t>
  </si>
  <si>
    <t>94/85</t>
  </si>
  <si>
    <t>112/63</t>
  </si>
  <si>
    <t>146/74</t>
  </si>
  <si>
    <t>139/89</t>
  </si>
  <si>
    <t>129/88</t>
  </si>
  <si>
    <t>106/66</t>
  </si>
  <si>
    <t>138/81</t>
  </si>
  <si>
    <t>91/80</t>
  </si>
  <si>
    <t>140/88</t>
  </si>
  <si>
    <t>128/94</t>
  </si>
  <si>
    <t>115/60</t>
  </si>
  <si>
    <t>102/82</t>
  </si>
  <si>
    <t>101/96</t>
  </si>
  <si>
    <t>106/92</t>
  </si>
  <si>
    <t>145/93</t>
  </si>
  <si>
    <t>144/85</t>
  </si>
  <si>
    <t>143/100</t>
  </si>
  <si>
    <t>92/60</t>
  </si>
  <si>
    <t>140/66</t>
  </si>
  <si>
    <t>139/93</t>
  </si>
  <si>
    <t>148/100</t>
  </si>
  <si>
    <t>146/91</t>
  </si>
  <si>
    <t>107/75</t>
  </si>
  <si>
    <t>119/70</t>
  </si>
  <si>
    <t>106/88</t>
  </si>
  <si>
    <t>116/70</t>
  </si>
  <si>
    <t>118/97</t>
  </si>
  <si>
    <t>121/66</t>
  </si>
  <si>
    <t>113/89</t>
  </si>
  <si>
    <t>131/69</t>
  </si>
  <si>
    <t>119/63</t>
  </si>
  <si>
    <t>124/65</t>
  </si>
  <si>
    <t>101/65</t>
  </si>
  <si>
    <t>115/90</t>
  </si>
  <si>
    <t>134/85</t>
  </si>
  <si>
    <t>106/94</t>
  </si>
  <si>
    <t>142/96</t>
  </si>
  <si>
    <t>145/92</t>
  </si>
  <si>
    <t>139/77</t>
  </si>
  <si>
    <t>118/95</t>
  </si>
  <si>
    <t>119/95</t>
  </si>
  <si>
    <t>139/98</t>
  </si>
  <si>
    <t>105/95</t>
  </si>
  <si>
    <t>125/88</t>
  </si>
  <si>
    <t>131/81</t>
  </si>
  <si>
    <t>98/83</t>
  </si>
  <si>
    <t>147/77</t>
  </si>
  <si>
    <t>139/78</t>
  </si>
  <si>
    <t>131/100</t>
  </si>
  <si>
    <t>103/83</t>
  </si>
  <si>
    <t>117/92</t>
  </si>
  <si>
    <t>130/98</t>
  </si>
  <si>
    <t>103/85</t>
  </si>
  <si>
    <t>150/98</t>
  </si>
  <si>
    <t>114/89</t>
  </si>
  <si>
    <t>127/74</t>
  </si>
  <si>
    <t>140/72</t>
  </si>
  <si>
    <t>130/81</t>
  </si>
  <si>
    <t>91/69</t>
  </si>
  <si>
    <t>121/61</t>
  </si>
  <si>
    <t>113/77</t>
  </si>
  <si>
    <t>119/97</t>
  </si>
  <si>
    <t>109/84</t>
  </si>
  <si>
    <t>126/91</t>
  </si>
  <si>
    <t>128/67</t>
  </si>
  <si>
    <t>91/98</t>
  </si>
  <si>
    <t>105/72</t>
  </si>
  <si>
    <t>134/60</t>
  </si>
  <si>
    <t>95/100</t>
  </si>
  <si>
    <t>112/61</t>
  </si>
  <si>
    <t>104/66</t>
  </si>
  <si>
    <t>148/98</t>
  </si>
  <si>
    <t>115/72</t>
  </si>
  <si>
    <t>125/87</t>
  </si>
  <si>
    <t>132/65</t>
  </si>
  <si>
    <t>123/72</t>
  </si>
  <si>
    <t>142/61</t>
  </si>
  <si>
    <t>118/86</t>
  </si>
  <si>
    <t>126/73</t>
  </si>
  <si>
    <t>113/98</t>
  </si>
  <si>
    <t>146/89</t>
  </si>
  <si>
    <t>107/83</t>
  </si>
  <si>
    <t>137/89</t>
  </si>
  <si>
    <t>119/68</t>
  </si>
  <si>
    <t>105/93</t>
  </si>
  <si>
    <t>95/86</t>
  </si>
  <si>
    <t>127/89</t>
  </si>
  <si>
    <t>136/77</t>
  </si>
  <si>
    <t>118/68</t>
  </si>
  <si>
    <t>130/66</t>
  </si>
  <si>
    <t>98/85</t>
  </si>
  <si>
    <t>129/82</t>
  </si>
  <si>
    <t>120/69</t>
  </si>
  <si>
    <t>124/73</t>
  </si>
  <si>
    <t>140/62</t>
  </si>
  <si>
    <t>148/67</t>
  </si>
  <si>
    <t>122/74</t>
  </si>
  <si>
    <t>119/74</t>
  </si>
  <si>
    <t>122/73</t>
  </si>
  <si>
    <t>131/68</t>
  </si>
  <si>
    <t>107/100</t>
  </si>
  <si>
    <t>95/82</t>
  </si>
  <si>
    <t>96/60</t>
  </si>
  <si>
    <t>143/82</t>
  </si>
  <si>
    <t>98/92</t>
  </si>
  <si>
    <t>110/76</t>
  </si>
  <si>
    <t>112/80</t>
  </si>
  <si>
    <t>148/65</t>
  </si>
  <si>
    <t>90/74</t>
  </si>
  <si>
    <t>101/77</t>
  </si>
  <si>
    <t>127/70</t>
  </si>
  <si>
    <t>132/83</t>
  </si>
  <si>
    <t>111/97</t>
  </si>
  <si>
    <t>144/81</t>
  </si>
  <si>
    <t>130/68</t>
  </si>
  <si>
    <t>102/73</t>
  </si>
  <si>
    <t>118/78</t>
  </si>
  <si>
    <t>118/81</t>
  </si>
  <si>
    <t>108/100</t>
  </si>
  <si>
    <t>111/87</t>
  </si>
  <si>
    <t>92/69</t>
  </si>
  <si>
    <t>94/71</t>
  </si>
  <si>
    <t>119/73</t>
  </si>
  <si>
    <t>127/86</t>
  </si>
  <si>
    <t>114/85</t>
  </si>
  <si>
    <t>113/73</t>
  </si>
  <si>
    <t>119/66</t>
  </si>
  <si>
    <t>142/93</t>
  </si>
  <si>
    <t>148/73</t>
  </si>
  <si>
    <t>126/95</t>
  </si>
  <si>
    <t>138/84</t>
  </si>
  <si>
    <t>126/82</t>
  </si>
  <si>
    <t>113/75</t>
  </si>
  <si>
    <t>92/70</t>
  </si>
  <si>
    <t>90/79</t>
  </si>
  <si>
    <t>126/89</t>
  </si>
  <si>
    <t>132/78</t>
  </si>
  <si>
    <t>149/69</t>
  </si>
  <si>
    <t>110/86</t>
  </si>
  <si>
    <t>143/64</t>
  </si>
  <si>
    <t>118/72</t>
  </si>
  <si>
    <t>125/80</t>
  </si>
  <si>
    <t>93/71</t>
  </si>
  <si>
    <t>150/67</t>
  </si>
  <si>
    <t>117/60</t>
  </si>
  <si>
    <t>141/68</t>
  </si>
  <si>
    <t>150/81</t>
  </si>
  <si>
    <t>131/73</t>
  </si>
  <si>
    <t>125/90</t>
  </si>
  <si>
    <t>124/61</t>
  </si>
  <si>
    <t>134/90</t>
  </si>
  <si>
    <t>108/71</t>
  </si>
  <si>
    <t>92/95</t>
  </si>
  <si>
    <t>126/77</t>
  </si>
  <si>
    <t>109/91</t>
  </si>
  <si>
    <t>137/65</t>
  </si>
  <si>
    <t>150/86</t>
  </si>
  <si>
    <t>110/72</t>
  </si>
  <si>
    <t>101/73</t>
  </si>
  <si>
    <t>123/62</t>
  </si>
  <si>
    <t>150/79</t>
  </si>
  <si>
    <t>129/98</t>
  </si>
  <si>
    <t>144/91</t>
  </si>
  <si>
    <t>108/73</t>
  </si>
  <si>
    <t>134/88</t>
  </si>
  <si>
    <t>149/92</t>
  </si>
  <si>
    <t>140/77</t>
  </si>
  <si>
    <t>142/88</t>
  </si>
  <si>
    <t>123/99</t>
  </si>
  <si>
    <t>110/64</t>
  </si>
  <si>
    <t>99/62</t>
  </si>
  <si>
    <t>98/65</t>
  </si>
  <si>
    <t>104/70</t>
  </si>
  <si>
    <t>147/71</t>
  </si>
  <si>
    <t>95/90</t>
  </si>
  <si>
    <t>141/62</t>
  </si>
  <si>
    <t>103/63</t>
  </si>
  <si>
    <t>98/89</t>
  </si>
  <si>
    <t>130/93</t>
  </si>
  <si>
    <t>139/62</t>
  </si>
  <si>
    <t>121/84</t>
  </si>
  <si>
    <t>136/78</t>
  </si>
  <si>
    <t>102/100</t>
  </si>
  <si>
    <t>124/98</t>
  </si>
  <si>
    <t>111/73</t>
  </si>
  <si>
    <t>144/92</t>
  </si>
  <si>
    <t>114/88</t>
  </si>
  <si>
    <t>127/87</t>
  </si>
  <si>
    <t>137/88</t>
  </si>
  <si>
    <t>90/63</t>
  </si>
  <si>
    <t>139/96</t>
  </si>
  <si>
    <t>112/93</t>
  </si>
  <si>
    <t>95/81</t>
  </si>
  <si>
    <t>110/98</t>
  </si>
  <si>
    <t>132/76</t>
  </si>
  <si>
    <t>116/95</t>
  </si>
  <si>
    <t>107/80</t>
  </si>
  <si>
    <t>136/92</t>
  </si>
  <si>
    <t>102/61</t>
  </si>
  <si>
    <t>116/65</t>
  </si>
  <si>
    <t>92/62</t>
  </si>
  <si>
    <t>145/79</t>
  </si>
  <si>
    <t>95/93</t>
  </si>
  <si>
    <t>144/63</t>
  </si>
  <si>
    <t>116/85</t>
  </si>
  <si>
    <t>144/96</t>
  </si>
  <si>
    <t>118/96</t>
  </si>
  <si>
    <t>136/75</t>
  </si>
  <si>
    <t>117/83</t>
  </si>
  <si>
    <t>127/99</t>
  </si>
  <si>
    <t>146/60</t>
  </si>
  <si>
    <t>138/68</t>
  </si>
  <si>
    <t>118/67</t>
  </si>
  <si>
    <t>128/60</t>
  </si>
  <si>
    <t>111/77</t>
  </si>
  <si>
    <t>102/92</t>
  </si>
  <si>
    <t>122/94</t>
  </si>
  <si>
    <t>132/77</t>
  </si>
  <si>
    <t>91/91</t>
  </si>
  <si>
    <t>95/89</t>
  </si>
  <si>
    <t>143/81</t>
  </si>
  <si>
    <t>94/69</t>
  </si>
  <si>
    <t>141/63</t>
  </si>
  <si>
    <t>111/72</t>
  </si>
  <si>
    <t>121/65</t>
  </si>
  <si>
    <t>119/60</t>
  </si>
  <si>
    <t>114/86</t>
  </si>
  <si>
    <t>114/73</t>
  </si>
  <si>
    <t>123/76</t>
  </si>
  <si>
    <t>124/78</t>
  </si>
  <si>
    <t>109/61</t>
  </si>
  <si>
    <t>104/64</t>
  </si>
  <si>
    <t>104/95</t>
  </si>
  <si>
    <t>98/86</t>
  </si>
  <si>
    <t>131/66</t>
  </si>
  <si>
    <t>146/65</t>
  </si>
  <si>
    <t>141/71</t>
  </si>
  <si>
    <t>130/61</t>
  </si>
  <si>
    <t>140/67</t>
  </si>
  <si>
    <t>104/62</t>
  </si>
  <si>
    <t>92/100</t>
  </si>
  <si>
    <t>126/100</t>
  </si>
  <si>
    <t>131/62</t>
  </si>
  <si>
    <t>122/97</t>
  </si>
  <si>
    <t>112/75</t>
  </si>
  <si>
    <t>102/64</t>
  </si>
  <si>
    <t>133/76</t>
  </si>
  <si>
    <t>117/74</t>
  </si>
  <si>
    <t>139/68</t>
  </si>
  <si>
    <t>90/70</t>
  </si>
  <si>
    <t>97/67</t>
  </si>
  <si>
    <t>126/99</t>
  </si>
  <si>
    <t>120/91</t>
  </si>
  <si>
    <t>113/70</t>
  </si>
  <si>
    <t>94/68</t>
  </si>
  <si>
    <t>145/65</t>
  </si>
  <si>
    <t>133/95</t>
  </si>
  <si>
    <t>149/60</t>
  </si>
  <si>
    <t>102/95</t>
  </si>
  <si>
    <t>132/84</t>
  </si>
  <si>
    <t>135/83</t>
  </si>
  <si>
    <t>131/75</t>
  </si>
  <si>
    <t>138/76</t>
  </si>
  <si>
    <t>130/77</t>
  </si>
  <si>
    <t>101/92</t>
  </si>
  <si>
    <t>144/99</t>
  </si>
  <si>
    <t>106/77</t>
  </si>
  <si>
    <t>139/60</t>
  </si>
  <si>
    <t>142/84</t>
  </si>
  <si>
    <t>126/81</t>
  </si>
  <si>
    <t>148/94</t>
  </si>
  <si>
    <t>107/89</t>
  </si>
  <si>
    <t>147/85</t>
  </si>
  <si>
    <t>141/96</t>
  </si>
  <si>
    <t>104/80</t>
  </si>
  <si>
    <t>129/60</t>
  </si>
  <si>
    <t>146/99</t>
  </si>
  <si>
    <t>90/97</t>
  </si>
  <si>
    <t>139/91</t>
  </si>
  <si>
    <t>121/93</t>
  </si>
  <si>
    <t>124/80</t>
  </si>
  <si>
    <t>146/80</t>
  </si>
  <si>
    <t>93/95</t>
  </si>
  <si>
    <t>134/68</t>
  </si>
  <si>
    <t>106/69</t>
  </si>
  <si>
    <t>143/95</t>
  </si>
  <si>
    <t>143/66</t>
  </si>
  <si>
    <t>101/79</t>
  </si>
  <si>
    <t>116/66</t>
  </si>
  <si>
    <t>95/88</t>
  </si>
  <si>
    <t>131/84</t>
  </si>
  <si>
    <t>101/86</t>
  </si>
  <si>
    <t>134/81</t>
  </si>
  <si>
    <t>130/65</t>
  </si>
  <si>
    <t>138/61</t>
  </si>
  <si>
    <t>146/90</t>
  </si>
  <si>
    <t>92/94</t>
  </si>
  <si>
    <t>135/69</t>
  </si>
  <si>
    <t>154/60</t>
  </si>
  <si>
    <t>147/78</t>
  </si>
  <si>
    <t>154/69</t>
  </si>
  <si>
    <t>105/110</t>
  </si>
  <si>
    <t>125/118</t>
  </si>
  <si>
    <t>105/84</t>
  </si>
  <si>
    <t>129/93</t>
  </si>
  <si>
    <t>144/93</t>
  </si>
  <si>
    <t>159/91</t>
  </si>
  <si>
    <t>149/107</t>
  </si>
  <si>
    <t>120/102</t>
  </si>
  <si>
    <t>108/95</t>
  </si>
  <si>
    <t>168/60</t>
  </si>
  <si>
    <t>147/87</t>
  </si>
  <si>
    <t>99/80</t>
  </si>
  <si>
    <t>152/109</t>
  </si>
  <si>
    <t>104/99</t>
  </si>
  <si>
    <t>155/119</t>
  </si>
  <si>
    <t>140/106</t>
  </si>
  <si>
    <t>113/119</t>
  </si>
  <si>
    <t>136/114</t>
  </si>
  <si>
    <t>103/68</t>
  </si>
  <si>
    <t>174/119</t>
  </si>
  <si>
    <t>121/72</t>
  </si>
  <si>
    <t>109/78</t>
  </si>
  <si>
    <t>162/118</t>
  </si>
  <si>
    <t>155/70</t>
  </si>
  <si>
    <t>169/89</t>
  </si>
  <si>
    <t>154/62</t>
  </si>
  <si>
    <t>163/73</t>
  </si>
  <si>
    <t>161/114</t>
  </si>
  <si>
    <t>163/91</t>
  </si>
  <si>
    <t>149/101</t>
  </si>
  <si>
    <t>121/115</t>
  </si>
  <si>
    <t>131/92</t>
  </si>
  <si>
    <t>108/115</t>
  </si>
  <si>
    <t>102/102</t>
  </si>
  <si>
    <t>157/75</t>
  </si>
  <si>
    <t>171/99</t>
  </si>
  <si>
    <t>143/96</t>
  </si>
  <si>
    <t>124/110</t>
  </si>
  <si>
    <t>167/83</t>
  </si>
  <si>
    <t>125/93</t>
  </si>
  <si>
    <t>153/95</t>
  </si>
  <si>
    <t>162/114</t>
  </si>
  <si>
    <t>141/83</t>
  </si>
  <si>
    <t>168/86</t>
  </si>
  <si>
    <t>92/61</t>
  </si>
  <si>
    <t>122/119</t>
  </si>
  <si>
    <t>133/101</t>
  </si>
  <si>
    <t>120/110</t>
  </si>
  <si>
    <t>94/63</t>
  </si>
  <si>
    <t>154/114</t>
  </si>
  <si>
    <t>105/108</t>
  </si>
  <si>
    <t>139/83</t>
  </si>
  <si>
    <t>145/91</t>
  </si>
  <si>
    <t>164/87</t>
  </si>
  <si>
    <t>158/74</t>
  </si>
  <si>
    <t>90/87</t>
  </si>
  <si>
    <t>154/70</t>
  </si>
  <si>
    <t>103/107</t>
  </si>
  <si>
    <t>128/97</t>
  </si>
  <si>
    <t>147/81</t>
  </si>
  <si>
    <t>177/98</t>
  </si>
  <si>
    <t>172/77</t>
  </si>
  <si>
    <t>165/85</t>
  </si>
  <si>
    <t>129/113</t>
  </si>
  <si>
    <t>126/61</t>
  </si>
  <si>
    <t>179/90</t>
  </si>
  <si>
    <t>171/113</t>
  </si>
  <si>
    <t>162/117</t>
  </si>
  <si>
    <t>102/70</t>
  </si>
  <si>
    <t>108/84</t>
  </si>
  <si>
    <t>127/106</t>
  </si>
  <si>
    <t>117/108</t>
  </si>
  <si>
    <t>167/108</t>
  </si>
  <si>
    <t>109/86</t>
  </si>
  <si>
    <t>132/72</t>
  </si>
  <si>
    <t>174/76</t>
  </si>
  <si>
    <t>144/76</t>
  </si>
  <si>
    <t>102/96</t>
  </si>
  <si>
    <t>100/84</t>
  </si>
  <si>
    <t>113/65</t>
  </si>
  <si>
    <t>170/89</t>
  </si>
  <si>
    <t>139/106</t>
  </si>
  <si>
    <t>92/88</t>
  </si>
  <si>
    <t>131/115</t>
  </si>
  <si>
    <t>172/108</t>
  </si>
  <si>
    <t>121/105</t>
  </si>
  <si>
    <t>179/79</t>
  </si>
  <si>
    <t>94/117</t>
  </si>
  <si>
    <t>155/79</t>
  </si>
  <si>
    <t>130/109</t>
  </si>
  <si>
    <t>103/90</t>
  </si>
  <si>
    <t>137/113</t>
  </si>
  <si>
    <t>152/114</t>
  </si>
  <si>
    <t>109/118</t>
  </si>
  <si>
    <t>155/110</t>
  </si>
  <si>
    <t>170/76</t>
  </si>
  <si>
    <t>124/101</t>
  </si>
  <si>
    <t>165/99</t>
  </si>
  <si>
    <t>173/96</t>
  </si>
  <si>
    <t>178/90</t>
  </si>
  <si>
    <t>159/78</t>
  </si>
  <si>
    <t>138/71</t>
  </si>
  <si>
    <t>161/97</t>
  </si>
  <si>
    <t>179/97</t>
  </si>
  <si>
    <t>125/116</t>
  </si>
  <si>
    <t>125/72</t>
  </si>
  <si>
    <t>112/113</t>
  </si>
  <si>
    <t>100/67</t>
  </si>
  <si>
    <t>113/67</t>
  </si>
  <si>
    <t>92/93</t>
  </si>
  <si>
    <t>172/66</t>
  </si>
  <si>
    <t>162/95</t>
  </si>
  <si>
    <t>179/71</t>
  </si>
  <si>
    <t>93/117</t>
  </si>
  <si>
    <t>93/93</t>
  </si>
  <si>
    <t>99/71</t>
  </si>
  <si>
    <t>174/78</t>
  </si>
  <si>
    <t>99/108</t>
  </si>
  <si>
    <t>166/77</t>
  </si>
  <si>
    <t>105/68</t>
  </si>
  <si>
    <t>136/101</t>
  </si>
  <si>
    <t>112/119</t>
  </si>
  <si>
    <t>159/89</t>
  </si>
  <si>
    <t>157/61</t>
  </si>
  <si>
    <t>151/77</t>
  </si>
  <si>
    <t>110/114</t>
  </si>
  <si>
    <t>171/80</t>
  </si>
  <si>
    <t>140/61</t>
  </si>
  <si>
    <t>113/66</t>
  </si>
  <si>
    <t>98/91</t>
  </si>
  <si>
    <t>146/72</t>
  </si>
  <si>
    <t>112/77</t>
  </si>
  <si>
    <t>132/60</t>
  </si>
  <si>
    <t>162/106</t>
  </si>
  <si>
    <t>164/90</t>
  </si>
  <si>
    <t>133/115</t>
  </si>
  <si>
    <t>117/116</t>
  </si>
  <si>
    <t>154/97</t>
  </si>
  <si>
    <t>110/67</t>
  </si>
  <si>
    <t>175/98</t>
  </si>
  <si>
    <t>110/90</t>
  </si>
  <si>
    <t>146/96</t>
  </si>
  <si>
    <t>156/64</t>
  </si>
  <si>
    <t>99/78</t>
  </si>
  <si>
    <t>145/103</t>
  </si>
  <si>
    <t>151/78</t>
  </si>
  <si>
    <t>155/81</t>
  </si>
  <si>
    <t>151/90</t>
  </si>
  <si>
    <t>173/109</t>
  </si>
  <si>
    <t>136/72</t>
  </si>
  <si>
    <t>128/61</t>
  </si>
  <si>
    <t>158/84</t>
  </si>
  <si>
    <t>136/112</t>
  </si>
  <si>
    <t>95/105</t>
  </si>
  <si>
    <t>141/87</t>
  </si>
  <si>
    <t>103/119</t>
  </si>
  <si>
    <t>177/72</t>
  </si>
  <si>
    <t>166/115</t>
  </si>
  <si>
    <t>138/89</t>
  </si>
  <si>
    <t>147/119</t>
  </si>
  <si>
    <t>144/90</t>
  </si>
  <si>
    <t>168/110</t>
  </si>
  <si>
    <t>123/91</t>
  </si>
  <si>
    <t>91/105</t>
  </si>
  <si>
    <t>154/71</t>
  </si>
  <si>
    <t>164/63</t>
  </si>
  <si>
    <t>142/74</t>
  </si>
  <si>
    <t>147/73</t>
  </si>
  <si>
    <t>121/73</t>
  </si>
  <si>
    <t>129/65</t>
  </si>
  <si>
    <t>92/86</t>
  </si>
  <si>
    <t>116/82</t>
  </si>
  <si>
    <t>91/92</t>
  </si>
  <si>
    <t>101/95</t>
  </si>
  <si>
    <t>161/99</t>
  </si>
  <si>
    <t>157/109</t>
  </si>
  <si>
    <t>172/79</t>
  </si>
  <si>
    <t>126/106</t>
  </si>
  <si>
    <t>116/71</t>
  </si>
  <si>
    <t>168/63</t>
  </si>
  <si>
    <t>162/94</t>
  </si>
  <si>
    <t>124/100</t>
  </si>
  <si>
    <t>156/103</t>
  </si>
  <si>
    <t>171/76</t>
  </si>
  <si>
    <t>152/61</t>
  </si>
  <si>
    <t>95/115</t>
  </si>
  <si>
    <t>120/61</t>
  </si>
  <si>
    <t>168/61</t>
  </si>
  <si>
    <t>97/101</t>
  </si>
  <si>
    <t>144/105</t>
  </si>
  <si>
    <t>152/108</t>
  </si>
  <si>
    <t>156/68</t>
  </si>
  <si>
    <t>146/118</t>
  </si>
  <si>
    <t>157/65</t>
  </si>
  <si>
    <t>123/114</t>
  </si>
  <si>
    <t>111/82</t>
  </si>
  <si>
    <t>178/111</t>
  </si>
  <si>
    <t>139/108</t>
  </si>
  <si>
    <t>93/96</t>
  </si>
  <si>
    <t>167/90</t>
  </si>
  <si>
    <t>173/102</t>
  </si>
  <si>
    <t>119/100</t>
  </si>
  <si>
    <t>179/94</t>
  </si>
  <si>
    <t>140/105</t>
  </si>
  <si>
    <t>140/87</t>
  </si>
  <si>
    <t>132/101</t>
  </si>
  <si>
    <t>106/89</t>
  </si>
  <si>
    <t>159/82</t>
  </si>
  <si>
    <t>125/78</t>
  </si>
  <si>
    <t>125/85</t>
  </si>
  <si>
    <t>144/95</t>
  </si>
  <si>
    <t>109/82</t>
  </si>
  <si>
    <t>102/88</t>
  </si>
  <si>
    <t>164/81</t>
  </si>
  <si>
    <t>106/105</t>
  </si>
  <si>
    <t>129/99</t>
  </si>
  <si>
    <t>164/100</t>
  </si>
  <si>
    <t>166/116</t>
  </si>
  <si>
    <t>117/113</t>
  </si>
  <si>
    <t>95/87</t>
  </si>
  <si>
    <t>102/69</t>
  </si>
  <si>
    <t>103/72</t>
  </si>
  <si>
    <t>112/117</t>
  </si>
  <si>
    <t>130/70</t>
  </si>
  <si>
    <t>90/66</t>
  </si>
  <si>
    <t>111/108</t>
  </si>
  <si>
    <t>145/110</t>
  </si>
  <si>
    <t>102/97</t>
  </si>
  <si>
    <t>176/89</t>
  </si>
  <si>
    <t>126/113</t>
  </si>
  <si>
    <t>160/71</t>
  </si>
  <si>
    <t>100/75</t>
  </si>
  <si>
    <t>146/69</t>
  </si>
  <si>
    <t>144/115</t>
  </si>
  <si>
    <t>93/105</t>
  </si>
  <si>
    <t>178/109</t>
  </si>
  <si>
    <t>95/110</t>
  </si>
  <si>
    <t>160/78</t>
  </si>
  <si>
    <t>155/68</t>
  </si>
  <si>
    <t>173/114</t>
  </si>
  <si>
    <t>151/93</t>
  </si>
  <si>
    <t>156/66</t>
  </si>
  <si>
    <t>172/68</t>
  </si>
  <si>
    <t>108/117</t>
  </si>
  <si>
    <t>165/101</t>
  </si>
  <si>
    <t>178/65</t>
  </si>
  <si>
    <t>159/100</t>
  </si>
  <si>
    <t>159/101</t>
  </si>
  <si>
    <t>103/71</t>
  </si>
  <si>
    <t>157/67</t>
  </si>
  <si>
    <t>141/118</t>
  </si>
  <si>
    <t>94/67</t>
  </si>
  <si>
    <t>156/118</t>
  </si>
  <si>
    <t>101/60</t>
  </si>
  <si>
    <t>138/65</t>
  </si>
  <si>
    <t>136/74</t>
  </si>
  <si>
    <t>143/65</t>
  </si>
  <si>
    <t>150/100</t>
  </si>
  <si>
    <t>147/90</t>
  </si>
  <si>
    <t>128/101</t>
  </si>
  <si>
    <t>163/61</t>
  </si>
  <si>
    <t>150/108</t>
  </si>
  <si>
    <t>175/105</t>
  </si>
  <si>
    <t>164/118</t>
  </si>
  <si>
    <t>94/77</t>
  </si>
  <si>
    <t>99/77</t>
  </si>
  <si>
    <t>126/84</t>
  </si>
  <si>
    <t>178/63</t>
  </si>
  <si>
    <t>170/116</t>
  </si>
  <si>
    <t>147/108</t>
  </si>
  <si>
    <t>141/108</t>
  </si>
  <si>
    <t>99/73</t>
  </si>
  <si>
    <t>161/92</t>
  </si>
  <si>
    <t>162/79</t>
  </si>
  <si>
    <t>132/63</t>
  </si>
  <si>
    <t>107/65</t>
  </si>
  <si>
    <t>163/78</t>
  </si>
  <si>
    <t>117/96</t>
  </si>
  <si>
    <t>101/91</t>
  </si>
  <si>
    <t>154/112</t>
  </si>
  <si>
    <t>143/84</t>
  </si>
  <si>
    <t>173/68</t>
  </si>
  <si>
    <t>178/108</t>
  </si>
  <si>
    <t>99/64</t>
  </si>
  <si>
    <t>134/76</t>
  </si>
  <si>
    <t>130/78</t>
  </si>
  <si>
    <t>159/60</t>
  </si>
  <si>
    <t>95/111</t>
  </si>
  <si>
    <t>148/93</t>
  </si>
  <si>
    <t>177/67</t>
  </si>
  <si>
    <t>143/62</t>
  </si>
  <si>
    <t>93/79</t>
  </si>
  <si>
    <t>133/110</t>
  </si>
  <si>
    <t>139/72</t>
  </si>
  <si>
    <t>147/107</t>
  </si>
  <si>
    <t>90/109</t>
  </si>
  <si>
    <t>169/119</t>
  </si>
  <si>
    <t>149/82</t>
  </si>
  <si>
    <t>125/94</t>
  </si>
  <si>
    <t>129/85</t>
  </si>
  <si>
    <t>143/91</t>
  </si>
  <si>
    <t>104/113</t>
  </si>
  <si>
    <t>115/105</t>
  </si>
  <si>
    <t>105/107</t>
  </si>
  <si>
    <t>160/99</t>
  </si>
  <si>
    <t>170/100</t>
  </si>
  <si>
    <t>112/92</t>
  </si>
  <si>
    <t>159/75</t>
  </si>
  <si>
    <t>115/70</t>
  </si>
  <si>
    <t>166/80</t>
  </si>
  <si>
    <t>173/73</t>
  </si>
  <si>
    <t>101/83</t>
  </si>
  <si>
    <t>147/110</t>
  </si>
  <si>
    <t>114/97</t>
  </si>
  <si>
    <t>156/99</t>
  </si>
  <si>
    <t>122/115</t>
  </si>
  <si>
    <t>97/113</t>
  </si>
  <si>
    <t>91/107</t>
  </si>
  <si>
    <t>176/100</t>
  </si>
  <si>
    <t>127/66</t>
  </si>
  <si>
    <t>122/112</t>
  </si>
  <si>
    <t>161/85</t>
  </si>
  <si>
    <t>101/63</t>
  </si>
  <si>
    <t>124/60</t>
  </si>
  <si>
    <t>119/86</t>
  </si>
  <si>
    <t>166/96</t>
  </si>
  <si>
    <t>176/92</t>
  </si>
  <si>
    <t>162/80</t>
  </si>
  <si>
    <t>96/68</t>
  </si>
  <si>
    <t>148/84</t>
  </si>
  <si>
    <t>142/95</t>
  </si>
  <si>
    <t>115/113</t>
  </si>
  <si>
    <t>103/93</t>
  </si>
  <si>
    <t>175/69</t>
  </si>
  <si>
    <t>107/92</t>
  </si>
  <si>
    <t>118/119</t>
  </si>
  <si>
    <t>108/101</t>
  </si>
  <si>
    <t>153/103</t>
  </si>
  <si>
    <t>116/68</t>
  </si>
  <si>
    <t>160/82</t>
  </si>
  <si>
    <t>162/110</t>
  </si>
  <si>
    <t>97/92</t>
  </si>
  <si>
    <t>177/76</t>
  </si>
  <si>
    <t>139/113</t>
  </si>
  <si>
    <t>115/114</t>
  </si>
  <si>
    <t>145/68</t>
  </si>
  <si>
    <t>136/115</t>
  </si>
  <si>
    <t>134/98</t>
  </si>
  <si>
    <t>110/116</t>
  </si>
  <si>
    <t>125/112</t>
  </si>
  <si>
    <t>120/75</t>
  </si>
  <si>
    <t>178/100</t>
  </si>
  <si>
    <t>176/103</t>
  </si>
  <si>
    <t>137/84</t>
  </si>
  <si>
    <t>142/101</t>
  </si>
  <si>
    <t>178/73</t>
  </si>
  <si>
    <t>154/99</t>
  </si>
  <si>
    <t>151/101</t>
  </si>
  <si>
    <t>179/74</t>
  </si>
  <si>
    <t>177/107</t>
  </si>
  <si>
    <t>128/110</t>
  </si>
  <si>
    <t>166/111</t>
  </si>
  <si>
    <t>159/81</t>
  </si>
  <si>
    <t>134/110</t>
  </si>
  <si>
    <t>144/77</t>
  </si>
  <si>
    <t>172/111</t>
  </si>
  <si>
    <t>175/107</t>
  </si>
  <si>
    <t>164/78</t>
  </si>
  <si>
    <t>106/115</t>
  </si>
  <si>
    <t>120/76</t>
  </si>
  <si>
    <t>173/70</t>
  </si>
  <si>
    <t>121/96</t>
  </si>
  <si>
    <t>124/102</t>
  </si>
  <si>
    <t>178/81</t>
  </si>
  <si>
    <t>108/88</t>
  </si>
  <si>
    <t>178/77</t>
  </si>
  <si>
    <t>147/116</t>
  </si>
  <si>
    <t>105/104</t>
  </si>
  <si>
    <t>139/90</t>
  </si>
  <si>
    <t>172/63</t>
  </si>
  <si>
    <t>91/108</t>
  </si>
  <si>
    <t>92/107</t>
  </si>
  <si>
    <t>148/71</t>
  </si>
  <si>
    <t>112/106</t>
  </si>
  <si>
    <t>120/78</t>
  </si>
  <si>
    <t>165/72</t>
  </si>
  <si>
    <t>102/90</t>
  </si>
  <si>
    <t>169/87</t>
  </si>
  <si>
    <t>117/77</t>
  </si>
  <si>
    <t>163/82</t>
  </si>
  <si>
    <t>96/89</t>
  </si>
  <si>
    <t>107/91</t>
  </si>
  <si>
    <t>131/98</t>
  </si>
  <si>
    <t>179/91</t>
  </si>
  <si>
    <t>90/111</t>
  </si>
  <si>
    <t>110/112</t>
  </si>
  <si>
    <t>176/95</t>
  </si>
  <si>
    <t>169/95</t>
  </si>
  <si>
    <t>149/71</t>
  </si>
  <si>
    <t>91/97</t>
  </si>
  <si>
    <t>147/105</t>
  </si>
  <si>
    <t>171/75</t>
  </si>
  <si>
    <t>104/107</t>
  </si>
  <si>
    <t>177/62</t>
  </si>
  <si>
    <t>148/81</t>
  </si>
  <si>
    <t>142/107</t>
  </si>
  <si>
    <t>128/99</t>
  </si>
  <si>
    <t>106/79</t>
  </si>
  <si>
    <t>170/62</t>
  </si>
  <si>
    <t>115/115</t>
  </si>
  <si>
    <t>177/81</t>
  </si>
  <si>
    <t>129/108</t>
  </si>
  <si>
    <t>125/86</t>
  </si>
  <si>
    <t>122/85</t>
  </si>
  <si>
    <t>125/111</t>
  </si>
  <si>
    <t>171/86</t>
  </si>
  <si>
    <t>128/84</t>
  </si>
  <si>
    <t>148/63</t>
  </si>
  <si>
    <t>105/102</t>
  </si>
  <si>
    <t>105/118</t>
  </si>
  <si>
    <t>144/64</t>
  </si>
  <si>
    <t>146/75</t>
  </si>
  <si>
    <t>149/80</t>
  </si>
  <si>
    <t>165/86</t>
  </si>
  <si>
    <t>124/86</t>
  </si>
  <si>
    <t>142/114</t>
  </si>
  <si>
    <t>95/65</t>
  </si>
  <si>
    <t>164/101</t>
  </si>
  <si>
    <t>129/101</t>
  </si>
  <si>
    <t>105/113</t>
  </si>
  <si>
    <t>142/118</t>
  </si>
  <si>
    <t>169/65</t>
  </si>
  <si>
    <t>154/87</t>
  </si>
  <si>
    <t>97/96</t>
  </si>
  <si>
    <t>174/82</t>
  </si>
  <si>
    <t>175/80</t>
  </si>
  <si>
    <t>105/87</t>
  </si>
  <si>
    <t>162/60</t>
  </si>
  <si>
    <t>102/115</t>
  </si>
  <si>
    <t>150/90</t>
  </si>
  <si>
    <t>CVD Risk Level2</t>
  </si>
  <si>
    <t>BMI2</t>
  </si>
  <si>
    <t>Weight(Kg)</t>
  </si>
  <si>
    <t>Height(m)</t>
  </si>
  <si>
    <t>Age2</t>
  </si>
  <si>
    <t>Waist-to-Height Ratio2</t>
  </si>
  <si>
    <t>Abdominal Circumference(cm)</t>
  </si>
  <si>
    <t>Triglycerides</t>
  </si>
  <si>
    <t>Total Cholesterol(mg/dL)</t>
  </si>
  <si>
    <t>Estimated LDL (mg/dL)2</t>
  </si>
  <si>
    <t>HDL (mg/dL)2</t>
  </si>
  <si>
    <t>Fasting Blood Sugar (mg/dL)2</t>
  </si>
  <si>
    <t>CVD Risk Score2</t>
  </si>
  <si>
    <t>BMI Level</t>
  </si>
  <si>
    <t>Obese</t>
  </si>
  <si>
    <t>Overweight</t>
  </si>
  <si>
    <t>Underweight</t>
  </si>
  <si>
    <t>Fasting Blood Sugar Category</t>
  </si>
  <si>
    <t>Prediabetes</t>
  </si>
  <si>
    <t>Diabetes</t>
  </si>
  <si>
    <t>Systolic BP2</t>
  </si>
  <si>
    <t>Diastolic BP2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</si>
</sst>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2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" fontId="0" fillId="0" borderId="0" xfId="0" applyNumberFormat="1"/>
    <xf numFmtId="0" fontId="0" fillId="3" borderId="0" xfId="0" applyFill="1" applyAlignment="1">
      <alignment horizontal="center" vertical="center"/>
    </xf>
    <xf numFmtId="12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3" fillId="4" borderId="0" xfId="0" applyFont="1" applyFill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45">
    <dxf>
      <numFmt numFmtId="30" formatCode="@"/>
    </dxf>
    <dxf>
      <numFmt numFmtId="2" formatCode="0.00"/>
    </dxf>
    <dxf>
      <numFmt numFmtId="30" formatCode="@"/>
    </dxf>
    <dxf>
      <numFmt numFmtId="17" formatCode="#\ ?/?"/>
    </dxf>
    <dxf>
      <numFmt numFmtId="17" formatCode="#\ ?/?"/>
    </dxf>
    <dxf>
      <numFmt numFmtId="17" formatCode="#\ ?/?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5" formatCode="0.000"/>
    </dxf>
    <dxf>
      <numFmt numFmtId="30" formatCode="@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30" formatCode="@"/>
    </dxf>
    <dxf>
      <numFmt numFmtId="164" formatCode="0.0"/>
    </dxf>
    <dxf>
      <numFmt numFmtId="2" formatCode="0.00"/>
    </dxf>
    <dxf>
      <numFmt numFmtId="0" formatCode="General"/>
    </dxf>
    <dxf>
      <numFmt numFmtId="1" formatCode="0"/>
    </dxf>
    <dxf>
      <numFmt numFmtId="164" formatCode="0.0"/>
    </dxf>
    <dxf>
      <numFmt numFmtId="1" formatCode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EF5EA-67CA-4984-AB39-A7DB695B5773}" name="Table1" displayName="Table1" ref="A1:AK1530" totalsRowShown="0" headerRowDxfId="44">
  <autoFilter ref="A1:AK1530" xr:uid="{91DEF5EA-67CA-4984-AB39-A7DB695B5773}"/>
  <tableColumns count="37">
    <tableColumn id="2" xr3:uid="{A37C64C7-ABAB-4174-A09F-475E20C066BF}" name="Sex"/>
    <tableColumn id="3" xr3:uid="{544FEFFA-711B-4A1D-9DD9-FC807BC76326}" name="Age"/>
    <tableColumn id="30" xr3:uid="{A14B1EA6-0D90-45E6-90F6-80CED63D0022}" name="Age2" dataDxfId="43">
      <calculatedColumnFormula>IF(B2="",AVERAGE($B$2:$B$1530),B2)</calculatedColumnFormula>
    </tableColumn>
    <tableColumn id="4" xr3:uid="{EE5FEC50-AE2F-4815-BD2D-646BDFDBDC77}" name="Weight (kg)" dataDxfId="42"/>
    <tableColumn id="26" xr3:uid="{F570F80F-4C5A-4452-8450-214C7E2794C7}" name="Weight(Kg)" dataDxfId="41">
      <calculatedColumnFormula>IF(D2="", H2*(F2^2),D2)</calculatedColumnFormula>
    </tableColumn>
    <tableColumn id="5" xr3:uid="{2A128754-5AD5-4564-BB87-B0D860BAD8FD}" name="Height (m)" dataDxfId="40"/>
    <tableColumn id="27" xr3:uid="{E28B3ED1-6149-4BC1-B4B7-02717D286BDD}" name="Height(m)" dataDxfId="39">
      <calculatedColumnFormula>IF(F2="", SQRT(E2 / H2),F2)</calculatedColumnFormula>
    </tableColumn>
    <tableColumn id="6" xr3:uid="{BEEE19D0-8D62-487E-BC6F-FCB1A1AC9F3D}" name="BMI"/>
    <tableColumn id="25" xr3:uid="{6F054B52-99EF-4261-9785-E01BF267FC44}" name="BMI2" dataDxfId="38">
      <calculatedColumnFormula xml:space="preserve"> IF(H2="",E2 / (G2^2),H2)</calculatedColumnFormula>
    </tableColumn>
    <tableColumn id="16" xr3:uid="{CDE454DE-4B2A-4D05-8CE8-8709AF587377}" name="BMI Level" dataDxfId="37">
      <calculatedColumnFormula>IF(I2&lt;18.5,"Underweight",IF(I2&lt;25,"Normal",IF(I2&lt;30,"Overweight","Obese")))</calculatedColumnFormula>
    </tableColumn>
    <tableColumn id="7" xr3:uid="{B07BEEF6-577E-43F9-8C71-E6FD7951DA3D}" name="Abdominal Circumference (cm)"/>
    <tableColumn id="31" xr3:uid="{6F95764F-2164-4471-8BD7-BAFFBD80D0E4}" name="Waist-to-Height Ratio"/>
    <tableColumn id="33" xr3:uid="{C9F61CA4-2BEF-4FF8-BCA2-0552780E7C95}" name="Waist-to-Height Ratio2">
      <calculatedColumnFormula>IF(L2="",K2/(G2*100),L2)</calculatedColumnFormula>
    </tableColumn>
    <tableColumn id="32" xr3:uid="{5CFF3779-DB2B-41A7-AEFD-2F48E220A679}" name="Abdominal Circumference(cm)" dataDxfId="36">
      <calculatedColumnFormula>IF(K2="",M2*(G2*100),K2)</calculatedColumnFormula>
    </tableColumn>
    <tableColumn id="9" xr3:uid="{9C5DB9F8-3A03-44EF-873A-0271901DCBD4}" name="Total Cholesterol (mg/dL)"/>
    <tableColumn id="10" xr3:uid="{EDD5475A-F1BA-4671-A482-F51CA6BAE602}" name="HDL (mg/dL)"/>
    <tableColumn id="39" xr3:uid="{37E2C746-CCC5-42B3-A860-14F49C574B89}" name="HDL (mg/dL)2" dataDxfId="35">
      <calculatedColumnFormula>IF(P2="",AVERAGE($P$2:$P$1530),P2)</calculatedColumnFormula>
    </tableColumn>
    <tableColumn id="34" xr3:uid="{1CC5883C-F87D-41D3-93F5-BDED9A45ECEC}" name="Estimated LDL (mg/dL)" dataDxfId="34"/>
    <tableColumn id="38" xr3:uid="{EC866C00-81B6-4912-9667-E4664226F8ED}" name="Estimated LDL (mg/dL)2" dataDxfId="33">
      <calculatedColumnFormula>IF(R2&lt;=0,MEDIAN($R$2:$R$1530),R2)</calculatedColumnFormula>
    </tableColumn>
    <tableColumn id="35" xr3:uid="{5F47824F-285E-4251-959F-46E06C454C9E}" name="Triglycerides" dataDxfId="32">
      <calculatedColumnFormula>(Table1[[#This Row],[Total Cholesterol (mg/dL)]]+Table1[[#This Row],[HDL (mg/dL)2]]+Table1[[#This Row],[Estimated LDL (mg/dL)2]])*5</calculatedColumnFormula>
    </tableColumn>
    <tableColumn id="36" xr3:uid="{A347071B-60D6-4A85-8CFF-8E56BB022457}" name="Total Cholesterol(mg/dL)" dataDxfId="31">
      <calculatedColumnFormula>IF(O2="",Table1[[#This Row],[Estimated LDL (mg/dL)2]]+Table1[[#This Row],[HDL (mg/dL)2]]+(Table1[[#This Row],[Triglycerides]]/5),O2)</calculatedColumnFormula>
    </tableColumn>
    <tableColumn id="11" xr3:uid="{B58FCFDD-937F-4E13-AA1C-6FCBB084A857}" name="Fasting Blood Sugar (mg/dL)"/>
    <tableColumn id="40" xr3:uid="{C25CBA1F-6B05-4A05-8318-561D17BCC688}" name="Fasting Blood Sugar (mg/dL)2" dataDxfId="30">
      <calculatedColumnFormula>IF(V2="",AVERAGE($V$2:$V$1530),V2)</calculatedColumnFormula>
    </tableColumn>
    <tableColumn id="20" xr3:uid="{C4C8CB3E-E35B-4E04-BDFC-E461D563D46A}" name="Fasting Blood Sugar Category" dataDxfId="29">
      <calculatedColumnFormula>IF(W2&lt;100,"Normal",IF(W2&lt;126,"Prediabetes","Diabetes"))</calculatedColumnFormula>
    </tableColumn>
    <tableColumn id="12" xr3:uid="{EC173D03-C344-4430-B523-1CE5F8F454AC}" name="Smoking Status"/>
    <tableColumn id="13" xr3:uid="{36C9354A-9727-4958-99F1-8CE0370902B9}" name="Diabetes Status"/>
    <tableColumn id="14" xr3:uid="{B7525B4B-55DD-4FBF-8E1C-9EA938C53682}" name="Physical Activity Level"/>
    <tableColumn id="29" xr3:uid="{7F75C395-0BC3-4DD5-9AD1-6B72E9D6A65C}" name="Blood Pressure (mmHg)" dataDxfId="28"/>
    <tableColumn id="17" xr3:uid="{3D904D74-243D-49B2-B723-20E21C4904C9}" name="Systolic BP"/>
    <tableColumn id="37" xr3:uid="{81BBD5D9-4F95-4A96-AA90-0A316F84B460}" name="Systolic BP2" dataDxfId="27">
      <calculatedColumnFormula>LEFT(AB2,FIND("/",AB2)-1)</calculatedColumnFormula>
    </tableColumn>
    <tableColumn id="18" xr3:uid="{3BC35A9A-62A3-4315-B656-7EB08632EC11}" name="Diastolic BP"/>
    <tableColumn id="41" xr3:uid="{80456718-4979-4601-85CD-54B921EC2870}" name="Diastolic BP2" dataDxfId="26">
      <calculatedColumnFormula>RIGHT(AB2,LEN(AB2)-FIND("/",AB2))</calculatedColumnFormula>
    </tableColumn>
    <tableColumn id="19" xr3:uid="{C74EE878-E74C-4677-B6B1-E7B8D2A500E9}" name="Blood Pressure Category"/>
    <tableColumn id="21" xr3:uid="{E46E13A9-3D83-452B-9652-DE17CB62C057}" name="CVD Risk Score" dataDxfId="25"/>
    <tableColumn id="28" xr3:uid="{9BF4B1D1-ACA9-46D4-BF36-ED5C4106AE40}" name="CVD Risk Score2" dataDxfId="24">
      <calculatedColumnFormula>IF(AH2="",AVERAGE($AH$2:$AH$1530),AH2)</calculatedColumnFormula>
    </tableColumn>
    <tableColumn id="22" xr3:uid="{623D2915-65E0-418C-95DA-802B0A372289}" name="CVD Risk Level"/>
    <tableColumn id="24" xr3:uid="{3E7FC2F5-638E-434B-B1BD-9E06F8217B02}" name="CVD Risk Level2" dataDxfId="23">
      <calculatedColumnFormula>PROPER(Table1[[#This Row],[CVD Risk Level]])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F2BC4-8CF2-41E1-947E-E2F4B33EACFE}" name="Table2" displayName="Table2" ref="A1:V1530" totalsRowShown="0" headerRowDxfId="22">
  <autoFilter ref="A1:V1530" xr:uid="{985F2BC4-8CF2-41E1-947E-E2F4B33EACFE}"/>
  <tableColumns count="22">
    <tableColumn id="2" xr3:uid="{64DE272C-6341-4D1D-9117-27FC2EDB9AD9}" name="Sex" dataDxfId="21"/>
    <tableColumn id="3" xr3:uid="{BF8A9717-A57E-4D72-A794-0721086B83BB}" name="Age" dataDxfId="20"/>
    <tableColumn id="4" xr3:uid="{70DE7219-0256-43EA-94DA-9B206223BC40}" name="Weight(Kg)" dataDxfId="19"/>
    <tableColumn id="5" xr3:uid="{6CBA5C4D-C277-4ABF-ADE6-7C1079506496}" name="Height(m)" dataDxfId="18"/>
    <tableColumn id="6" xr3:uid="{89198FD6-7F8B-4D33-97A8-B3889A9196A3}" name="BMI" dataDxfId="17"/>
    <tableColumn id="22" xr3:uid="{17290A6F-062D-4407-AE1B-6B5CAEB2AD3A}" name="BMI Level" dataDxfId="16"/>
    <tableColumn id="7" xr3:uid="{146213E7-9DB8-4FBF-8401-AD3525FA3112}" name="Waist-to-Height Ratio" dataDxfId="15"/>
    <tableColumn id="8" xr3:uid="{1F302504-D4FE-46B6-AB52-67F683D8F132}" name="Abdominal Circumference(cm)" dataDxfId="14"/>
    <tableColumn id="10" xr3:uid="{4A68F0D4-1564-420F-AA01-095D47E8631F}" name="HDL (mg/dL)" dataDxfId="13"/>
    <tableColumn id="11" xr3:uid="{93053341-C478-48A7-9BF3-E56D453E89A5}" name="Estimated LDL (mg/dL)" dataDxfId="12"/>
    <tableColumn id="12" xr3:uid="{A591E105-3534-48F3-A31B-6D8BE5130E7B}" name="Total Cholesterol(mg/dL)" dataDxfId="11"/>
    <tableColumn id="13" xr3:uid="{2CF36DA7-D430-46FC-BA46-ADE5AD15201B}" name="Fasting Blood Sugar (mg/dL)" dataDxfId="10"/>
    <tableColumn id="24" xr3:uid="{66FEF51E-D8EB-4B87-9CE3-E54A44BB6193}" name="Fasting Blood Sugar Category" dataDxfId="9"/>
    <tableColumn id="14" xr3:uid="{1DC60BEE-059A-4EE1-A270-EBCE5EFBE360}" name="Smoking Status" dataDxfId="8"/>
    <tableColumn id="15" xr3:uid="{C34624EF-8AA3-4C08-A19D-1C6623F975B5}" name="Diabetes Status" dataDxfId="7"/>
    <tableColumn id="16" xr3:uid="{3400D3D1-E553-46D9-B6CF-7C067CF2E351}" name="Physical Activity Level" dataDxfId="6"/>
    <tableColumn id="25" xr3:uid="{85434C40-942E-41C8-A111-16ED365B4A59}" name="Blood Pressure (mmHg)" dataDxfId="5"/>
    <tableColumn id="30" xr3:uid="{63BCB955-4084-4FF2-9DC9-9AEEC0E533A1}" name="Systolic BP" dataDxfId="4">
      <calculatedColumnFormula>LEFT(Q2,FIND("/",Q2)-1)</calculatedColumnFormula>
    </tableColumn>
    <tableColumn id="29" xr3:uid="{049197FB-63B2-4A4B-9C80-A593CD5446E6}" name="Diastolic BP" dataDxfId="3">
      <calculatedColumnFormula>RIGHT(Q2,LEN(Q2)-FIND("/",Q2))</calculatedColumnFormula>
    </tableColumn>
    <tableColumn id="19" xr3:uid="{6B553761-D25E-49FC-8FC5-7EAE3A090710}" name="Blood Pressure Category" dataDxfId="2"/>
    <tableColumn id="20" xr3:uid="{4A99BD0B-62DF-4162-8513-D845B0080D2B}" name="CVD Risk Score" dataDxfId="1"/>
    <tableColumn id="21" xr3:uid="{3F154EF4-CDAC-42D3-9EC7-92DDE306151F}" name="CVD Risk Level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AFAB-7919-4A95-9F9F-532611EA4B26}">
  <dimension ref="A1:T1530"/>
  <sheetViews>
    <sheetView workbookViewId="0">
      <selection activeCell="F18" sqref="F18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32</v>
      </c>
      <c r="C2">
        <v>69.099999999999994</v>
      </c>
      <c r="D2">
        <v>1.71</v>
      </c>
      <c r="E2">
        <v>23.6</v>
      </c>
      <c r="F2">
        <v>86.2</v>
      </c>
      <c r="G2" t="s">
        <v>21</v>
      </c>
      <c r="H2">
        <v>248</v>
      </c>
      <c r="I2">
        <v>78</v>
      </c>
      <c r="J2">
        <v>111</v>
      </c>
      <c r="K2" t="s">
        <v>22</v>
      </c>
      <c r="L2" t="s">
        <v>23</v>
      </c>
      <c r="M2" t="s">
        <v>24</v>
      </c>
      <c r="N2">
        <v>0.504</v>
      </c>
      <c r="O2">
        <v>125</v>
      </c>
      <c r="P2">
        <v>79</v>
      </c>
      <c r="Q2" t="s">
        <v>25</v>
      </c>
      <c r="R2">
        <v>140</v>
      </c>
      <c r="S2">
        <v>17.93</v>
      </c>
      <c r="T2" t="s">
        <v>26</v>
      </c>
    </row>
    <row r="3" spans="1:20" x14ac:dyDescent="0.3">
      <c r="A3" t="s">
        <v>20</v>
      </c>
      <c r="B3">
        <v>55</v>
      </c>
      <c r="C3">
        <v>118.7</v>
      </c>
      <c r="D3">
        <v>1.69</v>
      </c>
      <c r="E3">
        <v>41.6</v>
      </c>
      <c r="F3">
        <v>82.5</v>
      </c>
      <c r="G3" t="s">
        <v>27</v>
      </c>
      <c r="H3">
        <v>162</v>
      </c>
      <c r="I3">
        <v>50</v>
      </c>
      <c r="J3">
        <v>135</v>
      </c>
      <c r="K3" t="s">
        <v>23</v>
      </c>
      <c r="L3" t="s">
        <v>23</v>
      </c>
      <c r="M3" t="s">
        <v>28</v>
      </c>
      <c r="N3">
        <v>0.48799999999999999</v>
      </c>
      <c r="O3">
        <v>139</v>
      </c>
      <c r="P3">
        <v>70</v>
      </c>
      <c r="Q3" t="s">
        <v>29</v>
      </c>
      <c r="R3">
        <v>82</v>
      </c>
      <c r="S3">
        <v>20.51</v>
      </c>
      <c r="T3" t="s">
        <v>30</v>
      </c>
    </row>
    <row r="4" spans="1:20" x14ac:dyDescent="0.3">
      <c r="A4" t="s">
        <v>31</v>
      </c>
      <c r="D4">
        <v>1.83</v>
      </c>
      <c r="E4">
        <v>26.9</v>
      </c>
      <c r="F4">
        <v>106.7</v>
      </c>
      <c r="G4" t="s">
        <v>32</v>
      </c>
      <c r="H4">
        <v>103</v>
      </c>
      <c r="I4">
        <v>73</v>
      </c>
      <c r="J4">
        <v>114</v>
      </c>
      <c r="K4" t="s">
        <v>22</v>
      </c>
      <c r="L4" t="s">
        <v>22</v>
      </c>
      <c r="M4" t="s">
        <v>28</v>
      </c>
      <c r="N4">
        <v>0.58299999999999996</v>
      </c>
      <c r="O4">
        <v>104</v>
      </c>
      <c r="P4">
        <v>77</v>
      </c>
      <c r="Q4" t="s">
        <v>33</v>
      </c>
      <c r="R4">
        <v>0</v>
      </c>
      <c r="S4">
        <v>12.64</v>
      </c>
      <c r="T4" t="s">
        <v>26</v>
      </c>
    </row>
    <row r="5" spans="1:20" x14ac:dyDescent="0.3">
      <c r="A5" t="s">
        <v>31</v>
      </c>
      <c r="B5">
        <v>44</v>
      </c>
      <c r="C5">
        <v>108.3</v>
      </c>
      <c r="D5">
        <v>1.8</v>
      </c>
      <c r="E5">
        <v>33.4</v>
      </c>
      <c r="F5">
        <v>96.6</v>
      </c>
      <c r="G5" t="s">
        <v>34</v>
      </c>
      <c r="H5">
        <v>134</v>
      </c>
      <c r="I5">
        <v>46</v>
      </c>
      <c r="J5">
        <v>91</v>
      </c>
      <c r="K5" t="s">
        <v>22</v>
      </c>
      <c r="L5" t="s">
        <v>22</v>
      </c>
      <c r="M5" t="s">
        <v>28</v>
      </c>
      <c r="N5">
        <v>0.53700000000000003</v>
      </c>
      <c r="O5">
        <v>140</v>
      </c>
      <c r="P5">
        <v>83</v>
      </c>
      <c r="Q5" t="s">
        <v>29</v>
      </c>
      <c r="R5">
        <v>58</v>
      </c>
      <c r="S5">
        <v>16.36</v>
      </c>
      <c r="T5" t="s">
        <v>26</v>
      </c>
    </row>
    <row r="6" spans="1:20" x14ac:dyDescent="0.3">
      <c r="A6" t="s">
        <v>20</v>
      </c>
      <c r="B6">
        <v>32</v>
      </c>
      <c r="C6">
        <v>99.5</v>
      </c>
      <c r="D6">
        <v>1.86</v>
      </c>
      <c r="E6">
        <v>28.8</v>
      </c>
      <c r="F6">
        <v>102.7</v>
      </c>
      <c r="G6" t="s">
        <v>35</v>
      </c>
      <c r="H6">
        <v>146</v>
      </c>
      <c r="I6">
        <v>64</v>
      </c>
      <c r="J6">
        <v>141</v>
      </c>
      <c r="K6" t="s">
        <v>23</v>
      </c>
      <c r="L6" t="s">
        <v>23</v>
      </c>
      <c r="M6" t="s">
        <v>28</v>
      </c>
      <c r="N6">
        <v>0.55200000000000005</v>
      </c>
      <c r="O6">
        <v>144</v>
      </c>
      <c r="P6">
        <v>83</v>
      </c>
      <c r="Q6" t="s">
        <v>29</v>
      </c>
      <c r="R6">
        <v>52</v>
      </c>
      <c r="S6">
        <v>17.88</v>
      </c>
      <c r="T6" t="s">
        <v>26</v>
      </c>
    </row>
    <row r="7" spans="1:20" x14ac:dyDescent="0.3">
      <c r="A7" t="s">
        <v>20</v>
      </c>
      <c r="B7">
        <v>58</v>
      </c>
      <c r="C7">
        <v>117.9</v>
      </c>
      <c r="D7">
        <v>1.87</v>
      </c>
      <c r="E7">
        <v>33.700000000000003</v>
      </c>
      <c r="F7">
        <v>81.400000000000006</v>
      </c>
      <c r="G7" t="s">
        <v>36</v>
      </c>
      <c r="H7">
        <v>156</v>
      </c>
      <c r="I7">
        <v>67</v>
      </c>
      <c r="J7">
        <v>82</v>
      </c>
      <c r="K7" t="s">
        <v>23</v>
      </c>
      <c r="L7" t="s">
        <v>22</v>
      </c>
      <c r="M7" t="s">
        <v>37</v>
      </c>
      <c r="N7">
        <v>0.435</v>
      </c>
      <c r="O7">
        <v>142</v>
      </c>
      <c r="P7">
        <v>90</v>
      </c>
      <c r="Q7" t="s">
        <v>38</v>
      </c>
      <c r="R7">
        <v>59</v>
      </c>
      <c r="S7">
        <v>16.96</v>
      </c>
      <c r="T7" t="s">
        <v>30</v>
      </c>
    </row>
    <row r="8" spans="1:20" x14ac:dyDescent="0.3">
      <c r="A8" t="s">
        <v>31</v>
      </c>
      <c r="B8">
        <v>33</v>
      </c>
      <c r="C8">
        <v>117.9</v>
      </c>
      <c r="D8">
        <v>1.82</v>
      </c>
      <c r="E8">
        <v>35.6</v>
      </c>
      <c r="F8">
        <v>74.8</v>
      </c>
      <c r="G8" t="s">
        <v>39</v>
      </c>
      <c r="H8">
        <v>184</v>
      </c>
      <c r="I8">
        <v>66</v>
      </c>
      <c r="J8">
        <v>87</v>
      </c>
      <c r="K8" t="s">
        <v>22</v>
      </c>
      <c r="L8" t="s">
        <v>23</v>
      </c>
      <c r="M8" t="s">
        <v>24</v>
      </c>
      <c r="N8">
        <v>0.41099999999999998</v>
      </c>
      <c r="O8">
        <v>96</v>
      </c>
      <c r="P8">
        <v>63</v>
      </c>
      <c r="Q8" t="s">
        <v>33</v>
      </c>
      <c r="R8">
        <v>88</v>
      </c>
      <c r="S8">
        <v>17.600000000000001</v>
      </c>
      <c r="T8" t="s">
        <v>26</v>
      </c>
    </row>
    <row r="9" spans="1:20" x14ac:dyDescent="0.3">
      <c r="A9" t="s">
        <v>31</v>
      </c>
      <c r="B9">
        <v>55</v>
      </c>
      <c r="C9">
        <v>100.1</v>
      </c>
      <c r="D9">
        <v>1.74</v>
      </c>
      <c r="E9">
        <v>33.1</v>
      </c>
      <c r="F9">
        <v>96.6</v>
      </c>
      <c r="G9" t="s">
        <v>40</v>
      </c>
      <c r="H9">
        <v>287</v>
      </c>
      <c r="I9">
        <v>40</v>
      </c>
      <c r="J9">
        <v>96</v>
      </c>
      <c r="K9" t="s">
        <v>23</v>
      </c>
      <c r="L9" t="s">
        <v>22</v>
      </c>
      <c r="M9" t="s">
        <v>37</v>
      </c>
      <c r="N9">
        <v>0.55500000000000005</v>
      </c>
      <c r="O9">
        <v>115</v>
      </c>
      <c r="P9">
        <v>73</v>
      </c>
      <c r="Q9" t="s">
        <v>33</v>
      </c>
      <c r="R9">
        <v>217</v>
      </c>
      <c r="S9">
        <v>18.11</v>
      </c>
      <c r="T9" t="s">
        <v>30</v>
      </c>
    </row>
    <row r="10" spans="1:20" x14ac:dyDescent="0.3">
      <c r="A10" t="s">
        <v>20</v>
      </c>
      <c r="B10">
        <v>37</v>
      </c>
      <c r="C10">
        <v>110.1</v>
      </c>
      <c r="D10">
        <v>1.86</v>
      </c>
      <c r="E10">
        <v>31.8</v>
      </c>
      <c r="F10">
        <v>92.4</v>
      </c>
      <c r="G10" t="s">
        <v>41</v>
      </c>
      <c r="H10">
        <v>177</v>
      </c>
      <c r="I10">
        <v>68</v>
      </c>
      <c r="J10">
        <v>70</v>
      </c>
      <c r="K10" t="s">
        <v>23</v>
      </c>
      <c r="L10" t="s">
        <v>22</v>
      </c>
      <c r="M10" t="s">
        <v>28</v>
      </c>
      <c r="N10">
        <v>0.497</v>
      </c>
      <c r="P10">
        <v>95</v>
      </c>
      <c r="Q10" t="s">
        <v>38</v>
      </c>
      <c r="R10">
        <v>79</v>
      </c>
      <c r="S10">
        <v>15.25</v>
      </c>
      <c r="T10" t="s">
        <v>26</v>
      </c>
    </row>
    <row r="11" spans="1:20" x14ac:dyDescent="0.3">
      <c r="A11" t="s">
        <v>20</v>
      </c>
      <c r="B11">
        <v>58</v>
      </c>
      <c r="C11">
        <v>97.6</v>
      </c>
      <c r="D11">
        <v>1.86</v>
      </c>
      <c r="E11">
        <v>28.2</v>
      </c>
      <c r="F11">
        <v>74.599999999999994</v>
      </c>
      <c r="G11" t="s">
        <v>42</v>
      </c>
      <c r="H11">
        <v>281</v>
      </c>
      <c r="I11">
        <v>68</v>
      </c>
      <c r="J11">
        <v>126</v>
      </c>
      <c r="K11" t="s">
        <v>22</v>
      </c>
      <c r="L11" t="s">
        <v>22</v>
      </c>
      <c r="M11" t="s">
        <v>37</v>
      </c>
      <c r="N11">
        <v>0.40100000000000002</v>
      </c>
      <c r="O11">
        <v>133</v>
      </c>
      <c r="P11">
        <v>83</v>
      </c>
      <c r="Q11" t="s">
        <v>29</v>
      </c>
      <c r="R11">
        <v>183</v>
      </c>
      <c r="S11">
        <v>17.91</v>
      </c>
      <c r="T11" t="s">
        <v>26</v>
      </c>
    </row>
    <row r="12" spans="1:20" x14ac:dyDescent="0.3">
      <c r="A12" t="s">
        <v>20</v>
      </c>
      <c r="B12">
        <v>38</v>
      </c>
      <c r="C12">
        <v>75.599999999999994</v>
      </c>
      <c r="D12">
        <v>1.6</v>
      </c>
      <c r="E12">
        <v>29.5</v>
      </c>
      <c r="F12">
        <v>72.3</v>
      </c>
      <c r="G12" t="s">
        <v>43</v>
      </c>
      <c r="H12">
        <v>269</v>
      </c>
      <c r="I12">
        <v>61</v>
      </c>
      <c r="J12">
        <v>74</v>
      </c>
      <c r="K12" t="s">
        <v>23</v>
      </c>
      <c r="L12" t="s">
        <v>23</v>
      </c>
      <c r="M12" t="s">
        <v>24</v>
      </c>
      <c r="N12">
        <v>0.45200000000000001</v>
      </c>
      <c r="O12">
        <v>129</v>
      </c>
      <c r="P12">
        <v>87</v>
      </c>
      <c r="Q12" t="s">
        <v>29</v>
      </c>
      <c r="R12">
        <v>178</v>
      </c>
      <c r="S12">
        <v>19.73</v>
      </c>
      <c r="T12" t="s">
        <v>30</v>
      </c>
    </row>
    <row r="13" spans="1:20" x14ac:dyDescent="0.3">
      <c r="A13" t="s">
        <v>20</v>
      </c>
      <c r="B13">
        <v>32</v>
      </c>
      <c r="C13">
        <v>90.2</v>
      </c>
      <c r="D13">
        <v>1.85</v>
      </c>
      <c r="E13">
        <v>26.4</v>
      </c>
      <c r="F13">
        <v>71.8</v>
      </c>
      <c r="G13" t="s">
        <v>44</v>
      </c>
      <c r="H13">
        <v>231</v>
      </c>
      <c r="I13">
        <v>53</v>
      </c>
      <c r="J13">
        <v>121</v>
      </c>
      <c r="K13" t="s">
        <v>22</v>
      </c>
      <c r="L13" t="s">
        <v>23</v>
      </c>
      <c r="M13" t="s">
        <v>37</v>
      </c>
      <c r="N13">
        <v>0.38800000000000001</v>
      </c>
      <c r="O13">
        <v>134</v>
      </c>
      <c r="P13">
        <v>91</v>
      </c>
      <c r="Q13" t="s">
        <v>29</v>
      </c>
      <c r="R13">
        <v>148</v>
      </c>
      <c r="S13">
        <v>18.600000000000001</v>
      </c>
      <c r="T13" t="s">
        <v>26</v>
      </c>
    </row>
    <row r="14" spans="1:20" x14ac:dyDescent="0.3">
      <c r="A14" t="s">
        <v>31</v>
      </c>
      <c r="B14">
        <v>48</v>
      </c>
      <c r="E14">
        <v>28.8</v>
      </c>
      <c r="F14">
        <v>79.7</v>
      </c>
      <c r="G14" t="s">
        <v>45</v>
      </c>
      <c r="H14">
        <v>245</v>
      </c>
      <c r="I14">
        <v>72</v>
      </c>
      <c r="J14">
        <v>97</v>
      </c>
      <c r="K14" t="s">
        <v>23</v>
      </c>
      <c r="L14" t="s">
        <v>22</v>
      </c>
      <c r="M14" t="s">
        <v>24</v>
      </c>
      <c r="N14">
        <v>0.44800000000000001</v>
      </c>
      <c r="O14">
        <v>102</v>
      </c>
      <c r="P14">
        <v>63</v>
      </c>
      <c r="Q14" t="s">
        <v>33</v>
      </c>
      <c r="R14">
        <v>143</v>
      </c>
      <c r="S14">
        <v>15.76</v>
      </c>
      <c r="T14" t="s">
        <v>30</v>
      </c>
    </row>
    <row r="15" spans="1:20" x14ac:dyDescent="0.3">
      <c r="A15" t="s">
        <v>31</v>
      </c>
      <c r="B15">
        <v>38</v>
      </c>
      <c r="C15">
        <v>117</v>
      </c>
      <c r="D15">
        <v>1.81</v>
      </c>
      <c r="E15">
        <v>35.700000000000003</v>
      </c>
      <c r="F15">
        <v>79.3</v>
      </c>
      <c r="G15" t="s">
        <v>46</v>
      </c>
      <c r="H15">
        <v>206</v>
      </c>
      <c r="I15">
        <v>51</v>
      </c>
      <c r="J15">
        <v>122</v>
      </c>
      <c r="K15" t="s">
        <v>23</v>
      </c>
      <c r="L15" t="s">
        <v>23</v>
      </c>
      <c r="M15" t="s">
        <v>28</v>
      </c>
      <c r="N15">
        <v>0.438</v>
      </c>
      <c r="O15">
        <v>142</v>
      </c>
      <c r="P15">
        <v>92</v>
      </c>
      <c r="Q15" t="s">
        <v>38</v>
      </c>
      <c r="R15">
        <v>125</v>
      </c>
      <c r="S15">
        <v>20.36</v>
      </c>
      <c r="T15" t="s">
        <v>30</v>
      </c>
    </row>
    <row r="16" spans="1:20" x14ac:dyDescent="0.3">
      <c r="A16" t="s">
        <v>31</v>
      </c>
      <c r="B16">
        <v>58</v>
      </c>
      <c r="C16">
        <v>104.2</v>
      </c>
      <c r="D16">
        <v>1.73</v>
      </c>
      <c r="E16">
        <v>34.799999999999997</v>
      </c>
      <c r="F16">
        <v>108.4</v>
      </c>
      <c r="G16" t="s">
        <v>47</v>
      </c>
      <c r="I16">
        <v>68</v>
      </c>
      <c r="J16">
        <v>142</v>
      </c>
      <c r="K16" t="s">
        <v>23</v>
      </c>
      <c r="L16" t="s">
        <v>23</v>
      </c>
      <c r="M16" t="s">
        <v>24</v>
      </c>
      <c r="N16">
        <v>0.627</v>
      </c>
      <c r="O16">
        <v>101</v>
      </c>
      <c r="P16">
        <v>64</v>
      </c>
      <c r="Q16" t="s">
        <v>33</v>
      </c>
      <c r="R16">
        <v>190</v>
      </c>
      <c r="T16" t="s">
        <v>30</v>
      </c>
    </row>
    <row r="17" spans="1:20" x14ac:dyDescent="0.3">
      <c r="A17" t="s">
        <v>31</v>
      </c>
      <c r="B17">
        <v>38</v>
      </c>
      <c r="C17">
        <v>116.5</v>
      </c>
      <c r="D17">
        <v>1.64</v>
      </c>
      <c r="E17">
        <v>43.3</v>
      </c>
      <c r="F17">
        <v>76.7</v>
      </c>
      <c r="G17" t="s">
        <v>48</v>
      </c>
      <c r="H17">
        <v>115</v>
      </c>
      <c r="I17">
        <v>41</v>
      </c>
      <c r="J17">
        <v>111</v>
      </c>
      <c r="K17" t="s">
        <v>22</v>
      </c>
      <c r="L17" t="s">
        <v>22</v>
      </c>
      <c r="M17" t="s">
        <v>24</v>
      </c>
      <c r="N17">
        <v>0.46800000000000003</v>
      </c>
      <c r="O17">
        <v>101</v>
      </c>
      <c r="P17">
        <v>67</v>
      </c>
      <c r="Q17" t="s">
        <v>33</v>
      </c>
      <c r="R17">
        <v>44</v>
      </c>
      <c r="S17">
        <v>16.010000000000002</v>
      </c>
      <c r="T17" t="s">
        <v>26</v>
      </c>
    </row>
    <row r="18" spans="1:20" x14ac:dyDescent="0.3">
      <c r="A18" t="s">
        <v>20</v>
      </c>
      <c r="B18">
        <v>41</v>
      </c>
      <c r="C18">
        <v>60.8</v>
      </c>
      <c r="D18">
        <v>1.68</v>
      </c>
      <c r="E18">
        <v>21.5</v>
      </c>
      <c r="F18">
        <v>77.099999999999994</v>
      </c>
      <c r="G18" t="s">
        <v>49</v>
      </c>
      <c r="I18">
        <v>60</v>
      </c>
      <c r="K18" t="s">
        <v>23</v>
      </c>
      <c r="L18" t="s">
        <v>23</v>
      </c>
      <c r="M18" t="s">
        <v>24</v>
      </c>
      <c r="O18">
        <v>138</v>
      </c>
      <c r="P18">
        <v>99</v>
      </c>
      <c r="Q18" t="s">
        <v>29</v>
      </c>
      <c r="R18">
        <v>138</v>
      </c>
      <c r="S18">
        <v>17.760000000000002</v>
      </c>
      <c r="T18" t="s">
        <v>30</v>
      </c>
    </row>
    <row r="19" spans="1:20" x14ac:dyDescent="0.3">
      <c r="A19" t="s">
        <v>31</v>
      </c>
      <c r="B19">
        <v>57</v>
      </c>
      <c r="C19">
        <v>94.5</v>
      </c>
      <c r="D19">
        <v>1.8</v>
      </c>
      <c r="E19">
        <v>29.2</v>
      </c>
      <c r="F19">
        <v>89.9</v>
      </c>
      <c r="G19" t="s">
        <v>50</v>
      </c>
      <c r="I19">
        <v>64</v>
      </c>
      <c r="J19">
        <v>109</v>
      </c>
      <c r="K19" t="s">
        <v>22</v>
      </c>
      <c r="L19" t="s">
        <v>23</v>
      </c>
      <c r="M19" t="s">
        <v>37</v>
      </c>
      <c r="N19">
        <v>0.499</v>
      </c>
      <c r="O19">
        <v>129</v>
      </c>
      <c r="P19">
        <v>100</v>
      </c>
      <c r="Q19" t="s">
        <v>38</v>
      </c>
      <c r="R19">
        <v>78</v>
      </c>
      <c r="S19">
        <v>17.73</v>
      </c>
      <c r="T19" t="s">
        <v>26</v>
      </c>
    </row>
    <row r="20" spans="1:20" x14ac:dyDescent="0.3">
      <c r="A20" t="s">
        <v>20</v>
      </c>
      <c r="B20">
        <v>41</v>
      </c>
      <c r="C20">
        <v>58.3</v>
      </c>
      <c r="D20">
        <v>1.85</v>
      </c>
      <c r="E20">
        <v>17</v>
      </c>
      <c r="F20">
        <v>100.6</v>
      </c>
      <c r="G20" t="s">
        <v>51</v>
      </c>
      <c r="H20">
        <v>167</v>
      </c>
      <c r="I20">
        <v>51</v>
      </c>
      <c r="J20">
        <v>135</v>
      </c>
      <c r="K20" t="s">
        <v>22</v>
      </c>
      <c r="L20" t="s">
        <v>22</v>
      </c>
      <c r="M20" t="s">
        <v>37</v>
      </c>
      <c r="O20">
        <v>138</v>
      </c>
      <c r="P20">
        <v>96</v>
      </c>
      <c r="Q20" t="s">
        <v>29</v>
      </c>
      <c r="R20">
        <v>86</v>
      </c>
      <c r="S20">
        <v>13.64</v>
      </c>
      <c r="T20" t="s">
        <v>52</v>
      </c>
    </row>
    <row r="21" spans="1:20" x14ac:dyDescent="0.3">
      <c r="A21" t="s">
        <v>20</v>
      </c>
      <c r="B21">
        <v>48</v>
      </c>
      <c r="C21">
        <v>50.6</v>
      </c>
      <c r="D21">
        <v>1.7</v>
      </c>
      <c r="E21">
        <v>17.5</v>
      </c>
      <c r="G21" t="s">
        <v>53</v>
      </c>
      <c r="H21">
        <v>185</v>
      </c>
      <c r="I21">
        <v>68</v>
      </c>
      <c r="J21">
        <v>116</v>
      </c>
      <c r="K21" t="s">
        <v>23</v>
      </c>
      <c r="L21" t="s">
        <v>22</v>
      </c>
      <c r="M21" t="s">
        <v>24</v>
      </c>
      <c r="N21">
        <v>0.64600000000000002</v>
      </c>
      <c r="O21">
        <v>95</v>
      </c>
      <c r="P21">
        <v>92</v>
      </c>
      <c r="Q21" t="s">
        <v>38</v>
      </c>
      <c r="R21">
        <v>87</v>
      </c>
      <c r="S21">
        <v>11.95</v>
      </c>
      <c r="T21" t="s">
        <v>30</v>
      </c>
    </row>
    <row r="22" spans="1:20" x14ac:dyDescent="0.3">
      <c r="A22" t="s">
        <v>20</v>
      </c>
      <c r="B22">
        <v>40</v>
      </c>
      <c r="C22">
        <v>85.6</v>
      </c>
      <c r="D22">
        <v>1.77</v>
      </c>
      <c r="E22">
        <v>27.3</v>
      </c>
      <c r="F22">
        <v>98.7</v>
      </c>
      <c r="G22" t="s">
        <v>54</v>
      </c>
      <c r="H22">
        <v>282</v>
      </c>
      <c r="I22">
        <v>80</v>
      </c>
      <c r="J22">
        <v>112</v>
      </c>
      <c r="K22" t="s">
        <v>23</v>
      </c>
      <c r="L22" t="s">
        <v>23</v>
      </c>
      <c r="M22" t="s">
        <v>24</v>
      </c>
      <c r="N22">
        <v>0.55800000000000005</v>
      </c>
      <c r="O22">
        <v>132</v>
      </c>
      <c r="P22">
        <v>92</v>
      </c>
      <c r="Q22" t="s">
        <v>29</v>
      </c>
      <c r="R22">
        <v>172</v>
      </c>
      <c r="S22">
        <v>19.7</v>
      </c>
      <c r="T22" t="s">
        <v>30</v>
      </c>
    </row>
    <row r="23" spans="1:20" x14ac:dyDescent="0.3">
      <c r="A23" t="s">
        <v>20</v>
      </c>
      <c r="B23">
        <v>39</v>
      </c>
      <c r="C23">
        <v>92.7</v>
      </c>
      <c r="D23">
        <v>1.61</v>
      </c>
      <c r="E23">
        <v>35.799999999999997</v>
      </c>
      <c r="F23">
        <v>105.6</v>
      </c>
      <c r="G23" t="s">
        <v>55</v>
      </c>
      <c r="H23">
        <v>176</v>
      </c>
      <c r="I23">
        <v>71</v>
      </c>
      <c r="J23">
        <v>85</v>
      </c>
      <c r="K23" t="s">
        <v>23</v>
      </c>
      <c r="L23" t="s">
        <v>22</v>
      </c>
      <c r="M23" t="s">
        <v>24</v>
      </c>
      <c r="N23">
        <v>0.65600000000000003</v>
      </c>
      <c r="O23">
        <v>120</v>
      </c>
      <c r="P23">
        <v>89</v>
      </c>
      <c r="Q23" t="s">
        <v>29</v>
      </c>
      <c r="R23">
        <v>75</v>
      </c>
      <c r="S23">
        <v>16.68</v>
      </c>
      <c r="T23" t="s">
        <v>30</v>
      </c>
    </row>
    <row r="24" spans="1:20" x14ac:dyDescent="0.3">
      <c r="A24" t="s">
        <v>20</v>
      </c>
      <c r="B24">
        <v>34</v>
      </c>
      <c r="C24">
        <v>90.4</v>
      </c>
      <c r="E24">
        <v>25</v>
      </c>
      <c r="F24">
        <v>71.400000000000006</v>
      </c>
      <c r="G24" t="s">
        <v>56</v>
      </c>
      <c r="H24">
        <v>149</v>
      </c>
      <c r="I24">
        <v>76</v>
      </c>
      <c r="J24">
        <v>114</v>
      </c>
      <c r="K24" t="s">
        <v>22</v>
      </c>
      <c r="L24" t="s">
        <v>23</v>
      </c>
      <c r="M24" t="s">
        <v>24</v>
      </c>
      <c r="N24">
        <v>0.376</v>
      </c>
      <c r="Q24" t="s">
        <v>25</v>
      </c>
      <c r="R24">
        <v>43</v>
      </c>
      <c r="S24">
        <v>16.03</v>
      </c>
      <c r="T24" t="s">
        <v>30</v>
      </c>
    </row>
    <row r="25" spans="1:20" x14ac:dyDescent="0.3">
      <c r="A25" t="s">
        <v>20</v>
      </c>
      <c r="B25">
        <v>35</v>
      </c>
      <c r="C25">
        <v>60.1</v>
      </c>
      <c r="D25">
        <v>1.76</v>
      </c>
      <c r="E25">
        <v>19.399999999999999</v>
      </c>
      <c r="F25">
        <v>86.9</v>
      </c>
      <c r="G25" t="s">
        <v>57</v>
      </c>
      <c r="H25">
        <v>191</v>
      </c>
      <c r="I25">
        <v>65</v>
      </c>
      <c r="J25">
        <v>86</v>
      </c>
      <c r="K25" t="s">
        <v>22</v>
      </c>
      <c r="L25" t="s">
        <v>22</v>
      </c>
      <c r="M25" t="s">
        <v>37</v>
      </c>
      <c r="N25">
        <v>0.49399999999999999</v>
      </c>
      <c r="O25">
        <v>102</v>
      </c>
      <c r="P25">
        <v>74</v>
      </c>
      <c r="Q25" t="s">
        <v>33</v>
      </c>
      <c r="R25">
        <v>96</v>
      </c>
      <c r="S25">
        <v>12.8</v>
      </c>
      <c r="T25" t="s">
        <v>52</v>
      </c>
    </row>
    <row r="26" spans="1:20" x14ac:dyDescent="0.3">
      <c r="A26" t="s">
        <v>31</v>
      </c>
      <c r="B26">
        <v>36</v>
      </c>
      <c r="C26">
        <v>96</v>
      </c>
      <c r="D26">
        <v>1.63</v>
      </c>
      <c r="E26">
        <v>36.1</v>
      </c>
      <c r="F26">
        <v>78.2</v>
      </c>
      <c r="G26" t="s">
        <v>58</v>
      </c>
      <c r="H26">
        <v>158</v>
      </c>
      <c r="I26">
        <v>39</v>
      </c>
      <c r="J26">
        <v>108</v>
      </c>
      <c r="K26" t="s">
        <v>23</v>
      </c>
      <c r="L26" t="s">
        <v>23</v>
      </c>
      <c r="M26" t="s">
        <v>24</v>
      </c>
      <c r="N26">
        <v>0.48</v>
      </c>
      <c r="O26">
        <v>98</v>
      </c>
      <c r="P26">
        <v>99</v>
      </c>
      <c r="Q26" t="s">
        <v>38</v>
      </c>
      <c r="R26">
        <v>89</v>
      </c>
      <c r="S26">
        <v>17.28</v>
      </c>
      <c r="T26" t="s">
        <v>30</v>
      </c>
    </row>
    <row r="27" spans="1:20" x14ac:dyDescent="0.3">
      <c r="A27" t="s">
        <v>20</v>
      </c>
      <c r="B27">
        <v>53</v>
      </c>
      <c r="C27">
        <v>68.900000000000006</v>
      </c>
      <c r="D27">
        <v>1.88</v>
      </c>
      <c r="E27">
        <v>19.5</v>
      </c>
      <c r="F27">
        <v>84.6</v>
      </c>
      <c r="G27" t="s">
        <v>59</v>
      </c>
      <c r="H27">
        <v>156</v>
      </c>
      <c r="J27">
        <v>128</v>
      </c>
      <c r="K27" t="s">
        <v>23</v>
      </c>
      <c r="L27" t="s">
        <v>23</v>
      </c>
      <c r="M27" t="s">
        <v>28</v>
      </c>
      <c r="N27">
        <v>0.45</v>
      </c>
      <c r="O27">
        <v>137</v>
      </c>
      <c r="P27">
        <v>70</v>
      </c>
      <c r="Q27" t="s">
        <v>29</v>
      </c>
      <c r="R27">
        <v>47</v>
      </c>
      <c r="S27">
        <v>15.87</v>
      </c>
      <c r="T27" t="s">
        <v>30</v>
      </c>
    </row>
    <row r="28" spans="1:20" x14ac:dyDescent="0.3">
      <c r="A28" t="s">
        <v>20</v>
      </c>
      <c r="B28">
        <v>55</v>
      </c>
      <c r="C28">
        <v>96</v>
      </c>
      <c r="D28">
        <v>1.65</v>
      </c>
      <c r="E28">
        <v>35.299999999999997</v>
      </c>
      <c r="F28">
        <v>83.6</v>
      </c>
      <c r="G28" t="s">
        <v>60</v>
      </c>
      <c r="H28">
        <v>160</v>
      </c>
      <c r="I28">
        <v>41</v>
      </c>
      <c r="K28" t="s">
        <v>22</v>
      </c>
      <c r="L28" t="s">
        <v>22</v>
      </c>
      <c r="M28" t="s">
        <v>24</v>
      </c>
      <c r="N28">
        <v>0.50700000000000001</v>
      </c>
      <c r="O28">
        <v>148</v>
      </c>
      <c r="Q28" t="s">
        <v>38</v>
      </c>
      <c r="R28">
        <v>89</v>
      </c>
      <c r="S28">
        <v>17.66</v>
      </c>
      <c r="T28" t="s">
        <v>30</v>
      </c>
    </row>
    <row r="29" spans="1:20" x14ac:dyDescent="0.3">
      <c r="A29" t="s">
        <v>31</v>
      </c>
      <c r="B29">
        <v>47</v>
      </c>
      <c r="C29">
        <v>111.6</v>
      </c>
      <c r="D29">
        <v>1.73</v>
      </c>
      <c r="F29">
        <v>75.900000000000006</v>
      </c>
      <c r="G29" t="s">
        <v>61</v>
      </c>
      <c r="H29">
        <v>283</v>
      </c>
      <c r="I29">
        <v>64</v>
      </c>
      <c r="J29">
        <v>142</v>
      </c>
      <c r="K29" t="s">
        <v>23</v>
      </c>
      <c r="L29" t="s">
        <v>22</v>
      </c>
      <c r="M29" t="s">
        <v>24</v>
      </c>
      <c r="N29">
        <v>0.439</v>
      </c>
      <c r="O29">
        <v>128</v>
      </c>
      <c r="P29">
        <v>66</v>
      </c>
      <c r="Q29" t="s">
        <v>25</v>
      </c>
      <c r="R29">
        <v>189</v>
      </c>
      <c r="S29">
        <v>19.52</v>
      </c>
      <c r="T29" t="s">
        <v>30</v>
      </c>
    </row>
    <row r="30" spans="1:20" x14ac:dyDescent="0.3">
      <c r="A30" t="s">
        <v>31</v>
      </c>
      <c r="B30">
        <v>55</v>
      </c>
      <c r="C30">
        <v>106</v>
      </c>
      <c r="D30">
        <v>1.82</v>
      </c>
      <c r="E30">
        <v>32</v>
      </c>
      <c r="F30">
        <v>109.3</v>
      </c>
      <c r="G30" t="s">
        <v>62</v>
      </c>
      <c r="H30">
        <v>287</v>
      </c>
      <c r="I30">
        <v>35</v>
      </c>
      <c r="J30">
        <v>130</v>
      </c>
      <c r="K30" t="s">
        <v>22</v>
      </c>
      <c r="L30" t="s">
        <v>23</v>
      </c>
      <c r="M30" t="s">
        <v>37</v>
      </c>
      <c r="N30">
        <v>0.60099999999999998</v>
      </c>
      <c r="O30">
        <v>97</v>
      </c>
      <c r="P30">
        <v>63</v>
      </c>
      <c r="Q30" t="s">
        <v>33</v>
      </c>
      <c r="R30">
        <v>222</v>
      </c>
      <c r="S30">
        <v>18.989999999999998</v>
      </c>
      <c r="T30" t="s">
        <v>30</v>
      </c>
    </row>
    <row r="31" spans="1:20" x14ac:dyDescent="0.3">
      <c r="A31" t="s">
        <v>31</v>
      </c>
      <c r="B31">
        <v>30</v>
      </c>
      <c r="D31">
        <v>1.83</v>
      </c>
      <c r="E31">
        <v>22.6</v>
      </c>
      <c r="F31">
        <v>75.099999999999994</v>
      </c>
      <c r="G31" t="s">
        <v>63</v>
      </c>
      <c r="H31">
        <v>277</v>
      </c>
      <c r="I31">
        <v>32</v>
      </c>
      <c r="J31">
        <v>73</v>
      </c>
      <c r="K31" t="s">
        <v>23</v>
      </c>
      <c r="L31" t="s">
        <v>22</v>
      </c>
      <c r="M31" t="s">
        <v>37</v>
      </c>
      <c r="N31">
        <v>0.41</v>
      </c>
      <c r="O31">
        <v>91</v>
      </c>
      <c r="P31">
        <v>95</v>
      </c>
      <c r="Q31" t="s">
        <v>38</v>
      </c>
      <c r="R31">
        <v>215</v>
      </c>
      <c r="S31">
        <v>14.61</v>
      </c>
      <c r="T31" t="s">
        <v>30</v>
      </c>
    </row>
    <row r="32" spans="1:20" x14ac:dyDescent="0.3">
      <c r="A32" t="s">
        <v>20</v>
      </c>
      <c r="B32">
        <v>58</v>
      </c>
      <c r="C32">
        <v>64.7</v>
      </c>
      <c r="D32">
        <v>1.64</v>
      </c>
      <c r="E32">
        <v>24.1</v>
      </c>
      <c r="F32">
        <v>82.1</v>
      </c>
      <c r="G32" t="s">
        <v>64</v>
      </c>
      <c r="H32">
        <v>151</v>
      </c>
      <c r="I32">
        <v>40</v>
      </c>
      <c r="J32">
        <v>123</v>
      </c>
      <c r="K32" t="s">
        <v>23</v>
      </c>
      <c r="L32" t="s">
        <v>22</v>
      </c>
      <c r="M32" t="s">
        <v>24</v>
      </c>
      <c r="O32">
        <v>97</v>
      </c>
      <c r="P32">
        <v>75</v>
      </c>
      <c r="Q32" t="s">
        <v>33</v>
      </c>
      <c r="R32">
        <v>81</v>
      </c>
      <c r="S32">
        <v>12.69</v>
      </c>
      <c r="T32" t="s">
        <v>26</v>
      </c>
    </row>
    <row r="33" spans="1:20" x14ac:dyDescent="0.3">
      <c r="A33" t="s">
        <v>20</v>
      </c>
      <c r="B33">
        <v>31</v>
      </c>
      <c r="C33">
        <v>51.6</v>
      </c>
      <c r="D33">
        <v>1.71</v>
      </c>
      <c r="E33">
        <v>17.600000000000001</v>
      </c>
      <c r="F33">
        <v>93.7</v>
      </c>
      <c r="G33" t="s">
        <v>65</v>
      </c>
      <c r="H33">
        <v>165</v>
      </c>
      <c r="I33">
        <v>79</v>
      </c>
      <c r="J33">
        <v>136</v>
      </c>
      <c r="K33" t="s">
        <v>23</v>
      </c>
      <c r="L33" t="s">
        <v>23</v>
      </c>
      <c r="M33" t="s">
        <v>24</v>
      </c>
      <c r="N33">
        <v>0.54800000000000004</v>
      </c>
      <c r="O33">
        <v>109</v>
      </c>
      <c r="P33">
        <v>64</v>
      </c>
      <c r="Q33" t="s">
        <v>33</v>
      </c>
      <c r="R33">
        <v>56</v>
      </c>
      <c r="S33">
        <v>14.27</v>
      </c>
      <c r="T33" t="s">
        <v>26</v>
      </c>
    </row>
    <row r="34" spans="1:20" x14ac:dyDescent="0.3">
      <c r="A34" t="s">
        <v>31</v>
      </c>
      <c r="B34">
        <v>55</v>
      </c>
      <c r="C34">
        <v>112.8</v>
      </c>
      <c r="D34">
        <v>1.74</v>
      </c>
      <c r="E34">
        <v>37.299999999999997</v>
      </c>
      <c r="F34">
        <v>80.900000000000006</v>
      </c>
      <c r="G34" t="s">
        <v>66</v>
      </c>
      <c r="H34">
        <v>145</v>
      </c>
      <c r="I34">
        <v>32</v>
      </c>
      <c r="J34">
        <v>150</v>
      </c>
      <c r="K34" t="s">
        <v>23</v>
      </c>
      <c r="L34" t="s">
        <v>23</v>
      </c>
      <c r="M34" t="s">
        <v>28</v>
      </c>
      <c r="N34">
        <v>0.46500000000000002</v>
      </c>
      <c r="O34">
        <v>106</v>
      </c>
      <c r="P34">
        <v>87</v>
      </c>
      <c r="Q34" t="s">
        <v>29</v>
      </c>
      <c r="R34">
        <v>83</v>
      </c>
      <c r="S34">
        <v>17.66</v>
      </c>
      <c r="T34" t="s">
        <v>30</v>
      </c>
    </row>
    <row r="35" spans="1:20" x14ac:dyDescent="0.3">
      <c r="A35" t="s">
        <v>31</v>
      </c>
      <c r="B35">
        <v>37</v>
      </c>
      <c r="C35">
        <v>108.4</v>
      </c>
      <c r="E35">
        <v>36.200000000000003</v>
      </c>
      <c r="F35">
        <v>80.099999999999994</v>
      </c>
      <c r="G35" t="s">
        <v>67</v>
      </c>
      <c r="I35">
        <v>48</v>
      </c>
      <c r="J35">
        <v>145</v>
      </c>
      <c r="K35" t="s">
        <v>23</v>
      </c>
      <c r="L35" t="s">
        <v>22</v>
      </c>
      <c r="M35" t="s">
        <v>37</v>
      </c>
      <c r="N35">
        <v>0.46300000000000002</v>
      </c>
      <c r="O35">
        <v>100</v>
      </c>
      <c r="P35">
        <v>83</v>
      </c>
      <c r="Q35" t="s">
        <v>29</v>
      </c>
      <c r="R35">
        <v>55</v>
      </c>
      <c r="S35">
        <v>14.9</v>
      </c>
      <c r="T35" t="s">
        <v>26</v>
      </c>
    </row>
    <row r="36" spans="1:20" x14ac:dyDescent="0.3">
      <c r="A36" t="s">
        <v>31</v>
      </c>
      <c r="B36">
        <v>32</v>
      </c>
      <c r="D36">
        <v>1.62</v>
      </c>
      <c r="E36">
        <v>24</v>
      </c>
      <c r="F36">
        <v>105.5</v>
      </c>
      <c r="G36" t="s">
        <v>68</v>
      </c>
      <c r="H36">
        <v>155</v>
      </c>
      <c r="I36">
        <v>74</v>
      </c>
      <c r="J36">
        <v>130</v>
      </c>
      <c r="K36" t="s">
        <v>22</v>
      </c>
      <c r="L36" t="s">
        <v>22</v>
      </c>
      <c r="M36" t="s">
        <v>24</v>
      </c>
      <c r="N36">
        <v>0.65100000000000002</v>
      </c>
      <c r="O36">
        <v>122</v>
      </c>
      <c r="P36">
        <v>84</v>
      </c>
      <c r="Q36" t="s">
        <v>29</v>
      </c>
      <c r="R36">
        <v>51</v>
      </c>
      <c r="S36">
        <v>14</v>
      </c>
      <c r="T36" t="s">
        <v>52</v>
      </c>
    </row>
    <row r="37" spans="1:20" x14ac:dyDescent="0.3">
      <c r="A37" t="s">
        <v>31</v>
      </c>
      <c r="B37">
        <v>45</v>
      </c>
      <c r="C37">
        <v>58.7</v>
      </c>
      <c r="D37">
        <v>1.73</v>
      </c>
      <c r="E37">
        <v>19.600000000000001</v>
      </c>
      <c r="G37" t="s">
        <v>69</v>
      </c>
      <c r="H37">
        <v>286</v>
      </c>
      <c r="I37">
        <v>73</v>
      </c>
      <c r="J37">
        <v>141</v>
      </c>
      <c r="K37" t="s">
        <v>22</v>
      </c>
      <c r="L37" t="s">
        <v>23</v>
      </c>
      <c r="M37" t="s">
        <v>28</v>
      </c>
      <c r="N37">
        <v>0.46</v>
      </c>
      <c r="O37">
        <v>136</v>
      </c>
      <c r="Q37" t="s">
        <v>29</v>
      </c>
      <c r="R37">
        <v>183</v>
      </c>
      <c r="S37">
        <v>18.440000000000001</v>
      </c>
      <c r="T37" t="s">
        <v>26</v>
      </c>
    </row>
    <row r="38" spans="1:20" x14ac:dyDescent="0.3">
      <c r="A38" t="s">
        <v>20</v>
      </c>
      <c r="B38">
        <v>32</v>
      </c>
      <c r="C38">
        <v>116.2</v>
      </c>
      <c r="E38">
        <v>36.700000000000003</v>
      </c>
      <c r="F38">
        <v>89.8</v>
      </c>
      <c r="G38" t="s">
        <v>70</v>
      </c>
      <c r="H38">
        <v>115</v>
      </c>
      <c r="I38">
        <v>52</v>
      </c>
      <c r="J38">
        <v>147</v>
      </c>
      <c r="K38" t="s">
        <v>22</v>
      </c>
      <c r="L38" t="s">
        <v>23</v>
      </c>
      <c r="M38" t="s">
        <v>37</v>
      </c>
      <c r="N38">
        <v>0.504</v>
      </c>
      <c r="O38">
        <v>99</v>
      </c>
      <c r="P38">
        <v>99</v>
      </c>
      <c r="Q38" t="s">
        <v>38</v>
      </c>
      <c r="R38">
        <v>33</v>
      </c>
      <c r="S38">
        <v>16.59</v>
      </c>
      <c r="T38" t="s">
        <v>26</v>
      </c>
    </row>
    <row r="39" spans="1:20" x14ac:dyDescent="0.3">
      <c r="A39" t="s">
        <v>20</v>
      </c>
      <c r="B39">
        <v>42</v>
      </c>
      <c r="C39">
        <v>100.4</v>
      </c>
      <c r="D39">
        <v>1.77</v>
      </c>
      <c r="E39">
        <v>32</v>
      </c>
      <c r="F39">
        <v>82.5</v>
      </c>
      <c r="G39" t="s">
        <v>71</v>
      </c>
      <c r="H39">
        <v>164</v>
      </c>
      <c r="I39">
        <v>75</v>
      </c>
      <c r="J39">
        <v>96</v>
      </c>
      <c r="K39" t="s">
        <v>22</v>
      </c>
      <c r="L39" t="s">
        <v>23</v>
      </c>
      <c r="M39" t="s">
        <v>28</v>
      </c>
      <c r="N39">
        <v>0.46600000000000003</v>
      </c>
      <c r="O39">
        <v>144</v>
      </c>
      <c r="P39">
        <v>73</v>
      </c>
      <c r="Q39" t="s">
        <v>38</v>
      </c>
      <c r="R39">
        <v>59</v>
      </c>
      <c r="S39">
        <v>18.88</v>
      </c>
      <c r="T39" t="s">
        <v>26</v>
      </c>
    </row>
    <row r="40" spans="1:20" x14ac:dyDescent="0.3">
      <c r="A40" t="s">
        <v>31</v>
      </c>
      <c r="B40">
        <v>33</v>
      </c>
      <c r="C40">
        <v>81.599999999999994</v>
      </c>
      <c r="D40">
        <v>1.87</v>
      </c>
      <c r="E40">
        <v>23.3</v>
      </c>
      <c r="F40">
        <v>70</v>
      </c>
      <c r="G40" t="s">
        <v>72</v>
      </c>
      <c r="H40">
        <v>285</v>
      </c>
      <c r="I40">
        <v>69</v>
      </c>
      <c r="K40" t="s">
        <v>22</v>
      </c>
      <c r="L40" t="s">
        <v>22</v>
      </c>
      <c r="M40" t="s">
        <v>24</v>
      </c>
      <c r="N40">
        <v>0.374</v>
      </c>
      <c r="P40">
        <v>75</v>
      </c>
      <c r="Q40" t="s">
        <v>29</v>
      </c>
      <c r="R40">
        <v>186</v>
      </c>
      <c r="S40">
        <v>16.86</v>
      </c>
      <c r="T40" t="s">
        <v>26</v>
      </c>
    </row>
    <row r="41" spans="1:20" x14ac:dyDescent="0.3">
      <c r="A41" t="s">
        <v>31</v>
      </c>
      <c r="B41">
        <v>46</v>
      </c>
      <c r="C41">
        <v>69.3</v>
      </c>
      <c r="D41">
        <v>1.63</v>
      </c>
      <c r="E41">
        <v>26.1</v>
      </c>
      <c r="F41">
        <v>102.6</v>
      </c>
      <c r="G41" t="s">
        <v>73</v>
      </c>
      <c r="H41">
        <v>111</v>
      </c>
      <c r="I41">
        <v>74</v>
      </c>
      <c r="J41">
        <v>94</v>
      </c>
      <c r="K41" t="s">
        <v>22</v>
      </c>
      <c r="L41" t="s">
        <v>22</v>
      </c>
      <c r="M41" t="s">
        <v>24</v>
      </c>
      <c r="N41">
        <v>0.629</v>
      </c>
      <c r="O41">
        <v>134</v>
      </c>
      <c r="P41">
        <v>64</v>
      </c>
      <c r="Q41" t="s">
        <v>29</v>
      </c>
      <c r="R41">
        <v>7</v>
      </c>
      <c r="T41" t="s">
        <v>26</v>
      </c>
    </row>
    <row r="42" spans="1:20" x14ac:dyDescent="0.3">
      <c r="A42" t="s">
        <v>20</v>
      </c>
      <c r="C42">
        <v>109.2</v>
      </c>
      <c r="D42">
        <v>1.74</v>
      </c>
      <c r="E42">
        <v>36.1</v>
      </c>
      <c r="F42">
        <v>80.099999999999994</v>
      </c>
      <c r="G42" t="s">
        <v>74</v>
      </c>
      <c r="H42">
        <v>155</v>
      </c>
      <c r="I42">
        <v>65</v>
      </c>
      <c r="J42">
        <v>138</v>
      </c>
      <c r="K42" t="s">
        <v>23</v>
      </c>
      <c r="L42" t="s">
        <v>22</v>
      </c>
      <c r="M42" t="s">
        <v>24</v>
      </c>
      <c r="N42">
        <v>0.46</v>
      </c>
      <c r="O42">
        <v>117</v>
      </c>
      <c r="P42">
        <v>85</v>
      </c>
      <c r="Q42" t="s">
        <v>29</v>
      </c>
      <c r="R42">
        <v>60</v>
      </c>
      <c r="S42">
        <v>16.170000000000002</v>
      </c>
      <c r="T42" t="s">
        <v>30</v>
      </c>
    </row>
    <row r="43" spans="1:20" x14ac:dyDescent="0.3">
      <c r="A43" t="s">
        <v>20</v>
      </c>
      <c r="B43">
        <v>51</v>
      </c>
      <c r="C43">
        <v>102.1</v>
      </c>
      <c r="D43">
        <v>1.9</v>
      </c>
      <c r="E43">
        <v>28.3</v>
      </c>
      <c r="F43">
        <v>94.1</v>
      </c>
      <c r="G43" t="s">
        <v>75</v>
      </c>
      <c r="H43">
        <v>297</v>
      </c>
      <c r="I43">
        <v>38</v>
      </c>
      <c r="J43">
        <v>98</v>
      </c>
      <c r="K43" t="s">
        <v>23</v>
      </c>
      <c r="L43" t="s">
        <v>22</v>
      </c>
      <c r="M43" t="s">
        <v>28</v>
      </c>
      <c r="O43">
        <v>116</v>
      </c>
      <c r="P43">
        <v>61</v>
      </c>
      <c r="Q43" t="s">
        <v>33</v>
      </c>
      <c r="R43">
        <v>229</v>
      </c>
      <c r="S43">
        <v>17.399999999999999</v>
      </c>
      <c r="T43" t="s">
        <v>30</v>
      </c>
    </row>
    <row r="44" spans="1:20" x14ac:dyDescent="0.3">
      <c r="A44" t="s">
        <v>20</v>
      </c>
      <c r="B44">
        <v>43</v>
      </c>
      <c r="C44">
        <v>71.400000000000006</v>
      </c>
      <c r="D44">
        <v>1.76</v>
      </c>
      <c r="E44">
        <v>23.1</v>
      </c>
      <c r="F44">
        <v>97.7</v>
      </c>
      <c r="G44" t="s">
        <v>76</v>
      </c>
      <c r="H44">
        <v>123</v>
      </c>
      <c r="I44">
        <v>50</v>
      </c>
      <c r="J44">
        <v>125</v>
      </c>
      <c r="K44" t="s">
        <v>23</v>
      </c>
      <c r="L44" t="s">
        <v>22</v>
      </c>
      <c r="M44" t="s">
        <v>28</v>
      </c>
      <c r="N44">
        <v>0.55500000000000005</v>
      </c>
      <c r="O44">
        <v>105</v>
      </c>
      <c r="P44">
        <v>64</v>
      </c>
      <c r="Q44" t="s">
        <v>33</v>
      </c>
      <c r="R44">
        <v>43</v>
      </c>
      <c r="S44">
        <v>12.33</v>
      </c>
      <c r="T44" t="s">
        <v>26</v>
      </c>
    </row>
    <row r="45" spans="1:20" x14ac:dyDescent="0.3">
      <c r="A45" t="s">
        <v>20</v>
      </c>
      <c r="B45">
        <v>44</v>
      </c>
      <c r="C45">
        <v>64.400000000000006</v>
      </c>
      <c r="D45">
        <v>1.76</v>
      </c>
      <c r="E45">
        <v>20.8</v>
      </c>
      <c r="F45">
        <v>100.6</v>
      </c>
      <c r="G45" t="s">
        <v>77</v>
      </c>
      <c r="H45">
        <v>132</v>
      </c>
      <c r="I45">
        <v>49</v>
      </c>
      <c r="J45">
        <v>145</v>
      </c>
      <c r="K45" t="s">
        <v>23</v>
      </c>
      <c r="L45" t="s">
        <v>23</v>
      </c>
      <c r="M45" t="s">
        <v>37</v>
      </c>
      <c r="O45">
        <v>129</v>
      </c>
      <c r="P45">
        <v>78</v>
      </c>
      <c r="Q45" t="s">
        <v>25</v>
      </c>
      <c r="R45">
        <v>53</v>
      </c>
      <c r="S45">
        <v>15.25</v>
      </c>
      <c r="T45" t="s">
        <v>26</v>
      </c>
    </row>
    <row r="46" spans="1:20" x14ac:dyDescent="0.3">
      <c r="A46" t="s">
        <v>20</v>
      </c>
      <c r="D46">
        <v>1.81</v>
      </c>
      <c r="E46">
        <v>32.1</v>
      </c>
      <c r="F46">
        <v>75.7</v>
      </c>
      <c r="G46" t="s">
        <v>78</v>
      </c>
      <c r="H46">
        <v>144</v>
      </c>
      <c r="I46">
        <v>69</v>
      </c>
      <c r="J46">
        <v>129</v>
      </c>
      <c r="K46" t="s">
        <v>22</v>
      </c>
      <c r="L46" t="s">
        <v>23</v>
      </c>
      <c r="M46" t="s">
        <v>37</v>
      </c>
      <c r="N46">
        <v>0.41799999999999998</v>
      </c>
      <c r="O46">
        <v>94</v>
      </c>
      <c r="P46">
        <v>61</v>
      </c>
      <c r="Q46" t="s">
        <v>33</v>
      </c>
      <c r="R46">
        <v>45</v>
      </c>
      <c r="S46">
        <v>16</v>
      </c>
      <c r="T46" t="s">
        <v>26</v>
      </c>
    </row>
    <row r="47" spans="1:20" x14ac:dyDescent="0.3">
      <c r="A47" t="s">
        <v>20</v>
      </c>
      <c r="B47">
        <v>31</v>
      </c>
      <c r="C47">
        <v>115.5</v>
      </c>
      <c r="D47">
        <v>1.64</v>
      </c>
      <c r="E47">
        <v>42.9</v>
      </c>
      <c r="F47">
        <v>73.400000000000006</v>
      </c>
      <c r="G47" t="s">
        <v>79</v>
      </c>
      <c r="H47">
        <v>229</v>
      </c>
      <c r="J47">
        <v>85</v>
      </c>
      <c r="K47" t="s">
        <v>22</v>
      </c>
      <c r="L47" t="s">
        <v>23</v>
      </c>
      <c r="M47" t="s">
        <v>28</v>
      </c>
      <c r="N47">
        <v>0.44800000000000001</v>
      </c>
      <c r="O47">
        <v>129</v>
      </c>
      <c r="P47">
        <v>75</v>
      </c>
      <c r="Q47" t="s">
        <v>25</v>
      </c>
      <c r="R47">
        <v>156</v>
      </c>
      <c r="S47">
        <v>21.61</v>
      </c>
      <c r="T47" t="s">
        <v>30</v>
      </c>
    </row>
    <row r="48" spans="1:20" x14ac:dyDescent="0.3">
      <c r="A48" t="s">
        <v>20</v>
      </c>
      <c r="B48">
        <v>48</v>
      </c>
      <c r="C48">
        <v>81.8</v>
      </c>
      <c r="D48">
        <v>1.61</v>
      </c>
      <c r="E48">
        <v>31.6</v>
      </c>
      <c r="F48">
        <v>88.5</v>
      </c>
      <c r="G48" t="s">
        <v>80</v>
      </c>
      <c r="H48">
        <v>111</v>
      </c>
      <c r="I48">
        <v>31</v>
      </c>
      <c r="J48">
        <v>123</v>
      </c>
      <c r="K48" t="s">
        <v>22</v>
      </c>
      <c r="L48" t="s">
        <v>23</v>
      </c>
      <c r="M48" t="s">
        <v>37</v>
      </c>
      <c r="N48">
        <v>0.55000000000000004</v>
      </c>
      <c r="O48">
        <v>110</v>
      </c>
      <c r="P48">
        <v>74</v>
      </c>
      <c r="Q48" t="s">
        <v>33</v>
      </c>
      <c r="S48">
        <v>16.04</v>
      </c>
      <c r="T48" t="s">
        <v>30</v>
      </c>
    </row>
    <row r="49" spans="1:20" x14ac:dyDescent="0.3">
      <c r="A49" t="s">
        <v>31</v>
      </c>
      <c r="B49">
        <v>34</v>
      </c>
      <c r="D49">
        <v>1.71</v>
      </c>
      <c r="E49">
        <v>36.6</v>
      </c>
      <c r="F49">
        <v>79.7</v>
      </c>
      <c r="G49" t="s">
        <v>81</v>
      </c>
      <c r="H49">
        <v>250</v>
      </c>
      <c r="I49">
        <v>60</v>
      </c>
      <c r="J49">
        <v>88</v>
      </c>
      <c r="K49" t="s">
        <v>22</v>
      </c>
      <c r="L49" t="s">
        <v>23</v>
      </c>
      <c r="M49" t="s">
        <v>28</v>
      </c>
      <c r="N49">
        <v>0.46600000000000003</v>
      </c>
      <c r="O49">
        <v>120</v>
      </c>
      <c r="P49">
        <v>77</v>
      </c>
      <c r="Q49" t="s">
        <v>25</v>
      </c>
      <c r="S49">
        <v>20.32</v>
      </c>
      <c r="T49" t="s">
        <v>30</v>
      </c>
    </row>
    <row r="50" spans="1:20" x14ac:dyDescent="0.3">
      <c r="A50" t="s">
        <v>31</v>
      </c>
      <c r="B50">
        <v>41</v>
      </c>
      <c r="C50">
        <v>114.7</v>
      </c>
      <c r="D50">
        <v>1.8</v>
      </c>
      <c r="E50">
        <v>35.4</v>
      </c>
      <c r="F50">
        <v>75.099999999999994</v>
      </c>
      <c r="G50" t="s">
        <v>82</v>
      </c>
      <c r="H50">
        <v>119</v>
      </c>
      <c r="I50">
        <v>74</v>
      </c>
      <c r="J50">
        <v>133</v>
      </c>
      <c r="K50" t="s">
        <v>23</v>
      </c>
      <c r="L50" t="s">
        <v>23</v>
      </c>
      <c r="M50" t="s">
        <v>28</v>
      </c>
      <c r="N50">
        <v>0.41699999999999998</v>
      </c>
      <c r="O50">
        <v>145</v>
      </c>
      <c r="P50">
        <v>84</v>
      </c>
      <c r="Q50" t="s">
        <v>29</v>
      </c>
      <c r="R50">
        <v>15</v>
      </c>
      <c r="S50">
        <v>18.71</v>
      </c>
      <c r="T50" t="s">
        <v>26</v>
      </c>
    </row>
    <row r="51" spans="1:20" x14ac:dyDescent="0.3">
      <c r="A51" t="s">
        <v>31</v>
      </c>
      <c r="B51">
        <v>56</v>
      </c>
      <c r="C51">
        <v>61</v>
      </c>
      <c r="D51">
        <v>1.82</v>
      </c>
      <c r="E51">
        <v>18.399999999999999</v>
      </c>
      <c r="G51" t="s">
        <v>83</v>
      </c>
      <c r="H51">
        <v>260</v>
      </c>
      <c r="I51">
        <v>79</v>
      </c>
      <c r="J51">
        <v>78</v>
      </c>
      <c r="K51" t="s">
        <v>22</v>
      </c>
      <c r="L51" t="s">
        <v>22</v>
      </c>
      <c r="M51" t="s">
        <v>37</v>
      </c>
      <c r="N51">
        <v>0.48099999999999998</v>
      </c>
      <c r="O51">
        <v>97</v>
      </c>
      <c r="P51">
        <v>73</v>
      </c>
      <c r="Q51" t="s">
        <v>33</v>
      </c>
      <c r="S51">
        <v>13.73</v>
      </c>
      <c r="T51" t="s">
        <v>26</v>
      </c>
    </row>
    <row r="52" spans="1:20" x14ac:dyDescent="0.3">
      <c r="A52" t="s">
        <v>31</v>
      </c>
      <c r="B52">
        <v>55</v>
      </c>
      <c r="C52">
        <v>110.3</v>
      </c>
      <c r="D52">
        <v>1.61</v>
      </c>
      <c r="E52">
        <v>42.6</v>
      </c>
      <c r="F52">
        <v>74.5</v>
      </c>
      <c r="G52" t="s">
        <v>84</v>
      </c>
      <c r="H52">
        <v>101</v>
      </c>
      <c r="I52">
        <v>43</v>
      </c>
      <c r="J52">
        <v>117</v>
      </c>
      <c r="K52" t="s">
        <v>22</v>
      </c>
      <c r="L52" t="s">
        <v>22</v>
      </c>
      <c r="M52" t="s">
        <v>28</v>
      </c>
      <c r="N52">
        <v>0.46300000000000002</v>
      </c>
      <c r="O52">
        <v>135</v>
      </c>
      <c r="Q52" t="s">
        <v>29</v>
      </c>
      <c r="R52">
        <v>28</v>
      </c>
      <c r="T52" t="s">
        <v>26</v>
      </c>
    </row>
    <row r="53" spans="1:20" x14ac:dyDescent="0.3">
      <c r="A53" t="s">
        <v>20</v>
      </c>
      <c r="C53">
        <v>75.2</v>
      </c>
      <c r="D53">
        <v>1.7</v>
      </c>
      <c r="E53">
        <v>26</v>
      </c>
      <c r="F53">
        <v>93.2</v>
      </c>
      <c r="G53" t="s">
        <v>85</v>
      </c>
      <c r="H53">
        <v>144</v>
      </c>
      <c r="I53">
        <v>49</v>
      </c>
      <c r="J53">
        <v>103</v>
      </c>
      <c r="K53" t="s">
        <v>23</v>
      </c>
      <c r="L53" t="s">
        <v>22</v>
      </c>
      <c r="M53" t="s">
        <v>37</v>
      </c>
      <c r="N53">
        <v>0.54800000000000004</v>
      </c>
      <c r="O53">
        <v>135</v>
      </c>
      <c r="P53">
        <v>75</v>
      </c>
      <c r="Q53" t="s">
        <v>29</v>
      </c>
      <c r="R53">
        <v>65</v>
      </c>
      <c r="S53">
        <v>14.83</v>
      </c>
      <c r="T53" t="s">
        <v>26</v>
      </c>
    </row>
    <row r="54" spans="1:20" x14ac:dyDescent="0.3">
      <c r="A54" t="s">
        <v>31</v>
      </c>
      <c r="B54">
        <v>59</v>
      </c>
      <c r="C54">
        <v>96.3</v>
      </c>
      <c r="D54">
        <v>1.75</v>
      </c>
      <c r="E54">
        <v>31.4</v>
      </c>
      <c r="F54">
        <v>90</v>
      </c>
      <c r="G54" t="s">
        <v>86</v>
      </c>
      <c r="H54">
        <v>115</v>
      </c>
      <c r="I54">
        <v>73</v>
      </c>
      <c r="K54" t="s">
        <v>22</v>
      </c>
      <c r="L54" t="s">
        <v>23</v>
      </c>
      <c r="M54" t="s">
        <v>28</v>
      </c>
      <c r="N54">
        <v>0.51400000000000001</v>
      </c>
      <c r="O54">
        <v>102</v>
      </c>
      <c r="Q54" t="s">
        <v>33</v>
      </c>
      <c r="R54">
        <v>12</v>
      </c>
      <c r="S54">
        <v>15.68</v>
      </c>
      <c r="T54" t="s">
        <v>26</v>
      </c>
    </row>
    <row r="55" spans="1:20" x14ac:dyDescent="0.3">
      <c r="A55" t="s">
        <v>20</v>
      </c>
      <c r="B55">
        <v>50</v>
      </c>
      <c r="C55">
        <v>67.900000000000006</v>
      </c>
      <c r="D55">
        <v>1.83</v>
      </c>
      <c r="E55">
        <v>20.3</v>
      </c>
      <c r="F55">
        <v>108.2</v>
      </c>
      <c r="G55" t="s">
        <v>87</v>
      </c>
      <c r="H55">
        <v>128</v>
      </c>
      <c r="I55">
        <v>32</v>
      </c>
      <c r="J55">
        <v>87</v>
      </c>
      <c r="K55" t="s">
        <v>23</v>
      </c>
      <c r="L55" t="s">
        <v>23</v>
      </c>
      <c r="M55" t="s">
        <v>28</v>
      </c>
      <c r="N55">
        <v>0.59099999999999997</v>
      </c>
      <c r="O55">
        <v>148</v>
      </c>
      <c r="P55">
        <v>92</v>
      </c>
      <c r="Q55" t="s">
        <v>38</v>
      </c>
      <c r="R55">
        <v>66</v>
      </c>
      <c r="S55">
        <v>16.02</v>
      </c>
      <c r="T55" t="s">
        <v>30</v>
      </c>
    </row>
    <row r="56" spans="1:20" x14ac:dyDescent="0.3">
      <c r="A56" t="s">
        <v>20</v>
      </c>
      <c r="B56">
        <v>52</v>
      </c>
      <c r="C56">
        <v>98.9</v>
      </c>
      <c r="D56">
        <v>1.61</v>
      </c>
      <c r="E56">
        <v>38.200000000000003</v>
      </c>
      <c r="F56">
        <v>79.900000000000006</v>
      </c>
      <c r="G56" t="s">
        <v>88</v>
      </c>
      <c r="H56">
        <v>175</v>
      </c>
      <c r="I56">
        <v>32</v>
      </c>
      <c r="J56">
        <v>145</v>
      </c>
      <c r="K56" t="s">
        <v>23</v>
      </c>
      <c r="L56" t="s">
        <v>23</v>
      </c>
      <c r="M56" t="s">
        <v>37</v>
      </c>
      <c r="N56">
        <v>0.496</v>
      </c>
      <c r="O56">
        <v>139</v>
      </c>
      <c r="P56">
        <v>66</v>
      </c>
      <c r="Q56" t="s">
        <v>29</v>
      </c>
      <c r="R56">
        <v>113</v>
      </c>
      <c r="S56">
        <v>20.09</v>
      </c>
      <c r="T56" t="s">
        <v>30</v>
      </c>
    </row>
    <row r="57" spans="1:20" x14ac:dyDescent="0.3">
      <c r="A57" t="s">
        <v>31</v>
      </c>
      <c r="B57">
        <v>43</v>
      </c>
      <c r="C57">
        <v>65.8</v>
      </c>
      <c r="D57">
        <v>1.76</v>
      </c>
      <c r="E57">
        <v>21.2</v>
      </c>
      <c r="F57">
        <v>101.1</v>
      </c>
      <c r="G57" t="s">
        <v>89</v>
      </c>
      <c r="H57">
        <v>243</v>
      </c>
      <c r="I57">
        <v>66</v>
      </c>
      <c r="J57">
        <v>70</v>
      </c>
      <c r="K57" t="s">
        <v>22</v>
      </c>
      <c r="L57" t="s">
        <v>23</v>
      </c>
      <c r="M57" t="s">
        <v>37</v>
      </c>
      <c r="N57">
        <v>0.57399999999999995</v>
      </c>
      <c r="O57">
        <v>94</v>
      </c>
      <c r="P57">
        <v>81</v>
      </c>
      <c r="Q57" t="s">
        <v>29</v>
      </c>
      <c r="R57">
        <v>147</v>
      </c>
      <c r="S57">
        <v>15.8</v>
      </c>
      <c r="T57" t="s">
        <v>26</v>
      </c>
    </row>
    <row r="58" spans="1:20" x14ac:dyDescent="0.3">
      <c r="A58" t="s">
        <v>20</v>
      </c>
      <c r="B58">
        <v>37</v>
      </c>
      <c r="C58">
        <v>74.599999999999994</v>
      </c>
      <c r="D58">
        <v>1.74</v>
      </c>
      <c r="E58">
        <v>24.6</v>
      </c>
      <c r="F58">
        <v>107.8</v>
      </c>
      <c r="G58" t="s">
        <v>90</v>
      </c>
      <c r="H58">
        <v>124</v>
      </c>
      <c r="I58">
        <v>48</v>
      </c>
      <c r="J58">
        <v>98</v>
      </c>
      <c r="K58" t="s">
        <v>23</v>
      </c>
      <c r="L58" t="s">
        <v>23</v>
      </c>
      <c r="M58" t="s">
        <v>28</v>
      </c>
      <c r="N58">
        <v>0.62</v>
      </c>
      <c r="O58">
        <v>104</v>
      </c>
      <c r="P58">
        <v>60</v>
      </c>
      <c r="Q58" t="s">
        <v>33</v>
      </c>
      <c r="R58">
        <v>46</v>
      </c>
      <c r="S58">
        <v>14.6</v>
      </c>
      <c r="T58" t="s">
        <v>26</v>
      </c>
    </row>
    <row r="59" spans="1:20" x14ac:dyDescent="0.3">
      <c r="A59" t="s">
        <v>20</v>
      </c>
      <c r="B59">
        <v>51</v>
      </c>
      <c r="C59">
        <v>100.5</v>
      </c>
      <c r="D59">
        <v>1.82</v>
      </c>
      <c r="E59">
        <v>30.3</v>
      </c>
      <c r="F59">
        <v>106.4</v>
      </c>
      <c r="G59" t="s">
        <v>91</v>
      </c>
      <c r="H59">
        <v>257</v>
      </c>
      <c r="I59">
        <v>76</v>
      </c>
      <c r="J59">
        <v>89</v>
      </c>
      <c r="K59" t="s">
        <v>23</v>
      </c>
      <c r="L59" t="s">
        <v>22</v>
      </c>
      <c r="M59" t="s">
        <v>37</v>
      </c>
      <c r="N59">
        <v>0.58499999999999996</v>
      </c>
      <c r="O59">
        <v>129</v>
      </c>
      <c r="P59">
        <v>71</v>
      </c>
      <c r="Q59" t="s">
        <v>25</v>
      </c>
      <c r="R59">
        <v>151</v>
      </c>
      <c r="S59">
        <v>17.649999999999999</v>
      </c>
      <c r="T59" t="s">
        <v>30</v>
      </c>
    </row>
    <row r="60" spans="1:20" x14ac:dyDescent="0.3">
      <c r="A60" t="s">
        <v>20</v>
      </c>
      <c r="B60">
        <v>44</v>
      </c>
      <c r="C60">
        <v>101.5</v>
      </c>
      <c r="D60">
        <v>1.69</v>
      </c>
      <c r="E60">
        <v>35.5</v>
      </c>
      <c r="F60">
        <v>91.5</v>
      </c>
      <c r="G60" t="s">
        <v>92</v>
      </c>
      <c r="H60">
        <v>103</v>
      </c>
      <c r="I60">
        <v>74</v>
      </c>
      <c r="J60">
        <v>93</v>
      </c>
      <c r="K60" t="s">
        <v>22</v>
      </c>
      <c r="L60" t="s">
        <v>22</v>
      </c>
      <c r="M60" t="s">
        <v>37</v>
      </c>
      <c r="N60">
        <v>0.54100000000000004</v>
      </c>
      <c r="O60">
        <v>98</v>
      </c>
      <c r="P60">
        <v>73</v>
      </c>
      <c r="Q60" t="s">
        <v>33</v>
      </c>
      <c r="R60">
        <v>-1</v>
      </c>
      <c r="S60">
        <v>14.06</v>
      </c>
      <c r="T60" t="s">
        <v>52</v>
      </c>
    </row>
    <row r="61" spans="1:20" x14ac:dyDescent="0.3">
      <c r="A61" t="s">
        <v>20</v>
      </c>
      <c r="B61">
        <v>46</v>
      </c>
      <c r="C61">
        <v>65.7</v>
      </c>
      <c r="D61">
        <v>1.77</v>
      </c>
      <c r="E61">
        <v>21</v>
      </c>
      <c r="F61">
        <v>77.099999999999994</v>
      </c>
      <c r="G61" t="s">
        <v>77</v>
      </c>
      <c r="H61">
        <v>232</v>
      </c>
      <c r="I61">
        <v>59</v>
      </c>
      <c r="J61">
        <v>113</v>
      </c>
      <c r="K61" t="s">
        <v>22</v>
      </c>
      <c r="L61" t="s">
        <v>23</v>
      </c>
      <c r="M61" t="s">
        <v>28</v>
      </c>
      <c r="N61">
        <v>0.436</v>
      </c>
      <c r="O61">
        <v>129</v>
      </c>
      <c r="P61">
        <v>78</v>
      </c>
      <c r="Q61" t="s">
        <v>25</v>
      </c>
      <c r="R61">
        <v>143</v>
      </c>
      <c r="S61">
        <v>17.29</v>
      </c>
      <c r="T61" t="s">
        <v>26</v>
      </c>
    </row>
    <row r="62" spans="1:20" x14ac:dyDescent="0.3">
      <c r="A62" t="s">
        <v>20</v>
      </c>
      <c r="B62">
        <v>53</v>
      </c>
      <c r="C62">
        <v>103.9</v>
      </c>
      <c r="D62">
        <v>1.77</v>
      </c>
      <c r="E62">
        <v>33.200000000000003</v>
      </c>
      <c r="F62">
        <v>71.599999999999994</v>
      </c>
      <c r="G62" t="s">
        <v>93</v>
      </c>
      <c r="H62">
        <v>247</v>
      </c>
      <c r="I62">
        <v>50</v>
      </c>
      <c r="J62">
        <v>130</v>
      </c>
      <c r="K62" t="s">
        <v>22</v>
      </c>
      <c r="L62" t="s">
        <v>23</v>
      </c>
      <c r="M62" t="s">
        <v>37</v>
      </c>
      <c r="N62">
        <v>0.40500000000000003</v>
      </c>
      <c r="O62">
        <v>149</v>
      </c>
      <c r="P62">
        <v>84</v>
      </c>
      <c r="Q62" t="s">
        <v>29</v>
      </c>
      <c r="R62">
        <v>167</v>
      </c>
      <c r="S62">
        <v>21.03</v>
      </c>
      <c r="T62" t="s">
        <v>30</v>
      </c>
    </row>
    <row r="63" spans="1:20" x14ac:dyDescent="0.3">
      <c r="A63" t="s">
        <v>20</v>
      </c>
      <c r="B63">
        <v>56</v>
      </c>
      <c r="C63">
        <v>112.1</v>
      </c>
      <c r="D63">
        <v>1.78</v>
      </c>
      <c r="E63">
        <v>35.4</v>
      </c>
      <c r="F63">
        <v>87.4</v>
      </c>
      <c r="G63" t="s">
        <v>94</v>
      </c>
      <c r="I63">
        <v>67</v>
      </c>
      <c r="J63">
        <v>89</v>
      </c>
      <c r="K63" t="s">
        <v>22</v>
      </c>
      <c r="L63" t="s">
        <v>23</v>
      </c>
      <c r="M63" t="s">
        <v>37</v>
      </c>
      <c r="N63">
        <v>0.49099999999999999</v>
      </c>
      <c r="O63">
        <v>103</v>
      </c>
      <c r="P63">
        <v>98</v>
      </c>
      <c r="Q63" t="s">
        <v>38</v>
      </c>
      <c r="R63">
        <v>50</v>
      </c>
      <c r="S63">
        <v>17.170000000000002</v>
      </c>
      <c r="T63" t="s">
        <v>30</v>
      </c>
    </row>
    <row r="64" spans="1:20" x14ac:dyDescent="0.3">
      <c r="A64" t="s">
        <v>31</v>
      </c>
      <c r="B64">
        <v>43</v>
      </c>
      <c r="C64">
        <v>118</v>
      </c>
      <c r="D64">
        <v>1.64</v>
      </c>
      <c r="E64">
        <v>43.9</v>
      </c>
      <c r="F64">
        <v>73.599999999999994</v>
      </c>
      <c r="G64" t="s">
        <v>95</v>
      </c>
      <c r="H64">
        <v>199</v>
      </c>
      <c r="I64">
        <v>51</v>
      </c>
      <c r="J64">
        <v>129</v>
      </c>
      <c r="K64" t="s">
        <v>22</v>
      </c>
      <c r="L64" t="s">
        <v>22</v>
      </c>
      <c r="M64" t="s">
        <v>37</v>
      </c>
      <c r="N64">
        <v>0.44900000000000001</v>
      </c>
      <c r="O64">
        <v>99</v>
      </c>
      <c r="P64">
        <v>92</v>
      </c>
      <c r="Q64" t="s">
        <v>38</v>
      </c>
      <c r="R64">
        <v>118</v>
      </c>
      <c r="S64">
        <v>17.71</v>
      </c>
      <c r="T64" t="s">
        <v>26</v>
      </c>
    </row>
    <row r="65" spans="1:20" x14ac:dyDescent="0.3">
      <c r="A65" t="s">
        <v>31</v>
      </c>
      <c r="B65">
        <v>40</v>
      </c>
      <c r="C65">
        <v>107.4</v>
      </c>
      <c r="D65">
        <v>1.6</v>
      </c>
      <c r="E65">
        <v>42</v>
      </c>
      <c r="G65" t="s">
        <v>96</v>
      </c>
      <c r="I65">
        <v>52</v>
      </c>
      <c r="J65">
        <v>89</v>
      </c>
      <c r="K65" t="s">
        <v>23</v>
      </c>
      <c r="L65" t="s">
        <v>22</v>
      </c>
      <c r="M65" t="s">
        <v>37</v>
      </c>
      <c r="N65">
        <v>0.57899999999999996</v>
      </c>
      <c r="O65">
        <v>114</v>
      </c>
      <c r="P65">
        <v>91</v>
      </c>
      <c r="Q65" t="s">
        <v>38</v>
      </c>
      <c r="R65">
        <v>89</v>
      </c>
      <c r="S65">
        <v>17.52</v>
      </c>
      <c r="T65" t="s">
        <v>26</v>
      </c>
    </row>
    <row r="66" spans="1:20" x14ac:dyDescent="0.3">
      <c r="A66" t="s">
        <v>20</v>
      </c>
      <c r="B66">
        <v>51</v>
      </c>
      <c r="C66">
        <v>60.6</v>
      </c>
      <c r="D66">
        <v>1.88</v>
      </c>
      <c r="E66">
        <v>17.100000000000001</v>
      </c>
      <c r="F66">
        <v>75.7</v>
      </c>
      <c r="G66" t="s">
        <v>97</v>
      </c>
      <c r="H66">
        <v>146</v>
      </c>
      <c r="I66">
        <v>50</v>
      </c>
      <c r="J66">
        <v>99</v>
      </c>
      <c r="K66" t="s">
        <v>22</v>
      </c>
      <c r="L66" t="s">
        <v>23</v>
      </c>
      <c r="M66" t="s">
        <v>24</v>
      </c>
      <c r="N66">
        <v>0.40300000000000002</v>
      </c>
      <c r="O66">
        <v>116</v>
      </c>
      <c r="P66">
        <v>64</v>
      </c>
      <c r="Q66" t="s">
        <v>33</v>
      </c>
      <c r="R66">
        <v>66</v>
      </c>
      <c r="S66">
        <v>14.14</v>
      </c>
      <c r="T66" t="s">
        <v>30</v>
      </c>
    </row>
    <row r="67" spans="1:20" x14ac:dyDescent="0.3">
      <c r="A67" t="s">
        <v>20</v>
      </c>
      <c r="B67">
        <v>52</v>
      </c>
      <c r="C67">
        <v>54.7</v>
      </c>
      <c r="D67">
        <v>1.61</v>
      </c>
      <c r="E67">
        <v>21.1</v>
      </c>
      <c r="F67">
        <v>78.099999999999994</v>
      </c>
      <c r="G67" t="s">
        <v>98</v>
      </c>
      <c r="H67">
        <v>193</v>
      </c>
      <c r="I67">
        <v>79</v>
      </c>
      <c r="J67">
        <v>127</v>
      </c>
      <c r="K67" t="s">
        <v>22</v>
      </c>
      <c r="L67" t="s">
        <v>23</v>
      </c>
      <c r="M67" t="s">
        <v>28</v>
      </c>
      <c r="N67">
        <v>0.48499999999999999</v>
      </c>
      <c r="O67">
        <v>93</v>
      </c>
      <c r="P67">
        <v>65</v>
      </c>
      <c r="Q67" t="s">
        <v>33</v>
      </c>
      <c r="R67">
        <v>84</v>
      </c>
      <c r="S67">
        <v>14.73</v>
      </c>
      <c r="T67" t="s">
        <v>26</v>
      </c>
    </row>
    <row r="68" spans="1:20" x14ac:dyDescent="0.3">
      <c r="A68" t="s">
        <v>20</v>
      </c>
      <c r="B68">
        <v>55</v>
      </c>
      <c r="C68">
        <v>117.2</v>
      </c>
      <c r="D68">
        <v>1.72</v>
      </c>
      <c r="E68">
        <v>39.6</v>
      </c>
      <c r="F68">
        <v>74.2</v>
      </c>
      <c r="G68" t="s">
        <v>99</v>
      </c>
      <c r="H68">
        <v>164</v>
      </c>
      <c r="I68">
        <v>57</v>
      </c>
      <c r="J68">
        <v>150</v>
      </c>
      <c r="K68" t="s">
        <v>22</v>
      </c>
      <c r="L68" t="s">
        <v>22</v>
      </c>
      <c r="M68" t="s">
        <v>24</v>
      </c>
      <c r="N68">
        <v>0.43099999999999999</v>
      </c>
      <c r="O68">
        <v>113</v>
      </c>
      <c r="P68">
        <v>63</v>
      </c>
      <c r="Q68" t="s">
        <v>33</v>
      </c>
      <c r="R68">
        <v>77</v>
      </c>
      <c r="S68">
        <v>16.850000000000001</v>
      </c>
      <c r="T68" t="s">
        <v>26</v>
      </c>
    </row>
    <row r="69" spans="1:20" x14ac:dyDescent="0.3">
      <c r="A69" t="s">
        <v>20</v>
      </c>
      <c r="B69">
        <v>48</v>
      </c>
      <c r="C69">
        <v>56.7</v>
      </c>
      <c r="D69">
        <v>1.63</v>
      </c>
      <c r="E69">
        <v>21.3</v>
      </c>
      <c r="F69">
        <v>80.3</v>
      </c>
      <c r="G69" t="s">
        <v>100</v>
      </c>
      <c r="H69">
        <v>141</v>
      </c>
      <c r="I69">
        <v>62</v>
      </c>
      <c r="J69">
        <v>96</v>
      </c>
      <c r="K69" t="s">
        <v>22</v>
      </c>
      <c r="L69" t="s">
        <v>22</v>
      </c>
      <c r="M69" t="s">
        <v>37</v>
      </c>
      <c r="P69">
        <v>66</v>
      </c>
      <c r="Q69" t="s">
        <v>38</v>
      </c>
      <c r="R69">
        <v>49</v>
      </c>
      <c r="S69">
        <v>14.18</v>
      </c>
      <c r="T69" t="s">
        <v>52</v>
      </c>
    </row>
    <row r="70" spans="1:20" x14ac:dyDescent="0.3">
      <c r="A70" t="s">
        <v>31</v>
      </c>
      <c r="B70">
        <v>58</v>
      </c>
      <c r="C70">
        <v>77</v>
      </c>
      <c r="E70">
        <v>21.8</v>
      </c>
      <c r="F70">
        <v>97.3</v>
      </c>
      <c r="G70" t="s">
        <v>101</v>
      </c>
      <c r="H70">
        <v>125</v>
      </c>
      <c r="I70">
        <v>80</v>
      </c>
      <c r="J70">
        <v>96</v>
      </c>
      <c r="K70" t="s">
        <v>22</v>
      </c>
      <c r="L70" t="s">
        <v>22</v>
      </c>
      <c r="M70" t="s">
        <v>37</v>
      </c>
      <c r="N70">
        <v>0.51800000000000002</v>
      </c>
      <c r="O70">
        <v>142</v>
      </c>
      <c r="P70">
        <v>69</v>
      </c>
      <c r="Q70" t="s">
        <v>38</v>
      </c>
      <c r="R70">
        <v>15</v>
      </c>
      <c r="S70">
        <v>13.96</v>
      </c>
      <c r="T70" t="s">
        <v>26</v>
      </c>
    </row>
    <row r="71" spans="1:20" x14ac:dyDescent="0.3">
      <c r="A71" t="s">
        <v>20</v>
      </c>
      <c r="B71">
        <v>37</v>
      </c>
      <c r="C71">
        <v>116.8</v>
      </c>
      <c r="D71">
        <v>1.77</v>
      </c>
      <c r="E71">
        <v>37.299999999999997</v>
      </c>
      <c r="F71">
        <v>92.9</v>
      </c>
      <c r="G71" t="s">
        <v>102</v>
      </c>
      <c r="H71">
        <v>244</v>
      </c>
      <c r="I71">
        <v>76</v>
      </c>
      <c r="J71">
        <v>96</v>
      </c>
      <c r="K71" t="s">
        <v>22</v>
      </c>
      <c r="L71" t="s">
        <v>23</v>
      </c>
      <c r="M71" t="s">
        <v>28</v>
      </c>
      <c r="N71">
        <v>0.52500000000000002</v>
      </c>
      <c r="O71">
        <v>140</v>
      </c>
      <c r="P71">
        <v>68</v>
      </c>
      <c r="Q71" t="s">
        <v>38</v>
      </c>
      <c r="R71">
        <v>138</v>
      </c>
      <c r="S71">
        <v>21.34</v>
      </c>
      <c r="T71" t="s">
        <v>26</v>
      </c>
    </row>
    <row r="72" spans="1:20" x14ac:dyDescent="0.3">
      <c r="A72" t="s">
        <v>31</v>
      </c>
      <c r="B72">
        <v>55</v>
      </c>
      <c r="C72">
        <v>51.4</v>
      </c>
      <c r="F72">
        <v>79.8</v>
      </c>
      <c r="G72" t="s">
        <v>103</v>
      </c>
      <c r="H72">
        <v>170</v>
      </c>
      <c r="I72">
        <v>36</v>
      </c>
      <c r="J72">
        <v>138</v>
      </c>
      <c r="K72" t="s">
        <v>22</v>
      </c>
      <c r="L72" t="s">
        <v>22</v>
      </c>
      <c r="M72" t="s">
        <v>28</v>
      </c>
      <c r="N72">
        <v>0.47499999999999998</v>
      </c>
      <c r="O72">
        <v>102</v>
      </c>
      <c r="P72">
        <v>79</v>
      </c>
      <c r="Q72" t="s">
        <v>33</v>
      </c>
      <c r="R72">
        <v>104</v>
      </c>
      <c r="S72">
        <v>12.14</v>
      </c>
      <c r="T72" t="s">
        <v>26</v>
      </c>
    </row>
    <row r="73" spans="1:20" x14ac:dyDescent="0.3">
      <c r="A73" t="s">
        <v>31</v>
      </c>
      <c r="B73">
        <v>51</v>
      </c>
      <c r="C73">
        <v>107.6</v>
      </c>
      <c r="D73">
        <v>1.66</v>
      </c>
      <c r="E73">
        <v>39</v>
      </c>
      <c r="F73">
        <v>100.8</v>
      </c>
      <c r="G73" t="s">
        <v>104</v>
      </c>
      <c r="H73">
        <v>135</v>
      </c>
      <c r="I73">
        <v>57</v>
      </c>
      <c r="J73">
        <v>129</v>
      </c>
      <c r="K73" t="s">
        <v>22</v>
      </c>
      <c r="L73" t="s">
        <v>22</v>
      </c>
      <c r="M73" t="s">
        <v>28</v>
      </c>
      <c r="N73">
        <v>0.60699999999999998</v>
      </c>
      <c r="O73">
        <v>96</v>
      </c>
      <c r="P73">
        <v>65</v>
      </c>
      <c r="Q73" t="s">
        <v>33</v>
      </c>
      <c r="R73">
        <v>48</v>
      </c>
      <c r="S73">
        <v>15.3</v>
      </c>
      <c r="T73" t="s">
        <v>26</v>
      </c>
    </row>
    <row r="74" spans="1:20" x14ac:dyDescent="0.3">
      <c r="A74" t="s">
        <v>20</v>
      </c>
      <c r="B74">
        <v>57</v>
      </c>
      <c r="C74">
        <v>82.5</v>
      </c>
      <c r="D74">
        <v>1.76</v>
      </c>
      <c r="E74">
        <v>26.6</v>
      </c>
      <c r="F74">
        <v>92.8</v>
      </c>
      <c r="G74" t="s">
        <v>105</v>
      </c>
      <c r="H74">
        <v>300</v>
      </c>
      <c r="I74">
        <v>38</v>
      </c>
      <c r="J74">
        <v>98</v>
      </c>
      <c r="K74" t="s">
        <v>22</v>
      </c>
      <c r="L74" t="s">
        <v>23</v>
      </c>
      <c r="M74" t="s">
        <v>28</v>
      </c>
      <c r="N74">
        <v>0.52700000000000002</v>
      </c>
      <c r="O74">
        <v>101</v>
      </c>
      <c r="P74">
        <v>81</v>
      </c>
      <c r="Q74" t="s">
        <v>29</v>
      </c>
      <c r="R74">
        <v>232</v>
      </c>
      <c r="S74">
        <v>18.37</v>
      </c>
      <c r="T74" t="s">
        <v>30</v>
      </c>
    </row>
    <row r="75" spans="1:20" x14ac:dyDescent="0.3">
      <c r="A75" t="s">
        <v>31</v>
      </c>
      <c r="B75">
        <v>44</v>
      </c>
      <c r="C75">
        <v>114.3</v>
      </c>
      <c r="D75">
        <v>1.72</v>
      </c>
      <c r="E75">
        <v>38.6</v>
      </c>
      <c r="F75">
        <v>100</v>
      </c>
      <c r="G75" t="s">
        <v>106</v>
      </c>
      <c r="H75">
        <v>228</v>
      </c>
      <c r="I75">
        <v>77</v>
      </c>
      <c r="J75">
        <v>91</v>
      </c>
      <c r="K75" t="s">
        <v>23</v>
      </c>
      <c r="L75" t="s">
        <v>23</v>
      </c>
      <c r="M75" t="s">
        <v>28</v>
      </c>
      <c r="N75">
        <v>0.58099999999999996</v>
      </c>
      <c r="O75">
        <v>112</v>
      </c>
      <c r="P75">
        <v>83</v>
      </c>
      <c r="Q75" t="s">
        <v>29</v>
      </c>
      <c r="R75">
        <v>121</v>
      </c>
      <c r="S75">
        <v>19.88</v>
      </c>
      <c r="T75" t="s">
        <v>30</v>
      </c>
    </row>
    <row r="76" spans="1:20" x14ac:dyDescent="0.3">
      <c r="A76" t="s">
        <v>31</v>
      </c>
      <c r="B76">
        <v>38</v>
      </c>
      <c r="C76">
        <v>63.3</v>
      </c>
      <c r="D76">
        <v>1.7</v>
      </c>
      <c r="E76">
        <v>21.9</v>
      </c>
      <c r="F76">
        <v>93.8</v>
      </c>
      <c r="G76" t="s">
        <v>107</v>
      </c>
      <c r="I76">
        <v>76</v>
      </c>
      <c r="J76">
        <v>73</v>
      </c>
      <c r="K76" t="s">
        <v>22</v>
      </c>
      <c r="L76" t="s">
        <v>23</v>
      </c>
      <c r="M76" t="s">
        <v>28</v>
      </c>
      <c r="N76">
        <v>0.55200000000000005</v>
      </c>
      <c r="O76">
        <v>93</v>
      </c>
      <c r="P76">
        <v>67</v>
      </c>
      <c r="Q76" t="s">
        <v>33</v>
      </c>
      <c r="R76">
        <v>182</v>
      </c>
      <c r="S76">
        <v>16.79</v>
      </c>
      <c r="T76" t="s">
        <v>26</v>
      </c>
    </row>
    <row r="77" spans="1:20" x14ac:dyDescent="0.3">
      <c r="A77" t="s">
        <v>20</v>
      </c>
      <c r="B77">
        <v>60</v>
      </c>
      <c r="C77">
        <v>91.6</v>
      </c>
      <c r="D77">
        <v>1.64</v>
      </c>
      <c r="E77">
        <v>34.1</v>
      </c>
      <c r="F77">
        <v>94.4</v>
      </c>
      <c r="G77" t="s">
        <v>108</v>
      </c>
      <c r="H77">
        <v>258</v>
      </c>
      <c r="I77">
        <v>31</v>
      </c>
      <c r="J77">
        <v>142</v>
      </c>
      <c r="K77" t="s">
        <v>23</v>
      </c>
      <c r="L77" t="s">
        <v>23</v>
      </c>
      <c r="M77" t="s">
        <v>28</v>
      </c>
      <c r="N77">
        <v>0.57599999999999996</v>
      </c>
      <c r="O77">
        <v>132</v>
      </c>
      <c r="Q77" t="s">
        <v>29</v>
      </c>
      <c r="R77">
        <v>197</v>
      </c>
      <c r="S77">
        <v>20.58</v>
      </c>
      <c r="T77" t="s">
        <v>30</v>
      </c>
    </row>
    <row r="78" spans="1:20" x14ac:dyDescent="0.3">
      <c r="A78" t="s">
        <v>20</v>
      </c>
      <c r="B78">
        <v>51</v>
      </c>
      <c r="C78">
        <v>52.5</v>
      </c>
      <c r="D78">
        <v>1.78</v>
      </c>
      <c r="E78">
        <v>16.600000000000001</v>
      </c>
      <c r="F78">
        <v>75.8</v>
      </c>
      <c r="G78" t="s">
        <v>109</v>
      </c>
      <c r="H78">
        <v>119</v>
      </c>
      <c r="I78">
        <v>50</v>
      </c>
      <c r="J78">
        <v>128</v>
      </c>
      <c r="K78" t="s">
        <v>23</v>
      </c>
      <c r="L78" t="s">
        <v>23</v>
      </c>
      <c r="M78" t="s">
        <v>28</v>
      </c>
      <c r="N78">
        <v>0.42599999999999999</v>
      </c>
      <c r="O78">
        <v>98</v>
      </c>
      <c r="P78">
        <v>63</v>
      </c>
      <c r="Q78" t="s">
        <v>33</v>
      </c>
      <c r="R78">
        <v>39</v>
      </c>
      <c r="S78">
        <v>12.6</v>
      </c>
      <c r="T78" t="s">
        <v>30</v>
      </c>
    </row>
    <row r="79" spans="1:20" x14ac:dyDescent="0.3">
      <c r="A79" t="s">
        <v>20</v>
      </c>
      <c r="B79">
        <v>43</v>
      </c>
      <c r="C79">
        <v>109.7</v>
      </c>
      <c r="D79">
        <v>1.81</v>
      </c>
      <c r="E79">
        <v>33.5</v>
      </c>
      <c r="F79">
        <v>80.8</v>
      </c>
      <c r="G79" t="s">
        <v>110</v>
      </c>
      <c r="H79">
        <v>278</v>
      </c>
      <c r="I79">
        <v>63</v>
      </c>
      <c r="J79">
        <v>142</v>
      </c>
      <c r="K79" t="s">
        <v>22</v>
      </c>
      <c r="L79" t="s">
        <v>23</v>
      </c>
      <c r="M79" t="s">
        <v>37</v>
      </c>
      <c r="N79">
        <v>0.44600000000000001</v>
      </c>
      <c r="O79">
        <v>120</v>
      </c>
      <c r="P79">
        <v>74</v>
      </c>
      <c r="Q79" t="s">
        <v>25</v>
      </c>
      <c r="R79">
        <v>185</v>
      </c>
      <c r="S79">
        <v>20.260000000000002</v>
      </c>
      <c r="T79" t="s">
        <v>30</v>
      </c>
    </row>
    <row r="80" spans="1:20" x14ac:dyDescent="0.3">
      <c r="A80" t="s">
        <v>31</v>
      </c>
      <c r="B80">
        <v>49</v>
      </c>
      <c r="C80">
        <v>115.6</v>
      </c>
      <c r="D80">
        <v>1.72</v>
      </c>
      <c r="E80">
        <v>39.1</v>
      </c>
      <c r="F80">
        <v>109.3</v>
      </c>
      <c r="G80" t="s">
        <v>111</v>
      </c>
      <c r="H80">
        <v>155</v>
      </c>
      <c r="I80">
        <v>71</v>
      </c>
      <c r="J80">
        <v>110</v>
      </c>
      <c r="K80" t="s">
        <v>22</v>
      </c>
      <c r="L80" t="s">
        <v>23</v>
      </c>
      <c r="M80" t="s">
        <v>37</v>
      </c>
      <c r="N80">
        <v>0.63500000000000001</v>
      </c>
      <c r="O80">
        <v>90</v>
      </c>
      <c r="P80">
        <v>95</v>
      </c>
      <c r="Q80" t="s">
        <v>38</v>
      </c>
      <c r="R80">
        <v>54</v>
      </c>
      <c r="S80">
        <v>17.420000000000002</v>
      </c>
      <c r="T80" t="s">
        <v>26</v>
      </c>
    </row>
    <row r="81" spans="1:20" x14ac:dyDescent="0.3">
      <c r="A81" t="s">
        <v>31</v>
      </c>
      <c r="B81">
        <v>60</v>
      </c>
      <c r="C81">
        <v>78.900000000000006</v>
      </c>
      <c r="D81">
        <v>1.85</v>
      </c>
      <c r="E81">
        <v>23.1</v>
      </c>
      <c r="F81">
        <v>101.5</v>
      </c>
      <c r="G81" t="s">
        <v>112</v>
      </c>
      <c r="H81">
        <v>133</v>
      </c>
      <c r="I81">
        <v>39</v>
      </c>
      <c r="J81">
        <v>149</v>
      </c>
      <c r="K81" t="s">
        <v>22</v>
      </c>
      <c r="L81" t="s">
        <v>23</v>
      </c>
      <c r="M81" t="s">
        <v>24</v>
      </c>
      <c r="N81">
        <v>0.54900000000000004</v>
      </c>
      <c r="O81">
        <v>94</v>
      </c>
      <c r="P81">
        <v>78</v>
      </c>
      <c r="Q81" t="s">
        <v>33</v>
      </c>
      <c r="R81">
        <v>64</v>
      </c>
      <c r="T81" t="s">
        <v>30</v>
      </c>
    </row>
    <row r="82" spans="1:20" x14ac:dyDescent="0.3">
      <c r="A82" t="s">
        <v>31</v>
      </c>
      <c r="B82">
        <v>37</v>
      </c>
      <c r="C82">
        <v>78.400000000000006</v>
      </c>
      <c r="D82">
        <v>1.63</v>
      </c>
      <c r="E82">
        <v>29.5</v>
      </c>
      <c r="F82">
        <v>70.2</v>
      </c>
      <c r="G82" t="s">
        <v>113</v>
      </c>
      <c r="H82">
        <v>103</v>
      </c>
      <c r="I82">
        <v>57</v>
      </c>
      <c r="J82">
        <v>74</v>
      </c>
      <c r="K82" t="s">
        <v>22</v>
      </c>
      <c r="L82" t="s">
        <v>22</v>
      </c>
      <c r="M82" t="s">
        <v>28</v>
      </c>
      <c r="N82">
        <v>0.43099999999999999</v>
      </c>
      <c r="O82">
        <v>127</v>
      </c>
      <c r="P82">
        <v>96</v>
      </c>
      <c r="Q82" t="s">
        <v>38</v>
      </c>
      <c r="R82">
        <v>16</v>
      </c>
      <c r="S82">
        <v>14.31</v>
      </c>
      <c r="T82" t="s">
        <v>52</v>
      </c>
    </row>
    <row r="83" spans="1:20" x14ac:dyDescent="0.3">
      <c r="A83" t="s">
        <v>20</v>
      </c>
      <c r="B83">
        <v>52</v>
      </c>
      <c r="C83">
        <v>65.3</v>
      </c>
      <c r="D83">
        <v>1.61</v>
      </c>
      <c r="E83">
        <v>25.2</v>
      </c>
      <c r="F83">
        <v>74.900000000000006</v>
      </c>
      <c r="G83" t="s">
        <v>114</v>
      </c>
      <c r="H83">
        <v>251</v>
      </c>
      <c r="I83">
        <v>50</v>
      </c>
      <c r="J83">
        <v>83</v>
      </c>
      <c r="K83" t="s">
        <v>23</v>
      </c>
      <c r="L83" t="s">
        <v>22</v>
      </c>
      <c r="M83" t="s">
        <v>24</v>
      </c>
      <c r="N83">
        <v>0.46500000000000002</v>
      </c>
      <c r="O83">
        <v>120</v>
      </c>
      <c r="P83">
        <v>87</v>
      </c>
      <c r="Q83" t="s">
        <v>29</v>
      </c>
      <c r="R83">
        <v>171</v>
      </c>
      <c r="S83">
        <v>16.059999999999999</v>
      </c>
      <c r="T83" t="s">
        <v>30</v>
      </c>
    </row>
    <row r="84" spans="1:20" x14ac:dyDescent="0.3">
      <c r="A84" t="s">
        <v>20</v>
      </c>
      <c r="B84">
        <v>37</v>
      </c>
      <c r="C84">
        <v>114.4</v>
      </c>
      <c r="D84">
        <v>1.72</v>
      </c>
      <c r="E84">
        <v>38.700000000000003</v>
      </c>
      <c r="F84">
        <v>105</v>
      </c>
      <c r="G84" t="s">
        <v>115</v>
      </c>
      <c r="H84">
        <v>203</v>
      </c>
      <c r="I84">
        <v>60</v>
      </c>
      <c r="J84">
        <v>103</v>
      </c>
      <c r="K84" t="s">
        <v>22</v>
      </c>
      <c r="L84" t="s">
        <v>23</v>
      </c>
      <c r="M84" t="s">
        <v>37</v>
      </c>
      <c r="N84">
        <v>0.61</v>
      </c>
      <c r="O84">
        <v>99</v>
      </c>
      <c r="P84">
        <v>90</v>
      </c>
      <c r="Q84" t="s">
        <v>38</v>
      </c>
      <c r="R84">
        <v>113</v>
      </c>
      <c r="S84">
        <v>18.75</v>
      </c>
      <c r="T84" t="s">
        <v>26</v>
      </c>
    </row>
    <row r="85" spans="1:20" x14ac:dyDescent="0.3">
      <c r="A85" t="s">
        <v>31</v>
      </c>
      <c r="B85">
        <v>57</v>
      </c>
      <c r="C85">
        <v>114.5</v>
      </c>
      <c r="D85">
        <v>1.83</v>
      </c>
      <c r="E85">
        <v>34.200000000000003</v>
      </c>
      <c r="F85">
        <v>93.8</v>
      </c>
      <c r="G85" t="s">
        <v>116</v>
      </c>
      <c r="H85">
        <v>204</v>
      </c>
      <c r="I85">
        <v>48</v>
      </c>
      <c r="J85">
        <v>140</v>
      </c>
      <c r="K85" t="s">
        <v>22</v>
      </c>
      <c r="L85" t="s">
        <v>23</v>
      </c>
      <c r="M85" t="s">
        <v>37</v>
      </c>
      <c r="N85">
        <v>0.51300000000000001</v>
      </c>
      <c r="O85">
        <v>114</v>
      </c>
      <c r="P85">
        <v>63</v>
      </c>
      <c r="Q85" t="s">
        <v>33</v>
      </c>
      <c r="R85">
        <v>126</v>
      </c>
      <c r="S85">
        <v>18.62</v>
      </c>
      <c r="T85" t="s">
        <v>30</v>
      </c>
    </row>
    <row r="86" spans="1:20" x14ac:dyDescent="0.3">
      <c r="A86" t="s">
        <v>31</v>
      </c>
      <c r="B86">
        <v>56</v>
      </c>
      <c r="C86">
        <v>81.8</v>
      </c>
      <c r="D86">
        <v>1.76</v>
      </c>
      <c r="E86">
        <v>26.4</v>
      </c>
      <c r="F86">
        <v>72.099999999999994</v>
      </c>
      <c r="G86" t="s">
        <v>117</v>
      </c>
      <c r="H86">
        <v>109</v>
      </c>
      <c r="I86">
        <v>78</v>
      </c>
      <c r="J86">
        <v>111</v>
      </c>
      <c r="K86" t="s">
        <v>22</v>
      </c>
      <c r="L86" t="s">
        <v>22</v>
      </c>
      <c r="M86" t="s">
        <v>28</v>
      </c>
      <c r="N86">
        <v>0.41</v>
      </c>
      <c r="O86">
        <v>132</v>
      </c>
      <c r="P86">
        <v>97</v>
      </c>
      <c r="Q86" t="s">
        <v>29</v>
      </c>
      <c r="R86">
        <v>1</v>
      </c>
      <c r="S86">
        <v>14.06</v>
      </c>
      <c r="T86" t="s">
        <v>26</v>
      </c>
    </row>
    <row r="87" spans="1:20" x14ac:dyDescent="0.3">
      <c r="A87" t="s">
        <v>31</v>
      </c>
      <c r="B87">
        <v>32</v>
      </c>
      <c r="C87">
        <v>85.5</v>
      </c>
      <c r="D87">
        <v>1.63</v>
      </c>
      <c r="E87">
        <v>32.200000000000003</v>
      </c>
      <c r="F87">
        <v>81.599999999999994</v>
      </c>
      <c r="G87" t="s">
        <v>118</v>
      </c>
      <c r="H87">
        <v>102</v>
      </c>
      <c r="I87">
        <v>79</v>
      </c>
      <c r="J87">
        <v>97</v>
      </c>
      <c r="K87" t="s">
        <v>23</v>
      </c>
      <c r="L87" t="s">
        <v>22</v>
      </c>
      <c r="M87" t="s">
        <v>24</v>
      </c>
      <c r="N87">
        <v>0.501</v>
      </c>
      <c r="O87">
        <v>111</v>
      </c>
      <c r="P87">
        <v>68</v>
      </c>
      <c r="Q87" t="s">
        <v>33</v>
      </c>
      <c r="S87">
        <v>14.03</v>
      </c>
      <c r="T87" t="s">
        <v>26</v>
      </c>
    </row>
    <row r="88" spans="1:20" x14ac:dyDescent="0.3">
      <c r="A88" t="s">
        <v>20</v>
      </c>
      <c r="B88">
        <v>58</v>
      </c>
      <c r="C88">
        <v>82.1</v>
      </c>
      <c r="E88">
        <v>26.2</v>
      </c>
      <c r="F88">
        <v>82.6</v>
      </c>
      <c r="G88" t="s">
        <v>119</v>
      </c>
      <c r="H88">
        <v>133</v>
      </c>
      <c r="I88">
        <v>43</v>
      </c>
      <c r="K88" t="s">
        <v>23</v>
      </c>
      <c r="L88" t="s">
        <v>22</v>
      </c>
      <c r="M88" t="s">
        <v>24</v>
      </c>
      <c r="N88">
        <v>0.46700000000000003</v>
      </c>
      <c r="O88">
        <v>97</v>
      </c>
      <c r="P88">
        <v>69</v>
      </c>
      <c r="Q88" t="s">
        <v>33</v>
      </c>
      <c r="R88">
        <v>60</v>
      </c>
      <c r="S88">
        <v>12.75</v>
      </c>
      <c r="T88" t="s">
        <v>30</v>
      </c>
    </row>
    <row r="89" spans="1:20" x14ac:dyDescent="0.3">
      <c r="A89" t="s">
        <v>20</v>
      </c>
      <c r="B89">
        <v>37</v>
      </c>
      <c r="C89">
        <v>113.4</v>
      </c>
      <c r="D89">
        <v>1.68</v>
      </c>
      <c r="E89">
        <v>40.200000000000003</v>
      </c>
      <c r="F89">
        <v>109.2</v>
      </c>
      <c r="G89" t="s">
        <v>120</v>
      </c>
      <c r="H89">
        <v>281</v>
      </c>
      <c r="I89">
        <v>70</v>
      </c>
      <c r="J89">
        <v>140</v>
      </c>
      <c r="K89" t="s">
        <v>22</v>
      </c>
      <c r="L89" t="s">
        <v>22</v>
      </c>
      <c r="M89" t="s">
        <v>28</v>
      </c>
      <c r="N89">
        <v>0.65</v>
      </c>
      <c r="O89">
        <v>120</v>
      </c>
      <c r="P89">
        <v>71</v>
      </c>
      <c r="Q89" t="s">
        <v>25</v>
      </c>
      <c r="R89">
        <v>181</v>
      </c>
      <c r="S89">
        <v>19.66</v>
      </c>
      <c r="T89" t="s">
        <v>26</v>
      </c>
    </row>
    <row r="90" spans="1:20" x14ac:dyDescent="0.3">
      <c r="A90" t="s">
        <v>20</v>
      </c>
      <c r="B90">
        <v>40</v>
      </c>
      <c r="C90">
        <v>50.7</v>
      </c>
      <c r="D90">
        <v>1.65</v>
      </c>
      <c r="E90">
        <v>18.600000000000001</v>
      </c>
      <c r="F90">
        <v>80.900000000000006</v>
      </c>
      <c r="G90" t="s">
        <v>121</v>
      </c>
      <c r="H90">
        <v>228</v>
      </c>
      <c r="I90">
        <v>56</v>
      </c>
      <c r="J90">
        <v>76</v>
      </c>
      <c r="K90" t="s">
        <v>23</v>
      </c>
      <c r="L90" t="s">
        <v>23</v>
      </c>
      <c r="M90" t="s">
        <v>24</v>
      </c>
      <c r="N90">
        <v>0.49</v>
      </c>
      <c r="O90">
        <v>130</v>
      </c>
      <c r="P90">
        <v>97</v>
      </c>
      <c r="Q90" t="s">
        <v>29</v>
      </c>
      <c r="R90">
        <v>142</v>
      </c>
      <c r="S90">
        <v>16.78</v>
      </c>
      <c r="T90" t="s">
        <v>30</v>
      </c>
    </row>
    <row r="91" spans="1:20" x14ac:dyDescent="0.3">
      <c r="A91" t="s">
        <v>31</v>
      </c>
      <c r="B91">
        <v>58</v>
      </c>
      <c r="C91">
        <v>118.3</v>
      </c>
      <c r="D91">
        <v>1.66</v>
      </c>
      <c r="E91">
        <v>42.9</v>
      </c>
      <c r="G91" t="s">
        <v>122</v>
      </c>
      <c r="H91">
        <v>149</v>
      </c>
      <c r="I91">
        <v>66</v>
      </c>
      <c r="J91">
        <v>127</v>
      </c>
      <c r="K91" t="s">
        <v>22</v>
      </c>
      <c r="L91" t="s">
        <v>23</v>
      </c>
      <c r="M91" t="s">
        <v>37</v>
      </c>
      <c r="N91">
        <v>0.622</v>
      </c>
      <c r="O91">
        <v>119</v>
      </c>
      <c r="P91">
        <v>65</v>
      </c>
      <c r="Q91" t="s">
        <v>33</v>
      </c>
      <c r="R91">
        <v>53</v>
      </c>
      <c r="T91" t="s">
        <v>26</v>
      </c>
    </row>
    <row r="92" spans="1:20" x14ac:dyDescent="0.3">
      <c r="A92" t="s">
        <v>20</v>
      </c>
      <c r="B92">
        <v>59</v>
      </c>
      <c r="C92">
        <v>85.7</v>
      </c>
      <c r="D92">
        <v>1.78</v>
      </c>
      <c r="E92">
        <v>27</v>
      </c>
      <c r="F92">
        <v>74.3</v>
      </c>
      <c r="G92" t="s">
        <v>123</v>
      </c>
      <c r="H92">
        <v>268</v>
      </c>
      <c r="I92">
        <v>73</v>
      </c>
      <c r="J92">
        <v>77</v>
      </c>
      <c r="K92" t="s">
        <v>22</v>
      </c>
      <c r="L92" t="s">
        <v>22</v>
      </c>
      <c r="M92" t="s">
        <v>24</v>
      </c>
      <c r="N92">
        <v>0.41699999999999998</v>
      </c>
      <c r="O92">
        <v>120</v>
      </c>
      <c r="P92">
        <v>96</v>
      </c>
      <c r="Q92" t="s">
        <v>38</v>
      </c>
      <c r="R92">
        <v>165</v>
      </c>
      <c r="S92">
        <v>16.760000000000002</v>
      </c>
      <c r="T92" t="s">
        <v>30</v>
      </c>
    </row>
    <row r="93" spans="1:20" x14ac:dyDescent="0.3">
      <c r="A93" t="s">
        <v>20</v>
      </c>
      <c r="B93">
        <v>60</v>
      </c>
      <c r="C93">
        <v>110.1</v>
      </c>
      <c r="E93">
        <v>35.5</v>
      </c>
      <c r="F93">
        <v>95.6</v>
      </c>
      <c r="G93" t="s">
        <v>82</v>
      </c>
      <c r="H93">
        <v>108</v>
      </c>
      <c r="I93">
        <v>66</v>
      </c>
      <c r="J93">
        <v>78</v>
      </c>
      <c r="K93" t="s">
        <v>22</v>
      </c>
      <c r="L93" t="s">
        <v>23</v>
      </c>
      <c r="M93" t="s">
        <v>37</v>
      </c>
      <c r="N93">
        <v>0.54300000000000004</v>
      </c>
      <c r="O93">
        <v>145</v>
      </c>
      <c r="P93">
        <v>84</v>
      </c>
      <c r="Q93" t="s">
        <v>29</v>
      </c>
      <c r="R93">
        <v>12</v>
      </c>
      <c r="S93">
        <v>18.510000000000002</v>
      </c>
      <c r="T93" t="s">
        <v>26</v>
      </c>
    </row>
    <row r="94" spans="1:20" x14ac:dyDescent="0.3">
      <c r="A94" t="s">
        <v>20</v>
      </c>
      <c r="B94">
        <v>40</v>
      </c>
      <c r="C94">
        <v>70.5</v>
      </c>
      <c r="D94">
        <v>1.68</v>
      </c>
      <c r="E94">
        <v>25</v>
      </c>
      <c r="G94" t="s">
        <v>124</v>
      </c>
      <c r="H94">
        <v>154</v>
      </c>
      <c r="I94">
        <v>47</v>
      </c>
      <c r="J94">
        <v>119</v>
      </c>
      <c r="K94" t="s">
        <v>23</v>
      </c>
      <c r="L94" t="s">
        <v>22</v>
      </c>
      <c r="M94" t="s">
        <v>24</v>
      </c>
      <c r="N94">
        <v>0.495</v>
      </c>
      <c r="O94">
        <v>111</v>
      </c>
      <c r="P94">
        <v>93</v>
      </c>
      <c r="Q94" t="s">
        <v>38</v>
      </c>
      <c r="R94">
        <v>77</v>
      </c>
      <c r="S94">
        <v>13.63</v>
      </c>
      <c r="T94" t="s">
        <v>26</v>
      </c>
    </row>
    <row r="95" spans="1:20" x14ac:dyDescent="0.3">
      <c r="A95" t="s">
        <v>20</v>
      </c>
      <c r="B95">
        <v>48</v>
      </c>
      <c r="C95">
        <v>109.3</v>
      </c>
      <c r="D95">
        <v>1.81</v>
      </c>
      <c r="E95">
        <v>33.4</v>
      </c>
      <c r="F95">
        <v>83.2</v>
      </c>
      <c r="G95" t="s">
        <v>125</v>
      </c>
      <c r="H95">
        <v>135</v>
      </c>
      <c r="I95">
        <v>65</v>
      </c>
      <c r="J95">
        <v>119</v>
      </c>
      <c r="K95" t="s">
        <v>23</v>
      </c>
      <c r="L95" t="s">
        <v>23</v>
      </c>
      <c r="M95" t="s">
        <v>28</v>
      </c>
      <c r="N95">
        <v>0.46</v>
      </c>
      <c r="O95">
        <v>105</v>
      </c>
      <c r="P95">
        <v>100</v>
      </c>
      <c r="Q95" t="s">
        <v>38</v>
      </c>
      <c r="R95">
        <v>40</v>
      </c>
      <c r="S95">
        <v>16.63</v>
      </c>
      <c r="T95" t="s">
        <v>30</v>
      </c>
    </row>
    <row r="96" spans="1:20" x14ac:dyDescent="0.3">
      <c r="A96" t="s">
        <v>20</v>
      </c>
      <c r="B96">
        <v>40</v>
      </c>
      <c r="C96">
        <v>84.6</v>
      </c>
      <c r="D96">
        <v>1.81</v>
      </c>
      <c r="E96">
        <v>25.8</v>
      </c>
      <c r="F96">
        <v>74.5</v>
      </c>
      <c r="G96" t="s">
        <v>126</v>
      </c>
      <c r="H96">
        <v>220</v>
      </c>
      <c r="I96">
        <v>47</v>
      </c>
      <c r="J96">
        <v>77</v>
      </c>
      <c r="K96" t="s">
        <v>22</v>
      </c>
      <c r="L96" t="s">
        <v>22</v>
      </c>
      <c r="M96" t="s">
        <v>28</v>
      </c>
      <c r="N96">
        <v>0.41199999999999998</v>
      </c>
      <c r="O96">
        <v>100</v>
      </c>
      <c r="P96">
        <v>91</v>
      </c>
      <c r="Q96" t="s">
        <v>38</v>
      </c>
      <c r="R96">
        <v>143</v>
      </c>
      <c r="S96">
        <v>14.56</v>
      </c>
      <c r="T96" t="s">
        <v>26</v>
      </c>
    </row>
    <row r="97" spans="1:20" x14ac:dyDescent="0.3">
      <c r="A97" t="s">
        <v>31</v>
      </c>
      <c r="B97">
        <v>48</v>
      </c>
      <c r="C97">
        <v>111</v>
      </c>
      <c r="D97">
        <v>1.69</v>
      </c>
      <c r="E97">
        <v>38.9</v>
      </c>
      <c r="F97">
        <v>94.8</v>
      </c>
      <c r="G97" t="s">
        <v>127</v>
      </c>
      <c r="I97">
        <v>48</v>
      </c>
      <c r="J97">
        <v>119</v>
      </c>
      <c r="K97" t="s">
        <v>23</v>
      </c>
      <c r="L97" t="s">
        <v>22</v>
      </c>
      <c r="M97" t="s">
        <v>37</v>
      </c>
      <c r="N97">
        <v>0.56100000000000005</v>
      </c>
      <c r="O97">
        <v>98</v>
      </c>
      <c r="P97">
        <v>64</v>
      </c>
      <c r="Q97" t="s">
        <v>33</v>
      </c>
      <c r="R97">
        <v>178</v>
      </c>
      <c r="S97">
        <v>17.8</v>
      </c>
      <c r="T97" t="s">
        <v>30</v>
      </c>
    </row>
    <row r="98" spans="1:20" x14ac:dyDescent="0.3">
      <c r="A98" t="s">
        <v>31</v>
      </c>
      <c r="B98">
        <v>37</v>
      </c>
      <c r="C98">
        <v>78.8</v>
      </c>
      <c r="D98">
        <v>1.81</v>
      </c>
      <c r="E98">
        <v>24.1</v>
      </c>
      <c r="F98">
        <v>101.8</v>
      </c>
      <c r="G98" t="s">
        <v>128</v>
      </c>
      <c r="H98">
        <v>194</v>
      </c>
      <c r="I98">
        <v>73</v>
      </c>
      <c r="J98">
        <v>90</v>
      </c>
      <c r="K98" t="s">
        <v>22</v>
      </c>
      <c r="L98" t="s">
        <v>22</v>
      </c>
      <c r="M98" t="s">
        <v>24</v>
      </c>
      <c r="N98">
        <v>0.56200000000000006</v>
      </c>
      <c r="O98">
        <v>135</v>
      </c>
      <c r="P98">
        <v>80</v>
      </c>
      <c r="Q98" t="s">
        <v>29</v>
      </c>
      <c r="R98">
        <v>91</v>
      </c>
      <c r="S98">
        <v>15.45</v>
      </c>
      <c r="T98" t="s">
        <v>26</v>
      </c>
    </row>
    <row r="99" spans="1:20" x14ac:dyDescent="0.3">
      <c r="A99" t="s">
        <v>20</v>
      </c>
      <c r="B99">
        <v>40</v>
      </c>
      <c r="C99">
        <v>116.9</v>
      </c>
      <c r="D99">
        <v>1.66</v>
      </c>
      <c r="E99">
        <v>42.4</v>
      </c>
      <c r="F99">
        <v>78.099999999999994</v>
      </c>
      <c r="G99" t="s">
        <v>129</v>
      </c>
      <c r="H99">
        <v>211</v>
      </c>
      <c r="I99">
        <v>75</v>
      </c>
      <c r="J99">
        <v>117</v>
      </c>
      <c r="K99" t="s">
        <v>23</v>
      </c>
      <c r="L99" t="s">
        <v>22</v>
      </c>
      <c r="M99" t="s">
        <v>28</v>
      </c>
      <c r="N99">
        <v>0.47</v>
      </c>
      <c r="O99">
        <v>124</v>
      </c>
      <c r="P99">
        <v>72</v>
      </c>
      <c r="Q99" t="s">
        <v>25</v>
      </c>
      <c r="R99">
        <v>106</v>
      </c>
      <c r="S99">
        <v>18.899999999999999</v>
      </c>
      <c r="T99" t="s">
        <v>30</v>
      </c>
    </row>
    <row r="100" spans="1:20" x14ac:dyDescent="0.3">
      <c r="A100" t="s">
        <v>20</v>
      </c>
      <c r="B100">
        <v>32</v>
      </c>
      <c r="C100">
        <v>98.3</v>
      </c>
      <c r="D100">
        <v>1.78</v>
      </c>
      <c r="E100">
        <v>31</v>
      </c>
      <c r="F100">
        <v>93</v>
      </c>
      <c r="G100" t="s">
        <v>130</v>
      </c>
      <c r="H100">
        <v>261</v>
      </c>
      <c r="I100">
        <v>42</v>
      </c>
      <c r="J100">
        <v>94</v>
      </c>
      <c r="K100" t="s">
        <v>23</v>
      </c>
      <c r="L100" t="s">
        <v>23</v>
      </c>
      <c r="M100" t="s">
        <v>28</v>
      </c>
      <c r="N100">
        <v>0.52200000000000002</v>
      </c>
      <c r="O100">
        <v>127</v>
      </c>
      <c r="P100">
        <v>98</v>
      </c>
      <c r="Q100" t="s">
        <v>38</v>
      </c>
      <c r="R100">
        <v>189</v>
      </c>
      <c r="S100">
        <v>19.77</v>
      </c>
      <c r="T100" t="s">
        <v>30</v>
      </c>
    </row>
    <row r="101" spans="1:20" x14ac:dyDescent="0.3">
      <c r="A101" t="s">
        <v>31</v>
      </c>
      <c r="B101">
        <v>56</v>
      </c>
      <c r="C101">
        <v>84.1</v>
      </c>
      <c r="D101">
        <v>1.86</v>
      </c>
      <c r="F101">
        <v>74.599999999999994</v>
      </c>
      <c r="G101" t="s">
        <v>131</v>
      </c>
      <c r="H101">
        <v>249</v>
      </c>
      <c r="I101">
        <v>62</v>
      </c>
      <c r="J101">
        <v>118</v>
      </c>
      <c r="K101" t="s">
        <v>22</v>
      </c>
      <c r="L101" t="s">
        <v>22</v>
      </c>
      <c r="M101" t="s">
        <v>37</v>
      </c>
      <c r="O101">
        <v>90</v>
      </c>
      <c r="P101">
        <v>78</v>
      </c>
      <c r="Q101" t="s">
        <v>33</v>
      </c>
      <c r="R101">
        <v>157</v>
      </c>
      <c r="S101">
        <v>14.34</v>
      </c>
      <c r="T101" t="s">
        <v>26</v>
      </c>
    </row>
    <row r="102" spans="1:20" x14ac:dyDescent="0.3">
      <c r="A102" t="s">
        <v>31</v>
      </c>
      <c r="B102">
        <v>57</v>
      </c>
      <c r="C102">
        <v>99.1</v>
      </c>
      <c r="D102">
        <v>1.6</v>
      </c>
      <c r="E102">
        <v>38.700000000000003</v>
      </c>
      <c r="G102" t="s">
        <v>132</v>
      </c>
      <c r="H102">
        <v>237</v>
      </c>
      <c r="I102">
        <v>58</v>
      </c>
      <c r="J102">
        <v>132</v>
      </c>
      <c r="K102" t="s">
        <v>22</v>
      </c>
      <c r="L102" t="s">
        <v>23</v>
      </c>
      <c r="M102" t="s">
        <v>28</v>
      </c>
      <c r="N102">
        <v>0.66500000000000004</v>
      </c>
      <c r="O102">
        <v>103</v>
      </c>
      <c r="P102">
        <v>96</v>
      </c>
      <c r="Q102" t="s">
        <v>38</v>
      </c>
      <c r="R102">
        <v>149</v>
      </c>
      <c r="S102">
        <v>19.63</v>
      </c>
      <c r="T102" t="s">
        <v>30</v>
      </c>
    </row>
    <row r="103" spans="1:20" x14ac:dyDescent="0.3">
      <c r="A103" t="s">
        <v>20</v>
      </c>
      <c r="B103">
        <v>51</v>
      </c>
      <c r="C103">
        <v>63.5</v>
      </c>
      <c r="D103">
        <v>1.8</v>
      </c>
      <c r="E103">
        <v>19.600000000000001</v>
      </c>
      <c r="F103">
        <v>75.099999999999994</v>
      </c>
      <c r="G103" t="s">
        <v>133</v>
      </c>
      <c r="H103">
        <v>154</v>
      </c>
      <c r="I103">
        <v>54</v>
      </c>
      <c r="J103">
        <v>102</v>
      </c>
      <c r="K103" t="s">
        <v>22</v>
      </c>
      <c r="L103" t="s">
        <v>23</v>
      </c>
      <c r="M103" t="s">
        <v>28</v>
      </c>
      <c r="N103">
        <v>0.41699999999999998</v>
      </c>
      <c r="O103">
        <v>103</v>
      </c>
      <c r="P103">
        <v>81</v>
      </c>
      <c r="Q103" t="s">
        <v>29</v>
      </c>
      <c r="R103">
        <v>70</v>
      </c>
      <c r="S103">
        <v>14.15</v>
      </c>
      <c r="T103" t="s">
        <v>26</v>
      </c>
    </row>
    <row r="104" spans="1:20" x14ac:dyDescent="0.3">
      <c r="A104" t="s">
        <v>31</v>
      </c>
      <c r="B104">
        <v>48</v>
      </c>
      <c r="C104">
        <v>113.6</v>
      </c>
      <c r="D104">
        <v>1.79</v>
      </c>
      <c r="E104">
        <v>35.5</v>
      </c>
      <c r="G104" t="s">
        <v>134</v>
      </c>
      <c r="H104">
        <v>286</v>
      </c>
      <c r="I104">
        <v>56</v>
      </c>
      <c r="J104">
        <v>133</v>
      </c>
      <c r="K104" t="s">
        <v>23</v>
      </c>
      <c r="L104" t="s">
        <v>22</v>
      </c>
      <c r="M104" t="s">
        <v>37</v>
      </c>
      <c r="N104">
        <v>0.55800000000000005</v>
      </c>
      <c r="O104">
        <v>111</v>
      </c>
      <c r="P104">
        <v>98</v>
      </c>
      <c r="Q104" t="s">
        <v>38</v>
      </c>
      <c r="R104">
        <v>200</v>
      </c>
      <c r="S104">
        <v>18.37</v>
      </c>
      <c r="T104" t="s">
        <v>30</v>
      </c>
    </row>
    <row r="105" spans="1:20" x14ac:dyDescent="0.3">
      <c r="A105" t="s">
        <v>20</v>
      </c>
      <c r="B105">
        <v>53</v>
      </c>
      <c r="C105">
        <v>70.3</v>
      </c>
      <c r="D105">
        <v>1.67</v>
      </c>
      <c r="F105">
        <v>88.8</v>
      </c>
      <c r="G105" t="s">
        <v>121</v>
      </c>
      <c r="H105">
        <v>277</v>
      </c>
      <c r="I105">
        <v>60</v>
      </c>
      <c r="J105">
        <v>113</v>
      </c>
      <c r="K105" t="s">
        <v>22</v>
      </c>
      <c r="L105" t="s">
        <v>22</v>
      </c>
      <c r="M105" t="s">
        <v>24</v>
      </c>
      <c r="N105">
        <v>0.53200000000000003</v>
      </c>
      <c r="O105">
        <v>130</v>
      </c>
      <c r="P105">
        <v>97</v>
      </c>
      <c r="Q105" t="s">
        <v>29</v>
      </c>
      <c r="R105">
        <v>187</v>
      </c>
      <c r="S105">
        <v>17.079999999999998</v>
      </c>
      <c r="T105" t="s">
        <v>30</v>
      </c>
    </row>
    <row r="106" spans="1:20" x14ac:dyDescent="0.3">
      <c r="A106" t="s">
        <v>20</v>
      </c>
      <c r="B106">
        <v>41</v>
      </c>
      <c r="C106">
        <v>54.8</v>
      </c>
      <c r="D106">
        <v>1.78</v>
      </c>
      <c r="E106">
        <v>17.3</v>
      </c>
      <c r="F106">
        <v>105.4</v>
      </c>
      <c r="G106" t="s">
        <v>135</v>
      </c>
      <c r="I106">
        <v>49</v>
      </c>
      <c r="J106">
        <v>83</v>
      </c>
      <c r="K106" t="s">
        <v>22</v>
      </c>
      <c r="L106" t="s">
        <v>23</v>
      </c>
      <c r="M106" t="s">
        <v>24</v>
      </c>
      <c r="N106">
        <v>0.59199999999999997</v>
      </c>
      <c r="O106">
        <v>92</v>
      </c>
      <c r="P106">
        <v>73</v>
      </c>
      <c r="Q106" t="s">
        <v>33</v>
      </c>
      <c r="R106">
        <v>26</v>
      </c>
      <c r="S106">
        <v>12.16</v>
      </c>
      <c r="T106" t="s">
        <v>26</v>
      </c>
    </row>
    <row r="107" spans="1:20" x14ac:dyDescent="0.3">
      <c r="A107" t="s">
        <v>31</v>
      </c>
      <c r="B107">
        <v>33</v>
      </c>
      <c r="C107">
        <v>119.7</v>
      </c>
      <c r="D107">
        <v>1.74</v>
      </c>
      <c r="E107">
        <v>39.5</v>
      </c>
      <c r="F107">
        <v>96</v>
      </c>
      <c r="G107" t="s">
        <v>136</v>
      </c>
      <c r="H107">
        <v>163</v>
      </c>
      <c r="I107">
        <v>57</v>
      </c>
      <c r="J107">
        <v>116</v>
      </c>
      <c r="K107" t="s">
        <v>23</v>
      </c>
      <c r="L107" t="s">
        <v>22</v>
      </c>
      <c r="M107" t="s">
        <v>37</v>
      </c>
      <c r="N107">
        <v>0.55200000000000005</v>
      </c>
      <c r="O107">
        <v>99</v>
      </c>
      <c r="P107">
        <v>97</v>
      </c>
      <c r="Q107" t="s">
        <v>38</v>
      </c>
      <c r="R107">
        <v>76</v>
      </c>
      <c r="S107">
        <v>16.11</v>
      </c>
      <c r="T107" t="s">
        <v>26</v>
      </c>
    </row>
    <row r="108" spans="1:20" x14ac:dyDescent="0.3">
      <c r="A108" t="s">
        <v>20</v>
      </c>
      <c r="B108">
        <v>59</v>
      </c>
      <c r="C108">
        <v>89.5</v>
      </c>
      <c r="D108">
        <v>1.71</v>
      </c>
      <c r="E108">
        <v>30.6</v>
      </c>
      <c r="F108">
        <v>104.3</v>
      </c>
      <c r="G108" t="s">
        <v>137</v>
      </c>
      <c r="H108">
        <v>132</v>
      </c>
      <c r="I108">
        <v>69</v>
      </c>
      <c r="J108">
        <v>140</v>
      </c>
      <c r="K108" t="s">
        <v>22</v>
      </c>
      <c r="L108" t="s">
        <v>23</v>
      </c>
      <c r="M108" t="s">
        <v>24</v>
      </c>
      <c r="N108">
        <v>0.61</v>
      </c>
      <c r="O108">
        <v>107</v>
      </c>
      <c r="P108">
        <v>67</v>
      </c>
      <c r="Q108" t="s">
        <v>33</v>
      </c>
      <c r="R108">
        <v>33</v>
      </c>
      <c r="S108">
        <v>16.11</v>
      </c>
      <c r="T108" t="s">
        <v>30</v>
      </c>
    </row>
    <row r="109" spans="1:20" x14ac:dyDescent="0.3">
      <c r="A109" t="s">
        <v>20</v>
      </c>
      <c r="B109">
        <v>42</v>
      </c>
      <c r="C109">
        <v>59.2</v>
      </c>
      <c r="D109">
        <v>1.78</v>
      </c>
      <c r="E109">
        <v>18.7</v>
      </c>
      <c r="F109">
        <v>88.6</v>
      </c>
      <c r="G109" t="s">
        <v>138</v>
      </c>
      <c r="H109">
        <v>122</v>
      </c>
      <c r="I109">
        <v>80</v>
      </c>
      <c r="J109">
        <v>110</v>
      </c>
      <c r="K109" t="s">
        <v>23</v>
      </c>
      <c r="L109" t="s">
        <v>22</v>
      </c>
      <c r="M109" t="s">
        <v>24</v>
      </c>
      <c r="N109">
        <v>0.498</v>
      </c>
      <c r="O109">
        <v>137</v>
      </c>
      <c r="P109">
        <v>68</v>
      </c>
      <c r="Q109" t="s">
        <v>29</v>
      </c>
      <c r="R109">
        <v>12</v>
      </c>
      <c r="S109">
        <v>13.03</v>
      </c>
      <c r="T109" t="s">
        <v>26</v>
      </c>
    </row>
    <row r="110" spans="1:20" x14ac:dyDescent="0.3">
      <c r="A110" t="s">
        <v>20</v>
      </c>
      <c r="B110">
        <v>46</v>
      </c>
      <c r="C110">
        <v>77.7</v>
      </c>
      <c r="D110">
        <v>1.61</v>
      </c>
      <c r="E110">
        <v>30</v>
      </c>
      <c r="F110">
        <v>93.1</v>
      </c>
      <c r="G110" t="s">
        <v>139</v>
      </c>
      <c r="H110">
        <v>225</v>
      </c>
      <c r="I110">
        <v>43</v>
      </c>
      <c r="J110">
        <v>121</v>
      </c>
      <c r="K110" t="s">
        <v>23</v>
      </c>
      <c r="L110" t="s">
        <v>23</v>
      </c>
      <c r="M110" t="s">
        <v>28</v>
      </c>
      <c r="N110">
        <v>0.57799999999999996</v>
      </c>
      <c r="O110">
        <v>104</v>
      </c>
      <c r="P110">
        <v>81</v>
      </c>
      <c r="Q110" t="s">
        <v>29</v>
      </c>
      <c r="R110">
        <v>152</v>
      </c>
      <c r="S110">
        <v>17.7</v>
      </c>
      <c r="T110" t="s">
        <v>30</v>
      </c>
    </row>
    <row r="111" spans="1:20" x14ac:dyDescent="0.3">
      <c r="A111" t="s">
        <v>20</v>
      </c>
      <c r="C111">
        <v>100.9</v>
      </c>
      <c r="D111">
        <v>1.78</v>
      </c>
      <c r="E111">
        <v>31.8</v>
      </c>
      <c r="F111">
        <v>109.4</v>
      </c>
      <c r="G111" t="s">
        <v>140</v>
      </c>
      <c r="H111">
        <v>176</v>
      </c>
      <c r="I111">
        <v>35</v>
      </c>
      <c r="J111">
        <v>136</v>
      </c>
      <c r="K111" t="s">
        <v>23</v>
      </c>
      <c r="L111" t="s">
        <v>22</v>
      </c>
      <c r="M111" t="s">
        <v>24</v>
      </c>
      <c r="N111">
        <v>0.61499999999999999</v>
      </c>
      <c r="O111">
        <v>113</v>
      </c>
      <c r="P111">
        <v>99</v>
      </c>
      <c r="Q111" t="s">
        <v>38</v>
      </c>
      <c r="R111">
        <v>111</v>
      </c>
      <c r="S111">
        <v>15.53</v>
      </c>
      <c r="T111" t="s">
        <v>30</v>
      </c>
    </row>
    <row r="112" spans="1:20" x14ac:dyDescent="0.3">
      <c r="A112" t="s">
        <v>31</v>
      </c>
      <c r="B112">
        <v>40</v>
      </c>
      <c r="C112">
        <v>53.3</v>
      </c>
      <c r="D112">
        <v>1.63</v>
      </c>
      <c r="E112">
        <v>20.100000000000001</v>
      </c>
      <c r="G112" t="s">
        <v>141</v>
      </c>
      <c r="H112">
        <v>142</v>
      </c>
      <c r="I112">
        <v>40</v>
      </c>
      <c r="J112">
        <v>129</v>
      </c>
      <c r="K112" t="s">
        <v>22</v>
      </c>
      <c r="L112" t="s">
        <v>23</v>
      </c>
      <c r="M112" t="s">
        <v>28</v>
      </c>
      <c r="N112">
        <v>0.65600000000000003</v>
      </c>
      <c r="O112">
        <v>90</v>
      </c>
      <c r="P112">
        <v>67</v>
      </c>
      <c r="Q112" t="s">
        <v>33</v>
      </c>
      <c r="R112">
        <v>72</v>
      </c>
      <c r="S112">
        <v>13.36</v>
      </c>
      <c r="T112" t="s">
        <v>52</v>
      </c>
    </row>
    <row r="113" spans="1:20" x14ac:dyDescent="0.3">
      <c r="A113" t="s">
        <v>31</v>
      </c>
      <c r="B113">
        <v>49</v>
      </c>
      <c r="C113">
        <v>74.8</v>
      </c>
      <c r="D113">
        <v>1.84</v>
      </c>
      <c r="E113">
        <v>22.1</v>
      </c>
      <c r="F113">
        <v>103.4</v>
      </c>
      <c r="G113" t="s">
        <v>142</v>
      </c>
      <c r="H113">
        <v>228</v>
      </c>
      <c r="I113">
        <v>76</v>
      </c>
      <c r="J113">
        <v>99</v>
      </c>
      <c r="K113" t="s">
        <v>23</v>
      </c>
      <c r="L113" t="s">
        <v>23</v>
      </c>
      <c r="M113" t="s">
        <v>24</v>
      </c>
      <c r="N113">
        <v>0.56200000000000006</v>
      </c>
      <c r="O113">
        <v>122</v>
      </c>
      <c r="P113">
        <v>88</v>
      </c>
      <c r="Q113" t="s">
        <v>29</v>
      </c>
      <c r="R113">
        <v>122</v>
      </c>
      <c r="S113">
        <v>17.079999999999998</v>
      </c>
      <c r="T113" t="s">
        <v>30</v>
      </c>
    </row>
    <row r="114" spans="1:20" x14ac:dyDescent="0.3">
      <c r="A114" t="s">
        <v>20</v>
      </c>
      <c r="B114">
        <v>30</v>
      </c>
      <c r="C114">
        <v>89.6</v>
      </c>
      <c r="D114">
        <v>1.78</v>
      </c>
      <c r="E114">
        <v>28.3</v>
      </c>
      <c r="F114">
        <v>70.099999999999994</v>
      </c>
      <c r="G114" t="s">
        <v>143</v>
      </c>
      <c r="H114">
        <v>239</v>
      </c>
      <c r="I114">
        <v>79</v>
      </c>
      <c r="J114">
        <v>121</v>
      </c>
      <c r="K114" t="s">
        <v>22</v>
      </c>
      <c r="L114" t="s">
        <v>23</v>
      </c>
      <c r="M114" t="s">
        <v>24</v>
      </c>
      <c r="N114">
        <v>0.39400000000000002</v>
      </c>
      <c r="O114">
        <v>133</v>
      </c>
      <c r="P114">
        <v>97</v>
      </c>
      <c r="Q114" t="s">
        <v>29</v>
      </c>
      <c r="R114">
        <v>130</v>
      </c>
      <c r="S114">
        <v>19.09</v>
      </c>
      <c r="T114" t="s">
        <v>30</v>
      </c>
    </row>
    <row r="115" spans="1:20" x14ac:dyDescent="0.3">
      <c r="A115" t="s">
        <v>20</v>
      </c>
      <c r="B115">
        <v>39</v>
      </c>
      <c r="C115">
        <v>55.7</v>
      </c>
      <c r="D115">
        <v>1.68</v>
      </c>
      <c r="E115">
        <v>19.7</v>
      </c>
      <c r="F115">
        <v>78.900000000000006</v>
      </c>
      <c r="G115" t="s">
        <v>144</v>
      </c>
      <c r="H115">
        <v>252</v>
      </c>
      <c r="I115">
        <v>43</v>
      </c>
      <c r="J115">
        <v>123</v>
      </c>
      <c r="K115" t="s">
        <v>23</v>
      </c>
      <c r="L115" t="s">
        <v>23</v>
      </c>
      <c r="M115" t="s">
        <v>24</v>
      </c>
      <c r="O115">
        <v>135</v>
      </c>
      <c r="P115">
        <v>100</v>
      </c>
      <c r="Q115" t="s">
        <v>29</v>
      </c>
      <c r="R115">
        <v>179</v>
      </c>
      <c r="T115" t="s">
        <v>30</v>
      </c>
    </row>
    <row r="116" spans="1:20" x14ac:dyDescent="0.3">
      <c r="A116" t="s">
        <v>20</v>
      </c>
      <c r="B116">
        <v>41</v>
      </c>
      <c r="C116">
        <v>93</v>
      </c>
      <c r="D116">
        <v>1.88</v>
      </c>
      <c r="E116">
        <v>26.3</v>
      </c>
      <c r="F116">
        <v>99.2</v>
      </c>
      <c r="G116" t="s">
        <v>145</v>
      </c>
      <c r="H116">
        <v>158</v>
      </c>
      <c r="I116">
        <v>58</v>
      </c>
      <c r="J116">
        <v>138</v>
      </c>
      <c r="K116" t="s">
        <v>23</v>
      </c>
      <c r="L116" t="s">
        <v>22</v>
      </c>
      <c r="M116" t="s">
        <v>37</v>
      </c>
      <c r="N116">
        <v>0.52800000000000002</v>
      </c>
      <c r="O116">
        <v>114</v>
      </c>
      <c r="Q116" t="s">
        <v>38</v>
      </c>
      <c r="R116">
        <v>70</v>
      </c>
      <c r="S116">
        <v>14.12</v>
      </c>
      <c r="T116" t="s">
        <v>26</v>
      </c>
    </row>
    <row r="117" spans="1:20" x14ac:dyDescent="0.3">
      <c r="A117" t="s">
        <v>20</v>
      </c>
      <c r="B117">
        <v>50</v>
      </c>
      <c r="C117">
        <v>73</v>
      </c>
      <c r="D117">
        <v>1.79</v>
      </c>
      <c r="E117">
        <v>22.8</v>
      </c>
      <c r="F117">
        <v>77.400000000000006</v>
      </c>
      <c r="G117" t="s">
        <v>146</v>
      </c>
      <c r="H117">
        <v>183</v>
      </c>
      <c r="I117">
        <v>69</v>
      </c>
      <c r="J117">
        <v>119</v>
      </c>
      <c r="K117" t="s">
        <v>23</v>
      </c>
      <c r="L117" t="s">
        <v>23</v>
      </c>
      <c r="M117" t="s">
        <v>24</v>
      </c>
      <c r="N117">
        <v>0.432</v>
      </c>
      <c r="O117">
        <v>117</v>
      </c>
      <c r="P117">
        <v>97</v>
      </c>
      <c r="Q117" t="s">
        <v>38</v>
      </c>
      <c r="R117">
        <v>84</v>
      </c>
      <c r="S117">
        <v>16.07</v>
      </c>
      <c r="T117" t="s">
        <v>30</v>
      </c>
    </row>
    <row r="118" spans="1:20" x14ac:dyDescent="0.3">
      <c r="A118" t="s">
        <v>31</v>
      </c>
      <c r="B118">
        <v>50</v>
      </c>
      <c r="C118">
        <v>94.3</v>
      </c>
      <c r="D118">
        <v>1.68</v>
      </c>
      <c r="E118">
        <v>33.4</v>
      </c>
      <c r="F118">
        <v>96.3</v>
      </c>
      <c r="G118" t="s">
        <v>132</v>
      </c>
      <c r="H118">
        <v>106</v>
      </c>
      <c r="I118">
        <v>38</v>
      </c>
      <c r="J118">
        <v>118</v>
      </c>
      <c r="K118" t="s">
        <v>22</v>
      </c>
      <c r="L118" t="s">
        <v>23</v>
      </c>
      <c r="M118" t="s">
        <v>24</v>
      </c>
      <c r="N118">
        <v>0.57299999999999995</v>
      </c>
      <c r="O118">
        <v>103</v>
      </c>
      <c r="P118">
        <v>96</v>
      </c>
      <c r="Q118" t="s">
        <v>38</v>
      </c>
      <c r="R118">
        <v>38</v>
      </c>
      <c r="S118">
        <v>15.95</v>
      </c>
      <c r="T118" t="s">
        <v>30</v>
      </c>
    </row>
    <row r="119" spans="1:20" x14ac:dyDescent="0.3">
      <c r="A119" t="s">
        <v>20</v>
      </c>
      <c r="B119">
        <v>60</v>
      </c>
      <c r="D119">
        <v>1.64</v>
      </c>
      <c r="E119">
        <v>30</v>
      </c>
      <c r="F119">
        <v>95.9</v>
      </c>
      <c r="G119" t="s">
        <v>116</v>
      </c>
      <c r="H119">
        <v>178</v>
      </c>
      <c r="I119">
        <v>62</v>
      </c>
      <c r="J119">
        <v>90</v>
      </c>
      <c r="K119" t="s">
        <v>23</v>
      </c>
      <c r="L119" t="s">
        <v>23</v>
      </c>
      <c r="M119" t="s">
        <v>24</v>
      </c>
      <c r="N119">
        <v>0.58499999999999996</v>
      </c>
      <c r="P119">
        <v>63</v>
      </c>
      <c r="Q119" t="s">
        <v>33</v>
      </c>
      <c r="R119">
        <v>86</v>
      </c>
      <c r="S119">
        <v>17.260000000000002</v>
      </c>
      <c r="T119" t="s">
        <v>30</v>
      </c>
    </row>
    <row r="120" spans="1:20" x14ac:dyDescent="0.3">
      <c r="A120" t="s">
        <v>31</v>
      </c>
      <c r="B120">
        <v>41</v>
      </c>
      <c r="C120">
        <v>71.3</v>
      </c>
      <c r="D120">
        <v>1.73</v>
      </c>
      <c r="E120">
        <v>23.8</v>
      </c>
      <c r="F120">
        <v>107.9</v>
      </c>
      <c r="G120" t="s">
        <v>147</v>
      </c>
      <c r="H120">
        <v>253</v>
      </c>
      <c r="I120">
        <v>77</v>
      </c>
      <c r="J120">
        <v>94</v>
      </c>
      <c r="K120" t="s">
        <v>23</v>
      </c>
      <c r="L120" t="s">
        <v>22</v>
      </c>
      <c r="M120" t="s">
        <v>24</v>
      </c>
      <c r="O120">
        <v>139</v>
      </c>
      <c r="Q120" t="s">
        <v>29</v>
      </c>
      <c r="R120">
        <v>146</v>
      </c>
      <c r="S120">
        <v>16.77</v>
      </c>
      <c r="T120" t="s">
        <v>30</v>
      </c>
    </row>
    <row r="121" spans="1:20" x14ac:dyDescent="0.3">
      <c r="A121" t="s">
        <v>31</v>
      </c>
      <c r="B121">
        <v>59</v>
      </c>
      <c r="C121">
        <v>103.9</v>
      </c>
      <c r="D121">
        <v>1.66</v>
      </c>
      <c r="E121">
        <v>37.700000000000003</v>
      </c>
      <c r="F121">
        <v>87.1</v>
      </c>
      <c r="G121" t="s">
        <v>148</v>
      </c>
      <c r="H121">
        <v>272</v>
      </c>
      <c r="I121">
        <v>31</v>
      </c>
      <c r="J121">
        <v>117</v>
      </c>
      <c r="K121" t="s">
        <v>22</v>
      </c>
      <c r="L121" t="s">
        <v>22</v>
      </c>
      <c r="M121" t="s">
        <v>24</v>
      </c>
      <c r="N121">
        <v>0.52500000000000002</v>
      </c>
      <c r="O121">
        <v>117</v>
      </c>
      <c r="P121">
        <v>61</v>
      </c>
      <c r="Q121" t="s">
        <v>33</v>
      </c>
      <c r="R121">
        <v>211</v>
      </c>
      <c r="S121">
        <v>18.829999999999998</v>
      </c>
      <c r="T121" t="s">
        <v>30</v>
      </c>
    </row>
    <row r="122" spans="1:20" x14ac:dyDescent="0.3">
      <c r="A122" t="s">
        <v>20</v>
      </c>
      <c r="B122">
        <v>60</v>
      </c>
      <c r="C122">
        <v>54.8</v>
      </c>
      <c r="D122">
        <v>1.77</v>
      </c>
      <c r="E122">
        <v>17.5</v>
      </c>
      <c r="F122">
        <v>81.2</v>
      </c>
      <c r="G122" t="s">
        <v>149</v>
      </c>
      <c r="H122">
        <v>108</v>
      </c>
      <c r="I122">
        <v>80</v>
      </c>
      <c r="J122">
        <v>108</v>
      </c>
      <c r="K122" t="s">
        <v>23</v>
      </c>
      <c r="L122" t="s">
        <v>22</v>
      </c>
      <c r="M122" t="s">
        <v>37</v>
      </c>
      <c r="N122">
        <v>0.45900000000000002</v>
      </c>
      <c r="O122">
        <v>108</v>
      </c>
      <c r="P122">
        <v>81</v>
      </c>
      <c r="Q122" t="s">
        <v>29</v>
      </c>
      <c r="R122">
        <v>-2</v>
      </c>
      <c r="S122">
        <v>11.06</v>
      </c>
      <c r="T122" t="s">
        <v>26</v>
      </c>
    </row>
    <row r="123" spans="1:20" x14ac:dyDescent="0.3">
      <c r="A123" t="s">
        <v>20</v>
      </c>
      <c r="B123">
        <v>40</v>
      </c>
      <c r="C123">
        <v>113.8</v>
      </c>
      <c r="D123">
        <v>1.84</v>
      </c>
      <c r="E123">
        <v>33.6</v>
      </c>
      <c r="F123">
        <v>96.9</v>
      </c>
      <c r="G123" t="s">
        <v>150</v>
      </c>
      <c r="H123">
        <v>203</v>
      </c>
      <c r="I123">
        <v>56</v>
      </c>
      <c r="J123">
        <v>109</v>
      </c>
      <c r="K123" t="s">
        <v>23</v>
      </c>
      <c r="L123" t="s">
        <v>22</v>
      </c>
      <c r="M123" t="s">
        <v>37</v>
      </c>
      <c r="N123">
        <v>0.52700000000000002</v>
      </c>
      <c r="O123">
        <v>94</v>
      </c>
      <c r="P123">
        <v>92</v>
      </c>
      <c r="Q123" t="s">
        <v>38</v>
      </c>
      <c r="R123">
        <v>117</v>
      </c>
      <c r="S123">
        <v>15.48</v>
      </c>
      <c r="T123" t="s">
        <v>26</v>
      </c>
    </row>
    <row r="124" spans="1:20" x14ac:dyDescent="0.3">
      <c r="A124" t="s">
        <v>20</v>
      </c>
      <c r="B124">
        <v>52</v>
      </c>
      <c r="C124">
        <v>117.7</v>
      </c>
      <c r="D124">
        <v>1.62</v>
      </c>
      <c r="E124">
        <v>44.8</v>
      </c>
      <c r="F124">
        <v>80.8</v>
      </c>
      <c r="G124" t="s">
        <v>151</v>
      </c>
      <c r="H124">
        <v>202</v>
      </c>
      <c r="I124">
        <v>77</v>
      </c>
      <c r="J124">
        <v>75</v>
      </c>
      <c r="K124" t="s">
        <v>22</v>
      </c>
      <c r="L124" t="s">
        <v>23</v>
      </c>
      <c r="M124" t="s">
        <v>24</v>
      </c>
      <c r="N124">
        <v>0.499</v>
      </c>
      <c r="O124">
        <v>137</v>
      </c>
      <c r="P124">
        <v>82</v>
      </c>
      <c r="Q124" t="s">
        <v>29</v>
      </c>
      <c r="R124">
        <v>95</v>
      </c>
      <c r="S124">
        <v>21.85</v>
      </c>
      <c r="T124" t="s">
        <v>30</v>
      </c>
    </row>
    <row r="125" spans="1:20" x14ac:dyDescent="0.3">
      <c r="A125" t="s">
        <v>31</v>
      </c>
      <c r="B125">
        <v>45</v>
      </c>
      <c r="C125">
        <v>100.4</v>
      </c>
      <c r="D125">
        <v>1.62</v>
      </c>
      <c r="E125">
        <v>38.299999999999997</v>
      </c>
      <c r="F125">
        <v>76.3</v>
      </c>
      <c r="G125" t="s">
        <v>152</v>
      </c>
      <c r="H125">
        <v>254</v>
      </c>
      <c r="I125">
        <v>31</v>
      </c>
      <c r="J125">
        <v>130</v>
      </c>
      <c r="K125" t="s">
        <v>22</v>
      </c>
      <c r="L125" t="s">
        <v>23</v>
      </c>
      <c r="M125" t="s">
        <v>24</v>
      </c>
      <c r="N125">
        <v>0.47099999999999997</v>
      </c>
      <c r="O125">
        <v>128</v>
      </c>
      <c r="P125">
        <v>91</v>
      </c>
      <c r="Q125" t="s">
        <v>38</v>
      </c>
      <c r="R125">
        <v>193</v>
      </c>
      <c r="S125">
        <v>21.14</v>
      </c>
      <c r="T125" t="s">
        <v>30</v>
      </c>
    </row>
    <row r="126" spans="1:20" x14ac:dyDescent="0.3">
      <c r="A126" t="s">
        <v>20</v>
      </c>
      <c r="B126">
        <v>49</v>
      </c>
      <c r="C126">
        <v>101</v>
      </c>
      <c r="D126">
        <v>1.74</v>
      </c>
      <c r="E126">
        <v>33.4</v>
      </c>
      <c r="F126">
        <v>80.599999999999994</v>
      </c>
      <c r="G126" t="s">
        <v>153</v>
      </c>
      <c r="H126">
        <v>172</v>
      </c>
      <c r="I126">
        <v>50</v>
      </c>
      <c r="J126">
        <v>128</v>
      </c>
      <c r="K126" t="s">
        <v>22</v>
      </c>
      <c r="L126" t="s">
        <v>23</v>
      </c>
      <c r="M126" t="s">
        <v>37</v>
      </c>
      <c r="N126">
        <v>0.46300000000000002</v>
      </c>
      <c r="O126">
        <v>94</v>
      </c>
      <c r="P126">
        <v>79</v>
      </c>
      <c r="Q126" t="s">
        <v>33</v>
      </c>
      <c r="R126">
        <v>92</v>
      </c>
      <c r="S126">
        <v>16.82</v>
      </c>
      <c r="T126" t="s">
        <v>30</v>
      </c>
    </row>
    <row r="127" spans="1:20" x14ac:dyDescent="0.3">
      <c r="A127" t="s">
        <v>31</v>
      </c>
      <c r="B127">
        <v>45</v>
      </c>
      <c r="C127">
        <v>67.5</v>
      </c>
      <c r="D127">
        <v>1.83</v>
      </c>
      <c r="E127">
        <v>20.2</v>
      </c>
      <c r="F127">
        <v>91.3</v>
      </c>
      <c r="G127" t="s">
        <v>154</v>
      </c>
      <c r="H127">
        <v>166</v>
      </c>
      <c r="I127">
        <v>59</v>
      </c>
      <c r="J127">
        <v>98</v>
      </c>
      <c r="K127" t="s">
        <v>22</v>
      </c>
      <c r="L127" t="s">
        <v>22</v>
      </c>
      <c r="M127" t="s">
        <v>37</v>
      </c>
      <c r="N127">
        <v>0.499</v>
      </c>
      <c r="O127">
        <v>149</v>
      </c>
      <c r="P127">
        <v>66</v>
      </c>
      <c r="Q127" t="s">
        <v>38</v>
      </c>
      <c r="R127">
        <v>77</v>
      </c>
      <c r="S127">
        <v>14.81</v>
      </c>
      <c r="T127" t="s">
        <v>52</v>
      </c>
    </row>
    <row r="128" spans="1:20" x14ac:dyDescent="0.3">
      <c r="A128" t="s">
        <v>20</v>
      </c>
      <c r="B128">
        <v>37</v>
      </c>
      <c r="C128">
        <v>117.3</v>
      </c>
      <c r="D128">
        <v>1.78</v>
      </c>
      <c r="E128">
        <v>37</v>
      </c>
      <c r="F128">
        <v>84.6</v>
      </c>
      <c r="G128" t="s">
        <v>155</v>
      </c>
      <c r="H128">
        <v>206</v>
      </c>
      <c r="I128">
        <v>51</v>
      </c>
      <c r="J128">
        <v>120</v>
      </c>
      <c r="K128" t="s">
        <v>22</v>
      </c>
      <c r="L128" t="s">
        <v>23</v>
      </c>
      <c r="M128" t="s">
        <v>28</v>
      </c>
      <c r="N128">
        <v>0.47499999999999998</v>
      </c>
      <c r="O128">
        <v>135</v>
      </c>
      <c r="P128">
        <v>77</v>
      </c>
      <c r="Q128" t="s">
        <v>29</v>
      </c>
      <c r="R128">
        <v>125</v>
      </c>
      <c r="S128">
        <v>20.27</v>
      </c>
      <c r="T128" t="s">
        <v>26</v>
      </c>
    </row>
    <row r="129" spans="1:20" x14ac:dyDescent="0.3">
      <c r="A129" t="s">
        <v>20</v>
      </c>
      <c r="B129">
        <v>34</v>
      </c>
      <c r="C129">
        <v>94.4</v>
      </c>
      <c r="D129">
        <v>1.8</v>
      </c>
      <c r="E129">
        <v>29.1</v>
      </c>
      <c r="F129">
        <v>90.9</v>
      </c>
      <c r="G129" t="s">
        <v>156</v>
      </c>
      <c r="J129">
        <v>89</v>
      </c>
      <c r="K129" t="s">
        <v>22</v>
      </c>
      <c r="L129" t="s">
        <v>22</v>
      </c>
      <c r="M129" t="s">
        <v>24</v>
      </c>
      <c r="N129">
        <v>0.505</v>
      </c>
      <c r="O129">
        <v>100</v>
      </c>
      <c r="P129">
        <v>76</v>
      </c>
      <c r="Q129" t="s">
        <v>33</v>
      </c>
      <c r="R129">
        <v>139</v>
      </c>
      <c r="S129">
        <v>15.54</v>
      </c>
      <c r="T129" t="s">
        <v>26</v>
      </c>
    </row>
    <row r="130" spans="1:20" x14ac:dyDescent="0.3">
      <c r="A130" t="s">
        <v>31</v>
      </c>
      <c r="B130">
        <v>31</v>
      </c>
      <c r="C130">
        <v>104.1</v>
      </c>
      <c r="D130">
        <v>1.69</v>
      </c>
      <c r="E130">
        <v>36.4</v>
      </c>
      <c r="F130">
        <v>74.099999999999994</v>
      </c>
      <c r="G130" t="s">
        <v>157</v>
      </c>
      <c r="H130">
        <v>143</v>
      </c>
      <c r="I130">
        <v>50</v>
      </c>
      <c r="J130">
        <v>73</v>
      </c>
      <c r="K130" t="s">
        <v>22</v>
      </c>
      <c r="L130" t="s">
        <v>22</v>
      </c>
      <c r="M130" t="s">
        <v>28</v>
      </c>
      <c r="N130">
        <v>0.438</v>
      </c>
      <c r="O130">
        <v>95</v>
      </c>
      <c r="P130">
        <v>84</v>
      </c>
      <c r="Q130" t="s">
        <v>29</v>
      </c>
      <c r="R130">
        <v>63</v>
      </c>
      <c r="S130">
        <v>14.89</v>
      </c>
      <c r="T130" t="s">
        <v>52</v>
      </c>
    </row>
    <row r="131" spans="1:20" x14ac:dyDescent="0.3">
      <c r="A131" t="s">
        <v>20</v>
      </c>
      <c r="B131">
        <v>31</v>
      </c>
      <c r="C131">
        <v>113.4</v>
      </c>
      <c r="D131">
        <v>1.76</v>
      </c>
      <c r="E131">
        <v>36.6</v>
      </c>
      <c r="F131">
        <v>101</v>
      </c>
      <c r="G131" t="s">
        <v>158</v>
      </c>
      <c r="H131">
        <v>101</v>
      </c>
      <c r="I131">
        <v>31</v>
      </c>
      <c r="J131">
        <v>98</v>
      </c>
      <c r="K131" t="s">
        <v>23</v>
      </c>
      <c r="L131" t="s">
        <v>22</v>
      </c>
      <c r="M131" t="s">
        <v>28</v>
      </c>
      <c r="N131">
        <v>0.57399999999999995</v>
      </c>
      <c r="O131">
        <v>110</v>
      </c>
      <c r="P131">
        <v>83</v>
      </c>
      <c r="Q131" t="s">
        <v>29</v>
      </c>
      <c r="R131">
        <v>40</v>
      </c>
      <c r="S131">
        <v>14.84</v>
      </c>
      <c r="T131" t="s">
        <v>26</v>
      </c>
    </row>
    <row r="132" spans="1:20" x14ac:dyDescent="0.3">
      <c r="A132" t="s">
        <v>31</v>
      </c>
      <c r="B132">
        <v>59</v>
      </c>
      <c r="C132">
        <v>97.1</v>
      </c>
      <c r="D132">
        <v>1.61</v>
      </c>
      <c r="E132">
        <v>37.5</v>
      </c>
      <c r="G132" t="s">
        <v>159</v>
      </c>
      <c r="H132">
        <v>120</v>
      </c>
      <c r="I132">
        <v>45</v>
      </c>
      <c r="J132">
        <v>90</v>
      </c>
      <c r="K132" t="s">
        <v>23</v>
      </c>
      <c r="L132" t="s">
        <v>22</v>
      </c>
      <c r="M132" t="s">
        <v>28</v>
      </c>
      <c r="N132">
        <v>0.50900000000000001</v>
      </c>
      <c r="O132">
        <v>92</v>
      </c>
      <c r="P132">
        <v>90</v>
      </c>
      <c r="Q132" t="s">
        <v>38</v>
      </c>
      <c r="S132">
        <v>14.5</v>
      </c>
      <c r="T132" t="s">
        <v>30</v>
      </c>
    </row>
    <row r="133" spans="1:20" x14ac:dyDescent="0.3">
      <c r="A133" t="s">
        <v>31</v>
      </c>
      <c r="B133">
        <v>54</v>
      </c>
      <c r="D133">
        <v>1.7</v>
      </c>
      <c r="E133">
        <v>27.8</v>
      </c>
      <c r="F133">
        <v>70.400000000000006</v>
      </c>
      <c r="G133" t="s">
        <v>160</v>
      </c>
      <c r="I133">
        <v>41</v>
      </c>
      <c r="J133">
        <v>110</v>
      </c>
      <c r="K133" t="s">
        <v>23</v>
      </c>
      <c r="L133" t="s">
        <v>23</v>
      </c>
      <c r="M133" t="s">
        <v>28</v>
      </c>
      <c r="N133">
        <v>0.41399999999999998</v>
      </c>
      <c r="O133">
        <v>111</v>
      </c>
      <c r="P133">
        <v>94</v>
      </c>
      <c r="Q133" t="s">
        <v>38</v>
      </c>
      <c r="R133">
        <v>150</v>
      </c>
      <c r="S133">
        <v>17.53</v>
      </c>
      <c r="T133" t="s">
        <v>30</v>
      </c>
    </row>
    <row r="134" spans="1:20" x14ac:dyDescent="0.3">
      <c r="A134" t="s">
        <v>20</v>
      </c>
      <c r="B134">
        <v>34</v>
      </c>
      <c r="C134">
        <v>116.1</v>
      </c>
      <c r="D134">
        <v>1.79</v>
      </c>
      <c r="E134">
        <v>36.200000000000003</v>
      </c>
      <c r="F134">
        <v>78.599999999999994</v>
      </c>
      <c r="G134" t="s">
        <v>161</v>
      </c>
      <c r="H134">
        <v>167</v>
      </c>
      <c r="I134">
        <v>62</v>
      </c>
      <c r="J134">
        <v>140</v>
      </c>
      <c r="K134" t="s">
        <v>23</v>
      </c>
      <c r="L134" t="s">
        <v>23</v>
      </c>
      <c r="M134" t="s">
        <v>28</v>
      </c>
      <c r="N134">
        <v>0.439</v>
      </c>
      <c r="O134">
        <v>107</v>
      </c>
      <c r="P134">
        <v>66</v>
      </c>
      <c r="Q134" t="s">
        <v>33</v>
      </c>
      <c r="R134">
        <v>75</v>
      </c>
      <c r="S134">
        <v>17.93</v>
      </c>
      <c r="T134" t="s">
        <v>26</v>
      </c>
    </row>
    <row r="135" spans="1:20" x14ac:dyDescent="0.3">
      <c r="A135" t="s">
        <v>31</v>
      </c>
      <c r="B135">
        <v>35</v>
      </c>
      <c r="C135">
        <v>75.3</v>
      </c>
      <c r="D135">
        <v>1.72</v>
      </c>
      <c r="E135">
        <v>25.5</v>
      </c>
      <c r="F135">
        <v>95.4</v>
      </c>
      <c r="G135" t="s">
        <v>162</v>
      </c>
      <c r="H135">
        <v>137</v>
      </c>
      <c r="I135">
        <v>53</v>
      </c>
      <c r="J135">
        <v>73</v>
      </c>
      <c r="K135" t="s">
        <v>23</v>
      </c>
      <c r="L135" t="s">
        <v>23</v>
      </c>
      <c r="M135" t="s">
        <v>28</v>
      </c>
      <c r="N135">
        <v>0.55500000000000005</v>
      </c>
      <c r="O135">
        <v>98</v>
      </c>
      <c r="P135">
        <v>72</v>
      </c>
      <c r="Q135" t="s">
        <v>33</v>
      </c>
      <c r="R135">
        <v>54</v>
      </c>
      <c r="S135">
        <v>14.74</v>
      </c>
      <c r="T135" t="s">
        <v>26</v>
      </c>
    </row>
    <row r="136" spans="1:20" x14ac:dyDescent="0.3">
      <c r="A136" t="s">
        <v>20</v>
      </c>
      <c r="B136">
        <v>31</v>
      </c>
      <c r="C136">
        <v>113.5</v>
      </c>
      <c r="D136">
        <v>1.74</v>
      </c>
      <c r="E136">
        <v>37.5</v>
      </c>
      <c r="F136">
        <v>85.8</v>
      </c>
      <c r="G136" t="s">
        <v>163</v>
      </c>
      <c r="H136">
        <v>290</v>
      </c>
      <c r="I136">
        <v>64</v>
      </c>
      <c r="J136">
        <v>118</v>
      </c>
      <c r="K136" t="s">
        <v>23</v>
      </c>
      <c r="L136" t="s">
        <v>22</v>
      </c>
      <c r="M136" t="s">
        <v>37</v>
      </c>
      <c r="N136">
        <v>0.49299999999999999</v>
      </c>
      <c r="O136">
        <v>150</v>
      </c>
      <c r="P136">
        <v>96</v>
      </c>
      <c r="Q136" t="s">
        <v>38</v>
      </c>
      <c r="R136">
        <v>196</v>
      </c>
      <c r="S136">
        <v>20.8</v>
      </c>
      <c r="T136" t="s">
        <v>30</v>
      </c>
    </row>
    <row r="137" spans="1:20" x14ac:dyDescent="0.3">
      <c r="A137" t="s">
        <v>31</v>
      </c>
      <c r="B137">
        <v>31</v>
      </c>
      <c r="C137">
        <v>75.599999999999994</v>
      </c>
      <c r="D137">
        <v>1.73</v>
      </c>
      <c r="E137">
        <v>25.3</v>
      </c>
      <c r="F137">
        <v>74.5</v>
      </c>
      <c r="G137" t="s">
        <v>164</v>
      </c>
      <c r="H137">
        <v>182</v>
      </c>
      <c r="I137">
        <v>67</v>
      </c>
      <c r="J137">
        <v>148</v>
      </c>
      <c r="K137" t="s">
        <v>23</v>
      </c>
      <c r="L137" t="s">
        <v>22</v>
      </c>
      <c r="M137" t="s">
        <v>28</v>
      </c>
      <c r="N137">
        <v>0.43099999999999999</v>
      </c>
      <c r="O137">
        <v>96</v>
      </c>
      <c r="P137">
        <v>69</v>
      </c>
      <c r="Q137" t="s">
        <v>33</v>
      </c>
      <c r="R137">
        <v>85</v>
      </c>
      <c r="S137">
        <v>13.5</v>
      </c>
      <c r="T137" t="s">
        <v>26</v>
      </c>
    </row>
    <row r="138" spans="1:20" x14ac:dyDescent="0.3">
      <c r="A138" t="s">
        <v>20</v>
      </c>
      <c r="B138">
        <v>59</v>
      </c>
      <c r="C138">
        <v>66.099999999999994</v>
      </c>
      <c r="D138">
        <v>1.67</v>
      </c>
      <c r="E138">
        <v>23.7</v>
      </c>
      <c r="F138">
        <v>85.2</v>
      </c>
      <c r="G138" t="s">
        <v>165</v>
      </c>
      <c r="H138">
        <v>169</v>
      </c>
      <c r="I138">
        <v>52</v>
      </c>
      <c r="J138">
        <v>75</v>
      </c>
      <c r="K138" t="s">
        <v>22</v>
      </c>
      <c r="L138" t="s">
        <v>22</v>
      </c>
      <c r="M138" t="s">
        <v>24</v>
      </c>
      <c r="N138">
        <v>0.51</v>
      </c>
      <c r="O138">
        <v>130</v>
      </c>
      <c r="P138">
        <v>95</v>
      </c>
      <c r="Q138" t="s">
        <v>29</v>
      </c>
      <c r="R138">
        <v>87</v>
      </c>
      <c r="S138">
        <v>14.62</v>
      </c>
      <c r="T138" t="s">
        <v>26</v>
      </c>
    </row>
    <row r="139" spans="1:20" x14ac:dyDescent="0.3">
      <c r="A139" t="s">
        <v>31</v>
      </c>
      <c r="B139">
        <v>33</v>
      </c>
      <c r="C139">
        <v>108.4</v>
      </c>
      <c r="D139">
        <v>1.9</v>
      </c>
      <c r="E139">
        <v>30</v>
      </c>
      <c r="F139">
        <v>84.8</v>
      </c>
      <c r="G139" t="s">
        <v>166</v>
      </c>
      <c r="H139">
        <v>132</v>
      </c>
      <c r="I139">
        <v>54</v>
      </c>
      <c r="J139">
        <v>130</v>
      </c>
      <c r="K139" t="s">
        <v>22</v>
      </c>
      <c r="L139" t="s">
        <v>22</v>
      </c>
      <c r="M139" t="s">
        <v>37</v>
      </c>
      <c r="N139">
        <v>0.44600000000000001</v>
      </c>
      <c r="O139">
        <v>140</v>
      </c>
      <c r="P139">
        <v>85</v>
      </c>
      <c r="Q139" t="s">
        <v>29</v>
      </c>
      <c r="R139">
        <v>48</v>
      </c>
      <c r="S139">
        <v>15.64</v>
      </c>
      <c r="T139" t="s">
        <v>26</v>
      </c>
    </row>
    <row r="140" spans="1:20" x14ac:dyDescent="0.3">
      <c r="A140" t="s">
        <v>20</v>
      </c>
      <c r="B140">
        <v>54</v>
      </c>
      <c r="C140">
        <v>74.099999999999994</v>
      </c>
      <c r="D140">
        <v>1.87</v>
      </c>
      <c r="E140">
        <v>21.2</v>
      </c>
      <c r="F140">
        <v>105.8</v>
      </c>
      <c r="G140" t="s">
        <v>167</v>
      </c>
      <c r="H140">
        <v>171</v>
      </c>
      <c r="I140">
        <v>37</v>
      </c>
      <c r="J140">
        <v>84</v>
      </c>
      <c r="K140" t="s">
        <v>23</v>
      </c>
      <c r="L140" t="s">
        <v>22</v>
      </c>
      <c r="M140" t="s">
        <v>24</v>
      </c>
      <c r="N140">
        <v>0.56599999999999995</v>
      </c>
      <c r="O140">
        <v>138</v>
      </c>
      <c r="P140">
        <v>73</v>
      </c>
      <c r="Q140" t="s">
        <v>29</v>
      </c>
      <c r="R140">
        <v>104</v>
      </c>
      <c r="S140">
        <v>14.56</v>
      </c>
      <c r="T140" t="s">
        <v>30</v>
      </c>
    </row>
    <row r="141" spans="1:20" x14ac:dyDescent="0.3">
      <c r="A141" t="s">
        <v>20</v>
      </c>
      <c r="B141">
        <v>52</v>
      </c>
      <c r="C141">
        <v>102.6</v>
      </c>
      <c r="E141">
        <v>40.1</v>
      </c>
      <c r="F141">
        <v>103.2</v>
      </c>
      <c r="G141" t="s">
        <v>168</v>
      </c>
      <c r="H141">
        <v>144</v>
      </c>
      <c r="I141">
        <v>63</v>
      </c>
      <c r="J141">
        <v>148</v>
      </c>
      <c r="K141" t="s">
        <v>23</v>
      </c>
      <c r="L141" t="s">
        <v>23</v>
      </c>
      <c r="M141" t="s">
        <v>37</v>
      </c>
      <c r="N141">
        <v>0.64500000000000002</v>
      </c>
      <c r="O141">
        <v>101</v>
      </c>
      <c r="P141">
        <v>82</v>
      </c>
      <c r="Q141" t="s">
        <v>29</v>
      </c>
      <c r="R141">
        <v>51</v>
      </c>
      <c r="S141">
        <v>17.95</v>
      </c>
      <c r="T141" t="s">
        <v>30</v>
      </c>
    </row>
    <row r="142" spans="1:20" x14ac:dyDescent="0.3">
      <c r="A142" t="s">
        <v>31</v>
      </c>
      <c r="B142">
        <v>54</v>
      </c>
      <c r="C142">
        <v>69.5</v>
      </c>
      <c r="D142">
        <v>1.71</v>
      </c>
      <c r="E142">
        <v>23.8</v>
      </c>
      <c r="F142">
        <v>77.400000000000006</v>
      </c>
      <c r="G142" t="s">
        <v>169</v>
      </c>
      <c r="H142">
        <v>151</v>
      </c>
      <c r="I142">
        <v>74</v>
      </c>
      <c r="J142">
        <v>116</v>
      </c>
      <c r="K142" t="s">
        <v>23</v>
      </c>
      <c r="L142" t="s">
        <v>23</v>
      </c>
      <c r="M142" t="s">
        <v>28</v>
      </c>
      <c r="N142">
        <v>0.45300000000000001</v>
      </c>
      <c r="O142">
        <v>126</v>
      </c>
      <c r="P142">
        <v>64</v>
      </c>
      <c r="Q142" t="s">
        <v>25</v>
      </c>
      <c r="R142">
        <v>47</v>
      </c>
      <c r="S142">
        <v>16.079999999999998</v>
      </c>
      <c r="T142" t="s">
        <v>26</v>
      </c>
    </row>
    <row r="143" spans="1:20" x14ac:dyDescent="0.3">
      <c r="A143" t="s">
        <v>20</v>
      </c>
      <c r="B143">
        <v>53</v>
      </c>
      <c r="C143">
        <v>119.5</v>
      </c>
      <c r="D143">
        <v>1.82</v>
      </c>
      <c r="E143">
        <v>36.1</v>
      </c>
      <c r="F143">
        <v>102.5</v>
      </c>
      <c r="G143" t="s">
        <v>170</v>
      </c>
      <c r="H143">
        <v>256</v>
      </c>
      <c r="I143">
        <v>33</v>
      </c>
      <c r="J143">
        <v>125</v>
      </c>
      <c r="K143" t="s">
        <v>22</v>
      </c>
      <c r="L143" t="s">
        <v>23</v>
      </c>
      <c r="M143" t="s">
        <v>37</v>
      </c>
      <c r="N143">
        <v>0.56299999999999994</v>
      </c>
      <c r="O143">
        <v>135</v>
      </c>
      <c r="P143">
        <v>82</v>
      </c>
      <c r="Q143" t="s">
        <v>29</v>
      </c>
      <c r="R143">
        <v>193</v>
      </c>
      <c r="S143">
        <v>21.09</v>
      </c>
      <c r="T143" t="s">
        <v>30</v>
      </c>
    </row>
    <row r="144" spans="1:20" x14ac:dyDescent="0.3">
      <c r="A144" t="s">
        <v>31</v>
      </c>
      <c r="B144">
        <v>57</v>
      </c>
      <c r="C144">
        <v>108.7</v>
      </c>
      <c r="D144">
        <v>1.81</v>
      </c>
      <c r="E144">
        <v>33.200000000000003</v>
      </c>
      <c r="F144">
        <v>84</v>
      </c>
      <c r="G144" t="s">
        <v>171</v>
      </c>
      <c r="H144">
        <v>158</v>
      </c>
      <c r="I144">
        <v>33</v>
      </c>
      <c r="J144">
        <v>114</v>
      </c>
      <c r="K144" t="s">
        <v>23</v>
      </c>
      <c r="L144" t="s">
        <v>23</v>
      </c>
      <c r="M144" t="s">
        <v>28</v>
      </c>
      <c r="N144">
        <v>0.46400000000000002</v>
      </c>
      <c r="P144">
        <v>71</v>
      </c>
      <c r="Q144" t="s">
        <v>38</v>
      </c>
      <c r="R144">
        <v>95</v>
      </c>
      <c r="S144">
        <v>19.3</v>
      </c>
      <c r="T144" t="s">
        <v>30</v>
      </c>
    </row>
    <row r="145" spans="1:20" x14ac:dyDescent="0.3">
      <c r="A145" t="s">
        <v>31</v>
      </c>
      <c r="B145">
        <v>33</v>
      </c>
      <c r="C145">
        <v>118.3</v>
      </c>
      <c r="D145">
        <v>1.69</v>
      </c>
      <c r="E145">
        <v>41.4</v>
      </c>
      <c r="F145">
        <v>72.099999999999994</v>
      </c>
      <c r="G145" t="s">
        <v>172</v>
      </c>
      <c r="H145">
        <v>171</v>
      </c>
      <c r="I145">
        <v>44</v>
      </c>
      <c r="J145">
        <v>145</v>
      </c>
      <c r="K145" t="s">
        <v>22</v>
      </c>
      <c r="L145" t="s">
        <v>22</v>
      </c>
      <c r="M145" t="s">
        <v>37</v>
      </c>
      <c r="N145">
        <v>0.42699999999999999</v>
      </c>
      <c r="O145">
        <v>116</v>
      </c>
      <c r="P145">
        <v>93</v>
      </c>
      <c r="Q145" t="s">
        <v>38</v>
      </c>
      <c r="R145">
        <v>97</v>
      </c>
      <c r="S145">
        <v>17.5</v>
      </c>
      <c r="T145" t="s">
        <v>52</v>
      </c>
    </row>
    <row r="146" spans="1:20" x14ac:dyDescent="0.3">
      <c r="A146" t="s">
        <v>20</v>
      </c>
      <c r="B146">
        <v>54</v>
      </c>
      <c r="C146">
        <v>67.2</v>
      </c>
      <c r="D146">
        <v>1.88</v>
      </c>
      <c r="E146">
        <v>19</v>
      </c>
      <c r="F146">
        <v>71.400000000000006</v>
      </c>
      <c r="G146" t="s">
        <v>173</v>
      </c>
      <c r="H146">
        <v>128</v>
      </c>
      <c r="J146">
        <v>133</v>
      </c>
      <c r="K146" t="s">
        <v>22</v>
      </c>
      <c r="L146" t="s">
        <v>23</v>
      </c>
      <c r="M146" t="s">
        <v>37</v>
      </c>
      <c r="N146">
        <v>0.38</v>
      </c>
      <c r="P146">
        <v>90</v>
      </c>
      <c r="Q146" t="s">
        <v>38</v>
      </c>
      <c r="R146">
        <v>55</v>
      </c>
      <c r="S146">
        <v>13.16</v>
      </c>
      <c r="T146" t="s">
        <v>26</v>
      </c>
    </row>
    <row r="147" spans="1:20" x14ac:dyDescent="0.3">
      <c r="A147" t="s">
        <v>20</v>
      </c>
      <c r="B147">
        <v>38</v>
      </c>
      <c r="C147">
        <v>111.4</v>
      </c>
      <c r="D147">
        <v>1.76</v>
      </c>
      <c r="E147">
        <v>36</v>
      </c>
      <c r="F147">
        <v>98.7</v>
      </c>
      <c r="G147" t="s">
        <v>174</v>
      </c>
      <c r="H147">
        <v>263</v>
      </c>
      <c r="I147">
        <v>45</v>
      </c>
      <c r="J147">
        <v>98</v>
      </c>
      <c r="K147" t="s">
        <v>22</v>
      </c>
      <c r="L147" t="s">
        <v>23</v>
      </c>
      <c r="M147" t="s">
        <v>28</v>
      </c>
      <c r="N147">
        <v>0.56100000000000005</v>
      </c>
      <c r="O147">
        <v>117</v>
      </c>
      <c r="P147">
        <v>93</v>
      </c>
      <c r="Q147" t="s">
        <v>38</v>
      </c>
      <c r="R147">
        <v>188</v>
      </c>
      <c r="S147">
        <v>20.309999999999999</v>
      </c>
      <c r="T147" t="s">
        <v>26</v>
      </c>
    </row>
    <row r="148" spans="1:20" x14ac:dyDescent="0.3">
      <c r="A148" t="s">
        <v>31</v>
      </c>
      <c r="B148">
        <v>51</v>
      </c>
      <c r="C148">
        <v>57.5</v>
      </c>
      <c r="D148">
        <v>1.69</v>
      </c>
      <c r="E148">
        <v>20.100000000000001</v>
      </c>
      <c r="F148">
        <v>99.1</v>
      </c>
      <c r="G148" t="s">
        <v>76</v>
      </c>
      <c r="H148">
        <v>137</v>
      </c>
      <c r="I148">
        <v>57</v>
      </c>
      <c r="J148">
        <v>84</v>
      </c>
      <c r="K148" t="s">
        <v>23</v>
      </c>
      <c r="L148" t="s">
        <v>23</v>
      </c>
      <c r="M148" t="s">
        <v>24</v>
      </c>
      <c r="N148">
        <v>0.58599999999999997</v>
      </c>
      <c r="O148">
        <v>105</v>
      </c>
      <c r="P148">
        <v>64</v>
      </c>
      <c r="Q148" t="s">
        <v>33</v>
      </c>
      <c r="R148">
        <v>50</v>
      </c>
      <c r="S148">
        <v>14.01</v>
      </c>
      <c r="T148" t="s">
        <v>30</v>
      </c>
    </row>
    <row r="149" spans="1:20" x14ac:dyDescent="0.3">
      <c r="A149" t="s">
        <v>31</v>
      </c>
      <c r="B149">
        <v>51</v>
      </c>
      <c r="C149">
        <v>57.6</v>
      </c>
      <c r="D149">
        <v>1.81</v>
      </c>
      <c r="E149">
        <v>17.600000000000001</v>
      </c>
      <c r="F149">
        <v>100</v>
      </c>
      <c r="G149" t="s">
        <v>175</v>
      </c>
      <c r="H149">
        <v>137</v>
      </c>
      <c r="I149">
        <v>48</v>
      </c>
      <c r="J149">
        <v>113</v>
      </c>
      <c r="K149" t="s">
        <v>23</v>
      </c>
      <c r="L149" t="s">
        <v>22</v>
      </c>
      <c r="M149" t="s">
        <v>28</v>
      </c>
      <c r="N149">
        <v>0.55200000000000005</v>
      </c>
      <c r="O149">
        <v>97</v>
      </c>
      <c r="P149">
        <v>84</v>
      </c>
      <c r="Q149" t="s">
        <v>29</v>
      </c>
      <c r="R149">
        <v>59</v>
      </c>
      <c r="S149">
        <v>11.11</v>
      </c>
      <c r="T149" t="s">
        <v>26</v>
      </c>
    </row>
    <row r="150" spans="1:20" x14ac:dyDescent="0.3">
      <c r="A150" t="s">
        <v>20</v>
      </c>
      <c r="B150">
        <v>54</v>
      </c>
      <c r="C150">
        <v>98.8</v>
      </c>
      <c r="D150">
        <v>1.69</v>
      </c>
      <c r="E150">
        <v>34.6</v>
      </c>
      <c r="F150">
        <v>108.6</v>
      </c>
      <c r="G150" t="s">
        <v>176</v>
      </c>
      <c r="H150">
        <v>258</v>
      </c>
      <c r="I150">
        <v>44</v>
      </c>
      <c r="J150">
        <v>83</v>
      </c>
      <c r="K150" t="s">
        <v>22</v>
      </c>
      <c r="L150" t="s">
        <v>22</v>
      </c>
      <c r="M150" t="s">
        <v>24</v>
      </c>
      <c r="N150">
        <v>0.64300000000000002</v>
      </c>
      <c r="O150">
        <v>145</v>
      </c>
      <c r="P150">
        <v>96</v>
      </c>
      <c r="Q150" t="s">
        <v>38</v>
      </c>
      <c r="R150">
        <v>184</v>
      </c>
      <c r="S150">
        <v>19.329999999999998</v>
      </c>
      <c r="T150" t="s">
        <v>30</v>
      </c>
    </row>
    <row r="151" spans="1:20" x14ac:dyDescent="0.3">
      <c r="A151" t="s">
        <v>31</v>
      </c>
      <c r="B151">
        <v>49</v>
      </c>
      <c r="C151">
        <v>50.6</v>
      </c>
      <c r="D151">
        <v>1.81</v>
      </c>
      <c r="E151">
        <v>15.4</v>
      </c>
      <c r="G151" t="s">
        <v>177</v>
      </c>
      <c r="H151">
        <v>227</v>
      </c>
      <c r="I151">
        <v>32</v>
      </c>
      <c r="J151">
        <v>88</v>
      </c>
      <c r="K151" t="s">
        <v>23</v>
      </c>
      <c r="L151" t="s">
        <v>22</v>
      </c>
      <c r="M151" t="s">
        <v>24</v>
      </c>
      <c r="N151">
        <v>0.40200000000000002</v>
      </c>
      <c r="P151">
        <v>77</v>
      </c>
      <c r="Q151" t="s">
        <v>25</v>
      </c>
      <c r="R151">
        <v>165</v>
      </c>
      <c r="S151">
        <v>13.97</v>
      </c>
      <c r="T151" t="s">
        <v>30</v>
      </c>
    </row>
    <row r="152" spans="1:20" x14ac:dyDescent="0.3">
      <c r="A152" t="s">
        <v>31</v>
      </c>
      <c r="B152">
        <v>45</v>
      </c>
      <c r="C152">
        <v>110.9</v>
      </c>
      <c r="D152">
        <v>1.62</v>
      </c>
      <c r="E152">
        <v>42.3</v>
      </c>
      <c r="F152">
        <v>109.5</v>
      </c>
      <c r="G152" t="s">
        <v>178</v>
      </c>
      <c r="H152">
        <v>199</v>
      </c>
      <c r="I152">
        <v>30</v>
      </c>
      <c r="J152">
        <v>150</v>
      </c>
      <c r="K152" t="s">
        <v>23</v>
      </c>
      <c r="L152" t="s">
        <v>22</v>
      </c>
      <c r="M152" t="s">
        <v>37</v>
      </c>
      <c r="N152">
        <v>0.67600000000000005</v>
      </c>
      <c r="O152">
        <v>98</v>
      </c>
      <c r="P152">
        <v>60</v>
      </c>
      <c r="Q152" t="s">
        <v>33</v>
      </c>
      <c r="R152">
        <v>139</v>
      </c>
      <c r="S152">
        <v>17.34</v>
      </c>
      <c r="T152" t="s">
        <v>30</v>
      </c>
    </row>
    <row r="153" spans="1:20" x14ac:dyDescent="0.3">
      <c r="A153" t="s">
        <v>31</v>
      </c>
      <c r="B153">
        <v>50</v>
      </c>
      <c r="C153">
        <v>90.7</v>
      </c>
      <c r="D153">
        <v>1.75</v>
      </c>
      <c r="E153">
        <v>29.6</v>
      </c>
      <c r="F153">
        <v>97.6</v>
      </c>
      <c r="G153" t="s">
        <v>179</v>
      </c>
      <c r="H153">
        <v>264</v>
      </c>
      <c r="I153">
        <v>36</v>
      </c>
      <c r="J153">
        <v>138</v>
      </c>
      <c r="K153" t="s">
        <v>23</v>
      </c>
      <c r="L153" t="s">
        <v>23</v>
      </c>
      <c r="M153" t="s">
        <v>37</v>
      </c>
      <c r="N153">
        <v>0.55800000000000005</v>
      </c>
      <c r="O153">
        <v>91</v>
      </c>
      <c r="P153">
        <v>79</v>
      </c>
      <c r="Q153" t="s">
        <v>33</v>
      </c>
      <c r="R153">
        <v>198</v>
      </c>
      <c r="S153">
        <v>17.75</v>
      </c>
      <c r="T153" t="s">
        <v>30</v>
      </c>
    </row>
    <row r="154" spans="1:20" x14ac:dyDescent="0.3">
      <c r="A154" t="s">
        <v>20</v>
      </c>
      <c r="B154">
        <v>59</v>
      </c>
      <c r="C154">
        <v>66.7</v>
      </c>
      <c r="D154">
        <v>1.67</v>
      </c>
      <c r="E154">
        <v>23.9</v>
      </c>
      <c r="F154">
        <v>90.1</v>
      </c>
      <c r="G154" t="s">
        <v>180</v>
      </c>
      <c r="H154">
        <v>116</v>
      </c>
      <c r="I154">
        <v>35</v>
      </c>
      <c r="J154">
        <v>104</v>
      </c>
      <c r="K154" t="s">
        <v>23</v>
      </c>
      <c r="L154" t="s">
        <v>22</v>
      </c>
      <c r="M154" t="s">
        <v>28</v>
      </c>
      <c r="N154">
        <v>0.54</v>
      </c>
      <c r="O154">
        <v>147</v>
      </c>
      <c r="P154">
        <v>82</v>
      </c>
      <c r="Q154" t="s">
        <v>29</v>
      </c>
      <c r="R154">
        <v>51</v>
      </c>
      <c r="S154">
        <v>14.45</v>
      </c>
      <c r="T154" t="s">
        <v>30</v>
      </c>
    </row>
    <row r="155" spans="1:20" x14ac:dyDescent="0.3">
      <c r="A155" t="s">
        <v>31</v>
      </c>
      <c r="B155">
        <v>57</v>
      </c>
      <c r="C155">
        <v>95.9</v>
      </c>
      <c r="D155">
        <v>1.62</v>
      </c>
      <c r="E155">
        <v>36.5</v>
      </c>
      <c r="F155">
        <v>81.7</v>
      </c>
      <c r="G155" t="s">
        <v>181</v>
      </c>
      <c r="H155">
        <v>281</v>
      </c>
      <c r="I155">
        <v>40</v>
      </c>
      <c r="J155">
        <v>150</v>
      </c>
      <c r="K155" t="s">
        <v>22</v>
      </c>
      <c r="L155" t="s">
        <v>22</v>
      </c>
      <c r="M155" t="s">
        <v>24</v>
      </c>
      <c r="N155">
        <v>0.504</v>
      </c>
      <c r="P155">
        <v>91</v>
      </c>
      <c r="Q155" t="s">
        <v>38</v>
      </c>
      <c r="R155">
        <v>211</v>
      </c>
      <c r="S155">
        <v>18.77</v>
      </c>
      <c r="T155" t="s">
        <v>30</v>
      </c>
    </row>
    <row r="156" spans="1:20" x14ac:dyDescent="0.3">
      <c r="A156" t="s">
        <v>31</v>
      </c>
      <c r="B156">
        <v>48</v>
      </c>
      <c r="C156">
        <v>73.099999999999994</v>
      </c>
      <c r="D156">
        <v>1.76</v>
      </c>
      <c r="E156">
        <v>23.6</v>
      </c>
      <c r="F156">
        <v>87.8</v>
      </c>
      <c r="G156" t="s">
        <v>182</v>
      </c>
      <c r="H156">
        <v>294</v>
      </c>
      <c r="I156">
        <v>40</v>
      </c>
      <c r="J156">
        <v>113</v>
      </c>
      <c r="K156" t="s">
        <v>22</v>
      </c>
      <c r="L156" t="s">
        <v>23</v>
      </c>
      <c r="M156" t="s">
        <v>24</v>
      </c>
      <c r="N156">
        <v>0.499</v>
      </c>
      <c r="O156">
        <v>119</v>
      </c>
      <c r="P156">
        <v>81</v>
      </c>
      <c r="Q156" t="s">
        <v>29</v>
      </c>
      <c r="R156">
        <v>224</v>
      </c>
      <c r="S156">
        <v>18.55</v>
      </c>
      <c r="T156" t="s">
        <v>30</v>
      </c>
    </row>
    <row r="157" spans="1:20" x14ac:dyDescent="0.3">
      <c r="A157" t="s">
        <v>20</v>
      </c>
      <c r="B157">
        <v>45</v>
      </c>
      <c r="C157">
        <v>94.5</v>
      </c>
      <c r="D157">
        <v>1.85</v>
      </c>
      <c r="E157">
        <v>27.6</v>
      </c>
      <c r="F157">
        <v>78.5</v>
      </c>
      <c r="G157" t="s">
        <v>183</v>
      </c>
      <c r="H157">
        <v>177</v>
      </c>
      <c r="I157">
        <v>38</v>
      </c>
      <c r="J157">
        <v>145</v>
      </c>
      <c r="K157" t="s">
        <v>23</v>
      </c>
      <c r="L157" t="s">
        <v>23</v>
      </c>
      <c r="M157" t="s">
        <v>37</v>
      </c>
      <c r="N157">
        <v>0.42399999999999999</v>
      </c>
      <c r="O157">
        <v>136</v>
      </c>
      <c r="P157">
        <v>61</v>
      </c>
      <c r="Q157" t="s">
        <v>29</v>
      </c>
      <c r="R157">
        <v>109</v>
      </c>
      <c r="S157">
        <v>17.86</v>
      </c>
      <c r="T157" t="s">
        <v>30</v>
      </c>
    </row>
    <row r="158" spans="1:20" x14ac:dyDescent="0.3">
      <c r="A158" t="s">
        <v>31</v>
      </c>
      <c r="B158">
        <v>48</v>
      </c>
      <c r="C158">
        <v>81.400000000000006</v>
      </c>
      <c r="D158">
        <v>1.63</v>
      </c>
      <c r="E158">
        <v>30.6</v>
      </c>
      <c r="F158">
        <v>106.7</v>
      </c>
      <c r="G158" t="s">
        <v>184</v>
      </c>
      <c r="H158">
        <v>191</v>
      </c>
      <c r="I158">
        <v>41</v>
      </c>
      <c r="J158">
        <v>71</v>
      </c>
      <c r="K158" t="s">
        <v>23</v>
      </c>
      <c r="L158" t="s">
        <v>23</v>
      </c>
      <c r="M158" t="s">
        <v>37</v>
      </c>
      <c r="N158">
        <v>0.65500000000000003</v>
      </c>
      <c r="O158">
        <v>149</v>
      </c>
      <c r="Q158" t="s">
        <v>29</v>
      </c>
      <c r="S158">
        <v>19.39</v>
      </c>
      <c r="T158" t="s">
        <v>30</v>
      </c>
    </row>
    <row r="159" spans="1:20" x14ac:dyDescent="0.3">
      <c r="A159" t="s">
        <v>31</v>
      </c>
      <c r="B159">
        <v>35</v>
      </c>
      <c r="C159">
        <v>85.2</v>
      </c>
      <c r="D159">
        <v>1.79</v>
      </c>
      <c r="E159">
        <v>26.6</v>
      </c>
      <c r="F159">
        <v>73.5</v>
      </c>
      <c r="G159" t="s">
        <v>185</v>
      </c>
      <c r="H159">
        <v>262</v>
      </c>
      <c r="I159">
        <v>39</v>
      </c>
      <c r="J159">
        <v>70</v>
      </c>
      <c r="K159" t="s">
        <v>22</v>
      </c>
      <c r="L159" t="s">
        <v>23</v>
      </c>
      <c r="M159" t="s">
        <v>28</v>
      </c>
      <c r="N159">
        <v>0.41099999999999998</v>
      </c>
      <c r="O159">
        <v>97</v>
      </c>
      <c r="P159">
        <v>79</v>
      </c>
      <c r="Q159" t="s">
        <v>33</v>
      </c>
      <c r="R159">
        <v>193</v>
      </c>
      <c r="S159">
        <v>17.41</v>
      </c>
      <c r="T159" t="s">
        <v>30</v>
      </c>
    </row>
    <row r="160" spans="1:20" x14ac:dyDescent="0.3">
      <c r="A160" t="s">
        <v>31</v>
      </c>
      <c r="B160">
        <v>53</v>
      </c>
      <c r="C160">
        <v>118.8</v>
      </c>
      <c r="D160">
        <v>1.68</v>
      </c>
      <c r="E160">
        <v>42.1</v>
      </c>
      <c r="F160">
        <v>88.2</v>
      </c>
      <c r="G160" t="s">
        <v>186</v>
      </c>
      <c r="H160">
        <v>233</v>
      </c>
      <c r="I160">
        <v>63</v>
      </c>
      <c r="J160">
        <v>73</v>
      </c>
      <c r="K160" t="s">
        <v>23</v>
      </c>
      <c r="L160" t="s">
        <v>22</v>
      </c>
      <c r="M160" t="s">
        <v>24</v>
      </c>
      <c r="N160">
        <v>0.52500000000000002</v>
      </c>
      <c r="O160">
        <v>140</v>
      </c>
      <c r="P160">
        <v>86</v>
      </c>
      <c r="Q160" t="s">
        <v>29</v>
      </c>
      <c r="R160">
        <v>140</v>
      </c>
      <c r="S160">
        <v>20.079999999999998</v>
      </c>
      <c r="T160" t="s">
        <v>30</v>
      </c>
    </row>
    <row r="161" spans="1:20" x14ac:dyDescent="0.3">
      <c r="A161" t="s">
        <v>31</v>
      </c>
      <c r="B161">
        <v>33</v>
      </c>
      <c r="C161">
        <v>99.4</v>
      </c>
      <c r="D161">
        <v>1.88</v>
      </c>
      <c r="E161">
        <v>28.1</v>
      </c>
      <c r="F161">
        <v>75.599999999999994</v>
      </c>
      <c r="G161" t="s">
        <v>187</v>
      </c>
      <c r="H161">
        <v>182</v>
      </c>
      <c r="I161">
        <v>35</v>
      </c>
      <c r="J161">
        <v>126</v>
      </c>
      <c r="K161" t="s">
        <v>22</v>
      </c>
      <c r="L161" t="s">
        <v>23</v>
      </c>
      <c r="M161" t="s">
        <v>37</v>
      </c>
      <c r="N161">
        <v>0.40200000000000002</v>
      </c>
      <c r="O161">
        <v>121</v>
      </c>
      <c r="P161">
        <v>67</v>
      </c>
      <c r="Q161" t="s">
        <v>25</v>
      </c>
      <c r="R161">
        <v>117</v>
      </c>
      <c r="S161">
        <v>17.309999999999999</v>
      </c>
      <c r="T161" t="s">
        <v>26</v>
      </c>
    </row>
    <row r="162" spans="1:20" x14ac:dyDescent="0.3">
      <c r="A162" t="s">
        <v>20</v>
      </c>
      <c r="B162">
        <v>32</v>
      </c>
      <c r="C162">
        <v>71.7</v>
      </c>
      <c r="D162">
        <v>1.72</v>
      </c>
      <c r="E162">
        <v>24.2</v>
      </c>
      <c r="F162">
        <v>109.9</v>
      </c>
      <c r="G162" t="s">
        <v>188</v>
      </c>
      <c r="H162">
        <v>170</v>
      </c>
      <c r="I162">
        <v>38</v>
      </c>
      <c r="J162">
        <v>92</v>
      </c>
      <c r="K162" t="s">
        <v>23</v>
      </c>
      <c r="L162" t="s">
        <v>22</v>
      </c>
      <c r="M162" t="s">
        <v>37</v>
      </c>
      <c r="N162">
        <v>0.63900000000000001</v>
      </c>
      <c r="O162">
        <v>150</v>
      </c>
      <c r="P162">
        <v>84</v>
      </c>
      <c r="Q162" t="s">
        <v>29</v>
      </c>
      <c r="R162">
        <v>102</v>
      </c>
      <c r="S162">
        <v>15.74</v>
      </c>
      <c r="T162" t="s">
        <v>26</v>
      </c>
    </row>
    <row r="163" spans="1:20" x14ac:dyDescent="0.3">
      <c r="A163" t="s">
        <v>31</v>
      </c>
      <c r="B163">
        <v>30</v>
      </c>
      <c r="C163">
        <v>78.5</v>
      </c>
      <c r="D163">
        <v>1.77</v>
      </c>
      <c r="E163">
        <v>25.1</v>
      </c>
      <c r="F163">
        <v>100.6</v>
      </c>
      <c r="G163" t="s">
        <v>189</v>
      </c>
      <c r="H163">
        <v>162</v>
      </c>
      <c r="I163">
        <v>42</v>
      </c>
      <c r="J163">
        <v>126</v>
      </c>
      <c r="K163" t="s">
        <v>23</v>
      </c>
      <c r="L163" t="s">
        <v>22</v>
      </c>
      <c r="M163" t="s">
        <v>24</v>
      </c>
      <c r="N163">
        <v>0.56799999999999995</v>
      </c>
      <c r="O163">
        <v>131</v>
      </c>
      <c r="Q163" t="s">
        <v>29</v>
      </c>
      <c r="R163">
        <v>90</v>
      </c>
      <c r="S163">
        <v>14.81</v>
      </c>
      <c r="T163" t="s">
        <v>30</v>
      </c>
    </row>
    <row r="164" spans="1:20" x14ac:dyDescent="0.3">
      <c r="A164" t="s">
        <v>20</v>
      </c>
      <c r="B164">
        <v>48</v>
      </c>
      <c r="C164">
        <v>57.4</v>
      </c>
      <c r="D164">
        <v>1.76</v>
      </c>
      <c r="E164">
        <v>18.5</v>
      </c>
      <c r="F164">
        <v>96.6</v>
      </c>
      <c r="G164" t="s">
        <v>190</v>
      </c>
      <c r="H164">
        <v>212</v>
      </c>
      <c r="I164">
        <v>58</v>
      </c>
      <c r="J164">
        <v>76</v>
      </c>
      <c r="K164" t="s">
        <v>23</v>
      </c>
      <c r="L164" t="s">
        <v>22</v>
      </c>
      <c r="M164" t="s">
        <v>28</v>
      </c>
      <c r="N164">
        <v>0.54900000000000004</v>
      </c>
      <c r="O164">
        <v>119</v>
      </c>
      <c r="P164">
        <v>92</v>
      </c>
      <c r="Q164" t="s">
        <v>38</v>
      </c>
      <c r="R164">
        <v>124</v>
      </c>
      <c r="S164">
        <v>13.89</v>
      </c>
      <c r="T164" t="s">
        <v>26</v>
      </c>
    </row>
    <row r="165" spans="1:20" x14ac:dyDescent="0.3">
      <c r="A165" t="s">
        <v>20</v>
      </c>
      <c r="B165">
        <v>55</v>
      </c>
      <c r="C165">
        <v>73.5</v>
      </c>
      <c r="D165">
        <v>1.88</v>
      </c>
      <c r="E165">
        <v>20.8</v>
      </c>
      <c r="F165">
        <v>82.7</v>
      </c>
      <c r="G165" t="s">
        <v>191</v>
      </c>
      <c r="I165">
        <v>36</v>
      </c>
      <c r="J165">
        <v>116</v>
      </c>
      <c r="K165" t="s">
        <v>22</v>
      </c>
      <c r="L165" t="s">
        <v>23</v>
      </c>
      <c r="M165" t="s">
        <v>24</v>
      </c>
      <c r="N165">
        <v>0.44</v>
      </c>
      <c r="O165">
        <v>144</v>
      </c>
      <c r="P165">
        <v>72</v>
      </c>
      <c r="Q165" t="s">
        <v>38</v>
      </c>
      <c r="R165">
        <v>100</v>
      </c>
      <c r="S165">
        <v>16.68</v>
      </c>
      <c r="T165" t="s">
        <v>30</v>
      </c>
    </row>
    <row r="166" spans="1:20" x14ac:dyDescent="0.3">
      <c r="A166" t="s">
        <v>31</v>
      </c>
      <c r="B166">
        <v>31</v>
      </c>
      <c r="C166">
        <v>56.8</v>
      </c>
      <c r="D166">
        <v>1.85</v>
      </c>
      <c r="E166">
        <v>16.600000000000001</v>
      </c>
      <c r="F166">
        <v>86.8</v>
      </c>
      <c r="G166" t="s">
        <v>192</v>
      </c>
      <c r="H166">
        <v>193</v>
      </c>
      <c r="I166">
        <v>50</v>
      </c>
      <c r="J166">
        <v>112</v>
      </c>
      <c r="K166" t="s">
        <v>23</v>
      </c>
      <c r="L166" t="s">
        <v>22</v>
      </c>
      <c r="M166" t="s">
        <v>24</v>
      </c>
      <c r="N166">
        <v>0.46899999999999997</v>
      </c>
      <c r="O166">
        <v>144</v>
      </c>
      <c r="P166">
        <v>70</v>
      </c>
      <c r="Q166" t="s">
        <v>38</v>
      </c>
      <c r="R166">
        <v>113</v>
      </c>
      <c r="S166">
        <v>14.38</v>
      </c>
      <c r="T166" t="s">
        <v>26</v>
      </c>
    </row>
    <row r="167" spans="1:20" x14ac:dyDescent="0.3">
      <c r="A167" t="s">
        <v>20</v>
      </c>
      <c r="B167">
        <v>33</v>
      </c>
      <c r="C167">
        <v>72.8</v>
      </c>
      <c r="D167">
        <v>1.64</v>
      </c>
      <c r="E167">
        <v>27.1</v>
      </c>
      <c r="F167">
        <v>96.6</v>
      </c>
      <c r="G167" t="s">
        <v>193</v>
      </c>
      <c r="H167">
        <v>214</v>
      </c>
      <c r="I167">
        <v>69</v>
      </c>
      <c r="J167">
        <v>73</v>
      </c>
      <c r="K167" t="s">
        <v>22</v>
      </c>
      <c r="L167" t="s">
        <v>23</v>
      </c>
      <c r="M167" t="s">
        <v>24</v>
      </c>
      <c r="N167">
        <v>0.58899999999999997</v>
      </c>
      <c r="O167">
        <v>137</v>
      </c>
      <c r="P167">
        <v>64</v>
      </c>
      <c r="Q167" t="s">
        <v>29</v>
      </c>
      <c r="R167">
        <v>115</v>
      </c>
      <c r="S167">
        <v>18.55</v>
      </c>
      <c r="T167" t="s">
        <v>30</v>
      </c>
    </row>
    <row r="168" spans="1:20" x14ac:dyDescent="0.3">
      <c r="A168" t="s">
        <v>20</v>
      </c>
      <c r="B168">
        <v>30</v>
      </c>
      <c r="C168">
        <v>60.2</v>
      </c>
      <c r="D168">
        <v>1.76</v>
      </c>
      <c r="E168">
        <v>19.399999999999999</v>
      </c>
      <c r="F168">
        <v>83.6</v>
      </c>
      <c r="G168" t="s">
        <v>194</v>
      </c>
      <c r="H168">
        <v>118</v>
      </c>
      <c r="I168">
        <v>36</v>
      </c>
      <c r="J168">
        <v>101</v>
      </c>
      <c r="K168" t="s">
        <v>23</v>
      </c>
      <c r="L168" t="s">
        <v>22</v>
      </c>
      <c r="M168" t="s">
        <v>28</v>
      </c>
      <c r="N168">
        <v>0.47499999999999998</v>
      </c>
      <c r="O168">
        <v>124</v>
      </c>
      <c r="P168">
        <v>76</v>
      </c>
      <c r="Q168" t="s">
        <v>25</v>
      </c>
      <c r="R168">
        <v>52</v>
      </c>
      <c r="S168">
        <v>12.44</v>
      </c>
      <c r="T168" t="s">
        <v>26</v>
      </c>
    </row>
    <row r="169" spans="1:20" x14ac:dyDescent="0.3">
      <c r="A169" t="s">
        <v>20</v>
      </c>
      <c r="B169">
        <v>48</v>
      </c>
      <c r="C169">
        <v>57.5</v>
      </c>
      <c r="D169">
        <v>1.76</v>
      </c>
      <c r="E169">
        <v>18.600000000000001</v>
      </c>
      <c r="F169">
        <v>82.1</v>
      </c>
      <c r="G169" t="s">
        <v>195</v>
      </c>
      <c r="H169">
        <v>181</v>
      </c>
      <c r="I169">
        <v>72</v>
      </c>
      <c r="J169">
        <v>118</v>
      </c>
      <c r="K169" t="s">
        <v>22</v>
      </c>
      <c r="L169" t="s">
        <v>23</v>
      </c>
      <c r="M169" t="s">
        <v>28</v>
      </c>
      <c r="N169">
        <v>0.46600000000000003</v>
      </c>
      <c r="O169">
        <v>142</v>
      </c>
      <c r="P169">
        <v>79</v>
      </c>
      <c r="Q169" t="s">
        <v>38</v>
      </c>
      <c r="R169">
        <v>79</v>
      </c>
      <c r="S169">
        <v>16.440000000000001</v>
      </c>
      <c r="T169" t="s">
        <v>26</v>
      </c>
    </row>
    <row r="170" spans="1:20" x14ac:dyDescent="0.3">
      <c r="A170" t="s">
        <v>20</v>
      </c>
      <c r="B170">
        <v>51</v>
      </c>
      <c r="C170">
        <v>67.3</v>
      </c>
      <c r="D170">
        <v>1.67</v>
      </c>
      <c r="E170">
        <v>24.1</v>
      </c>
      <c r="F170">
        <v>93.5</v>
      </c>
      <c r="G170" t="s">
        <v>103</v>
      </c>
      <c r="H170">
        <v>217</v>
      </c>
      <c r="I170">
        <v>30</v>
      </c>
      <c r="J170">
        <v>99</v>
      </c>
      <c r="K170" t="s">
        <v>22</v>
      </c>
      <c r="L170" t="s">
        <v>22</v>
      </c>
      <c r="M170" t="s">
        <v>28</v>
      </c>
      <c r="N170">
        <v>0.56000000000000005</v>
      </c>
      <c r="O170">
        <v>102</v>
      </c>
      <c r="Q170" t="s">
        <v>33</v>
      </c>
      <c r="R170">
        <v>157</v>
      </c>
      <c r="S170">
        <v>14.26</v>
      </c>
      <c r="T170" t="s">
        <v>30</v>
      </c>
    </row>
    <row r="171" spans="1:20" x14ac:dyDescent="0.3">
      <c r="A171" t="s">
        <v>20</v>
      </c>
      <c r="B171">
        <v>53</v>
      </c>
      <c r="C171">
        <v>58.4</v>
      </c>
      <c r="D171">
        <v>1.78</v>
      </c>
      <c r="E171">
        <v>18.399999999999999</v>
      </c>
      <c r="F171">
        <v>90.7</v>
      </c>
      <c r="G171" t="s">
        <v>196</v>
      </c>
      <c r="H171">
        <v>166</v>
      </c>
      <c r="I171">
        <v>40</v>
      </c>
      <c r="J171">
        <v>76</v>
      </c>
      <c r="K171" t="s">
        <v>23</v>
      </c>
      <c r="L171" t="s">
        <v>22</v>
      </c>
      <c r="M171" t="s">
        <v>28</v>
      </c>
      <c r="O171">
        <v>92</v>
      </c>
      <c r="P171">
        <v>84</v>
      </c>
      <c r="Q171" t="s">
        <v>29</v>
      </c>
      <c r="R171">
        <v>96</v>
      </c>
      <c r="S171">
        <v>11.6</v>
      </c>
      <c r="T171" t="s">
        <v>26</v>
      </c>
    </row>
    <row r="172" spans="1:20" x14ac:dyDescent="0.3">
      <c r="A172" t="s">
        <v>31</v>
      </c>
      <c r="C172">
        <v>102.1</v>
      </c>
      <c r="D172">
        <v>1.66</v>
      </c>
      <c r="E172">
        <v>37.1</v>
      </c>
      <c r="F172">
        <v>71.3</v>
      </c>
      <c r="G172" t="s">
        <v>197</v>
      </c>
      <c r="H172">
        <v>288</v>
      </c>
      <c r="J172">
        <v>149</v>
      </c>
      <c r="K172" t="s">
        <v>23</v>
      </c>
      <c r="L172" t="s">
        <v>23</v>
      </c>
      <c r="M172" t="s">
        <v>28</v>
      </c>
      <c r="N172">
        <v>0.43</v>
      </c>
      <c r="O172">
        <v>133</v>
      </c>
      <c r="P172">
        <v>75</v>
      </c>
      <c r="Q172" t="s">
        <v>29</v>
      </c>
      <c r="R172">
        <v>207</v>
      </c>
      <c r="S172">
        <v>21.83</v>
      </c>
      <c r="T172" t="s">
        <v>30</v>
      </c>
    </row>
    <row r="173" spans="1:20" x14ac:dyDescent="0.3">
      <c r="A173" t="s">
        <v>20</v>
      </c>
      <c r="B173">
        <v>33</v>
      </c>
      <c r="C173">
        <v>74.599999999999994</v>
      </c>
      <c r="D173">
        <v>1.7</v>
      </c>
      <c r="E173">
        <v>25.8</v>
      </c>
      <c r="F173">
        <v>84.4</v>
      </c>
      <c r="G173" t="s">
        <v>198</v>
      </c>
      <c r="H173">
        <v>294</v>
      </c>
      <c r="I173">
        <v>74</v>
      </c>
      <c r="J173">
        <v>76</v>
      </c>
      <c r="K173" t="s">
        <v>23</v>
      </c>
      <c r="L173" t="s">
        <v>23</v>
      </c>
      <c r="M173" t="s">
        <v>37</v>
      </c>
      <c r="N173">
        <v>0.496</v>
      </c>
      <c r="O173">
        <v>125</v>
      </c>
      <c r="P173">
        <v>73</v>
      </c>
      <c r="Q173" t="s">
        <v>25</v>
      </c>
      <c r="R173">
        <v>190</v>
      </c>
      <c r="S173">
        <v>19.29</v>
      </c>
      <c r="T173" t="s">
        <v>30</v>
      </c>
    </row>
    <row r="174" spans="1:20" x14ac:dyDescent="0.3">
      <c r="A174" t="s">
        <v>20</v>
      </c>
      <c r="C174">
        <v>77</v>
      </c>
      <c r="D174">
        <v>1.65</v>
      </c>
      <c r="E174">
        <v>28.3</v>
      </c>
      <c r="F174">
        <v>88.8</v>
      </c>
      <c r="G174" t="s">
        <v>199</v>
      </c>
      <c r="H174">
        <v>101</v>
      </c>
      <c r="I174">
        <v>40</v>
      </c>
      <c r="J174">
        <v>138</v>
      </c>
      <c r="K174" t="s">
        <v>22</v>
      </c>
      <c r="L174" t="s">
        <v>23</v>
      </c>
      <c r="M174" t="s">
        <v>28</v>
      </c>
      <c r="N174">
        <v>0.53800000000000003</v>
      </c>
      <c r="P174">
        <v>74</v>
      </c>
      <c r="Q174" t="s">
        <v>33</v>
      </c>
      <c r="R174">
        <v>31</v>
      </c>
      <c r="S174">
        <v>14.53</v>
      </c>
      <c r="T174" t="s">
        <v>26</v>
      </c>
    </row>
    <row r="175" spans="1:20" x14ac:dyDescent="0.3">
      <c r="A175" t="s">
        <v>31</v>
      </c>
      <c r="B175">
        <v>38</v>
      </c>
      <c r="C175">
        <v>100.4</v>
      </c>
      <c r="D175">
        <v>1.68</v>
      </c>
      <c r="E175">
        <v>35.6</v>
      </c>
      <c r="F175">
        <v>102</v>
      </c>
      <c r="G175" t="s">
        <v>200</v>
      </c>
      <c r="H175">
        <v>109</v>
      </c>
      <c r="I175">
        <v>55</v>
      </c>
      <c r="J175">
        <v>150</v>
      </c>
      <c r="K175" t="s">
        <v>23</v>
      </c>
      <c r="L175" t="s">
        <v>23</v>
      </c>
      <c r="M175" t="s">
        <v>28</v>
      </c>
      <c r="N175">
        <v>0.60699999999999998</v>
      </c>
      <c r="O175">
        <v>146</v>
      </c>
      <c r="P175">
        <v>73</v>
      </c>
      <c r="Q175" t="s">
        <v>38</v>
      </c>
      <c r="R175">
        <v>24</v>
      </c>
      <c r="S175">
        <v>18.600000000000001</v>
      </c>
      <c r="T175" t="s">
        <v>30</v>
      </c>
    </row>
    <row r="176" spans="1:20" x14ac:dyDescent="0.3">
      <c r="A176" t="s">
        <v>31</v>
      </c>
      <c r="B176">
        <v>30</v>
      </c>
      <c r="C176">
        <v>85.2</v>
      </c>
      <c r="D176">
        <v>1.69</v>
      </c>
      <c r="E176">
        <v>29.8</v>
      </c>
      <c r="F176">
        <v>96.3</v>
      </c>
      <c r="G176" t="s">
        <v>201</v>
      </c>
      <c r="H176">
        <v>247</v>
      </c>
      <c r="J176">
        <v>129</v>
      </c>
      <c r="K176" t="s">
        <v>23</v>
      </c>
      <c r="L176" t="s">
        <v>23</v>
      </c>
      <c r="M176" t="s">
        <v>28</v>
      </c>
      <c r="N176">
        <v>0.56999999999999995</v>
      </c>
      <c r="O176">
        <v>91</v>
      </c>
      <c r="Q176" t="s">
        <v>33</v>
      </c>
      <c r="R176">
        <v>138</v>
      </c>
      <c r="T176" t="s">
        <v>30</v>
      </c>
    </row>
    <row r="177" spans="1:20" x14ac:dyDescent="0.3">
      <c r="A177" t="s">
        <v>20</v>
      </c>
      <c r="B177">
        <v>54</v>
      </c>
      <c r="C177">
        <v>106</v>
      </c>
      <c r="D177">
        <v>1.78</v>
      </c>
      <c r="E177">
        <v>33.5</v>
      </c>
      <c r="F177">
        <v>82.9</v>
      </c>
      <c r="G177" t="s">
        <v>202</v>
      </c>
      <c r="H177">
        <v>117</v>
      </c>
      <c r="I177">
        <v>36</v>
      </c>
      <c r="J177">
        <v>95</v>
      </c>
      <c r="K177" t="s">
        <v>23</v>
      </c>
      <c r="L177" t="s">
        <v>22</v>
      </c>
      <c r="M177" t="s">
        <v>37</v>
      </c>
      <c r="N177">
        <v>0.46600000000000003</v>
      </c>
      <c r="O177">
        <v>119</v>
      </c>
      <c r="P177">
        <v>89</v>
      </c>
      <c r="Q177" t="s">
        <v>29</v>
      </c>
      <c r="R177">
        <v>51</v>
      </c>
      <c r="S177">
        <v>14.99</v>
      </c>
      <c r="T177" t="s">
        <v>30</v>
      </c>
    </row>
    <row r="178" spans="1:20" x14ac:dyDescent="0.3">
      <c r="A178" t="s">
        <v>31</v>
      </c>
      <c r="B178">
        <v>56</v>
      </c>
      <c r="C178">
        <v>117.9</v>
      </c>
      <c r="D178">
        <v>1.66</v>
      </c>
      <c r="E178">
        <v>42.8</v>
      </c>
      <c r="F178">
        <v>108.6</v>
      </c>
      <c r="G178" t="s">
        <v>203</v>
      </c>
      <c r="H178">
        <v>120</v>
      </c>
      <c r="I178">
        <v>64</v>
      </c>
      <c r="J178">
        <v>132</v>
      </c>
      <c r="K178" t="s">
        <v>22</v>
      </c>
      <c r="L178" t="s">
        <v>23</v>
      </c>
      <c r="M178" t="s">
        <v>37</v>
      </c>
      <c r="N178">
        <v>0.65400000000000003</v>
      </c>
      <c r="O178">
        <v>133</v>
      </c>
      <c r="P178">
        <v>65</v>
      </c>
      <c r="Q178" t="s">
        <v>29</v>
      </c>
      <c r="R178">
        <v>26</v>
      </c>
      <c r="S178">
        <v>19.61</v>
      </c>
      <c r="T178" t="s">
        <v>30</v>
      </c>
    </row>
    <row r="179" spans="1:20" x14ac:dyDescent="0.3">
      <c r="A179" t="s">
        <v>31</v>
      </c>
      <c r="B179">
        <v>37</v>
      </c>
      <c r="C179">
        <v>79.3</v>
      </c>
      <c r="D179">
        <v>1.86</v>
      </c>
      <c r="E179">
        <v>22.9</v>
      </c>
      <c r="F179">
        <v>73.8</v>
      </c>
      <c r="G179" t="s">
        <v>204</v>
      </c>
      <c r="H179">
        <v>286</v>
      </c>
      <c r="I179">
        <v>36</v>
      </c>
      <c r="J179">
        <v>142</v>
      </c>
      <c r="K179" t="s">
        <v>23</v>
      </c>
      <c r="L179" t="s">
        <v>23</v>
      </c>
      <c r="M179" t="s">
        <v>24</v>
      </c>
      <c r="N179">
        <v>0.39700000000000002</v>
      </c>
      <c r="O179">
        <v>118</v>
      </c>
      <c r="P179">
        <v>89</v>
      </c>
      <c r="Q179" t="s">
        <v>29</v>
      </c>
      <c r="S179">
        <v>18.2</v>
      </c>
      <c r="T179" t="s">
        <v>30</v>
      </c>
    </row>
    <row r="180" spans="1:20" x14ac:dyDescent="0.3">
      <c r="A180" t="s">
        <v>20</v>
      </c>
      <c r="B180">
        <v>59</v>
      </c>
      <c r="C180">
        <v>89.4</v>
      </c>
      <c r="D180">
        <v>1.67</v>
      </c>
      <c r="E180">
        <v>32.1</v>
      </c>
      <c r="F180">
        <v>107.2</v>
      </c>
      <c r="G180" t="s">
        <v>204</v>
      </c>
      <c r="H180">
        <v>206</v>
      </c>
      <c r="I180">
        <v>54</v>
      </c>
      <c r="J180">
        <v>140</v>
      </c>
      <c r="K180" t="s">
        <v>23</v>
      </c>
      <c r="L180" t="s">
        <v>23</v>
      </c>
      <c r="M180" t="s">
        <v>24</v>
      </c>
      <c r="N180">
        <v>0.64200000000000002</v>
      </c>
      <c r="O180">
        <v>118</v>
      </c>
      <c r="P180">
        <v>89</v>
      </c>
      <c r="Q180" t="s">
        <v>29</v>
      </c>
      <c r="R180">
        <v>122</v>
      </c>
      <c r="S180">
        <v>18.440000000000001</v>
      </c>
      <c r="T180" t="s">
        <v>30</v>
      </c>
    </row>
    <row r="181" spans="1:20" x14ac:dyDescent="0.3">
      <c r="A181" t="s">
        <v>31</v>
      </c>
      <c r="B181">
        <v>30</v>
      </c>
      <c r="C181">
        <v>105.3</v>
      </c>
      <c r="D181">
        <v>1.62</v>
      </c>
      <c r="E181">
        <v>40.1</v>
      </c>
      <c r="F181">
        <v>88.2</v>
      </c>
      <c r="G181" t="s">
        <v>205</v>
      </c>
      <c r="H181">
        <v>162</v>
      </c>
      <c r="I181">
        <v>43</v>
      </c>
      <c r="J181">
        <v>79</v>
      </c>
      <c r="K181" t="s">
        <v>23</v>
      </c>
      <c r="L181" t="s">
        <v>22</v>
      </c>
      <c r="M181" t="s">
        <v>28</v>
      </c>
      <c r="N181">
        <v>0.54400000000000004</v>
      </c>
      <c r="O181">
        <v>121</v>
      </c>
      <c r="Q181" t="s">
        <v>38</v>
      </c>
      <c r="R181">
        <v>89</v>
      </c>
      <c r="S181">
        <v>17.309999999999999</v>
      </c>
      <c r="T181" t="s">
        <v>26</v>
      </c>
    </row>
    <row r="182" spans="1:20" x14ac:dyDescent="0.3">
      <c r="A182" t="s">
        <v>20</v>
      </c>
      <c r="B182">
        <v>39</v>
      </c>
      <c r="D182">
        <v>1.66</v>
      </c>
      <c r="E182">
        <v>19</v>
      </c>
      <c r="F182">
        <v>98.1</v>
      </c>
      <c r="G182" t="s">
        <v>206</v>
      </c>
      <c r="H182">
        <v>149</v>
      </c>
      <c r="I182">
        <v>70</v>
      </c>
      <c r="J182">
        <v>137</v>
      </c>
      <c r="K182" t="s">
        <v>23</v>
      </c>
      <c r="L182" t="s">
        <v>23</v>
      </c>
      <c r="M182" t="s">
        <v>37</v>
      </c>
      <c r="N182">
        <v>0.59099999999999997</v>
      </c>
      <c r="O182">
        <v>141</v>
      </c>
      <c r="P182">
        <v>69</v>
      </c>
      <c r="Q182" t="s">
        <v>38</v>
      </c>
      <c r="R182">
        <v>49</v>
      </c>
      <c r="S182">
        <v>15.83</v>
      </c>
      <c r="T182" t="s">
        <v>26</v>
      </c>
    </row>
    <row r="183" spans="1:20" x14ac:dyDescent="0.3">
      <c r="A183" t="s">
        <v>20</v>
      </c>
      <c r="B183">
        <v>49</v>
      </c>
      <c r="C183">
        <v>113.1</v>
      </c>
      <c r="D183">
        <v>1.67</v>
      </c>
      <c r="E183">
        <v>40.6</v>
      </c>
      <c r="F183">
        <v>89.7</v>
      </c>
      <c r="G183" t="s">
        <v>45</v>
      </c>
      <c r="H183">
        <v>124</v>
      </c>
      <c r="I183">
        <v>48</v>
      </c>
      <c r="J183">
        <v>90</v>
      </c>
      <c r="K183" t="s">
        <v>22</v>
      </c>
      <c r="L183" t="s">
        <v>23</v>
      </c>
      <c r="M183" t="s">
        <v>28</v>
      </c>
      <c r="N183">
        <v>0.53700000000000003</v>
      </c>
      <c r="O183">
        <v>102</v>
      </c>
      <c r="P183">
        <v>63</v>
      </c>
      <c r="Q183" t="s">
        <v>33</v>
      </c>
      <c r="R183">
        <v>46</v>
      </c>
      <c r="S183">
        <v>17.7</v>
      </c>
      <c r="T183" t="s">
        <v>30</v>
      </c>
    </row>
    <row r="184" spans="1:20" x14ac:dyDescent="0.3">
      <c r="A184" t="s">
        <v>31</v>
      </c>
      <c r="B184">
        <v>36</v>
      </c>
      <c r="C184">
        <v>74.8</v>
      </c>
      <c r="D184">
        <v>1.88</v>
      </c>
      <c r="E184">
        <v>21.2</v>
      </c>
      <c r="F184">
        <v>73</v>
      </c>
      <c r="G184" t="s">
        <v>207</v>
      </c>
      <c r="I184">
        <v>49</v>
      </c>
      <c r="J184">
        <v>107</v>
      </c>
      <c r="K184" t="s">
        <v>23</v>
      </c>
      <c r="L184" t="s">
        <v>22</v>
      </c>
      <c r="M184" t="s">
        <v>28</v>
      </c>
      <c r="N184">
        <v>0.38800000000000001</v>
      </c>
      <c r="O184">
        <v>130</v>
      </c>
      <c r="P184">
        <v>71</v>
      </c>
      <c r="Q184" t="s">
        <v>29</v>
      </c>
      <c r="R184">
        <v>76</v>
      </c>
      <c r="S184">
        <v>13.84</v>
      </c>
      <c r="T184" t="s">
        <v>26</v>
      </c>
    </row>
    <row r="185" spans="1:20" x14ac:dyDescent="0.3">
      <c r="A185" t="s">
        <v>31</v>
      </c>
      <c r="B185">
        <v>39</v>
      </c>
      <c r="C185">
        <v>73.3</v>
      </c>
      <c r="D185">
        <v>1.74</v>
      </c>
      <c r="E185">
        <v>24.2</v>
      </c>
      <c r="F185">
        <v>95</v>
      </c>
      <c r="G185" t="s">
        <v>208</v>
      </c>
      <c r="H185">
        <v>158</v>
      </c>
      <c r="I185">
        <v>37</v>
      </c>
      <c r="J185">
        <v>81</v>
      </c>
      <c r="K185" t="s">
        <v>22</v>
      </c>
      <c r="L185" t="s">
        <v>23</v>
      </c>
      <c r="M185" t="s">
        <v>28</v>
      </c>
      <c r="N185">
        <v>0.54600000000000004</v>
      </c>
      <c r="O185">
        <v>111</v>
      </c>
      <c r="P185">
        <v>84</v>
      </c>
      <c r="Q185" t="s">
        <v>29</v>
      </c>
      <c r="R185">
        <v>91</v>
      </c>
      <c r="S185">
        <v>15.55</v>
      </c>
      <c r="T185" t="s">
        <v>26</v>
      </c>
    </row>
    <row r="186" spans="1:20" x14ac:dyDescent="0.3">
      <c r="A186" t="s">
        <v>31</v>
      </c>
      <c r="B186">
        <v>50</v>
      </c>
      <c r="C186">
        <v>57.9</v>
      </c>
      <c r="D186">
        <v>1.87</v>
      </c>
      <c r="E186">
        <v>16.600000000000001</v>
      </c>
      <c r="F186">
        <v>78.3</v>
      </c>
      <c r="G186" t="s">
        <v>209</v>
      </c>
      <c r="H186">
        <v>215</v>
      </c>
      <c r="I186">
        <v>68</v>
      </c>
      <c r="J186">
        <v>90</v>
      </c>
      <c r="K186" t="s">
        <v>22</v>
      </c>
      <c r="L186" t="s">
        <v>23</v>
      </c>
      <c r="M186" t="s">
        <v>37</v>
      </c>
      <c r="N186">
        <v>0.41899999999999998</v>
      </c>
      <c r="P186">
        <v>60</v>
      </c>
      <c r="Q186" t="s">
        <v>33</v>
      </c>
      <c r="R186">
        <v>117</v>
      </c>
      <c r="S186">
        <v>14.72</v>
      </c>
      <c r="T186" t="s">
        <v>26</v>
      </c>
    </row>
    <row r="187" spans="1:20" x14ac:dyDescent="0.3">
      <c r="A187" t="s">
        <v>31</v>
      </c>
      <c r="B187">
        <v>43</v>
      </c>
      <c r="C187">
        <v>52.7</v>
      </c>
      <c r="D187">
        <v>1.85</v>
      </c>
      <c r="E187">
        <v>15.4</v>
      </c>
      <c r="F187">
        <v>107.7</v>
      </c>
      <c r="G187" t="s">
        <v>210</v>
      </c>
      <c r="H187">
        <v>105</v>
      </c>
      <c r="I187">
        <v>32</v>
      </c>
      <c r="J187">
        <v>70</v>
      </c>
      <c r="K187" t="s">
        <v>23</v>
      </c>
      <c r="L187" t="s">
        <v>22</v>
      </c>
      <c r="M187" t="s">
        <v>28</v>
      </c>
      <c r="N187">
        <v>0.58199999999999996</v>
      </c>
      <c r="O187">
        <v>107</v>
      </c>
      <c r="P187">
        <v>61</v>
      </c>
      <c r="Q187" t="s">
        <v>33</v>
      </c>
      <c r="R187">
        <v>43</v>
      </c>
      <c r="S187">
        <v>10.53</v>
      </c>
      <c r="T187" t="s">
        <v>26</v>
      </c>
    </row>
    <row r="188" spans="1:20" x14ac:dyDescent="0.3">
      <c r="A188" t="s">
        <v>31</v>
      </c>
      <c r="B188">
        <v>44</v>
      </c>
      <c r="C188">
        <v>56.8</v>
      </c>
      <c r="D188">
        <v>1.77</v>
      </c>
      <c r="E188">
        <v>18.100000000000001</v>
      </c>
      <c r="F188">
        <v>90.8</v>
      </c>
      <c r="G188" t="s">
        <v>211</v>
      </c>
      <c r="H188">
        <v>131</v>
      </c>
      <c r="I188">
        <v>37</v>
      </c>
      <c r="J188">
        <v>109</v>
      </c>
      <c r="K188" t="s">
        <v>23</v>
      </c>
      <c r="L188" t="s">
        <v>23</v>
      </c>
      <c r="M188" t="s">
        <v>28</v>
      </c>
      <c r="N188">
        <v>0.51300000000000001</v>
      </c>
      <c r="O188">
        <v>133</v>
      </c>
      <c r="P188">
        <v>77</v>
      </c>
      <c r="Q188" t="s">
        <v>29</v>
      </c>
      <c r="R188">
        <v>64</v>
      </c>
      <c r="S188">
        <v>14.89</v>
      </c>
      <c r="T188" t="s">
        <v>26</v>
      </c>
    </row>
    <row r="189" spans="1:20" x14ac:dyDescent="0.3">
      <c r="A189" t="s">
        <v>31</v>
      </c>
      <c r="B189">
        <v>60</v>
      </c>
      <c r="C189">
        <v>84.4</v>
      </c>
      <c r="D189">
        <v>1.9</v>
      </c>
      <c r="E189">
        <v>23.4</v>
      </c>
      <c r="F189">
        <v>77.099999999999994</v>
      </c>
      <c r="G189" t="s">
        <v>212</v>
      </c>
      <c r="H189">
        <v>134</v>
      </c>
      <c r="I189">
        <v>31</v>
      </c>
      <c r="J189">
        <v>95</v>
      </c>
      <c r="K189" t="s">
        <v>22</v>
      </c>
      <c r="L189" t="s">
        <v>22</v>
      </c>
      <c r="M189" t="s">
        <v>37</v>
      </c>
      <c r="N189">
        <v>0.40600000000000003</v>
      </c>
      <c r="O189">
        <v>112</v>
      </c>
      <c r="P189">
        <v>91</v>
      </c>
      <c r="Q189" t="s">
        <v>38</v>
      </c>
      <c r="R189">
        <v>73</v>
      </c>
      <c r="S189">
        <v>12.96</v>
      </c>
      <c r="T189" t="s">
        <v>26</v>
      </c>
    </row>
    <row r="190" spans="1:20" x14ac:dyDescent="0.3">
      <c r="A190" t="s">
        <v>20</v>
      </c>
      <c r="B190">
        <v>37</v>
      </c>
      <c r="C190">
        <v>103.5</v>
      </c>
      <c r="D190">
        <v>1.81</v>
      </c>
      <c r="E190">
        <v>31.6</v>
      </c>
      <c r="F190">
        <v>84.6</v>
      </c>
      <c r="G190" t="s">
        <v>213</v>
      </c>
      <c r="H190">
        <v>114</v>
      </c>
      <c r="I190">
        <v>55</v>
      </c>
      <c r="J190">
        <v>138</v>
      </c>
      <c r="K190" t="s">
        <v>22</v>
      </c>
      <c r="L190" t="s">
        <v>23</v>
      </c>
      <c r="M190" t="s">
        <v>28</v>
      </c>
      <c r="N190">
        <v>0.46700000000000003</v>
      </c>
      <c r="P190">
        <v>65</v>
      </c>
      <c r="Q190" t="s">
        <v>25</v>
      </c>
      <c r="R190">
        <v>29</v>
      </c>
      <c r="S190">
        <v>16.7</v>
      </c>
      <c r="T190" t="s">
        <v>26</v>
      </c>
    </row>
    <row r="191" spans="1:20" x14ac:dyDescent="0.3">
      <c r="A191" t="s">
        <v>31</v>
      </c>
      <c r="B191">
        <v>47</v>
      </c>
      <c r="C191">
        <v>87.6</v>
      </c>
      <c r="D191">
        <v>1.81</v>
      </c>
      <c r="E191">
        <v>26.7</v>
      </c>
      <c r="F191">
        <v>91.3</v>
      </c>
      <c r="G191" t="s">
        <v>214</v>
      </c>
      <c r="H191">
        <v>271</v>
      </c>
      <c r="I191">
        <v>42</v>
      </c>
      <c r="J191">
        <v>108</v>
      </c>
      <c r="K191" t="s">
        <v>23</v>
      </c>
      <c r="L191" t="s">
        <v>22</v>
      </c>
      <c r="M191" t="s">
        <v>37</v>
      </c>
      <c r="N191">
        <v>0.504</v>
      </c>
      <c r="O191">
        <v>90</v>
      </c>
      <c r="P191">
        <v>92</v>
      </c>
      <c r="Q191" t="s">
        <v>38</v>
      </c>
      <c r="R191">
        <v>199</v>
      </c>
      <c r="S191">
        <v>15.26</v>
      </c>
      <c r="T191" t="s">
        <v>30</v>
      </c>
    </row>
    <row r="192" spans="1:20" x14ac:dyDescent="0.3">
      <c r="A192" t="s">
        <v>31</v>
      </c>
      <c r="B192">
        <v>32</v>
      </c>
      <c r="C192">
        <v>84.8</v>
      </c>
      <c r="D192">
        <v>1.66</v>
      </c>
      <c r="E192">
        <v>30.8</v>
      </c>
      <c r="F192">
        <v>100.4</v>
      </c>
      <c r="G192" t="s">
        <v>215</v>
      </c>
      <c r="H192">
        <v>284</v>
      </c>
      <c r="I192">
        <v>76</v>
      </c>
      <c r="J192">
        <v>70</v>
      </c>
      <c r="K192" t="s">
        <v>22</v>
      </c>
      <c r="L192" t="s">
        <v>23</v>
      </c>
      <c r="M192" t="s">
        <v>24</v>
      </c>
      <c r="N192">
        <v>0.60499999999999998</v>
      </c>
      <c r="O192">
        <v>133</v>
      </c>
      <c r="P192">
        <v>70</v>
      </c>
      <c r="Q192" t="s">
        <v>29</v>
      </c>
      <c r="R192">
        <v>178</v>
      </c>
      <c r="S192">
        <v>20.49</v>
      </c>
      <c r="T192" t="s">
        <v>30</v>
      </c>
    </row>
    <row r="193" spans="1:20" x14ac:dyDescent="0.3">
      <c r="A193" t="s">
        <v>31</v>
      </c>
      <c r="C193">
        <v>115.4</v>
      </c>
      <c r="E193">
        <v>36.799999999999997</v>
      </c>
      <c r="F193">
        <v>91.9</v>
      </c>
      <c r="G193" t="s">
        <v>216</v>
      </c>
      <c r="I193">
        <v>39</v>
      </c>
      <c r="J193">
        <v>118</v>
      </c>
      <c r="K193" t="s">
        <v>23</v>
      </c>
      <c r="L193" t="s">
        <v>23</v>
      </c>
      <c r="M193" t="s">
        <v>28</v>
      </c>
      <c r="N193">
        <v>0.51900000000000002</v>
      </c>
      <c r="O193">
        <v>142</v>
      </c>
      <c r="P193">
        <v>64</v>
      </c>
      <c r="Q193" t="s">
        <v>38</v>
      </c>
      <c r="R193">
        <v>67</v>
      </c>
      <c r="S193">
        <v>19.18</v>
      </c>
      <c r="T193" t="s">
        <v>30</v>
      </c>
    </row>
    <row r="194" spans="1:20" x14ac:dyDescent="0.3">
      <c r="A194" t="s">
        <v>20</v>
      </c>
      <c r="B194">
        <v>30</v>
      </c>
      <c r="C194">
        <v>70.7</v>
      </c>
      <c r="D194">
        <v>1.82</v>
      </c>
      <c r="E194">
        <v>21.3</v>
      </c>
      <c r="F194">
        <v>109.7</v>
      </c>
      <c r="G194" t="s">
        <v>217</v>
      </c>
      <c r="H194">
        <v>157</v>
      </c>
      <c r="I194">
        <v>37</v>
      </c>
      <c r="J194">
        <v>105</v>
      </c>
      <c r="K194" t="s">
        <v>22</v>
      </c>
      <c r="L194" t="s">
        <v>23</v>
      </c>
      <c r="M194" t="s">
        <v>37</v>
      </c>
      <c r="N194">
        <v>0.60299999999999998</v>
      </c>
      <c r="O194">
        <v>117</v>
      </c>
      <c r="P194">
        <v>62</v>
      </c>
      <c r="Q194" t="s">
        <v>33</v>
      </c>
      <c r="R194">
        <v>90</v>
      </c>
      <c r="S194">
        <v>15.25</v>
      </c>
      <c r="T194" t="s">
        <v>26</v>
      </c>
    </row>
    <row r="195" spans="1:20" x14ac:dyDescent="0.3">
      <c r="A195" t="s">
        <v>31</v>
      </c>
      <c r="B195">
        <v>43</v>
      </c>
      <c r="C195">
        <v>79.8</v>
      </c>
      <c r="D195">
        <v>1.86</v>
      </c>
      <c r="E195">
        <v>23.1</v>
      </c>
      <c r="F195">
        <v>82.2</v>
      </c>
      <c r="G195" t="s">
        <v>218</v>
      </c>
      <c r="H195">
        <v>160</v>
      </c>
      <c r="I195">
        <v>72</v>
      </c>
      <c r="J195">
        <v>70</v>
      </c>
      <c r="K195" t="s">
        <v>22</v>
      </c>
      <c r="L195" t="s">
        <v>22</v>
      </c>
      <c r="M195" t="s">
        <v>24</v>
      </c>
      <c r="N195">
        <v>0.442</v>
      </c>
      <c r="O195">
        <v>141</v>
      </c>
      <c r="P195">
        <v>65</v>
      </c>
      <c r="Q195" t="s">
        <v>38</v>
      </c>
      <c r="R195">
        <v>58</v>
      </c>
      <c r="S195">
        <v>14.87</v>
      </c>
      <c r="T195" t="s">
        <v>26</v>
      </c>
    </row>
    <row r="196" spans="1:20" x14ac:dyDescent="0.3">
      <c r="A196" t="s">
        <v>31</v>
      </c>
      <c r="B196">
        <v>42</v>
      </c>
      <c r="C196">
        <v>95.7</v>
      </c>
      <c r="D196">
        <v>1.89</v>
      </c>
      <c r="E196">
        <v>26.8</v>
      </c>
      <c r="F196">
        <v>96.8</v>
      </c>
      <c r="G196" t="s">
        <v>219</v>
      </c>
      <c r="H196">
        <v>186</v>
      </c>
      <c r="J196">
        <v>112</v>
      </c>
      <c r="K196" t="s">
        <v>23</v>
      </c>
      <c r="L196" t="s">
        <v>23</v>
      </c>
      <c r="M196" t="s">
        <v>28</v>
      </c>
      <c r="N196">
        <v>0.51200000000000001</v>
      </c>
      <c r="O196">
        <v>113</v>
      </c>
      <c r="P196">
        <v>94</v>
      </c>
      <c r="Q196" t="s">
        <v>38</v>
      </c>
      <c r="R196">
        <v>84</v>
      </c>
      <c r="S196">
        <v>16.73</v>
      </c>
      <c r="T196" t="s">
        <v>26</v>
      </c>
    </row>
    <row r="197" spans="1:20" x14ac:dyDescent="0.3">
      <c r="A197" t="s">
        <v>20</v>
      </c>
      <c r="B197">
        <v>46</v>
      </c>
      <c r="C197">
        <v>71.400000000000006</v>
      </c>
      <c r="D197">
        <v>1.79</v>
      </c>
      <c r="E197">
        <v>22.3</v>
      </c>
      <c r="F197">
        <v>104.4</v>
      </c>
      <c r="G197" t="s">
        <v>220</v>
      </c>
      <c r="I197">
        <v>64</v>
      </c>
      <c r="J197">
        <v>88</v>
      </c>
      <c r="K197" t="s">
        <v>23</v>
      </c>
      <c r="L197" t="s">
        <v>23</v>
      </c>
      <c r="M197" t="s">
        <v>24</v>
      </c>
      <c r="N197">
        <v>0.58299999999999996</v>
      </c>
      <c r="O197">
        <v>122</v>
      </c>
      <c r="P197">
        <v>80</v>
      </c>
      <c r="Q197" t="s">
        <v>29</v>
      </c>
      <c r="R197">
        <v>67</v>
      </c>
      <c r="S197">
        <v>15.78</v>
      </c>
      <c r="T197" t="s">
        <v>30</v>
      </c>
    </row>
    <row r="198" spans="1:20" x14ac:dyDescent="0.3">
      <c r="A198" t="s">
        <v>31</v>
      </c>
      <c r="B198">
        <v>35</v>
      </c>
      <c r="C198">
        <v>99.6</v>
      </c>
      <c r="D198">
        <v>1.81</v>
      </c>
      <c r="F198">
        <v>77.8</v>
      </c>
      <c r="G198" t="s">
        <v>221</v>
      </c>
      <c r="H198">
        <v>152</v>
      </c>
      <c r="I198">
        <v>79</v>
      </c>
      <c r="J198">
        <v>124</v>
      </c>
      <c r="K198" t="s">
        <v>23</v>
      </c>
      <c r="L198" t="s">
        <v>22</v>
      </c>
      <c r="M198" t="s">
        <v>37</v>
      </c>
      <c r="N198">
        <v>0.43</v>
      </c>
      <c r="O198">
        <v>97</v>
      </c>
      <c r="P198">
        <v>64</v>
      </c>
      <c r="Q198" t="s">
        <v>33</v>
      </c>
      <c r="R198">
        <v>43</v>
      </c>
      <c r="S198">
        <v>13.97</v>
      </c>
      <c r="T198" t="s">
        <v>26</v>
      </c>
    </row>
    <row r="199" spans="1:20" x14ac:dyDescent="0.3">
      <c r="A199" t="s">
        <v>31</v>
      </c>
      <c r="B199">
        <v>31</v>
      </c>
      <c r="C199">
        <v>56.3</v>
      </c>
      <c r="D199">
        <v>1.81</v>
      </c>
      <c r="E199">
        <v>17.2</v>
      </c>
      <c r="F199">
        <v>73</v>
      </c>
      <c r="G199" t="s">
        <v>222</v>
      </c>
      <c r="H199">
        <v>170</v>
      </c>
      <c r="I199">
        <v>73</v>
      </c>
      <c r="J199">
        <v>84</v>
      </c>
      <c r="K199" t="s">
        <v>23</v>
      </c>
      <c r="L199" t="s">
        <v>22</v>
      </c>
      <c r="M199" t="s">
        <v>37</v>
      </c>
      <c r="N199">
        <v>0.40300000000000002</v>
      </c>
      <c r="O199">
        <v>144</v>
      </c>
      <c r="P199">
        <v>74</v>
      </c>
      <c r="Q199" t="s">
        <v>38</v>
      </c>
      <c r="R199">
        <v>67</v>
      </c>
      <c r="S199">
        <v>14.04</v>
      </c>
      <c r="T199" t="s">
        <v>52</v>
      </c>
    </row>
    <row r="200" spans="1:20" x14ac:dyDescent="0.3">
      <c r="A200" t="s">
        <v>31</v>
      </c>
      <c r="B200">
        <v>43</v>
      </c>
      <c r="C200">
        <v>106</v>
      </c>
      <c r="D200">
        <v>1.66</v>
      </c>
      <c r="E200">
        <v>38.5</v>
      </c>
      <c r="F200">
        <v>92.5</v>
      </c>
      <c r="G200" t="s">
        <v>223</v>
      </c>
      <c r="H200">
        <v>195</v>
      </c>
      <c r="I200">
        <v>31</v>
      </c>
      <c r="J200">
        <v>136</v>
      </c>
      <c r="K200" t="s">
        <v>23</v>
      </c>
      <c r="L200" t="s">
        <v>22</v>
      </c>
      <c r="M200" t="s">
        <v>37</v>
      </c>
      <c r="N200">
        <v>0.55700000000000005</v>
      </c>
      <c r="O200">
        <v>130</v>
      </c>
      <c r="P200">
        <v>73</v>
      </c>
      <c r="Q200" t="s">
        <v>29</v>
      </c>
      <c r="R200">
        <v>134</v>
      </c>
      <c r="S200">
        <v>18.100000000000001</v>
      </c>
      <c r="T200" t="s">
        <v>26</v>
      </c>
    </row>
    <row r="201" spans="1:20" x14ac:dyDescent="0.3">
      <c r="A201" t="s">
        <v>31</v>
      </c>
      <c r="B201">
        <v>56</v>
      </c>
      <c r="C201">
        <v>114.6</v>
      </c>
      <c r="D201">
        <v>1.88</v>
      </c>
      <c r="F201">
        <v>109.8</v>
      </c>
      <c r="G201" t="s">
        <v>224</v>
      </c>
      <c r="H201">
        <v>174</v>
      </c>
      <c r="I201">
        <v>52</v>
      </c>
      <c r="J201">
        <v>106</v>
      </c>
      <c r="K201" t="s">
        <v>23</v>
      </c>
      <c r="L201" t="s">
        <v>22</v>
      </c>
      <c r="M201" t="s">
        <v>28</v>
      </c>
      <c r="N201">
        <v>0.58399999999999996</v>
      </c>
      <c r="P201">
        <v>62</v>
      </c>
      <c r="Q201" t="s">
        <v>33</v>
      </c>
      <c r="R201">
        <v>92</v>
      </c>
      <c r="S201">
        <v>14.71</v>
      </c>
      <c r="T201" t="s">
        <v>26</v>
      </c>
    </row>
    <row r="202" spans="1:20" x14ac:dyDescent="0.3">
      <c r="A202" t="s">
        <v>31</v>
      </c>
      <c r="B202">
        <v>40</v>
      </c>
      <c r="C202">
        <v>97</v>
      </c>
      <c r="D202">
        <v>1.78</v>
      </c>
      <c r="E202">
        <v>30.6</v>
      </c>
      <c r="F202">
        <v>76.900000000000006</v>
      </c>
      <c r="G202" t="s">
        <v>225</v>
      </c>
      <c r="H202">
        <v>170</v>
      </c>
      <c r="I202">
        <v>44</v>
      </c>
      <c r="J202">
        <v>105</v>
      </c>
      <c r="K202" t="s">
        <v>22</v>
      </c>
      <c r="L202" t="s">
        <v>22</v>
      </c>
      <c r="M202" t="s">
        <v>37</v>
      </c>
      <c r="N202">
        <v>0.432</v>
      </c>
      <c r="O202">
        <v>121</v>
      </c>
      <c r="P202">
        <v>83</v>
      </c>
      <c r="Q202" t="s">
        <v>29</v>
      </c>
      <c r="R202">
        <v>96</v>
      </c>
      <c r="S202">
        <v>15.57</v>
      </c>
      <c r="T202" t="s">
        <v>26</v>
      </c>
    </row>
    <row r="203" spans="1:20" x14ac:dyDescent="0.3">
      <c r="A203" t="s">
        <v>31</v>
      </c>
      <c r="B203">
        <v>42</v>
      </c>
      <c r="D203">
        <v>1.81</v>
      </c>
      <c r="E203">
        <v>18</v>
      </c>
      <c r="F203">
        <v>87.8</v>
      </c>
      <c r="G203" t="s">
        <v>226</v>
      </c>
      <c r="H203">
        <v>159</v>
      </c>
      <c r="I203">
        <v>41</v>
      </c>
      <c r="J203">
        <v>150</v>
      </c>
      <c r="K203" t="s">
        <v>22</v>
      </c>
      <c r="L203" t="s">
        <v>22</v>
      </c>
      <c r="M203" t="s">
        <v>37</v>
      </c>
      <c r="N203">
        <v>0.48499999999999999</v>
      </c>
      <c r="O203">
        <v>118</v>
      </c>
      <c r="P203">
        <v>84</v>
      </c>
      <c r="Q203" t="s">
        <v>29</v>
      </c>
      <c r="R203">
        <v>88</v>
      </c>
      <c r="S203">
        <v>12.68</v>
      </c>
      <c r="T203" t="s">
        <v>52</v>
      </c>
    </row>
    <row r="204" spans="1:20" x14ac:dyDescent="0.3">
      <c r="A204" t="s">
        <v>20</v>
      </c>
      <c r="B204">
        <v>51</v>
      </c>
      <c r="C204">
        <v>52.7</v>
      </c>
      <c r="D204">
        <v>1.69</v>
      </c>
      <c r="E204">
        <v>18.5</v>
      </c>
      <c r="F204">
        <v>102.3</v>
      </c>
      <c r="G204" t="s">
        <v>227</v>
      </c>
      <c r="H204">
        <v>140</v>
      </c>
      <c r="I204">
        <v>31</v>
      </c>
      <c r="J204">
        <v>127</v>
      </c>
      <c r="K204" t="s">
        <v>23</v>
      </c>
      <c r="L204" t="s">
        <v>22</v>
      </c>
      <c r="M204" t="s">
        <v>24</v>
      </c>
      <c r="N204">
        <v>0.60499999999999998</v>
      </c>
      <c r="O204">
        <v>143</v>
      </c>
      <c r="Q204" t="s">
        <v>29</v>
      </c>
      <c r="R204">
        <v>79</v>
      </c>
      <c r="S204">
        <v>13.65</v>
      </c>
      <c r="T204" t="s">
        <v>30</v>
      </c>
    </row>
    <row r="205" spans="1:20" x14ac:dyDescent="0.3">
      <c r="A205" t="s">
        <v>31</v>
      </c>
      <c r="B205">
        <v>30</v>
      </c>
      <c r="C205">
        <v>58.3</v>
      </c>
      <c r="D205">
        <v>1.64</v>
      </c>
      <c r="F205">
        <v>93.5</v>
      </c>
      <c r="G205" t="s">
        <v>228</v>
      </c>
      <c r="H205">
        <v>113</v>
      </c>
      <c r="I205">
        <v>53</v>
      </c>
      <c r="J205">
        <v>146</v>
      </c>
      <c r="K205" t="s">
        <v>23</v>
      </c>
      <c r="L205" t="s">
        <v>22</v>
      </c>
      <c r="M205" t="s">
        <v>37</v>
      </c>
      <c r="N205">
        <v>0.56999999999999995</v>
      </c>
      <c r="O205">
        <v>139</v>
      </c>
      <c r="P205">
        <v>76</v>
      </c>
      <c r="Q205" t="s">
        <v>29</v>
      </c>
      <c r="R205">
        <v>30</v>
      </c>
      <c r="S205">
        <v>13.55</v>
      </c>
      <c r="T205" t="s">
        <v>52</v>
      </c>
    </row>
    <row r="206" spans="1:20" x14ac:dyDescent="0.3">
      <c r="A206" t="s">
        <v>31</v>
      </c>
      <c r="C206">
        <v>104.3</v>
      </c>
      <c r="D206">
        <v>1.6</v>
      </c>
      <c r="E206">
        <v>40.700000000000003</v>
      </c>
      <c r="F206">
        <v>108.2</v>
      </c>
      <c r="G206" t="s">
        <v>229</v>
      </c>
      <c r="H206">
        <v>192</v>
      </c>
      <c r="I206">
        <v>30</v>
      </c>
      <c r="J206">
        <v>132</v>
      </c>
      <c r="K206" t="s">
        <v>22</v>
      </c>
      <c r="L206" t="s">
        <v>22</v>
      </c>
      <c r="M206" t="s">
        <v>28</v>
      </c>
      <c r="N206">
        <v>0.67600000000000005</v>
      </c>
      <c r="O206">
        <v>97</v>
      </c>
      <c r="P206">
        <v>89</v>
      </c>
      <c r="Q206" t="s">
        <v>29</v>
      </c>
      <c r="R206">
        <v>132</v>
      </c>
      <c r="S206">
        <v>16.829999999999998</v>
      </c>
      <c r="T206" t="s">
        <v>26</v>
      </c>
    </row>
    <row r="207" spans="1:20" x14ac:dyDescent="0.3">
      <c r="A207" t="s">
        <v>31</v>
      </c>
      <c r="B207">
        <v>51</v>
      </c>
      <c r="C207">
        <v>117.1</v>
      </c>
      <c r="E207">
        <v>36.5</v>
      </c>
      <c r="F207">
        <v>103.2</v>
      </c>
      <c r="G207" t="s">
        <v>230</v>
      </c>
      <c r="H207">
        <v>106</v>
      </c>
      <c r="I207">
        <v>37</v>
      </c>
      <c r="J207">
        <v>130</v>
      </c>
      <c r="K207" t="s">
        <v>22</v>
      </c>
      <c r="L207" t="s">
        <v>22</v>
      </c>
      <c r="M207" t="s">
        <v>37</v>
      </c>
      <c r="N207">
        <v>0.57699999999999996</v>
      </c>
      <c r="O207">
        <v>118</v>
      </c>
      <c r="P207">
        <v>61</v>
      </c>
      <c r="Q207" t="s">
        <v>33</v>
      </c>
      <c r="R207">
        <v>39</v>
      </c>
      <c r="S207">
        <v>15.32</v>
      </c>
      <c r="T207" t="s">
        <v>30</v>
      </c>
    </row>
    <row r="208" spans="1:20" x14ac:dyDescent="0.3">
      <c r="A208" t="s">
        <v>20</v>
      </c>
      <c r="B208">
        <v>51</v>
      </c>
      <c r="C208">
        <v>83.2</v>
      </c>
      <c r="D208">
        <v>1.66</v>
      </c>
      <c r="E208">
        <v>30.2</v>
      </c>
      <c r="G208" t="s">
        <v>231</v>
      </c>
      <c r="H208">
        <v>148</v>
      </c>
      <c r="I208">
        <v>69</v>
      </c>
      <c r="J208">
        <v>138</v>
      </c>
      <c r="K208" t="s">
        <v>23</v>
      </c>
      <c r="L208" t="s">
        <v>23</v>
      </c>
      <c r="M208" t="s">
        <v>24</v>
      </c>
      <c r="N208">
        <v>0.48099999999999998</v>
      </c>
      <c r="O208">
        <v>91</v>
      </c>
      <c r="P208">
        <v>64</v>
      </c>
      <c r="Q208" t="s">
        <v>33</v>
      </c>
      <c r="R208">
        <v>49</v>
      </c>
      <c r="S208">
        <v>15.55</v>
      </c>
      <c r="T208" t="s">
        <v>30</v>
      </c>
    </row>
    <row r="209" spans="1:20" x14ac:dyDescent="0.3">
      <c r="A209" t="s">
        <v>20</v>
      </c>
      <c r="C209">
        <v>69.400000000000006</v>
      </c>
      <c r="D209">
        <v>1.86</v>
      </c>
      <c r="E209">
        <v>20.100000000000001</v>
      </c>
      <c r="F209">
        <v>76.099999999999994</v>
      </c>
      <c r="G209" t="s">
        <v>232</v>
      </c>
      <c r="H209">
        <v>185</v>
      </c>
      <c r="I209">
        <v>40</v>
      </c>
      <c r="J209">
        <v>119</v>
      </c>
      <c r="K209" t="s">
        <v>22</v>
      </c>
      <c r="L209" t="s">
        <v>23</v>
      </c>
      <c r="M209" t="s">
        <v>37</v>
      </c>
      <c r="N209">
        <v>0.40899999999999997</v>
      </c>
      <c r="O209">
        <v>98</v>
      </c>
      <c r="Q209" t="s">
        <v>38</v>
      </c>
      <c r="R209">
        <v>115</v>
      </c>
      <c r="S209">
        <v>14.62</v>
      </c>
      <c r="T209" t="s">
        <v>26</v>
      </c>
    </row>
    <row r="210" spans="1:20" x14ac:dyDescent="0.3">
      <c r="A210" t="s">
        <v>31</v>
      </c>
      <c r="B210">
        <v>31</v>
      </c>
      <c r="C210">
        <v>77.599999999999994</v>
      </c>
      <c r="D210">
        <v>1.85</v>
      </c>
      <c r="E210">
        <v>22.7</v>
      </c>
      <c r="F210">
        <v>101.1</v>
      </c>
      <c r="G210" t="s">
        <v>233</v>
      </c>
      <c r="H210">
        <v>147</v>
      </c>
      <c r="I210">
        <v>59</v>
      </c>
      <c r="J210">
        <v>122</v>
      </c>
      <c r="K210" t="s">
        <v>22</v>
      </c>
      <c r="L210" t="s">
        <v>23</v>
      </c>
      <c r="M210" t="s">
        <v>37</v>
      </c>
      <c r="N210">
        <v>0.54600000000000004</v>
      </c>
      <c r="O210">
        <v>114</v>
      </c>
      <c r="P210">
        <v>92</v>
      </c>
      <c r="Q210" t="s">
        <v>38</v>
      </c>
      <c r="R210">
        <v>58</v>
      </c>
      <c r="S210">
        <v>15.18</v>
      </c>
      <c r="T210" t="s">
        <v>26</v>
      </c>
    </row>
    <row r="211" spans="1:20" x14ac:dyDescent="0.3">
      <c r="A211" t="s">
        <v>31</v>
      </c>
      <c r="B211">
        <v>38</v>
      </c>
      <c r="D211">
        <v>1.72</v>
      </c>
      <c r="F211">
        <v>107.2</v>
      </c>
      <c r="G211" t="s">
        <v>234</v>
      </c>
      <c r="H211">
        <v>237</v>
      </c>
      <c r="I211">
        <v>46</v>
      </c>
      <c r="J211">
        <v>144</v>
      </c>
      <c r="K211" t="s">
        <v>23</v>
      </c>
      <c r="L211" t="s">
        <v>22</v>
      </c>
      <c r="M211" t="s">
        <v>37</v>
      </c>
      <c r="N211">
        <v>0.623</v>
      </c>
      <c r="O211">
        <v>110</v>
      </c>
      <c r="P211">
        <v>81</v>
      </c>
      <c r="Q211" t="s">
        <v>29</v>
      </c>
      <c r="R211">
        <v>161</v>
      </c>
      <c r="S211">
        <v>15.48</v>
      </c>
      <c r="T211" t="s">
        <v>26</v>
      </c>
    </row>
    <row r="212" spans="1:20" x14ac:dyDescent="0.3">
      <c r="A212" t="s">
        <v>31</v>
      </c>
      <c r="B212">
        <v>42</v>
      </c>
      <c r="C212">
        <v>99.5</v>
      </c>
      <c r="D212">
        <v>1.7</v>
      </c>
      <c r="E212">
        <v>34.4</v>
      </c>
      <c r="F212">
        <v>93.1</v>
      </c>
      <c r="G212" t="s">
        <v>235</v>
      </c>
      <c r="H212">
        <v>150</v>
      </c>
      <c r="I212">
        <v>30</v>
      </c>
      <c r="J212">
        <v>76</v>
      </c>
      <c r="K212" t="s">
        <v>23</v>
      </c>
      <c r="L212" t="s">
        <v>22</v>
      </c>
      <c r="M212" t="s">
        <v>28</v>
      </c>
      <c r="N212">
        <v>0.54800000000000004</v>
      </c>
      <c r="P212">
        <v>87</v>
      </c>
      <c r="Q212" t="s">
        <v>29</v>
      </c>
      <c r="R212">
        <v>90</v>
      </c>
      <c r="S212">
        <v>14.78</v>
      </c>
      <c r="T212" t="s">
        <v>30</v>
      </c>
    </row>
    <row r="213" spans="1:20" x14ac:dyDescent="0.3">
      <c r="A213" t="s">
        <v>20</v>
      </c>
      <c r="B213">
        <v>58</v>
      </c>
      <c r="C213">
        <v>69</v>
      </c>
      <c r="D213">
        <v>1.87</v>
      </c>
      <c r="E213">
        <v>19.7</v>
      </c>
      <c r="F213">
        <v>77.5</v>
      </c>
      <c r="G213" t="s">
        <v>236</v>
      </c>
      <c r="H213">
        <v>184</v>
      </c>
      <c r="I213">
        <v>45</v>
      </c>
      <c r="J213">
        <v>75</v>
      </c>
      <c r="K213" t="s">
        <v>22</v>
      </c>
      <c r="L213" t="s">
        <v>23</v>
      </c>
      <c r="M213" t="s">
        <v>24</v>
      </c>
      <c r="N213">
        <v>0.41399999999999998</v>
      </c>
      <c r="O213">
        <v>107</v>
      </c>
      <c r="P213">
        <v>88</v>
      </c>
      <c r="Q213" t="s">
        <v>29</v>
      </c>
      <c r="R213">
        <v>109</v>
      </c>
      <c r="S213">
        <v>14.97</v>
      </c>
      <c r="T213" t="s">
        <v>30</v>
      </c>
    </row>
    <row r="214" spans="1:20" x14ac:dyDescent="0.3">
      <c r="A214" t="s">
        <v>31</v>
      </c>
      <c r="B214">
        <v>40</v>
      </c>
      <c r="D214">
        <v>1.9</v>
      </c>
      <c r="E214">
        <v>24.3</v>
      </c>
      <c r="G214" t="s">
        <v>237</v>
      </c>
      <c r="H214">
        <v>216</v>
      </c>
      <c r="I214">
        <v>61</v>
      </c>
      <c r="J214">
        <v>146</v>
      </c>
      <c r="K214" t="s">
        <v>22</v>
      </c>
      <c r="L214" t="s">
        <v>22</v>
      </c>
      <c r="M214" t="s">
        <v>28</v>
      </c>
      <c r="N214">
        <v>0.38</v>
      </c>
      <c r="O214">
        <v>90</v>
      </c>
      <c r="P214">
        <v>72</v>
      </c>
      <c r="Q214" t="s">
        <v>33</v>
      </c>
      <c r="R214">
        <v>125</v>
      </c>
      <c r="S214">
        <v>13.68</v>
      </c>
      <c r="T214" t="s">
        <v>52</v>
      </c>
    </row>
    <row r="215" spans="1:20" x14ac:dyDescent="0.3">
      <c r="A215" t="s">
        <v>31</v>
      </c>
      <c r="B215">
        <v>46</v>
      </c>
      <c r="C215">
        <v>53.9</v>
      </c>
      <c r="D215">
        <v>1.61</v>
      </c>
      <c r="E215">
        <v>20.8</v>
      </c>
      <c r="F215">
        <v>99.5</v>
      </c>
      <c r="G215" t="s">
        <v>163</v>
      </c>
      <c r="H215">
        <v>205</v>
      </c>
      <c r="I215">
        <v>63</v>
      </c>
      <c r="J215">
        <v>75</v>
      </c>
      <c r="K215" t="s">
        <v>22</v>
      </c>
      <c r="L215" t="s">
        <v>22</v>
      </c>
      <c r="M215" t="s">
        <v>37</v>
      </c>
      <c r="N215">
        <v>0.61799999999999999</v>
      </c>
      <c r="P215">
        <v>96</v>
      </c>
      <c r="Q215" t="s">
        <v>38</v>
      </c>
      <c r="R215">
        <v>112</v>
      </c>
      <c r="S215">
        <v>15.76</v>
      </c>
      <c r="T215" t="s">
        <v>26</v>
      </c>
    </row>
    <row r="216" spans="1:20" x14ac:dyDescent="0.3">
      <c r="A216" t="s">
        <v>20</v>
      </c>
      <c r="B216">
        <v>35</v>
      </c>
      <c r="C216">
        <v>51.1</v>
      </c>
      <c r="D216">
        <v>1.73</v>
      </c>
      <c r="E216">
        <v>17.100000000000001</v>
      </c>
      <c r="F216">
        <v>106.2</v>
      </c>
      <c r="G216" t="s">
        <v>238</v>
      </c>
      <c r="H216">
        <v>215</v>
      </c>
      <c r="I216">
        <v>65</v>
      </c>
      <c r="J216">
        <v>79</v>
      </c>
      <c r="K216" t="s">
        <v>23</v>
      </c>
      <c r="L216" t="s">
        <v>22</v>
      </c>
      <c r="M216" t="s">
        <v>24</v>
      </c>
      <c r="N216">
        <v>0.61399999999999999</v>
      </c>
      <c r="O216">
        <v>149</v>
      </c>
      <c r="P216">
        <v>68</v>
      </c>
      <c r="Q216" t="s">
        <v>38</v>
      </c>
      <c r="R216">
        <v>120</v>
      </c>
      <c r="S216">
        <v>15.17</v>
      </c>
      <c r="T216" t="s">
        <v>26</v>
      </c>
    </row>
    <row r="217" spans="1:20" x14ac:dyDescent="0.3">
      <c r="A217" t="s">
        <v>31</v>
      </c>
      <c r="B217">
        <v>43</v>
      </c>
      <c r="D217">
        <v>1.62</v>
      </c>
      <c r="E217">
        <v>28.3</v>
      </c>
      <c r="F217">
        <v>91.6</v>
      </c>
      <c r="G217" t="s">
        <v>239</v>
      </c>
      <c r="H217">
        <v>195</v>
      </c>
      <c r="I217">
        <v>43</v>
      </c>
      <c r="J217">
        <v>90</v>
      </c>
      <c r="K217" t="s">
        <v>23</v>
      </c>
      <c r="L217" t="s">
        <v>23</v>
      </c>
      <c r="M217" t="s">
        <v>28</v>
      </c>
      <c r="N217">
        <v>0.56499999999999995</v>
      </c>
      <c r="O217">
        <v>90</v>
      </c>
      <c r="P217">
        <v>80</v>
      </c>
      <c r="Q217" t="s">
        <v>29</v>
      </c>
      <c r="R217">
        <v>122</v>
      </c>
      <c r="S217">
        <v>16.059999999999999</v>
      </c>
      <c r="T217" t="s">
        <v>30</v>
      </c>
    </row>
    <row r="218" spans="1:20" x14ac:dyDescent="0.3">
      <c r="A218" t="s">
        <v>20</v>
      </c>
      <c r="B218">
        <v>56</v>
      </c>
      <c r="C218">
        <v>70.8</v>
      </c>
      <c r="D218">
        <v>1.66</v>
      </c>
      <c r="E218">
        <v>25.7</v>
      </c>
      <c r="F218">
        <v>85.8</v>
      </c>
      <c r="G218" t="s">
        <v>240</v>
      </c>
      <c r="H218">
        <v>248</v>
      </c>
      <c r="I218">
        <v>67</v>
      </c>
      <c r="J218">
        <v>102</v>
      </c>
      <c r="K218" t="s">
        <v>23</v>
      </c>
      <c r="L218" t="s">
        <v>22</v>
      </c>
      <c r="M218" t="s">
        <v>37</v>
      </c>
      <c r="N218">
        <v>0.51700000000000002</v>
      </c>
      <c r="O218">
        <v>135</v>
      </c>
      <c r="P218">
        <v>61</v>
      </c>
      <c r="Q218" t="s">
        <v>29</v>
      </c>
      <c r="R218">
        <v>151</v>
      </c>
      <c r="S218">
        <v>16.850000000000001</v>
      </c>
      <c r="T218" t="s">
        <v>30</v>
      </c>
    </row>
    <row r="219" spans="1:20" x14ac:dyDescent="0.3">
      <c r="A219" t="s">
        <v>31</v>
      </c>
      <c r="B219">
        <v>48</v>
      </c>
      <c r="C219">
        <v>71.900000000000006</v>
      </c>
      <c r="D219">
        <v>1.74</v>
      </c>
      <c r="E219">
        <v>23.7</v>
      </c>
      <c r="F219">
        <v>90.9</v>
      </c>
      <c r="G219" t="s">
        <v>241</v>
      </c>
      <c r="H219">
        <v>116</v>
      </c>
      <c r="I219">
        <v>44</v>
      </c>
      <c r="J219">
        <v>131</v>
      </c>
      <c r="K219" t="s">
        <v>23</v>
      </c>
      <c r="L219" t="s">
        <v>23</v>
      </c>
      <c r="M219" t="s">
        <v>24</v>
      </c>
      <c r="N219">
        <v>0.52200000000000002</v>
      </c>
      <c r="O219">
        <v>127</v>
      </c>
      <c r="P219">
        <v>71</v>
      </c>
      <c r="Q219" t="s">
        <v>25</v>
      </c>
      <c r="R219">
        <v>42</v>
      </c>
      <c r="S219">
        <v>15.41</v>
      </c>
      <c r="T219" t="s">
        <v>30</v>
      </c>
    </row>
    <row r="220" spans="1:20" x14ac:dyDescent="0.3">
      <c r="A220" t="s">
        <v>20</v>
      </c>
      <c r="B220">
        <v>37</v>
      </c>
      <c r="C220">
        <v>54.5</v>
      </c>
      <c r="D220">
        <v>1.65</v>
      </c>
      <c r="E220">
        <v>20</v>
      </c>
      <c r="F220">
        <v>83.1</v>
      </c>
      <c r="G220" t="s">
        <v>64</v>
      </c>
      <c r="H220">
        <v>113</v>
      </c>
      <c r="I220">
        <v>33</v>
      </c>
      <c r="J220">
        <v>76</v>
      </c>
      <c r="K220" t="s">
        <v>23</v>
      </c>
      <c r="L220" t="s">
        <v>22</v>
      </c>
      <c r="M220" t="s">
        <v>37</v>
      </c>
      <c r="N220">
        <v>0.504</v>
      </c>
      <c r="O220">
        <v>97</v>
      </c>
      <c r="P220">
        <v>75</v>
      </c>
      <c r="Q220" t="s">
        <v>33</v>
      </c>
      <c r="R220">
        <v>50</v>
      </c>
      <c r="S220">
        <v>11.11</v>
      </c>
      <c r="T220" t="s">
        <v>26</v>
      </c>
    </row>
    <row r="221" spans="1:20" x14ac:dyDescent="0.3">
      <c r="A221" t="s">
        <v>20</v>
      </c>
      <c r="B221">
        <v>40</v>
      </c>
      <c r="C221">
        <v>102</v>
      </c>
      <c r="D221">
        <v>1.63</v>
      </c>
      <c r="E221">
        <v>38.4</v>
      </c>
      <c r="F221">
        <v>97.1</v>
      </c>
      <c r="G221" t="s">
        <v>242</v>
      </c>
      <c r="H221">
        <v>215</v>
      </c>
      <c r="I221">
        <v>38</v>
      </c>
      <c r="J221">
        <v>98</v>
      </c>
      <c r="K221" t="s">
        <v>22</v>
      </c>
      <c r="L221" t="s">
        <v>23</v>
      </c>
      <c r="M221" t="s">
        <v>24</v>
      </c>
      <c r="N221">
        <v>0.59599999999999997</v>
      </c>
      <c r="O221">
        <v>111</v>
      </c>
      <c r="P221">
        <v>86</v>
      </c>
      <c r="Q221" t="s">
        <v>29</v>
      </c>
      <c r="R221">
        <v>147</v>
      </c>
      <c r="S221">
        <v>19.53</v>
      </c>
      <c r="T221" t="s">
        <v>30</v>
      </c>
    </row>
    <row r="222" spans="1:20" x14ac:dyDescent="0.3">
      <c r="A222" t="s">
        <v>31</v>
      </c>
      <c r="B222">
        <v>49</v>
      </c>
      <c r="C222">
        <v>114.2</v>
      </c>
      <c r="D222">
        <v>1.77</v>
      </c>
      <c r="E222">
        <v>36.5</v>
      </c>
      <c r="F222">
        <v>78.400000000000006</v>
      </c>
      <c r="G222" t="s">
        <v>243</v>
      </c>
      <c r="H222">
        <v>277</v>
      </c>
      <c r="I222">
        <v>33</v>
      </c>
      <c r="J222">
        <v>109</v>
      </c>
      <c r="K222" t="s">
        <v>22</v>
      </c>
      <c r="L222" t="s">
        <v>23</v>
      </c>
      <c r="M222" t="s">
        <v>28</v>
      </c>
      <c r="N222">
        <v>0.443</v>
      </c>
      <c r="O222">
        <v>140</v>
      </c>
      <c r="P222">
        <v>70</v>
      </c>
      <c r="Q222" t="s">
        <v>38</v>
      </c>
      <c r="S222">
        <v>21.84</v>
      </c>
      <c r="T222" t="s">
        <v>30</v>
      </c>
    </row>
    <row r="223" spans="1:20" x14ac:dyDescent="0.3">
      <c r="A223" t="s">
        <v>20</v>
      </c>
      <c r="B223">
        <v>50</v>
      </c>
      <c r="C223">
        <v>94.6</v>
      </c>
      <c r="D223">
        <v>1.89</v>
      </c>
      <c r="E223">
        <v>26.5</v>
      </c>
      <c r="F223">
        <v>96.7</v>
      </c>
      <c r="G223" t="s">
        <v>244</v>
      </c>
      <c r="I223">
        <v>45</v>
      </c>
      <c r="K223" t="s">
        <v>22</v>
      </c>
      <c r="L223" t="s">
        <v>23</v>
      </c>
      <c r="M223" t="s">
        <v>24</v>
      </c>
      <c r="N223">
        <v>0.51200000000000001</v>
      </c>
      <c r="O223">
        <v>96</v>
      </c>
      <c r="P223">
        <v>73</v>
      </c>
      <c r="Q223" t="s">
        <v>33</v>
      </c>
      <c r="R223">
        <v>144</v>
      </c>
      <c r="S223">
        <v>16.48</v>
      </c>
      <c r="T223" t="s">
        <v>30</v>
      </c>
    </row>
    <row r="224" spans="1:20" x14ac:dyDescent="0.3">
      <c r="A224" t="s">
        <v>31</v>
      </c>
      <c r="B224">
        <v>32</v>
      </c>
      <c r="C224">
        <v>104</v>
      </c>
      <c r="D224">
        <v>1.69</v>
      </c>
      <c r="E224">
        <v>36.4</v>
      </c>
      <c r="F224">
        <v>105.5</v>
      </c>
      <c r="G224" t="s">
        <v>245</v>
      </c>
      <c r="H224">
        <v>148</v>
      </c>
      <c r="I224">
        <v>60</v>
      </c>
      <c r="J224">
        <v>107</v>
      </c>
      <c r="K224" t="s">
        <v>23</v>
      </c>
      <c r="L224" t="s">
        <v>23</v>
      </c>
      <c r="M224" t="s">
        <v>24</v>
      </c>
      <c r="N224">
        <v>0.624</v>
      </c>
      <c r="O224">
        <v>143</v>
      </c>
      <c r="P224">
        <v>67</v>
      </c>
      <c r="Q224" t="s">
        <v>38</v>
      </c>
      <c r="R224">
        <v>58</v>
      </c>
      <c r="S224">
        <v>19.39</v>
      </c>
      <c r="T224" t="s">
        <v>30</v>
      </c>
    </row>
    <row r="225" spans="1:20" x14ac:dyDescent="0.3">
      <c r="A225" t="s">
        <v>31</v>
      </c>
      <c r="B225">
        <v>54</v>
      </c>
      <c r="C225">
        <v>52.9</v>
      </c>
      <c r="D225">
        <v>1.7</v>
      </c>
      <c r="E225">
        <v>18.3</v>
      </c>
      <c r="G225" t="s">
        <v>88</v>
      </c>
      <c r="H225">
        <v>170</v>
      </c>
      <c r="I225">
        <v>41</v>
      </c>
      <c r="J225">
        <v>118</v>
      </c>
      <c r="K225" t="s">
        <v>23</v>
      </c>
      <c r="L225" t="s">
        <v>22</v>
      </c>
      <c r="M225" t="s">
        <v>28</v>
      </c>
      <c r="N225">
        <v>0.433</v>
      </c>
      <c r="O225">
        <v>139</v>
      </c>
      <c r="P225">
        <v>66</v>
      </c>
      <c r="Q225" t="s">
        <v>29</v>
      </c>
      <c r="R225">
        <v>99</v>
      </c>
      <c r="S225">
        <v>14.01</v>
      </c>
      <c r="T225" t="s">
        <v>26</v>
      </c>
    </row>
    <row r="226" spans="1:20" x14ac:dyDescent="0.3">
      <c r="A226" t="s">
        <v>31</v>
      </c>
      <c r="B226">
        <v>30</v>
      </c>
      <c r="C226">
        <v>82.9</v>
      </c>
      <c r="D226">
        <v>1.75</v>
      </c>
      <c r="E226">
        <v>27.1</v>
      </c>
      <c r="F226">
        <v>77.3</v>
      </c>
      <c r="G226" t="s">
        <v>246</v>
      </c>
      <c r="H226">
        <v>157</v>
      </c>
      <c r="J226">
        <v>141</v>
      </c>
      <c r="K226" t="s">
        <v>23</v>
      </c>
      <c r="L226" t="s">
        <v>23</v>
      </c>
      <c r="M226" t="s">
        <v>28</v>
      </c>
      <c r="O226">
        <v>148</v>
      </c>
      <c r="P226">
        <v>91</v>
      </c>
      <c r="Q226" t="s">
        <v>38</v>
      </c>
      <c r="R226">
        <v>73</v>
      </c>
      <c r="S226">
        <v>17.96</v>
      </c>
      <c r="T226" t="s">
        <v>30</v>
      </c>
    </row>
    <row r="227" spans="1:20" x14ac:dyDescent="0.3">
      <c r="A227" t="s">
        <v>20</v>
      </c>
      <c r="B227">
        <v>43</v>
      </c>
      <c r="C227">
        <v>98.2</v>
      </c>
      <c r="D227">
        <v>1.74</v>
      </c>
      <c r="E227">
        <v>32.4</v>
      </c>
      <c r="F227">
        <v>106</v>
      </c>
      <c r="G227" t="s">
        <v>94</v>
      </c>
      <c r="I227">
        <v>52</v>
      </c>
      <c r="J227">
        <v>113</v>
      </c>
      <c r="K227" t="s">
        <v>23</v>
      </c>
      <c r="L227" t="s">
        <v>23</v>
      </c>
      <c r="M227" t="s">
        <v>37</v>
      </c>
      <c r="O227">
        <v>103</v>
      </c>
      <c r="P227">
        <v>98</v>
      </c>
      <c r="Q227" t="s">
        <v>38</v>
      </c>
      <c r="R227">
        <v>35</v>
      </c>
      <c r="S227">
        <v>15.97</v>
      </c>
      <c r="T227" t="s">
        <v>26</v>
      </c>
    </row>
    <row r="228" spans="1:20" x14ac:dyDescent="0.3">
      <c r="A228" t="s">
        <v>20</v>
      </c>
      <c r="B228">
        <v>34</v>
      </c>
      <c r="C228">
        <v>93.1</v>
      </c>
      <c r="E228">
        <v>27.5</v>
      </c>
      <c r="F228">
        <v>101.2</v>
      </c>
      <c r="G228" t="s">
        <v>247</v>
      </c>
      <c r="H228">
        <v>165</v>
      </c>
      <c r="I228">
        <v>31</v>
      </c>
      <c r="J228">
        <v>140</v>
      </c>
      <c r="K228" t="s">
        <v>23</v>
      </c>
      <c r="L228" t="s">
        <v>22</v>
      </c>
      <c r="M228" t="s">
        <v>37</v>
      </c>
      <c r="N228">
        <v>0.55000000000000004</v>
      </c>
      <c r="O228">
        <v>124</v>
      </c>
      <c r="P228">
        <v>70</v>
      </c>
      <c r="Q228" t="s">
        <v>25</v>
      </c>
      <c r="R228">
        <v>104</v>
      </c>
      <c r="S228">
        <v>15</v>
      </c>
      <c r="T228" t="s">
        <v>30</v>
      </c>
    </row>
    <row r="229" spans="1:20" x14ac:dyDescent="0.3">
      <c r="A229" t="s">
        <v>31</v>
      </c>
      <c r="B229">
        <v>38</v>
      </c>
      <c r="C229">
        <v>97</v>
      </c>
      <c r="D229">
        <v>1.66</v>
      </c>
      <c r="E229">
        <v>35.200000000000003</v>
      </c>
      <c r="F229">
        <v>86.9</v>
      </c>
      <c r="G229" t="s">
        <v>248</v>
      </c>
      <c r="H229">
        <v>221</v>
      </c>
      <c r="I229">
        <v>41</v>
      </c>
      <c r="J229">
        <v>83</v>
      </c>
      <c r="K229" t="s">
        <v>22</v>
      </c>
      <c r="L229" t="s">
        <v>23</v>
      </c>
      <c r="M229" t="s">
        <v>37</v>
      </c>
      <c r="N229">
        <v>0.52300000000000002</v>
      </c>
      <c r="O229">
        <v>128</v>
      </c>
      <c r="P229">
        <v>81</v>
      </c>
      <c r="Q229" t="s">
        <v>29</v>
      </c>
      <c r="R229">
        <v>150</v>
      </c>
      <c r="S229">
        <v>19.86</v>
      </c>
      <c r="T229" t="s">
        <v>30</v>
      </c>
    </row>
    <row r="230" spans="1:20" x14ac:dyDescent="0.3">
      <c r="A230" t="s">
        <v>31</v>
      </c>
      <c r="B230">
        <v>56</v>
      </c>
      <c r="C230">
        <v>116.2</v>
      </c>
      <c r="D230">
        <v>1.67</v>
      </c>
      <c r="E230">
        <v>41.7</v>
      </c>
      <c r="F230">
        <v>97.6</v>
      </c>
      <c r="G230" t="s">
        <v>154</v>
      </c>
      <c r="H230">
        <v>173</v>
      </c>
      <c r="I230">
        <v>40</v>
      </c>
      <c r="J230">
        <v>133</v>
      </c>
      <c r="K230" t="s">
        <v>22</v>
      </c>
      <c r="L230" t="s">
        <v>23</v>
      </c>
      <c r="M230" t="s">
        <v>28</v>
      </c>
      <c r="N230">
        <v>0.58399999999999996</v>
      </c>
      <c r="O230">
        <v>149</v>
      </c>
      <c r="P230">
        <v>66</v>
      </c>
      <c r="Q230" t="s">
        <v>38</v>
      </c>
      <c r="R230">
        <v>103</v>
      </c>
      <c r="S230">
        <v>21.25</v>
      </c>
      <c r="T230" t="s">
        <v>26</v>
      </c>
    </row>
    <row r="231" spans="1:20" x14ac:dyDescent="0.3">
      <c r="A231" t="s">
        <v>20</v>
      </c>
      <c r="B231">
        <v>35</v>
      </c>
      <c r="C231">
        <v>113.3</v>
      </c>
      <c r="D231">
        <v>1.78</v>
      </c>
      <c r="E231">
        <v>35.799999999999997</v>
      </c>
      <c r="F231">
        <v>79.599999999999994</v>
      </c>
      <c r="G231" t="s">
        <v>249</v>
      </c>
      <c r="H231">
        <v>158</v>
      </c>
      <c r="I231">
        <v>34</v>
      </c>
      <c r="J231">
        <v>111</v>
      </c>
      <c r="K231" t="s">
        <v>23</v>
      </c>
      <c r="L231" t="s">
        <v>22</v>
      </c>
      <c r="M231" t="s">
        <v>37</v>
      </c>
      <c r="N231">
        <v>0.44700000000000001</v>
      </c>
      <c r="O231">
        <v>92</v>
      </c>
      <c r="P231">
        <v>89</v>
      </c>
      <c r="Q231" t="s">
        <v>29</v>
      </c>
      <c r="R231">
        <v>94</v>
      </c>
      <c r="S231">
        <v>14.92</v>
      </c>
      <c r="T231" t="s">
        <v>30</v>
      </c>
    </row>
    <row r="232" spans="1:20" x14ac:dyDescent="0.3">
      <c r="A232" t="s">
        <v>31</v>
      </c>
      <c r="B232">
        <v>50</v>
      </c>
      <c r="C232">
        <v>83</v>
      </c>
      <c r="D232">
        <v>1.85</v>
      </c>
      <c r="E232">
        <v>24.3</v>
      </c>
      <c r="F232">
        <v>91.7</v>
      </c>
      <c r="G232" t="s">
        <v>250</v>
      </c>
      <c r="H232">
        <v>279</v>
      </c>
      <c r="I232">
        <v>59</v>
      </c>
      <c r="J232">
        <v>116</v>
      </c>
      <c r="K232" t="s">
        <v>23</v>
      </c>
      <c r="L232" t="s">
        <v>23</v>
      </c>
      <c r="M232" t="s">
        <v>24</v>
      </c>
      <c r="N232">
        <v>0.496</v>
      </c>
      <c r="O232">
        <v>141</v>
      </c>
      <c r="P232">
        <v>78</v>
      </c>
      <c r="Q232" t="s">
        <v>38</v>
      </c>
      <c r="R232">
        <v>190</v>
      </c>
      <c r="S232">
        <v>19.489999999999998</v>
      </c>
      <c r="T232" t="s">
        <v>30</v>
      </c>
    </row>
    <row r="233" spans="1:20" x14ac:dyDescent="0.3">
      <c r="A233" t="s">
        <v>31</v>
      </c>
      <c r="B233">
        <v>46</v>
      </c>
      <c r="C233">
        <v>78.7</v>
      </c>
      <c r="D233">
        <v>1.64</v>
      </c>
      <c r="F233">
        <v>105.5</v>
      </c>
      <c r="G233" t="s">
        <v>251</v>
      </c>
      <c r="H233">
        <v>196</v>
      </c>
      <c r="I233">
        <v>37</v>
      </c>
      <c r="J233">
        <v>102</v>
      </c>
      <c r="K233" t="s">
        <v>22</v>
      </c>
      <c r="L233" t="s">
        <v>22</v>
      </c>
      <c r="M233" t="s">
        <v>28</v>
      </c>
      <c r="N233">
        <v>0.64300000000000002</v>
      </c>
      <c r="O233">
        <v>137</v>
      </c>
      <c r="P233">
        <v>76</v>
      </c>
      <c r="Q233" t="s">
        <v>29</v>
      </c>
      <c r="R233">
        <v>129</v>
      </c>
      <c r="S233">
        <v>16.63</v>
      </c>
      <c r="T233" t="s">
        <v>30</v>
      </c>
    </row>
    <row r="234" spans="1:20" x14ac:dyDescent="0.3">
      <c r="A234" t="s">
        <v>31</v>
      </c>
      <c r="B234">
        <v>52</v>
      </c>
      <c r="C234">
        <v>108.6</v>
      </c>
      <c r="D234">
        <v>1.86</v>
      </c>
      <c r="E234">
        <v>31.4</v>
      </c>
      <c r="F234">
        <v>93.9</v>
      </c>
      <c r="G234" t="s">
        <v>252</v>
      </c>
      <c r="H234">
        <v>109</v>
      </c>
      <c r="I234">
        <v>42</v>
      </c>
      <c r="J234">
        <v>79</v>
      </c>
      <c r="K234" t="s">
        <v>22</v>
      </c>
      <c r="L234" t="s">
        <v>23</v>
      </c>
      <c r="M234" t="s">
        <v>37</v>
      </c>
      <c r="N234">
        <v>0.505</v>
      </c>
      <c r="O234">
        <v>133</v>
      </c>
      <c r="P234">
        <v>63</v>
      </c>
      <c r="Q234" t="s">
        <v>29</v>
      </c>
      <c r="S234">
        <v>17.11</v>
      </c>
      <c r="T234" t="s">
        <v>26</v>
      </c>
    </row>
    <row r="235" spans="1:20" x14ac:dyDescent="0.3">
      <c r="A235" t="s">
        <v>20</v>
      </c>
      <c r="B235">
        <v>43</v>
      </c>
      <c r="C235">
        <v>61</v>
      </c>
      <c r="D235">
        <v>1.73</v>
      </c>
      <c r="E235">
        <v>20.399999999999999</v>
      </c>
      <c r="F235">
        <v>79.7</v>
      </c>
      <c r="G235" t="s">
        <v>253</v>
      </c>
      <c r="H235">
        <v>299</v>
      </c>
      <c r="I235">
        <v>79</v>
      </c>
      <c r="J235">
        <v>130</v>
      </c>
      <c r="K235" t="s">
        <v>23</v>
      </c>
      <c r="L235" t="s">
        <v>22</v>
      </c>
      <c r="M235" t="s">
        <v>37</v>
      </c>
      <c r="N235">
        <v>0.46100000000000002</v>
      </c>
      <c r="O235">
        <v>131</v>
      </c>
      <c r="P235">
        <v>95</v>
      </c>
      <c r="Q235" t="s">
        <v>29</v>
      </c>
      <c r="R235">
        <v>190</v>
      </c>
      <c r="S235">
        <v>16.61</v>
      </c>
      <c r="T235" t="s">
        <v>26</v>
      </c>
    </row>
    <row r="236" spans="1:20" x14ac:dyDescent="0.3">
      <c r="A236" t="s">
        <v>20</v>
      </c>
      <c r="B236">
        <v>31</v>
      </c>
      <c r="C236">
        <v>98.9</v>
      </c>
      <c r="E236">
        <v>30.2</v>
      </c>
      <c r="F236">
        <v>77.900000000000006</v>
      </c>
      <c r="G236" t="s">
        <v>254</v>
      </c>
      <c r="H236">
        <v>174</v>
      </c>
      <c r="I236">
        <v>37</v>
      </c>
      <c r="J236">
        <v>149</v>
      </c>
      <c r="K236" t="s">
        <v>22</v>
      </c>
      <c r="L236" t="s">
        <v>22</v>
      </c>
      <c r="M236" t="s">
        <v>24</v>
      </c>
      <c r="O236">
        <v>129</v>
      </c>
      <c r="P236">
        <v>86</v>
      </c>
      <c r="Q236" t="s">
        <v>29</v>
      </c>
      <c r="R236">
        <v>107</v>
      </c>
      <c r="S236">
        <v>15.97</v>
      </c>
      <c r="T236" t="s">
        <v>30</v>
      </c>
    </row>
    <row r="237" spans="1:20" x14ac:dyDescent="0.3">
      <c r="A237" t="s">
        <v>20</v>
      </c>
      <c r="B237">
        <v>32</v>
      </c>
      <c r="C237">
        <v>55.1</v>
      </c>
      <c r="D237">
        <v>1.77</v>
      </c>
      <c r="E237">
        <v>17.600000000000001</v>
      </c>
      <c r="F237">
        <v>109.7</v>
      </c>
      <c r="G237" t="s">
        <v>255</v>
      </c>
      <c r="H237">
        <v>204</v>
      </c>
      <c r="I237">
        <v>68</v>
      </c>
      <c r="J237">
        <v>137</v>
      </c>
      <c r="K237" t="s">
        <v>22</v>
      </c>
      <c r="L237" t="s">
        <v>22</v>
      </c>
      <c r="M237" t="s">
        <v>28</v>
      </c>
      <c r="O237">
        <v>119</v>
      </c>
      <c r="P237">
        <v>61</v>
      </c>
      <c r="Q237" t="s">
        <v>33</v>
      </c>
      <c r="R237">
        <v>106</v>
      </c>
      <c r="S237">
        <v>13.55</v>
      </c>
      <c r="T237" t="s">
        <v>52</v>
      </c>
    </row>
    <row r="238" spans="1:20" x14ac:dyDescent="0.3">
      <c r="A238" t="s">
        <v>31</v>
      </c>
      <c r="B238">
        <v>42</v>
      </c>
      <c r="C238">
        <v>52.5</v>
      </c>
      <c r="D238">
        <v>1.64</v>
      </c>
      <c r="E238">
        <v>19.5</v>
      </c>
      <c r="F238">
        <v>102.4</v>
      </c>
      <c r="G238" t="s">
        <v>245</v>
      </c>
      <c r="H238">
        <v>118</v>
      </c>
      <c r="I238">
        <v>30</v>
      </c>
      <c r="J238">
        <v>102</v>
      </c>
      <c r="K238" t="s">
        <v>23</v>
      </c>
      <c r="L238" t="s">
        <v>23</v>
      </c>
      <c r="M238" t="s">
        <v>28</v>
      </c>
      <c r="N238">
        <v>0.624</v>
      </c>
      <c r="O238">
        <v>143</v>
      </c>
      <c r="P238">
        <v>67</v>
      </c>
      <c r="Q238" t="s">
        <v>38</v>
      </c>
      <c r="R238">
        <v>58</v>
      </c>
      <c r="S238">
        <v>15.41</v>
      </c>
      <c r="T238" t="s">
        <v>30</v>
      </c>
    </row>
    <row r="239" spans="1:20" x14ac:dyDescent="0.3">
      <c r="A239" t="s">
        <v>31</v>
      </c>
      <c r="B239">
        <v>38</v>
      </c>
      <c r="C239">
        <v>105.6</v>
      </c>
      <c r="D239">
        <v>1.8</v>
      </c>
      <c r="E239">
        <v>32.6</v>
      </c>
      <c r="F239">
        <v>71.7</v>
      </c>
      <c r="G239" t="s">
        <v>256</v>
      </c>
      <c r="H239">
        <v>252</v>
      </c>
      <c r="I239">
        <v>48</v>
      </c>
      <c r="J239">
        <v>134</v>
      </c>
      <c r="K239" t="s">
        <v>23</v>
      </c>
      <c r="L239" t="s">
        <v>23</v>
      </c>
      <c r="M239" t="s">
        <v>37</v>
      </c>
      <c r="N239">
        <v>0.39800000000000002</v>
      </c>
      <c r="O239">
        <v>127</v>
      </c>
      <c r="P239">
        <v>84</v>
      </c>
      <c r="Q239" t="s">
        <v>29</v>
      </c>
      <c r="R239">
        <v>174</v>
      </c>
      <c r="S239">
        <v>19.91</v>
      </c>
      <c r="T239" t="s">
        <v>30</v>
      </c>
    </row>
    <row r="240" spans="1:20" x14ac:dyDescent="0.3">
      <c r="A240" t="s">
        <v>20</v>
      </c>
      <c r="B240">
        <v>41</v>
      </c>
      <c r="C240">
        <v>93.6</v>
      </c>
      <c r="D240">
        <v>1.71</v>
      </c>
      <c r="F240">
        <v>102.7</v>
      </c>
      <c r="G240" t="s">
        <v>257</v>
      </c>
      <c r="H240">
        <v>137</v>
      </c>
      <c r="I240">
        <v>49</v>
      </c>
      <c r="J240">
        <v>134</v>
      </c>
      <c r="K240" t="s">
        <v>23</v>
      </c>
      <c r="L240" t="s">
        <v>23</v>
      </c>
      <c r="M240" t="s">
        <v>24</v>
      </c>
      <c r="N240">
        <v>0.60099999999999998</v>
      </c>
      <c r="O240">
        <v>139</v>
      </c>
      <c r="Q240" t="s">
        <v>29</v>
      </c>
      <c r="R240">
        <v>58</v>
      </c>
      <c r="S240">
        <v>18.09</v>
      </c>
      <c r="T240" t="s">
        <v>30</v>
      </c>
    </row>
    <row r="241" spans="1:20" x14ac:dyDescent="0.3">
      <c r="A241" t="s">
        <v>31</v>
      </c>
      <c r="B241">
        <v>40</v>
      </c>
      <c r="C241">
        <v>96.7</v>
      </c>
      <c r="D241">
        <v>1.64</v>
      </c>
      <c r="E241">
        <v>36</v>
      </c>
      <c r="F241">
        <v>74.5</v>
      </c>
      <c r="G241" t="s">
        <v>258</v>
      </c>
      <c r="H241">
        <v>238</v>
      </c>
      <c r="I241">
        <v>58</v>
      </c>
      <c r="J241">
        <v>125</v>
      </c>
      <c r="K241" t="s">
        <v>23</v>
      </c>
      <c r="L241" t="s">
        <v>23</v>
      </c>
      <c r="M241" t="s">
        <v>28</v>
      </c>
      <c r="N241">
        <v>0.45400000000000001</v>
      </c>
      <c r="O241">
        <v>126</v>
      </c>
      <c r="P241">
        <v>71</v>
      </c>
      <c r="Q241" t="s">
        <v>25</v>
      </c>
      <c r="R241">
        <v>150</v>
      </c>
      <c r="S241">
        <v>20.260000000000002</v>
      </c>
      <c r="T241" t="s">
        <v>30</v>
      </c>
    </row>
    <row r="242" spans="1:20" x14ac:dyDescent="0.3">
      <c r="A242" t="s">
        <v>31</v>
      </c>
      <c r="B242">
        <v>37</v>
      </c>
      <c r="C242">
        <v>112.3</v>
      </c>
      <c r="D242">
        <v>1.71</v>
      </c>
      <c r="E242">
        <v>38.4</v>
      </c>
      <c r="F242">
        <v>70.3</v>
      </c>
      <c r="G242" t="s">
        <v>259</v>
      </c>
      <c r="I242">
        <v>34</v>
      </c>
      <c r="K242" t="s">
        <v>22</v>
      </c>
      <c r="L242" t="s">
        <v>22</v>
      </c>
      <c r="M242" t="s">
        <v>24</v>
      </c>
      <c r="N242">
        <v>0.41099999999999998</v>
      </c>
      <c r="O242">
        <v>140</v>
      </c>
      <c r="P242">
        <v>69</v>
      </c>
      <c r="Q242" t="s">
        <v>38</v>
      </c>
      <c r="R242">
        <v>174</v>
      </c>
      <c r="S242">
        <v>19.440000000000001</v>
      </c>
      <c r="T242" t="s">
        <v>30</v>
      </c>
    </row>
    <row r="243" spans="1:20" x14ac:dyDescent="0.3">
      <c r="A243" t="s">
        <v>20</v>
      </c>
      <c r="C243">
        <v>94.5</v>
      </c>
      <c r="D243">
        <v>1.88</v>
      </c>
      <c r="E243">
        <v>26.7</v>
      </c>
      <c r="F243">
        <v>102.6</v>
      </c>
      <c r="G243" t="s">
        <v>260</v>
      </c>
      <c r="H243">
        <v>211</v>
      </c>
      <c r="I243">
        <v>79</v>
      </c>
      <c r="J243">
        <v>131</v>
      </c>
      <c r="K243" t="s">
        <v>23</v>
      </c>
      <c r="L243" t="s">
        <v>23</v>
      </c>
      <c r="M243" t="s">
        <v>28</v>
      </c>
      <c r="N243">
        <v>0.54600000000000004</v>
      </c>
      <c r="O243">
        <v>127</v>
      </c>
      <c r="P243">
        <v>91</v>
      </c>
      <c r="Q243" t="s">
        <v>38</v>
      </c>
      <c r="R243">
        <v>102</v>
      </c>
      <c r="S243">
        <v>17.91</v>
      </c>
      <c r="T243" t="s">
        <v>30</v>
      </c>
    </row>
    <row r="244" spans="1:20" x14ac:dyDescent="0.3">
      <c r="A244" t="s">
        <v>31</v>
      </c>
      <c r="B244">
        <v>58</v>
      </c>
      <c r="C244">
        <v>110.5</v>
      </c>
      <c r="D244">
        <v>1.64</v>
      </c>
      <c r="E244">
        <v>41.1</v>
      </c>
      <c r="F244">
        <v>88.3</v>
      </c>
      <c r="G244" t="s">
        <v>261</v>
      </c>
      <c r="H244">
        <v>119</v>
      </c>
      <c r="I244">
        <v>35</v>
      </c>
      <c r="J244">
        <v>141</v>
      </c>
      <c r="K244" t="s">
        <v>23</v>
      </c>
      <c r="L244" t="s">
        <v>23</v>
      </c>
      <c r="M244" t="s">
        <v>37</v>
      </c>
      <c r="N244">
        <v>0.53800000000000003</v>
      </c>
      <c r="O244">
        <v>103</v>
      </c>
      <c r="P244">
        <v>73</v>
      </c>
      <c r="Q244" t="s">
        <v>33</v>
      </c>
      <c r="R244">
        <v>54</v>
      </c>
      <c r="S244">
        <v>17.75</v>
      </c>
      <c r="T244" t="s">
        <v>30</v>
      </c>
    </row>
    <row r="245" spans="1:20" x14ac:dyDescent="0.3">
      <c r="A245" t="s">
        <v>20</v>
      </c>
      <c r="B245">
        <v>42</v>
      </c>
      <c r="C245">
        <v>77.099999999999994</v>
      </c>
      <c r="D245">
        <v>1.74</v>
      </c>
      <c r="E245">
        <v>25.5</v>
      </c>
      <c r="F245">
        <v>107.6</v>
      </c>
      <c r="G245" t="s">
        <v>262</v>
      </c>
      <c r="H245">
        <v>186</v>
      </c>
      <c r="I245">
        <v>66</v>
      </c>
      <c r="J245">
        <v>143</v>
      </c>
      <c r="K245" t="s">
        <v>23</v>
      </c>
      <c r="L245" t="s">
        <v>22</v>
      </c>
      <c r="M245" t="s">
        <v>37</v>
      </c>
      <c r="N245">
        <v>0.61799999999999999</v>
      </c>
      <c r="O245">
        <v>126</v>
      </c>
      <c r="P245">
        <v>86</v>
      </c>
      <c r="Q245" t="s">
        <v>29</v>
      </c>
      <c r="R245">
        <v>90</v>
      </c>
      <c r="S245">
        <v>15.12</v>
      </c>
      <c r="T245" t="s">
        <v>26</v>
      </c>
    </row>
    <row r="246" spans="1:20" x14ac:dyDescent="0.3">
      <c r="A246" t="s">
        <v>20</v>
      </c>
      <c r="B246">
        <v>30</v>
      </c>
      <c r="C246">
        <v>113.3</v>
      </c>
      <c r="D246">
        <v>1.81</v>
      </c>
      <c r="E246">
        <v>34.6</v>
      </c>
      <c r="G246" t="s">
        <v>263</v>
      </c>
      <c r="H246">
        <v>160</v>
      </c>
      <c r="I246">
        <v>31</v>
      </c>
      <c r="J246">
        <v>111</v>
      </c>
      <c r="K246" t="s">
        <v>22</v>
      </c>
      <c r="L246" t="s">
        <v>23</v>
      </c>
      <c r="M246" t="s">
        <v>37</v>
      </c>
      <c r="O246">
        <v>150</v>
      </c>
      <c r="P246">
        <v>61</v>
      </c>
      <c r="Q246" t="s">
        <v>38</v>
      </c>
      <c r="R246">
        <v>99</v>
      </c>
      <c r="S246">
        <v>19.62</v>
      </c>
      <c r="T246" t="s">
        <v>30</v>
      </c>
    </row>
    <row r="247" spans="1:20" x14ac:dyDescent="0.3">
      <c r="A247" t="s">
        <v>31</v>
      </c>
      <c r="B247">
        <v>46</v>
      </c>
      <c r="C247">
        <v>88.6</v>
      </c>
      <c r="D247">
        <v>1.64</v>
      </c>
      <c r="E247">
        <v>32.9</v>
      </c>
      <c r="F247">
        <v>109.5</v>
      </c>
      <c r="G247" t="s">
        <v>264</v>
      </c>
      <c r="H247">
        <v>276</v>
      </c>
      <c r="I247">
        <v>78</v>
      </c>
      <c r="J247">
        <v>112</v>
      </c>
      <c r="K247" t="s">
        <v>22</v>
      </c>
      <c r="L247" t="s">
        <v>22</v>
      </c>
      <c r="M247" t="s">
        <v>28</v>
      </c>
      <c r="N247">
        <v>0.66800000000000004</v>
      </c>
      <c r="O247">
        <v>94</v>
      </c>
      <c r="P247">
        <v>64</v>
      </c>
      <c r="Q247" t="s">
        <v>33</v>
      </c>
      <c r="R247">
        <v>168</v>
      </c>
      <c r="S247">
        <v>16.8</v>
      </c>
      <c r="T247" t="s">
        <v>30</v>
      </c>
    </row>
    <row r="248" spans="1:20" x14ac:dyDescent="0.3">
      <c r="A248" t="s">
        <v>31</v>
      </c>
      <c r="B248">
        <v>31</v>
      </c>
      <c r="C248">
        <v>91.4</v>
      </c>
      <c r="D248">
        <v>1.82</v>
      </c>
      <c r="E248">
        <v>27.6</v>
      </c>
      <c r="G248" t="s">
        <v>265</v>
      </c>
      <c r="H248">
        <v>146</v>
      </c>
      <c r="I248">
        <v>80</v>
      </c>
      <c r="J248">
        <v>112</v>
      </c>
      <c r="K248" t="s">
        <v>23</v>
      </c>
      <c r="L248" t="s">
        <v>22</v>
      </c>
      <c r="M248" t="s">
        <v>28</v>
      </c>
      <c r="N248">
        <v>0.55400000000000005</v>
      </c>
      <c r="O248">
        <v>110</v>
      </c>
      <c r="P248">
        <v>92</v>
      </c>
      <c r="Q248" t="s">
        <v>38</v>
      </c>
      <c r="R248">
        <v>36</v>
      </c>
      <c r="T248" t="s">
        <v>26</v>
      </c>
    </row>
    <row r="249" spans="1:20" x14ac:dyDescent="0.3">
      <c r="A249" t="s">
        <v>20</v>
      </c>
      <c r="B249">
        <v>38</v>
      </c>
      <c r="C249">
        <v>72.900000000000006</v>
      </c>
      <c r="D249">
        <v>1.77</v>
      </c>
      <c r="E249">
        <v>23.3</v>
      </c>
      <c r="F249">
        <v>70.599999999999994</v>
      </c>
      <c r="G249" t="s">
        <v>266</v>
      </c>
      <c r="H249">
        <v>124</v>
      </c>
      <c r="I249">
        <v>61</v>
      </c>
      <c r="J249">
        <v>84</v>
      </c>
      <c r="K249" t="s">
        <v>23</v>
      </c>
      <c r="L249" t="s">
        <v>22</v>
      </c>
      <c r="M249" t="s">
        <v>28</v>
      </c>
      <c r="N249">
        <v>0.39900000000000002</v>
      </c>
      <c r="O249">
        <v>98</v>
      </c>
      <c r="P249">
        <v>66</v>
      </c>
      <c r="Q249" t="s">
        <v>33</v>
      </c>
      <c r="R249">
        <v>33</v>
      </c>
      <c r="S249">
        <v>12.04</v>
      </c>
      <c r="T249" t="s">
        <v>26</v>
      </c>
    </row>
    <row r="250" spans="1:20" x14ac:dyDescent="0.3">
      <c r="A250" t="s">
        <v>31</v>
      </c>
      <c r="C250">
        <v>91.9</v>
      </c>
      <c r="D250">
        <v>1.75</v>
      </c>
      <c r="E250">
        <v>30</v>
      </c>
      <c r="F250">
        <v>78.2</v>
      </c>
      <c r="G250" t="s">
        <v>267</v>
      </c>
      <c r="H250">
        <v>185</v>
      </c>
      <c r="I250">
        <v>52</v>
      </c>
      <c r="J250">
        <v>148</v>
      </c>
      <c r="K250" t="s">
        <v>23</v>
      </c>
      <c r="L250" t="s">
        <v>23</v>
      </c>
      <c r="M250" t="s">
        <v>24</v>
      </c>
      <c r="N250">
        <v>0.44700000000000001</v>
      </c>
      <c r="O250">
        <v>125</v>
      </c>
      <c r="P250">
        <v>65</v>
      </c>
      <c r="Q250" t="s">
        <v>25</v>
      </c>
      <c r="R250">
        <v>103</v>
      </c>
      <c r="S250">
        <v>17.95</v>
      </c>
      <c r="T250" t="s">
        <v>30</v>
      </c>
    </row>
    <row r="251" spans="1:20" x14ac:dyDescent="0.3">
      <c r="A251" t="s">
        <v>20</v>
      </c>
      <c r="B251">
        <v>48</v>
      </c>
      <c r="C251">
        <v>102.2</v>
      </c>
      <c r="D251">
        <v>1.75</v>
      </c>
      <c r="E251">
        <v>33.4</v>
      </c>
      <c r="F251">
        <v>106.7</v>
      </c>
      <c r="G251" t="s">
        <v>268</v>
      </c>
      <c r="H251">
        <v>207</v>
      </c>
      <c r="I251">
        <v>49</v>
      </c>
      <c r="J251">
        <v>147</v>
      </c>
      <c r="K251" t="s">
        <v>23</v>
      </c>
      <c r="L251" t="s">
        <v>23</v>
      </c>
      <c r="M251" t="s">
        <v>24</v>
      </c>
      <c r="N251">
        <v>0.61</v>
      </c>
      <c r="O251">
        <v>121</v>
      </c>
      <c r="P251">
        <v>68</v>
      </c>
      <c r="Q251" t="s">
        <v>25</v>
      </c>
      <c r="R251">
        <v>128</v>
      </c>
      <c r="S251">
        <v>18.87</v>
      </c>
      <c r="T251" t="s">
        <v>30</v>
      </c>
    </row>
    <row r="252" spans="1:20" x14ac:dyDescent="0.3">
      <c r="A252" t="s">
        <v>31</v>
      </c>
      <c r="B252">
        <v>39</v>
      </c>
      <c r="C252">
        <v>54.3</v>
      </c>
      <c r="D252">
        <v>1.73</v>
      </c>
      <c r="E252">
        <v>18.100000000000001</v>
      </c>
      <c r="F252">
        <v>98.6</v>
      </c>
      <c r="G252" t="s">
        <v>269</v>
      </c>
      <c r="H252">
        <v>220</v>
      </c>
      <c r="J252">
        <v>86</v>
      </c>
      <c r="K252" t="s">
        <v>22</v>
      </c>
      <c r="L252" t="s">
        <v>22</v>
      </c>
      <c r="M252" t="s">
        <v>37</v>
      </c>
      <c r="N252">
        <v>0.56999999999999995</v>
      </c>
      <c r="O252">
        <v>133</v>
      </c>
      <c r="P252">
        <v>86</v>
      </c>
      <c r="Q252" t="s">
        <v>29</v>
      </c>
      <c r="R252">
        <v>121</v>
      </c>
      <c r="S252">
        <v>14.67</v>
      </c>
      <c r="T252" t="s">
        <v>26</v>
      </c>
    </row>
    <row r="253" spans="1:20" x14ac:dyDescent="0.3">
      <c r="A253" t="s">
        <v>31</v>
      </c>
      <c r="B253">
        <v>39</v>
      </c>
      <c r="C253">
        <v>100.7</v>
      </c>
      <c r="D253">
        <v>1.75</v>
      </c>
      <c r="E253">
        <v>32.9</v>
      </c>
      <c r="F253">
        <v>101.1</v>
      </c>
      <c r="G253" t="s">
        <v>270</v>
      </c>
      <c r="H253">
        <v>192</v>
      </c>
      <c r="I253">
        <v>59</v>
      </c>
      <c r="J253">
        <v>72</v>
      </c>
      <c r="K253" t="s">
        <v>22</v>
      </c>
      <c r="L253" t="s">
        <v>22</v>
      </c>
      <c r="M253" t="s">
        <v>24</v>
      </c>
      <c r="N253">
        <v>0.57799999999999996</v>
      </c>
      <c r="O253">
        <v>101</v>
      </c>
      <c r="P253">
        <v>98</v>
      </c>
      <c r="Q253" t="s">
        <v>38</v>
      </c>
      <c r="R253">
        <v>103</v>
      </c>
      <c r="S253">
        <v>15.47</v>
      </c>
      <c r="T253" t="s">
        <v>26</v>
      </c>
    </row>
    <row r="254" spans="1:20" x14ac:dyDescent="0.3">
      <c r="A254" t="s">
        <v>20</v>
      </c>
      <c r="B254">
        <v>54</v>
      </c>
      <c r="C254">
        <v>101.8</v>
      </c>
      <c r="D254">
        <v>1.61</v>
      </c>
      <c r="E254">
        <v>39.299999999999997</v>
      </c>
      <c r="F254">
        <v>98.5</v>
      </c>
      <c r="G254" t="s">
        <v>271</v>
      </c>
      <c r="H254">
        <v>161</v>
      </c>
      <c r="J254">
        <v>108</v>
      </c>
      <c r="K254" t="s">
        <v>22</v>
      </c>
      <c r="L254" t="s">
        <v>22</v>
      </c>
      <c r="M254" t="s">
        <v>24</v>
      </c>
      <c r="N254">
        <v>0.61199999999999999</v>
      </c>
      <c r="O254">
        <v>121</v>
      </c>
      <c r="P254">
        <v>100</v>
      </c>
      <c r="Q254" t="s">
        <v>38</v>
      </c>
      <c r="R254">
        <v>58</v>
      </c>
      <c r="S254">
        <v>17.13</v>
      </c>
      <c r="T254" t="s">
        <v>30</v>
      </c>
    </row>
    <row r="255" spans="1:20" x14ac:dyDescent="0.3">
      <c r="A255" t="s">
        <v>20</v>
      </c>
      <c r="B255">
        <v>32</v>
      </c>
      <c r="C255">
        <v>112.3</v>
      </c>
      <c r="D255">
        <v>1.76</v>
      </c>
      <c r="E255">
        <v>36.299999999999997</v>
      </c>
      <c r="F255">
        <v>102</v>
      </c>
      <c r="G255" t="s">
        <v>272</v>
      </c>
      <c r="H255">
        <v>149</v>
      </c>
      <c r="I255">
        <v>59</v>
      </c>
      <c r="J255">
        <v>103</v>
      </c>
      <c r="K255" t="s">
        <v>22</v>
      </c>
      <c r="L255" t="s">
        <v>23</v>
      </c>
      <c r="M255" t="s">
        <v>37</v>
      </c>
      <c r="N255">
        <v>0.57999999999999996</v>
      </c>
      <c r="O255">
        <v>148</v>
      </c>
      <c r="P255">
        <v>96</v>
      </c>
      <c r="Q255" t="s">
        <v>38</v>
      </c>
      <c r="R255">
        <v>60</v>
      </c>
      <c r="S255">
        <v>19.64</v>
      </c>
      <c r="T255" t="s">
        <v>26</v>
      </c>
    </row>
    <row r="256" spans="1:20" x14ac:dyDescent="0.3">
      <c r="A256" t="s">
        <v>20</v>
      </c>
      <c r="B256">
        <v>40</v>
      </c>
      <c r="C256">
        <v>110</v>
      </c>
      <c r="D256">
        <v>1.69</v>
      </c>
      <c r="E256">
        <v>38.5</v>
      </c>
      <c r="F256">
        <v>85.6</v>
      </c>
      <c r="G256" t="s">
        <v>273</v>
      </c>
      <c r="H256">
        <v>101</v>
      </c>
      <c r="I256">
        <v>40</v>
      </c>
      <c r="J256">
        <v>105</v>
      </c>
      <c r="K256" t="s">
        <v>23</v>
      </c>
      <c r="L256" t="s">
        <v>23</v>
      </c>
      <c r="M256" t="s">
        <v>24</v>
      </c>
      <c r="N256">
        <v>0.50700000000000001</v>
      </c>
      <c r="O256">
        <v>100</v>
      </c>
      <c r="P256">
        <v>62</v>
      </c>
      <c r="Q256" t="s">
        <v>33</v>
      </c>
      <c r="R256">
        <v>31</v>
      </c>
      <c r="S256">
        <v>16.72</v>
      </c>
      <c r="T256" t="s">
        <v>30</v>
      </c>
    </row>
    <row r="257" spans="1:20" x14ac:dyDescent="0.3">
      <c r="A257" t="s">
        <v>31</v>
      </c>
      <c r="B257">
        <v>38</v>
      </c>
      <c r="C257">
        <v>60.6</v>
      </c>
      <c r="D257">
        <v>1.68</v>
      </c>
      <c r="E257">
        <v>21.5</v>
      </c>
      <c r="F257">
        <v>105.2</v>
      </c>
      <c r="G257" t="s">
        <v>274</v>
      </c>
      <c r="I257">
        <v>75</v>
      </c>
      <c r="J257">
        <v>107</v>
      </c>
      <c r="K257" t="s">
        <v>23</v>
      </c>
      <c r="L257" t="s">
        <v>23</v>
      </c>
      <c r="M257" t="s">
        <v>28</v>
      </c>
      <c r="N257">
        <v>0.626</v>
      </c>
      <c r="O257">
        <v>103</v>
      </c>
      <c r="P257">
        <v>82</v>
      </c>
      <c r="Q257" t="s">
        <v>29</v>
      </c>
      <c r="R257">
        <v>48</v>
      </c>
      <c r="S257">
        <v>14.51</v>
      </c>
      <c r="T257" t="s">
        <v>26</v>
      </c>
    </row>
    <row r="258" spans="1:20" x14ac:dyDescent="0.3">
      <c r="A258" t="s">
        <v>20</v>
      </c>
      <c r="B258">
        <v>57</v>
      </c>
      <c r="C258">
        <v>100.8</v>
      </c>
      <c r="D258">
        <v>1.84</v>
      </c>
      <c r="E258">
        <v>29.8</v>
      </c>
      <c r="F258">
        <v>88.4</v>
      </c>
      <c r="G258" t="s">
        <v>275</v>
      </c>
      <c r="H258">
        <v>102</v>
      </c>
      <c r="I258">
        <v>33</v>
      </c>
      <c r="J258">
        <v>128</v>
      </c>
      <c r="K258" t="s">
        <v>23</v>
      </c>
      <c r="L258" t="s">
        <v>23</v>
      </c>
      <c r="M258" t="s">
        <v>28</v>
      </c>
      <c r="N258">
        <v>0.48</v>
      </c>
      <c r="O258">
        <v>110</v>
      </c>
      <c r="P258">
        <v>78</v>
      </c>
      <c r="Q258" t="s">
        <v>33</v>
      </c>
      <c r="R258">
        <v>39</v>
      </c>
      <c r="S258">
        <v>15.5</v>
      </c>
      <c r="T258" t="s">
        <v>30</v>
      </c>
    </row>
    <row r="259" spans="1:20" x14ac:dyDescent="0.3">
      <c r="A259" t="s">
        <v>31</v>
      </c>
      <c r="B259">
        <v>38</v>
      </c>
      <c r="C259">
        <v>103.8</v>
      </c>
      <c r="D259">
        <v>1.65</v>
      </c>
      <c r="E259">
        <v>38.1</v>
      </c>
      <c r="F259">
        <v>101.7</v>
      </c>
      <c r="G259" t="s">
        <v>276</v>
      </c>
      <c r="H259">
        <v>177</v>
      </c>
      <c r="J259">
        <v>131</v>
      </c>
      <c r="K259" t="s">
        <v>23</v>
      </c>
      <c r="L259" t="s">
        <v>22</v>
      </c>
      <c r="M259" t="s">
        <v>28</v>
      </c>
      <c r="N259">
        <v>0.61599999999999999</v>
      </c>
      <c r="O259">
        <v>94</v>
      </c>
      <c r="P259">
        <v>73</v>
      </c>
      <c r="Q259" t="s">
        <v>33</v>
      </c>
      <c r="R259">
        <v>89</v>
      </c>
      <c r="S259">
        <v>15.86</v>
      </c>
      <c r="T259" t="s">
        <v>26</v>
      </c>
    </row>
    <row r="260" spans="1:20" x14ac:dyDescent="0.3">
      <c r="A260" t="s">
        <v>31</v>
      </c>
      <c r="B260">
        <v>57</v>
      </c>
      <c r="C260">
        <v>78.400000000000006</v>
      </c>
      <c r="D260">
        <v>1.84</v>
      </c>
      <c r="E260">
        <v>23.2</v>
      </c>
      <c r="F260">
        <v>101.1</v>
      </c>
      <c r="G260" t="s">
        <v>277</v>
      </c>
      <c r="H260">
        <v>186</v>
      </c>
      <c r="I260">
        <v>70</v>
      </c>
      <c r="J260">
        <v>70</v>
      </c>
      <c r="K260" t="s">
        <v>23</v>
      </c>
      <c r="L260" t="s">
        <v>22</v>
      </c>
      <c r="M260" t="s">
        <v>37</v>
      </c>
      <c r="N260">
        <v>0.54900000000000004</v>
      </c>
      <c r="O260">
        <v>109</v>
      </c>
      <c r="P260">
        <v>83</v>
      </c>
      <c r="Q260" t="s">
        <v>29</v>
      </c>
      <c r="R260">
        <v>86</v>
      </c>
      <c r="S260">
        <v>13.81</v>
      </c>
      <c r="T260" t="s">
        <v>26</v>
      </c>
    </row>
    <row r="261" spans="1:20" x14ac:dyDescent="0.3">
      <c r="A261" t="s">
        <v>31</v>
      </c>
      <c r="B261">
        <v>39</v>
      </c>
      <c r="C261">
        <v>64.099999999999994</v>
      </c>
      <c r="D261">
        <v>1.7</v>
      </c>
      <c r="E261">
        <v>22.2</v>
      </c>
      <c r="F261">
        <v>99.1</v>
      </c>
      <c r="G261" t="s">
        <v>278</v>
      </c>
      <c r="H261">
        <v>175</v>
      </c>
      <c r="I261">
        <v>55</v>
      </c>
      <c r="J261">
        <v>125</v>
      </c>
      <c r="K261" t="s">
        <v>23</v>
      </c>
      <c r="L261" t="s">
        <v>22</v>
      </c>
      <c r="M261" t="s">
        <v>37</v>
      </c>
      <c r="N261">
        <v>0.58299999999999996</v>
      </c>
      <c r="O261">
        <v>113</v>
      </c>
      <c r="P261">
        <v>69</v>
      </c>
      <c r="Q261" t="s">
        <v>33</v>
      </c>
      <c r="R261">
        <v>90</v>
      </c>
      <c r="S261">
        <v>13.59</v>
      </c>
      <c r="T261" t="s">
        <v>26</v>
      </c>
    </row>
    <row r="262" spans="1:20" x14ac:dyDescent="0.3">
      <c r="A262" t="s">
        <v>31</v>
      </c>
      <c r="B262">
        <v>40</v>
      </c>
      <c r="C262">
        <v>64.8</v>
      </c>
      <c r="D262">
        <v>1.76</v>
      </c>
      <c r="E262">
        <v>20.9</v>
      </c>
      <c r="F262">
        <v>109.1</v>
      </c>
      <c r="G262" t="s">
        <v>84</v>
      </c>
      <c r="H262">
        <v>294</v>
      </c>
      <c r="I262">
        <v>70</v>
      </c>
      <c r="J262">
        <v>89</v>
      </c>
      <c r="K262" t="s">
        <v>22</v>
      </c>
      <c r="L262" t="s">
        <v>23</v>
      </c>
      <c r="M262" t="s">
        <v>28</v>
      </c>
      <c r="N262">
        <v>0.62</v>
      </c>
      <c r="O262">
        <v>135</v>
      </c>
      <c r="P262">
        <v>96</v>
      </c>
      <c r="Q262" t="s">
        <v>29</v>
      </c>
      <c r="R262">
        <v>194</v>
      </c>
      <c r="S262">
        <v>18.809999999999999</v>
      </c>
      <c r="T262" t="s">
        <v>26</v>
      </c>
    </row>
    <row r="263" spans="1:20" x14ac:dyDescent="0.3">
      <c r="A263" t="s">
        <v>31</v>
      </c>
      <c r="B263">
        <v>56</v>
      </c>
      <c r="C263">
        <v>106.4</v>
      </c>
      <c r="D263">
        <v>1.73</v>
      </c>
      <c r="E263">
        <v>35.6</v>
      </c>
      <c r="F263">
        <v>70.3</v>
      </c>
      <c r="G263" t="s">
        <v>279</v>
      </c>
      <c r="I263">
        <v>69</v>
      </c>
      <c r="J263">
        <v>90</v>
      </c>
      <c r="K263" t="s">
        <v>23</v>
      </c>
      <c r="L263" t="s">
        <v>22</v>
      </c>
      <c r="M263" t="s">
        <v>28</v>
      </c>
      <c r="N263">
        <v>0.40600000000000003</v>
      </c>
      <c r="O263">
        <v>136</v>
      </c>
      <c r="P263">
        <v>76</v>
      </c>
      <c r="Q263" t="s">
        <v>29</v>
      </c>
      <c r="R263">
        <v>29</v>
      </c>
      <c r="S263">
        <v>16.48</v>
      </c>
      <c r="T263" t="s">
        <v>26</v>
      </c>
    </row>
    <row r="264" spans="1:20" x14ac:dyDescent="0.3">
      <c r="A264" t="s">
        <v>20</v>
      </c>
      <c r="B264">
        <v>34</v>
      </c>
      <c r="C264">
        <v>55.5</v>
      </c>
      <c r="D264">
        <v>1.62</v>
      </c>
      <c r="E264">
        <v>21.1</v>
      </c>
      <c r="F264">
        <v>74.3</v>
      </c>
      <c r="G264" t="s">
        <v>280</v>
      </c>
      <c r="H264">
        <v>168</v>
      </c>
      <c r="I264">
        <v>37</v>
      </c>
      <c r="J264">
        <v>120</v>
      </c>
      <c r="K264" t="s">
        <v>23</v>
      </c>
      <c r="L264" t="s">
        <v>23</v>
      </c>
      <c r="M264" t="s">
        <v>28</v>
      </c>
      <c r="N264">
        <v>0.45900000000000002</v>
      </c>
      <c r="O264">
        <v>139</v>
      </c>
      <c r="P264">
        <v>64</v>
      </c>
      <c r="Q264" t="s">
        <v>29</v>
      </c>
      <c r="R264">
        <v>101</v>
      </c>
      <c r="T264" t="s">
        <v>30</v>
      </c>
    </row>
    <row r="265" spans="1:20" x14ac:dyDescent="0.3">
      <c r="A265" t="s">
        <v>20</v>
      </c>
      <c r="B265">
        <v>60</v>
      </c>
      <c r="C265">
        <v>75.400000000000006</v>
      </c>
      <c r="D265">
        <v>1.68</v>
      </c>
      <c r="E265">
        <v>26.7</v>
      </c>
      <c r="F265">
        <v>94.1</v>
      </c>
      <c r="G265" t="s">
        <v>206</v>
      </c>
      <c r="H265">
        <v>138</v>
      </c>
      <c r="I265">
        <v>77</v>
      </c>
      <c r="J265">
        <v>80</v>
      </c>
      <c r="K265" t="s">
        <v>22</v>
      </c>
      <c r="L265" t="s">
        <v>22</v>
      </c>
      <c r="M265" t="s">
        <v>37</v>
      </c>
      <c r="N265">
        <v>0.56000000000000005</v>
      </c>
      <c r="O265">
        <v>141</v>
      </c>
      <c r="P265">
        <v>69</v>
      </c>
      <c r="Q265" t="s">
        <v>38</v>
      </c>
      <c r="S265">
        <v>15.15</v>
      </c>
      <c r="T265" t="s">
        <v>26</v>
      </c>
    </row>
    <row r="266" spans="1:20" x14ac:dyDescent="0.3">
      <c r="A266" t="s">
        <v>20</v>
      </c>
      <c r="B266">
        <v>47</v>
      </c>
      <c r="C266">
        <v>80.599999999999994</v>
      </c>
      <c r="D266">
        <v>1.83</v>
      </c>
      <c r="E266">
        <v>24.1</v>
      </c>
      <c r="F266">
        <v>83.5</v>
      </c>
      <c r="G266" t="s">
        <v>281</v>
      </c>
      <c r="H266">
        <v>289</v>
      </c>
      <c r="I266">
        <v>45</v>
      </c>
      <c r="J266">
        <v>93</v>
      </c>
      <c r="K266" t="s">
        <v>22</v>
      </c>
      <c r="L266" t="s">
        <v>23</v>
      </c>
      <c r="M266" t="s">
        <v>37</v>
      </c>
      <c r="N266">
        <v>0.45600000000000002</v>
      </c>
      <c r="O266">
        <v>114</v>
      </c>
      <c r="P266">
        <v>69</v>
      </c>
      <c r="Q266" t="s">
        <v>33</v>
      </c>
      <c r="R266">
        <v>214</v>
      </c>
      <c r="S266">
        <v>18.3</v>
      </c>
      <c r="T266" t="s">
        <v>26</v>
      </c>
    </row>
    <row r="267" spans="1:20" x14ac:dyDescent="0.3">
      <c r="A267" t="s">
        <v>20</v>
      </c>
      <c r="B267">
        <v>54</v>
      </c>
      <c r="C267">
        <v>93.7</v>
      </c>
      <c r="D267">
        <v>1.84</v>
      </c>
      <c r="E267">
        <v>27.7</v>
      </c>
      <c r="F267">
        <v>102.7</v>
      </c>
      <c r="G267" t="s">
        <v>282</v>
      </c>
      <c r="H267">
        <v>231</v>
      </c>
      <c r="J267">
        <v>72</v>
      </c>
      <c r="K267" t="s">
        <v>23</v>
      </c>
      <c r="L267" t="s">
        <v>22</v>
      </c>
      <c r="M267" t="s">
        <v>24</v>
      </c>
      <c r="N267">
        <v>0.55800000000000005</v>
      </c>
      <c r="O267">
        <v>118</v>
      </c>
      <c r="P267">
        <v>64</v>
      </c>
      <c r="Q267" t="s">
        <v>33</v>
      </c>
      <c r="R267">
        <v>147</v>
      </c>
      <c r="S267">
        <v>16.059999999999999</v>
      </c>
      <c r="T267" t="s">
        <v>30</v>
      </c>
    </row>
    <row r="268" spans="1:20" x14ac:dyDescent="0.3">
      <c r="A268" t="s">
        <v>31</v>
      </c>
      <c r="B268">
        <v>36</v>
      </c>
      <c r="C268">
        <v>106.2</v>
      </c>
      <c r="D268">
        <v>1.76</v>
      </c>
      <c r="E268">
        <v>34.299999999999997</v>
      </c>
      <c r="F268">
        <v>74.8</v>
      </c>
      <c r="G268" t="s">
        <v>283</v>
      </c>
      <c r="H268">
        <v>171</v>
      </c>
      <c r="I268">
        <v>48</v>
      </c>
      <c r="J268">
        <v>141</v>
      </c>
      <c r="K268" t="s">
        <v>23</v>
      </c>
      <c r="L268" t="s">
        <v>22</v>
      </c>
      <c r="M268" t="s">
        <v>28</v>
      </c>
      <c r="N268">
        <v>0.42499999999999999</v>
      </c>
      <c r="O268">
        <v>124</v>
      </c>
      <c r="P268">
        <v>66</v>
      </c>
      <c r="Q268" t="s">
        <v>25</v>
      </c>
      <c r="R268">
        <v>93</v>
      </c>
      <c r="S268">
        <v>16.48</v>
      </c>
      <c r="T268" t="s">
        <v>26</v>
      </c>
    </row>
    <row r="269" spans="1:20" x14ac:dyDescent="0.3">
      <c r="A269" t="s">
        <v>20</v>
      </c>
      <c r="B269">
        <v>47</v>
      </c>
      <c r="C269">
        <v>100.6</v>
      </c>
      <c r="D269">
        <v>1.66</v>
      </c>
      <c r="E269">
        <v>36.5</v>
      </c>
      <c r="F269">
        <v>107.3</v>
      </c>
      <c r="G269" t="s">
        <v>284</v>
      </c>
      <c r="H269">
        <v>287</v>
      </c>
      <c r="I269">
        <v>63</v>
      </c>
      <c r="J269">
        <v>150</v>
      </c>
      <c r="K269" t="s">
        <v>22</v>
      </c>
      <c r="L269" t="s">
        <v>22</v>
      </c>
      <c r="M269" t="s">
        <v>28</v>
      </c>
      <c r="N269">
        <v>0.64600000000000002</v>
      </c>
      <c r="O269">
        <v>94</v>
      </c>
      <c r="P269">
        <v>93</v>
      </c>
      <c r="Q269" t="s">
        <v>38</v>
      </c>
      <c r="R269">
        <v>194</v>
      </c>
      <c r="S269">
        <v>17.739999999999998</v>
      </c>
      <c r="T269" t="s">
        <v>26</v>
      </c>
    </row>
    <row r="270" spans="1:20" x14ac:dyDescent="0.3">
      <c r="A270" t="s">
        <v>31</v>
      </c>
      <c r="C270">
        <v>93.9</v>
      </c>
      <c r="D270">
        <v>1.72</v>
      </c>
      <c r="E270">
        <v>31.7</v>
      </c>
      <c r="F270">
        <v>82.1</v>
      </c>
      <c r="G270" t="s">
        <v>90</v>
      </c>
      <c r="H270">
        <v>144</v>
      </c>
      <c r="I270">
        <v>50</v>
      </c>
      <c r="J270">
        <v>137</v>
      </c>
      <c r="K270" t="s">
        <v>22</v>
      </c>
      <c r="L270" t="s">
        <v>22</v>
      </c>
      <c r="M270" t="s">
        <v>28</v>
      </c>
      <c r="N270">
        <v>0.47699999999999998</v>
      </c>
      <c r="O270">
        <v>104</v>
      </c>
      <c r="P270">
        <v>60</v>
      </c>
      <c r="Q270" t="s">
        <v>33</v>
      </c>
      <c r="R270">
        <v>64</v>
      </c>
      <c r="S270">
        <v>14.42</v>
      </c>
      <c r="T270" t="s">
        <v>26</v>
      </c>
    </row>
    <row r="271" spans="1:20" x14ac:dyDescent="0.3">
      <c r="A271" t="s">
        <v>31</v>
      </c>
      <c r="B271">
        <v>57</v>
      </c>
      <c r="C271">
        <v>107</v>
      </c>
      <c r="D271">
        <v>1.62</v>
      </c>
      <c r="E271">
        <v>40.799999999999997</v>
      </c>
      <c r="F271">
        <v>101.7</v>
      </c>
      <c r="G271" t="s">
        <v>285</v>
      </c>
      <c r="H271">
        <v>147</v>
      </c>
      <c r="I271">
        <v>45</v>
      </c>
      <c r="J271">
        <v>106</v>
      </c>
      <c r="K271" t="s">
        <v>23</v>
      </c>
      <c r="L271" t="s">
        <v>23</v>
      </c>
      <c r="M271" t="s">
        <v>37</v>
      </c>
      <c r="N271">
        <v>0.628</v>
      </c>
      <c r="O271">
        <v>117</v>
      </c>
      <c r="P271">
        <v>66</v>
      </c>
      <c r="Q271" t="s">
        <v>33</v>
      </c>
      <c r="R271">
        <v>72</v>
      </c>
      <c r="S271">
        <v>18.95</v>
      </c>
      <c r="T271" t="s">
        <v>30</v>
      </c>
    </row>
    <row r="272" spans="1:20" x14ac:dyDescent="0.3">
      <c r="A272" t="s">
        <v>20</v>
      </c>
      <c r="B272">
        <v>52</v>
      </c>
      <c r="C272">
        <v>109.7</v>
      </c>
      <c r="D272">
        <v>1.78</v>
      </c>
      <c r="E272">
        <v>34.6</v>
      </c>
      <c r="F272">
        <v>104.4</v>
      </c>
      <c r="G272" t="s">
        <v>286</v>
      </c>
      <c r="H272">
        <v>197</v>
      </c>
      <c r="J272">
        <v>99</v>
      </c>
      <c r="K272" t="s">
        <v>22</v>
      </c>
      <c r="L272" t="s">
        <v>23</v>
      </c>
      <c r="M272" t="s">
        <v>28</v>
      </c>
      <c r="N272">
        <v>0.58699999999999997</v>
      </c>
      <c r="O272">
        <v>103</v>
      </c>
      <c r="P272">
        <v>99</v>
      </c>
      <c r="Q272" t="s">
        <v>38</v>
      </c>
      <c r="S272">
        <v>18.010000000000002</v>
      </c>
      <c r="T272" t="s">
        <v>30</v>
      </c>
    </row>
    <row r="273" spans="1:20" x14ac:dyDescent="0.3">
      <c r="A273" t="s">
        <v>31</v>
      </c>
      <c r="B273">
        <v>45</v>
      </c>
      <c r="C273">
        <v>84.2</v>
      </c>
      <c r="D273">
        <v>1.77</v>
      </c>
      <c r="E273">
        <v>26.9</v>
      </c>
      <c r="F273">
        <v>106</v>
      </c>
      <c r="G273" t="s">
        <v>287</v>
      </c>
      <c r="H273">
        <v>180</v>
      </c>
      <c r="I273">
        <v>39</v>
      </c>
      <c r="J273">
        <v>115</v>
      </c>
      <c r="K273" t="s">
        <v>23</v>
      </c>
      <c r="L273" t="s">
        <v>22</v>
      </c>
      <c r="M273" t="s">
        <v>24</v>
      </c>
      <c r="O273">
        <v>114</v>
      </c>
      <c r="P273">
        <v>90</v>
      </c>
      <c r="Q273" t="s">
        <v>38</v>
      </c>
      <c r="R273">
        <v>111</v>
      </c>
      <c r="S273">
        <v>14.68</v>
      </c>
      <c r="T273" t="s">
        <v>30</v>
      </c>
    </row>
    <row r="274" spans="1:20" x14ac:dyDescent="0.3">
      <c r="A274" t="s">
        <v>31</v>
      </c>
      <c r="B274">
        <v>31</v>
      </c>
      <c r="C274">
        <v>85</v>
      </c>
      <c r="D274">
        <v>1.66</v>
      </c>
      <c r="E274">
        <v>30.8</v>
      </c>
      <c r="F274">
        <v>79.900000000000006</v>
      </c>
      <c r="G274" t="s">
        <v>288</v>
      </c>
      <c r="H274">
        <v>130</v>
      </c>
      <c r="I274">
        <v>70</v>
      </c>
      <c r="J274">
        <v>125</v>
      </c>
      <c r="K274" t="s">
        <v>22</v>
      </c>
      <c r="L274" t="s">
        <v>22</v>
      </c>
      <c r="M274" t="s">
        <v>37</v>
      </c>
      <c r="N274">
        <v>0.48099999999999998</v>
      </c>
      <c r="O274">
        <v>116</v>
      </c>
      <c r="P274">
        <v>69</v>
      </c>
      <c r="Q274" t="s">
        <v>33</v>
      </c>
      <c r="R274">
        <v>30</v>
      </c>
      <c r="S274">
        <v>14.56</v>
      </c>
      <c r="T274" t="s">
        <v>26</v>
      </c>
    </row>
    <row r="275" spans="1:20" x14ac:dyDescent="0.3">
      <c r="A275" t="s">
        <v>20</v>
      </c>
      <c r="B275">
        <v>49</v>
      </c>
      <c r="C275">
        <v>73.2</v>
      </c>
      <c r="D275">
        <v>1.68</v>
      </c>
      <c r="E275">
        <v>25.9</v>
      </c>
      <c r="F275">
        <v>104.9</v>
      </c>
      <c r="G275" t="s">
        <v>289</v>
      </c>
      <c r="H275">
        <v>138</v>
      </c>
      <c r="I275">
        <v>39</v>
      </c>
      <c r="J275">
        <v>81</v>
      </c>
      <c r="K275" t="s">
        <v>23</v>
      </c>
      <c r="L275" t="s">
        <v>23</v>
      </c>
      <c r="M275" t="s">
        <v>28</v>
      </c>
      <c r="N275">
        <v>0.624</v>
      </c>
      <c r="O275">
        <v>136</v>
      </c>
      <c r="P275">
        <v>93</v>
      </c>
      <c r="Q275" t="s">
        <v>29</v>
      </c>
      <c r="S275">
        <v>16.739999999999998</v>
      </c>
      <c r="T275" t="s">
        <v>30</v>
      </c>
    </row>
    <row r="276" spans="1:20" x14ac:dyDescent="0.3">
      <c r="A276" t="s">
        <v>31</v>
      </c>
      <c r="B276">
        <v>48</v>
      </c>
      <c r="C276">
        <v>94.6</v>
      </c>
      <c r="D276">
        <v>1.74</v>
      </c>
      <c r="E276">
        <v>31.2</v>
      </c>
      <c r="F276">
        <v>99.1</v>
      </c>
      <c r="G276" t="s">
        <v>290</v>
      </c>
      <c r="H276">
        <v>209</v>
      </c>
      <c r="I276">
        <v>60</v>
      </c>
      <c r="J276">
        <v>127</v>
      </c>
      <c r="K276" t="s">
        <v>22</v>
      </c>
      <c r="L276" t="s">
        <v>23</v>
      </c>
      <c r="M276" t="s">
        <v>37</v>
      </c>
      <c r="N276">
        <v>0.56999999999999995</v>
      </c>
      <c r="O276">
        <v>99</v>
      </c>
      <c r="P276">
        <v>82</v>
      </c>
      <c r="Q276" t="s">
        <v>29</v>
      </c>
      <c r="R276">
        <v>119</v>
      </c>
      <c r="S276">
        <v>17.37</v>
      </c>
      <c r="T276" t="s">
        <v>30</v>
      </c>
    </row>
    <row r="277" spans="1:20" x14ac:dyDescent="0.3">
      <c r="A277" t="s">
        <v>20</v>
      </c>
      <c r="B277">
        <v>37</v>
      </c>
      <c r="C277">
        <v>50.5</v>
      </c>
      <c r="D277">
        <v>1.64</v>
      </c>
      <c r="E277">
        <v>18.8</v>
      </c>
      <c r="F277">
        <v>75.400000000000006</v>
      </c>
      <c r="G277" t="s">
        <v>291</v>
      </c>
      <c r="H277">
        <v>240</v>
      </c>
      <c r="I277">
        <v>53</v>
      </c>
      <c r="J277">
        <v>98</v>
      </c>
      <c r="K277" t="s">
        <v>22</v>
      </c>
      <c r="L277" t="s">
        <v>23</v>
      </c>
      <c r="M277" t="s">
        <v>24</v>
      </c>
      <c r="N277">
        <v>0.46</v>
      </c>
      <c r="O277">
        <v>100</v>
      </c>
      <c r="P277">
        <v>96</v>
      </c>
      <c r="Q277" t="s">
        <v>38</v>
      </c>
      <c r="R277">
        <v>157</v>
      </c>
      <c r="S277">
        <v>15.56</v>
      </c>
      <c r="T277" t="s">
        <v>26</v>
      </c>
    </row>
    <row r="278" spans="1:20" x14ac:dyDescent="0.3">
      <c r="A278" t="s">
        <v>20</v>
      </c>
      <c r="B278">
        <v>49</v>
      </c>
      <c r="C278">
        <v>58.3</v>
      </c>
      <c r="D278">
        <v>1.7</v>
      </c>
      <c r="E278">
        <v>20.2</v>
      </c>
      <c r="F278">
        <v>96.7</v>
      </c>
      <c r="G278" t="s">
        <v>292</v>
      </c>
      <c r="H278">
        <v>280</v>
      </c>
      <c r="I278">
        <v>33</v>
      </c>
      <c r="J278">
        <v>93</v>
      </c>
      <c r="K278" t="s">
        <v>23</v>
      </c>
      <c r="L278" t="s">
        <v>23</v>
      </c>
      <c r="M278" t="s">
        <v>37</v>
      </c>
      <c r="N278">
        <v>0.56899999999999995</v>
      </c>
      <c r="O278">
        <v>140</v>
      </c>
      <c r="P278">
        <v>95</v>
      </c>
      <c r="Q278" t="s">
        <v>38</v>
      </c>
      <c r="R278">
        <v>217</v>
      </c>
      <c r="S278">
        <v>18.64</v>
      </c>
      <c r="T278" t="s">
        <v>30</v>
      </c>
    </row>
    <row r="279" spans="1:20" x14ac:dyDescent="0.3">
      <c r="A279" t="s">
        <v>31</v>
      </c>
      <c r="B279">
        <v>49</v>
      </c>
      <c r="C279">
        <v>64.8</v>
      </c>
      <c r="D279">
        <v>1.61</v>
      </c>
      <c r="E279">
        <v>25</v>
      </c>
      <c r="F279">
        <v>77.900000000000006</v>
      </c>
      <c r="G279" t="s">
        <v>293</v>
      </c>
      <c r="H279">
        <v>276</v>
      </c>
      <c r="I279">
        <v>30</v>
      </c>
      <c r="J279">
        <v>128</v>
      </c>
      <c r="K279" t="s">
        <v>23</v>
      </c>
      <c r="L279" t="s">
        <v>22</v>
      </c>
      <c r="M279" t="s">
        <v>37</v>
      </c>
      <c r="N279">
        <v>0.48399999999999999</v>
      </c>
      <c r="O279">
        <v>101</v>
      </c>
      <c r="P279">
        <v>72</v>
      </c>
      <c r="Q279" t="s">
        <v>33</v>
      </c>
      <c r="R279">
        <v>216</v>
      </c>
      <c r="S279">
        <v>15.57</v>
      </c>
      <c r="T279" t="s">
        <v>30</v>
      </c>
    </row>
    <row r="280" spans="1:20" x14ac:dyDescent="0.3">
      <c r="A280" t="s">
        <v>31</v>
      </c>
      <c r="B280">
        <v>60</v>
      </c>
      <c r="C280">
        <v>101.1</v>
      </c>
      <c r="D280">
        <v>1.89</v>
      </c>
      <c r="E280">
        <v>28.3</v>
      </c>
      <c r="F280">
        <v>76.3</v>
      </c>
      <c r="G280" t="s">
        <v>294</v>
      </c>
      <c r="H280">
        <v>165</v>
      </c>
      <c r="I280">
        <v>67</v>
      </c>
      <c r="J280">
        <v>107</v>
      </c>
      <c r="K280" t="s">
        <v>22</v>
      </c>
      <c r="L280" t="s">
        <v>22</v>
      </c>
      <c r="M280" t="s">
        <v>28</v>
      </c>
      <c r="N280">
        <v>0.40400000000000003</v>
      </c>
      <c r="O280">
        <v>99</v>
      </c>
      <c r="P280">
        <v>76</v>
      </c>
      <c r="Q280" t="s">
        <v>33</v>
      </c>
      <c r="R280">
        <v>68</v>
      </c>
      <c r="S280">
        <v>13.91</v>
      </c>
      <c r="T280" t="s">
        <v>26</v>
      </c>
    </row>
    <row r="281" spans="1:20" x14ac:dyDescent="0.3">
      <c r="A281" t="s">
        <v>31</v>
      </c>
      <c r="B281">
        <v>49</v>
      </c>
      <c r="C281">
        <v>62.2</v>
      </c>
      <c r="D281">
        <v>1.7</v>
      </c>
      <c r="E281">
        <v>21.5</v>
      </c>
      <c r="F281">
        <v>75.900000000000006</v>
      </c>
      <c r="G281" t="s">
        <v>295</v>
      </c>
      <c r="H281">
        <v>211</v>
      </c>
      <c r="I281">
        <v>72</v>
      </c>
      <c r="J281">
        <v>86</v>
      </c>
      <c r="K281" t="s">
        <v>23</v>
      </c>
      <c r="L281" t="s">
        <v>22</v>
      </c>
      <c r="M281" t="s">
        <v>37</v>
      </c>
      <c r="O281">
        <v>150</v>
      </c>
      <c r="P281">
        <v>91</v>
      </c>
      <c r="Q281" t="s">
        <v>38</v>
      </c>
      <c r="R281">
        <v>109</v>
      </c>
      <c r="S281">
        <v>16.02</v>
      </c>
      <c r="T281" t="s">
        <v>30</v>
      </c>
    </row>
    <row r="282" spans="1:20" x14ac:dyDescent="0.3">
      <c r="A282" t="s">
        <v>31</v>
      </c>
      <c r="B282">
        <v>31</v>
      </c>
      <c r="C282">
        <v>96</v>
      </c>
      <c r="D282">
        <v>1.85</v>
      </c>
      <c r="E282">
        <v>28</v>
      </c>
      <c r="F282">
        <v>78.099999999999994</v>
      </c>
      <c r="G282" t="s">
        <v>296</v>
      </c>
      <c r="H282">
        <v>257</v>
      </c>
      <c r="I282">
        <v>38</v>
      </c>
      <c r="J282">
        <v>125</v>
      </c>
      <c r="K282" t="s">
        <v>23</v>
      </c>
      <c r="L282" t="s">
        <v>22</v>
      </c>
      <c r="M282" t="s">
        <v>28</v>
      </c>
      <c r="N282">
        <v>0.42199999999999999</v>
      </c>
      <c r="O282">
        <v>139</v>
      </c>
      <c r="P282">
        <v>81</v>
      </c>
      <c r="Q282" t="s">
        <v>29</v>
      </c>
      <c r="R282">
        <v>189</v>
      </c>
      <c r="S282">
        <v>17.690000000000001</v>
      </c>
      <c r="T282" t="s">
        <v>30</v>
      </c>
    </row>
    <row r="283" spans="1:20" x14ac:dyDescent="0.3">
      <c r="A283" t="s">
        <v>20</v>
      </c>
      <c r="B283">
        <v>52</v>
      </c>
      <c r="C283">
        <v>116.8</v>
      </c>
      <c r="D283">
        <v>1.62</v>
      </c>
      <c r="E283">
        <v>44.5</v>
      </c>
      <c r="F283">
        <v>102.6</v>
      </c>
      <c r="G283" t="s">
        <v>297</v>
      </c>
      <c r="H283">
        <v>208</v>
      </c>
      <c r="I283">
        <v>46</v>
      </c>
      <c r="J283">
        <v>123</v>
      </c>
      <c r="K283" t="s">
        <v>23</v>
      </c>
      <c r="L283" t="s">
        <v>23</v>
      </c>
      <c r="M283" t="s">
        <v>24</v>
      </c>
      <c r="N283">
        <v>0.63300000000000001</v>
      </c>
      <c r="O283">
        <v>104</v>
      </c>
      <c r="P283">
        <v>83</v>
      </c>
      <c r="Q283" t="s">
        <v>29</v>
      </c>
      <c r="R283">
        <v>132</v>
      </c>
      <c r="S283">
        <v>20.260000000000002</v>
      </c>
      <c r="T283" t="s">
        <v>30</v>
      </c>
    </row>
    <row r="284" spans="1:20" x14ac:dyDescent="0.3">
      <c r="A284" t="s">
        <v>31</v>
      </c>
      <c r="B284">
        <v>34</v>
      </c>
      <c r="C284">
        <v>99.4</v>
      </c>
      <c r="D284">
        <v>1.7</v>
      </c>
      <c r="E284">
        <v>34.4</v>
      </c>
      <c r="F284">
        <v>87.4</v>
      </c>
      <c r="G284" t="s">
        <v>208</v>
      </c>
      <c r="H284">
        <v>113</v>
      </c>
      <c r="I284">
        <v>33</v>
      </c>
      <c r="J284">
        <v>116</v>
      </c>
      <c r="K284" t="s">
        <v>23</v>
      </c>
      <c r="L284" t="s">
        <v>22</v>
      </c>
      <c r="M284" t="s">
        <v>24</v>
      </c>
      <c r="N284">
        <v>0.51400000000000001</v>
      </c>
      <c r="O284">
        <v>111</v>
      </c>
      <c r="P284">
        <v>84</v>
      </c>
      <c r="Q284" t="s">
        <v>29</v>
      </c>
      <c r="R284">
        <v>50</v>
      </c>
      <c r="S284">
        <v>14.69</v>
      </c>
      <c r="T284" t="s">
        <v>30</v>
      </c>
    </row>
    <row r="285" spans="1:20" x14ac:dyDescent="0.3">
      <c r="A285" t="s">
        <v>20</v>
      </c>
      <c r="B285">
        <v>60</v>
      </c>
      <c r="C285">
        <v>53.4</v>
      </c>
      <c r="D285">
        <v>1.88</v>
      </c>
      <c r="E285">
        <v>15.1</v>
      </c>
      <c r="F285">
        <v>79.8</v>
      </c>
      <c r="G285" t="s">
        <v>298</v>
      </c>
      <c r="H285">
        <v>146</v>
      </c>
      <c r="I285">
        <v>44</v>
      </c>
      <c r="J285">
        <v>127</v>
      </c>
      <c r="K285" t="s">
        <v>22</v>
      </c>
      <c r="L285" t="s">
        <v>22</v>
      </c>
      <c r="M285" t="s">
        <v>28</v>
      </c>
      <c r="N285">
        <v>0.42399999999999999</v>
      </c>
      <c r="O285">
        <v>147</v>
      </c>
      <c r="P285">
        <v>64</v>
      </c>
      <c r="Q285" t="s">
        <v>38</v>
      </c>
      <c r="R285">
        <v>72</v>
      </c>
      <c r="S285">
        <v>13.29</v>
      </c>
      <c r="T285" t="s">
        <v>26</v>
      </c>
    </row>
    <row r="286" spans="1:20" x14ac:dyDescent="0.3">
      <c r="A286" t="s">
        <v>20</v>
      </c>
      <c r="B286">
        <v>34</v>
      </c>
      <c r="C286">
        <v>94</v>
      </c>
      <c r="D286">
        <v>1.6</v>
      </c>
      <c r="E286">
        <v>36.700000000000003</v>
      </c>
      <c r="F286">
        <v>84.7</v>
      </c>
      <c r="G286" t="s">
        <v>299</v>
      </c>
      <c r="H286">
        <v>156</v>
      </c>
      <c r="I286">
        <v>80</v>
      </c>
      <c r="J286">
        <v>90</v>
      </c>
      <c r="K286" t="s">
        <v>23</v>
      </c>
      <c r="L286" t="s">
        <v>22</v>
      </c>
      <c r="M286" t="s">
        <v>24</v>
      </c>
      <c r="N286">
        <v>0.52900000000000003</v>
      </c>
      <c r="O286">
        <v>117</v>
      </c>
      <c r="P286">
        <v>69</v>
      </c>
      <c r="Q286" t="s">
        <v>33</v>
      </c>
      <c r="R286">
        <v>46</v>
      </c>
      <c r="S286">
        <v>16.309999999999999</v>
      </c>
      <c r="T286" t="s">
        <v>30</v>
      </c>
    </row>
    <row r="287" spans="1:20" x14ac:dyDescent="0.3">
      <c r="A287" t="s">
        <v>31</v>
      </c>
      <c r="B287">
        <v>32</v>
      </c>
      <c r="C287">
        <v>55.1</v>
      </c>
      <c r="D287">
        <v>1.76</v>
      </c>
      <c r="E287">
        <v>17.8</v>
      </c>
      <c r="F287">
        <v>107.6</v>
      </c>
      <c r="G287" t="s">
        <v>300</v>
      </c>
      <c r="H287">
        <v>243</v>
      </c>
      <c r="I287">
        <v>42</v>
      </c>
      <c r="J287">
        <v>88</v>
      </c>
      <c r="K287" t="s">
        <v>22</v>
      </c>
      <c r="L287" t="s">
        <v>23</v>
      </c>
      <c r="M287" t="s">
        <v>37</v>
      </c>
      <c r="O287">
        <v>115</v>
      </c>
      <c r="P287">
        <v>100</v>
      </c>
      <c r="Q287" t="s">
        <v>38</v>
      </c>
      <c r="R287">
        <v>171</v>
      </c>
      <c r="S287">
        <v>16.170000000000002</v>
      </c>
      <c r="T287" t="s">
        <v>26</v>
      </c>
    </row>
    <row r="288" spans="1:20" x14ac:dyDescent="0.3">
      <c r="A288" t="s">
        <v>31</v>
      </c>
      <c r="B288">
        <v>55</v>
      </c>
      <c r="C288">
        <v>69.3</v>
      </c>
      <c r="D288">
        <v>1.79</v>
      </c>
      <c r="E288">
        <v>21.6</v>
      </c>
      <c r="G288" t="s">
        <v>301</v>
      </c>
      <c r="H288">
        <v>224</v>
      </c>
      <c r="I288">
        <v>43</v>
      </c>
      <c r="J288">
        <v>141</v>
      </c>
      <c r="K288" t="s">
        <v>22</v>
      </c>
      <c r="L288" t="s">
        <v>23</v>
      </c>
      <c r="M288" t="s">
        <v>28</v>
      </c>
      <c r="N288">
        <v>0.53</v>
      </c>
      <c r="O288">
        <v>141</v>
      </c>
      <c r="P288">
        <v>85</v>
      </c>
      <c r="Q288" t="s">
        <v>29</v>
      </c>
      <c r="R288">
        <v>151</v>
      </c>
      <c r="S288">
        <v>17.850000000000001</v>
      </c>
      <c r="T288" t="s">
        <v>30</v>
      </c>
    </row>
    <row r="289" spans="1:20" x14ac:dyDescent="0.3">
      <c r="A289" t="s">
        <v>31</v>
      </c>
      <c r="B289">
        <v>48</v>
      </c>
      <c r="C289">
        <v>72.2</v>
      </c>
      <c r="D289">
        <v>1.72</v>
      </c>
      <c r="E289">
        <v>24.4</v>
      </c>
      <c r="F289">
        <v>86.9</v>
      </c>
      <c r="G289" t="s">
        <v>302</v>
      </c>
      <c r="H289">
        <v>127</v>
      </c>
      <c r="I289">
        <v>35</v>
      </c>
      <c r="K289" t="s">
        <v>23</v>
      </c>
      <c r="L289" t="s">
        <v>22</v>
      </c>
      <c r="M289" t="s">
        <v>28</v>
      </c>
      <c r="O289">
        <v>110</v>
      </c>
      <c r="P289">
        <v>77</v>
      </c>
      <c r="Q289" t="s">
        <v>33</v>
      </c>
      <c r="R289">
        <v>62</v>
      </c>
      <c r="S289">
        <v>12.92</v>
      </c>
      <c r="T289" t="s">
        <v>26</v>
      </c>
    </row>
    <row r="290" spans="1:20" x14ac:dyDescent="0.3">
      <c r="A290" t="s">
        <v>20</v>
      </c>
      <c r="B290">
        <v>56</v>
      </c>
      <c r="C290">
        <v>77.7</v>
      </c>
      <c r="D290">
        <v>1.62</v>
      </c>
      <c r="E290">
        <v>29.6</v>
      </c>
      <c r="F290">
        <v>94.7</v>
      </c>
      <c r="G290" t="s">
        <v>86</v>
      </c>
      <c r="I290">
        <v>52</v>
      </c>
      <c r="J290">
        <v>144</v>
      </c>
      <c r="K290" t="s">
        <v>22</v>
      </c>
      <c r="L290" t="s">
        <v>22</v>
      </c>
      <c r="M290" t="s">
        <v>24</v>
      </c>
      <c r="N290">
        <v>0.58499999999999996</v>
      </c>
      <c r="O290">
        <v>102</v>
      </c>
      <c r="P290">
        <v>71</v>
      </c>
      <c r="Q290" t="s">
        <v>33</v>
      </c>
      <c r="R290">
        <v>188</v>
      </c>
      <c r="S290">
        <v>16.420000000000002</v>
      </c>
      <c r="T290" t="s">
        <v>30</v>
      </c>
    </row>
    <row r="291" spans="1:20" x14ac:dyDescent="0.3">
      <c r="A291" t="s">
        <v>20</v>
      </c>
      <c r="B291">
        <v>47</v>
      </c>
      <c r="C291">
        <v>112.9</v>
      </c>
      <c r="D291">
        <v>1.75</v>
      </c>
      <c r="E291">
        <v>36.9</v>
      </c>
      <c r="F291">
        <v>98</v>
      </c>
      <c r="G291" t="s">
        <v>303</v>
      </c>
      <c r="H291">
        <v>163</v>
      </c>
      <c r="I291">
        <v>64</v>
      </c>
      <c r="J291">
        <v>82</v>
      </c>
      <c r="K291" t="s">
        <v>23</v>
      </c>
      <c r="L291" t="s">
        <v>23</v>
      </c>
      <c r="M291" t="s">
        <v>28</v>
      </c>
      <c r="O291">
        <v>136</v>
      </c>
      <c r="P291">
        <v>85</v>
      </c>
      <c r="Q291" t="s">
        <v>29</v>
      </c>
      <c r="R291">
        <v>69</v>
      </c>
      <c r="S291">
        <v>19.440000000000001</v>
      </c>
      <c r="T291" t="s">
        <v>30</v>
      </c>
    </row>
    <row r="292" spans="1:20" x14ac:dyDescent="0.3">
      <c r="A292" t="s">
        <v>31</v>
      </c>
      <c r="B292">
        <v>59</v>
      </c>
      <c r="C292">
        <v>104.6</v>
      </c>
      <c r="D292">
        <v>1.67</v>
      </c>
      <c r="E292">
        <v>37.5</v>
      </c>
      <c r="F292">
        <v>108.7</v>
      </c>
      <c r="G292" t="s">
        <v>304</v>
      </c>
      <c r="H292">
        <v>152</v>
      </c>
      <c r="I292">
        <v>67</v>
      </c>
      <c r="J292">
        <v>83</v>
      </c>
      <c r="K292" t="s">
        <v>22</v>
      </c>
      <c r="L292" t="s">
        <v>23</v>
      </c>
      <c r="M292" t="s">
        <v>37</v>
      </c>
      <c r="N292">
        <v>0.65100000000000002</v>
      </c>
      <c r="O292">
        <v>145</v>
      </c>
      <c r="P292">
        <v>62</v>
      </c>
      <c r="Q292" t="s">
        <v>38</v>
      </c>
      <c r="R292">
        <v>55</v>
      </c>
      <c r="S292">
        <v>19.79</v>
      </c>
      <c r="T292" t="s">
        <v>30</v>
      </c>
    </row>
    <row r="293" spans="1:20" x14ac:dyDescent="0.3">
      <c r="A293" t="s">
        <v>31</v>
      </c>
      <c r="B293">
        <v>42</v>
      </c>
      <c r="C293">
        <v>67.599999999999994</v>
      </c>
      <c r="D293">
        <v>1.81</v>
      </c>
      <c r="E293">
        <v>20.6</v>
      </c>
      <c r="F293">
        <v>98.3</v>
      </c>
      <c r="G293" t="s">
        <v>305</v>
      </c>
      <c r="H293">
        <v>258</v>
      </c>
      <c r="I293">
        <v>69</v>
      </c>
      <c r="J293">
        <v>80</v>
      </c>
      <c r="K293" t="s">
        <v>23</v>
      </c>
      <c r="L293" t="s">
        <v>23</v>
      </c>
      <c r="M293" t="s">
        <v>37</v>
      </c>
      <c r="N293">
        <v>0.54300000000000004</v>
      </c>
      <c r="O293">
        <v>113</v>
      </c>
      <c r="P293">
        <v>72</v>
      </c>
      <c r="Q293" t="s">
        <v>33</v>
      </c>
      <c r="R293">
        <v>159</v>
      </c>
      <c r="S293">
        <v>16.93</v>
      </c>
      <c r="T293" t="s">
        <v>26</v>
      </c>
    </row>
    <row r="294" spans="1:20" x14ac:dyDescent="0.3">
      <c r="A294" t="s">
        <v>20</v>
      </c>
      <c r="B294">
        <v>44</v>
      </c>
      <c r="C294">
        <v>110.3</v>
      </c>
      <c r="D294">
        <v>1.7</v>
      </c>
      <c r="E294">
        <v>38.200000000000003</v>
      </c>
      <c r="F294">
        <v>100.9</v>
      </c>
      <c r="G294" t="s">
        <v>306</v>
      </c>
      <c r="H294">
        <v>139</v>
      </c>
      <c r="I294">
        <v>34</v>
      </c>
      <c r="J294">
        <v>86</v>
      </c>
      <c r="K294" t="s">
        <v>23</v>
      </c>
      <c r="L294" t="s">
        <v>22</v>
      </c>
      <c r="M294" t="s">
        <v>24</v>
      </c>
      <c r="O294">
        <v>123</v>
      </c>
      <c r="P294">
        <v>75</v>
      </c>
      <c r="Q294" t="s">
        <v>25</v>
      </c>
      <c r="R294">
        <v>75</v>
      </c>
      <c r="S294">
        <v>16.57</v>
      </c>
      <c r="T294" t="s">
        <v>30</v>
      </c>
    </row>
    <row r="295" spans="1:20" x14ac:dyDescent="0.3">
      <c r="A295" t="s">
        <v>20</v>
      </c>
      <c r="B295">
        <v>59</v>
      </c>
      <c r="C295">
        <v>78.8</v>
      </c>
      <c r="D295">
        <v>1.76</v>
      </c>
      <c r="E295">
        <v>25.4</v>
      </c>
      <c r="F295">
        <v>84</v>
      </c>
      <c r="G295" t="s">
        <v>307</v>
      </c>
      <c r="H295">
        <v>105</v>
      </c>
      <c r="I295">
        <v>60</v>
      </c>
      <c r="J295">
        <v>99</v>
      </c>
      <c r="K295" t="s">
        <v>22</v>
      </c>
      <c r="L295" t="s">
        <v>22</v>
      </c>
      <c r="M295" t="s">
        <v>37</v>
      </c>
      <c r="O295">
        <v>99</v>
      </c>
      <c r="P295">
        <v>75</v>
      </c>
      <c r="Q295" t="s">
        <v>33</v>
      </c>
      <c r="R295">
        <v>15</v>
      </c>
      <c r="S295">
        <v>12.13</v>
      </c>
      <c r="T295" t="s">
        <v>26</v>
      </c>
    </row>
    <row r="296" spans="1:20" x14ac:dyDescent="0.3">
      <c r="A296" t="s">
        <v>20</v>
      </c>
      <c r="B296">
        <v>49</v>
      </c>
      <c r="C296">
        <v>61.5</v>
      </c>
      <c r="D296">
        <v>1.86</v>
      </c>
      <c r="E296">
        <v>17.8</v>
      </c>
      <c r="F296">
        <v>102.5</v>
      </c>
      <c r="G296" t="s">
        <v>308</v>
      </c>
      <c r="H296">
        <v>151</v>
      </c>
      <c r="I296">
        <v>80</v>
      </c>
      <c r="J296">
        <v>92</v>
      </c>
      <c r="K296" t="s">
        <v>22</v>
      </c>
      <c r="L296" t="s">
        <v>23</v>
      </c>
      <c r="M296" t="s">
        <v>28</v>
      </c>
      <c r="N296">
        <v>0.55100000000000005</v>
      </c>
      <c r="O296">
        <v>106</v>
      </c>
      <c r="P296">
        <v>61</v>
      </c>
      <c r="Q296" t="s">
        <v>33</v>
      </c>
      <c r="R296">
        <v>41</v>
      </c>
      <c r="S296">
        <v>13.88</v>
      </c>
      <c r="T296" t="s">
        <v>26</v>
      </c>
    </row>
    <row r="297" spans="1:20" x14ac:dyDescent="0.3">
      <c r="A297" t="s">
        <v>31</v>
      </c>
      <c r="B297">
        <v>35</v>
      </c>
      <c r="C297">
        <v>71.8</v>
      </c>
      <c r="D297">
        <v>1.61</v>
      </c>
      <c r="E297">
        <v>27.7</v>
      </c>
      <c r="F297">
        <v>107.4</v>
      </c>
      <c r="G297" t="s">
        <v>309</v>
      </c>
      <c r="H297">
        <v>179</v>
      </c>
      <c r="I297">
        <v>77</v>
      </c>
      <c r="K297" t="s">
        <v>22</v>
      </c>
      <c r="L297" t="s">
        <v>22</v>
      </c>
      <c r="M297" t="s">
        <v>28</v>
      </c>
      <c r="N297">
        <v>0.66700000000000004</v>
      </c>
      <c r="P297">
        <v>77</v>
      </c>
      <c r="Q297" t="s">
        <v>25</v>
      </c>
      <c r="R297">
        <v>72</v>
      </c>
      <c r="S297">
        <v>15.57</v>
      </c>
      <c r="T297" t="s">
        <v>52</v>
      </c>
    </row>
    <row r="298" spans="1:20" x14ac:dyDescent="0.3">
      <c r="A298" t="s">
        <v>31</v>
      </c>
      <c r="B298">
        <v>46</v>
      </c>
      <c r="C298">
        <v>78.8</v>
      </c>
      <c r="D298">
        <v>1.7</v>
      </c>
      <c r="E298">
        <v>27.3</v>
      </c>
      <c r="F298">
        <v>71.900000000000006</v>
      </c>
      <c r="G298" t="s">
        <v>310</v>
      </c>
      <c r="H298">
        <v>131</v>
      </c>
      <c r="I298">
        <v>62</v>
      </c>
      <c r="J298">
        <v>84</v>
      </c>
      <c r="K298" t="s">
        <v>22</v>
      </c>
      <c r="L298" t="s">
        <v>23</v>
      </c>
      <c r="M298" t="s">
        <v>24</v>
      </c>
      <c r="N298">
        <v>0.42299999999999999</v>
      </c>
      <c r="O298">
        <v>101</v>
      </c>
      <c r="P298">
        <v>78</v>
      </c>
      <c r="Q298" t="s">
        <v>33</v>
      </c>
      <c r="R298">
        <v>39</v>
      </c>
      <c r="S298">
        <v>15.13</v>
      </c>
      <c r="T298" t="s">
        <v>30</v>
      </c>
    </row>
    <row r="299" spans="1:20" x14ac:dyDescent="0.3">
      <c r="A299" t="s">
        <v>31</v>
      </c>
      <c r="B299">
        <v>45</v>
      </c>
      <c r="C299">
        <v>106.9</v>
      </c>
      <c r="D299">
        <v>1.79</v>
      </c>
      <c r="E299">
        <v>33.4</v>
      </c>
      <c r="F299">
        <v>94.5</v>
      </c>
      <c r="G299" t="s">
        <v>311</v>
      </c>
      <c r="H299">
        <v>228</v>
      </c>
      <c r="I299">
        <v>74</v>
      </c>
      <c r="J299">
        <v>140</v>
      </c>
      <c r="K299" t="s">
        <v>23</v>
      </c>
      <c r="L299" t="s">
        <v>23</v>
      </c>
      <c r="M299" t="s">
        <v>37</v>
      </c>
      <c r="N299">
        <v>0.52800000000000002</v>
      </c>
      <c r="O299">
        <v>98</v>
      </c>
      <c r="P299">
        <v>76</v>
      </c>
      <c r="Q299" t="s">
        <v>33</v>
      </c>
      <c r="R299">
        <v>124</v>
      </c>
      <c r="S299">
        <v>18.14</v>
      </c>
      <c r="T299" t="s">
        <v>30</v>
      </c>
    </row>
    <row r="300" spans="1:20" x14ac:dyDescent="0.3">
      <c r="A300" t="s">
        <v>31</v>
      </c>
      <c r="B300">
        <v>55</v>
      </c>
      <c r="C300">
        <v>83</v>
      </c>
      <c r="D300">
        <v>1.68</v>
      </c>
      <c r="E300">
        <v>29.4</v>
      </c>
      <c r="F300">
        <v>75.099999999999994</v>
      </c>
      <c r="G300" t="s">
        <v>312</v>
      </c>
      <c r="H300">
        <v>104</v>
      </c>
      <c r="I300">
        <v>65</v>
      </c>
      <c r="J300">
        <v>138</v>
      </c>
      <c r="K300" t="s">
        <v>22</v>
      </c>
      <c r="L300" t="s">
        <v>22</v>
      </c>
      <c r="M300" t="s">
        <v>24</v>
      </c>
      <c r="N300">
        <v>0.44700000000000001</v>
      </c>
      <c r="O300">
        <v>108</v>
      </c>
      <c r="Q300" t="s">
        <v>33</v>
      </c>
      <c r="R300">
        <v>9</v>
      </c>
      <c r="S300">
        <v>13.36</v>
      </c>
      <c r="T300" t="s">
        <v>26</v>
      </c>
    </row>
    <row r="301" spans="1:20" x14ac:dyDescent="0.3">
      <c r="A301" t="s">
        <v>20</v>
      </c>
      <c r="B301">
        <v>45</v>
      </c>
      <c r="C301">
        <v>90.3</v>
      </c>
      <c r="D301">
        <v>1.68</v>
      </c>
      <c r="E301">
        <v>32</v>
      </c>
      <c r="F301">
        <v>84.5</v>
      </c>
      <c r="G301" t="s">
        <v>313</v>
      </c>
      <c r="H301">
        <v>224</v>
      </c>
      <c r="I301">
        <v>52</v>
      </c>
      <c r="J301">
        <v>121</v>
      </c>
      <c r="K301" t="s">
        <v>22</v>
      </c>
      <c r="L301" t="s">
        <v>23</v>
      </c>
      <c r="M301" t="s">
        <v>24</v>
      </c>
      <c r="N301">
        <v>0.503</v>
      </c>
      <c r="O301">
        <v>121</v>
      </c>
      <c r="P301">
        <v>88</v>
      </c>
      <c r="Q301" t="s">
        <v>29</v>
      </c>
      <c r="R301">
        <v>142</v>
      </c>
      <c r="T301" t="s">
        <v>30</v>
      </c>
    </row>
    <row r="302" spans="1:20" x14ac:dyDescent="0.3">
      <c r="A302" t="s">
        <v>20</v>
      </c>
      <c r="B302">
        <v>53</v>
      </c>
      <c r="C302">
        <v>114</v>
      </c>
      <c r="D302">
        <v>1.74</v>
      </c>
      <c r="E302">
        <v>37.700000000000003</v>
      </c>
      <c r="F302">
        <v>102.6</v>
      </c>
      <c r="G302" t="s">
        <v>179</v>
      </c>
      <c r="H302">
        <v>270</v>
      </c>
      <c r="I302">
        <v>66</v>
      </c>
      <c r="J302">
        <v>82</v>
      </c>
      <c r="K302" t="s">
        <v>22</v>
      </c>
      <c r="L302" t="s">
        <v>22</v>
      </c>
      <c r="M302" t="s">
        <v>24</v>
      </c>
      <c r="N302">
        <v>0.59</v>
      </c>
      <c r="O302">
        <v>91</v>
      </c>
      <c r="P302">
        <v>79</v>
      </c>
      <c r="Q302" t="s">
        <v>33</v>
      </c>
      <c r="R302">
        <v>174</v>
      </c>
      <c r="S302">
        <v>17.489999999999998</v>
      </c>
      <c r="T302" t="s">
        <v>30</v>
      </c>
    </row>
    <row r="303" spans="1:20" x14ac:dyDescent="0.3">
      <c r="A303" t="s">
        <v>31</v>
      </c>
      <c r="B303">
        <v>51</v>
      </c>
      <c r="C303">
        <v>64.900000000000006</v>
      </c>
      <c r="D303">
        <v>1.85</v>
      </c>
      <c r="E303">
        <v>19</v>
      </c>
      <c r="F303">
        <v>95.4</v>
      </c>
      <c r="G303" t="s">
        <v>314</v>
      </c>
      <c r="H303">
        <v>247</v>
      </c>
      <c r="I303">
        <v>55</v>
      </c>
      <c r="J303">
        <v>119</v>
      </c>
      <c r="K303" t="s">
        <v>22</v>
      </c>
      <c r="L303" t="s">
        <v>23</v>
      </c>
      <c r="M303" t="s">
        <v>24</v>
      </c>
      <c r="N303">
        <v>0.51600000000000001</v>
      </c>
      <c r="O303">
        <v>91</v>
      </c>
      <c r="Q303" t="s">
        <v>29</v>
      </c>
      <c r="R303">
        <v>162</v>
      </c>
      <c r="S303">
        <v>15.29</v>
      </c>
      <c r="T303" t="s">
        <v>30</v>
      </c>
    </row>
    <row r="304" spans="1:20" x14ac:dyDescent="0.3">
      <c r="A304" t="s">
        <v>31</v>
      </c>
      <c r="B304">
        <v>46</v>
      </c>
      <c r="C304">
        <v>72</v>
      </c>
      <c r="D304">
        <v>1.75</v>
      </c>
      <c r="E304">
        <v>23.5</v>
      </c>
      <c r="F304">
        <v>89.1</v>
      </c>
      <c r="G304" t="s">
        <v>315</v>
      </c>
      <c r="H304">
        <v>198</v>
      </c>
      <c r="I304">
        <v>76</v>
      </c>
      <c r="J304">
        <v>141</v>
      </c>
      <c r="K304" t="s">
        <v>22</v>
      </c>
      <c r="L304" t="s">
        <v>22</v>
      </c>
      <c r="M304" t="s">
        <v>24</v>
      </c>
      <c r="N304">
        <v>0.50900000000000001</v>
      </c>
      <c r="O304">
        <v>100</v>
      </c>
      <c r="P304">
        <v>90</v>
      </c>
      <c r="Q304" t="s">
        <v>38</v>
      </c>
      <c r="R304">
        <v>92</v>
      </c>
      <c r="S304">
        <v>13.66</v>
      </c>
      <c r="T304" t="s">
        <v>26</v>
      </c>
    </row>
    <row r="305" spans="1:20" x14ac:dyDescent="0.3">
      <c r="A305" t="s">
        <v>31</v>
      </c>
      <c r="B305">
        <v>33</v>
      </c>
      <c r="C305">
        <v>94.4</v>
      </c>
      <c r="D305">
        <v>1.7</v>
      </c>
      <c r="F305">
        <v>77</v>
      </c>
      <c r="G305" t="s">
        <v>316</v>
      </c>
      <c r="H305">
        <v>127</v>
      </c>
      <c r="I305">
        <v>71</v>
      </c>
      <c r="J305">
        <v>147</v>
      </c>
      <c r="K305" t="s">
        <v>22</v>
      </c>
      <c r="L305" t="s">
        <v>23</v>
      </c>
      <c r="M305" t="s">
        <v>37</v>
      </c>
      <c r="N305">
        <v>0.45300000000000001</v>
      </c>
      <c r="O305">
        <v>104</v>
      </c>
      <c r="P305">
        <v>85</v>
      </c>
      <c r="Q305" t="s">
        <v>29</v>
      </c>
      <c r="R305">
        <v>26</v>
      </c>
      <c r="S305">
        <v>16.28</v>
      </c>
      <c r="T305" t="s">
        <v>26</v>
      </c>
    </row>
    <row r="306" spans="1:20" x14ac:dyDescent="0.3">
      <c r="A306" t="s">
        <v>20</v>
      </c>
      <c r="B306">
        <v>46</v>
      </c>
      <c r="C306">
        <v>104.5</v>
      </c>
      <c r="D306">
        <v>1.65</v>
      </c>
      <c r="F306">
        <v>106.4</v>
      </c>
      <c r="G306" t="s">
        <v>317</v>
      </c>
      <c r="I306">
        <v>48</v>
      </c>
      <c r="J306">
        <v>88</v>
      </c>
      <c r="K306" t="s">
        <v>22</v>
      </c>
      <c r="L306" t="s">
        <v>23</v>
      </c>
      <c r="M306" t="s">
        <v>28</v>
      </c>
      <c r="N306">
        <v>0.64500000000000002</v>
      </c>
      <c r="O306">
        <v>129</v>
      </c>
      <c r="P306">
        <v>63</v>
      </c>
      <c r="Q306" t="s">
        <v>25</v>
      </c>
      <c r="R306">
        <v>59</v>
      </c>
      <c r="S306">
        <v>18.87</v>
      </c>
      <c r="T306" t="s">
        <v>26</v>
      </c>
    </row>
    <row r="307" spans="1:20" x14ac:dyDescent="0.3">
      <c r="A307" t="s">
        <v>31</v>
      </c>
      <c r="B307">
        <v>30</v>
      </c>
      <c r="C307">
        <v>79.2</v>
      </c>
      <c r="D307">
        <v>1.63</v>
      </c>
      <c r="E307">
        <v>29.8</v>
      </c>
      <c r="F307">
        <v>72.2</v>
      </c>
      <c r="G307" t="s">
        <v>318</v>
      </c>
      <c r="H307">
        <v>108</v>
      </c>
      <c r="I307">
        <v>45</v>
      </c>
      <c r="J307">
        <v>88</v>
      </c>
      <c r="K307" t="s">
        <v>23</v>
      </c>
      <c r="L307" t="s">
        <v>23</v>
      </c>
      <c r="M307" t="s">
        <v>24</v>
      </c>
      <c r="N307">
        <v>0.443</v>
      </c>
      <c r="O307">
        <v>128</v>
      </c>
      <c r="P307">
        <v>88</v>
      </c>
      <c r="Q307" t="s">
        <v>29</v>
      </c>
      <c r="R307">
        <v>33</v>
      </c>
      <c r="T307" t="s">
        <v>30</v>
      </c>
    </row>
    <row r="308" spans="1:20" x14ac:dyDescent="0.3">
      <c r="A308" t="s">
        <v>20</v>
      </c>
      <c r="B308">
        <v>43</v>
      </c>
      <c r="C308">
        <v>95.6</v>
      </c>
      <c r="D308">
        <v>1.68</v>
      </c>
      <c r="E308">
        <v>33.9</v>
      </c>
      <c r="F308">
        <v>94</v>
      </c>
      <c r="G308" t="s">
        <v>319</v>
      </c>
      <c r="H308">
        <v>116</v>
      </c>
      <c r="I308">
        <v>52</v>
      </c>
      <c r="J308">
        <v>103</v>
      </c>
      <c r="K308" t="s">
        <v>22</v>
      </c>
      <c r="L308" t="s">
        <v>23</v>
      </c>
      <c r="M308" t="s">
        <v>28</v>
      </c>
      <c r="N308">
        <v>0.56000000000000005</v>
      </c>
      <c r="O308">
        <v>124</v>
      </c>
      <c r="P308">
        <v>91</v>
      </c>
      <c r="Q308" t="s">
        <v>38</v>
      </c>
      <c r="R308">
        <v>34</v>
      </c>
      <c r="S308">
        <v>17.3</v>
      </c>
      <c r="T308" t="s">
        <v>26</v>
      </c>
    </row>
    <row r="309" spans="1:20" x14ac:dyDescent="0.3">
      <c r="A309" t="s">
        <v>31</v>
      </c>
      <c r="B309">
        <v>45</v>
      </c>
      <c r="C309">
        <v>74.7</v>
      </c>
      <c r="D309">
        <v>1.84</v>
      </c>
      <c r="E309">
        <v>22.1</v>
      </c>
      <c r="F309">
        <v>89.1</v>
      </c>
      <c r="G309" t="s">
        <v>320</v>
      </c>
      <c r="H309">
        <v>291</v>
      </c>
      <c r="I309">
        <v>39</v>
      </c>
      <c r="J309">
        <v>132</v>
      </c>
      <c r="K309" t="s">
        <v>23</v>
      </c>
      <c r="L309" t="s">
        <v>22</v>
      </c>
      <c r="M309" t="s">
        <v>37</v>
      </c>
      <c r="N309">
        <v>0.48399999999999999</v>
      </c>
      <c r="O309">
        <v>131</v>
      </c>
      <c r="P309">
        <v>67</v>
      </c>
      <c r="Q309" t="s">
        <v>29</v>
      </c>
      <c r="R309">
        <v>222</v>
      </c>
      <c r="S309">
        <v>16.79</v>
      </c>
      <c r="T309" t="s">
        <v>26</v>
      </c>
    </row>
    <row r="310" spans="1:20" x14ac:dyDescent="0.3">
      <c r="A310" t="s">
        <v>20</v>
      </c>
      <c r="B310">
        <v>35</v>
      </c>
      <c r="C310">
        <v>77.599999999999994</v>
      </c>
      <c r="D310">
        <v>1.78</v>
      </c>
      <c r="E310">
        <v>24.5</v>
      </c>
      <c r="F310">
        <v>84.6</v>
      </c>
      <c r="G310" t="s">
        <v>321</v>
      </c>
      <c r="H310">
        <v>143</v>
      </c>
      <c r="I310">
        <v>76</v>
      </c>
      <c r="J310">
        <v>108</v>
      </c>
      <c r="K310" t="s">
        <v>22</v>
      </c>
      <c r="L310" t="s">
        <v>22</v>
      </c>
      <c r="M310" t="s">
        <v>24</v>
      </c>
      <c r="N310">
        <v>0.47499999999999998</v>
      </c>
      <c r="O310">
        <v>124</v>
      </c>
      <c r="P310">
        <v>90</v>
      </c>
      <c r="Q310" t="s">
        <v>38</v>
      </c>
      <c r="R310">
        <v>37</v>
      </c>
      <c r="S310">
        <v>13.96</v>
      </c>
      <c r="T310" t="s">
        <v>52</v>
      </c>
    </row>
    <row r="311" spans="1:20" x14ac:dyDescent="0.3">
      <c r="A311" t="s">
        <v>20</v>
      </c>
      <c r="B311">
        <v>58</v>
      </c>
      <c r="C311">
        <v>91.4</v>
      </c>
      <c r="D311">
        <v>1.61</v>
      </c>
      <c r="E311">
        <v>35.299999999999997</v>
      </c>
      <c r="F311">
        <v>93.3</v>
      </c>
      <c r="G311" t="s">
        <v>322</v>
      </c>
      <c r="I311">
        <v>69</v>
      </c>
      <c r="J311">
        <v>117</v>
      </c>
      <c r="K311" t="s">
        <v>23</v>
      </c>
      <c r="L311" t="s">
        <v>23</v>
      </c>
      <c r="M311" t="s">
        <v>37</v>
      </c>
      <c r="N311">
        <v>0.57999999999999996</v>
      </c>
      <c r="O311">
        <v>111</v>
      </c>
      <c r="P311">
        <v>78</v>
      </c>
      <c r="Q311" t="s">
        <v>33</v>
      </c>
      <c r="R311">
        <v>18</v>
      </c>
      <c r="S311">
        <v>16.95</v>
      </c>
      <c r="T311" t="s">
        <v>30</v>
      </c>
    </row>
    <row r="312" spans="1:20" x14ac:dyDescent="0.3">
      <c r="A312" t="s">
        <v>20</v>
      </c>
      <c r="B312">
        <v>34</v>
      </c>
      <c r="C312">
        <v>91.9</v>
      </c>
      <c r="D312">
        <v>1.74</v>
      </c>
      <c r="E312">
        <v>30.4</v>
      </c>
      <c r="F312">
        <v>72.2</v>
      </c>
      <c r="G312" t="s">
        <v>151</v>
      </c>
      <c r="H312">
        <v>186</v>
      </c>
      <c r="K312" t="s">
        <v>22</v>
      </c>
      <c r="L312" t="s">
        <v>22</v>
      </c>
      <c r="M312" t="s">
        <v>37</v>
      </c>
      <c r="N312">
        <v>0.41499999999999998</v>
      </c>
      <c r="O312">
        <v>137</v>
      </c>
      <c r="P312">
        <v>82</v>
      </c>
      <c r="Q312" t="s">
        <v>29</v>
      </c>
      <c r="R312">
        <v>95</v>
      </c>
      <c r="S312">
        <v>16.649999999999999</v>
      </c>
      <c r="T312" t="s">
        <v>26</v>
      </c>
    </row>
    <row r="313" spans="1:20" x14ac:dyDescent="0.3">
      <c r="A313" t="s">
        <v>31</v>
      </c>
      <c r="B313">
        <v>31</v>
      </c>
      <c r="C313">
        <v>87.9</v>
      </c>
      <c r="D313">
        <v>1.9</v>
      </c>
      <c r="E313">
        <v>24.3</v>
      </c>
      <c r="F313">
        <v>103.7</v>
      </c>
      <c r="G313" t="s">
        <v>323</v>
      </c>
      <c r="H313">
        <v>178</v>
      </c>
      <c r="I313">
        <v>56</v>
      </c>
      <c r="J313">
        <v>78</v>
      </c>
      <c r="K313" t="s">
        <v>23</v>
      </c>
      <c r="L313" t="s">
        <v>23</v>
      </c>
      <c r="M313" t="s">
        <v>24</v>
      </c>
      <c r="N313">
        <v>0.54600000000000004</v>
      </c>
      <c r="O313">
        <v>128</v>
      </c>
      <c r="P313">
        <v>93</v>
      </c>
      <c r="Q313" t="s">
        <v>38</v>
      </c>
      <c r="R313">
        <v>92</v>
      </c>
      <c r="S313">
        <v>16.82</v>
      </c>
      <c r="T313" t="s">
        <v>26</v>
      </c>
    </row>
    <row r="314" spans="1:20" x14ac:dyDescent="0.3">
      <c r="A314" t="s">
        <v>31</v>
      </c>
      <c r="B314">
        <v>38</v>
      </c>
      <c r="C314">
        <v>69.099999999999994</v>
      </c>
      <c r="D314">
        <v>1.84</v>
      </c>
      <c r="E314">
        <v>20.399999999999999</v>
      </c>
      <c r="F314">
        <v>95.9</v>
      </c>
      <c r="G314" t="s">
        <v>77</v>
      </c>
      <c r="H314">
        <v>131</v>
      </c>
      <c r="I314">
        <v>66</v>
      </c>
      <c r="J314">
        <v>113</v>
      </c>
      <c r="K314" t="s">
        <v>22</v>
      </c>
      <c r="L314" t="s">
        <v>22</v>
      </c>
      <c r="M314" t="s">
        <v>24</v>
      </c>
      <c r="N314">
        <v>0.52100000000000002</v>
      </c>
      <c r="O314">
        <v>129</v>
      </c>
      <c r="P314">
        <v>78</v>
      </c>
      <c r="Q314" t="s">
        <v>25</v>
      </c>
      <c r="R314">
        <v>35</v>
      </c>
      <c r="S314">
        <v>13.15</v>
      </c>
      <c r="T314" t="s">
        <v>52</v>
      </c>
    </row>
    <row r="315" spans="1:20" x14ac:dyDescent="0.3">
      <c r="A315" t="s">
        <v>20</v>
      </c>
      <c r="B315">
        <v>56</v>
      </c>
      <c r="C315">
        <v>90</v>
      </c>
      <c r="D315">
        <v>1.69</v>
      </c>
      <c r="E315">
        <v>31.5</v>
      </c>
      <c r="F315">
        <v>72.599999999999994</v>
      </c>
      <c r="G315" t="s">
        <v>324</v>
      </c>
      <c r="H315">
        <v>256</v>
      </c>
      <c r="J315">
        <v>142</v>
      </c>
      <c r="K315" t="s">
        <v>23</v>
      </c>
      <c r="L315" t="s">
        <v>22</v>
      </c>
      <c r="M315" t="s">
        <v>28</v>
      </c>
      <c r="N315">
        <v>0.43</v>
      </c>
      <c r="O315">
        <v>109</v>
      </c>
      <c r="P315">
        <v>67</v>
      </c>
      <c r="Q315" t="s">
        <v>33</v>
      </c>
      <c r="R315">
        <v>164</v>
      </c>
      <c r="S315">
        <v>16.87</v>
      </c>
      <c r="T315" t="s">
        <v>30</v>
      </c>
    </row>
    <row r="316" spans="1:20" x14ac:dyDescent="0.3">
      <c r="A316" t="s">
        <v>20</v>
      </c>
      <c r="C316">
        <v>59.2</v>
      </c>
      <c r="D316">
        <v>1.8</v>
      </c>
      <c r="E316">
        <v>18.3</v>
      </c>
      <c r="F316">
        <v>71.900000000000006</v>
      </c>
      <c r="G316" t="s">
        <v>325</v>
      </c>
      <c r="H316">
        <v>280</v>
      </c>
      <c r="I316">
        <v>79</v>
      </c>
      <c r="J316">
        <v>84</v>
      </c>
      <c r="K316" t="s">
        <v>22</v>
      </c>
      <c r="L316" t="s">
        <v>22</v>
      </c>
      <c r="M316" t="s">
        <v>28</v>
      </c>
      <c r="N316">
        <v>0.39900000000000002</v>
      </c>
      <c r="O316">
        <v>116</v>
      </c>
      <c r="P316">
        <v>83</v>
      </c>
      <c r="Q316" t="s">
        <v>29</v>
      </c>
      <c r="R316">
        <v>171</v>
      </c>
      <c r="S316">
        <v>15.06</v>
      </c>
      <c r="T316" t="s">
        <v>26</v>
      </c>
    </row>
    <row r="317" spans="1:20" x14ac:dyDescent="0.3">
      <c r="A317" t="s">
        <v>31</v>
      </c>
      <c r="B317">
        <v>36</v>
      </c>
      <c r="C317">
        <v>83.7</v>
      </c>
      <c r="D317">
        <v>1.83</v>
      </c>
      <c r="E317">
        <v>25</v>
      </c>
      <c r="F317">
        <v>85.6</v>
      </c>
      <c r="G317" t="s">
        <v>326</v>
      </c>
      <c r="H317">
        <v>117</v>
      </c>
      <c r="J317">
        <v>86</v>
      </c>
      <c r="K317" t="s">
        <v>23</v>
      </c>
      <c r="L317" t="s">
        <v>22</v>
      </c>
      <c r="M317" t="s">
        <v>28</v>
      </c>
      <c r="N317">
        <v>0.46800000000000003</v>
      </c>
      <c r="O317">
        <v>136</v>
      </c>
      <c r="P317">
        <v>60</v>
      </c>
      <c r="Q317" t="s">
        <v>29</v>
      </c>
      <c r="R317">
        <v>57</v>
      </c>
      <c r="S317">
        <v>14.14</v>
      </c>
      <c r="T317" t="s">
        <v>26</v>
      </c>
    </row>
    <row r="318" spans="1:20" x14ac:dyDescent="0.3">
      <c r="A318" t="s">
        <v>20</v>
      </c>
      <c r="B318">
        <v>57</v>
      </c>
      <c r="C318">
        <v>116.3</v>
      </c>
      <c r="D318">
        <v>1.62</v>
      </c>
      <c r="E318">
        <v>44.3</v>
      </c>
      <c r="F318">
        <v>99.1</v>
      </c>
      <c r="G318" t="s">
        <v>327</v>
      </c>
      <c r="H318">
        <v>293</v>
      </c>
      <c r="I318">
        <v>52</v>
      </c>
      <c r="J318">
        <v>139</v>
      </c>
      <c r="K318" t="s">
        <v>22</v>
      </c>
      <c r="L318" t="s">
        <v>23</v>
      </c>
      <c r="M318" t="s">
        <v>37</v>
      </c>
      <c r="N318">
        <v>0.61199999999999999</v>
      </c>
      <c r="O318">
        <v>149</v>
      </c>
      <c r="P318">
        <v>61</v>
      </c>
      <c r="Q318" t="s">
        <v>38</v>
      </c>
      <c r="S318">
        <v>24.17</v>
      </c>
      <c r="T318" t="s">
        <v>30</v>
      </c>
    </row>
    <row r="319" spans="1:20" x14ac:dyDescent="0.3">
      <c r="A319" t="s">
        <v>20</v>
      </c>
      <c r="B319">
        <v>59</v>
      </c>
      <c r="C319">
        <v>50.4</v>
      </c>
      <c r="D319">
        <v>1.62</v>
      </c>
      <c r="E319">
        <v>19.2</v>
      </c>
      <c r="F319">
        <v>92.6</v>
      </c>
      <c r="G319" t="s">
        <v>328</v>
      </c>
      <c r="H319">
        <v>288</v>
      </c>
      <c r="I319">
        <v>48</v>
      </c>
      <c r="J319">
        <v>134</v>
      </c>
      <c r="K319" t="s">
        <v>22</v>
      </c>
      <c r="L319" t="s">
        <v>22</v>
      </c>
      <c r="M319" t="s">
        <v>37</v>
      </c>
      <c r="N319">
        <v>0.57199999999999995</v>
      </c>
      <c r="O319">
        <v>133</v>
      </c>
      <c r="P319">
        <v>74</v>
      </c>
      <c r="Q319" t="s">
        <v>29</v>
      </c>
      <c r="R319">
        <v>210</v>
      </c>
      <c r="S319">
        <v>16.25</v>
      </c>
      <c r="T319" t="s">
        <v>26</v>
      </c>
    </row>
    <row r="320" spans="1:20" x14ac:dyDescent="0.3">
      <c r="A320" t="s">
        <v>31</v>
      </c>
      <c r="B320">
        <v>38</v>
      </c>
      <c r="C320">
        <v>66.8</v>
      </c>
      <c r="D320">
        <v>1.81</v>
      </c>
      <c r="E320">
        <v>20.399999999999999</v>
      </c>
      <c r="F320">
        <v>100.8</v>
      </c>
      <c r="G320" t="s">
        <v>329</v>
      </c>
      <c r="I320">
        <v>45</v>
      </c>
      <c r="J320">
        <v>93</v>
      </c>
      <c r="K320" t="s">
        <v>22</v>
      </c>
      <c r="L320" t="s">
        <v>22</v>
      </c>
      <c r="M320" t="s">
        <v>24</v>
      </c>
      <c r="N320">
        <v>0.55700000000000005</v>
      </c>
      <c r="P320">
        <v>67</v>
      </c>
      <c r="Q320" t="s">
        <v>38</v>
      </c>
      <c r="R320">
        <v>57</v>
      </c>
      <c r="S320">
        <v>13.82</v>
      </c>
      <c r="T320" t="s">
        <v>26</v>
      </c>
    </row>
    <row r="321" spans="1:20" x14ac:dyDescent="0.3">
      <c r="A321" t="s">
        <v>31</v>
      </c>
      <c r="B321">
        <v>55</v>
      </c>
      <c r="D321">
        <v>1.72</v>
      </c>
      <c r="E321">
        <v>30.4</v>
      </c>
      <c r="F321">
        <v>92.4</v>
      </c>
      <c r="G321" t="s">
        <v>330</v>
      </c>
      <c r="H321">
        <v>187</v>
      </c>
      <c r="I321">
        <v>72</v>
      </c>
      <c r="J321">
        <v>149</v>
      </c>
      <c r="K321" t="s">
        <v>23</v>
      </c>
      <c r="L321" t="s">
        <v>23</v>
      </c>
      <c r="M321" t="s">
        <v>28</v>
      </c>
      <c r="N321">
        <v>0.53700000000000003</v>
      </c>
      <c r="O321">
        <v>149</v>
      </c>
      <c r="P321">
        <v>93</v>
      </c>
      <c r="Q321" t="s">
        <v>38</v>
      </c>
      <c r="R321">
        <v>85</v>
      </c>
      <c r="S321">
        <v>19.27</v>
      </c>
      <c r="T321" t="s">
        <v>30</v>
      </c>
    </row>
    <row r="322" spans="1:20" x14ac:dyDescent="0.3">
      <c r="A322" t="s">
        <v>31</v>
      </c>
      <c r="B322">
        <v>50</v>
      </c>
      <c r="C322">
        <v>59</v>
      </c>
      <c r="D322">
        <v>1.71</v>
      </c>
      <c r="E322">
        <v>20.2</v>
      </c>
      <c r="F322">
        <v>107.6</v>
      </c>
      <c r="G322" t="s">
        <v>51</v>
      </c>
      <c r="H322">
        <v>271</v>
      </c>
      <c r="I322">
        <v>56</v>
      </c>
      <c r="J322">
        <v>111</v>
      </c>
      <c r="K322" t="s">
        <v>23</v>
      </c>
      <c r="L322" t="s">
        <v>23</v>
      </c>
      <c r="M322" t="s">
        <v>24</v>
      </c>
      <c r="N322">
        <v>0.629</v>
      </c>
      <c r="O322">
        <v>138</v>
      </c>
      <c r="P322">
        <v>96</v>
      </c>
      <c r="Q322" t="s">
        <v>29</v>
      </c>
      <c r="R322">
        <v>185</v>
      </c>
      <c r="S322">
        <v>18.36</v>
      </c>
      <c r="T322" t="s">
        <v>30</v>
      </c>
    </row>
    <row r="323" spans="1:20" x14ac:dyDescent="0.3">
      <c r="A323" t="s">
        <v>20</v>
      </c>
      <c r="B323">
        <v>59</v>
      </c>
      <c r="C323">
        <v>76.900000000000006</v>
      </c>
      <c r="D323">
        <v>1.8</v>
      </c>
      <c r="E323">
        <v>23.7</v>
      </c>
      <c r="G323" t="s">
        <v>331</v>
      </c>
      <c r="H323">
        <v>294</v>
      </c>
      <c r="I323">
        <v>57</v>
      </c>
      <c r="J323">
        <v>150</v>
      </c>
      <c r="K323" t="s">
        <v>23</v>
      </c>
      <c r="L323" t="s">
        <v>22</v>
      </c>
      <c r="M323" t="s">
        <v>37</v>
      </c>
      <c r="N323">
        <v>0.48399999999999999</v>
      </c>
      <c r="O323">
        <v>93</v>
      </c>
      <c r="P323">
        <v>89</v>
      </c>
      <c r="Q323" t="s">
        <v>29</v>
      </c>
      <c r="R323">
        <v>207</v>
      </c>
      <c r="S323">
        <v>15.27</v>
      </c>
      <c r="T323" t="s">
        <v>30</v>
      </c>
    </row>
    <row r="324" spans="1:20" x14ac:dyDescent="0.3">
      <c r="A324" t="s">
        <v>20</v>
      </c>
      <c r="B324">
        <v>38</v>
      </c>
      <c r="C324">
        <v>67.400000000000006</v>
      </c>
      <c r="D324">
        <v>1.63</v>
      </c>
      <c r="E324">
        <v>25.4</v>
      </c>
      <c r="F324">
        <v>100</v>
      </c>
      <c r="G324" t="s">
        <v>332</v>
      </c>
      <c r="H324">
        <v>196</v>
      </c>
      <c r="I324">
        <v>30</v>
      </c>
      <c r="J324">
        <v>71</v>
      </c>
      <c r="K324" t="s">
        <v>22</v>
      </c>
      <c r="L324" t="s">
        <v>23</v>
      </c>
      <c r="M324" t="s">
        <v>37</v>
      </c>
      <c r="N324">
        <v>0.61299999999999999</v>
      </c>
      <c r="O324">
        <v>123</v>
      </c>
      <c r="P324">
        <v>77</v>
      </c>
      <c r="Q324" t="s">
        <v>25</v>
      </c>
      <c r="R324">
        <v>136</v>
      </c>
      <c r="S324">
        <v>17.149999999999999</v>
      </c>
      <c r="T324" t="s">
        <v>26</v>
      </c>
    </row>
    <row r="325" spans="1:20" x14ac:dyDescent="0.3">
      <c r="A325" t="s">
        <v>31</v>
      </c>
      <c r="B325">
        <v>30</v>
      </c>
      <c r="C325">
        <v>91.4</v>
      </c>
      <c r="E325">
        <v>30.9</v>
      </c>
      <c r="F325">
        <v>96.3</v>
      </c>
      <c r="G325" t="s">
        <v>333</v>
      </c>
      <c r="H325">
        <v>126</v>
      </c>
      <c r="I325">
        <v>32</v>
      </c>
      <c r="J325">
        <v>72</v>
      </c>
      <c r="K325" t="s">
        <v>22</v>
      </c>
      <c r="L325" t="s">
        <v>23</v>
      </c>
      <c r="M325" t="s">
        <v>37</v>
      </c>
      <c r="N325">
        <v>0.56000000000000005</v>
      </c>
      <c r="O325">
        <v>106</v>
      </c>
      <c r="P325">
        <v>83</v>
      </c>
      <c r="Q325" t="s">
        <v>29</v>
      </c>
      <c r="R325">
        <v>64</v>
      </c>
      <c r="T325" t="s">
        <v>26</v>
      </c>
    </row>
    <row r="326" spans="1:20" x14ac:dyDescent="0.3">
      <c r="A326" t="s">
        <v>20</v>
      </c>
      <c r="B326">
        <v>40</v>
      </c>
      <c r="C326">
        <v>91.4</v>
      </c>
      <c r="D326">
        <v>1.74</v>
      </c>
      <c r="E326">
        <v>30.2</v>
      </c>
      <c r="F326">
        <v>98.7</v>
      </c>
      <c r="G326" t="s">
        <v>334</v>
      </c>
      <c r="I326">
        <v>35</v>
      </c>
      <c r="J326">
        <v>101</v>
      </c>
      <c r="K326" t="s">
        <v>23</v>
      </c>
      <c r="L326" t="s">
        <v>23</v>
      </c>
      <c r="M326" t="s">
        <v>37</v>
      </c>
      <c r="N326">
        <v>0.56699999999999995</v>
      </c>
      <c r="O326">
        <v>117</v>
      </c>
      <c r="P326">
        <v>64</v>
      </c>
      <c r="Q326" t="s">
        <v>33</v>
      </c>
      <c r="R326">
        <v>90</v>
      </c>
      <c r="S326">
        <v>16.989999999999998</v>
      </c>
      <c r="T326" t="s">
        <v>30</v>
      </c>
    </row>
    <row r="327" spans="1:20" x14ac:dyDescent="0.3">
      <c r="A327" t="s">
        <v>31</v>
      </c>
      <c r="B327">
        <v>34</v>
      </c>
      <c r="C327">
        <v>100.8</v>
      </c>
      <c r="D327">
        <v>1.7</v>
      </c>
      <c r="E327">
        <v>34.9</v>
      </c>
      <c r="F327">
        <v>108.8</v>
      </c>
      <c r="G327" t="s">
        <v>335</v>
      </c>
      <c r="I327">
        <v>71</v>
      </c>
      <c r="J327">
        <v>148</v>
      </c>
      <c r="K327" t="s">
        <v>22</v>
      </c>
      <c r="L327" t="s">
        <v>22</v>
      </c>
      <c r="M327" t="s">
        <v>24</v>
      </c>
      <c r="N327">
        <v>0.64</v>
      </c>
      <c r="O327">
        <v>100</v>
      </c>
      <c r="P327">
        <v>80</v>
      </c>
      <c r="Q327" t="s">
        <v>29</v>
      </c>
      <c r="R327">
        <v>11</v>
      </c>
      <c r="S327">
        <v>14.22</v>
      </c>
      <c r="T327" t="s">
        <v>26</v>
      </c>
    </row>
    <row r="328" spans="1:20" x14ac:dyDescent="0.3">
      <c r="A328" t="s">
        <v>20</v>
      </c>
      <c r="B328">
        <v>38</v>
      </c>
      <c r="C328">
        <v>104.3</v>
      </c>
      <c r="D328">
        <v>1.78</v>
      </c>
      <c r="E328">
        <v>32.9</v>
      </c>
      <c r="F328">
        <v>108.7</v>
      </c>
      <c r="G328" t="s">
        <v>336</v>
      </c>
      <c r="H328">
        <v>164</v>
      </c>
      <c r="I328">
        <v>56</v>
      </c>
      <c r="J328">
        <v>120</v>
      </c>
      <c r="K328" t="s">
        <v>22</v>
      </c>
      <c r="L328" t="s">
        <v>22</v>
      </c>
      <c r="M328" t="s">
        <v>37</v>
      </c>
      <c r="N328">
        <v>0.61099999999999999</v>
      </c>
      <c r="O328">
        <v>99</v>
      </c>
      <c r="P328">
        <v>70</v>
      </c>
      <c r="Q328" t="s">
        <v>33</v>
      </c>
      <c r="R328">
        <v>78</v>
      </c>
      <c r="S328">
        <v>14.81</v>
      </c>
      <c r="T328" t="s">
        <v>26</v>
      </c>
    </row>
    <row r="329" spans="1:20" x14ac:dyDescent="0.3">
      <c r="A329" t="s">
        <v>20</v>
      </c>
      <c r="B329">
        <v>36</v>
      </c>
      <c r="C329">
        <v>96.2</v>
      </c>
      <c r="D329">
        <v>1.89</v>
      </c>
      <c r="E329">
        <v>26.9</v>
      </c>
      <c r="F329">
        <v>91.8</v>
      </c>
      <c r="G329" t="s">
        <v>337</v>
      </c>
      <c r="H329">
        <v>227</v>
      </c>
      <c r="I329">
        <v>66</v>
      </c>
      <c r="J329">
        <v>137</v>
      </c>
      <c r="K329" t="s">
        <v>22</v>
      </c>
      <c r="L329" t="s">
        <v>22</v>
      </c>
      <c r="M329" t="s">
        <v>37</v>
      </c>
      <c r="N329">
        <v>0.48599999999999999</v>
      </c>
      <c r="O329">
        <v>145</v>
      </c>
      <c r="P329">
        <v>60</v>
      </c>
      <c r="Q329" t="s">
        <v>38</v>
      </c>
      <c r="R329">
        <v>131</v>
      </c>
      <c r="S329">
        <v>17.170000000000002</v>
      </c>
      <c r="T329" t="s">
        <v>26</v>
      </c>
    </row>
    <row r="330" spans="1:20" x14ac:dyDescent="0.3">
      <c r="A330" t="s">
        <v>31</v>
      </c>
      <c r="B330">
        <v>30</v>
      </c>
      <c r="C330">
        <v>117.6</v>
      </c>
      <c r="D330">
        <v>1.76</v>
      </c>
      <c r="E330">
        <v>38</v>
      </c>
      <c r="F330">
        <v>105</v>
      </c>
      <c r="G330" t="s">
        <v>338</v>
      </c>
      <c r="H330">
        <v>173</v>
      </c>
      <c r="I330">
        <v>58</v>
      </c>
      <c r="J330">
        <v>113</v>
      </c>
      <c r="K330" t="s">
        <v>22</v>
      </c>
      <c r="L330" t="s">
        <v>22</v>
      </c>
      <c r="M330" t="s">
        <v>28</v>
      </c>
      <c r="N330">
        <v>0.59699999999999998</v>
      </c>
      <c r="O330">
        <v>104</v>
      </c>
      <c r="P330">
        <v>96</v>
      </c>
      <c r="Q330" t="s">
        <v>38</v>
      </c>
      <c r="R330">
        <v>85</v>
      </c>
      <c r="S330">
        <v>16.260000000000002</v>
      </c>
      <c r="T330" t="s">
        <v>52</v>
      </c>
    </row>
    <row r="331" spans="1:20" x14ac:dyDescent="0.3">
      <c r="A331" t="s">
        <v>20</v>
      </c>
      <c r="B331">
        <v>49</v>
      </c>
      <c r="C331">
        <v>106.4</v>
      </c>
      <c r="D331">
        <v>1.83</v>
      </c>
      <c r="E331">
        <v>31.8</v>
      </c>
      <c r="F331">
        <v>89</v>
      </c>
      <c r="G331" t="s">
        <v>339</v>
      </c>
      <c r="H331">
        <v>103</v>
      </c>
      <c r="I331">
        <v>72</v>
      </c>
      <c r="J331">
        <v>108</v>
      </c>
      <c r="K331" t="s">
        <v>23</v>
      </c>
      <c r="L331" t="s">
        <v>23</v>
      </c>
      <c r="M331" t="s">
        <v>28</v>
      </c>
      <c r="N331">
        <v>0.48599999999999999</v>
      </c>
      <c r="O331">
        <v>110</v>
      </c>
      <c r="P331">
        <v>71</v>
      </c>
      <c r="Q331" t="s">
        <v>33</v>
      </c>
      <c r="R331">
        <v>1</v>
      </c>
      <c r="S331">
        <v>15.92</v>
      </c>
      <c r="T331" t="s">
        <v>30</v>
      </c>
    </row>
    <row r="332" spans="1:20" x14ac:dyDescent="0.3">
      <c r="A332" t="s">
        <v>20</v>
      </c>
      <c r="B332">
        <v>44</v>
      </c>
      <c r="C332">
        <v>73.3</v>
      </c>
      <c r="D332">
        <v>1.63</v>
      </c>
      <c r="E332">
        <v>27.6</v>
      </c>
      <c r="F332">
        <v>108.7</v>
      </c>
      <c r="G332" t="s">
        <v>340</v>
      </c>
      <c r="H332">
        <v>169</v>
      </c>
      <c r="I332">
        <v>32</v>
      </c>
      <c r="J332">
        <v>93</v>
      </c>
      <c r="K332" t="s">
        <v>22</v>
      </c>
      <c r="L332" t="s">
        <v>23</v>
      </c>
      <c r="M332" t="s">
        <v>37</v>
      </c>
      <c r="N332">
        <v>0.66700000000000004</v>
      </c>
      <c r="O332">
        <v>123</v>
      </c>
      <c r="P332">
        <v>89</v>
      </c>
      <c r="Q332" t="s">
        <v>29</v>
      </c>
      <c r="R332">
        <v>107</v>
      </c>
      <c r="S332">
        <v>17.05</v>
      </c>
      <c r="T332" t="s">
        <v>26</v>
      </c>
    </row>
    <row r="333" spans="1:20" x14ac:dyDescent="0.3">
      <c r="A333" t="s">
        <v>31</v>
      </c>
      <c r="B333">
        <v>39</v>
      </c>
      <c r="C333">
        <v>57.2</v>
      </c>
      <c r="D333">
        <v>1.86</v>
      </c>
      <c r="E333">
        <v>16.5</v>
      </c>
      <c r="F333">
        <v>88.8</v>
      </c>
      <c r="G333" t="s">
        <v>341</v>
      </c>
      <c r="H333">
        <v>115</v>
      </c>
      <c r="I333">
        <v>36</v>
      </c>
      <c r="J333">
        <v>142</v>
      </c>
      <c r="K333" t="s">
        <v>22</v>
      </c>
      <c r="L333" t="s">
        <v>23</v>
      </c>
      <c r="M333" t="s">
        <v>37</v>
      </c>
      <c r="N333">
        <v>0.47699999999999998</v>
      </c>
      <c r="O333">
        <v>93</v>
      </c>
      <c r="P333">
        <v>85</v>
      </c>
      <c r="Q333" t="s">
        <v>29</v>
      </c>
      <c r="R333">
        <v>49</v>
      </c>
      <c r="S333">
        <v>12.25</v>
      </c>
      <c r="T333" t="s">
        <v>26</v>
      </c>
    </row>
    <row r="334" spans="1:20" x14ac:dyDescent="0.3">
      <c r="A334" t="s">
        <v>31</v>
      </c>
      <c r="B334">
        <v>38</v>
      </c>
      <c r="C334">
        <v>63.6</v>
      </c>
      <c r="D334">
        <v>1.81</v>
      </c>
      <c r="E334">
        <v>19.399999999999999</v>
      </c>
      <c r="G334" t="s">
        <v>342</v>
      </c>
      <c r="H334">
        <v>169</v>
      </c>
      <c r="I334">
        <v>69</v>
      </c>
      <c r="J334">
        <v>115</v>
      </c>
      <c r="K334" t="s">
        <v>23</v>
      </c>
      <c r="L334" t="s">
        <v>22</v>
      </c>
      <c r="M334" t="s">
        <v>28</v>
      </c>
      <c r="N334">
        <v>0.50700000000000001</v>
      </c>
      <c r="O334">
        <v>95</v>
      </c>
      <c r="P334">
        <v>66</v>
      </c>
      <c r="Q334" t="s">
        <v>33</v>
      </c>
      <c r="R334">
        <v>70</v>
      </c>
      <c r="S334">
        <v>12.01</v>
      </c>
      <c r="T334" t="s">
        <v>26</v>
      </c>
    </row>
    <row r="335" spans="1:20" x14ac:dyDescent="0.3">
      <c r="A335" t="s">
        <v>31</v>
      </c>
      <c r="B335">
        <v>32</v>
      </c>
      <c r="C335">
        <v>65.400000000000006</v>
      </c>
      <c r="D335">
        <v>1.7</v>
      </c>
      <c r="E335">
        <v>22.6</v>
      </c>
      <c r="G335" t="s">
        <v>343</v>
      </c>
      <c r="H335">
        <v>129</v>
      </c>
      <c r="I335">
        <v>52</v>
      </c>
      <c r="J335">
        <v>89</v>
      </c>
      <c r="K335" t="s">
        <v>22</v>
      </c>
      <c r="L335" t="s">
        <v>22</v>
      </c>
      <c r="M335" t="s">
        <v>24</v>
      </c>
      <c r="N335">
        <v>0.44800000000000001</v>
      </c>
      <c r="O335">
        <v>129</v>
      </c>
      <c r="P335">
        <v>94</v>
      </c>
      <c r="Q335" t="s">
        <v>38</v>
      </c>
      <c r="R335">
        <v>47</v>
      </c>
      <c r="S335">
        <v>13.55</v>
      </c>
      <c r="T335" t="s">
        <v>52</v>
      </c>
    </row>
    <row r="336" spans="1:20" x14ac:dyDescent="0.3">
      <c r="A336" t="s">
        <v>20</v>
      </c>
      <c r="B336">
        <v>42</v>
      </c>
      <c r="C336">
        <v>96.3</v>
      </c>
      <c r="D336">
        <v>1.71</v>
      </c>
      <c r="E336">
        <v>32.9</v>
      </c>
      <c r="F336">
        <v>74.2</v>
      </c>
      <c r="G336" t="s">
        <v>344</v>
      </c>
      <c r="H336">
        <v>290</v>
      </c>
      <c r="I336">
        <v>35</v>
      </c>
      <c r="J336">
        <v>132</v>
      </c>
      <c r="K336" t="s">
        <v>22</v>
      </c>
      <c r="L336" t="s">
        <v>22</v>
      </c>
      <c r="M336" t="s">
        <v>28</v>
      </c>
      <c r="N336">
        <v>0.434</v>
      </c>
      <c r="O336">
        <v>99</v>
      </c>
      <c r="P336">
        <v>83</v>
      </c>
      <c r="Q336" t="s">
        <v>29</v>
      </c>
      <c r="R336">
        <v>225</v>
      </c>
      <c r="S336">
        <v>17.329999999999998</v>
      </c>
      <c r="T336" t="s">
        <v>30</v>
      </c>
    </row>
    <row r="337" spans="1:20" x14ac:dyDescent="0.3">
      <c r="A337" t="s">
        <v>31</v>
      </c>
      <c r="B337">
        <v>34</v>
      </c>
      <c r="C337">
        <v>54</v>
      </c>
      <c r="D337">
        <v>1.61</v>
      </c>
      <c r="F337">
        <v>96.7</v>
      </c>
      <c r="G337" t="s">
        <v>345</v>
      </c>
      <c r="H337">
        <v>253</v>
      </c>
      <c r="I337">
        <v>37</v>
      </c>
      <c r="K337" t="s">
        <v>22</v>
      </c>
      <c r="L337" t="s">
        <v>22</v>
      </c>
      <c r="M337" t="s">
        <v>28</v>
      </c>
      <c r="N337">
        <v>0.60099999999999998</v>
      </c>
      <c r="O337">
        <v>116</v>
      </c>
      <c r="P337">
        <v>72</v>
      </c>
      <c r="Q337" t="s">
        <v>33</v>
      </c>
      <c r="R337">
        <v>186</v>
      </c>
      <c r="S337">
        <v>15.02</v>
      </c>
      <c r="T337" t="s">
        <v>26</v>
      </c>
    </row>
    <row r="338" spans="1:20" x14ac:dyDescent="0.3">
      <c r="A338" t="s">
        <v>31</v>
      </c>
      <c r="B338">
        <v>40</v>
      </c>
      <c r="C338">
        <v>62.1</v>
      </c>
      <c r="D338">
        <v>1.68</v>
      </c>
      <c r="E338">
        <v>22</v>
      </c>
      <c r="F338">
        <v>71</v>
      </c>
      <c r="G338" t="s">
        <v>346</v>
      </c>
      <c r="H338">
        <v>184</v>
      </c>
      <c r="I338">
        <v>51</v>
      </c>
      <c r="J338">
        <v>144</v>
      </c>
      <c r="K338" t="s">
        <v>23</v>
      </c>
      <c r="L338" t="s">
        <v>23</v>
      </c>
      <c r="M338" t="s">
        <v>24</v>
      </c>
      <c r="N338">
        <v>0.42299999999999999</v>
      </c>
      <c r="O338">
        <v>110</v>
      </c>
      <c r="P338">
        <v>93</v>
      </c>
      <c r="Q338" t="s">
        <v>38</v>
      </c>
      <c r="S338">
        <v>15.58</v>
      </c>
      <c r="T338" t="s">
        <v>26</v>
      </c>
    </row>
    <row r="339" spans="1:20" x14ac:dyDescent="0.3">
      <c r="A339" t="s">
        <v>20</v>
      </c>
      <c r="B339">
        <v>41</v>
      </c>
      <c r="C339">
        <v>119</v>
      </c>
      <c r="D339">
        <v>1.64</v>
      </c>
      <c r="E339">
        <v>44.2</v>
      </c>
      <c r="F339">
        <v>73.599999999999994</v>
      </c>
      <c r="G339" t="s">
        <v>288</v>
      </c>
      <c r="H339">
        <v>139</v>
      </c>
      <c r="I339">
        <v>38</v>
      </c>
      <c r="J339">
        <v>128</v>
      </c>
      <c r="K339" t="s">
        <v>22</v>
      </c>
      <c r="L339" t="s">
        <v>23</v>
      </c>
      <c r="M339" t="s">
        <v>37</v>
      </c>
      <c r="N339">
        <v>0.44900000000000001</v>
      </c>
      <c r="O339">
        <v>116</v>
      </c>
      <c r="P339">
        <v>69</v>
      </c>
      <c r="Q339" t="s">
        <v>33</v>
      </c>
      <c r="R339">
        <v>71</v>
      </c>
      <c r="S339">
        <v>19.420000000000002</v>
      </c>
      <c r="T339" t="s">
        <v>26</v>
      </c>
    </row>
    <row r="340" spans="1:20" x14ac:dyDescent="0.3">
      <c r="A340" t="s">
        <v>31</v>
      </c>
      <c r="B340">
        <v>39</v>
      </c>
      <c r="C340">
        <v>88.7</v>
      </c>
      <c r="D340">
        <v>1.62</v>
      </c>
      <c r="E340">
        <v>33.799999999999997</v>
      </c>
      <c r="F340">
        <v>109.2</v>
      </c>
      <c r="G340" t="s">
        <v>347</v>
      </c>
      <c r="H340">
        <v>285</v>
      </c>
      <c r="I340">
        <v>53</v>
      </c>
      <c r="J340">
        <v>120</v>
      </c>
      <c r="K340" t="s">
        <v>22</v>
      </c>
      <c r="L340" t="s">
        <v>23</v>
      </c>
      <c r="M340" t="s">
        <v>24</v>
      </c>
      <c r="N340">
        <v>0.67400000000000004</v>
      </c>
      <c r="O340">
        <v>111</v>
      </c>
      <c r="Q340" t="s">
        <v>33</v>
      </c>
      <c r="R340">
        <v>202</v>
      </c>
      <c r="S340">
        <v>20.010000000000002</v>
      </c>
      <c r="T340" t="s">
        <v>30</v>
      </c>
    </row>
    <row r="341" spans="1:20" x14ac:dyDescent="0.3">
      <c r="A341" t="s">
        <v>31</v>
      </c>
      <c r="B341">
        <v>56</v>
      </c>
      <c r="C341">
        <v>58.4</v>
      </c>
      <c r="D341">
        <v>1.71</v>
      </c>
      <c r="E341">
        <v>20</v>
      </c>
      <c r="F341">
        <v>86.4</v>
      </c>
      <c r="G341" t="s">
        <v>306</v>
      </c>
      <c r="H341">
        <v>210</v>
      </c>
      <c r="I341">
        <v>43</v>
      </c>
      <c r="J341">
        <v>111</v>
      </c>
      <c r="K341" t="s">
        <v>22</v>
      </c>
      <c r="L341" t="s">
        <v>22</v>
      </c>
      <c r="M341" t="s">
        <v>28</v>
      </c>
      <c r="N341">
        <v>0.505</v>
      </c>
      <c r="O341">
        <v>123</v>
      </c>
      <c r="P341">
        <v>75</v>
      </c>
      <c r="Q341" t="s">
        <v>25</v>
      </c>
      <c r="R341">
        <v>137</v>
      </c>
      <c r="S341">
        <v>14.35</v>
      </c>
      <c r="T341" t="s">
        <v>26</v>
      </c>
    </row>
    <row r="342" spans="1:20" x14ac:dyDescent="0.3">
      <c r="A342" t="s">
        <v>20</v>
      </c>
      <c r="B342">
        <v>60</v>
      </c>
      <c r="C342">
        <v>54.1</v>
      </c>
      <c r="D342">
        <v>1.86</v>
      </c>
      <c r="E342">
        <v>15.6</v>
      </c>
      <c r="F342">
        <v>74.099999999999994</v>
      </c>
      <c r="G342" t="s">
        <v>348</v>
      </c>
      <c r="H342">
        <v>299</v>
      </c>
      <c r="I342">
        <v>32</v>
      </c>
      <c r="J342">
        <v>120</v>
      </c>
      <c r="K342" t="s">
        <v>22</v>
      </c>
      <c r="L342" t="s">
        <v>23</v>
      </c>
      <c r="M342" t="s">
        <v>28</v>
      </c>
      <c r="N342">
        <v>0.39800000000000002</v>
      </c>
      <c r="O342">
        <v>125</v>
      </c>
      <c r="P342">
        <v>61</v>
      </c>
      <c r="Q342" t="s">
        <v>25</v>
      </c>
      <c r="R342">
        <v>237</v>
      </c>
      <c r="S342">
        <v>17.350000000000001</v>
      </c>
      <c r="T342" t="s">
        <v>30</v>
      </c>
    </row>
    <row r="343" spans="1:20" x14ac:dyDescent="0.3">
      <c r="A343" t="s">
        <v>20</v>
      </c>
      <c r="B343">
        <v>40</v>
      </c>
      <c r="C343">
        <v>61.8</v>
      </c>
      <c r="D343">
        <v>1.87</v>
      </c>
      <c r="E343">
        <v>17.7</v>
      </c>
      <c r="F343">
        <v>94.3</v>
      </c>
      <c r="G343" t="s">
        <v>349</v>
      </c>
      <c r="H343">
        <v>188</v>
      </c>
      <c r="I343">
        <v>77</v>
      </c>
      <c r="J343">
        <v>125</v>
      </c>
      <c r="K343" t="s">
        <v>22</v>
      </c>
      <c r="L343" t="s">
        <v>23</v>
      </c>
      <c r="M343" t="s">
        <v>37</v>
      </c>
      <c r="N343">
        <v>0.504</v>
      </c>
      <c r="O343">
        <v>93</v>
      </c>
      <c r="P343">
        <v>63</v>
      </c>
      <c r="Q343" t="s">
        <v>33</v>
      </c>
      <c r="R343">
        <v>81</v>
      </c>
      <c r="S343">
        <v>13.95</v>
      </c>
      <c r="T343" t="s">
        <v>52</v>
      </c>
    </row>
    <row r="344" spans="1:20" x14ac:dyDescent="0.3">
      <c r="A344" t="s">
        <v>20</v>
      </c>
      <c r="B344">
        <v>30</v>
      </c>
      <c r="C344">
        <v>64.900000000000006</v>
      </c>
      <c r="D344">
        <v>1.77</v>
      </c>
      <c r="E344">
        <v>20.7</v>
      </c>
      <c r="F344">
        <v>98.2</v>
      </c>
      <c r="G344" t="s">
        <v>350</v>
      </c>
      <c r="H344">
        <v>178</v>
      </c>
      <c r="I344">
        <v>45</v>
      </c>
      <c r="J344">
        <v>77</v>
      </c>
      <c r="K344" t="s">
        <v>22</v>
      </c>
      <c r="L344" t="s">
        <v>22</v>
      </c>
      <c r="M344" t="s">
        <v>24</v>
      </c>
      <c r="N344">
        <v>0.55500000000000005</v>
      </c>
      <c r="O344">
        <v>141</v>
      </c>
      <c r="Q344" t="s">
        <v>38</v>
      </c>
      <c r="R344">
        <v>103</v>
      </c>
      <c r="S344">
        <v>14.75</v>
      </c>
      <c r="T344" t="s">
        <v>52</v>
      </c>
    </row>
    <row r="345" spans="1:20" x14ac:dyDescent="0.3">
      <c r="A345" t="s">
        <v>31</v>
      </c>
      <c r="B345">
        <v>54</v>
      </c>
      <c r="C345">
        <v>91.5</v>
      </c>
      <c r="D345">
        <v>1.84</v>
      </c>
      <c r="E345">
        <v>27</v>
      </c>
      <c r="F345">
        <v>106.6</v>
      </c>
      <c r="G345" t="s">
        <v>351</v>
      </c>
      <c r="H345">
        <v>209</v>
      </c>
      <c r="I345">
        <v>35</v>
      </c>
      <c r="J345">
        <v>107</v>
      </c>
      <c r="K345" t="s">
        <v>22</v>
      </c>
      <c r="L345" t="s">
        <v>23</v>
      </c>
      <c r="M345" t="s">
        <v>28</v>
      </c>
      <c r="O345">
        <v>138</v>
      </c>
      <c r="P345">
        <v>100</v>
      </c>
      <c r="Q345" t="s">
        <v>29</v>
      </c>
      <c r="R345">
        <v>144</v>
      </c>
      <c r="S345">
        <v>18.48</v>
      </c>
      <c r="T345" t="s">
        <v>30</v>
      </c>
    </row>
    <row r="346" spans="1:20" x14ac:dyDescent="0.3">
      <c r="A346" t="s">
        <v>20</v>
      </c>
      <c r="B346">
        <v>36</v>
      </c>
      <c r="C346">
        <v>99.2</v>
      </c>
      <c r="D346">
        <v>1.8</v>
      </c>
      <c r="E346">
        <v>30.6</v>
      </c>
      <c r="F346">
        <v>71.599999999999994</v>
      </c>
      <c r="G346" t="s">
        <v>352</v>
      </c>
      <c r="H346">
        <v>206</v>
      </c>
      <c r="I346">
        <v>78</v>
      </c>
      <c r="J346">
        <v>95</v>
      </c>
      <c r="K346" t="s">
        <v>23</v>
      </c>
      <c r="L346" t="s">
        <v>22</v>
      </c>
      <c r="M346" t="s">
        <v>28</v>
      </c>
      <c r="P346">
        <v>65</v>
      </c>
      <c r="Q346" t="s">
        <v>33</v>
      </c>
      <c r="R346">
        <v>98</v>
      </c>
      <c r="S346">
        <v>15.64</v>
      </c>
      <c r="T346" t="s">
        <v>30</v>
      </c>
    </row>
    <row r="347" spans="1:20" x14ac:dyDescent="0.3">
      <c r="A347" t="s">
        <v>31</v>
      </c>
      <c r="B347">
        <v>34</v>
      </c>
      <c r="C347">
        <v>102.6</v>
      </c>
      <c r="F347">
        <v>96.9</v>
      </c>
      <c r="G347" t="s">
        <v>353</v>
      </c>
      <c r="H347">
        <v>240</v>
      </c>
      <c r="I347">
        <v>77</v>
      </c>
      <c r="J347">
        <v>120</v>
      </c>
      <c r="K347" t="s">
        <v>23</v>
      </c>
      <c r="L347" t="s">
        <v>22</v>
      </c>
      <c r="M347" t="s">
        <v>28</v>
      </c>
      <c r="N347">
        <v>0.58699999999999997</v>
      </c>
      <c r="O347">
        <v>137</v>
      </c>
      <c r="P347">
        <v>81</v>
      </c>
      <c r="Q347" t="s">
        <v>29</v>
      </c>
      <c r="R347">
        <v>133</v>
      </c>
      <c r="S347">
        <v>19.190000000000001</v>
      </c>
      <c r="T347" t="s">
        <v>26</v>
      </c>
    </row>
    <row r="348" spans="1:20" x14ac:dyDescent="0.3">
      <c r="A348" t="s">
        <v>31</v>
      </c>
      <c r="B348">
        <v>35</v>
      </c>
      <c r="C348">
        <v>87.7</v>
      </c>
      <c r="D348">
        <v>1.86</v>
      </c>
      <c r="E348">
        <v>25.3</v>
      </c>
      <c r="F348">
        <v>87.9</v>
      </c>
      <c r="G348" t="s">
        <v>354</v>
      </c>
      <c r="H348">
        <v>253</v>
      </c>
      <c r="I348">
        <v>74</v>
      </c>
      <c r="J348">
        <v>124</v>
      </c>
      <c r="K348" t="s">
        <v>23</v>
      </c>
      <c r="L348" t="s">
        <v>22</v>
      </c>
      <c r="M348" t="s">
        <v>28</v>
      </c>
      <c r="N348">
        <v>0.47299999999999998</v>
      </c>
      <c r="O348">
        <v>135</v>
      </c>
      <c r="P348">
        <v>91</v>
      </c>
      <c r="Q348" t="s">
        <v>29</v>
      </c>
      <c r="R348">
        <v>149</v>
      </c>
      <c r="S348">
        <v>16.87</v>
      </c>
      <c r="T348" t="s">
        <v>30</v>
      </c>
    </row>
    <row r="349" spans="1:20" x14ac:dyDescent="0.3">
      <c r="A349" t="s">
        <v>20</v>
      </c>
      <c r="B349">
        <v>30</v>
      </c>
      <c r="C349">
        <v>103.1</v>
      </c>
      <c r="D349">
        <v>1.81</v>
      </c>
      <c r="E349">
        <v>31.5</v>
      </c>
      <c r="F349">
        <v>74</v>
      </c>
      <c r="G349" t="s">
        <v>355</v>
      </c>
      <c r="H349">
        <v>120</v>
      </c>
      <c r="J349">
        <v>144</v>
      </c>
      <c r="K349" t="s">
        <v>23</v>
      </c>
      <c r="L349" t="s">
        <v>23</v>
      </c>
      <c r="M349" t="s">
        <v>28</v>
      </c>
      <c r="N349">
        <v>0.40899999999999997</v>
      </c>
      <c r="O349">
        <v>109</v>
      </c>
      <c r="P349">
        <v>70</v>
      </c>
      <c r="Q349" t="s">
        <v>33</v>
      </c>
      <c r="R349">
        <v>53</v>
      </c>
      <c r="S349">
        <v>16.149999999999999</v>
      </c>
      <c r="T349" t="s">
        <v>30</v>
      </c>
    </row>
    <row r="350" spans="1:20" x14ac:dyDescent="0.3">
      <c r="A350" t="s">
        <v>20</v>
      </c>
      <c r="C350">
        <v>59.8</v>
      </c>
      <c r="D350">
        <v>1.67</v>
      </c>
      <c r="E350">
        <v>21.4</v>
      </c>
      <c r="F350">
        <v>97.1</v>
      </c>
      <c r="G350" t="s">
        <v>356</v>
      </c>
      <c r="H350">
        <v>196</v>
      </c>
      <c r="I350">
        <v>41</v>
      </c>
      <c r="J350">
        <v>125</v>
      </c>
      <c r="K350" t="s">
        <v>23</v>
      </c>
      <c r="L350" t="s">
        <v>22</v>
      </c>
      <c r="M350" t="s">
        <v>24</v>
      </c>
      <c r="N350">
        <v>0.58099999999999996</v>
      </c>
      <c r="O350">
        <v>129</v>
      </c>
      <c r="P350">
        <v>80</v>
      </c>
      <c r="Q350" t="s">
        <v>29</v>
      </c>
      <c r="R350">
        <v>125</v>
      </c>
      <c r="S350">
        <v>14.65</v>
      </c>
      <c r="T350" t="s">
        <v>26</v>
      </c>
    </row>
    <row r="351" spans="1:20" x14ac:dyDescent="0.3">
      <c r="A351" t="s">
        <v>31</v>
      </c>
      <c r="B351">
        <v>35</v>
      </c>
      <c r="C351">
        <v>53.9</v>
      </c>
      <c r="D351">
        <v>1.79</v>
      </c>
      <c r="E351">
        <v>16.8</v>
      </c>
      <c r="F351">
        <v>74.3</v>
      </c>
      <c r="G351" t="s">
        <v>357</v>
      </c>
      <c r="H351">
        <v>129</v>
      </c>
      <c r="I351">
        <v>47</v>
      </c>
      <c r="J351">
        <v>138</v>
      </c>
      <c r="K351" t="s">
        <v>22</v>
      </c>
      <c r="L351" t="s">
        <v>23</v>
      </c>
      <c r="M351" t="s">
        <v>28</v>
      </c>
      <c r="N351">
        <v>0.41499999999999998</v>
      </c>
      <c r="O351">
        <v>136</v>
      </c>
      <c r="P351">
        <v>97</v>
      </c>
      <c r="Q351" t="s">
        <v>29</v>
      </c>
      <c r="R351">
        <v>52</v>
      </c>
      <c r="S351">
        <v>14.74</v>
      </c>
      <c r="T351" t="s">
        <v>52</v>
      </c>
    </row>
    <row r="352" spans="1:20" x14ac:dyDescent="0.3">
      <c r="A352" t="s">
        <v>31</v>
      </c>
      <c r="B352">
        <v>51</v>
      </c>
      <c r="C352">
        <v>108.8</v>
      </c>
      <c r="D352">
        <v>1.77</v>
      </c>
      <c r="E352">
        <v>34.700000000000003</v>
      </c>
      <c r="F352">
        <v>104.2</v>
      </c>
      <c r="G352" t="s">
        <v>358</v>
      </c>
      <c r="H352">
        <v>277</v>
      </c>
      <c r="I352">
        <v>38</v>
      </c>
      <c r="J352">
        <v>113</v>
      </c>
      <c r="K352" t="s">
        <v>23</v>
      </c>
      <c r="L352" t="s">
        <v>23</v>
      </c>
      <c r="M352" t="s">
        <v>37</v>
      </c>
      <c r="O352">
        <v>96</v>
      </c>
      <c r="P352">
        <v>93</v>
      </c>
      <c r="Q352" t="s">
        <v>38</v>
      </c>
      <c r="R352">
        <v>209</v>
      </c>
      <c r="S352">
        <v>19.28</v>
      </c>
      <c r="T352" t="s">
        <v>30</v>
      </c>
    </row>
    <row r="353" spans="1:20" x14ac:dyDescent="0.3">
      <c r="A353" t="s">
        <v>20</v>
      </c>
      <c r="B353">
        <v>32</v>
      </c>
      <c r="C353">
        <v>51.3</v>
      </c>
      <c r="D353">
        <v>1.6</v>
      </c>
      <c r="E353">
        <v>20</v>
      </c>
      <c r="F353">
        <v>86.8</v>
      </c>
      <c r="G353" t="s">
        <v>183</v>
      </c>
      <c r="H353">
        <v>162</v>
      </c>
      <c r="I353">
        <v>46</v>
      </c>
      <c r="J353">
        <v>88</v>
      </c>
      <c r="K353" t="s">
        <v>23</v>
      </c>
      <c r="L353" t="s">
        <v>22</v>
      </c>
      <c r="M353" t="s">
        <v>28</v>
      </c>
      <c r="N353">
        <v>0.54200000000000004</v>
      </c>
      <c r="O353">
        <v>136</v>
      </c>
      <c r="P353">
        <v>61</v>
      </c>
      <c r="Q353" t="s">
        <v>29</v>
      </c>
      <c r="R353">
        <v>86</v>
      </c>
      <c r="S353">
        <v>14.04</v>
      </c>
      <c r="T353" t="s">
        <v>52</v>
      </c>
    </row>
    <row r="354" spans="1:20" x14ac:dyDescent="0.3">
      <c r="A354" t="s">
        <v>31</v>
      </c>
      <c r="B354">
        <v>47</v>
      </c>
      <c r="C354">
        <v>90.9</v>
      </c>
      <c r="D354">
        <v>1.61</v>
      </c>
      <c r="F354">
        <v>97.9</v>
      </c>
      <c r="G354" t="s">
        <v>359</v>
      </c>
      <c r="H354">
        <v>233</v>
      </c>
      <c r="I354">
        <v>72</v>
      </c>
      <c r="J354">
        <v>138</v>
      </c>
      <c r="K354" t="s">
        <v>23</v>
      </c>
      <c r="L354" t="s">
        <v>22</v>
      </c>
      <c r="M354" t="s">
        <v>37</v>
      </c>
      <c r="N354">
        <v>0.60799999999999998</v>
      </c>
      <c r="O354">
        <v>103</v>
      </c>
      <c r="P354">
        <v>69</v>
      </c>
      <c r="Q354" t="s">
        <v>33</v>
      </c>
      <c r="R354">
        <v>131</v>
      </c>
      <c r="S354">
        <v>16.829999999999998</v>
      </c>
      <c r="T354" t="s">
        <v>30</v>
      </c>
    </row>
    <row r="355" spans="1:20" x14ac:dyDescent="0.3">
      <c r="A355" t="s">
        <v>31</v>
      </c>
      <c r="B355">
        <v>58</v>
      </c>
      <c r="C355">
        <v>108.5</v>
      </c>
      <c r="E355">
        <v>40.799999999999997</v>
      </c>
      <c r="F355">
        <v>90.3</v>
      </c>
      <c r="G355" t="s">
        <v>360</v>
      </c>
      <c r="H355">
        <v>208</v>
      </c>
      <c r="I355">
        <v>40</v>
      </c>
      <c r="J355">
        <v>142</v>
      </c>
      <c r="K355" t="s">
        <v>23</v>
      </c>
      <c r="L355" t="s">
        <v>23</v>
      </c>
      <c r="M355" t="s">
        <v>37</v>
      </c>
      <c r="N355">
        <v>0.55400000000000005</v>
      </c>
      <c r="O355">
        <v>135</v>
      </c>
      <c r="Q355" t="s">
        <v>29</v>
      </c>
      <c r="R355">
        <v>138</v>
      </c>
      <c r="S355">
        <v>21.07</v>
      </c>
      <c r="T355" t="s">
        <v>30</v>
      </c>
    </row>
    <row r="356" spans="1:20" x14ac:dyDescent="0.3">
      <c r="A356" t="s">
        <v>31</v>
      </c>
      <c r="B356">
        <v>41</v>
      </c>
      <c r="C356">
        <v>59.3</v>
      </c>
      <c r="D356">
        <v>1.61</v>
      </c>
      <c r="E356">
        <v>22.9</v>
      </c>
      <c r="F356">
        <v>87.6</v>
      </c>
      <c r="G356" t="s">
        <v>268</v>
      </c>
      <c r="H356">
        <v>168</v>
      </c>
      <c r="I356">
        <v>34</v>
      </c>
      <c r="J356">
        <v>124</v>
      </c>
      <c r="K356" t="s">
        <v>22</v>
      </c>
      <c r="L356" t="s">
        <v>23</v>
      </c>
      <c r="M356" t="s">
        <v>28</v>
      </c>
      <c r="O356">
        <v>121</v>
      </c>
      <c r="P356">
        <v>68</v>
      </c>
      <c r="Q356" t="s">
        <v>25</v>
      </c>
      <c r="R356">
        <v>104</v>
      </c>
      <c r="S356">
        <v>15.99</v>
      </c>
      <c r="T356" t="s">
        <v>26</v>
      </c>
    </row>
    <row r="357" spans="1:20" x14ac:dyDescent="0.3">
      <c r="A357" t="s">
        <v>31</v>
      </c>
      <c r="B357">
        <v>36</v>
      </c>
      <c r="C357">
        <v>110.5</v>
      </c>
      <c r="D357">
        <v>1.88</v>
      </c>
      <c r="E357">
        <v>31.3</v>
      </c>
      <c r="F357">
        <v>106.6</v>
      </c>
      <c r="G357" t="s">
        <v>361</v>
      </c>
      <c r="H357">
        <v>208</v>
      </c>
      <c r="I357">
        <v>52</v>
      </c>
      <c r="J357">
        <v>135</v>
      </c>
      <c r="K357" t="s">
        <v>22</v>
      </c>
      <c r="L357" t="s">
        <v>22</v>
      </c>
      <c r="M357" t="s">
        <v>28</v>
      </c>
      <c r="N357">
        <v>0.56699999999999995</v>
      </c>
      <c r="O357">
        <v>148</v>
      </c>
      <c r="P357">
        <v>64</v>
      </c>
      <c r="Q357" t="s">
        <v>38</v>
      </c>
      <c r="R357">
        <v>126</v>
      </c>
      <c r="S357">
        <v>17.82</v>
      </c>
      <c r="T357" t="s">
        <v>26</v>
      </c>
    </row>
    <row r="358" spans="1:20" x14ac:dyDescent="0.3">
      <c r="A358" t="s">
        <v>31</v>
      </c>
      <c r="B358">
        <v>39</v>
      </c>
      <c r="D358">
        <v>1.61</v>
      </c>
      <c r="E358">
        <v>26.7</v>
      </c>
      <c r="G358" t="s">
        <v>362</v>
      </c>
      <c r="H358">
        <v>269</v>
      </c>
      <c r="I358">
        <v>43</v>
      </c>
      <c r="J358">
        <v>122</v>
      </c>
      <c r="K358" t="s">
        <v>22</v>
      </c>
      <c r="L358" t="s">
        <v>23</v>
      </c>
      <c r="M358" t="s">
        <v>28</v>
      </c>
      <c r="N358">
        <v>0.61199999999999999</v>
      </c>
      <c r="O358">
        <v>150</v>
      </c>
      <c r="P358">
        <v>78</v>
      </c>
      <c r="Q358" t="s">
        <v>38</v>
      </c>
      <c r="R358">
        <v>196</v>
      </c>
      <c r="S358">
        <v>20.22</v>
      </c>
      <c r="T358" t="s">
        <v>30</v>
      </c>
    </row>
    <row r="359" spans="1:20" x14ac:dyDescent="0.3">
      <c r="A359" t="s">
        <v>20</v>
      </c>
      <c r="B359">
        <v>53</v>
      </c>
      <c r="C359">
        <v>59.8</v>
      </c>
      <c r="D359">
        <v>1.74</v>
      </c>
      <c r="F359">
        <v>103.9</v>
      </c>
      <c r="G359" t="s">
        <v>363</v>
      </c>
      <c r="H359">
        <v>208</v>
      </c>
      <c r="I359">
        <v>73</v>
      </c>
      <c r="J359">
        <v>143</v>
      </c>
      <c r="K359" t="s">
        <v>22</v>
      </c>
      <c r="L359" t="s">
        <v>22</v>
      </c>
      <c r="M359" t="s">
        <v>28</v>
      </c>
      <c r="N359">
        <v>0.59699999999999998</v>
      </c>
      <c r="O359">
        <v>127</v>
      </c>
      <c r="P359">
        <v>78</v>
      </c>
      <c r="Q359" t="s">
        <v>25</v>
      </c>
      <c r="R359">
        <v>105</v>
      </c>
      <c r="S359">
        <v>14.47</v>
      </c>
      <c r="T359" t="s">
        <v>26</v>
      </c>
    </row>
    <row r="360" spans="1:20" x14ac:dyDescent="0.3">
      <c r="A360" t="s">
        <v>20</v>
      </c>
      <c r="B360">
        <v>43</v>
      </c>
      <c r="C360">
        <v>54.2</v>
      </c>
      <c r="D360">
        <v>1.78</v>
      </c>
      <c r="E360">
        <v>17.100000000000001</v>
      </c>
      <c r="F360">
        <v>91.8</v>
      </c>
      <c r="G360" t="s">
        <v>364</v>
      </c>
      <c r="H360">
        <v>274</v>
      </c>
      <c r="I360">
        <v>38</v>
      </c>
      <c r="J360">
        <v>144</v>
      </c>
      <c r="K360" t="s">
        <v>23</v>
      </c>
      <c r="L360" t="s">
        <v>23</v>
      </c>
      <c r="M360" t="s">
        <v>28</v>
      </c>
      <c r="N360">
        <v>0.51600000000000001</v>
      </c>
      <c r="O360">
        <v>117</v>
      </c>
      <c r="P360">
        <v>81</v>
      </c>
      <c r="Q360" t="s">
        <v>29</v>
      </c>
      <c r="R360">
        <v>206</v>
      </c>
      <c r="S360">
        <v>16.75</v>
      </c>
      <c r="T360" t="s">
        <v>30</v>
      </c>
    </row>
    <row r="361" spans="1:20" x14ac:dyDescent="0.3">
      <c r="A361" t="s">
        <v>31</v>
      </c>
      <c r="B361">
        <v>58</v>
      </c>
      <c r="C361">
        <v>91.2</v>
      </c>
      <c r="D361">
        <v>1.78</v>
      </c>
      <c r="F361">
        <v>78.599999999999994</v>
      </c>
      <c r="G361" t="s">
        <v>365</v>
      </c>
      <c r="H361">
        <v>190</v>
      </c>
      <c r="I361">
        <v>74</v>
      </c>
      <c r="J361">
        <v>89</v>
      </c>
      <c r="K361" t="s">
        <v>23</v>
      </c>
      <c r="L361" t="s">
        <v>23</v>
      </c>
      <c r="M361" t="s">
        <v>24</v>
      </c>
      <c r="N361">
        <v>0.442</v>
      </c>
      <c r="O361">
        <v>125</v>
      </c>
      <c r="P361">
        <v>100</v>
      </c>
      <c r="Q361" t="s">
        <v>38</v>
      </c>
      <c r="R361">
        <v>86</v>
      </c>
      <c r="S361">
        <v>17.809999999999999</v>
      </c>
      <c r="T361" t="s">
        <v>30</v>
      </c>
    </row>
    <row r="362" spans="1:20" x14ac:dyDescent="0.3">
      <c r="A362" t="s">
        <v>31</v>
      </c>
      <c r="B362">
        <v>59</v>
      </c>
      <c r="C362">
        <v>98.7</v>
      </c>
      <c r="D362">
        <v>1.64</v>
      </c>
      <c r="F362">
        <v>72.599999999999994</v>
      </c>
      <c r="G362" t="s">
        <v>366</v>
      </c>
      <c r="H362">
        <v>234</v>
      </c>
      <c r="I362">
        <v>30</v>
      </c>
      <c r="J362">
        <v>95</v>
      </c>
      <c r="K362" t="s">
        <v>23</v>
      </c>
      <c r="L362" t="s">
        <v>22</v>
      </c>
      <c r="M362" t="s">
        <v>28</v>
      </c>
      <c r="N362">
        <v>0.443</v>
      </c>
      <c r="O362">
        <v>126</v>
      </c>
      <c r="P362">
        <v>80</v>
      </c>
      <c r="Q362" t="s">
        <v>29</v>
      </c>
      <c r="R362">
        <v>174</v>
      </c>
      <c r="S362">
        <v>18.32</v>
      </c>
      <c r="T362" t="s">
        <v>30</v>
      </c>
    </row>
    <row r="363" spans="1:20" x14ac:dyDescent="0.3">
      <c r="A363" t="s">
        <v>20</v>
      </c>
      <c r="B363">
        <v>42</v>
      </c>
      <c r="C363">
        <v>104.1</v>
      </c>
      <c r="D363">
        <v>1.88</v>
      </c>
      <c r="E363">
        <v>29.5</v>
      </c>
      <c r="F363">
        <v>83.4</v>
      </c>
      <c r="G363" t="s">
        <v>367</v>
      </c>
      <c r="H363">
        <v>196</v>
      </c>
      <c r="I363">
        <v>68</v>
      </c>
      <c r="J363">
        <v>110</v>
      </c>
      <c r="K363" t="s">
        <v>23</v>
      </c>
      <c r="L363" t="s">
        <v>22</v>
      </c>
      <c r="M363" t="s">
        <v>24</v>
      </c>
      <c r="O363">
        <v>132</v>
      </c>
      <c r="P363">
        <v>86</v>
      </c>
      <c r="Q363" t="s">
        <v>29</v>
      </c>
      <c r="R363">
        <v>98</v>
      </c>
      <c r="S363">
        <v>16.420000000000002</v>
      </c>
      <c r="T363" t="s">
        <v>30</v>
      </c>
    </row>
    <row r="364" spans="1:20" x14ac:dyDescent="0.3">
      <c r="A364" t="s">
        <v>20</v>
      </c>
      <c r="B364">
        <v>46</v>
      </c>
      <c r="C364">
        <v>73.7</v>
      </c>
      <c r="D364">
        <v>1.66</v>
      </c>
      <c r="E364">
        <v>26.7</v>
      </c>
      <c r="F364">
        <v>108.9</v>
      </c>
      <c r="G364" t="s">
        <v>368</v>
      </c>
      <c r="H364">
        <v>173</v>
      </c>
      <c r="I364">
        <v>45</v>
      </c>
      <c r="J364">
        <v>80</v>
      </c>
      <c r="K364" t="s">
        <v>23</v>
      </c>
      <c r="L364" t="s">
        <v>23</v>
      </c>
      <c r="M364" t="s">
        <v>28</v>
      </c>
      <c r="N364">
        <v>0.65600000000000003</v>
      </c>
      <c r="O364">
        <v>92</v>
      </c>
      <c r="P364">
        <v>74</v>
      </c>
      <c r="Q364" t="s">
        <v>33</v>
      </c>
      <c r="R364">
        <v>98</v>
      </c>
      <c r="S364">
        <v>15.4</v>
      </c>
      <c r="T364" t="s">
        <v>30</v>
      </c>
    </row>
    <row r="365" spans="1:20" x14ac:dyDescent="0.3">
      <c r="A365" t="s">
        <v>20</v>
      </c>
      <c r="B365">
        <v>42</v>
      </c>
      <c r="C365">
        <v>114.1</v>
      </c>
      <c r="D365">
        <v>1.66</v>
      </c>
      <c r="E365">
        <v>41.4</v>
      </c>
      <c r="G365" t="s">
        <v>369</v>
      </c>
      <c r="H365">
        <v>222</v>
      </c>
      <c r="I365">
        <v>59</v>
      </c>
      <c r="J365">
        <v>146</v>
      </c>
      <c r="K365" t="s">
        <v>23</v>
      </c>
      <c r="L365" t="s">
        <v>23</v>
      </c>
      <c r="M365" t="s">
        <v>28</v>
      </c>
      <c r="N365">
        <v>0.46700000000000003</v>
      </c>
      <c r="O365">
        <v>93</v>
      </c>
      <c r="P365">
        <v>88</v>
      </c>
      <c r="Q365" t="s">
        <v>29</v>
      </c>
      <c r="R365">
        <v>133</v>
      </c>
      <c r="S365">
        <v>19.37</v>
      </c>
      <c r="T365" t="s">
        <v>30</v>
      </c>
    </row>
    <row r="366" spans="1:20" x14ac:dyDescent="0.3">
      <c r="A366" t="s">
        <v>31</v>
      </c>
      <c r="B366">
        <v>54</v>
      </c>
      <c r="C366">
        <v>98.5</v>
      </c>
      <c r="D366">
        <v>1.69</v>
      </c>
      <c r="E366">
        <v>34.5</v>
      </c>
      <c r="F366">
        <v>105.8</v>
      </c>
      <c r="G366" t="s">
        <v>370</v>
      </c>
      <c r="H366">
        <v>257</v>
      </c>
      <c r="I366">
        <v>34</v>
      </c>
      <c r="J366">
        <v>109</v>
      </c>
      <c r="K366" t="s">
        <v>23</v>
      </c>
      <c r="L366" t="s">
        <v>23</v>
      </c>
      <c r="M366" t="s">
        <v>37</v>
      </c>
      <c r="N366">
        <v>0.626</v>
      </c>
      <c r="O366">
        <v>126</v>
      </c>
      <c r="P366">
        <v>60</v>
      </c>
      <c r="Q366" t="s">
        <v>25</v>
      </c>
      <c r="R366">
        <v>193</v>
      </c>
      <c r="S366">
        <v>20.34</v>
      </c>
      <c r="T366" t="s">
        <v>30</v>
      </c>
    </row>
    <row r="367" spans="1:20" x14ac:dyDescent="0.3">
      <c r="A367" t="s">
        <v>31</v>
      </c>
      <c r="B367">
        <v>59</v>
      </c>
      <c r="C367">
        <v>75.3</v>
      </c>
      <c r="D367">
        <v>1.65</v>
      </c>
      <c r="E367">
        <v>27.7</v>
      </c>
      <c r="F367">
        <v>95.6</v>
      </c>
      <c r="G367" t="s">
        <v>371</v>
      </c>
      <c r="H367">
        <v>131</v>
      </c>
      <c r="I367">
        <v>53</v>
      </c>
      <c r="J367">
        <v>81</v>
      </c>
      <c r="K367" t="s">
        <v>22</v>
      </c>
      <c r="L367" t="s">
        <v>23</v>
      </c>
      <c r="M367" t="s">
        <v>37</v>
      </c>
      <c r="N367">
        <v>0.57899999999999996</v>
      </c>
      <c r="O367">
        <v>120</v>
      </c>
      <c r="Q367" t="s">
        <v>29</v>
      </c>
      <c r="R367">
        <v>48</v>
      </c>
      <c r="T367" t="s">
        <v>26</v>
      </c>
    </row>
    <row r="368" spans="1:20" x14ac:dyDescent="0.3">
      <c r="A368" t="s">
        <v>20</v>
      </c>
      <c r="B368">
        <v>54</v>
      </c>
      <c r="C368">
        <v>106.6</v>
      </c>
      <c r="D368">
        <v>1.69</v>
      </c>
      <c r="E368">
        <v>37.299999999999997</v>
      </c>
      <c r="F368">
        <v>101</v>
      </c>
      <c r="G368" t="s">
        <v>372</v>
      </c>
      <c r="H368">
        <v>252</v>
      </c>
      <c r="I368">
        <v>44</v>
      </c>
      <c r="J368">
        <v>124</v>
      </c>
      <c r="K368" t="s">
        <v>22</v>
      </c>
      <c r="L368" t="s">
        <v>22</v>
      </c>
      <c r="M368" t="s">
        <v>24</v>
      </c>
      <c r="N368">
        <v>0.59799999999999998</v>
      </c>
      <c r="O368">
        <v>134</v>
      </c>
      <c r="P368">
        <v>82</v>
      </c>
      <c r="Q368" t="s">
        <v>29</v>
      </c>
      <c r="S368">
        <v>19.2</v>
      </c>
      <c r="T368" t="s">
        <v>30</v>
      </c>
    </row>
    <row r="369" spans="1:20" x14ac:dyDescent="0.3">
      <c r="A369" t="s">
        <v>31</v>
      </c>
      <c r="B369">
        <v>47</v>
      </c>
      <c r="C369">
        <v>118.1</v>
      </c>
      <c r="E369">
        <v>35.700000000000003</v>
      </c>
      <c r="F369">
        <v>93.4</v>
      </c>
      <c r="G369" t="s">
        <v>373</v>
      </c>
      <c r="H369">
        <v>151</v>
      </c>
      <c r="I369">
        <v>39</v>
      </c>
      <c r="K369" t="s">
        <v>23</v>
      </c>
      <c r="L369" t="s">
        <v>23</v>
      </c>
      <c r="M369" t="s">
        <v>24</v>
      </c>
      <c r="N369">
        <v>0.51300000000000001</v>
      </c>
      <c r="O369">
        <v>130</v>
      </c>
      <c r="P369">
        <v>87</v>
      </c>
      <c r="Q369" t="s">
        <v>29</v>
      </c>
      <c r="R369">
        <v>82</v>
      </c>
      <c r="S369">
        <v>18.66</v>
      </c>
      <c r="T369" t="s">
        <v>30</v>
      </c>
    </row>
    <row r="370" spans="1:20" x14ac:dyDescent="0.3">
      <c r="A370" t="s">
        <v>31</v>
      </c>
      <c r="B370">
        <v>46</v>
      </c>
      <c r="C370">
        <v>73</v>
      </c>
      <c r="D370">
        <v>1.79</v>
      </c>
      <c r="E370">
        <v>22.8</v>
      </c>
      <c r="G370" t="s">
        <v>374</v>
      </c>
      <c r="H370">
        <v>260</v>
      </c>
      <c r="I370">
        <v>61</v>
      </c>
      <c r="J370">
        <v>72</v>
      </c>
      <c r="K370" t="s">
        <v>23</v>
      </c>
      <c r="L370" t="s">
        <v>22</v>
      </c>
      <c r="M370" t="s">
        <v>37</v>
      </c>
      <c r="N370">
        <v>0.434</v>
      </c>
      <c r="O370">
        <v>95</v>
      </c>
      <c r="P370">
        <v>60</v>
      </c>
      <c r="Q370" t="s">
        <v>33</v>
      </c>
      <c r="R370">
        <v>169</v>
      </c>
      <c r="S370">
        <v>14.51</v>
      </c>
      <c r="T370" t="s">
        <v>30</v>
      </c>
    </row>
    <row r="371" spans="1:20" x14ac:dyDescent="0.3">
      <c r="A371" t="s">
        <v>31</v>
      </c>
      <c r="B371">
        <v>52</v>
      </c>
      <c r="D371">
        <v>1.85</v>
      </c>
      <c r="E371">
        <v>26.1</v>
      </c>
      <c r="F371">
        <v>98.5</v>
      </c>
      <c r="G371" t="s">
        <v>233</v>
      </c>
      <c r="H371">
        <v>295</v>
      </c>
      <c r="I371">
        <v>39</v>
      </c>
      <c r="K371" t="s">
        <v>22</v>
      </c>
      <c r="L371" t="s">
        <v>22</v>
      </c>
      <c r="M371" t="s">
        <v>37</v>
      </c>
      <c r="N371">
        <v>0.53200000000000003</v>
      </c>
      <c r="O371">
        <v>114</v>
      </c>
      <c r="P371">
        <v>92</v>
      </c>
      <c r="Q371" t="s">
        <v>38</v>
      </c>
      <c r="R371">
        <v>226</v>
      </c>
      <c r="S371">
        <v>16.82</v>
      </c>
      <c r="T371" t="s">
        <v>30</v>
      </c>
    </row>
    <row r="372" spans="1:20" x14ac:dyDescent="0.3">
      <c r="A372" t="s">
        <v>31</v>
      </c>
      <c r="B372">
        <v>43</v>
      </c>
      <c r="C372">
        <v>108.8</v>
      </c>
      <c r="D372">
        <v>1.87</v>
      </c>
      <c r="E372">
        <v>31.1</v>
      </c>
      <c r="F372">
        <v>74.2</v>
      </c>
      <c r="G372" t="s">
        <v>375</v>
      </c>
      <c r="H372">
        <v>216</v>
      </c>
      <c r="I372">
        <v>55</v>
      </c>
      <c r="J372">
        <v>115</v>
      </c>
      <c r="K372" t="s">
        <v>22</v>
      </c>
      <c r="L372" t="s">
        <v>22</v>
      </c>
      <c r="M372" t="s">
        <v>28</v>
      </c>
      <c r="N372">
        <v>0.39700000000000002</v>
      </c>
      <c r="O372">
        <v>128</v>
      </c>
      <c r="P372">
        <v>75</v>
      </c>
      <c r="Q372" t="s">
        <v>25</v>
      </c>
      <c r="R372">
        <v>131</v>
      </c>
      <c r="S372">
        <v>16.940000000000001</v>
      </c>
      <c r="T372" t="s">
        <v>26</v>
      </c>
    </row>
    <row r="373" spans="1:20" x14ac:dyDescent="0.3">
      <c r="A373" t="s">
        <v>20</v>
      </c>
      <c r="B373">
        <v>42</v>
      </c>
      <c r="C373">
        <v>68.5</v>
      </c>
      <c r="D373">
        <v>1.83</v>
      </c>
      <c r="E373">
        <v>20.5</v>
      </c>
      <c r="F373">
        <v>84.1</v>
      </c>
      <c r="G373" t="s">
        <v>376</v>
      </c>
      <c r="H373">
        <v>184</v>
      </c>
      <c r="I373">
        <v>77</v>
      </c>
      <c r="J373">
        <v>122</v>
      </c>
      <c r="K373" t="s">
        <v>23</v>
      </c>
      <c r="L373" t="s">
        <v>23</v>
      </c>
      <c r="M373" t="s">
        <v>28</v>
      </c>
      <c r="N373">
        <v>0.46</v>
      </c>
      <c r="O373">
        <v>140</v>
      </c>
      <c r="P373">
        <v>89</v>
      </c>
      <c r="Q373" t="s">
        <v>29</v>
      </c>
      <c r="R373">
        <v>77</v>
      </c>
      <c r="S373">
        <v>16.78</v>
      </c>
      <c r="T373" t="s">
        <v>26</v>
      </c>
    </row>
    <row r="374" spans="1:20" x14ac:dyDescent="0.3">
      <c r="A374" t="s">
        <v>20</v>
      </c>
      <c r="B374">
        <v>37</v>
      </c>
      <c r="C374">
        <v>60.7</v>
      </c>
      <c r="D374">
        <v>1.63</v>
      </c>
      <c r="E374">
        <v>22.8</v>
      </c>
      <c r="F374">
        <v>78.900000000000006</v>
      </c>
      <c r="G374" t="s">
        <v>377</v>
      </c>
      <c r="H374">
        <v>200</v>
      </c>
      <c r="I374">
        <v>68</v>
      </c>
      <c r="J374">
        <v>136</v>
      </c>
      <c r="K374" t="s">
        <v>23</v>
      </c>
      <c r="L374" t="s">
        <v>22</v>
      </c>
      <c r="M374" t="s">
        <v>37</v>
      </c>
      <c r="N374">
        <v>0.48399999999999999</v>
      </c>
      <c r="O374">
        <v>116</v>
      </c>
      <c r="P374">
        <v>100</v>
      </c>
      <c r="Q374" t="s">
        <v>38</v>
      </c>
      <c r="R374">
        <v>102</v>
      </c>
      <c r="S374">
        <v>14.36</v>
      </c>
      <c r="T374" t="s">
        <v>52</v>
      </c>
    </row>
    <row r="375" spans="1:20" x14ac:dyDescent="0.3">
      <c r="A375" t="s">
        <v>31</v>
      </c>
      <c r="B375">
        <v>33</v>
      </c>
      <c r="C375">
        <v>99.5</v>
      </c>
      <c r="D375">
        <v>1.75</v>
      </c>
      <c r="E375">
        <v>32.5</v>
      </c>
      <c r="F375">
        <v>73.2</v>
      </c>
      <c r="G375" t="s">
        <v>335</v>
      </c>
      <c r="H375">
        <v>149</v>
      </c>
      <c r="I375">
        <v>78</v>
      </c>
      <c r="J375">
        <v>73</v>
      </c>
      <c r="K375" t="s">
        <v>23</v>
      </c>
      <c r="L375" t="s">
        <v>22</v>
      </c>
      <c r="M375" t="s">
        <v>24</v>
      </c>
      <c r="N375">
        <v>0.41799999999999998</v>
      </c>
      <c r="O375">
        <v>100</v>
      </c>
      <c r="P375">
        <v>80</v>
      </c>
      <c r="Q375" t="s">
        <v>29</v>
      </c>
      <c r="R375">
        <v>41</v>
      </c>
      <c r="S375">
        <v>14.48</v>
      </c>
      <c r="T375" t="s">
        <v>30</v>
      </c>
    </row>
    <row r="376" spans="1:20" x14ac:dyDescent="0.3">
      <c r="A376" t="s">
        <v>31</v>
      </c>
      <c r="B376">
        <v>48</v>
      </c>
      <c r="C376">
        <v>95.2</v>
      </c>
      <c r="D376">
        <v>1.89</v>
      </c>
      <c r="E376">
        <v>26.7</v>
      </c>
      <c r="F376">
        <v>81.599999999999994</v>
      </c>
      <c r="G376" t="s">
        <v>378</v>
      </c>
      <c r="H376">
        <v>249</v>
      </c>
      <c r="I376">
        <v>53</v>
      </c>
      <c r="J376">
        <v>134</v>
      </c>
      <c r="K376" t="s">
        <v>22</v>
      </c>
      <c r="L376" t="s">
        <v>22</v>
      </c>
      <c r="M376" t="s">
        <v>37</v>
      </c>
      <c r="N376">
        <v>0.432</v>
      </c>
      <c r="O376">
        <v>133</v>
      </c>
      <c r="P376">
        <v>94</v>
      </c>
      <c r="Q376" t="s">
        <v>29</v>
      </c>
      <c r="S376">
        <v>16.97</v>
      </c>
      <c r="T376" t="s">
        <v>30</v>
      </c>
    </row>
    <row r="377" spans="1:20" x14ac:dyDescent="0.3">
      <c r="A377" t="s">
        <v>20</v>
      </c>
      <c r="B377">
        <v>40</v>
      </c>
      <c r="C377">
        <v>83.9</v>
      </c>
      <c r="D377">
        <v>1.85</v>
      </c>
      <c r="E377">
        <v>24.5</v>
      </c>
      <c r="F377">
        <v>109.2</v>
      </c>
      <c r="G377" t="s">
        <v>379</v>
      </c>
      <c r="H377">
        <v>179</v>
      </c>
      <c r="J377">
        <v>105</v>
      </c>
      <c r="K377" t="s">
        <v>22</v>
      </c>
      <c r="L377" t="s">
        <v>23</v>
      </c>
      <c r="M377" t="s">
        <v>24</v>
      </c>
      <c r="N377">
        <v>0.59</v>
      </c>
      <c r="O377">
        <v>143</v>
      </c>
      <c r="P377">
        <v>93</v>
      </c>
      <c r="Q377" t="s">
        <v>38</v>
      </c>
      <c r="R377">
        <v>107</v>
      </c>
      <c r="S377">
        <v>17.63</v>
      </c>
      <c r="T377" t="s">
        <v>26</v>
      </c>
    </row>
    <row r="378" spans="1:20" x14ac:dyDescent="0.3">
      <c r="A378" t="s">
        <v>31</v>
      </c>
      <c r="B378">
        <v>31</v>
      </c>
      <c r="C378">
        <v>73.7</v>
      </c>
      <c r="D378">
        <v>1.7</v>
      </c>
      <c r="E378">
        <v>25.5</v>
      </c>
      <c r="F378">
        <v>88.2</v>
      </c>
      <c r="G378" t="s">
        <v>380</v>
      </c>
      <c r="H378">
        <v>190</v>
      </c>
      <c r="I378">
        <v>66</v>
      </c>
      <c r="J378">
        <v>89</v>
      </c>
      <c r="K378" t="s">
        <v>22</v>
      </c>
      <c r="L378" t="s">
        <v>22</v>
      </c>
      <c r="M378" t="s">
        <v>24</v>
      </c>
      <c r="N378">
        <v>0.51900000000000002</v>
      </c>
      <c r="O378">
        <v>146</v>
      </c>
      <c r="P378">
        <v>61</v>
      </c>
      <c r="Q378" t="s">
        <v>38</v>
      </c>
      <c r="R378">
        <v>94</v>
      </c>
      <c r="S378">
        <v>16.2</v>
      </c>
      <c r="T378" t="s">
        <v>26</v>
      </c>
    </row>
    <row r="379" spans="1:20" x14ac:dyDescent="0.3">
      <c r="A379" t="s">
        <v>31</v>
      </c>
      <c r="B379">
        <v>47</v>
      </c>
      <c r="C379">
        <v>67.5</v>
      </c>
      <c r="D379">
        <v>1.83</v>
      </c>
      <c r="E379">
        <v>20.2</v>
      </c>
      <c r="F379">
        <v>100</v>
      </c>
      <c r="G379" t="s">
        <v>381</v>
      </c>
      <c r="H379">
        <v>185</v>
      </c>
      <c r="I379">
        <v>49</v>
      </c>
      <c r="J379">
        <v>79</v>
      </c>
      <c r="K379" t="s">
        <v>22</v>
      </c>
      <c r="L379" t="s">
        <v>22</v>
      </c>
      <c r="M379" t="s">
        <v>37</v>
      </c>
      <c r="N379">
        <v>0.54600000000000004</v>
      </c>
      <c r="O379">
        <v>119</v>
      </c>
      <c r="Q379" t="s">
        <v>33</v>
      </c>
      <c r="R379">
        <v>106</v>
      </c>
      <c r="S379">
        <v>13.69</v>
      </c>
      <c r="T379" t="s">
        <v>26</v>
      </c>
    </row>
    <row r="380" spans="1:20" x14ac:dyDescent="0.3">
      <c r="A380" t="s">
        <v>31</v>
      </c>
      <c r="B380">
        <v>49</v>
      </c>
      <c r="C380">
        <v>88.7</v>
      </c>
      <c r="D380">
        <v>1.62</v>
      </c>
      <c r="E380">
        <v>33.799999999999997</v>
      </c>
      <c r="F380">
        <v>99.9</v>
      </c>
      <c r="G380" t="s">
        <v>382</v>
      </c>
      <c r="H380">
        <v>257</v>
      </c>
      <c r="I380">
        <v>76</v>
      </c>
      <c r="J380">
        <v>138</v>
      </c>
      <c r="K380" t="s">
        <v>22</v>
      </c>
      <c r="L380" t="s">
        <v>23</v>
      </c>
      <c r="M380" t="s">
        <v>24</v>
      </c>
      <c r="N380">
        <v>0.61699999999999999</v>
      </c>
      <c r="O380">
        <v>139</v>
      </c>
      <c r="Q380" t="s">
        <v>29</v>
      </c>
      <c r="R380">
        <v>151</v>
      </c>
      <c r="S380">
        <v>20.85</v>
      </c>
      <c r="T380" t="s">
        <v>30</v>
      </c>
    </row>
    <row r="381" spans="1:20" x14ac:dyDescent="0.3">
      <c r="A381" t="s">
        <v>31</v>
      </c>
      <c r="B381">
        <v>42</v>
      </c>
      <c r="C381">
        <v>57.2</v>
      </c>
      <c r="D381">
        <v>1.61</v>
      </c>
      <c r="E381">
        <v>22.1</v>
      </c>
      <c r="F381">
        <v>98.1</v>
      </c>
      <c r="G381" t="s">
        <v>147</v>
      </c>
      <c r="H381">
        <v>137</v>
      </c>
      <c r="I381">
        <v>54</v>
      </c>
      <c r="J381">
        <v>75</v>
      </c>
      <c r="K381" t="s">
        <v>23</v>
      </c>
      <c r="L381" t="s">
        <v>23</v>
      </c>
      <c r="M381" t="s">
        <v>24</v>
      </c>
      <c r="N381">
        <v>0.60899999999999999</v>
      </c>
      <c r="O381">
        <v>139</v>
      </c>
      <c r="Q381" t="s">
        <v>29</v>
      </c>
      <c r="R381">
        <v>53</v>
      </c>
      <c r="S381">
        <v>16.11</v>
      </c>
      <c r="T381" t="s">
        <v>26</v>
      </c>
    </row>
    <row r="382" spans="1:20" x14ac:dyDescent="0.3">
      <c r="A382" t="s">
        <v>31</v>
      </c>
      <c r="B382">
        <v>58</v>
      </c>
      <c r="D382">
        <v>1.84</v>
      </c>
      <c r="E382">
        <v>25.8</v>
      </c>
      <c r="F382">
        <v>70.599999999999994</v>
      </c>
      <c r="G382" t="s">
        <v>383</v>
      </c>
      <c r="H382">
        <v>276</v>
      </c>
      <c r="I382">
        <v>48</v>
      </c>
      <c r="J382">
        <v>89</v>
      </c>
      <c r="K382" t="s">
        <v>22</v>
      </c>
      <c r="L382" t="s">
        <v>22</v>
      </c>
      <c r="M382" t="s">
        <v>28</v>
      </c>
      <c r="N382">
        <v>0.38400000000000001</v>
      </c>
      <c r="O382">
        <v>113</v>
      </c>
      <c r="P382">
        <v>96</v>
      </c>
      <c r="Q382" t="s">
        <v>38</v>
      </c>
      <c r="R382">
        <v>198</v>
      </c>
      <c r="S382">
        <v>16.329999999999998</v>
      </c>
      <c r="T382" t="s">
        <v>26</v>
      </c>
    </row>
    <row r="383" spans="1:20" x14ac:dyDescent="0.3">
      <c r="A383" t="s">
        <v>31</v>
      </c>
      <c r="B383">
        <v>53</v>
      </c>
      <c r="C383">
        <v>51.5</v>
      </c>
      <c r="D383">
        <v>1.85</v>
      </c>
      <c r="E383">
        <v>15</v>
      </c>
      <c r="G383" t="s">
        <v>384</v>
      </c>
      <c r="H383">
        <v>167</v>
      </c>
      <c r="I383">
        <v>50</v>
      </c>
      <c r="J383">
        <v>117</v>
      </c>
      <c r="K383" t="s">
        <v>22</v>
      </c>
      <c r="L383" t="s">
        <v>22</v>
      </c>
      <c r="M383" t="s">
        <v>24</v>
      </c>
      <c r="N383">
        <v>0.59299999999999997</v>
      </c>
      <c r="O383">
        <v>108</v>
      </c>
      <c r="P383">
        <v>61</v>
      </c>
      <c r="Q383" t="s">
        <v>33</v>
      </c>
      <c r="R383">
        <v>87</v>
      </c>
      <c r="S383">
        <v>11.74</v>
      </c>
      <c r="T383" t="s">
        <v>26</v>
      </c>
    </row>
    <row r="384" spans="1:20" x14ac:dyDescent="0.3">
      <c r="A384" t="s">
        <v>31</v>
      </c>
      <c r="C384">
        <v>82.2</v>
      </c>
      <c r="D384">
        <v>1.77</v>
      </c>
      <c r="E384">
        <v>26.2</v>
      </c>
      <c r="F384">
        <v>108.4</v>
      </c>
      <c r="G384" t="s">
        <v>385</v>
      </c>
      <c r="H384">
        <v>237</v>
      </c>
      <c r="I384">
        <v>72</v>
      </c>
      <c r="J384">
        <v>128</v>
      </c>
      <c r="K384" t="s">
        <v>23</v>
      </c>
      <c r="L384" t="s">
        <v>23</v>
      </c>
      <c r="M384" t="s">
        <v>24</v>
      </c>
      <c r="N384">
        <v>0.61199999999999999</v>
      </c>
      <c r="O384">
        <v>105</v>
      </c>
      <c r="P384">
        <v>88</v>
      </c>
      <c r="Q384" t="s">
        <v>29</v>
      </c>
      <c r="R384">
        <v>135</v>
      </c>
      <c r="S384">
        <v>17.23</v>
      </c>
      <c r="T384" t="s">
        <v>30</v>
      </c>
    </row>
    <row r="385" spans="1:20" x14ac:dyDescent="0.3">
      <c r="A385" t="s">
        <v>20</v>
      </c>
      <c r="B385">
        <v>35</v>
      </c>
      <c r="C385">
        <v>101.7</v>
      </c>
      <c r="D385">
        <v>1.68</v>
      </c>
      <c r="E385">
        <v>36</v>
      </c>
      <c r="F385">
        <v>107.2</v>
      </c>
      <c r="G385" t="s">
        <v>386</v>
      </c>
      <c r="H385">
        <v>160</v>
      </c>
      <c r="I385">
        <v>41</v>
      </c>
      <c r="J385">
        <v>86</v>
      </c>
      <c r="K385" t="s">
        <v>22</v>
      </c>
      <c r="L385" t="s">
        <v>22</v>
      </c>
      <c r="M385" t="s">
        <v>28</v>
      </c>
      <c r="N385">
        <v>0.63800000000000001</v>
      </c>
      <c r="O385">
        <v>143</v>
      </c>
      <c r="P385">
        <v>98</v>
      </c>
      <c r="Q385" t="s">
        <v>38</v>
      </c>
      <c r="R385">
        <v>89</v>
      </c>
      <c r="S385">
        <v>17.55</v>
      </c>
      <c r="T385" t="s">
        <v>26</v>
      </c>
    </row>
    <row r="386" spans="1:20" x14ac:dyDescent="0.3">
      <c r="A386" t="s">
        <v>20</v>
      </c>
      <c r="B386">
        <v>60</v>
      </c>
      <c r="C386">
        <v>93</v>
      </c>
      <c r="D386">
        <v>1.89</v>
      </c>
      <c r="E386">
        <v>26</v>
      </c>
      <c r="F386">
        <v>85.3</v>
      </c>
      <c r="G386" t="s">
        <v>387</v>
      </c>
      <c r="H386">
        <v>124</v>
      </c>
      <c r="I386">
        <v>49</v>
      </c>
      <c r="J386">
        <v>103</v>
      </c>
      <c r="K386" t="s">
        <v>23</v>
      </c>
      <c r="L386" t="s">
        <v>23</v>
      </c>
      <c r="M386" t="s">
        <v>37</v>
      </c>
      <c r="N386">
        <v>0.45100000000000001</v>
      </c>
      <c r="O386">
        <v>117</v>
      </c>
      <c r="P386">
        <v>84</v>
      </c>
      <c r="Q386" t="s">
        <v>29</v>
      </c>
      <c r="R386">
        <v>45</v>
      </c>
      <c r="S386">
        <v>15.53</v>
      </c>
      <c r="T386" t="s">
        <v>30</v>
      </c>
    </row>
    <row r="387" spans="1:20" x14ac:dyDescent="0.3">
      <c r="A387" t="s">
        <v>20</v>
      </c>
      <c r="B387">
        <v>30</v>
      </c>
      <c r="C387">
        <v>115</v>
      </c>
      <c r="D387">
        <v>1.83</v>
      </c>
      <c r="E387">
        <v>34.299999999999997</v>
      </c>
      <c r="F387">
        <v>93.6</v>
      </c>
      <c r="G387" t="s">
        <v>388</v>
      </c>
      <c r="H387">
        <v>100</v>
      </c>
      <c r="I387">
        <v>31</v>
      </c>
      <c r="J387">
        <v>125</v>
      </c>
      <c r="K387" t="s">
        <v>23</v>
      </c>
      <c r="L387" t="s">
        <v>22</v>
      </c>
      <c r="M387" t="s">
        <v>37</v>
      </c>
      <c r="N387">
        <v>0.51100000000000001</v>
      </c>
      <c r="O387">
        <v>139</v>
      </c>
      <c r="P387">
        <v>79</v>
      </c>
      <c r="Q387" t="s">
        <v>29</v>
      </c>
      <c r="R387">
        <v>39</v>
      </c>
      <c r="S387">
        <v>15.81</v>
      </c>
      <c r="T387" t="s">
        <v>26</v>
      </c>
    </row>
    <row r="388" spans="1:20" x14ac:dyDescent="0.3">
      <c r="A388" t="s">
        <v>31</v>
      </c>
      <c r="B388">
        <v>58</v>
      </c>
      <c r="C388">
        <v>77.400000000000006</v>
      </c>
      <c r="D388">
        <v>1.65</v>
      </c>
      <c r="E388">
        <v>28.4</v>
      </c>
      <c r="F388">
        <v>80.5</v>
      </c>
      <c r="G388" t="s">
        <v>109</v>
      </c>
      <c r="H388">
        <v>265</v>
      </c>
      <c r="I388">
        <v>31</v>
      </c>
      <c r="J388">
        <v>79</v>
      </c>
      <c r="K388" t="s">
        <v>22</v>
      </c>
      <c r="L388" t="s">
        <v>22</v>
      </c>
      <c r="M388" t="s">
        <v>37</v>
      </c>
      <c r="N388">
        <v>0.48799999999999999</v>
      </c>
      <c r="O388">
        <v>98</v>
      </c>
      <c r="P388">
        <v>63</v>
      </c>
      <c r="Q388" t="s">
        <v>33</v>
      </c>
      <c r="R388">
        <v>204</v>
      </c>
      <c r="S388">
        <v>15.88</v>
      </c>
      <c r="T388" t="s">
        <v>30</v>
      </c>
    </row>
    <row r="389" spans="1:20" x14ac:dyDescent="0.3">
      <c r="A389" t="s">
        <v>31</v>
      </c>
      <c r="B389">
        <v>48</v>
      </c>
      <c r="C389">
        <v>110.8</v>
      </c>
      <c r="D389">
        <v>1.82</v>
      </c>
      <c r="E389">
        <v>33.5</v>
      </c>
      <c r="F389">
        <v>108.3</v>
      </c>
      <c r="G389" t="s">
        <v>389</v>
      </c>
      <c r="H389">
        <v>177</v>
      </c>
      <c r="I389">
        <v>39</v>
      </c>
      <c r="J389">
        <v>82</v>
      </c>
      <c r="K389" t="s">
        <v>22</v>
      </c>
      <c r="L389" t="s">
        <v>23</v>
      </c>
      <c r="M389" t="s">
        <v>28</v>
      </c>
      <c r="N389">
        <v>0.59499999999999997</v>
      </c>
      <c r="O389">
        <v>120</v>
      </c>
      <c r="P389">
        <v>72</v>
      </c>
      <c r="Q389" t="s">
        <v>25</v>
      </c>
      <c r="R389">
        <v>108</v>
      </c>
      <c r="S389">
        <v>18.239999999999998</v>
      </c>
      <c r="T389" t="s">
        <v>30</v>
      </c>
    </row>
    <row r="390" spans="1:20" x14ac:dyDescent="0.3">
      <c r="A390" t="s">
        <v>20</v>
      </c>
      <c r="B390">
        <v>58</v>
      </c>
      <c r="D390">
        <v>1.75</v>
      </c>
      <c r="E390">
        <v>31.8</v>
      </c>
      <c r="F390">
        <v>71.400000000000006</v>
      </c>
      <c r="G390" t="s">
        <v>390</v>
      </c>
      <c r="H390">
        <v>272</v>
      </c>
      <c r="I390">
        <v>58</v>
      </c>
      <c r="J390">
        <v>132</v>
      </c>
      <c r="K390" t="s">
        <v>22</v>
      </c>
      <c r="L390" t="s">
        <v>22</v>
      </c>
      <c r="M390" t="s">
        <v>24</v>
      </c>
      <c r="N390">
        <v>0.40799999999999997</v>
      </c>
      <c r="O390">
        <v>135</v>
      </c>
      <c r="P390">
        <v>88</v>
      </c>
      <c r="Q390" t="s">
        <v>29</v>
      </c>
      <c r="R390">
        <v>184</v>
      </c>
      <c r="S390">
        <v>18.55</v>
      </c>
      <c r="T390" t="s">
        <v>30</v>
      </c>
    </row>
    <row r="391" spans="1:20" x14ac:dyDescent="0.3">
      <c r="A391" t="s">
        <v>31</v>
      </c>
      <c r="B391">
        <v>53</v>
      </c>
      <c r="C391">
        <v>82.4</v>
      </c>
      <c r="D391">
        <v>1.74</v>
      </c>
      <c r="E391">
        <v>27.2</v>
      </c>
      <c r="F391">
        <v>100.7</v>
      </c>
      <c r="G391" t="s">
        <v>391</v>
      </c>
      <c r="I391">
        <v>37</v>
      </c>
      <c r="J391">
        <v>140</v>
      </c>
      <c r="K391" t="s">
        <v>22</v>
      </c>
      <c r="L391" t="s">
        <v>23</v>
      </c>
      <c r="M391" t="s">
        <v>28</v>
      </c>
      <c r="N391">
        <v>0.57899999999999996</v>
      </c>
      <c r="O391">
        <v>139</v>
      </c>
      <c r="P391">
        <v>63</v>
      </c>
      <c r="Q391" t="s">
        <v>29</v>
      </c>
      <c r="R391">
        <v>226</v>
      </c>
      <c r="S391">
        <v>20.25</v>
      </c>
      <c r="T391" t="s">
        <v>30</v>
      </c>
    </row>
    <row r="392" spans="1:20" x14ac:dyDescent="0.3">
      <c r="A392" t="s">
        <v>31</v>
      </c>
      <c r="B392">
        <v>52</v>
      </c>
      <c r="C392">
        <v>50.7</v>
      </c>
      <c r="D392">
        <v>1.69</v>
      </c>
      <c r="E392">
        <v>17.8</v>
      </c>
      <c r="F392">
        <v>72.7</v>
      </c>
      <c r="G392" t="s">
        <v>392</v>
      </c>
      <c r="H392">
        <v>274</v>
      </c>
      <c r="I392">
        <v>33</v>
      </c>
      <c r="J392">
        <v>143</v>
      </c>
      <c r="K392" t="s">
        <v>22</v>
      </c>
      <c r="L392" t="s">
        <v>23</v>
      </c>
      <c r="M392" t="s">
        <v>24</v>
      </c>
      <c r="N392">
        <v>0.43</v>
      </c>
      <c r="O392">
        <v>107</v>
      </c>
      <c r="P392">
        <v>74</v>
      </c>
      <c r="Q392" t="s">
        <v>33</v>
      </c>
      <c r="R392">
        <v>211</v>
      </c>
      <c r="S392">
        <v>16.39</v>
      </c>
      <c r="T392" t="s">
        <v>30</v>
      </c>
    </row>
    <row r="393" spans="1:20" x14ac:dyDescent="0.3">
      <c r="A393" t="s">
        <v>31</v>
      </c>
      <c r="B393">
        <v>36</v>
      </c>
      <c r="C393">
        <v>110.4</v>
      </c>
      <c r="D393">
        <v>1.6</v>
      </c>
      <c r="E393">
        <v>43.1</v>
      </c>
      <c r="F393">
        <v>92.5</v>
      </c>
      <c r="G393" t="s">
        <v>393</v>
      </c>
      <c r="H393">
        <v>159</v>
      </c>
      <c r="I393">
        <v>38</v>
      </c>
      <c r="J393">
        <v>95</v>
      </c>
      <c r="K393" t="s">
        <v>23</v>
      </c>
      <c r="L393" t="s">
        <v>23</v>
      </c>
      <c r="M393" t="s">
        <v>37</v>
      </c>
      <c r="N393">
        <v>0.57799999999999996</v>
      </c>
      <c r="O393">
        <v>123</v>
      </c>
      <c r="P393">
        <v>93</v>
      </c>
      <c r="Q393" t="s">
        <v>38</v>
      </c>
      <c r="R393">
        <v>91</v>
      </c>
      <c r="S393">
        <v>19.95</v>
      </c>
      <c r="T393" t="s">
        <v>30</v>
      </c>
    </row>
    <row r="394" spans="1:20" x14ac:dyDescent="0.3">
      <c r="A394" t="s">
        <v>20</v>
      </c>
      <c r="B394">
        <v>43</v>
      </c>
      <c r="C394">
        <v>62.7</v>
      </c>
      <c r="D394">
        <v>1.83</v>
      </c>
      <c r="F394">
        <v>72.5</v>
      </c>
      <c r="G394" t="s">
        <v>394</v>
      </c>
      <c r="H394">
        <v>134</v>
      </c>
      <c r="I394">
        <v>55</v>
      </c>
      <c r="J394">
        <v>92</v>
      </c>
      <c r="K394" t="s">
        <v>23</v>
      </c>
      <c r="L394" t="s">
        <v>23</v>
      </c>
      <c r="M394" t="s">
        <v>24</v>
      </c>
      <c r="O394">
        <v>148</v>
      </c>
      <c r="P394">
        <v>85</v>
      </c>
      <c r="Q394" t="s">
        <v>29</v>
      </c>
      <c r="R394">
        <v>49</v>
      </c>
      <c r="S394">
        <v>15.82</v>
      </c>
      <c r="T394" t="s">
        <v>26</v>
      </c>
    </row>
    <row r="395" spans="1:20" x14ac:dyDescent="0.3">
      <c r="A395" t="s">
        <v>20</v>
      </c>
      <c r="B395">
        <v>60</v>
      </c>
      <c r="C395">
        <v>96.7</v>
      </c>
      <c r="D395">
        <v>1.82</v>
      </c>
      <c r="E395">
        <v>29.2</v>
      </c>
      <c r="G395" t="s">
        <v>395</v>
      </c>
      <c r="H395">
        <v>195</v>
      </c>
      <c r="I395">
        <v>57</v>
      </c>
      <c r="J395">
        <v>120</v>
      </c>
      <c r="K395" t="s">
        <v>23</v>
      </c>
      <c r="L395" t="s">
        <v>22</v>
      </c>
      <c r="M395" t="s">
        <v>28</v>
      </c>
      <c r="N395">
        <v>0.40100000000000002</v>
      </c>
      <c r="O395">
        <v>122</v>
      </c>
      <c r="P395">
        <v>71</v>
      </c>
      <c r="Q395" t="s">
        <v>25</v>
      </c>
      <c r="R395">
        <v>108</v>
      </c>
      <c r="S395">
        <v>15.84</v>
      </c>
      <c r="T395" t="s">
        <v>26</v>
      </c>
    </row>
    <row r="396" spans="1:20" x14ac:dyDescent="0.3">
      <c r="A396" t="s">
        <v>20</v>
      </c>
      <c r="B396">
        <v>49</v>
      </c>
      <c r="C396">
        <v>110.5</v>
      </c>
      <c r="D396">
        <v>1.72</v>
      </c>
      <c r="E396">
        <v>37.4</v>
      </c>
      <c r="F396">
        <v>70.8</v>
      </c>
      <c r="G396" t="s">
        <v>396</v>
      </c>
      <c r="I396">
        <v>33</v>
      </c>
      <c r="J396">
        <v>104</v>
      </c>
      <c r="K396" t="s">
        <v>23</v>
      </c>
      <c r="L396" t="s">
        <v>22</v>
      </c>
      <c r="M396" t="s">
        <v>28</v>
      </c>
      <c r="N396">
        <v>0.41199999999999998</v>
      </c>
      <c r="O396">
        <v>96</v>
      </c>
      <c r="P396">
        <v>72</v>
      </c>
      <c r="Q396" t="s">
        <v>33</v>
      </c>
      <c r="R396">
        <v>91</v>
      </c>
      <c r="S396">
        <v>15.36</v>
      </c>
      <c r="T396" t="s">
        <v>30</v>
      </c>
    </row>
    <row r="397" spans="1:20" x14ac:dyDescent="0.3">
      <c r="A397" t="s">
        <v>20</v>
      </c>
      <c r="B397">
        <v>39</v>
      </c>
      <c r="C397">
        <v>94.1</v>
      </c>
      <c r="D397">
        <v>1.79</v>
      </c>
      <c r="E397">
        <v>29.4</v>
      </c>
      <c r="F397">
        <v>101.6</v>
      </c>
      <c r="G397" t="s">
        <v>397</v>
      </c>
      <c r="H397">
        <v>276</v>
      </c>
      <c r="I397">
        <v>36</v>
      </c>
      <c r="J397">
        <v>98</v>
      </c>
      <c r="K397" t="s">
        <v>23</v>
      </c>
      <c r="L397" t="s">
        <v>22</v>
      </c>
      <c r="M397" t="s">
        <v>37</v>
      </c>
      <c r="N397">
        <v>0.56799999999999995</v>
      </c>
      <c r="O397">
        <v>119</v>
      </c>
      <c r="P397">
        <v>69</v>
      </c>
      <c r="Q397" t="s">
        <v>33</v>
      </c>
      <c r="R397">
        <v>210</v>
      </c>
      <c r="T397" t="s">
        <v>30</v>
      </c>
    </row>
    <row r="398" spans="1:20" x14ac:dyDescent="0.3">
      <c r="A398" t="s">
        <v>31</v>
      </c>
      <c r="B398">
        <v>36</v>
      </c>
      <c r="C398">
        <v>117.6</v>
      </c>
      <c r="D398">
        <v>1.89</v>
      </c>
      <c r="E398">
        <v>32.9</v>
      </c>
      <c r="F398">
        <v>76</v>
      </c>
      <c r="G398" t="s">
        <v>398</v>
      </c>
      <c r="H398">
        <v>272</v>
      </c>
      <c r="I398">
        <v>45</v>
      </c>
      <c r="J398">
        <v>143</v>
      </c>
      <c r="K398" t="s">
        <v>22</v>
      </c>
      <c r="L398" t="s">
        <v>22</v>
      </c>
      <c r="M398" t="s">
        <v>37</v>
      </c>
      <c r="N398">
        <v>0.40200000000000002</v>
      </c>
      <c r="O398">
        <v>97</v>
      </c>
      <c r="P398">
        <v>87</v>
      </c>
      <c r="Q398" t="s">
        <v>29</v>
      </c>
      <c r="R398">
        <v>197</v>
      </c>
      <c r="S398">
        <v>16.87</v>
      </c>
      <c r="T398" t="s">
        <v>26</v>
      </c>
    </row>
    <row r="399" spans="1:20" x14ac:dyDescent="0.3">
      <c r="A399" t="s">
        <v>20</v>
      </c>
      <c r="B399">
        <v>49</v>
      </c>
      <c r="C399">
        <v>93.4</v>
      </c>
      <c r="D399">
        <v>1.73</v>
      </c>
      <c r="E399">
        <v>31.2</v>
      </c>
      <c r="F399">
        <v>86.9</v>
      </c>
      <c r="G399" t="s">
        <v>399</v>
      </c>
      <c r="H399">
        <v>167</v>
      </c>
      <c r="I399">
        <v>36</v>
      </c>
      <c r="J399">
        <v>106</v>
      </c>
      <c r="K399" t="s">
        <v>22</v>
      </c>
      <c r="L399" t="s">
        <v>23</v>
      </c>
      <c r="M399" t="s">
        <v>37</v>
      </c>
      <c r="N399">
        <v>0.502</v>
      </c>
      <c r="O399">
        <v>111</v>
      </c>
      <c r="P399">
        <v>90</v>
      </c>
      <c r="Q399" t="s">
        <v>38</v>
      </c>
      <c r="R399">
        <v>101</v>
      </c>
      <c r="S399">
        <v>17.13</v>
      </c>
      <c r="T399" t="s">
        <v>30</v>
      </c>
    </row>
    <row r="400" spans="1:20" x14ac:dyDescent="0.3">
      <c r="A400" t="s">
        <v>31</v>
      </c>
      <c r="B400">
        <v>38</v>
      </c>
      <c r="D400">
        <v>1.82</v>
      </c>
      <c r="E400">
        <v>22.6</v>
      </c>
      <c r="G400" t="s">
        <v>219</v>
      </c>
      <c r="H400">
        <v>165</v>
      </c>
      <c r="I400">
        <v>56</v>
      </c>
      <c r="J400">
        <v>137</v>
      </c>
      <c r="K400" t="s">
        <v>23</v>
      </c>
      <c r="L400" t="s">
        <v>22</v>
      </c>
      <c r="M400" t="s">
        <v>37</v>
      </c>
      <c r="N400">
        <v>0.54100000000000004</v>
      </c>
      <c r="O400">
        <v>113</v>
      </c>
      <c r="P400">
        <v>94</v>
      </c>
      <c r="Q400" t="s">
        <v>38</v>
      </c>
      <c r="R400">
        <v>79</v>
      </c>
      <c r="S400">
        <v>13.47</v>
      </c>
      <c r="T400" t="s">
        <v>26</v>
      </c>
    </row>
    <row r="401" spans="1:20" x14ac:dyDescent="0.3">
      <c r="A401" t="s">
        <v>20</v>
      </c>
      <c r="B401">
        <v>49</v>
      </c>
      <c r="C401">
        <v>52.5</v>
      </c>
      <c r="D401">
        <v>1.83</v>
      </c>
      <c r="E401">
        <v>15.7</v>
      </c>
      <c r="F401">
        <v>75</v>
      </c>
      <c r="G401" t="s">
        <v>400</v>
      </c>
      <c r="H401">
        <v>243</v>
      </c>
      <c r="I401">
        <v>38</v>
      </c>
      <c r="J401">
        <v>115</v>
      </c>
      <c r="K401" t="s">
        <v>23</v>
      </c>
      <c r="L401" t="s">
        <v>22</v>
      </c>
      <c r="M401" t="s">
        <v>37</v>
      </c>
      <c r="N401">
        <v>0.41</v>
      </c>
      <c r="O401">
        <v>113</v>
      </c>
      <c r="P401">
        <v>95</v>
      </c>
      <c r="Q401" t="s">
        <v>38</v>
      </c>
      <c r="R401">
        <v>175</v>
      </c>
      <c r="S401">
        <v>13.65</v>
      </c>
      <c r="T401" t="s">
        <v>30</v>
      </c>
    </row>
    <row r="402" spans="1:20" x14ac:dyDescent="0.3">
      <c r="A402" t="s">
        <v>31</v>
      </c>
      <c r="B402">
        <v>50</v>
      </c>
      <c r="C402">
        <v>66.2</v>
      </c>
      <c r="D402">
        <v>1.86</v>
      </c>
      <c r="E402">
        <v>19.100000000000001</v>
      </c>
      <c r="F402">
        <v>93.1</v>
      </c>
      <c r="G402" t="s">
        <v>401</v>
      </c>
      <c r="H402">
        <v>166</v>
      </c>
      <c r="I402">
        <v>30</v>
      </c>
      <c r="J402">
        <v>132</v>
      </c>
      <c r="K402" t="s">
        <v>22</v>
      </c>
      <c r="L402" t="s">
        <v>23</v>
      </c>
      <c r="M402" t="s">
        <v>24</v>
      </c>
      <c r="N402">
        <v>0.501</v>
      </c>
      <c r="O402">
        <v>133</v>
      </c>
      <c r="P402">
        <v>87</v>
      </c>
      <c r="Q402" t="s">
        <v>29</v>
      </c>
      <c r="R402">
        <v>106</v>
      </c>
      <c r="S402">
        <v>15.79</v>
      </c>
      <c r="T402" t="s">
        <v>30</v>
      </c>
    </row>
    <row r="403" spans="1:20" x14ac:dyDescent="0.3">
      <c r="A403" t="s">
        <v>31</v>
      </c>
      <c r="B403">
        <v>43</v>
      </c>
      <c r="C403">
        <v>111.9</v>
      </c>
      <c r="D403">
        <v>1.71</v>
      </c>
      <c r="E403">
        <v>38.299999999999997</v>
      </c>
      <c r="F403">
        <v>109.4</v>
      </c>
      <c r="G403" t="s">
        <v>402</v>
      </c>
      <c r="H403">
        <v>241</v>
      </c>
      <c r="I403">
        <v>49</v>
      </c>
      <c r="J403">
        <v>96</v>
      </c>
      <c r="K403" t="s">
        <v>22</v>
      </c>
      <c r="L403" t="s">
        <v>23</v>
      </c>
      <c r="M403" t="s">
        <v>24</v>
      </c>
      <c r="N403">
        <v>0.64</v>
      </c>
      <c r="O403">
        <v>102</v>
      </c>
      <c r="Q403" t="s">
        <v>38</v>
      </c>
      <c r="R403">
        <v>162</v>
      </c>
      <c r="S403">
        <v>19.579999999999998</v>
      </c>
      <c r="T403" t="s">
        <v>30</v>
      </c>
    </row>
    <row r="404" spans="1:20" x14ac:dyDescent="0.3">
      <c r="A404" t="s">
        <v>31</v>
      </c>
      <c r="B404">
        <v>39</v>
      </c>
      <c r="C404">
        <v>54.7</v>
      </c>
      <c r="D404">
        <v>1.83</v>
      </c>
      <c r="E404">
        <v>16.3</v>
      </c>
      <c r="F404">
        <v>101.1</v>
      </c>
      <c r="G404" t="s">
        <v>403</v>
      </c>
      <c r="H404">
        <v>270</v>
      </c>
      <c r="I404">
        <v>31</v>
      </c>
      <c r="J404">
        <v>97</v>
      </c>
      <c r="K404" t="s">
        <v>22</v>
      </c>
      <c r="L404" t="s">
        <v>23</v>
      </c>
      <c r="M404" t="s">
        <v>24</v>
      </c>
      <c r="N404">
        <v>0.55200000000000005</v>
      </c>
      <c r="O404">
        <v>103</v>
      </c>
      <c r="P404">
        <v>88</v>
      </c>
      <c r="Q404" t="s">
        <v>29</v>
      </c>
      <c r="R404">
        <v>209</v>
      </c>
      <c r="S404">
        <v>15.81</v>
      </c>
      <c r="T404" t="s">
        <v>30</v>
      </c>
    </row>
    <row r="405" spans="1:20" x14ac:dyDescent="0.3">
      <c r="A405" t="s">
        <v>31</v>
      </c>
      <c r="B405">
        <v>50</v>
      </c>
      <c r="C405">
        <v>66</v>
      </c>
      <c r="D405">
        <v>1.75</v>
      </c>
      <c r="E405">
        <v>21.6</v>
      </c>
      <c r="F405">
        <v>76.3</v>
      </c>
      <c r="G405" t="s">
        <v>404</v>
      </c>
      <c r="H405">
        <v>241</v>
      </c>
      <c r="I405">
        <v>41</v>
      </c>
      <c r="J405">
        <v>141</v>
      </c>
      <c r="K405" t="s">
        <v>22</v>
      </c>
      <c r="L405" t="s">
        <v>23</v>
      </c>
      <c r="M405" t="s">
        <v>37</v>
      </c>
      <c r="N405">
        <v>0.436</v>
      </c>
      <c r="O405">
        <v>135</v>
      </c>
      <c r="P405">
        <v>85</v>
      </c>
      <c r="Q405" t="s">
        <v>29</v>
      </c>
      <c r="R405">
        <v>170</v>
      </c>
      <c r="S405">
        <v>17.89</v>
      </c>
      <c r="T405" t="s">
        <v>30</v>
      </c>
    </row>
    <row r="406" spans="1:20" x14ac:dyDescent="0.3">
      <c r="A406" t="s">
        <v>31</v>
      </c>
      <c r="B406">
        <v>60</v>
      </c>
      <c r="C406">
        <v>95.2</v>
      </c>
      <c r="D406">
        <v>1.67</v>
      </c>
      <c r="E406">
        <v>34.1</v>
      </c>
      <c r="F406">
        <v>91.6</v>
      </c>
      <c r="G406" t="s">
        <v>405</v>
      </c>
      <c r="H406">
        <v>279</v>
      </c>
      <c r="I406">
        <v>42</v>
      </c>
      <c r="J406">
        <v>98</v>
      </c>
      <c r="K406" t="s">
        <v>23</v>
      </c>
      <c r="L406" t="s">
        <v>22</v>
      </c>
      <c r="M406" t="s">
        <v>37</v>
      </c>
      <c r="N406">
        <v>0.54900000000000004</v>
      </c>
      <c r="O406">
        <v>97</v>
      </c>
      <c r="P406">
        <v>71</v>
      </c>
      <c r="Q406" t="s">
        <v>33</v>
      </c>
      <c r="S406">
        <v>17.25</v>
      </c>
      <c r="T406" t="s">
        <v>30</v>
      </c>
    </row>
    <row r="407" spans="1:20" x14ac:dyDescent="0.3">
      <c r="A407" t="s">
        <v>20</v>
      </c>
      <c r="B407">
        <v>38</v>
      </c>
      <c r="C407">
        <v>61.8</v>
      </c>
      <c r="D407">
        <v>1.78</v>
      </c>
      <c r="E407">
        <v>19.5</v>
      </c>
      <c r="F407">
        <v>71</v>
      </c>
      <c r="G407" t="s">
        <v>406</v>
      </c>
      <c r="H407">
        <v>225</v>
      </c>
      <c r="I407">
        <v>75</v>
      </c>
      <c r="J407">
        <v>138</v>
      </c>
      <c r="K407" t="s">
        <v>23</v>
      </c>
      <c r="L407" t="s">
        <v>22</v>
      </c>
      <c r="M407" t="s">
        <v>28</v>
      </c>
      <c r="N407">
        <v>0.39900000000000002</v>
      </c>
      <c r="O407">
        <v>108</v>
      </c>
      <c r="P407">
        <v>87</v>
      </c>
      <c r="Q407" t="s">
        <v>29</v>
      </c>
      <c r="R407">
        <v>120</v>
      </c>
      <c r="S407">
        <v>13.8</v>
      </c>
      <c r="T407" t="s">
        <v>26</v>
      </c>
    </row>
    <row r="408" spans="1:20" x14ac:dyDescent="0.3">
      <c r="A408" t="s">
        <v>31</v>
      </c>
      <c r="B408">
        <v>51</v>
      </c>
      <c r="C408">
        <v>100.3</v>
      </c>
      <c r="D408">
        <v>1.66</v>
      </c>
      <c r="E408">
        <v>36.4</v>
      </c>
      <c r="F408">
        <v>101.3</v>
      </c>
      <c r="G408" t="s">
        <v>384</v>
      </c>
      <c r="H408">
        <v>213</v>
      </c>
      <c r="I408">
        <v>64</v>
      </c>
      <c r="J408">
        <v>135</v>
      </c>
      <c r="K408" t="s">
        <v>22</v>
      </c>
      <c r="L408" t="s">
        <v>22</v>
      </c>
      <c r="M408" t="s">
        <v>24</v>
      </c>
      <c r="N408">
        <v>0.61</v>
      </c>
      <c r="O408">
        <v>108</v>
      </c>
      <c r="P408">
        <v>61</v>
      </c>
      <c r="Q408" t="s">
        <v>33</v>
      </c>
      <c r="R408">
        <v>119</v>
      </c>
      <c r="S408">
        <v>16.940000000000001</v>
      </c>
      <c r="T408" t="s">
        <v>30</v>
      </c>
    </row>
    <row r="409" spans="1:20" x14ac:dyDescent="0.3">
      <c r="A409" t="s">
        <v>20</v>
      </c>
      <c r="B409">
        <v>50</v>
      </c>
      <c r="C409">
        <v>66.5</v>
      </c>
      <c r="D409">
        <v>1.83</v>
      </c>
      <c r="E409">
        <v>19.899999999999999</v>
      </c>
      <c r="F409">
        <v>98</v>
      </c>
      <c r="G409" t="s">
        <v>407</v>
      </c>
      <c r="H409">
        <v>200</v>
      </c>
      <c r="I409">
        <v>39</v>
      </c>
      <c r="J409">
        <v>98</v>
      </c>
      <c r="K409" t="s">
        <v>22</v>
      </c>
      <c r="L409" t="s">
        <v>23</v>
      </c>
      <c r="M409" t="s">
        <v>28</v>
      </c>
      <c r="N409">
        <v>0.53600000000000003</v>
      </c>
      <c r="O409">
        <v>127</v>
      </c>
      <c r="P409">
        <v>75</v>
      </c>
      <c r="Q409" t="s">
        <v>25</v>
      </c>
      <c r="R409">
        <v>131</v>
      </c>
      <c r="S409">
        <v>16.329999999999998</v>
      </c>
      <c r="T409" t="s">
        <v>30</v>
      </c>
    </row>
    <row r="410" spans="1:20" x14ac:dyDescent="0.3">
      <c r="A410" t="s">
        <v>20</v>
      </c>
      <c r="B410">
        <v>37</v>
      </c>
      <c r="C410">
        <v>75.400000000000006</v>
      </c>
      <c r="D410">
        <v>1.8</v>
      </c>
      <c r="E410">
        <v>23.3</v>
      </c>
      <c r="F410">
        <v>86.5</v>
      </c>
      <c r="G410" t="s">
        <v>408</v>
      </c>
      <c r="H410">
        <v>296</v>
      </c>
      <c r="J410">
        <v>137</v>
      </c>
      <c r="K410" t="s">
        <v>22</v>
      </c>
      <c r="L410" t="s">
        <v>23</v>
      </c>
      <c r="M410" t="s">
        <v>28</v>
      </c>
      <c r="N410">
        <v>0.48099999999999998</v>
      </c>
      <c r="O410">
        <v>149</v>
      </c>
      <c r="Q410" t="s">
        <v>38</v>
      </c>
      <c r="R410">
        <v>209</v>
      </c>
      <c r="S410">
        <v>20.03</v>
      </c>
      <c r="T410" t="s">
        <v>26</v>
      </c>
    </row>
    <row r="411" spans="1:20" x14ac:dyDescent="0.3">
      <c r="A411" t="s">
        <v>20</v>
      </c>
      <c r="B411">
        <v>38</v>
      </c>
      <c r="C411">
        <v>108.3</v>
      </c>
      <c r="D411">
        <v>1.8</v>
      </c>
      <c r="E411">
        <v>33.4</v>
      </c>
      <c r="F411">
        <v>76.2</v>
      </c>
      <c r="G411" t="s">
        <v>409</v>
      </c>
      <c r="H411">
        <v>278</v>
      </c>
      <c r="I411">
        <v>61</v>
      </c>
      <c r="J411">
        <v>106</v>
      </c>
      <c r="K411" t="s">
        <v>23</v>
      </c>
      <c r="L411" t="s">
        <v>22</v>
      </c>
      <c r="M411" t="s">
        <v>28</v>
      </c>
      <c r="N411">
        <v>0.42299999999999999</v>
      </c>
      <c r="O411">
        <v>149</v>
      </c>
      <c r="P411">
        <v>91</v>
      </c>
      <c r="Q411" t="s">
        <v>38</v>
      </c>
      <c r="R411">
        <v>187</v>
      </c>
      <c r="S411">
        <v>19.690000000000001</v>
      </c>
      <c r="T411" t="s">
        <v>30</v>
      </c>
    </row>
    <row r="412" spans="1:20" x14ac:dyDescent="0.3">
      <c r="A412" t="s">
        <v>31</v>
      </c>
      <c r="B412">
        <v>59</v>
      </c>
      <c r="C412">
        <v>69.2</v>
      </c>
      <c r="D412">
        <v>1.87</v>
      </c>
      <c r="E412">
        <v>19.8</v>
      </c>
      <c r="F412">
        <v>96.8</v>
      </c>
      <c r="G412" t="s">
        <v>410</v>
      </c>
      <c r="H412">
        <v>218</v>
      </c>
      <c r="I412">
        <v>56</v>
      </c>
      <c r="J412">
        <v>71</v>
      </c>
      <c r="K412" t="s">
        <v>22</v>
      </c>
      <c r="L412" t="s">
        <v>23</v>
      </c>
      <c r="M412" t="s">
        <v>37</v>
      </c>
      <c r="N412">
        <v>0.51800000000000002</v>
      </c>
      <c r="O412">
        <v>93</v>
      </c>
      <c r="P412">
        <v>78</v>
      </c>
      <c r="Q412" t="s">
        <v>33</v>
      </c>
      <c r="R412">
        <v>132</v>
      </c>
      <c r="S412">
        <v>14.97</v>
      </c>
      <c r="T412" t="s">
        <v>26</v>
      </c>
    </row>
    <row r="413" spans="1:20" x14ac:dyDescent="0.3">
      <c r="A413" t="s">
        <v>20</v>
      </c>
      <c r="B413">
        <v>43</v>
      </c>
      <c r="C413">
        <v>90.5</v>
      </c>
      <c r="D413">
        <v>1.79</v>
      </c>
      <c r="E413">
        <v>28.2</v>
      </c>
      <c r="F413">
        <v>82.1</v>
      </c>
      <c r="G413" t="s">
        <v>411</v>
      </c>
      <c r="H413">
        <v>282</v>
      </c>
      <c r="I413">
        <v>34</v>
      </c>
      <c r="J413">
        <v>101</v>
      </c>
      <c r="K413" t="s">
        <v>22</v>
      </c>
      <c r="L413" t="s">
        <v>23</v>
      </c>
      <c r="M413" t="s">
        <v>37</v>
      </c>
      <c r="N413">
        <v>0.45900000000000002</v>
      </c>
      <c r="O413">
        <v>141</v>
      </c>
      <c r="P413">
        <v>95</v>
      </c>
      <c r="Q413" t="s">
        <v>38</v>
      </c>
      <c r="R413">
        <v>218</v>
      </c>
      <c r="S413">
        <v>20.329999999999998</v>
      </c>
      <c r="T413" t="s">
        <v>30</v>
      </c>
    </row>
    <row r="414" spans="1:20" x14ac:dyDescent="0.3">
      <c r="A414" t="s">
        <v>31</v>
      </c>
      <c r="C414">
        <v>100.8</v>
      </c>
      <c r="D414">
        <v>1.87</v>
      </c>
      <c r="E414">
        <v>28.8</v>
      </c>
      <c r="F414">
        <v>96.5</v>
      </c>
      <c r="G414" t="s">
        <v>412</v>
      </c>
      <c r="H414">
        <v>130</v>
      </c>
      <c r="I414">
        <v>41</v>
      </c>
      <c r="J414">
        <v>84</v>
      </c>
      <c r="K414" t="s">
        <v>23</v>
      </c>
      <c r="L414" t="s">
        <v>23</v>
      </c>
      <c r="M414" t="s">
        <v>28</v>
      </c>
      <c r="N414">
        <v>0.51600000000000001</v>
      </c>
      <c r="O414">
        <v>112</v>
      </c>
      <c r="P414">
        <v>97</v>
      </c>
      <c r="Q414" t="s">
        <v>38</v>
      </c>
      <c r="R414">
        <v>59</v>
      </c>
      <c r="S414">
        <v>15.96</v>
      </c>
      <c r="T414" t="s">
        <v>30</v>
      </c>
    </row>
    <row r="415" spans="1:20" x14ac:dyDescent="0.3">
      <c r="A415" t="s">
        <v>31</v>
      </c>
      <c r="B415">
        <v>32</v>
      </c>
      <c r="C415">
        <v>98.5</v>
      </c>
      <c r="D415">
        <v>1.72</v>
      </c>
      <c r="E415">
        <v>33.299999999999997</v>
      </c>
      <c r="F415">
        <v>87.6</v>
      </c>
      <c r="G415" t="s">
        <v>177</v>
      </c>
      <c r="H415">
        <v>245</v>
      </c>
      <c r="I415">
        <v>60</v>
      </c>
      <c r="J415">
        <v>131</v>
      </c>
      <c r="K415" t="s">
        <v>23</v>
      </c>
      <c r="L415" t="s">
        <v>23</v>
      </c>
      <c r="M415" t="s">
        <v>37</v>
      </c>
      <c r="N415">
        <v>0.50900000000000001</v>
      </c>
      <c r="O415">
        <v>127</v>
      </c>
      <c r="P415">
        <v>77</v>
      </c>
      <c r="Q415" t="s">
        <v>25</v>
      </c>
      <c r="R415">
        <v>155</v>
      </c>
      <c r="S415">
        <v>19.91</v>
      </c>
      <c r="T415" t="s">
        <v>30</v>
      </c>
    </row>
    <row r="416" spans="1:20" x14ac:dyDescent="0.3">
      <c r="A416" t="s">
        <v>31</v>
      </c>
      <c r="B416">
        <v>32</v>
      </c>
      <c r="C416">
        <v>68.099999999999994</v>
      </c>
      <c r="D416">
        <v>1.88</v>
      </c>
      <c r="E416">
        <v>19.3</v>
      </c>
      <c r="F416">
        <v>70.900000000000006</v>
      </c>
      <c r="G416" t="s">
        <v>176</v>
      </c>
      <c r="H416">
        <v>285</v>
      </c>
      <c r="I416">
        <v>32</v>
      </c>
      <c r="J416">
        <v>77</v>
      </c>
      <c r="K416" t="s">
        <v>22</v>
      </c>
      <c r="L416" t="s">
        <v>23</v>
      </c>
      <c r="M416" t="s">
        <v>37</v>
      </c>
      <c r="N416">
        <v>0.377</v>
      </c>
      <c r="O416">
        <v>145</v>
      </c>
      <c r="P416">
        <v>96</v>
      </c>
      <c r="Q416" t="s">
        <v>38</v>
      </c>
      <c r="R416">
        <v>223</v>
      </c>
      <c r="S416">
        <v>18.809999999999999</v>
      </c>
      <c r="T416" t="s">
        <v>30</v>
      </c>
    </row>
    <row r="417" spans="1:20" x14ac:dyDescent="0.3">
      <c r="A417" t="s">
        <v>20</v>
      </c>
      <c r="B417">
        <v>32</v>
      </c>
      <c r="C417">
        <v>54.2</v>
      </c>
      <c r="D417">
        <v>1.85</v>
      </c>
      <c r="E417">
        <v>15.8</v>
      </c>
      <c r="F417">
        <v>89.8</v>
      </c>
      <c r="G417" t="s">
        <v>112</v>
      </c>
      <c r="H417">
        <v>223</v>
      </c>
      <c r="I417">
        <v>78</v>
      </c>
      <c r="J417">
        <v>71</v>
      </c>
      <c r="K417" t="s">
        <v>22</v>
      </c>
      <c r="L417" t="s">
        <v>23</v>
      </c>
      <c r="M417" t="s">
        <v>37</v>
      </c>
      <c r="N417">
        <v>0.48499999999999999</v>
      </c>
      <c r="O417">
        <v>94</v>
      </c>
      <c r="P417">
        <v>78</v>
      </c>
      <c r="Q417" t="s">
        <v>33</v>
      </c>
      <c r="R417">
        <v>115</v>
      </c>
      <c r="S417">
        <v>14.32</v>
      </c>
      <c r="T417" t="s">
        <v>26</v>
      </c>
    </row>
    <row r="418" spans="1:20" x14ac:dyDescent="0.3">
      <c r="A418" t="s">
        <v>31</v>
      </c>
      <c r="B418">
        <v>47</v>
      </c>
      <c r="C418">
        <v>89.7</v>
      </c>
      <c r="D418">
        <v>1.6</v>
      </c>
      <c r="E418">
        <v>35</v>
      </c>
      <c r="F418">
        <v>95.5</v>
      </c>
      <c r="G418" t="s">
        <v>413</v>
      </c>
      <c r="H418">
        <v>172</v>
      </c>
      <c r="I418">
        <v>45</v>
      </c>
      <c r="J418">
        <v>142</v>
      </c>
      <c r="K418" t="s">
        <v>22</v>
      </c>
      <c r="L418" t="s">
        <v>22</v>
      </c>
      <c r="M418" t="s">
        <v>24</v>
      </c>
      <c r="N418">
        <v>0.59699999999999998</v>
      </c>
      <c r="O418">
        <v>133</v>
      </c>
      <c r="P418">
        <v>64</v>
      </c>
      <c r="Q418" t="s">
        <v>29</v>
      </c>
      <c r="R418">
        <v>97</v>
      </c>
      <c r="S418">
        <v>17.09</v>
      </c>
      <c r="T418" t="s">
        <v>30</v>
      </c>
    </row>
    <row r="419" spans="1:20" x14ac:dyDescent="0.3">
      <c r="A419" t="s">
        <v>20</v>
      </c>
      <c r="B419">
        <v>37</v>
      </c>
      <c r="C419">
        <v>85.1</v>
      </c>
      <c r="D419">
        <v>1.73</v>
      </c>
      <c r="E419">
        <v>28.4</v>
      </c>
      <c r="F419">
        <v>75.099999999999994</v>
      </c>
      <c r="G419" t="s">
        <v>414</v>
      </c>
      <c r="H419">
        <v>292</v>
      </c>
      <c r="I419">
        <v>59</v>
      </c>
      <c r="J419">
        <v>89</v>
      </c>
      <c r="K419" t="s">
        <v>23</v>
      </c>
      <c r="L419" t="s">
        <v>22</v>
      </c>
      <c r="M419" t="s">
        <v>37</v>
      </c>
      <c r="N419">
        <v>0.434</v>
      </c>
      <c r="O419">
        <v>150</v>
      </c>
      <c r="P419">
        <v>64</v>
      </c>
      <c r="Q419" t="s">
        <v>38</v>
      </c>
      <c r="R419">
        <v>203</v>
      </c>
      <c r="S419">
        <v>19.02</v>
      </c>
      <c r="T419" t="s">
        <v>30</v>
      </c>
    </row>
    <row r="420" spans="1:20" x14ac:dyDescent="0.3">
      <c r="A420" t="s">
        <v>20</v>
      </c>
      <c r="B420">
        <v>33</v>
      </c>
      <c r="C420">
        <v>94.7</v>
      </c>
      <c r="D420">
        <v>1.82</v>
      </c>
      <c r="E420">
        <v>28.6</v>
      </c>
      <c r="F420">
        <v>76.7</v>
      </c>
      <c r="G420" t="s">
        <v>54</v>
      </c>
      <c r="H420">
        <v>243</v>
      </c>
      <c r="I420">
        <v>34</v>
      </c>
      <c r="J420">
        <v>121</v>
      </c>
      <c r="K420" t="s">
        <v>23</v>
      </c>
      <c r="L420" t="s">
        <v>22</v>
      </c>
      <c r="M420" t="s">
        <v>37</v>
      </c>
      <c r="N420">
        <v>0.42099999999999999</v>
      </c>
      <c r="O420">
        <v>132</v>
      </c>
      <c r="P420">
        <v>92</v>
      </c>
      <c r="Q420" t="s">
        <v>29</v>
      </c>
      <c r="R420">
        <v>179</v>
      </c>
      <c r="S420">
        <v>17.18</v>
      </c>
      <c r="T420" t="s">
        <v>30</v>
      </c>
    </row>
    <row r="421" spans="1:20" x14ac:dyDescent="0.3">
      <c r="A421" t="s">
        <v>20</v>
      </c>
      <c r="B421">
        <v>47</v>
      </c>
      <c r="C421">
        <v>110.2</v>
      </c>
      <c r="D421">
        <v>1.75</v>
      </c>
      <c r="E421">
        <v>36</v>
      </c>
      <c r="F421">
        <v>93.4</v>
      </c>
      <c r="G421" t="s">
        <v>227</v>
      </c>
      <c r="H421">
        <v>269</v>
      </c>
      <c r="I421">
        <v>73</v>
      </c>
      <c r="J421">
        <v>77</v>
      </c>
      <c r="K421" t="s">
        <v>22</v>
      </c>
      <c r="L421" t="s">
        <v>23</v>
      </c>
      <c r="M421" t="s">
        <v>24</v>
      </c>
      <c r="N421">
        <v>0.53400000000000003</v>
      </c>
      <c r="O421">
        <v>143</v>
      </c>
      <c r="P421">
        <v>89</v>
      </c>
      <c r="Q421" t="s">
        <v>29</v>
      </c>
      <c r="S421">
        <v>21.73</v>
      </c>
      <c r="T421" t="s">
        <v>30</v>
      </c>
    </row>
    <row r="422" spans="1:20" x14ac:dyDescent="0.3">
      <c r="A422" t="s">
        <v>20</v>
      </c>
      <c r="B422">
        <v>58</v>
      </c>
      <c r="C422">
        <v>91.2</v>
      </c>
      <c r="E422">
        <v>33.5</v>
      </c>
      <c r="F422">
        <v>76.400000000000006</v>
      </c>
      <c r="G422" t="s">
        <v>415</v>
      </c>
      <c r="H422">
        <v>189</v>
      </c>
      <c r="I422">
        <v>45</v>
      </c>
      <c r="J422">
        <v>141</v>
      </c>
      <c r="K422" t="s">
        <v>22</v>
      </c>
      <c r="L422" t="s">
        <v>23</v>
      </c>
      <c r="M422" t="s">
        <v>24</v>
      </c>
      <c r="N422">
        <v>0.46300000000000002</v>
      </c>
      <c r="O422">
        <v>98</v>
      </c>
      <c r="P422">
        <v>88</v>
      </c>
      <c r="Q422" t="s">
        <v>29</v>
      </c>
      <c r="R422">
        <v>114</v>
      </c>
      <c r="S422">
        <v>17.38</v>
      </c>
      <c r="T422" t="s">
        <v>30</v>
      </c>
    </row>
    <row r="423" spans="1:20" x14ac:dyDescent="0.3">
      <c r="A423" t="s">
        <v>31</v>
      </c>
      <c r="B423">
        <v>42</v>
      </c>
      <c r="C423">
        <v>61.7</v>
      </c>
      <c r="D423">
        <v>1.86</v>
      </c>
      <c r="E423">
        <v>17.8</v>
      </c>
      <c r="F423">
        <v>74.400000000000006</v>
      </c>
      <c r="G423" t="s">
        <v>416</v>
      </c>
      <c r="H423">
        <v>181</v>
      </c>
      <c r="I423">
        <v>46</v>
      </c>
      <c r="J423">
        <v>71</v>
      </c>
      <c r="K423" t="s">
        <v>22</v>
      </c>
      <c r="L423" t="s">
        <v>23</v>
      </c>
      <c r="M423" t="s">
        <v>37</v>
      </c>
      <c r="N423">
        <v>0.4</v>
      </c>
      <c r="O423">
        <v>128</v>
      </c>
      <c r="P423">
        <v>64</v>
      </c>
      <c r="Q423" t="s">
        <v>25</v>
      </c>
      <c r="R423">
        <v>105</v>
      </c>
      <c r="T423" t="s">
        <v>52</v>
      </c>
    </row>
    <row r="424" spans="1:20" x14ac:dyDescent="0.3">
      <c r="A424" t="s">
        <v>20</v>
      </c>
      <c r="B424">
        <v>59</v>
      </c>
      <c r="C424">
        <v>87</v>
      </c>
      <c r="D424">
        <v>1.62</v>
      </c>
      <c r="E424">
        <v>33.200000000000003</v>
      </c>
      <c r="F424">
        <v>109.8</v>
      </c>
      <c r="G424" t="s">
        <v>417</v>
      </c>
      <c r="H424">
        <v>120</v>
      </c>
      <c r="I424">
        <v>78</v>
      </c>
      <c r="J424">
        <v>85</v>
      </c>
      <c r="K424" t="s">
        <v>23</v>
      </c>
      <c r="L424" t="s">
        <v>22</v>
      </c>
      <c r="M424" t="s">
        <v>28</v>
      </c>
      <c r="N424">
        <v>0.67800000000000005</v>
      </c>
      <c r="P424">
        <v>87</v>
      </c>
      <c r="Q424" t="s">
        <v>29</v>
      </c>
      <c r="R424">
        <v>12</v>
      </c>
      <c r="S424">
        <v>16.14</v>
      </c>
      <c r="T424" t="s">
        <v>30</v>
      </c>
    </row>
    <row r="425" spans="1:20" x14ac:dyDescent="0.3">
      <c r="A425" t="s">
        <v>31</v>
      </c>
      <c r="B425">
        <v>56</v>
      </c>
      <c r="C425">
        <v>77</v>
      </c>
      <c r="D425">
        <v>1.61</v>
      </c>
      <c r="E425">
        <v>29.7</v>
      </c>
      <c r="F425">
        <v>99.7</v>
      </c>
      <c r="G425" t="s">
        <v>418</v>
      </c>
      <c r="H425">
        <v>220</v>
      </c>
      <c r="I425">
        <v>55</v>
      </c>
      <c r="J425">
        <v>105</v>
      </c>
      <c r="K425" t="s">
        <v>23</v>
      </c>
      <c r="L425" t="s">
        <v>22</v>
      </c>
      <c r="M425" t="s">
        <v>24</v>
      </c>
      <c r="N425">
        <v>0.61899999999999999</v>
      </c>
      <c r="O425">
        <v>96</v>
      </c>
      <c r="P425">
        <v>85</v>
      </c>
      <c r="Q425" t="s">
        <v>29</v>
      </c>
      <c r="R425">
        <v>135</v>
      </c>
      <c r="S425">
        <v>15.14</v>
      </c>
      <c r="T425" t="s">
        <v>30</v>
      </c>
    </row>
    <row r="426" spans="1:20" x14ac:dyDescent="0.3">
      <c r="A426" t="s">
        <v>31</v>
      </c>
      <c r="B426">
        <v>33</v>
      </c>
      <c r="C426">
        <v>79.8</v>
      </c>
      <c r="D426">
        <v>1.67</v>
      </c>
      <c r="E426">
        <v>28.6</v>
      </c>
      <c r="F426">
        <v>93.5</v>
      </c>
      <c r="G426" t="s">
        <v>419</v>
      </c>
      <c r="H426">
        <v>174</v>
      </c>
      <c r="I426">
        <v>56</v>
      </c>
      <c r="J426">
        <v>119</v>
      </c>
      <c r="K426" t="s">
        <v>23</v>
      </c>
      <c r="L426" t="s">
        <v>23</v>
      </c>
      <c r="M426" t="s">
        <v>37</v>
      </c>
      <c r="N426">
        <v>0.56000000000000005</v>
      </c>
      <c r="O426">
        <v>104</v>
      </c>
      <c r="P426">
        <v>84</v>
      </c>
      <c r="Q426" t="s">
        <v>29</v>
      </c>
      <c r="R426">
        <v>88</v>
      </c>
      <c r="S426">
        <v>16.399999999999999</v>
      </c>
      <c r="T426" t="s">
        <v>30</v>
      </c>
    </row>
    <row r="427" spans="1:20" x14ac:dyDescent="0.3">
      <c r="A427" t="s">
        <v>31</v>
      </c>
      <c r="B427">
        <v>56</v>
      </c>
      <c r="C427">
        <v>70.400000000000006</v>
      </c>
      <c r="D427">
        <v>1.69</v>
      </c>
      <c r="E427">
        <v>24.6</v>
      </c>
      <c r="F427">
        <v>75.900000000000006</v>
      </c>
      <c r="G427" t="s">
        <v>420</v>
      </c>
      <c r="H427">
        <v>113</v>
      </c>
      <c r="I427">
        <v>33</v>
      </c>
      <c r="J427">
        <v>130</v>
      </c>
      <c r="K427" t="s">
        <v>22</v>
      </c>
      <c r="L427" t="s">
        <v>22</v>
      </c>
      <c r="M427" t="s">
        <v>24</v>
      </c>
      <c r="N427">
        <v>0.44900000000000001</v>
      </c>
      <c r="O427">
        <v>132</v>
      </c>
      <c r="P427">
        <v>87</v>
      </c>
      <c r="Q427" t="s">
        <v>29</v>
      </c>
      <c r="R427">
        <v>50</v>
      </c>
      <c r="S427">
        <v>13.78</v>
      </c>
      <c r="T427" t="s">
        <v>30</v>
      </c>
    </row>
    <row r="428" spans="1:20" x14ac:dyDescent="0.3">
      <c r="A428" t="s">
        <v>20</v>
      </c>
      <c r="B428">
        <v>44</v>
      </c>
      <c r="C428">
        <v>113.6</v>
      </c>
      <c r="D428">
        <v>1.85</v>
      </c>
      <c r="E428">
        <v>33.200000000000003</v>
      </c>
      <c r="F428">
        <v>107.6</v>
      </c>
      <c r="G428" t="s">
        <v>421</v>
      </c>
      <c r="H428">
        <v>123</v>
      </c>
      <c r="J428">
        <v>132</v>
      </c>
      <c r="K428" t="s">
        <v>22</v>
      </c>
      <c r="L428" t="s">
        <v>23</v>
      </c>
      <c r="M428" t="s">
        <v>28</v>
      </c>
      <c r="N428">
        <v>0.58199999999999996</v>
      </c>
      <c r="O428">
        <v>131</v>
      </c>
      <c r="P428">
        <v>88</v>
      </c>
      <c r="Q428" t="s">
        <v>29</v>
      </c>
      <c r="R428">
        <v>15</v>
      </c>
      <c r="S428">
        <v>17.649999999999999</v>
      </c>
      <c r="T428" t="s">
        <v>26</v>
      </c>
    </row>
    <row r="429" spans="1:20" x14ac:dyDescent="0.3">
      <c r="A429" t="s">
        <v>31</v>
      </c>
      <c r="B429">
        <v>32</v>
      </c>
      <c r="C429">
        <v>108.8</v>
      </c>
      <c r="D429">
        <v>1.89</v>
      </c>
      <c r="E429">
        <v>30.5</v>
      </c>
      <c r="F429">
        <v>83</v>
      </c>
      <c r="G429" t="s">
        <v>422</v>
      </c>
      <c r="H429">
        <v>228</v>
      </c>
      <c r="I429">
        <v>46</v>
      </c>
      <c r="J429">
        <v>116</v>
      </c>
      <c r="K429" t="s">
        <v>23</v>
      </c>
      <c r="L429" t="s">
        <v>23</v>
      </c>
      <c r="M429" t="s">
        <v>24</v>
      </c>
      <c r="N429">
        <v>0.439</v>
      </c>
      <c r="O429">
        <v>122</v>
      </c>
      <c r="P429">
        <v>75</v>
      </c>
      <c r="Q429" t="s">
        <v>25</v>
      </c>
      <c r="R429">
        <v>152</v>
      </c>
      <c r="S429">
        <v>18.760000000000002</v>
      </c>
      <c r="T429" t="s">
        <v>30</v>
      </c>
    </row>
    <row r="430" spans="1:20" x14ac:dyDescent="0.3">
      <c r="A430" t="s">
        <v>31</v>
      </c>
      <c r="B430">
        <v>58</v>
      </c>
      <c r="C430">
        <v>118.1</v>
      </c>
      <c r="D430">
        <v>1.66</v>
      </c>
      <c r="E430">
        <v>42.9</v>
      </c>
      <c r="F430">
        <v>99.9</v>
      </c>
      <c r="G430" t="s">
        <v>195</v>
      </c>
      <c r="H430">
        <v>295</v>
      </c>
      <c r="I430">
        <v>60</v>
      </c>
      <c r="J430">
        <v>115</v>
      </c>
      <c r="K430" t="s">
        <v>22</v>
      </c>
      <c r="L430" t="s">
        <v>23</v>
      </c>
      <c r="M430" t="s">
        <v>28</v>
      </c>
      <c r="N430">
        <v>0.60199999999999998</v>
      </c>
      <c r="O430">
        <v>142</v>
      </c>
      <c r="P430">
        <v>79</v>
      </c>
      <c r="Q430" t="s">
        <v>38</v>
      </c>
      <c r="R430">
        <v>205</v>
      </c>
      <c r="S430">
        <v>23.58</v>
      </c>
      <c r="T430" t="s">
        <v>30</v>
      </c>
    </row>
    <row r="431" spans="1:20" x14ac:dyDescent="0.3">
      <c r="A431" t="s">
        <v>20</v>
      </c>
      <c r="B431">
        <v>60</v>
      </c>
      <c r="D431">
        <v>1.62</v>
      </c>
      <c r="F431">
        <v>87.2</v>
      </c>
      <c r="G431" t="s">
        <v>423</v>
      </c>
      <c r="H431">
        <v>174</v>
      </c>
      <c r="I431">
        <v>71</v>
      </c>
      <c r="J431">
        <v>94</v>
      </c>
      <c r="K431" t="s">
        <v>22</v>
      </c>
      <c r="L431" t="s">
        <v>23</v>
      </c>
      <c r="M431" t="s">
        <v>24</v>
      </c>
      <c r="N431">
        <v>0.53800000000000003</v>
      </c>
      <c r="O431">
        <v>141</v>
      </c>
      <c r="P431">
        <v>70</v>
      </c>
      <c r="Q431" t="s">
        <v>38</v>
      </c>
      <c r="R431">
        <v>73</v>
      </c>
      <c r="S431">
        <v>17.89</v>
      </c>
      <c r="T431" t="s">
        <v>30</v>
      </c>
    </row>
    <row r="432" spans="1:20" x14ac:dyDescent="0.3">
      <c r="A432" t="s">
        <v>31</v>
      </c>
      <c r="B432">
        <v>35</v>
      </c>
      <c r="C432">
        <v>105.7</v>
      </c>
      <c r="E432">
        <v>36.1</v>
      </c>
      <c r="F432">
        <v>78.8</v>
      </c>
      <c r="G432" t="s">
        <v>105</v>
      </c>
      <c r="H432">
        <v>232</v>
      </c>
      <c r="I432">
        <v>79</v>
      </c>
      <c r="J432">
        <v>82</v>
      </c>
      <c r="K432" t="s">
        <v>22</v>
      </c>
      <c r="L432" t="s">
        <v>22</v>
      </c>
      <c r="M432" t="s">
        <v>37</v>
      </c>
      <c r="N432">
        <v>0.46100000000000002</v>
      </c>
      <c r="O432">
        <v>101</v>
      </c>
      <c r="P432">
        <v>81</v>
      </c>
      <c r="Q432" t="s">
        <v>29</v>
      </c>
      <c r="R432">
        <v>123</v>
      </c>
      <c r="S432">
        <v>16.91</v>
      </c>
      <c r="T432" t="s">
        <v>26</v>
      </c>
    </row>
    <row r="433" spans="1:20" x14ac:dyDescent="0.3">
      <c r="A433" t="s">
        <v>31</v>
      </c>
      <c r="B433">
        <v>55</v>
      </c>
      <c r="C433">
        <v>67.400000000000006</v>
      </c>
      <c r="D433">
        <v>1.75</v>
      </c>
      <c r="E433">
        <v>22</v>
      </c>
      <c r="F433">
        <v>71.099999999999994</v>
      </c>
      <c r="G433" t="s">
        <v>424</v>
      </c>
      <c r="H433">
        <v>293</v>
      </c>
      <c r="I433">
        <v>70</v>
      </c>
      <c r="J433">
        <v>87</v>
      </c>
      <c r="K433" t="s">
        <v>23</v>
      </c>
      <c r="L433" t="s">
        <v>22</v>
      </c>
      <c r="M433" t="s">
        <v>37</v>
      </c>
      <c r="N433">
        <v>0.40600000000000003</v>
      </c>
      <c r="O433">
        <v>95</v>
      </c>
      <c r="P433">
        <v>97</v>
      </c>
      <c r="Q433" t="s">
        <v>38</v>
      </c>
      <c r="R433">
        <v>193</v>
      </c>
      <c r="S433">
        <v>15.01</v>
      </c>
      <c r="T433" t="s">
        <v>30</v>
      </c>
    </row>
    <row r="434" spans="1:20" x14ac:dyDescent="0.3">
      <c r="A434" t="s">
        <v>20</v>
      </c>
      <c r="B434">
        <v>42</v>
      </c>
      <c r="C434">
        <v>107.6</v>
      </c>
      <c r="D434">
        <v>1.87</v>
      </c>
      <c r="E434">
        <v>30.8</v>
      </c>
      <c r="F434">
        <v>97.8</v>
      </c>
      <c r="G434" t="s">
        <v>425</v>
      </c>
      <c r="H434">
        <v>176</v>
      </c>
      <c r="I434">
        <v>73</v>
      </c>
      <c r="J434">
        <v>98</v>
      </c>
      <c r="K434" t="s">
        <v>23</v>
      </c>
      <c r="L434" t="s">
        <v>22</v>
      </c>
      <c r="M434" t="s">
        <v>24</v>
      </c>
      <c r="N434">
        <v>0.52300000000000002</v>
      </c>
      <c r="O434">
        <v>108</v>
      </c>
      <c r="P434">
        <v>64</v>
      </c>
      <c r="Q434" t="s">
        <v>33</v>
      </c>
      <c r="R434">
        <v>73</v>
      </c>
      <c r="S434">
        <v>15.08</v>
      </c>
      <c r="T434" t="s">
        <v>26</v>
      </c>
    </row>
    <row r="435" spans="1:20" x14ac:dyDescent="0.3">
      <c r="A435" t="s">
        <v>20</v>
      </c>
      <c r="B435">
        <v>39</v>
      </c>
      <c r="C435">
        <v>89.8</v>
      </c>
      <c r="D435">
        <v>1.84</v>
      </c>
      <c r="E435">
        <v>26.5</v>
      </c>
      <c r="F435">
        <v>97.7</v>
      </c>
      <c r="G435" t="s">
        <v>426</v>
      </c>
      <c r="H435">
        <v>260</v>
      </c>
      <c r="I435">
        <v>75</v>
      </c>
      <c r="J435">
        <v>85</v>
      </c>
      <c r="K435" t="s">
        <v>23</v>
      </c>
      <c r="L435" t="s">
        <v>23</v>
      </c>
      <c r="M435" t="s">
        <v>37</v>
      </c>
      <c r="N435">
        <v>0.53100000000000003</v>
      </c>
      <c r="O435">
        <v>91</v>
      </c>
      <c r="P435">
        <v>65</v>
      </c>
      <c r="Q435" t="s">
        <v>33</v>
      </c>
      <c r="R435">
        <v>155</v>
      </c>
      <c r="S435">
        <v>17.05</v>
      </c>
      <c r="T435" t="s">
        <v>30</v>
      </c>
    </row>
    <row r="436" spans="1:20" x14ac:dyDescent="0.3">
      <c r="A436" t="s">
        <v>31</v>
      </c>
      <c r="B436">
        <v>50</v>
      </c>
      <c r="C436">
        <v>116.2</v>
      </c>
      <c r="D436">
        <v>1.9</v>
      </c>
      <c r="E436">
        <v>32.200000000000003</v>
      </c>
      <c r="F436">
        <v>96.2</v>
      </c>
      <c r="G436" t="s">
        <v>427</v>
      </c>
      <c r="H436">
        <v>105</v>
      </c>
      <c r="I436">
        <v>40</v>
      </c>
      <c r="J436">
        <v>130</v>
      </c>
      <c r="K436" t="s">
        <v>23</v>
      </c>
      <c r="L436" t="s">
        <v>23</v>
      </c>
      <c r="M436" t="s">
        <v>24</v>
      </c>
      <c r="N436">
        <v>0.50600000000000001</v>
      </c>
      <c r="O436">
        <v>143</v>
      </c>
      <c r="Q436" t="s">
        <v>38</v>
      </c>
      <c r="R436">
        <v>35</v>
      </c>
      <c r="S436">
        <v>17.690000000000001</v>
      </c>
      <c r="T436" t="s">
        <v>30</v>
      </c>
    </row>
    <row r="437" spans="1:20" x14ac:dyDescent="0.3">
      <c r="A437" t="s">
        <v>20</v>
      </c>
      <c r="B437">
        <v>30</v>
      </c>
      <c r="C437">
        <v>105</v>
      </c>
      <c r="D437">
        <v>1.73</v>
      </c>
      <c r="E437">
        <v>35.1</v>
      </c>
      <c r="F437">
        <v>93.4</v>
      </c>
      <c r="G437" t="s">
        <v>428</v>
      </c>
      <c r="I437">
        <v>34</v>
      </c>
      <c r="J437">
        <v>94</v>
      </c>
      <c r="K437" t="s">
        <v>22</v>
      </c>
      <c r="L437" t="s">
        <v>23</v>
      </c>
      <c r="M437" t="s">
        <v>24</v>
      </c>
      <c r="N437">
        <v>0.54</v>
      </c>
      <c r="O437">
        <v>126</v>
      </c>
      <c r="P437">
        <v>74</v>
      </c>
      <c r="Q437" t="s">
        <v>25</v>
      </c>
      <c r="R437">
        <v>66</v>
      </c>
      <c r="S437">
        <v>17.920000000000002</v>
      </c>
      <c r="T437" t="s">
        <v>30</v>
      </c>
    </row>
    <row r="438" spans="1:20" x14ac:dyDescent="0.3">
      <c r="A438" t="s">
        <v>31</v>
      </c>
      <c r="B438">
        <v>37</v>
      </c>
      <c r="C438">
        <v>74.099999999999994</v>
      </c>
      <c r="D438">
        <v>1.89</v>
      </c>
      <c r="E438">
        <v>20.7</v>
      </c>
      <c r="F438">
        <v>105.9</v>
      </c>
      <c r="G438" t="s">
        <v>429</v>
      </c>
      <c r="H438">
        <v>147</v>
      </c>
      <c r="I438">
        <v>64</v>
      </c>
      <c r="J438">
        <v>142</v>
      </c>
      <c r="K438" t="s">
        <v>22</v>
      </c>
      <c r="L438" t="s">
        <v>22</v>
      </c>
      <c r="M438" t="s">
        <v>24</v>
      </c>
      <c r="N438">
        <v>0.56000000000000005</v>
      </c>
      <c r="O438">
        <v>135</v>
      </c>
      <c r="P438">
        <v>66</v>
      </c>
      <c r="Q438" t="s">
        <v>29</v>
      </c>
      <c r="R438">
        <v>53</v>
      </c>
      <c r="S438">
        <v>13.83</v>
      </c>
      <c r="T438" t="s">
        <v>52</v>
      </c>
    </row>
    <row r="439" spans="1:20" x14ac:dyDescent="0.3">
      <c r="A439" t="s">
        <v>31</v>
      </c>
      <c r="B439">
        <v>44</v>
      </c>
      <c r="C439">
        <v>112.6</v>
      </c>
      <c r="D439">
        <v>1.87</v>
      </c>
      <c r="E439">
        <v>32.200000000000003</v>
      </c>
      <c r="F439">
        <v>82.8</v>
      </c>
      <c r="G439" t="s">
        <v>430</v>
      </c>
      <c r="H439">
        <v>226</v>
      </c>
      <c r="I439">
        <v>33</v>
      </c>
      <c r="J439">
        <v>112</v>
      </c>
      <c r="K439" t="s">
        <v>22</v>
      </c>
      <c r="L439" t="s">
        <v>23</v>
      </c>
      <c r="M439" t="s">
        <v>37</v>
      </c>
      <c r="N439">
        <v>0.443</v>
      </c>
      <c r="O439">
        <v>115</v>
      </c>
      <c r="P439">
        <v>64</v>
      </c>
      <c r="Q439" t="s">
        <v>33</v>
      </c>
      <c r="R439">
        <v>163</v>
      </c>
      <c r="S439">
        <v>18.71</v>
      </c>
      <c r="T439" t="s">
        <v>30</v>
      </c>
    </row>
    <row r="440" spans="1:20" x14ac:dyDescent="0.3">
      <c r="A440" t="s">
        <v>31</v>
      </c>
      <c r="B440">
        <v>47</v>
      </c>
      <c r="C440">
        <v>71.900000000000006</v>
      </c>
      <c r="D440">
        <v>1.86</v>
      </c>
      <c r="E440">
        <v>20.8</v>
      </c>
      <c r="F440">
        <v>88.6</v>
      </c>
      <c r="G440" t="s">
        <v>431</v>
      </c>
      <c r="H440">
        <v>211</v>
      </c>
      <c r="I440">
        <v>45</v>
      </c>
      <c r="J440">
        <v>106</v>
      </c>
      <c r="K440" t="s">
        <v>23</v>
      </c>
      <c r="L440" t="s">
        <v>23</v>
      </c>
      <c r="M440" t="s">
        <v>37</v>
      </c>
      <c r="N440">
        <v>0.47599999999999998</v>
      </c>
      <c r="O440">
        <v>121</v>
      </c>
      <c r="P440">
        <v>92</v>
      </c>
      <c r="Q440" t="s">
        <v>38</v>
      </c>
      <c r="R440">
        <v>136</v>
      </c>
      <c r="S440">
        <v>16.43</v>
      </c>
      <c r="T440" t="s">
        <v>30</v>
      </c>
    </row>
    <row r="441" spans="1:20" x14ac:dyDescent="0.3">
      <c r="A441" t="s">
        <v>31</v>
      </c>
      <c r="B441">
        <v>47</v>
      </c>
      <c r="D441">
        <v>1.88</v>
      </c>
      <c r="E441">
        <v>29.1</v>
      </c>
      <c r="F441">
        <v>78.400000000000006</v>
      </c>
      <c r="G441" t="s">
        <v>432</v>
      </c>
      <c r="H441">
        <v>213</v>
      </c>
      <c r="I441">
        <v>54</v>
      </c>
      <c r="K441" t="s">
        <v>22</v>
      </c>
      <c r="L441" t="s">
        <v>23</v>
      </c>
      <c r="M441" t="s">
        <v>37</v>
      </c>
      <c r="N441">
        <v>0.41699999999999998</v>
      </c>
      <c r="O441">
        <v>119</v>
      </c>
      <c r="P441">
        <v>99</v>
      </c>
      <c r="Q441" t="s">
        <v>38</v>
      </c>
      <c r="R441">
        <v>129</v>
      </c>
      <c r="S441">
        <v>18.03</v>
      </c>
      <c r="T441" t="s">
        <v>30</v>
      </c>
    </row>
    <row r="442" spans="1:20" x14ac:dyDescent="0.3">
      <c r="A442" t="s">
        <v>31</v>
      </c>
      <c r="B442">
        <v>39</v>
      </c>
      <c r="C442">
        <v>112.8</v>
      </c>
      <c r="D442">
        <v>1.88</v>
      </c>
      <c r="E442">
        <v>31.9</v>
      </c>
      <c r="F442">
        <v>90.6</v>
      </c>
      <c r="G442" t="s">
        <v>433</v>
      </c>
      <c r="H442">
        <v>123</v>
      </c>
      <c r="I442">
        <v>30</v>
      </c>
      <c r="J442">
        <v>131</v>
      </c>
      <c r="K442" t="s">
        <v>23</v>
      </c>
      <c r="L442" t="s">
        <v>22</v>
      </c>
      <c r="M442" t="s">
        <v>28</v>
      </c>
      <c r="N442">
        <v>0.48199999999999998</v>
      </c>
      <c r="O442">
        <v>134</v>
      </c>
      <c r="P442">
        <v>89</v>
      </c>
      <c r="Q442" t="s">
        <v>29</v>
      </c>
      <c r="R442">
        <v>63</v>
      </c>
      <c r="S442">
        <v>15.54</v>
      </c>
      <c r="T442" t="s">
        <v>30</v>
      </c>
    </row>
    <row r="443" spans="1:20" x14ac:dyDescent="0.3">
      <c r="A443" t="s">
        <v>20</v>
      </c>
      <c r="B443">
        <v>36</v>
      </c>
      <c r="C443">
        <v>81.2</v>
      </c>
      <c r="D443">
        <v>1.75</v>
      </c>
      <c r="E443">
        <v>26.5</v>
      </c>
      <c r="F443">
        <v>74</v>
      </c>
      <c r="G443" t="s">
        <v>434</v>
      </c>
      <c r="H443">
        <v>225</v>
      </c>
      <c r="I443">
        <v>31</v>
      </c>
      <c r="J443">
        <v>124</v>
      </c>
      <c r="K443" t="s">
        <v>23</v>
      </c>
      <c r="L443" t="s">
        <v>22</v>
      </c>
      <c r="M443" t="s">
        <v>37</v>
      </c>
      <c r="N443">
        <v>0.42299999999999999</v>
      </c>
      <c r="O443">
        <v>141</v>
      </c>
      <c r="Q443" t="s">
        <v>38</v>
      </c>
      <c r="R443">
        <v>164</v>
      </c>
      <c r="S443">
        <v>16.850000000000001</v>
      </c>
      <c r="T443" t="s">
        <v>30</v>
      </c>
    </row>
    <row r="444" spans="1:20" x14ac:dyDescent="0.3">
      <c r="A444" t="s">
        <v>20</v>
      </c>
      <c r="B444">
        <v>50</v>
      </c>
      <c r="C444">
        <v>73.900000000000006</v>
      </c>
      <c r="D444">
        <v>1.75</v>
      </c>
      <c r="E444">
        <v>24.1</v>
      </c>
      <c r="F444">
        <v>95.8</v>
      </c>
      <c r="G444" t="s">
        <v>435</v>
      </c>
      <c r="J444">
        <v>144</v>
      </c>
      <c r="K444" t="s">
        <v>23</v>
      </c>
      <c r="L444" t="s">
        <v>22</v>
      </c>
      <c r="M444" t="s">
        <v>28</v>
      </c>
      <c r="N444">
        <v>0.54700000000000004</v>
      </c>
      <c r="O444">
        <v>145</v>
      </c>
      <c r="P444">
        <v>71</v>
      </c>
      <c r="Q444" t="s">
        <v>38</v>
      </c>
      <c r="R444">
        <v>31</v>
      </c>
      <c r="S444">
        <v>14.67</v>
      </c>
      <c r="T444" t="s">
        <v>26</v>
      </c>
    </row>
    <row r="445" spans="1:20" x14ac:dyDescent="0.3">
      <c r="A445" t="s">
        <v>31</v>
      </c>
      <c r="B445">
        <v>40</v>
      </c>
      <c r="C445">
        <v>110.6</v>
      </c>
      <c r="D445">
        <v>1.7</v>
      </c>
      <c r="E445">
        <v>38.299999999999997</v>
      </c>
      <c r="F445">
        <v>80.3</v>
      </c>
      <c r="G445" t="s">
        <v>436</v>
      </c>
      <c r="H445">
        <v>177</v>
      </c>
      <c r="I445">
        <v>65</v>
      </c>
      <c r="J445">
        <v>121</v>
      </c>
      <c r="K445" t="s">
        <v>23</v>
      </c>
      <c r="L445" t="s">
        <v>23</v>
      </c>
      <c r="M445" t="s">
        <v>24</v>
      </c>
      <c r="N445">
        <v>0.47199999999999998</v>
      </c>
      <c r="O445">
        <v>148</v>
      </c>
      <c r="P445">
        <v>95</v>
      </c>
      <c r="Q445" t="s">
        <v>38</v>
      </c>
      <c r="R445">
        <v>82</v>
      </c>
      <c r="S445">
        <v>20.6</v>
      </c>
      <c r="T445" t="s">
        <v>30</v>
      </c>
    </row>
    <row r="446" spans="1:20" x14ac:dyDescent="0.3">
      <c r="A446" t="s">
        <v>20</v>
      </c>
      <c r="B446">
        <v>52</v>
      </c>
      <c r="C446">
        <v>107.8</v>
      </c>
      <c r="D446">
        <v>1.78</v>
      </c>
      <c r="E446">
        <v>34</v>
      </c>
      <c r="F446">
        <v>103.5</v>
      </c>
      <c r="G446" t="s">
        <v>437</v>
      </c>
      <c r="H446">
        <v>179</v>
      </c>
      <c r="I446">
        <v>73</v>
      </c>
      <c r="J446">
        <v>132</v>
      </c>
      <c r="K446" t="s">
        <v>22</v>
      </c>
      <c r="L446" t="s">
        <v>22</v>
      </c>
      <c r="M446" t="s">
        <v>24</v>
      </c>
      <c r="N446">
        <v>0.58099999999999996</v>
      </c>
      <c r="O446">
        <v>111</v>
      </c>
      <c r="P446">
        <v>69</v>
      </c>
      <c r="Q446" t="s">
        <v>33</v>
      </c>
      <c r="R446">
        <v>76</v>
      </c>
      <c r="S446">
        <v>15.93</v>
      </c>
      <c r="T446" t="s">
        <v>30</v>
      </c>
    </row>
    <row r="447" spans="1:20" x14ac:dyDescent="0.3">
      <c r="A447" t="s">
        <v>20</v>
      </c>
      <c r="B447">
        <v>39</v>
      </c>
      <c r="C447">
        <v>61.4</v>
      </c>
      <c r="D447">
        <v>1.71</v>
      </c>
      <c r="E447">
        <v>21</v>
      </c>
      <c r="F447">
        <v>83.6</v>
      </c>
      <c r="G447" t="s">
        <v>438</v>
      </c>
      <c r="H447">
        <v>246</v>
      </c>
      <c r="I447">
        <v>72</v>
      </c>
      <c r="J447">
        <v>136</v>
      </c>
      <c r="K447" t="s">
        <v>22</v>
      </c>
      <c r="L447" t="s">
        <v>23</v>
      </c>
      <c r="M447" t="s">
        <v>28</v>
      </c>
      <c r="N447">
        <v>0.48899999999999999</v>
      </c>
      <c r="O447">
        <v>134</v>
      </c>
      <c r="P447">
        <v>69</v>
      </c>
      <c r="Q447" t="s">
        <v>29</v>
      </c>
      <c r="R447">
        <v>144</v>
      </c>
      <c r="S447">
        <v>17.82</v>
      </c>
      <c r="T447" t="s">
        <v>26</v>
      </c>
    </row>
    <row r="448" spans="1:20" x14ac:dyDescent="0.3">
      <c r="A448" t="s">
        <v>20</v>
      </c>
      <c r="B448">
        <v>46</v>
      </c>
      <c r="D448">
        <v>1.82</v>
      </c>
      <c r="E448">
        <v>35.799999999999997</v>
      </c>
      <c r="F448">
        <v>93.5</v>
      </c>
      <c r="G448" t="s">
        <v>439</v>
      </c>
      <c r="H448">
        <v>260</v>
      </c>
      <c r="I448">
        <v>37</v>
      </c>
      <c r="J448">
        <v>125</v>
      </c>
      <c r="K448" t="s">
        <v>23</v>
      </c>
      <c r="L448" t="s">
        <v>22</v>
      </c>
      <c r="M448" t="s">
        <v>28</v>
      </c>
      <c r="N448">
        <v>0.51400000000000001</v>
      </c>
      <c r="O448">
        <v>120</v>
      </c>
      <c r="P448">
        <v>70</v>
      </c>
      <c r="Q448" t="s">
        <v>25</v>
      </c>
      <c r="R448">
        <v>193</v>
      </c>
      <c r="S448">
        <v>18.36</v>
      </c>
      <c r="T448" t="s">
        <v>30</v>
      </c>
    </row>
    <row r="449" spans="1:20" x14ac:dyDescent="0.3">
      <c r="A449" t="s">
        <v>31</v>
      </c>
      <c r="B449">
        <v>39</v>
      </c>
      <c r="C449">
        <v>80</v>
      </c>
      <c r="D449">
        <v>1.64</v>
      </c>
      <c r="E449">
        <v>29.7</v>
      </c>
      <c r="F449">
        <v>103.6</v>
      </c>
      <c r="G449" t="s">
        <v>440</v>
      </c>
      <c r="H449">
        <v>299</v>
      </c>
      <c r="I449">
        <v>46</v>
      </c>
      <c r="J449">
        <v>148</v>
      </c>
      <c r="K449" t="s">
        <v>22</v>
      </c>
      <c r="L449" t="s">
        <v>22</v>
      </c>
      <c r="M449" t="s">
        <v>24</v>
      </c>
      <c r="N449">
        <v>0.63200000000000001</v>
      </c>
      <c r="O449">
        <v>114</v>
      </c>
      <c r="P449">
        <v>70</v>
      </c>
      <c r="Q449" t="s">
        <v>33</v>
      </c>
      <c r="R449">
        <v>223</v>
      </c>
      <c r="S449">
        <v>17.62</v>
      </c>
      <c r="T449" t="s">
        <v>30</v>
      </c>
    </row>
    <row r="450" spans="1:20" x14ac:dyDescent="0.3">
      <c r="A450" t="s">
        <v>20</v>
      </c>
      <c r="B450">
        <v>35</v>
      </c>
      <c r="C450">
        <v>64.2</v>
      </c>
      <c r="D450">
        <v>1.87</v>
      </c>
      <c r="E450">
        <v>18.399999999999999</v>
      </c>
      <c r="F450">
        <v>100.8</v>
      </c>
      <c r="G450" t="s">
        <v>441</v>
      </c>
      <c r="H450">
        <v>193</v>
      </c>
      <c r="I450">
        <v>49</v>
      </c>
      <c r="J450">
        <v>134</v>
      </c>
      <c r="K450" t="s">
        <v>23</v>
      </c>
      <c r="L450" t="s">
        <v>23</v>
      </c>
      <c r="M450" t="s">
        <v>37</v>
      </c>
      <c r="N450">
        <v>0.53900000000000003</v>
      </c>
      <c r="P450">
        <v>67</v>
      </c>
      <c r="Q450" t="s">
        <v>29</v>
      </c>
      <c r="R450">
        <v>114</v>
      </c>
      <c r="S450">
        <v>16.239999999999998</v>
      </c>
      <c r="T450" t="s">
        <v>26</v>
      </c>
    </row>
    <row r="451" spans="1:20" x14ac:dyDescent="0.3">
      <c r="A451" t="s">
        <v>31</v>
      </c>
      <c r="B451">
        <v>53</v>
      </c>
      <c r="C451">
        <v>62.3</v>
      </c>
      <c r="D451">
        <v>1.84</v>
      </c>
      <c r="E451">
        <v>18.399999999999999</v>
      </c>
      <c r="F451">
        <v>90.9</v>
      </c>
      <c r="G451" t="s">
        <v>442</v>
      </c>
      <c r="H451">
        <v>208</v>
      </c>
      <c r="I451">
        <v>30</v>
      </c>
      <c r="J451">
        <v>101</v>
      </c>
      <c r="K451" t="s">
        <v>23</v>
      </c>
      <c r="L451" t="s">
        <v>22</v>
      </c>
      <c r="M451" t="s">
        <v>24</v>
      </c>
      <c r="N451">
        <v>0.49399999999999999</v>
      </c>
      <c r="O451">
        <v>95</v>
      </c>
      <c r="P451">
        <v>94</v>
      </c>
      <c r="Q451" t="s">
        <v>38</v>
      </c>
      <c r="R451">
        <v>148</v>
      </c>
      <c r="S451">
        <v>12.59</v>
      </c>
      <c r="T451" t="s">
        <v>30</v>
      </c>
    </row>
    <row r="452" spans="1:20" x14ac:dyDescent="0.3">
      <c r="A452" t="s">
        <v>20</v>
      </c>
      <c r="B452">
        <v>54</v>
      </c>
      <c r="C452">
        <v>78.2</v>
      </c>
      <c r="D452">
        <v>1.83</v>
      </c>
      <c r="E452">
        <v>23.4</v>
      </c>
      <c r="F452">
        <v>82.8</v>
      </c>
      <c r="G452" t="s">
        <v>443</v>
      </c>
      <c r="H452">
        <v>180</v>
      </c>
      <c r="I452">
        <v>33</v>
      </c>
      <c r="J452">
        <v>89</v>
      </c>
      <c r="K452" t="s">
        <v>23</v>
      </c>
      <c r="L452" t="s">
        <v>22</v>
      </c>
      <c r="M452" t="s">
        <v>37</v>
      </c>
      <c r="N452">
        <v>0.45200000000000001</v>
      </c>
      <c r="O452">
        <v>116</v>
      </c>
      <c r="P452">
        <v>86</v>
      </c>
      <c r="Q452" t="s">
        <v>29</v>
      </c>
      <c r="R452">
        <v>117</v>
      </c>
      <c r="S452">
        <v>14.08</v>
      </c>
      <c r="T452" t="s">
        <v>30</v>
      </c>
    </row>
    <row r="453" spans="1:20" x14ac:dyDescent="0.3">
      <c r="A453" t="s">
        <v>31</v>
      </c>
      <c r="B453">
        <v>48</v>
      </c>
      <c r="C453">
        <v>50.1</v>
      </c>
      <c r="D453">
        <v>1.77</v>
      </c>
      <c r="E453">
        <v>16</v>
      </c>
      <c r="F453">
        <v>104.1</v>
      </c>
      <c r="G453" t="s">
        <v>444</v>
      </c>
      <c r="H453">
        <v>210</v>
      </c>
      <c r="I453">
        <v>70</v>
      </c>
      <c r="J453">
        <v>108</v>
      </c>
      <c r="K453" t="s">
        <v>22</v>
      </c>
      <c r="L453" t="s">
        <v>22</v>
      </c>
      <c r="M453" t="s">
        <v>24</v>
      </c>
      <c r="N453">
        <v>0.58799999999999997</v>
      </c>
      <c r="O453">
        <v>146</v>
      </c>
      <c r="Q453" t="s">
        <v>38</v>
      </c>
      <c r="R453">
        <v>110</v>
      </c>
      <c r="T453" t="s">
        <v>30</v>
      </c>
    </row>
    <row r="454" spans="1:20" x14ac:dyDescent="0.3">
      <c r="A454" t="s">
        <v>31</v>
      </c>
      <c r="B454">
        <v>36</v>
      </c>
      <c r="C454">
        <v>53.9</v>
      </c>
      <c r="D454">
        <v>1.67</v>
      </c>
      <c r="E454">
        <v>19.3</v>
      </c>
      <c r="F454">
        <v>79.3</v>
      </c>
      <c r="G454" t="s">
        <v>32</v>
      </c>
      <c r="H454">
        <v>193</v>
      </c>
      <c r="I454">
        <v>69</v>
      </c>
      <c r="J454">
        <v>131</v>
      </c>
      <c r="K454" t="s">
        <v>23</v>
      </c>
      <c r="L454" t="s">
        <v>23</v>
      </c>
      <c r="M454" t="s">
        <v>24</v>
      </c>
      <c r="N454">
        <v>0.47499999999999998</v>
      </c>
      <c r="O454">
        <v>104</v>
      </c>
      <c r="P454">
        <v>77</v>
      </c>
      <c r="Q454" t="s">
        <v>33</v>
      </c>
      <c r="R454">
        <v>94</v>
      </c>
      <c r="S454">
        <v>14.92</v>
      </c>
      <c r="T454" t="s">
        <v>30</v>
      </c>
    </row>
    <row r="455" spans="1:20" x14ac:dyDescent="0.3">
      <c r="A455" t="s">
        <v>31</v>
      </c>
      <c r="B455">
        <v>52</v>
      </c>
      <c r="C455">
        <v>59</v>
      </c>
      <c r="D455">
        <v>1.86</v>
      </c>
      <c r="E455">
        <v>17.100000000000001</v>
      </c>
      <c r="F455">
        <v>92</v>
      </c>
      <c r="G455" t="s">
        <v>92</v>
      </c>
      <c r="H455">
        <v>156</v>
      </c>
      <c r="J455">
        <v>134</v>
      </c>
      <c r="K455" t="s">
        <v>22</v>
      </c>
      <c r="L455" t="s">
        <v>23</v>
      </c>
      <c r="M455" t="s">
        <v>24</v>
      </c>
      <c r="N455">
        <v>0.495</v>
      </c>
      <c r="O455">
        <v>98</v>
      </c>
      <c r="P455">
        <v>73</v>
      </c>
      <c r="Q455" t="s">
        <v>33</v>
      </c>
      <c r="R455">
        <v>81</v>
      </c>
      <c r="S455">
        <v>13.44</v>
      </c>
      <c r="T455" t="s">
        <v>26</v>
      </c>
    </row>
    <row r="456" spans="1:20" x14ac:dyDescent="0.3">
      <c r="A456" t="s">
        <v>31</v>
      </c>
      <c r="B456">
        <v>39</v>
      </c>
      <c r="C456">
        <v>109.9</v>
      </c>
      <c r="D456">
        <v>1.8</v>
      </c>
      <c r="E456">
        <v>33.9</v>
      </c>
      <c r="F456">
        <v>89.4</v>
      </c>
      <c r="G456" t="s">
        <v>445</v>
      </c>
      <c r="H456">
        <v>267</v>
      </c>
      <c r="I456">
        <v>35</v>
      </c>
      <c r="J456">
        <v>116</v>
      </c>
      <c r="K456" t="s">
        <v>23</v>
      </c>
      <c r="L456" t="s">
        <v>22</v>
      </c>
      <c r="M456" t="s">
        <v>24</v>
      </c>
      <c r="N456">
        <v>0.497</v>
      </c>
      <c r="O456">
        <v>130</v>
      </c>
      <c r="P456">
        <v>94</v>
      </c>
      <c r="Q456" t="s">
        <v>29</v>
      </c>
      <c r="R456">
        <v>202</v>
      </c>
      <c r="S456">
        <v>18.62</v>
      </c>
      <c r="T456" t="s">
        <v>30</v>
      </c>
    </row>
    <row r="457" spans="1:20" x14ac:dyDescent="0.3">
      <c r="A457" t="s">
        <v>31</v>
      </c>
      <c r="B457">
        <v>38</v>
      </c>
      <c r="C457">
        <v>109.2</v>
      </c>
      <c r="D457">
        <v>1.87</v>
      </c>
      <c r="E457">
        <v>31.2</v>
      </c>
      <c r="F457">
        <v>81</v>
      </c>
      <c r="G457" t="s">
        <v>446</v>
      </c>
      <c r="H457">
        <v>159</v>
      </c>
      <c r="I457">
        <v>51</v>
      </c>
      <c r="J457">
        <v>123</v>
      </c>
      <c r="K457" t="s">
        <v>22</v>
      </c>
      <c r="L457" t="s">
        <v>22</v>
      </c>
      <c r="M457" t="s">
        <v>28</v>
      </c>
      <c r="N457">
        <v>0.433</v>
      </c>
      <c r="O457">
        <v>129</v>
      </c>
      <c r="P457">
        <v>61</v>
      </c>
      <c r="Q457" t="s">
        <v>25</v>
      </c>
      <c r="R457">
        <v>78</v>
      </c>
      <c r="S457">
        <v>15.87</v>
      </c>
      <c r="T457" t="s">
        <v>26</v>
      </c>
    </row>
    <row r="458" spans="1:20" x14ac:dyDescent="0.3">
      <c r="A458" t="s">
        <v>31</v>
      </c>
      <c r="B458">
        <v>38</v>
      </c>
      <c r="C458">
        <v>58.8</v>
      </c>
      <c r="D458">
        <v>1.79</v>
      </c>
      <c r="E458">
        <v>18.399999999999999</v>
      </c>
      <c r="F458">
        <v>93.6</v>
      </c>
      <c r="G458" t="s">
        <v>447</v>
      </c>
      <c r="H458">
        <v>201</v>
      </c>
      <c r="I458">
        <v>57</v>
      </c>
      <c r="J458">
        <v>103</v>
      </c>
      <c r="K458" t="s">
        <v>23</v>
      </c>
      <c r="L458" t="s">
        <v>22</v>
      </c>
      <c r="M458" t="s">
        <v>37</v>
      </c>
      <c r="N458">
        <v>0.52300000000000002</v>
      </c>
      <c r="P458">
        <v>85</v>
      </c>
      <c r="Q458" t="s">
        <v>29</v>
      </c>
      <c r="R458">
        <v>114</v>
      </c>
      <c r="S458">
        <v>13.3</v>
      </c>
      <c r="T458" t="s">
        <v>26</v>
      </c>
    </row>
    <row r="459" spans="1:20" x14ac:dyDescent="0.3">
      <c r="A459" t="s">
        <v>20</v>
      </c>
      <c r="B459">
        <v>57</v>
      </c>
      <c r="C459">
        <v>80</v>
      </c>
      <c r="D459">
        <v>1.61</v>
      </c>
      <c r="E459">
        <v>30.9</v>
      </c>
      <c r="F459">
        <v>93</v>
      </c>
      <c r="G459" t="s">
        <v>448</v>
      </c>
      <c r="H459">
        <v>296</v>
      </c>
      <c r="I459">
        <v>67</v>
      </c>
      <c r="J459">
        <v>101</v>
      </c>
      <c r="K459" t="s">
        <v>23</v>
      </c>
      <c r="L459" t="s">
        <v>22</v>
      </c>
      <c r="M459" t="s">
        <v>24</v>
      </c>
      <c r="N459">
        <v>0.57799999999999996</v>
      </c>
      <c r="O459">
        <v>112</v>
      </c>
      <c r="P459">
        <v>71</v>
      </c>
      <c r="Q459" t="s">
        <v>33</v>
      </c>
      <c r="R459">
        <v>199</v>
      </c>
      <c r="S459">
        <v>17.7</v>
      </c>
      <c r="T459" t="s">
        <v>30</v>
      </c>
    </row>
    <row r="460" spans="1:20" x14ac:dyDescent="0.3">
      <c r="A460" t="s">
        <v>31</v>
      </c>
      <c r="B460">
        <v>44</v>
      </c>
      <c r="C460">
        <v>63.7</v>
      </c>
      <c r="D460">
        <v>1.86</v>
      </c>
      <c r="F460">
        <v>70.5</v>
      </c>
      <c r="G460" t="s">
        <v>449</v>
      </c>
      <c r="H460">
        <v>262</v>
      </c>
      <c r="I460">
        <v>48</v>
      </c>
      <c r="J460">
        <v>106</v>
      </c>
      <c r="K460" t="s">
        <v>23</v>
      </c>
      <c r="L460" t="s">
        <v>22</v>
      </c>
      <c r="M460" t="s">
        <v>28</v>
      </c>
      <c r="N460">
        <v>0.379</v>
      </c>
      <c r="O460">
        <v>123</v>
      </c>
      <c r="P460">
        <v>83</v>
      </c>
      <c r="Q460" t="s">
        <v>29</v>
      </c>
      <c r="R460">
        <v>184</v>
      </c>
      <c r="S460">
        <v>15.07</v>
      </c>
      <c r="T460" t="s">
        <v>26</v>
      </c>
    </row>
    <row r="461" spans="1:20" x14ac:dyDescent="0.3">
      <c r="A461" t="s">
        <v>20</v>
      </c>
      <c r="C461">
        <v>65.8</v>
      </c>
      <c r="D461">
        <v>1.9</v>
      </c>
      <c r="E461">
        <v>18.2</v>
      </c>
      <c r="F461">
        <v>102.8</v>
      </c>
      <c r="G461" t="s">
        <v>450</v>
      </c>
      <c r="H461">
        <v>136</v>
      </c>
      <c r="I461">
        <v>35</v>
      </c>
      <c r="J461">
        <v>128</v>
      </c>
      <c r="K461" t="s">
        <v>22</v>
      </c>
      <c r="L461" t="s">
        <v>22</v>
      </c>
      <c r="M461" t="s">
        <v>37</v>
      </c>
      <c r="N461">
        <v>0.54100000000000004</v>
      </c>
      <c r="O461">
        <v>116</v>
      </c>
      <c r="P461">
        <v>89</v>
      </c>
      <c r="Q461" t="s">
        <v>29</v>
      </c>
      <c r="R461">
        <v>71</v>
      </c>
      <c r="S461">
        <v>12.16</v>
      </c>
      <c r="T461" t="s">
        <v>26</v>
      </c>
    </row>
    <row r="462" spans="1:20" x14ac:dyDescent="0.3">
      <c r="A462" t="s">
        <v>20</v>
      </c>
      <c r="B462">
        <v>46</v>
      </c>
      <c r="C462">
        <v>96.9</v>
      </c>
      <c r="D462">
        <v>1.81</v>
      </c>
      <c r="E462">
        <v>29.6</v>
      </c>
      <c r="F462">
        <v>77.599999999999994</v>
      </c>
      <c r="G462" t="s">
        <v>451</v>
      </c>
      <c r="H462">
        <v>167</v>
      </c>
      <c r="I462">
        <v>49</v>
      </c>
      <c r="J462">
        <v>111</v>
      </c>
      <c r="K462" t="s">
        <v>23</v>
      </c>
      <c r="L462" t="s">
        <v>22</v>
      </c>
      <c r="M462" t="s">
        <v>28</v>
      </c>
      <c r="N462">
        <v>0.42899999999999999</v>
      </c>
      <c r="O462">
        <v>122</v>
      </c>
      <c r="P462">
        <v>91</v>
      </c>
      <c r="Q462" t="s">
        <v>38</v>
      </c>
      <c r="R462">
        <v>88</v>
      </c>
      <c r="S462">
        <v>15.36</v>
      </c>
      <c r="T462" t="s">
        <v>30</v>
      </c>
    </row>
    <row r="463" spans="1:20" x14ac:dyDescent="0.3">
      <c r="A463" t="s">
        <v>31</v>
      </c>
      <c r="B463">
        <v>39</v>
      </c>
      <c r="C463">
        <v>102.5</v>
      </c>
      <c r="D463">
        <v>1.87</v>
      </c>
      <c r="E463">
        <v>29.3</v>
      </c>
      <c r="F463">
        <v>97.3</v>
      </c>
      <c r="G463" t="s">
        <v>452</v>
      </c>
      <c r="H463">
        <v>239</v>
      </c>
      <c r="I463">
        <v>41</v>
      </c>
      <c r="J463">
        <v>118</v>
      </c>
      <c r="K463" t="s">
        <v>23</v>
      </c>
      <c r="L463" t="s">
        <v>22</v>
      </c>
      <c r="M463" t="s">
        <v>37</v>
      </c>
      <c r="N463">
        <v>0.52</v>
      </c>
      <c r="O463">
        <v>99</v>
      </c>
      <c r="P463">
        <v>89</v>
      </c>
      <c r="Q463" t="s">
        <v>29</v>
      </c>
      <c r="S463">
        <v>15.59</v>
      </c>
      <c r="T463" t="s">
        <v>26</v>
      </c>
    </row>
    <row r="464" spans="1:20" x14ac:dyDescent="0.3">
      <c r="A464" t="s">
        <v>31</v>
      </c>
      <c r="B464">
        <v>60</v>
      </c>
      <c r="D464">
        <v>1.77</v>
      </c>
      <c r="E464">
        <v>32.799999999999997</v>
      </c>
      <c r="F464">
        <v>102.9</v>
      </c>
      <c r="G464" t="s">
        <v>453</v>
      </c>
      <c r="H464">
        <v>235</v>
      </c>
      <c r="I464">
        <v>68</v>
      </c>
      <c r="J464">
        <v>126</v>
      </c>
      <c r="K464" t="s">
        <v>23</v>
      </c>
      <c r="L464" t="s">
        <v>23</v>
      </c>
      <c r="M464" t="s">
        <v>28</v>
      </c>
      <c r="N464">
        <v>0.58099999999999996</v>
      </c>
      <c r="O464">
        <v>102</v>
      </c>
      <c r="P464">
        <v>93</v>
      </c>
      <c r="Q464" t="s">
        <v>38</v>
      </c>
      <c r="R464">
        <v>137</v>
      </c>
      <c r="S464">
        <v>18.36</v>
      </c>
      <c r="T464" t="s">
        <v>30</v>
      </c>
    </row>
    <row r="465" spans="1:20" x14ac:dyDescent="0.3">
      <c r="A465" t="s">
        <v>20</v>
      </c>
      <c r="B465">
        <v>58</v>
      </c>
      <c r="C465">
        <v>111.7</v>
      </c>
      <c r="D465">
        <v>1.88</v>
      </c>
      <c r="E465">
        <v>31.6</v>
      </c>
      <c r="F465">
        <v>107.3</v>
      </c>
      <c r="G465" t="s">
        <v>454</v>
      </c>
      <c r="H465">
        <v>290</v>
      </c>
      <c r="I465">
        <v>46</v>
      </c>
      <c r="J465">
        <v>148</v>
      </c>
      <c r="K465" t="s">
        <v>22</v>
      </c>
      <c r="L465" t="s">
        <v>22</v>
      </c>
      <c r="M465" t="s">
        <v>28</v>
      </c>
      <c r="O465">
        <v>126</v>
      </c>
      <c r="Q465" t="s">
        <v>25</v>
      </c>
      <c r="R465">
        <v>214</v>
      </c>
      <c r="S465">
        <v>18.420000000000002</v>
      </c>
      <c r="T465" t="s">
        <v>30</v>
      </c>
    </row>
    <row r="466" spans="1:20" x14ac:dyDescent="0.3">
      <c r="A466" t="s">
        <v>31</v>
      </c>
      <c r="B466">
        <v>51</v>
      </c>
      <c r="C466">
        <v>116</v>
      </c>
      <c r="D466">
        <v>1.64</v>
      </c>
      <c r="E466">
        <v>43.1</v>
      </c>
      <c r="F466">
        <v>80.3</v>
      </c>
      <c r="G466" t="s">
        <v>410</v>
      </c>
      <c r="H466">
        <v>252</v>
      </c>
      <c r="I466">
        <v>49</v>
      </c>
      <c r="J466">
        <v>119</v>
      </c>
      <c r="K466" t="s">
        <v>23</v>
      </c>
      <c r="L466" t="s">
        <v>23</v>
      </c>
      <c r="M466" t="s">
        <v>28</v>
      </c>
      <c r="N466">
        <v>0.49</v>
      </c>
      <c r="O466">
        <v>93</v>
      </c>
      <c r="P466">
        <v>78</v>
      </c>
      <c r="Q466" t="s">
        <v>33</v>
      </c>
      <c r="R466">
        <v>173</v>
      </c>
      <c r="S466">
        <v>20.309999999999999</v>
      </c>
      <c r="T466" t="s">
        <v>30</v>
      </c>
    </row>
    <row r="467" spans="1:20" x14ac:dyDescent="0.3">
      <c r="A467" t="s">
        <v>20</v>
      </c>
      <c r="B467">
        <v>39</v>
      </c>
      <c r="C467">
        <v>91</v>
      </c>
      <c r="D467">
        <v>1.78</v>
      </c>
      <c r="E467">
        <v>28.7</v>
      </c>
      <c r="F467">
        <v>91</v>
      </c>
      <c r="G467" t="s">
        <v>55</v>
      </c>
      <c r="H467">
        <v>274</v>
      </c>
      <c r="I467">
        <v>62</v>
      </c>
      <c r="J467">
        <v>81</v>
      </c>
      <c r="K467" t="s">
        <v>23</v>
      </c>
      <c r="L467" t="s">
        <v>23</v>
      </c>
      <c r="M467" t="s">
        <v>28</v>
      </c>
      <c r="O467">
        <v>120</v>
      </c>
      <c r="P467">
        <v>89</v>
      </c>
      <c r="Q467" t="s">
        <v>29</v>
      </c>
      <c r="R467">
        <v>182</v>
      </c>
      <c r="T467" t="s">
        <v>30</v>
      </c>
    </row>
    <row r="468" spans="1:20" x14ac:dyDescent="0.3">
      <c r="A468" t="s">
        <v>20</v>
      </c>
      <c r="B468">
        <v>42</v>
      </c>
      <c r="C468">
        <v>106.3</v>
      </c>
      <c r="D468">
        <v>1.84</v>
      </c>
      <c r="E468">
        <v>31.4</v>
      </c>
      <c r="F468">
        <v>97.5</v>
      </c>
      <c r="G468" t="s">
        <v>154</v>
      </c>
      <c r="H468">
        <v>203</v>
      </c>
      <c r="I468">
        <v>75</v>
      </c>
      <c r="J468">
        <v>146</v>
      </c>
      <c r="K468" t="s">
        <v>22</v>
      </c>
      <c r="L468" t="s">
        <v>23</v>
      </c>
      <c r="M468" t="s">
        <v>24</v>
      </c>
      <c r="N468">
        <v>0.53</v>
      </c>
      <c r="O468">
        <v>149</v>
      </c>
      <c r="P468">
        <v>66</v>
      </c>
      <c r="Q468" t="s">
        <v>38</v>
      </c>
      <c r="S468">
        <v>19.79</v>
      </c>
      <c r="T468" t="s">
        <v>30</v>
      </c>
    </row>
    <row r="469" spans="1:20" x14ac:dyDescent="0.3">
      <c r="A469" t="s">
        <v>31</v>
      </c>
      <c r="B469">
        <v>31</v>
      </c>
      <c r="C469">
        <v>112.9</v>
      </c>
      <c r="D469">
        <v>1.69</v>
      </c>
      <c r="E469">
        <v>39.5</v>
      </c>
      <c r="F469">
        <v>84.4</v>
      </c>
      <c r="G469" t="s">
        <v>198</v>
      </c>
      <c r="H469">
        <v>132</v>
      </c>
      <c r="I469">
        <v>74</v>
      </c>
      <c r="J469">
        <v>92</v>
      </c>
      <c r="K469" t="s">
        <v>22</v>
      </c>
      <c r="L469" t="s">
        <v>23</v>
      </c>
      <c r="M469" t="s">
        <v>24</v>
      </c>
      <c r="N469">
        <v>0.499</v>
      </c>
      <c r="O469">
        <v>125</v>
      </c>
      <c r="P469">
        <v>73</v>
      </c>
      <c r="Q469" t="s">
        <v>25</v>
      </c>
      <c r="R469">
        <v>28</v>
      </c>
      <c r="S469">
        <v>18.79</v>
      </c>
      <c r="T469" t="s">
        <v>30</v>
      </c>
    </row>
    <row r="470" spans="1:20" x14ac:dyDescent="0.3">
      <c r="A470" t="s">
        <v>31</v>
      </c>
      <c r="B470">
        <v>31</v>
      </c>
      <c r="C470">
        <v>67.5</v>
      </c>
      <c r="D470">
        <v>1.86</v>
      </c>
      <c r="E470">
        <v>19.5</v>
      </c>
      <c r="F470">
        <v>87.7</v>
      </c>
      <c r="G470" t="s">
        <v>455</v>
      </c>
      <c r="H470">
        <v>101</v>
      </c>
      <c r="I470">
        <v>67</v>
      </c>
      <c r="J470">
        <v>103</v>
      </c>
      <c r="K470" t="s">
        <v>23</v>
      </c>
      <c r="L470" t="s">
        <v>22</v>
      </c>
      <c r="M470" t="s">
        <v>24</v>
      </c>
      <c r="N470">
        <v>0.47199999999999998</v>
      </c>
      <c r="O470">
        <v>139</v>
      </c>
      <c r="P470">
        <v>82</v>
      </c>
      <c r="Q470" t="s">
        <v>29</v>
      </c>
      <c r="S470">
        <v>12.87</v>
      </c>
      <c r="T470" t="s">
        <v>26</v>
      </c>
    </row>
    <row r="471" spans="1:20" x14ac:dyDescent="0.3">
      <c r="A471" t="s">
        <v>20</v>
      </c>
      <c r="B471">
        <v>37</v>
      </c>
      <c r="C471">
        <v>73.2</v>
      </c>
      <c r="D471">
        <v>1.65</v>
      </c>
      <c r="E471">
        <v>26.9</v>
      </c>
      <c r="F471">
        <v>91</v>
      </c>
      <c r="G471" t="s">
        <v>456</v>
      </c>
      <c r="H471">
        <v>109</v>
      </c>
      <c r="I471">
        <v>69</v>
      </c>
      <c r="J471">
        <v>90</v>
      </c>
      <c r="K471" t="s">
        <v>23</v>
      </c>
      <c r="L471" t="s">
        <v>23</v>
      </c>
      <c r="M471" t="s">
        <v>24</v>
      </c>
      <c r="N471">
        <v>0.55200000000000005</v>
      </c>
      <c r="O471">
        <v>141</v>
      </c>
      <c r="P471">
        <v>82</v>
      </c>
      <c r="Q471" t="s">
        <v>29</v>
      </c>
      <c r="R471">
        <v>10</v>
      </c>
      <c r="S471">
        <v>16.61</v>
      </c>
      <c r="T471" t="s">
        <v>30</v>
      </c>
    </row>
    <row r="472" spans="1:20" x14ac:dyDescent="0.3">
      <c r="A472" t="s">
        <v>20</v>
      </c>
      <c r="C472">
        <v>73.7</v>
      </c>
      <c r="D472">
        <v>1.7</v>
      </c>
      <c r="E472">
        <v>25.5</v>
      </c>
      <c r="F472">
        <v>84.2</v>
      </c>
      <c r="G472" t="s">
        <v>457</v>
      </c>
      <c r="H472">
        <v>192</v>
      </c>
      <c r="I472">
        <v>74</v>
      </c>
      <c r="J472">
        <v>144</v>
      </c>
      <c r="K472" t="s">
        <v>23</v>
      </c>
      <c r="L472" t="s">
        <v>23</v>
      </c>
      <c r="M472" t="s">
        <v>37</v>
      </c>
      <c r="N472">
        <v>0.495</v>
      </c>
      <c r="O472">
        <v>129</v>
      </c>
      <c r="P472">
        <v>92</v>
      </c>
      <c r="Q472" t="s">
        <v>38</v>
      </c>
      <c r="R472">
        <v>88</v>
      </c>
      <c r="S472">
        <v>17.39</v>
      </c>
      <c r="T472" t="s">
        <v>30</v>
      </c>
    </row>
    <row r="473" spans="1:20" x14ac:dyDescent="0.3">
      <c r="A473" t="s">
        <v>31</v>
      </c>
      <c r="B473">
        <v>32</v>
      </c>
      <c r="C473">
        <v>111.8</v>
      </c>
      <c r="E473">
        <v>41.6</v>
      </c>
      <c r="F473">
        <v>95.8</v>
      </c>
      <c r="G473" t="s">
        <v>458</v>
      </c>
      <c r="H473">
        <v>199</v>
      </c>
      <c r="I473">
        <v>41</v>
      </c>
      <c r="J473">
        <v>122</v>
      </c>
      <c r="K473" t="s">
        <v>23</v>
      </c>
      <c r="L473" t="s">
        <v>22</v>
      </c>
      <c r="M473" t="s">
        <v>28</v>
      </c>
      <c r="N473">
        <v>0.58399999999999996</v>
      </c>
      <c r="O473">
        <v>95</v>
      </c>
      <c r="P473">
        <v>96</v>
      </c>
      <c r="Q473" t="s">
        <v>38</v>
      </c>
      <c r="R473">
        <v>128</v>
      </c>
      <c r="S473">
        <v>17.05</v>
      </c>
      <c r="T473" t="s">
        <v>26</v>
      </c>
    </row>
    <row r="474" spans="1:20" x14ac:dyDescent="0.3">
      <c r="A474" t="s">
        <v>20</v>
      </c>
      <c r="B474">
        <v>37</v>
      </c>
      <c r="C474">
        <v>92.9</v>
      </c>
      <c r="D474">
        <v>1.87</v>
      </c>
      <c r="E474">
        <v>26.6</v>
      </c>
      <c r="F474">
        <v>71.8</v>
      </c>
      <c r="G474" t="s">
        <v>459</v>
      </c>
      <c r="H474">
        <v>115</v>
      </c>
      <c r="I474">
        <v>79</v>
      </c>
      <c r="J474">
        <v>125</v>
      </c>
      <c r="K474" t="s">
        <v>22</v>
      </c>
      <c r="L474" t="s">
        <v>22</v>
      </c>
      <c r="M474" t="s">
        <v>28</v>
      </c>
      <c r="N474">
        <v>0.38400000000000001</v>
      </c>
      <c r="O474">
        <v>113</v>
      </c>
      <c r="P474">
        <v>79</v>
      </c>
      <c r="Q474" t="s">
        <v>33</v>
      </c>
      <c r="R474">
        <v>6</v>
      </c>
      <c r="S474">
        <v>13.27</v>
      </c>
      <c r="T474" t="s">
        <v>26</v>
      </c>
    </row>
    <row r="475" spans="1:20" x14ac:dyDescent="0.3">
      <c r="A475" t="s">
        <v>20</v>
      </c>
      <c r="B475">
        <v>57</v>
      </c>
      <c r="C475">
        <v>106.3</v>
      </c>
      <c r="D475">
        <v>1.88</v>
      </c>
      <c r="E475">
        <v>30.1</v>
      </c>
      <c r="F475">
        <v>102.2</v>
      </c>
      <c r="G475" t="s">
        <v>460</v>
      </c>
      <c r="I475">
        <v>40</v>
      </c>
      <c r="J475">
        <v>82</v>
      </c>
      <c r="K475" t="s">
        <v>22</v>
      </c>
      <c r="L475" t="s">
        <v>23</v>
      </c>
      <c r="M475" t="s">
        <v>28</v>
      </c>
      <c r="N475">
        <v>0.54400000000000004</v>
      </c>
      <c r="O475">
        <v>140</v>
      </c>
      <c r="P475">
        <v>98</v>
      </c>
      <c r="Q475" t="s">
        <v>38</v>
      </c>
      <c r="R475">
        <v>74</v>
      </c>
      <c r="S475">
        <v>17.899999999999999</v>
      </c>
      <c r="T475" t="s">
        <v>26</v>
      </c>
    </row>
    <row r="476" spans="1:20" x14ac:dyDescent="0.3">
      <c r="A476" t="s">
        <v>20</v>
      </c>
      <c r="B476">
        <v>56</v>
      </c>
      <c r="C476">
        <v>50.4</v>
      </c>
      <c r="D476">
        <v>1.61</v>
      </c>
      <c r="E476">
        <v>19.399999999999999</v>
      </c>
      <c r="F476">
        <v>97.3</v>
      </c>
      <c r="G476" t="s">
        <v>461</v>
      </c>
      <c r="H476">
        <v>104</v>
      </c>
      <c r="I476">
        <v>39</v>
      </c>
      <c r="J476">
        <v>117</v>
      </c>
      <c r="K476" t="s">
        <v>22</v>
      </c>
      <c r="L476" t="s">
        <v>23</v>
      </c>
      <c r="M476" t="s">
        <v>28</v>
      </c>
      <c r="N476">
        <v>0.60399999999999998</v>
      </c>
      <c r="P476">
        <v>73</v>
      </c>
      <c r="Q476" t="s">
        <v>33</v>
      </c>
      <c r="R476">
        <v>35</v>
      </c>
      <c r="S476">
        <v>13.26</v>
      </c>
      <c r="T476" t="s">
        <v>26</v>
      </c>
    </row>
    <row r="477" spans="1:20" x14ac:dyDescent="0.3">
      <c r="A477" t="s">
        <v>31</v>
      </c>
      <c r="B477">
        <v>60</v>
      </c>
      <c r="C477">
        <v>110.4</v>
      </c>
      <c r="D477">
        <v>1.68</v>
      </c>
      <c r="E477">
        <v>39.1</v>
      </c>
      <c r="F477">
        <v>102.1</v>
      </c>
      <c r="G477" t="s">
        <v>462</v>
      </c>
      <c r="H477">
        <v>113</v>
      </c>
      <c r="I477">
        <v>59</v>
      </c>
      <c r="J477">
        <v>136</v>
      </c>
      <c r="K477" t="s">
        <v>23</v>
      </c>
      <c r="L477" t="s">
        <v>23</v>
      </c>
      <c r="M477" t="s">
        <v>28</v>
      </c>
      <c r="N477">
        <v>0.60799999999999998</v>
      </c>
      <c r="O477">
        <v>115</v>
      </c>
      <c r="Q477" t="s">
        <v>38</v>
      </c>
      <c r="R477">
        <v>24</v>
      </c>
      <c r="S477">
        <v>17.829999999999998</v>
      </c>
      <c r="T477" t="s">
        <v>30</v>
      </c>
    </row>
    <row r="478" spans="1:20" x14ac:dyDescent="0.3">
      <c r="A478" t="s">
        <v>20</v>
      </c>
      <c r="B478">
        <v>54</v>
      </c>
      <c r="C478">
        <v>51.8</v>
      </c>
      <c r="D478">
        <v>1.61</v>
      </c>
      <c r="E478">
        <v>20</v>
      </c>
      <c r="F478">
        <v>73.5</v>
      </c>
      <c r="G478" t="s">
        <v>227</v>
      </c>
      <c r="H478">
        <v>209</v>
      </c>
      <c r="I478">
        <v>41</v>
      </c>
      <c r="K478" t="s">
        <v>23</v>
      </c>
      <c r="L478" t="s">
        <v>23</v>
      </c>
      <c r="M478" t="s">
        <v>37</v>
      </c>
      <c r="N478">
        <v>0.45700000000000002</v>
      </c>
      <c r="O478">
        <v>143</v>
      </c>
      <c r="P478">
        <v>89</v>
      </c>
      <c r="Q478" t="s">
        <v>29</v>
      </c>
      <c r="R478">
        <v>138</v>
      </c>
      <c r="S478">
        <v>17.329999999999998</v>
      </c>
      <c r="T478" t="s">
        <v>30</v>
      </c>
    </row>
    <row r="479" spans="1:20" x14ac:dyDescent="0.3">
      <c r="A479" t="s">
        <v>20</v>
      </c>
      <c r="B479">
        <v>36</v>
      </c>
      <c r="C479">
        <v>84.2</v>
      </c>
      <c r="D479">
        <v>1.66</v>
      </c>
      <c r="E479">
        <v>30.6</v>
      </c>
      <c r="F479">
        <v>96.1</v>
      </c>
      <c r="G479" t="s">
        <v>147</v>
      </c>
      <c r="H479">
        <v>281</v>
      </c>
      <c r="I479">
        <v>59</v>
      </c>
      <c r="J479">
        <v>136</v>
      </c>
      <c r="K479" t="s">
        <v>22</v>
      </c>
      <c r="L479" t="s">
        <v>23</v>
      </c>
      <c r="M479" t="s">
        <v>28</v>
      </c>
      <c r="N479">
        <v>0.57899999999999996</v>
      </c>
      <c r="O479">
        <v>139</v>
      </c>
      <c r="P479">
        <v>61</v>
      </c>
      <c r="Q479" t="s">
        <v>29</v>
      </c>
      <c r="R479">
        <v>192</v>
      </c>
      <c r="S479">
        <v>20.69</v>
      </c>
      <c r="T479" t="s">
        <v>26</v>
      </c>
    </row>
    <row r="480" spans="1:20" x14ac:dyDescent="0.3">
      <c r="A480" t="s">
        <v>31</v>
      </c>
      <c r="B480">
        <v>58</v>
      </c>
      <c r="D480">
        <v>1.87</v>
      </c>
      <c r="E480">
        <v>33.799999999999997</v>
      </c>
      <c r="F480">
        <v>99.6</v>
      </c>
      <c r="G480" t="s">
        <v>463</v>
      </c>
      <c r="H480">
        <v>106</v>
      </c>
      <c r="J480">
        <v>115</v>
      </c>
      <c r="K480" t="s">
        <v>23</v>
      </c>
      <c r="L480" t="s">
        <v>23</v>
      </c>
      <c r="M480" t="s">
        <v>24</v>
      </c>
      <c r="N480">
        <v>0.53300000000000003</v>
      </c>
      <c r="P480">
        <v>91</v>
      </c>
      <c r="Q480" t="s">
        <v>38</v>
      </c>
      <c r="R480">
        <v>33</v>
      </c>
      <c r="S480">
        <v>16.53</v>
      </c>
      <c r="T480" t="s">
        <v>30</v>
      </c>
    </row>
    <row r="481" spans="1:20" x14ac:dyDescent="0.3">
      <c r="A481" t="s">
        <v>20</v>
      </c>
      <c r="B481">
        <v>40</v>
      </c>
      <c r="C481">
        <v>86.8</v>
      </c>
      <c r="D481">
        <v>1.81</v>
      </c>
      <c r="E481">
        <v>26.5</v>
      </c>
      <c r="F481">
        <v>101.6</v>
      </c>
      <c r="G481" t="s">
        <v>464</v>
      </c>
      <c r="H481">
        <v>128</v>
      </c>
      <c r="J481">
        <v>140</v>
      </c>
      <c r="K481" t="s">
        <v>22</v>
      </c>
      <c r="L481" t="s">
        <v>22</v>
      </c>
      <c r="M481" t="s">
        <v>28</v>
      </c>
      <c r="N481">
        <v>0.56100000000000005</v>
      </c>
      <c r="O481">
        <v>92</v>
      </c>
      <c r="P481">
        <v>66</v>
      </c>
      <c r="Q481" t="s">
        <v>33</v>
      </c>
      <c r="R481">
        <v>49</v>
      </c>
      <c r="S481">
        <v>12.46</v>
      </c>
      <c r="T481" t="s">
        <v>26</v>
      </c>
    </row>
    <row r="482" spans="1:20" x14ac:dyDescent="0.3">
      <c r="A482" t="s">
        <v>20</v>
      </c>
      <c r="B482">
        <v>55</v>
      </c>
      <c r="C482">
        <v>82.4</v>
      </c>
      <c r="D482">
        <v>1.6</v>
      </c>
      <c r="E482">
        <v>32.200000000000003</v>
      </c>
      <c r="G482" t="s">
        <v>465</v>
      </c>
      <c r="H482">
        <v>175</v>
      </c>
      <c r="I482">
        <v>73</v>
      </c>
      <c r="J482">
        <v>148</v>
      </c>
      <c r="K482" t="s">
        <v>22</v>
      </c>
      <c r="L482" t="s">
        <v>22</v>
      </c>
      <c r="M482" t="s">
        <v>37</v>
      </c>
      <c r="O482">
        <v>115</v>
      </c>
      <c r="P482">
        <v>75</v>
      </c>
      <c r="Q482" t="s">
        <v>33</v>
      </c>
      <c r="S482">
        <v>15.69</v>
      </c>
      <c r="T482" t="s">
        <v>26</v>
      </c>
    </row>
    <row r="483" spans="1:20" x14ac:dyDescent="0.3">
      <c r="A483" t="s">
        <v>31</v>
      </c>
      <c r="B483">
        <v>42</v>
      </c>
      <c r="C483">
        <v>110.5</v>
      </c>
      <c r="D483">
        <v>1.61</v>
      </c>
      <c r="E483">
        <v>42.6</v>
      </c>
      <c r="F483">
        <v>96.1</v>
      </c>
      <c r="G483" t="s">
        <v>466</v>
      </c>
      <c r="H483">
        <v>114</v>
      </c>
      <c r="I483">
        <v>77</v>
      </c>
      <c r="J483">
        <v>115</v>
      </c>
      <c r="K483" t="s">
        <v>22</v>
      </c>
      <c r="L483" t="s">
        <v>22</v>
      </c>
      <c r="M483" t="s">
        <v>37</v>
      </c>
      <c r="N483">
        <v>0.59699999999999998</v>
      </c>
      <c r="O483">
        <v>132</v>
      </c>
      <c r="P483">
        <v>69</v>
      </c>
      <c r="Q483" t="s">
        <v>29</v>
      </c>
      <c r="R483">
        <v>7</v>
      </c>
      <c r="S483">
        <v>17.399999999999999</v>
      </c>
      <c r="T483" t="s">
        <v>26</v>
      </c>
    </row>
    <row r="484" spans="1:20" x14ac:dyDescent="0.3">
      <c r="A484" t="s">
        <v>31</v>
      </c>
      <c r="B484">
        <v>42</v>
      </c>
      <c r="C484">
        <v>107.5</v>
      </c>
      <c r="D484">
        <v>1.65</v>
      </c>
      <c r="E484">
        <v>39.5</v>
      </c>
      <c r="F484">
        <v>106.7</v>
      </c>
      <c r="G484" t="s">
        <v>467</v>
      </c>
      <c r="H484">
        <v>186</v>
      </c>
      <c r="I484">
        <v>79</v>
      </c>
      <c r="J484">
        <v>73</v>
      </c>
      <c r="K484" t="s">
        <v>22</v>
      </c>
      <c r="L484" t="s">
        <v>23</v>
      </c>
      <c r="M484" t="s">
        <v>28</v>
      </c>
      <c r="N484">
        <v>0.64700000000000002</v>
      </c>
      <c r="O484">
        <v>103</v>
      </c>
      <c r="Q484" t="s">
        <v>33</v>
      </c>
      <c r="R484">
        <v>77</v>
      </c>
      <c r="S484">
        <v>18.77</v>
      </c>
      <c r="T484" t="s">
        <v>26</v>
      </c>
    </row>
    <row r="485" spans="1:20" x14ac:dyDescent="0.3">
      <c r="A485" t="s">
        <v>31</v>
      </c>
      <c r="B485">
        <v>35</v>
      </c>
      <c r="C485">
        <v>107.8</v>
      </c>
      <c r="D485">
        <v>1.82</v>
      </c>
      <c r="E485">
        <v>32.5</v>
      </c>
      <c r="F485">
        <v>87.8</v>
      </c>
      <c r="G485" t="s">
        <v>405</v>
      </c>
      <c r="J485">
        <v>103</v>
      </c>
      <c r="K485" t="s">
        <v>23</v>
      </c>
      <c r="L485" t="s">
        <v>23</v>
      </c>
      <c r="M485" t="s">
        <v>28</v>
      </c>
      <c r="N485">
        <v>0.48199999999999998</v>
      </c>
      <c r="O485">
        <v>97</v>
      </c>
      <c r="P485">
        <v>71</v>
      </c>
      <c r="Q485" t="s">
        <v>33</v>
      </c>
      <c r="R485">
        <v>39</v>
      </c>
      <c r="S485">
        <v>15.87</v>
      </c>
      <c r="T485" t="s">
        <v>26</v>
      </c>
    </row>
    <row r="486" spans="1:20" x14ac:dyDescent="0.3">
      <c r="A486" t="s">
        <v>20</v>
      </c>
      <c r="B486">
        <v>51</v>
      </c>
      <c r="C486">
        <v>86.9</v>
      </c>
      <c r="D486">
        <v>1.76</v>
      </c>
      <c r="E486">
        <v>28.1</v>
      </c>
      <c r="G486" t="s">
        <v>468</v>
      </c>
      <c r="H486">
        <v>179</v>
      </c>
      <c r="I486">
        <v>37</v>
      </c>
      <c r="J486">
        <v>96</v>
      </c>
      <c r="K486" t="s">
        <v>22</v>
      </c>
      <c r="L486" t="s">
        <v>23</v>
      </c>
      <c r="M486" t="s">
        <v>24</v>
      </c>
      <c r="N486">
        <v>0.53200000000000003</v>
      </c>
      <c r="O486">
        <v>96</v>
      </c>
      <c r="P486">
        <v>78</v>
      </c>
      <c r="Q486" t="s">
        <v>33</v>
      </c>
      <c r="R486">
        <v>112</v>
      </c>
      <c r="S486">
        <v>16</v>
      </c>
      <c r="T486" t="s">
        <v>30</v>
      </c>
    </row>
    <row r="487" spans="1:20" x14ac:dyDescent="0.3">
      <c r="A487" t="s">
        <v>20</v>
      </c>
      <c r="B487">
        <v>47</v>
      </c>
      <c r="C487">
        <v>55.7</v>
      </c>
      <c r="D487">
        <v>1.76</v>
      </c>
      <c r="E487">
        <v>18</v>
      </c>
      <c r="F487">
        <v>106.8</v>
      </c>
      <c r="G487" t="s">
        <v>469</v>
      </c>
      <c r="H487">
        <v>105</v>
      </c>
      <c r="I487">
        <v>31</v>
      </c>
      <c r="J487">
        <v>146</v>
      </c>
      <c r="K487" t="s">
        <v>23</v>
      </c>
      <c r="L487" t="s">
        <v>22</v>
      </c>
      <c r="M487" t="s">
        <v>24</v>
      </c>
      <c r="N487">
        <v>0.60699999999999998</v>
      </c>
      <c r="O487">
        <v>111</v>
      </c>
      <c r="P487">
        <v>85</v>
      </c>
      <c r="Q487" t="s">
        <v>29</v>
      </c>
      <c r="R487">
        <v>44</v>
      </c>
      <c r="S487">
        <v>11.25</v>
      </c>
      <c r="T487" t="s">
        <v>30</v>
      </c>
    </row>
    <row r="488" spans="1:20" x14ac:dyDescent="0.3">
      <c r="A488" t="s">
        <v>20</v>
      </c>
      <c r="B488">
        <v>34</v>
      </c>
      <c r="C488">
        <v>52.9</v>
      </c>
      <c r="D488">
        <v>1.88</v>
      </c>
      <c r="E488">
        <v>15</v>
      </c>
      <c r="F488">
        <v>75.099999999999994</v>
      </c>
      <c r="G488" t="s">
        <v>470</v>
      </c>
      <c r="H488">
        <v>203</v>
      </c>
      <c r="I488">
        <v>70</v>
      </c>
      <c r="J488">
        <v>124</v>
      </c>
      <c r="K488" t="s">
        <v>23</v>
      </c>
      <c r="L488" t="s">
        <v>22</v>
      </c>
      <c r="M488" t="s">
        <v>28</v>
      </c>
      <c r="N488">
        <v>0.39900000000000002</v>
      </c>
      <c r="O488">
        <v>132</v>
      </c>
      <c r="P488">
        <v>95</v>
      </c>
      <c r="Q488" t="s">
        <v>29</v>
      </c>
      <c r="R488">
        <v>103</v>
      </c>
      <c r="S488">
        <v>13.66</v>
      </c>
      <c r="T488" t="s">
        <v>26</v>
      </c>
    </row>
    <row r="489" spans="1:20" x14ac:dyDescent="0.3">
      <c r="A489" t="s">
        <v>20</v>
      </c>
      <c r="B489">
        <v>57</v>
      </c>
      <c r="C489">
        <v>58.5</v>
      </c>
      <c r="D489">
        <v>1.82</v>
      </c>
      <c r="E489">
        <v>17.7</v>
      </c>
      <c r="F489">
        <v>83.9</v>
      </c>
      <c r="G489" t="s">
        <v>471</v>
      </c>
      <c r="I489">
        <v>55</v>
      </c>
      <c r="J489">
        <v>112</v>
      </c>
      <c r="K489" t="s">
        <v>22</v>
      </c>
      <c r="L489" t="s">
        <v>22</v>
      </c>
      <c r="M489" t="s">
        <v>37</v>
      </c>
      <c r="N489">
        <v>0.46100000000000002</v>
      </c>
      <c r="O489">
        <v>97</v>
      </c>
      <c r="P489">
        <v>80</v>
      </c>
      <c r="Q489" t="s">
        <v>29</v>
      </c>
      <c r="R489">
        <v>206</v>
      </c>
      <c r="S489">
        <v>14.21</v>
      </c>
      <c r="T489" t="s">
        <v>26</v>
      </c>
    </row>
    <row r="490" spans="1:20" x14ac:dyDescent="0.3">
      <c r="A490" t="s">
        <v>20</v>
      </c>
      <c r="B490">
        <v>39</v>
      </c>
      <c r="C490">
        <v>65.7</v>
      </c>
      <c r="D490">
        <v>1.81</v>
      </c>
      <c r="E490">
        <v>20.100000000000001</v>
      </c>
      <c r="F490">
        <v>102.4</v>
      </c>
      <c r="G490" t="s">
        <v>472</v>
      </c>
      <c r="H490">
        <v>297</v>
      </c>
      <c r="I490">
        <v>65</v>
      </c>
      <c r="J490">
        <v>115</v>
      </c>
      <c r="K490" t="s">
        <v>22</v>
      </c>
      <c r="L490" t="s">
        <v>23</v>
      </c>
      <c r="M490" t="s">
        <v>24</v>
      </c>
      <c r="N490">
        <v>0.56599999999999995</v>
      </c>
      <c r="O490">
        <v>92</v>
      </c>
      <c r="P490">
        <v>96</v>
      </c>
      <c r="Q490" t="s">
        <v>38</v>
      </c>
      <c r="R490">
        <v>202</v>
      </c>
      <c r="S490">
        <v>16.559999999999999</v>
      </c>
      <c r="T490" t="s">
        <v>30</v>
      </c>
    </row>
    <row r="491" spans="1:20" x14ac:dyDescent="0.3">
      <c r="A491" t="s">
        <v>31</v>
      </c>
      <c r="B491">
        <v>57</v>
      </c>
      <c r="C491">
        <v>53.1</v>
      </c>
      <c r="D491">
        <v>1.63</v>
      </c>
      <c r="E491">
        <v>20</v>
      </c>
      <c r="F491">
        <v>105.9</v>
      </c>
      <c r="G491" t="s">
        <v>166</v>
      </c>
      <c r="H491">
        <v>153</v>
      </c>
      <c r="I491">
        <v>80</v>
      </c>
      <c r="J491">
        <v>114</v>
      </c>
      <c r="K491" t="s">
        <v>22</v>
      </c>
      <c r="L491" t="s">
        <v>23</v>
      </c>
      <c r="M491" t="s">
        <v>24</v>
      </c>
      <c r="N491">
        <v>0.65</v>
      </c>
      <c r="O491">
        <v>140</v>
      </c>
      <c r="P491">
        <v>85</v>
      </c>
      <c r="Q491" t="s">
        <v>29</v>
      </c>
      <c r="R491">
        <v>43</v>
      </c>
      <c r="T491" t="s">
        <v>30</v>
      </c>
    </row>
    <row r="492" spans="1:20" x14ac:dyDescent="0.3">
      <c r="A492" t="s">
        <v>31</v>
      </c>
      <c r="B492">
        <v>30</v>
      </c>
      <c r="C492">
        <v>106.2</v>
      </c>
      <c r="D492">
        <v>1.87</v>
      </c>
      <c r="E492">
        <v>30.4</v>
      </c>
      <c r="F492">
        <v>105.5</v>
      </c>
      <c r="G492" t="s">
        <v>190</v>
      </c>
      <c r="H492">
        <v>268</v>
      </c>
      <c r="I492">
        <v>50</v>
      </c>
      <c r="J492">
        <v>139</v>
      </c>
      <c r="K492" t="s">
        <v>23</v>
      </c>
      <c r="L492" t="s">
        <v>23</v>
      </c>
      <c r="M492" t="s">
        <v>37</v>
      </c>
      <c r="N492">
        <v>0.56399999999999995</v>
      </c>
      <c r="P492">
        <v>92</v>
      </c>
      <c r="Q492" t="s">
        <v>38</v>
      </c>
      <c r="R492">
        <v>188</v>
      </c>
      <c r="S492">
        <v>19.39</v>
      </c>
      <c r="T492" t="s">
        <v>30</v>
      </c>
    </row>
    <row r="493" spans="1:20" x14ac:dyDescent="0.3">
      <c r="A493" t="s">
        <v>20</v>
      </c>
      <c r="B493">
        <v>51</v>
      </c>
      <c r="C493">
        <v>118.4</v>
      </c>
      <c r="D493">
        <v>1.9</v>
      </c>
      <c r="E493">
        <v>32.799999999999997</v>
      </c>
      <c r="F493">
        <v>80.900000000000006</v>
      </c>
      <c r="G493" t="s">
        <v>473</v>
      </c>
      <c r="H493">
        <v>202</v>
      </c>
      <c r="I493">
        <v>48</v>
      </c>
      <c r="J493">
        <v>148</v>
      </c>
      <c r="K493" t="s">
        <v>22</v>
      </c>
      <c r="L493" t="s">
        <v>23</v>
      </c>
      <c r="M493" t="s">
        <v>28</v>
      </c>
      <c r="N493">
        <v>0.42599999999999999</v>
      </c>
      <c r="O493">
        <v>91</v>
      </c>
      <c r="P493">
        <v>71</v>
      </c>
      <c r="Q493" t="s">
        <v>33</v>
      </c>
      <c r="R493">
        <v>124</v>
      </c>
      <c r="S493">
        <v>17.149999999999999</v>
      </c>
      <c r="T493" t="s">
        <v>30</v>
      </c>
    </row>
    <row r="494" spans="1:20" x14ac:dyDescent="0.3">
      <c r="A494" t="s">
        <v>31</v>
      </c>
      <c r="B494">
        <v>55</v>
      </c>
      <c r="C494">
        <v>70.2</v>
      </c>
      <c r="D494">
        <v>1.72</v>
      </c>
      <c r="E494">
        <v>23.7</v>
      </c>
      <c r="F494">
        <v>70</v>
      </c>
      <c r="G494" t="s">
        <v>268</v>
      </c>
      <c r="H494">
        <v>300</v>
      </c>
      <c r="I494">
        <v>77</v>
      </c>
      <c r="J494">
        <v>141</v>
      </c>
      <c r="K494" t="s">
        <v>23</v>
      </c>
      <c r="L494" t="s">
        <v>22</v>
      </c>
      <c r="M494" t="s">
        <v>28</v>
      </c>
      <c r="N494">
        <v>0.40699999999999997</v>
      </c>
      <c r="O494">
        <v>121</v>
      </c>
      <c r="Q494" t="s">
        <v>25</v>
      </c>
      <c r="R494">
        <v>193</v>
      </c>
      <c r="S494">
        <v>16.79</v>
      </c>
      <c r="T494" t="s">
        <v>30</v>
      </c>
    </row>
    <row r="495" spans="1:20" x14ac:dyDescent="0.3">
      <c r="A495" t="s">
        <v>20</v>
      </c>
      <c r="B495">
        <v>46</v>
      </c>
      <c r="C495">
        <v>76.099999999999994</v>
      </c>
      <c r="D495">
        <v>1.88</v>
      </c>
      <c r="E495">
        <v>21.5</v>
      </c>
      <c r="F495">
        <v>98.2</v>
      </c>
      <c r="G495" t="s">
        <v>474</v>
      </c>
      <c r="H495">
        <v>149</v>
      </c>
      <c r="I495">
        <v>64</v>
      </c>
      <c r="J495">
        <v>105</v>
      </c>
      <c r="K495" t="s">
        <v>23</v>
      </c>
      <c r="L495" t="s">
        <v>22</v>
      </c>
      <c r="M495" t="s">
        <v>24</v>
      </c>
      <c r="N495">
        <v>0.52200000000000002</v>
      </c>
      <c r="O495">
        <v>98</v>
      </c>
      <c r="P495">
        <v>90</v>
      </c>
      <c r="Q495" t="s">
        <v>38</v>
      </c>
      <c r="R495">
        <v>55</v>
      </c>
      <c r="S495">
        <v>12.18</v>
      </c>
      <c r="T495" t="s">
        <v>30</v>
      </c>
    </row>
    <row r="496" spans="1:20" x14ac:dyDescent="0.3">
      <c r="A496" t="s">
        <v>20</v>
      </c>
      <c r="B496">
        <v>57</v>
      </c>
      <c r="C496">
        <v>104.8</v>
      </c>
      <c r="D496">
        <v>1.84</v>
      </c>
      <c r="E496">
        <v>31</v>
      </c>
      <c r="F496">
        <v>104.6</v>
      </c>
      <c r="G496" t="s">
        <v>475</v>
      </c>
      <c r="H496">
        <v>192</v>
      </c>
      <c r="I496">
        <v>78</v>
      </c>
      <c r="J496">
        <v>106</v>
      </c>
      <c r="K496" t="s">
        <v>23</v>
      </c>
      <c r="L496" t="s">
        <v>23</v>
      </c>
      <c r="M496" t="s">
        <v>28</v>
      </c>
      <c r="N496">
        <v>0.56799999999999995</v>
      </c>
      <c r="O496">
        <v>150</v>
      </c>
      <c r="P496">
        <v>97</v>
      </c>
      <c r="Q496" t="s">
        <v>38</v>
      </c>
      <c r="R496">
        <v>84</v>
      </c>
      <c r="S496">
        <v>19.54</v>
      </c>
      <c r="T496" t="s">
        <v>30</v>
      </c>
    </row>
    <row r="497" spans="1:20" x14ac:dyDescent="0.3">
      <c r="A497" t="s">
        <v>31</v>
      </c>
      <c r="B497">
        <v>35</v>
      </c>
      <c r="C497">
        <v>50.4</v>
      </c>
      <c r="D497">
        <v>1.67</v>
      </c>
      <c r="E497">
        <v>18.100000000000001</v>
      </c>
      <c r="F497">
        <v>108.8</v>
      </c>
      <c r="G497" t="s">
        <v>476</v>
      </c>
      <c r="I497">
        <v>39</v>
      </c>
      <c r="J497">
        <v>144</v>
      </c>
      <c r="K497" t="s">
        <v>23</v>
      </c>
      <c r="L497" t="s">
        <v>22</v>
      </c>
      <c r="M497" t="s">
        <v>37</v>
      </c>
      <c r="N497">
        <v>0.65100000000000002</v>
      </c>
      <c r="O497">
        <v>133</v>
      </c>
      <c r="P497">
        <v>71</v>
      </c>
      <c r="Q497" t="s">
        <v>29</v>
      </c>
      <c r="R497">
        <v>188</v>
      </c>
      <c r="S497">
        <v>15.41</v>
      </c>
      <c r="T497" t="s">
        <v>30</v>
      </c>
    </row>
    <row r="498" spans="1:20" x14ac:dyDescent="0.3">
      <c r="A498" t="s">
        <v>31</v>
      </c>
      <c r="B498">
        <v>51</v>
      </c>
      <c r="C498">
        <v>113.8</v>
      </c>
      <c r="D498">
        <v>1.8</v>
      </c>
      <c r="E498">
        <v>35.1</v>
      </c>
      <c r="F498">
        <v>109</v>
      </c>
      <c r="G498" t="s">
        <v>477</v>
      </c>
      <c r="H498">
        <v>237</v>
      </c>
      <c r="I498">
        <v>40</v>
      </c>
      <c r="J498">
        <v>129</v>
      </c>
      <c r="K498" t="s">
        <v>23</v>
      </c>
      <c r="L498" t="s">
        <v>23</v>
      </c>
      <c r="M498" t="s">
        <v>28</v>
      </c>
      <c r="N498">
        <v>0.60599999999999998</v>
      </c>
      <c r="O498">
        <v>127</v>
      </c>
      <c r="P498">
        <v>80</v>
      </c>
      <c r="Q498" t="s">
        <v>29</v>
      </c>
      <c r="R498">
        <v>167</v>
      </c>
      <c r="S498">
        <v>20.11</v>
      </c>
      <c r="T498" t="s">
        <v>30</v>
      </c>
    </row>
    <row r="499" spans="1:20" x14ac:dyDescent="0.3">
      <c r="A499" t="s">
        <v>20</v>
      </c>
      <c r="B499">
        <v>58</v>
      </c>
      <c r="C499">
        <v>73.3</v>
      </c>
      <c r="D499">
        <v>1.87</v>
      </c>
      <c r="F499">
        <v>74.599999999999994</v>
      </c>
      <c r="G499" t="s">
        <v>459</v>
      </c>
      <c r="H499">
        <v>144</v>
      </c>
      <c r="I499">
        <v>73</v>
      </c>
      <c r="J499">
        <v>129</v>
      </c>
      <c r="K499" t="s">
        <v>22</v>
      </c>
      <c r="L499" t="s">
        <v>23</v>
      </c>
      <c r="M499" t="s">
        <v>37</v>
      </c>
      <c r="N499">
        <v>0.39900000000000002</v>
      </c>
      <c r="O499">
        <v>113</v>
      </c>
      <c r="P499">
        <v>79</v>
      </c>
      <c r="Q499" t="s">
        <v>33</v>
      </c>
      <c r="R499">
        <v>41</v>
      </c>
      <c r="S499">
        <v>14.73</v>
      </c>
      <c r="T499" t="s">
        <v>26</v>
      </c>
    </row>
    <row r="500" spans="1:20" x14ac:dyDescent="0.3">
      <c r="A500" t="s">
        <v>20</v>
      </c>
      <c r="B500">
        <v>36</v>
      </c>
      <c r="C500">
        <v>78.400000000000006</v>
      </c>
      <c r="D500">
        <v>1.89</v>
      </c>
      <c r="E500">
        <v>21.9</v>
      </c>
      <c r="F500">
        <v>106.4</v>
      </c>
      <c r="G500" t="s">
        <v>478</v>
      </c>
      <c r="H500">
        <v>295</v>
      </c>
      <c r="I500">
        <v>36</v>
      </c>
      <c r="J500">
        <v>77</v>
      </c>
      <c r="K500" t="s">
        <v>23</v>
      </c>
      <c r="L500" t="s">
        <v>23</v>
      </c>
      <c r="M500" t="s">
        <v>28</v>
      </c>
      <c r="N500">
        <v>0.56299999999999994</v>
      </c>
      <c r="O500">
        <v>143</v>
      </c>
      <c r="P500">
        <v>75</v>
      </c>
      <c r="Q500" t="s">
        <v>38</v>
      </c>
      <c r="R500">
        <v>229</v>
      </c>
      <c r="S500">
        <v>19.43</v>
      </c>
      <c r="T500" t="s">
        <v>30</v>
      </c>
    </row>
    <row r="501" spans="1:20" x14ac:dyDescent="0.3">
      <c r="A501" t="s">
        <v>31</v>
      </c>
      <c r="B501">
        <v>34</v>
      </c>
      <c r="C501">
        <v>103.8</v>
      </c>
      <c r="D501">
        <v>1.84</v>
      </c>
      <c r="E501">
        <v>30.7</v>
      </c>
      <c r="F501">
        <v>82.1</v>
      </c>
      <c r="G501" t="s">
        <v>479</v>
      </c>
      <c r="H501">
        <v>267</v>
      </c>
      <c r="I501">
        <v>68</v>
      </c>
      <c r="J501">
        <v>75</v>
      </c>
      <c r="K501" t="s">
        <v>22</v>
      </c>
      <c r="L501" t="s">
        <v>22</v>
      </c>
      <c r="M501" t="s">
        <v>37</v>
      </c>
      <c r="N501">
        <v>0.44600000000000001</v>
      </c>
      <c r="O501">
        <v>123</v>
      </c>
      <c r="P501">
        <v>87</v>
      </c>
      <c r="Q501" t="s">
        <v>29</v>
      </c>
      <c r="R501">
        <v>169</v>
      </c>
      <c r="S501">
        <v>17.63</v>
      </c>
      <c r="T501" t="s">
        <v>26</v>
      </c>
    </row>
    <row r="502" spans="1:20" x14ac:dyDescent="0.3">
      <c r="A502" t="s">
        <v>20</v>
      </c>
      <c r="B502">
        <v>30</v>
      </c>
      <c r="C502">
        <v>68</v>
      </c>
      <c r="D502">
        <v>1.86</v>
      </c>
      <c r="E502">
        <v>19.7</v>
      </c>
      <c r="F502">
        <v>72.5</v>
      </c>
      <c r="G502" t="s">
        <v>480</v>
      </c>
      <c r="H502">
        <v>267</v>
      </c>
      <c r="I502">
        <v>69</v>
      </c>
      <c r="J502">
        <v>101</v>
      </c>
      <c r="K502" t="s">
        <v>23</v>
      </c>
      <c r="L502" t="s">
        <v>23</v>
      </c>
      <c r="M502" t="s">
        <v>24</v>
      </c>
      <c r="N502">
        <v>0.39</v>
      </c>
      <c r="O502">
        <v>125</v>
      </c>
      <c r="P502">
        <v>63</v>
      </c>
      <c r="Q502" t="s">
        <v>25</v>
      </c>
      <c r="R502">
        <v>168</v>
      </c>
      <c r="S502">
        <v>17.53</v>
      </c>
      <c r="T502" t="s">
        <v>30</v>
      </c>
    </row>
    <row r="503" spans="1:20" x14ac:dyDescent="0.3">
      <c r="A503" t="s">
        <v>31</v>
      </c>
      <c r="B503">
        <v>38</v>
      </c>
      <c r="C503">
        <v>58.3</v>
      </c>
      <c r="D503">
        <v>1.81</v>
      </c>
      <c r="E503">
        <v>17.8</v>
      </c>
      <c r="F503">
        <v>94.4</v>
      </c>
      <c r="G503" t="s">
        <v>481</v>
      </c>
      <c r="H503">
        <v>182</v>
      </c>
      <c r="I503">
        <v>61</v>
      </c>
      <c r="J503">
        <v>125</v>
      </c>
      <c r="K503" t="s">
        <v>22</v>
      </c>
      <c r="L503" t="s">
        <v>23</v>
      </c>
      <c r="M503" t="s">
        <v>24</v>
      </c>
      <c r="N503">
        <v>0.52200000000000002</v>
      </c>
      <c r="P503">
        <v>71</v>
      </c>
      <c r="Q503" t="s">
        <v>33</v>
      </c>
      <c r="R503">
        <v>91</v>
      </c>
      <c r="S503">
        <v>14.95</v>
      </c>
      <c r="T503" t="s">
        <v>26</v>
      </c>
    </row>
    <row r="504" spans="1:20" x14ac:dyDescent="0.3">
      <c r="A504" t="s">
        <v>31</v>
      </c>
      <c r="B504">
        <v>51</v>
      </c>
      <c r="C504">
        <v>75.8</v>
      </c>
      <c r="D504">
        <v>1.9</v>
      </c>
      <c r="E504">
        <v>21</v>
      </c>
      <c r="F504">
        <v>96.8</v>
      </c>
      <c r="G504" t="s">
        <v>100</v>
      </c>
      <c r="H504">
        <v>280</v>
      </c>
      <c r="I504">
        <v>52</v>
      </c>
      <c r="J504">
        <v>91</v>
      </c>
      <c r="K504" t="s">
        <v>22</v>
      </c>
      <c r="L504" t="s">
        <v>23</v>
      </c>
      <c r="M504" t="s">
        <v>24</v>
      </c>
      <c r="N504">
        <v>0.50900000000000001</v>
      </c>
      <c r="O504">
        <v>142</v>
      </c>
      <c r="P504">
        <v>66</v>
      </c>
      <c r="Q504" t="s">
        <v>38</v>
      </c>
      <c r="R504">
        <v>198</v>
      </c>
      <c r="S504">
        <v>18.899999999999999</v>
      </c>
      <c r="T504" t="s">
        <v>30</v>
      </c>
    </row>
    <row r="505" spans="1:20" x14ac:dyDescent="0.3">
      <c r="A505" t="s">
        <v>20</v>
      </c>
      <c r="B505">
        <v>35</v>
      </c>
      <c r="C505">
        <v>66.599999999999994</v>
      </c>
      <c r="D505">
        <v>1.75</v>
      </c>
      <c r="E505">
        <v>21.7</v>
      </c>
      <c r="F505">
        <v>109</v>
      </c>
      <c r="G505" t="s">
        <v>283</v>
      </c>
      <c r="H505">
        <v>160</v>
      </c>
      <c r="I505">
        <v>73</v>
      </c>
      <c r="J505">
        <v>114</v>
      </c>
      <c r="K505" t="s">
        <v>23</v>
      </c>
      <c r="L505" t="s">
        <v>22</v>
      </c>
      <c r="M505" t="s">
        <v>28</v>
      </c>
      <c r="N505">
        <v>0.623</v>
      </c>
      <c r="P505">
        <v>66</v>
      </c>
      <c r="Q505" t="s">
        <v>25</v>
      </c>
      <c r="R505">
        <v>57</v>
      </c>
      <c r="S505">
        <v>13.74</v>
      </c>
      <c r="T505" t="s">
        <v>52</v>
      </c>
    </row>
    <row r="506" spans="1:20" x14ac:dyDescent="0.3">
      <c r="A506" t="s">
        <v>31</v>
      </c>
      <c r="C506">
        <v>92.5</v>
      </c>
      <c r="D506">
        <v>1.66</v>
      </c>
      <c r="E506">
        <v>33.6</v>
      </c>
      <c r="F506">
        <v>95.8</v>
      </c>
      <c r="G506" t="s">
        <v>482</v>
      </c>
      <c r="H506">
        <v>217</v>
      </c>
      <c r="I506">
        <v>37</v>
      </c>
      <c r="J506">
        <v>148</v>
      </c>
      <c r="K506" t="s">
        <v>23</v>
      </c>
      <c r="L506" t="s">
        <v>23</v>
      </c>
      <c r="M506" t="s">
        <v>37</v>
      </c>
      <c r="N506">
        <v>0.57699999999999996</v>
      </c>
      <c r="O506">
        <v>147</v>
      </c>
      <c r="P506">
        <v>63</v>
      </c>
      <c r="Q506" t="s">
        <v>38</v>
      </c>
      <c r="R506">
        <v>150</v>
      </c>
      <c r="S506">
        <v>20.41</v>
      </c>
      <c r="T506" t="s">
        <v>30</v>
      </c>
    </row>
    <row r="507" spans="1:20" x14ac:dyDescent="0.3">
      <c r="A507" t="s">
        <v>20</v>
      </c>
      <c r="B507">
        <v>56</v>
      </c>
      <c r="C507">
        <v>94</v>
      </c>
      <c r="D507">
        <v>1.9</v>
      </c>
      <c r="E507">
        <v>26</v>
      </c>
      <c r="F507">
        <v>78.8</v>
      </c>
      <c r="G507" t="s">
        <v>483</v>
      </c>
      <c r="H507">
        <v>184</v>
      </c>
      <c r="I507">
        <v>30</v>
      </c>
      <c r="J507">
        <v>102</v>
      </c>
      <c r="K507" t="s">
        <v>23</v>
      </c>
      <c r="L507" t="s">
        <v>22</v>
      </c>
      <c r="M507" t="s">
        <v>37</v>
      </c>
      <c r="N507">
        <v>0.41499999999999998</v>
      </c>
      <c r="O507">
        <v>149</v>
      </c>
      <c r="P507">
        <v>89</v>
      </c>
      <c r="Q507" t="s">
        <v>29</v>
      </c>
      <c r="R507">
        <v>124</v>
      </c>
      <c r="S507">
        <v>16.329999999999998</v>
      </c>
      <c r="T507" t="s">
        <v>30</v>
      </c>
    </row>
    <row r="508" spans="1:20" x14ac:dyDescent="0.3">
      <c r="A508" t="s">
        <v>31</v>
      </c>
      <c r="B508">
        <v>43</v>
      </c>
      <c r="C508">
        <v>92.9</v>
      </c>
      <c r="D508">
        <v>1.82</v>
      </c>
      <c r="E508">
        <v>28</v>
      </c>
      <c r="F508">
        <v>95.4</v>
      </c>
      <c r="G508" t="s">
        <v>484</v>
      </c>
      <c r="H508">
        <v>132</v>
      </c>
      <c r="I508">
        <v>71</v>
      </c>
      <c r="J508">
        <v>86</v>
      </c>
      <c r="K508" t="s">
        <v>22</v>
      </c>
      <c r="L508" t="s">
        <v>22</v>
      </c>
      <c r="M508" t="s">
        <v>24</v>
      </c>
      <c r="N508">
        <v>0.52400000000000002</v>
      </c>
      <c r="O508">
        <v>145</v>
      </c>
      <c r="P508">
        <v>63</v>
      </c>
      <c r="Q508" t="s">
        <v>38</v>
      </c>
      <c r="R508">
        <v>31</v>
      </c>
      <c r="S508">
        <v>15.49</v>
      </c>
      <c r="T508" t="s">
        <v>26</v>
      </c>
    </row>
    <row r="509" spans="1:20" x14ac:dyDescent="0.3">
      <c r="A509" t="s">
        <v>31</v>
      </c>
      <c r="B509">
        <v>49</v>
      </c>
      <c r="D509">
        <v>1.82</v>
      </c>
      <c r="E509">
        <v>16.2</v>
      </c>
      <c r="F509">
        <v>82.2</v>
      </c>
      <c r="G509" t="s">
        <v>485</v>
      </c>
      <c r="I509">
        <v>32</v>
      </c>
      <c r="J509">
        <v>124</v>
      </c>
      <c r="K509" t="s">
        <v>23</v>
      </c>
      <c r="L509" t="s">
        <v>22</v>
      </c>
      <c r="M509" t="s">
        <v>28</v>
      </c>
      <c r="N509">
        <v>0.45200000000000001</v>
      </c>
      <c r="O509">
        <v>136</v>
      </c>
      <c r="P509">
        <v>95</v>
      </c>
      <c r="Q509" t="s">
        <v>29</v>
      </c>
      <c r="R509">
        <v>136</v>
      </c>
      <c r="S509">
        <v>14</v>
      </c>
      <c r="T509" t="s">
        <v>26</v>
      </c>
    </row>
    <row r="510" spans="1:20" x14ac:dyDescent="0.3">
      <c r="A510" t="s">
        <v>20</v>
      </c>
      <c r="B510">
        <v>36</v>
      </c>
      <c r="C510">
        <v>51.9</v>
      </c>
      <c r="D510">
        <v>1.67</v>
      </c>
      <c r="E510">
        <v>18.600000000000001</v>
      </c>
      <c r="F510">
        <v>101.2</v>
      </c>
      <c r="G510" t="s">
        <v>486</v>
      </c>
      <c r="H510">
        <v>225</v>
      </c>
      <c r="I510">
        <v>58</v>
      </c>
      <c r="K510" t="s">
        <v>23</v>
      </c>
      <c r="L510" t="s">
        <v>22</v>
      </c>
      <c r="M510" t="s">
        <v>28</v>
      </c>
      <c r="N510">
        <v>0.60599999999999998</v>
      </c>
      <c r="O510">
        <v>103</v>
      </c>
      <c r="P510">
        <v>80</v>
      </c>
      <c r="Q510" t="s">
        <v>29</v>
      </c>
      <c r="R510">
        <v>137</v>
      </c>
      <c r="S510">
        <v>13.37</v>
      </c>
      <c r="T510" t="s">
        <v>26</v>
      </c>
    </row>
    <row r="511" spans="1:20" x14ac:dyDescent="0.3">
      <c r="A511" t="s">
        <v>20</v>
      </c>
      <c r="B511">
        <v>44</v>
      </c>
      <c r="C511">
        <v>65.8</v>
      </c>
      <c r="D511">
        <v>1.89</v>
      </c>
      <c r="E511">
        <v>18.399999999999999</v>
      </c>
      <c r="F511">
        <v>109</v>
      </c>
      <c r="G511" t="s">
        <v>487</v>
      </c>
      <c r="H511">
        <v>271</v>
      </c>
      <c r="I511">
        <v>33</v>
      </c>
      <c r="J511">
        <v>147</v>
      </c>
      <c r="K511" t="s">
        <v>23</v>
      </c>
      <c r="L511" t="s">
        <v>23</v>
      </c>
      <c r="M511" t="s">
        <v>24</v>
      </c>
      <c r="N511">
        <v>0.57699999999999996</v>
      </c>
      <c r="P511">
        <v>64</v>
      </c>
      <c r="Q511" t="s">
        <v>33</v>
      </c>
      <c r="R511">
        <v>208</v>
      </c>
      <c r="S511">
        <v>16.45</v>
      </c>
      <c r="T511" t="s">
        <v>30</v>
      </c>
    </row>
    <row r="512" spans="1:20" x14ac:dyDescent="0.3">
      <c r="A512" t="s">
        <v>31</v>
      </c>
      <c r="B512">
        <v>35</v>
      </c>
      <c r="C512">
        <v>83.6</v>
      </c>
      <c r="D512">
        <v>1.7</v>
      </c>
      <c r="E512">
        <v>28.9</v>
      </c>
      <c r="F512">
        <v>101.8</v>
      </c>
      <c r="G512" t="s">
        <v>488</v>
      </c>
      <c r="H512">
        <v>118</v>
      </c>
      <c r="I512">
        <v>58</v>
      </c>
      <c r="J512">
        <v>91</v>
      </c>
      <c r="K512" t="s">
        <v>22</v>
      </c>
      <c r="L512" t="s">
        <v>22</v>
      </c>
      <c r="M512" t="s">
        <v>28</v>
      </c>
      <c r="N512">
        <v>0.59899999999999998</v>
      </c>
      <c r="O512">
        <v>141</v>
      </c>
      <c r="P512">
        <v>81</v>
      </c>
      <c r="Q512" t="s">
        <v>29</v>
      </c>
      <c r="R512">
        <v>30</v>
      </c>
      <c r="S512">
        <v>15.19</v>
      </c>
      <c r="T512" t="s">
        <v>26</v>
      </c>
    </row>
    <row r="513" spans="1:20" x14ac:dyDescent="0.3">
      <c r="A513" t="s">
        <v>20</v>
      </c>
      <c r="B513">
        <v>43</v>
      </c>
      <c r="C513">
        <v>119.9</v>
      </c>
      <c r="D513">
        <v>1.85</v>
      </c>
      <c r="G513" t="s">
        <v>489</v>
      </c>
      <c r="H513">
        <v>220</v>
      </c>
      <c r="I513">
        <v>44</v>
      </c>
      <c r="J513">
        <v>85</v>
      </c>
      <c r="K513" t="s">
        <v>22</v>
      </c>
      <c r="L513" t="s">
        <v>22</v>
      </c>
      <c r="M513" t="s">
        <v>37</v>
      </c>
      <c r="N513">
        <v>0.41399999999999998</v>
      </c>
      <c r="O513">
        <v>126</v>
      </c>
      <c r="P513">
        <v>62</v>
      </c>
      <c r="Q513" t="s">
        <v>25</v>
      </c>
      <c r="R513">
        <v>146</v>
      </c>
      <c r="S513">
        <v>17.7</v>
      </c>
      <c r="T513" t="s">
        <v>26</v>
      </c>
    </row>
    <row r="514" spans="1:20" x14ac:dyDescent="0.3">
      <c r="A514" t="s">
        <v>31</v>
      </c>
      <c r="B514">
        <v>34</v>
      </c>
      <c r="C514">
        <v>118.2</v>
      </c>
      <c r="D514">
        <v>1.72</v>
      </c>
      <c r="E514">
        <v>40</v>
      </c>
      <c r="F514">
        <v>77.5</v>
      </c>
      <c r="G514" t="s">
        <v>490</v>
      </c>
      <c r="H514">
        <v>290</v>
      </c>
      <c r="I514">
        <v>68</v>
      </c>
      <c r="J514">
        <v>92</v>
      </c>
      <c r="K514" t="s">
        <v>23</v>
      </c>
      <c r="L514" t="s">
        <v>22</v>
      </c>
      <c r="M514" t="s">
        <v>24</v>
      </c>
      <c r="N514">
        <v>0.45100000000000001</v>
      </c>
      <c r="O514">
        <v>136</v>
      </c>
      <c r="P514">
        <v>83</v>
      </c>
      <c r="Q514" t="s">
        <v>29</v>
      </c>
      <c r="R514">
        <v>192</v>
      </c>
      <c r="S514">
        <v>20.6</v>
      </c>
      <c r="T514" t="s">
        <v>30</v>
      </c>
    </row>
    <row r="515" spans="1:20" x14ac:dyDescent="0.3">
      <c r="A515" t="s">
        <v>31</v>
      </c>
      <c r="B515">
        <v>48</v>
      </c>
      <c r="C515">
        <v>116.5</v>
      </c>
      <c r="D515">
        <v>1.81</v>
      </c>
      <c r="E515">
        <v>35.6</v>
      </c>
      <c r="F515">
        <v>107.9</v>
      </c>
      <c r="G515" t="s">
        <v>491</v>
      </c>
      <c r="H515">
        <v>270</v>
      </c>
      <c r="I515">
        <v>32</v>
      </c>
      <c r="J515">
        <v>135</v>
      </c>
      <c r="K515" t="s">
        <v>22</v>
      </c>
      <c r="L515" t="s">
        <v>23</v>
      </c>
      <c r="M515" t="s">
        <v>28</v>
      </c>
      <c r="N515">
        <v>0.59599999999999997</v>
      </c>
      <c r="O515">
        <v>135</v>
      </c>
      <c r="P515">
        <v>87</v>
      </c>
      <c r="Q515" t="s">
        <v>29</v>
      </c>
      <c r="R515">
        <v>208</v>
      </c>
      <c r="S515">
        <v>21.27</v>
      </c>
      <c r="T515" t="s">
        <v>30</v>
      </c>
    </row>
    <row r="516" spans="1:20" x14ac:dyDescent="0.3">
      <c r="A516" t="s">
        <v>31</v>
      </c>
      <c r="B516">
        <v>34</v>
      </c>
      <c r="C516">
        <v>94.4</v>
      </c>
      <c r="D516">
        <v>1.62</v>
      </c>
      <c r="E516">
        <v>36</v>
      </c>
      <c r="F516">
        <v>91</v>
      </c>
      <c r="G516" t="s">
        <v>492</v>
      </c>
      <c r="H516">
        <v>207</v>
      </c>
      <c r="I516">
        <v>63</v>
      </c>
      <c r="J516">
        <v>93</v>
      </c>
      <c r="K516" t="s">
        <v>22</v>
      </c>
      <c r="L516" t="s">
        <v>22</v>
      </c>
      <c r="M516" t="s">
        <v>28</v>
      </c>
      <c r="N516">
        <v>0.56200000000000006</v>
      </c>
      <c r="O516">
        <v>100</v>
      </c>
      <c r="P516">
        <v>63</v>
      </c>
      <c r="Q516" t="s">
        <v>33</v>
      </c>
      <c r="R516">
        <v>114</v>
      </c>
      <c r="S516">
        <v>16.34</v>
      </c>
      <c r="T516" t="s">
        <v>26</v>
      </c>
    </row>
    <row r="517" spans="1:20" x14ac:dyDescent="0.3">
      <c r="A517" t="s">
        <v>20</v>
      </c>
      <c r="B517">
        <v>48</v>
      </c>
      <c r="C517">
        <v>66.3</v>
      </c>
      <c r="D517">
        <v>1.72</v>
      </c>
      <c r="E517">
        <v>22.4</v>
      </c>
      <c r="F517">
        <v>87</v>
      </c>
      <c r="G517" t="s">
        <v>493</v>
      </c>
      <c r="H517">
        <v>255</v>
      </c>
      <c r="I517">
        <v>42</v>
      </c>
      <c r="J517">
        <v>80</v>
      </c>
      <c r="K517" t="s">
        <v>23</v>
      </c>
      <c r="L517" t="s">
        <v>23</v>
      </c>
      <c r="M517" t="s">
        <v>28</v>
      </c>
      <c r="N517">
        <v>0.50600000000000001</v>
      </c>
      <c r="O517">
        <v>94</v>
      </c>
      <c r="P517">
        <v>86</v>
      </c>
      <c r="Q517" t="s">
        <v>29</v>
      </c>
      <c r="R517">
        <v>183</v>
      </c>
      <c r="S517">
        <v>16.28</v>
      </c>
      <c r="T517" t="s">
        <v>30</v>
      </c>
    </row>
    <row r="518" spans="1:20" x14ac:dyDescent="0.3">
      <c r="A518" t="s">
        <v>20</v>
      </c>
      <c r="B518">
        <v>33</v>
      </c>
      <c r="C518">
        <v>66.400000000000006</v>
      </c>
      <c r="D518">
        <v>1.7</v>
      </c>
      <c r="E518">
        <v>23</v>
      </c>
      <c r="F518">
        <v>84.7</v>
      </c>
      <c r="G518" t="s">
        <v>494</v>
      </c>
      <c r="H518">
        <v>204</v>
      </c>
      <c r="I518">
        <v>71</v>
      </c>
      <c r="J518">
        <v>150</v>
      </c>
      <c r="K518" t="s">
        <v>22</v>
      </c>
      <c r="L518" t="s">
        <v>22</v>
      </c>
      <c r="M518" t="s">
        <v>24</v>
      </c>
      <c r="N518">
        <v>0.498</v>
      </c>
      <c r="O518">
        <v>102</v>
      </c>
      <c r="P518">
        <v>62</v>
      </c>
      <c r="Q518" t="s">
        <v>33</v>
      </c>
      <c r="R518">
        <v>103</v>
      </c>
      <c r="S518">
        <v>13.78</v>
      </c>
      <c r="T518" t="s">
        <v>26</v>
      </c>
    </row>
    <row r="519" spans="1:20" x14ac:dyDescent="0.3">
      <c r="A519" t="s">
        <v>20</v>
      </c>
      <c r="B519">
        <v>46</v>
      </c>
      <c r="C519">
        <v>91</v>
      </c>
      <c r="D519">
        <v>1.84</v>
      </c>
      <c r="E519">
        <v>26.9</v>
      </c>
      <c r="F519">
        <v>99.6</v>
      </c>
      <c r="G519" t="s">
        <v>495</v>
      </c>
      <c r="H519">
        <v>185</v>
      </c>
      <c r="I519">
        <v>74</v>
      </c>
      <c r="J519">
        <v>123</v>
      </c>
      <c r="K519" t="s">
        <v>22</v>
      </c>
      <c r="L519" t="s">
        <v>23</v>
      </c>
      <c r="M519" t="s">
        <v>24</v>
      </c>
      <c r="N519">
        <v>0.54100000000000004</v>
      </c>
      <c r="O519">
        <v>135</v>
      </c>
      <c r="P519">
        <v>76</v>
      </c>
      <c r="Q519" t="s">
        <v>29</v>
      </c>
      <c r="R519">
        <v>81</v>
      </c>
      <c r="S519">
        <v>17.829999999999998</v>
      </c>
      <c r="T519" t="s">
        <v>30</v>
      </c>
    </row>
    <row r="520" spans="1:20" x14ac:dyDescent="0.3">
      <c r="A520" t="s">
        <v>31</v>
      </c>
      <c r="B520">
        <v>60</v>
      </c>
      <c r="C520">
        <v>113.4</v>
      </c>
      <c r="D520">
        <v>1.79</v>
      </c>
      <c r="E520">
        <v>35.4</v>
      </c>
      <c r="F520">
        <v>72.900000000000006</v>
      </c>
      <c r="G520" t="s">
        <v>132</v>
      </c>
      <c r="H520">
        <v>230</v>
      </c>
      <c r="I520">
        <v>42</v>
      </c>
      <c r="J520">
        <v>145</v>
      </c>
      <c r="K520" t="s">
        <v>23</v>
      </c>
      <c r="L520" t="s">
        <v>22</v>
      </c>
      <c r="M520" t="s">
        <v>37</v>
      </c>
      <c r="N520">
        <v>0.40699999999999997</v>
      </c>
      <c r="O520">
        <v>103</v>
      </c>
      <c r="Q520" t="s">
        <v>38</v>
      </c>
      <c r="R520">
        <v>158</v>
      </c>
      <c r="S520">
        <v>16.829999999999998</v>
      </c>
      <c r="T520" t="s">
        <v>30</v>
      </c>
    </row>
    <row r="521" spans="1:20" x14ac:dyDescent="0.3">
      <c r="A521" t="s">
        <v>20</v>
      </c>
      <c r="B521">
        <v>54</v>
      </c>
      <c r="C521">
        <v>87.4</v>
      </c>
      <c r="D521">
        <v>1.85</v>
      </c>
      <c r="E521">
        <v>25.5</v>
      </c>
      <c r="F521">
        <v>107.2</v>
      </c>
      <c r="G521" t="s">
        <v>496</v>
      </c>
      <c r="H521">
        <v>113</v>
      </c>
      <c r="I521">
        <v>32</v>
      </c>
      <c r="J521">
        <v>92</v>
      </c>
      <c r="K521" t="s">
        <v>22</v>
      </c>
      <c r="L521" t="s">
        <v>22</v>
      </c>
      <c r="M521" t="s">
        <v>24</v>
      </c>
      <c r="N521">
        <v>0.57899999999999996</v>
      </c>
      <c r="O521">
        <v>126</v>
      </c>
      <c r="P521">
        <v>76</v>
      </c>
      <c r="Q521" t="s">
        <v>25</v>
      </c>
      <c r="R521">
        <v>51</v>
      </c>
      <c r="S521">
        <v>13.66</v>
      </c>
      <c r="T521" t="s">
        <v>30</v>
      </c>
    </row>
    <row r="522" spans="1:20" x14ac:dyDescent="0.3">
      <c r="A522" t="s">
        <v>31</v>
      </c>
      <c r="B522">
        <v>34</v>
      </c>
      <c r="C522">
        <v>119.6</v>
      </c>
      <c r="D522">
        <v>1.75</v>
      </c>
      <c r="E522">
        <v>39.1</v>
      </c>
      <c r="F522">
        <v>105.6</v>
      </c>
      <c r="G522" t="s">
        <v>497</v>
      </c>
      <c r="H522">
        <v>234</v>
      </c>
      <c r="I522">
        <v>79</v>
      </c>
      <c r="J522">
        <v>109</v>
      </c>
      <c r="K522" t="s">
        <v>22</v>
      </c>
      <c r="L522" t="s">
        <v>23</v>
      </c>
      <c r="M522" t="s">
        <v>37</v>
      </c>
      <c r="N522">
        <v>0.60299999999999998</v>
      </c>
      <c r="O522">
        <v>90</v>
      </c>
      <c r="P522">
        <v>82</v>
      </c>
      <c r="Q522" t="s">
        <v>29</v>
      </c>
      <c r="R522">
        <v>125</v>
      </c>
      <c r="S522">
        <v>19</v>
      </c>
      <c r="T522" t="s">
        <v>30</v>
      </c>
    </row>
    <row r="523" spans="1:20" x14ac:dyDescent="0.3">
      <c r="A523" t="s">
        <v>20</v>
      </c>
      <c r="B523">
        <v>37</v>
      </c>
      <c r="C523">
        <v>95</v>
      </c>
      <c r="D523">
        <v>1.86</v>
      </c>
      <c r="E523">
        <v>27.5</v>
      </c>
      <c r="F523">
        <v>104.4</v>
      </c>
      <c r="G523" t="s">
        <v>498</v>
      </c>
      <c r="H523">
        <v>181</v>
      </c>
      <c r="I523">
        <v>35</v>
      </c>
      <c r="J523">
        <v>96</v>
      </c>
      <c r="K523" t="s">
        <v>22</v>
      </c>
      <c r="L523" t="s">
        <v>22</v>
      </c>
      <c r="M523" t="s">
        <v>28</v>
      </c>
      <c r="N523">
        <v>0.56100000000000005</v>
      </c>
      <c r="O523">
        <v>131</v>
      </c>
      <c r="P523">
        <v>80</v>
      </c>
      <c r="Q523" t="s">
        <v>29</v>
      </c>
      <c r="R523">
        <v>116</v>
      </c>
      <c r="S523">
        <v>15.67</v>
      </c>
      <c r="T523" t="s">
        <v>26</v>
      </c>
    </row>
    <row r="524" spans="1:20" x14ac:dyDescent="0.3">
      <c r="A524" t="s">
        <v>20</v>
      </c>
      <c r="B524">
        <v>54</v>
      </c>
      <c r="C524">
        <v>73.900000000000006</v>
      </c>
      <c r="D524">
        <v>1.82</v>
      </c>
      <c r="E524">
        <v>22.3</v>
      </c>
      <c r="F524">
        <v>72.7</v>
      </c>
      <c r="G524" t="s">
        <v>89</v>
      </c>
      <c r="H524">
        <v>247</v>
      </c>
      <c r="J524">
        <v>107</v>
      </c>
      <c r="K524" t="s">
        <v>23</v>
      </c>
      <c r="L524" t="s">
        <v>23</v>
      </c>
      <c r="M524" t="s">
        <v>24</v>
      </c>
      <c r="N524">
        <v>0.39900000000000002</v>
      </c>
      <c r="O524">
        <v>94</v>
      </c>
      <c r="P524">
        <v>81</v>
      </c>
      <c r="Q524" t="s">
        <v>29</v>
      </c>
      <c r="R524">
        <v>140</v>
      </c>
      <c r="S524">
        <v>16.100000000000001</v>
      </c>
      <c r="T524" t="s">
        <v>30</v>
      </c>
    </row>
    <row r="525" spans="1:20" x14ac:dyDescent="0.3">
      <c r="A525" t="s">
        <v>20</v>
      </c>
      <c r="C525">
        <v>100.6</v>
      </c>
      <c r="D525">
        <v>1.6</v>
      </c>
      <c r="E525">
        <v>39.299999999999997</v>
      </c>
      <c r="G525" t="s">
        <v>499</v>
      </c>
      <c r="H525">
        <v>298</v>
      </c>
      <c r="I525">
        <v>60</v>
      </c>
      <c r="J525">
        <v>76</v>
      </c>
      <c r="K525" t="s">
        <v>23</v>
      </c>
      <c r="L525" t="s">
        <v>22</v>
      </c>
      <c r="M525" t="s">
        <v>37</v>
      </c>
      <c r="N525">
        <v>0.54500000000000004</v>
      </c>
      <c r="O525">
        <v>91</v>
      </c>
      <c r="P525">
        <v>66</v>
      </c>
      <c r="Q525" t="s">
        <v>33</v>
      </c>
      <c r="R525">
        <v>208</v>
      </c>
      <c r="S525">
        <v>18.37</v>
      </c>
      <c r="T525" t="s">
        <v>30</v>
      </c>
    </row>
    <row r="526" spans="1:20" x14ac:dyDescent="0.3">
      <c r="A526" t="s">
        <v>20</v>
      </c>
      <c r="B526">
        <v>49</v>
      </c>
      <c r="C526">
        <v>95.7</v>
      </c>
      <c r="D526">
        <v>1.65</v>
      </c>
      <c r="E526">
        <v>35.200000000000003</v>
      </c>
      <c r="F526">
        <v>84.9</v>
      </c>
      <c r="G526" t="s">
        <v>500</v>
      </c>
      <c r="H526">
        <v>291</v>
      </c>
      <c r="I526">
        <v>34</v>
      </c>
      <c r="J526">
        <v>111</v>
      </c>
      <c r="K526" t="s">
        <v>23</v>
      </c>
      <c r="L526" t="s">
        <v>23</v>
      </c>
      <c r="M526" t="s">
        <v>24</v>
      </c>
      <c r="N526">
        <v>0.51500000000000001</v>
      </c>
      <c r="O526">
        <v>104</v>
      </c>
      <c r="P526">
        <v>93</v>
      </c>
      <c r="Q526" t="s">
        <v>38</v>
      </c>
      <c r="R526">
        <v>227</v>
      </c>
      <c r="S526">
        <v>20.059999999999999</v>
      </c>
      <c r="T526" t="s">
        <v>30</v>
      </c>
    </row>
    <row r="527" spans="1:20" x14ac:dyDescent="0.3">
      <c r="A527" t="s">
        <v>31</v>
      </c>
      <c r="B527">
        <v>32</v>
      </c>
      <c r="C527">
        <v>108</v>
      </c>
      <c r="D527">
        <v>1.79</v>
      </c>
      <c r="E527">
        <v>33.700000000000003</v>
      </c>
      <c r="F527">
        <v>74.099999999999994</v>
      </c>
      <c r="G527" t="s">
        <v>501</v>
      </c>
      <c r="H527">
        <v>174</v>
      </c>
      <c r="I527">
        <v>55</v>
      </c>
      <c r="J527">
        <v>139</v>
      </c>
      <c r="K527" t="s">
        <v>22</v>
      </c>
      <c r="L527" t="s">
        <v>22</v>
      </c>
      <c r="M527" t="s">
        <v>28</v>
      </c>
      <c r="N527">
        <v>0.41399999999999998</v>
      </c>
      <c r="O527">
        <v>148</v>
      </c>
      <c r="Q527" t="s">
        <v>29</v>
      </c>
      <c r="R527">
        <v>89</v>
      </c>
      <c r="S527">
        <v>17.62</v>
      </c>
      <c r="T527" t="s">
        <v>26</v>
      </c>
    </row>
    <row r="528" spans="1:20" x14ac:dyDescent="0.3">
      <c r="A528" t="s">
        <v>31</v>
      </c>
      <c r="B528">
        <v>58</v>
      </c>
      <c r="C528">
        <v>85.5</v>
      </c>
      <c r="D528">
        <v>1.83</v>
      </c>
      <c r="E528">
        <v>25.5</v>
      </c>
      <c r="F528">
        <v>102.1</v>
      </c>
      <c r="G528" t="s">
        <v>178</v>
      </c>
      <c r="H528">
        <v>111</v>
      </c>
      <c r="J528">
        <v>124</v>
      </c>
      <c r="K528" t="s">
        <v>23</v>
      </c>
      <c r="L528" t="s">
        <v>23</v>
      </c>
      <c r="M528" t="s">
        <v>24</v>
      </c>
      <c r="N528">
        <v>0.55800000000000005</v>
      </c>
      <c r="O528">
        <v>98</v>
      </c>
      <c r="P528">
        <v>60</v>
      </c>
      <c r="Q528" t="s">
        <v>33</v>
      </c>
      <c r="R528">
        <v>48</v>
      </c>
      <c r="S528">
        <v>14.22</v>
      </c>
      <c r="T528" t="s">
        <v>30</v>
      </c>
    </row>
    <row r="529" spans="1:20" x14ac:dyDescent="0.3">
      <c r="A529" t="s">
        <v>31</v>
      </c>
      <c r="B529">
        <v>52</v>
      </c>
      <c r="C529">
        <v>83.6</v>
      </c>
      <c r="D529">
        <v>1.64</v>
      </c>
      <c r="E529">
        <v>31.1</v>
      </c>
      <c r="F529">
        <v>98.2</v>
      </c>
      <c r="G529" t="s">
        <v>502</v>
      </c>
      <c r="H529">
        <v>109</v>
      </c>
      <c r="I529">
        <v>78</v>
      </c>
      <c r="J529">
        <v>107</v>
      </c>
      <c r="K529" t="s">
        <v>22</v>
      </c>
      <c r="L529" t="s">
        <v>22</v>
      </c>
      <c r="M529" t="s">
        <v>37</v>
      </c>
      <c r="N529">
        <v>0.59899999999999998</v>
      </c>
      <c r="O529">
        <v>120</v>
      </c>
      <c r="P529">
        <v>94</v>
      </c>
      <c r="Q529" t="s">
        <v>38</v>
      </c>
      <c r="R529">
        <v>1</v>
      </c>
      <c r="S529">
        <v>14.4</v>
      </c>
      <c r="T529" t="s">
        <v>26</v>
      </c>
    </row>
    <row r="530" spans="1:20" x14ac:dyDescent="0.3">
      <c r="A530" t="s">
        <v>20</v>
      </c>
      <c r="B530">
        <v>58</v>
      </c>
      <c r="C530">
        <v>110.1</v>
      </c>
      <c r="D530">
        <v>1.63</v>
      </c>
      <c r="E530">
        <v>41.4</v>
      </c>
      <c r="F530">
        <v>80.5</v>
      </c>
      <c r="G530" t="s">
        <v>503</v>
      </c>
      <c r="I530">
        <v>53</v>
      </c>
      <c r="J530">
        <v>115</v>
      </c>
      <c r="K530" t="s">
        <v>22</v>
      </c>
      <c r="L530" t="s">
        <v>22</v>
      </c>
      <c r="M530" t="s">
        <v>37</v>
      </c>
      <c r="N530">
        <v>0.49399999999999999</v>
      </c>
      <c r="O530">
        <v>96</v>
      </c>
      <c r="P530">
        <v>98</v>
      </c>
      <c r="Q530" t="s">
        <v>38</v>
      </c>
      <c r="R530">
        <v>45</v>
      </c>
      <c r="S530">
        <v>15.64</v>
      </c>
      <c r="T530" t="s">
        <v>26</v>
      </c>
    </row>
    <row r="531" spans="1:20" x14ac:dyDescent="0.3">
      <c r="A531" t="s">
        <v>31</v>
      </c>
      <c r="B531">
        <v>36</v>
      </c>
      <c r="C531">
        <v>83.6</v>
      </c>
      <c r="D531">
        <v>1.86</v>
      </c>
      <c r="E531">
        <v>24.2</v>
      </c>
      <c r="F531">
        <v>99.3</v>
      </c>
      <c r="G531" t="s">
        <v>385</v>
      </c>
      <c r="H531">
        <v>200</v>
      </c>
      <c r="I531">
        <v>46</v>
      </c>
      <c r="J531">
        <v>118</v>
      </c>
      <c r="K531" t="s">
        <v>22</v>
      </c>
      <c r="L531" t="s">
        <v>22</v>
      </c>
      <c r="M531" t="s">
        <v>28</v>
      </c>
      <c r="N531">
        <v>0.53400000000000003</v>
      </c>
      <c r="O531">
        <v>105</v>
      </c>
      <c r="P531">
        <v>88</v>
      </c>
      <c r="Q531" t="s">
        <v>29</v>
      </c>
      <c r="R531">
        <v>124</v>
      </c>
      <c r="S531">
        <v>14.09</v>
      </c>
      <c r="T531" t="s">
        <v>52</v>
      </c>
    </row>
    <row r="532" spans="1:20" x14ac:dyDescent="0.3">
      <c r="A532" t="s">
        <v>20</v>
      </c>
      <c r="B532">
        <v>41</v>
      </c>
      <c r="C532">
        <v>114.6</v>
      </c>
      <c r="D532">
        <v>1.7</v>
      </c>
      <c r="F532">
        <v>94</v>
      </c>
      <c r="G532" t="s">
        <v>417</v>
      </c>
      <c r="I532">
        <v>78</v>
      </c>
      <c r="J532">
        <v>120</v>
      </c>
      <c r="K532" t="s">
        <v>22</v>
      </c>
      <c r="L532" t="s">
        <v>22</v>
      </c>
      <c r="M532" t="s">
        <v>28</v>
      </c>
      <c r="N532">
        <v>0.55300000000000005</v>
      </c>
      <c r="O532">
        <v>142</v>
      </c>
      <c r="P532">
        <v>87</v>
      </c>
      <c r="Q532" t="s">
        <v>29</v>
      </c>
      <c r="R532">
        <v>131</v>
      </c>
      <c r="S532">
        <v>19.82</v>
      </c>
      <c r="T532" t="s">
        <v>26</v>
      </c>
    </row>
    <row r="533" spans="1:20" x14ac:dyDescent="0.3">
      <c r="A533" t="s">
        <v>31</v>
      </c>
      <c r="B533">
        <v>46</v>
      </c>
      <c r="C533">
        <v>109</v>
      </c>
      <c r="D533">
        <v>1.7</v>
      </c>
      <c r="F533">
        <v>95.7</v>
      </c>
      <c r="G533" t="s">
        <v>504</v>
      </c>
      <c r="H533">
        <v>164</v>
      </c>
      <c r="I533">
        <v>67</v>
      </c>
      <c r="J533">
        <v>84</v>
      </c>
      <c r="K533" t="s">
        <v>23</v>
      </c>
      <c r="L533" t="s">
        <v>22</v>
      </c>
      <c r="M533" t="s">
        <v>37</v>
      </c>
      <c r="N533">
        <v>0.56299999999999994</v>
      </c>
      <c r="O533">
        <v>117</v>
      </c>
      <c r="P533">
        <v>98</v>
      </c>
      <c r="Q533" t="s">
        <v>38</v>
      </c>
      <c r="R533">
        <v>67</v>
      </c>
      <c r="S533">
        <v>16.670000000000002</v>
      </c>
      <c r="T533" t="s">
        <v>26</v>
      </c>
    </row>
    <row r="534" spans="1:20" x14ac:dyDescent="0.3">
      <c r="A534" t="s">
        <v>20</v>
      </c>
      <c r="B534">
        <v>40</v>
      </c>
      <c r="C534">
        <v>112.9</v>
      </c>
      <c r="D534">
        <v>1.85</v>
      </c>
      <c r="E534">
        <v>33</v>
      </c>
      <c r="F534">
        <v>90.9</v>
      </c>
      <c r="G534" t="s">
        <v>378</v>
      </c>
      <c r="H534">
        <v>153</v>
      </c>
      <c r="I534">
        <v>36</v>
      </c>
      <c r="J534">
        <v>133</v>
      </c>
      <c r="K534" t="s">
        <v>23</v>
      </c>
      <c r="L534" t="s">
        <v>22</v>
      </c>
      <c r="M534" t="s">
        <v>24</v>
      </c>
      <c r="N534">
        <v>0.49099999999999999</v>
      </c>
      <c r="O534">
        <v>133</v>
      </c>
      <c r="P534">
        <v>94</v>
      </c>
      <c r="Q534" t="s">
        <v>29</v>
      </c>
      <c r="R534">
        <v>87</v>
      </c>
      <c r="S534">
        <v>16.309999999999999</v>
      </c>
      <c r="T534" t="s">
        <v>30</v>
      </c>
    </row>
    <row r="535" spans="1:20" x14ac:dyDescent="0.3">
      <c r="A535" t="s">
        <v>20</v>
      </c>
      <c r="B535">
        <v>60</v>
      </c>
      <c r="C535">
        <v>76.2</v>
      </c>
      <c r="D535">
        <v>1.63</v>
      </c>
      <c r="E535">
        <v>28.7</v>
      </c>
      <c r="F535">
        <v>83.6</v>
      </c>
      <c r="G535" t="s">
        <v>505</v>
      </c>
      <c r="H535">
        <v>217</v>
      </c>
      <c r="I535">
        <v>37</v>
      </c>
      <c r="J535">
        <v>118</v>
      </c>
      <c r="K535" t="s">
        <v>22</v>
      </c>
      <c r="L535" t="s">
        <v>22</v>
      </c>
      <c r="M535" t="s">
        <v>37</v>
      </c>
      <c r="N535">
        <v>0.51300000000000001</v>
      </c>
      <c r="O535">
        <v>144</v>
      </c>
      <c r="P535">
        <v>86</v>
      </c>
      <c r="Q535" t="s">
        <v>29</v>
      </c>
      <c r="R535">
        <v>150</v>
      </c>
      <c r="S535">
        <v>17.28</v>
      </c>
      <c r="T535" t="s">
        <v>30</v>
      </c>
    </row>
    <row r="536" spans="1:20" x14ac:dyDescent="0.3">
      <c r="A536" t="s">
        <v>20</v>
      </c>
      <c r="B536">
        <v>47</v>
      </c>
      <c r="D536">
        <v>1.81</v>
      </c>
      <c r="E536">
        <v>17.399999999999999</v>
      </c>
      <c r="F536">
        <v>90</v>
      </c>
      <c r="G536" t="s">
        <v>506</v>
      </c>
      <c r="H536">
        <v>148</v>
      </c>
      <c r="I536">
        <v>52</v>
      </c>
      <c r="J536">
        <v>130</v>
      </c>
      <c r="K536" t="s">
        <v>22</v>
      </c>
      <c r="L536" t="s">
        <v>23</v>
      </c>
      <c r="M536" t="s">
        <v>28</v>
      </c>
      <c r="N536">
        <v>0.497</v>
      </c>
      <c r="O536">
        <v>102</v>
      </c>
      <c r="P536">
        <v>86</v>
      </c>
      <c r="Q536" t="s">
        <v>29</v>
      </c>
      <c r="R536">
        <v>66</v>
      </c>
      <c r="S536">
        <v>13.54</v>
      </c>
      <c r="T536" t="s">
        <v>26</v>
      </c>
    </row>
    <row r="537" spans="1:20" x14ac:dyDescent="0.3">
      <c r="A537" t="s">
        <v>31</v>
      </c>
      <c r="B537">
        <v>49</v>
      </c>
      <c r="C537">
        <v>73.8</v>
      </c>
      <c r="D537">
        <v>1.74</v>
      </c>
      <c r="E537">
        <v>24.4</v>
      </c>
      <c r="F537">
        <v>100.3</v>
      </c>
      <c r="G537" t="s">
        <v>507</v>
      </c>
      <c r="H537">
        <v>291</v>
      </c>
      <c r="I537">
        <v>78</v>
      </c>
      <c r="J537">
        <v>92</v>
      </c>
      <c r="K537" t="s">
        <v>23</v>
      </c>
      <c r="L537" t="s">
        <v>23</v>
      </c>
      <c r="M537" t="s">
        <v>28</v>
      </c>
      <c r="N537">
        <v>0.57599999999999996</v>
      </c>
      <c r="O537">
        <v>111</v>
      </c>
      <c r="P537">
        <v>83</v>
      </c>
      <c r="Q537" t="s">
        <v>29</v>
      </c>
      <c r="R537">
        <v>183</v>
      </c>
      <c r="T537" t="s">
        <v>30</v>
      </c>
    </row>
    <row r="538" spans="1:20" x14ac:dyDescent="0.3">
      <c r="A538" t="s">
        <v>31</v>
      </c>
      <c r="B538">
        <v>49</v>
      </c>
      <c r="C538">
        <v>115.6</v>
      </c>
      <c r="D538">
        <v>1.74</v>
      </c>
      <c r="E538">
        <v>38.200000000000003</v>
      </c>
      <c r="F538">
        <v>109.7</v>
      </c>
      <c r="G538" t="s">
        <v>262</v>
      </c>
      <c r="H538">
        <v>290</v>
      </c>
      <c r="I538">
        <v>73</v>
      </c>
      <c r="J538">
        <v>119</v>
      </c>
      <c r="K538" t="s">
        <v>23</v>
      </c>
      <c r="L538" t="s">
        <v>22</v>
      </c>
      <c r="M538" t="s">
        <v>24</v>
      </c>
      <c r="N538">
        <v>0.63</v>
      </c>
      <c r="O538">
        <v>126</v>
      </c>
      <c r="P538">
        <v>86</v>
      </c>
      <c r="Q538" t="s">
        <v>29</v>
      </c>
      <c r="R538">
        <v>187</v>
      </c>
      <c r="S538">
        <v>19.739999999999998</v>
      </c>
      <c r="T538" t="s">
        <v>30</v>
      </c>
    </row>
    <row r="539" spans="1:20" x14ac:dyDescent="0.3">
      <c r="A539" t="s">
        <v>20</v>
      </c>
      <c r="B539">
        <v>58</v>
      </c>
      <c r="C539">
        <v>98.3</v>
      </c>
      <c r="D539">
        <v>1.9</v>
      </c>
      <c r="F539">
        <v>86.9</v>
      </c>
      <c r="G539" t="s">
        <v>508</v>
      </c>
      <c r="H539">
        <v>168</v>
      </c>
      <c r="I539">
        <v>74</v>
      </c>
      <c r="J539">
        <v>78</v>
      </c>
      <c r="K539" t="s">
        <v>22</v>
      </c>
      <c r="L539" t="s">
        <v>22</v>
      </c>
      <c r="M539" t="s">
        <v>28</v>
      </c>
      <c r="N539">
        <v>0.45700000000000002</v>
      </c>
      <c r="O539">
        <v>112</v>
      </c>
      <c r="P539">
        <v>84</v>
      </c>
      <c r="Q539" t="s">
        <v>29</v>
      </c>
      <c r="R539">
        <v>64</v>
      </c>
      <c r="S539">
        <v>14.4</v>
      </c>
      <c r="T539" t="s">
        <v>26</v>
      </c>
    </row>
    <row r="540" spans="1:20" x14ac:dyDescent="0.3">
      <c r="A540" t="s">
        <v>20</v>
      </c>
      <c r="B540">
        <v>56</v>
      </c>
      <c r="C540">
        <v>100.4</v>
      </c>
      <c r="D540">
        <v>1.65</v>
      </c>
      <c r="E540">
        <v>36.9</v>
      </c>
      <c r="F540">
        <v>74.3</v>
      </c>
      <c r="G540" t="s">
        <v>509</v>
      </c>
      <c r="H540">
        <v>193</v>
      </c>
      <c r="I540">
        <v>63</v>
      </c>
      <c r="J540">
        <v>81</v>
      </c>
      <c r="K540" t="s">
        <v>23</v>
      </c>
      <c r="L540" t="s">
        <v>22</v>
      </c>
      <c r="M540" t="s">
        <v>37</v>
      </c>
      <c r="N540">
        <v>0.45</v>
      </c>
      <c r="O540">
        <v>108</v>
      </c>
      <c r="P540">
        <v>66</v>
      </c>
      <c r="Q540" t="s">
        <v>33</v>
      </c>
      <c r="R540">
        <v>100</v>
      </c>
      <c r="S540">
        <v>16.64</v>
      </c>
      <c r="T540" t="s">
        <v>30</v>
      </c>
    </row>
    <row r="541" spans="1:20" x14ac:dyDescent="0.3">
      <c r="A541" t="s">
        <v>31</v>
      </c>
      <c r="B541">
        <v>47</v>
      </c>
      <c r="C541">
        <v>72.3</v>
      </c>
      <c r="D541">
        <v>1.86</v>
      </c>
      <c r="E541">
        <v>20.9</v>
      </c>
      <c r="F541">
        <v>96.3</v>
      </c>
      <c r="G541" t="s">
        <v>510</v>
      </c>
      <c r="H541">
        <v>207</v>
      </c>
      <c r="I541">
        <v>40</v>
      </c>
      <c r="J541">
        <v>87</v>
      </c>
      <c r="K541" t="s">
        <v>22</v>
      </c>
      <c r="L541" t="s">
        <v>23</v>
      </c>
      <c r="M541" t="s">
        <v>37</v>
      </c>
      <c r="N541">
        <v>0.51800000000000002</v>
      </c>
      <c r="O541">
        <v>125</v>
      </c>
      <c r="P541">
        <v>99</v>
      </c>
      <c r="Q541" t="s">
        <v>38</v>
      </c>
      <c r="R541">
        <v>137</v>
      </c>
      <c r="S541">
        <v>16.57</v>
      </c>
      <c r="T541" t="s">
        <v>30</v>
      </c>
    </row>
    <row r="542" spans="1:20" x14ac:dyDescent="0.3">
      <c r="A542" t="s">
        <v>31</v>
      </c>
      <c r="B542">
        <v>54</v>
      </c>
      <c r="C542">
        <v>58.9</v>
      </c>
      <c r="D542">
        <v>1.73</v>
      </c>
      <c r="E542">
        <v>19.7</v>
      </c>
      <c r="F542">
        <v>101.4</v>
      </c>
      <c r="G542" t="s">
        <v>511</v>
      </c>
      <c r="I542">
        <v>35</v>
      </c>
      <c r="J542">
        <v>118</v>
      </c>
      <c r="K542" t="s">
        <v>23</v>
      </c>
      <c r="L542" t="s">
        <v>23</v>
      </c>
      <c r="M542" t="s">
        <v>28</v>
      </c>
      <c r="N542">
        <v>0.58599999999999997</v>
      </c>
      <c r="O542">
        <v>119</v>
      </c>
      <c r="P542">
        <v>88</v>
      </c>
      <c r="Q542" t="s">
        <v>29</v>
      </c>
      <c r="R542">
        <v>46</v>
      </c>
      <c r="S542">
        <v>14.11</v>
      </c>
      <c r="T542" t="s">
        <v>30</v>
      </c>
    </row>
    <row r="543" spans="1:20" x14ac:dyDescent="0.3">
      <c r="A543" t="s">
        <v>20</v>
      </c>
      <c r="B543">
        <v>51</v>
      </c>
      <c r="C543">
        <v>117.3</v>
      </c>
      <c r="D543">
        <v>1.88</v>
      </c>
      <c r="F543">
        <v>96.5</v>
      </c>
      <c r="G543" t="s">
        <v>439</v>
      </c>
      <c r="H543">
        <v>224</v>
      </c>
      <c r="J543">
        <v>120</v>
      </c>
      <c r="K543" t="s">
        <v>22</v>
      </c>
      <c r="L543" t="s">
        <v>23</v>
      </c>
      <c r="M543" t="s">
        <v>28</v>
      </c>
      <c r="N543">
        <v>0.51300000000000001</v>
      </c>
      <c r="O543">
        <v>120</v>
      </c>
      <c r="Q543" t="s">
        <v>25</v>
      </c>
      <c r="R543">
        <v>114</v>
      </c>
      <c r="S543">
        <v>19.12</v>
      </c>
      <c r="T543" t="s">
        <v>30</v>
      </c>
    </row>
    <row r="544" spans="1:20" x14ac:dyDescent="0.3">
      <c r="A544" t="s">
        <v>20</v>
      </c>
      <c r="B544">
        <v>55</v>
      </c>
      <c r="C544">
        <v>111.9</v>
      </c>
      <c r="D544">
        <v>1.81</v>
      </c>
      <c r="E544">
        <v>34.200000000000003</v>
      </c>
      <c r="F544">
        <v>95.2</v>
      </c>
      <c r="G544" t="s">
        <v>512</v>
      </c>
      <c r="H544">
        <v>129</v>
      </c>
      <c r="I544">
        <v>78</v>
      </c>
      <c r="J544">
        <v>131</v>
      </c>
      <c r="K544" t="s">
        <v>23</v>
      </c>
      <c r="L544" t="s">
        <v>23</v>
      </c>
      <c r="M544" t="s">
        <v>37</v>
      </c>
      <c r="N544">
        <v>0.52600000000000002</v>
      </c>
      <c r="O544">
        <v>132</v>
      </c>
      <c r="P544">
        <v>71</v>
      </c>
      <c r="Q544" t="s">
        <v>29</v>
      </c>
      <c r="R544">
        <v>21</v>
      </c>
      <c r="S544">
        <v>18.02</v>
      </c>
      <c r="T544" t="s">
        <v>30</v>
      </c>
    </row>
    <row r="545" spans="1:20" x14ac:dyDescent="0.3">
      <c r="A545" t="s">
        <v>20</v>
      </c>
      <c r="C545">
        <v>57.5</v>
      </c>
      <c r="D545">
        <v>1.62</v>
      </c>
      <c r="E545">
        <v>21.9</v>
      </c>
      <c r="F545">
        <v>84.2</v>
      </c>
      <c r="G545" t="s">
        <v>513</v>
      </c>
      <c r="H545">
        <v>238</v>
      </c>
      <c r="I545">
        <v>73</v>
      </c>
      <c r="J545">
        <v>126</v>
      </c>
      <c r="K545" t="s">
        <v>23</v>
      </c>
      <c r="L545" t="s">
        <v>22</v>
      </c>
      <c r="M545" t="s">
        <v>28</v>
      </c>
      <c r="N545">
        <v>0.52</v>
      </c>
      <c r="O545">
        <v>118</v>
      </c>
      <c r="P545">
        <v>76</v>
      </c>
      <c r="Q545" t="s">
        <v>33</v>
      </c>
      <c r="R545">
        <v>135</v>
      </c>
      <c r="S545">
        <v>15.04</v>
      </c>
      <c r="T545" t="s">
        <v>30</v>
      </c>
    </row>
    <row r="546" spans="1:20" x14ac:dyDescent="0.3">
      <c r="A546" t="s">
        <v>31</v>
      </c>
      <c r="B546">
        <v>49</v>
      </c>
      <c r="D546">
        <v>1.69</v>
      </c>
      <c r="E546">
        <v>39.4</v>
      </c>
      <c r="F546">
        <v>102.6</v>
      </c>
      <c r="G546" t="s">
        <v>302</v>
      </c>
      <c r="H546">
        <v>121</v>
      </c>
      <c r="I546">
        <v>77</v>
      </c>
      <c r="J546">
        <v>88</v>
      </c>
      <c r="K546" t="s">
        <v>22</v>
      </c>
      <c r="L546" t="s">
        <v>23</v>
      </c>
      <c r="M546" t="s">
        <v>24</v>
      </c>
      <c r="N546">
        <v>0.60699999999999998</v>
      </c>
      <c r="O546">
        <v>110</v>
      </c>
      <c r="P546">
        <v>77</v>
      </c>
      <c r="Q546" t="s">
        <v>33</v>
      </c>
      <c r="R546">
        <v>14</v>
      </c>
      <c r="S546">
        <v>17.8</v>
      </c>
      <c r="T546" t="s">
        <v>30</v>
      </c>
    </row>
    <row r="547" spans="1:20" x14ac:dyDescent="0.3">
      <c r="A547" t="s">
        <v>31</v>
      </c>
      <c r="B547">
        <v>51</v>
      </c>
      <c r="C547">
        <v>106.9</v>
      </c>
      <c r="D547">
        <v>1.68</v>
      </c>
      <c r="E547">
        <v>37.9</v>
      </c>
      <c r="F547">
        <v>101.7</v>
      </c>
      <c r="G547" t="s">
        <v>514</v>
      </c>
      <c r="H547">
        <v>266</v>
      </c>
      <c r="I547">
        <v>58</v>
      </c>
      <c r="J547">
        <v>120</v>
      </c>
      <c r="K547" t="s">
        <v>23</v>
      </c>
      <c r="L547" t="s">
        <v>23</v>
      </c>
      <c r="M547" t="s">
        <v>24</v>
      </c>
      <c r="N547">
        <v>0.60499999999999998</v>
      </c>
      <c r="P547">
        <v>99</v>
      </c>
      <c r="Q547" t="s">
        <v>38</v>
      </c>
      <c r="R547">
        <v>178</v>
      </c>
      <c r="S547">
        <v>20</v>
      </c>
      <c r="T547" t="s">
        <v>30</v>
      </c>
    </row>
    <row r="548" spans="1:20" x14ac:dyDescent="0.3">
      <c r="A548" t="s">
        <v>31</v>
      </c>
      <c r="B548">
        <v>37</v>
      </c>
      <c r="D548">
        <v>1.71</v>
      </c>
      <c r="E548">
        <v>31.3</v>
      </c>
      <c r="F548">
        <v>104.2</v>
      </c>
      <c r="G548" t="s">
        <v>515</v>
      </c>
      <c r="H548">
        <v>193</v>
      </c>
      <c r="I548">
        <v>63</v>
      </c>
      <c r="K548" t="s">
        <v>22</v>
      </c>
      <c r="L548" t="s">
        <v>23</v>
      </c>
      <c r="M548" t="s">
        <v>28</v>
      </c>
      <c r="N548">
        <v>0.60899999999999999</v>
      </c>
      <c r="O548">
        <v>130</v>
      </c>
      <c r="P548">
        <v>89</v>
      </c>
      <c r="Q548" t="s">
        <v>29</v>
      </c>
      <c r="R548">
        <v>100</v>
      </c>
      <c r="S548">
        <v>18.62</v>
      </c>
      <c r="T548" t="s">
        <v>26</v>
      </c>
    </row>
    <row r="549" spans="1:20" x14ac:dyDescent="0.3">
      <c r="A549" t="s">
        <v>20</v>
      </c>
      <c r="B549">
        <v>42</v>
      </c>
      <c r="C549">
        <v>85.9</v>
      </c>
      <c r="D549">
        <v>1.8</v>
      </c>
      <c r="E549">
        <v>26.5</v>
      </c>
      <c r="F549">
        <v>89.7</v>
      </c>
      <c r="G549" t="s">
        <v>250</v>
      </c>
      <c r="H549">
        <v>271</v>
      </c>
      <c r="I549">
        <v>49</v>
      </c>
      <c r="J549">
        <v>124</v>
      </c>
      <c r="K549" t="s">
        <v>23</v>
      </c>
      <c r="L549" t="s">
        <v>22</v>
      </c>
      <c r="M549" t="s">
        <v>37</v>
      </c>
      <c r="N549">
        <v>0.498</v>
      </c>
      <c r="O549">
        <v>141</v>
      </c>
      <c r="P549">
        <v>78</v>
      </c>
      <c r="Q549" t="s">
        <v>38</v>
      </c>
      <c r="R549">
        <v>192</v>
      </c>
      <c r="S549">
        <v>17.77</v>
      </c>
      <c r="T549" t="s">
        <v>30</v>
      </c>
    </row>
    <row r="550" spans="1:20" x14ac:dyDescent="0.3">
      <c r="A550" t="s">
        <v>20</v>
      </c>
      <c r="B550">
        <v>60</v>
      </c>
      <c r="C550">
        <v>51.8</v>
      </c>
      <c r="D550">
        <v>1.67</v>
      </c>
      <c r="E550">
        <v>18.600000000000001</v>
      </c>
      <c r="F550">
        <v>87.8</v>
      </c>
      <c r="G550" t="s">
        <v>442</v>
      </c>
      <c r="H550">
        <v>198</v>
      </c>
      <c r="I550">
        <v>53</v>
      </c>
      <c r="J550">
        <v>117</v>
      </c>
      <c r="K550" t="s">
        <v>22</v>
      </c>
      <c r="L550" t="s">
        <v>23</v>
      </c>
      <c r="M550" t="s">
        <v>28</v>
      </c>
      <c r="N550">
        <v>0.52600000000000002</v>
      </c>
      <c r="O550">
        <v>95</v>
      </c>
      <c r="P550">
        <v>94</v>
      </c>
      <c r="Q550" t="s">
        <v>38</v>
      </c>
      <c r="R550">
        <v>115</v>
      </c>
      <c r="S550">
        <v>14.43</v>
      </c>
      <c r="T550" t="s">
        <v>26</v>
      </c>
    </row>
    <row r="551" spans="1:20" x14ac:dyDescent="0.3">
      <c r="A551" t="s">
        <v>20</v>
      </c>
      <c r="B551">
        <v>50</v>
      </c>
      <c r="C551">
        <v>87.5</v>
      </c>
      <c r="D551">
        <v>1.69</v>
      </c>
      <c r="E551">
        <v>30.6</v>
      </c>
      <c r="F551">
        <v>84.1</v>
      </c>
      <c r="G551" t="s">
        <v>234</v>
      </c>
      <c r="H551">
        <v>217</v>
      </c>
      <c r="I551">
        <v>42</v>
      </c>
      <c r="J551">
        <v>93</v>
      </c>
      <c r="K551" t="s">
        <v>23</v>
      </c>
      <c r="L551" t="s">
        <v>22</v>
      </c>
      <c r="M551" t="s">
        <v>37</v>
      </c>
      <c r="N551">
        <v>0.498</v>
      </c>
      <c r="O551">
        <v>110</v>
      </c>
      <c r="P551">
        <v>81</v>
      </c>
      <c r="Q551" t="s">
        <v>29</v>
      </c>
      <c r="R551">
        <v>145</v>
      </c>
      <c r="S551">
        <v>15.96</v>
      </c>
      <c r="T551" t="s">
        <v>30</v>
      </c>
    </row>
    <row r="552" spans="1:20" x14ac:dyDescent="0.3">
      <c r="A552" t="s">
        <v>20</v>
      </c>
      <c r="B552">
        <v>48</v>
      </c>
      <c r="C552">
        <v>117.8</v>
      </c>
      <c r="D552">
        <v>1.86</v>
      </c>
      <c r="E552">
        <v>34.1</v>
      </c>
      <c r="F552">
        <v>73.3</v>
      </c>
      <c r="G552" t="s">
        <v>516</v>
      </c>
      <c r="H552">
        <v>100</v>
      </c>
      <c r="I552">
        <v>69</v>
      </c>
      <c r="J552">
        <v>150</v>
      </c>
      <c r="K552" t="s">
        <v>22</v>
      </c>
      <c r="L552" t="s">
        <v>22</v>
      </c>
      <c r="M552" t="s">
        <v>24</v>
      </c>
      <c r="N552">
        <v>0.39400000000000002</v>
      </c>
      <c r="O552">
        <v>116</v>
      </c>
      <c r="P552">
        <v>91</v>
      </c>
      <c r="Q552" t="s">
        <v>38</v>
      </c>
      <c r="R552">
        <v>1</v>
      </c>
      <c r="S552">
        <v>14.62</v>
      </c>
      <c r="T552" t="s">
        <v>26</v>
      </c>
    </row>
    <row r="553" spans="1:20" x14ac:dyDescent="0.3">
      <c r="A553" t="s">
        <v>31</v>
      </c>
      <c r="B553">
        <v>57</v>
      </c>
      <c r="C553">
        <v>117.4</v>
      </c>
      <c r="D553">
        <v>1.82</v>
      </c>
      <c r="E553">
        <v>35.4</v>
      </c>
      <c r="F553">
        <v>104.5</v>
      </c>
      <c r="G553" t="s">
        <v>517</v>
      </c>
      <c r="H553">
        <v>181</v>
      </c>
      <c r="I553">
        <v>66</v>
      </c>
      <c r="J553">
        <v>101</v>
      </c>
      <c r="K553" t="s">
        <v>22</v>
      </c>
      <c r="L553" t="s">
        <v>23</v>
      </c>
      <c r="M553" t="s">
        <v>28</v>
      </c>
      <c r="N553">
        <v>0.57399999999999995</v>
      </c>
      <c r="O553">
        <v>109</v>
      </c>
      <c r="P553">
        <v>76</v>
      </c>
      <c r="Q553" t="s">
        <v>33</v>
      </c>
      <c r="R553">
        <v>85</v>
      </c>
      <c r="S553">
        <v>18.149999999999999</v>
      </c>
      <c r="T553" t="s">
        <v>30</v>
      </c>
    </row>
    <row r="554" spans="1:20" x14ac:dyDescent="0.3">
      <c r="A554" t="s">
        <v>20</v>
      </c>
      <c r="B554">
        <v>47</v>
      </c>
      <c r="C554">
        <v>57.2</v>
      </c>
      <c r="D554">
        <v>1.74</v>
      </c>
      <c r="E554">
        <v>18.899999999999999</v>
      </c>
      <c r="F554">
        <v>87.3</v>
      </c>
      <c r="G554" t="s">
        <v>412</v>
      </c>
      <c r="H554">
        <v>231</v>
      </c>
      <c r="I554">
        <v>59</v>
      </c>
      <c r="J554">
        <v>77</v>
      </c>
      <c r="K554" t="s">
        <v>23</v>
      </c>
      <c r="L554" t="s">
        <v>22</v>
      </c>
      <c r="M554" t="s">
        <v>28</v>
      </c>
      <c r="N554">
        <v>0.502</v>
      </c>
      <c r="O554">
        <v>112</v>
      </c>
      <c r="P554">
        <v>97</v>
      </c>
      <c r="Q554" t="s">
        <v>38</v>
      </c>
      <c r="R554">
        <v>142</v>
      </c>
      <c r="S554">
        <v>14</v>
      </c>
      <c r="T554" t="s">
        <v>30</v>
      </c>
    </row>
    <row r="555" spans="1:20" x14ac:dyDescent="0.3">
      <c r="A555" t="s">
        <v>20</v>
      </c>
      <c r="B555">
        <v>38</v>
      </c>
      <c r="C555">
        <v>72.7</v>
      </c>
      <c r="D555">
        <v>1.77</v>
      </c>
      <c r="E555">
        <v>23.2</v>
      </c>
      <c r="F555">
        <v>82.2</v>
      </c>
      <c r="G555" t="s">
        <v>518</v>
      </c>
      <c r="H555">
        <v>263</v>
      </c>
      <c r="I555">
        <v>73</v>
      </c>
      <c r="J555">
        <v>109</v>
      </c>
      <c r="K555" t="s">
        <v>22</v>
      </c>
      <c r="L555" t="s">
        <v>23</v>
      </c>
      <c r="M555" t="s">
        <v>37</v>
      </c>
      <c r="N555">
        <v>0.46400000000000002</v>
      </c>
      <c r="O555">
        <v>142</v>
      </c>
      <c r="P555">
        <v>73</v>
      </c>
      <c r="Q555" t="s">
        <v>38</v>
      </c>
      <c r="R555">
        <v>160</v>
      </c>
      <c r="S555">
        <v>19</v>
      </c>
      <c r="T555" t="s">
        <v>26</v>
      </c>
    </row>
    <row r="556" spans="1:20" x14ac:dyDescent="0.3">
      <c r="A556" t="s">
        <v>20</v>
      </c>
      <c r="B556">
        <v>52</v>
      </c>
      <c r="C556">
        <v>97.8</v>
      </c>
      <c r="E556">
        <v>31.6</v>
      </c>
      <c r="F556">
        <v>94.8</v>
      </c>
      <c r="G556" t="s">
        <v>519</v>
      </c>
      <c r="H556">
        <v>216</v>
      </c>
      <c r="I556">
        <v>50</v>
      </c>
      <c r="J556">
        <v>101</v>
      </c>
      <c r="K556" t="s">
        <v>22</v>
      </c>
      <c r="L556" t="s">
        <v>23</v>
      </c>
      <c r="M556" t="s">
        <v>28</v>
      </c>
      <c r="N556">
        <v>0.53900000000000003</v>
      </c>
      <c r="O556">
        <v>124</v>
      </c>
      <c r="P556">
        <v>92</v>
      </c>
      <c r="Q556" t="s">
        <v>38</v>
      </c>
      <c r="R556">
        <v>136</v>
      </c>
      <c r="S556">
        <v>18.84</v>
      </c>
      <c r="T556" t="s">
        <v>30</v>
      </c>
    </row>
    <row r="557" spans="1:20" x14ac:dyDescent="0.3">
      <c r="A557" t="s">
        <v>31</v>
      </c>
      <c r="B557">
        <v>41</v>
      </c>
      <c r="C557">
        <v>59</v>
      </c>
      <c r="D557">
        <v>1.74</v>
      </c>
      <c r="E557">
        <v>19.5</v>
      </c>
      <c r="G557" t="s">
        <v>520</v>
      </c>
      <c r="H557">
        <v>200</v>
      </c>
      <c r="I557">
        <v>58</v>
      </c>
      <c r="J557">
        <v>104</v>
      </c>
      <c r="K557" t="s">
        <v>23</v>
      </c>
      <c r="L557" t="s">
        <v>23</v>
      </c>
      <c r="M557" t="s">
        <v>24</v>
      </c>
      <c r="N557">
        <v>0.62</v>
      </c>
      <c r="O557">
        <v>91</v>
      </c>
      <c r="P557">
        <v>81</v>
      </c>
      <c r="Q557" t="s">
        <v>29</v>
      </c>
      <c r="R557">
        <v>112</v>
      </c>
      <c r="S557">
        <v>14.45</v>
      </c>
      <c r="T557" t="s">
        <v>26</v>
      </c>
    </row>
    <row r="558" spans="1:20" x14ac:dyDescent="0.3">
      <c r="A558" t="s">
        <v>31</v>
      </c>
      <c r="B558">
        <v>30</v>
      </c>
      <c r="C558">
        <v>70.900000000000006</v>
      </c>
      <c r="D558">
        <v>1.82</v>
      </c>
      <c r="E558">
        <v>21.4</v>
      </c>
      <c r="F558">
        <v>94.3</v>
      </c>
      <c r="G558" t="s">
        <v>394</v>
      </c>
      <c r="H558">
        <v>254</v>
      </c>
      <c r="I558">
        <v>46</v>
      </c>
      <c r="J558">
        <v>89</v>
      </c>
      <c r="K558" t="s">
        <v>22</v>
      </c>
      <c r="L558" t="s">
        <v>23</v>
      </c>
      <c r="M558" t="s">
        <v>28</v>
      </c>
      <c r="N558">
        <v>0.51800000000000002</v>
      </c>
      <c r="O558">
        <v>148</v>
      </c>
      <c r="Q558" t="s">
        <v>29</v>
      </c>
      <c r="R558">
        <v>178</v>
      </c>
      <c r="S558">
        <v>18.760000000000002</v>
      </c>
      <c r="T558" t="s">
        <v>26</v>
      </c>
    </row>
    <row r="559" spans="1:20" x14ac:dyDescent="0.3">
      <c r="A559" t="s">
        <v>20</v>
      </c>
      <c r="B559">
        <v>33</v>
      </c>
      <c r="C559">
        <v>64.099999999999994</v>
      </c>
      <c r="D559">
        <v>1.86</v>
      </c>
      <c r="E559">
        <v>18.5</v>
      </c>
      <c r="G559" t="s">
        <v>521</v>
      </c>
      <c r="H559">
        <v>253</v>
      </c>
      <c r="I559">
        <v>46</v>
      </c>
      <c r="J559">
        <v>103</v>
      </c>
      <c r="K559" t="s">
        <v>22</v>
      </c>
      <c r="L559" t="s">
        <v>22</v>
      </c>
      <c r="M559" t="s">
        <v>24</v>
      </c>
      <c r="N559">
        <v>0.45600000000000002</v>
      </c>
      <c r="O559">
        <v>130</v>
      </c>
      <c r="P559">
        <v>99</v>
      </c>
      <c r="Q559" t="s">
        <v>29</v>
      </c>
      <c r="R559">
        <v>177</v>
      </c>
      <c r="S559">
        <v>15.26</v>
      </c>
      <c r="T559" t="s">
        <v>26</v>
      </c>
    </row>
    <row r="560" spans="1:20" x14ac:dyDescent="0.3">
      <c r="A560" t="s">
        <v>20</v>
      </c>
      <c r="B560">
        <v>54</v>
      </c>
      <c r="C560">
        <v>53.3</v>
      </c>
      <c r="D560">
        <v>1.84</v>
      </c>
      <c r="E560">
        <v>15.7</v>
      </c>
      <c r="F560">
        <v>107.3</v>
      </c>
      <c r="G560" t="s">
        <v>522</v>
      </c>
      <c r="H560">
        <v>157</v>
      </c>
      <c r="I560">
        <v>47</v>
      </c>
      <c r="J560">
        <v>75</v>
      </c>
      <c r="K560" t="s">
        <v>23</v>
      </c>
      <c r="L560" t="s">
        <v>23</v>
      </c>
      <c r="M560" t="s">
        <v>24</v>
      </c>
      <c r="N560">
        <v>0.58299999999999996</v>
      </c>
      <c r="O560">
        <v>142</v>
      </c>
      <c r="P560">
        <v>72</v>
      </c>
      <c r="Q560" t="s">
        <v>38</v>
      </c>
      <c r="R560">
        <v>80</v>
      </c>
      <c r="S560">
        <v>15.38</v>
      </c>
      <c r="T560" t="s">
        <v>30</v>
      </c>
    </row>
    <row r="561" spans="1:20" x14ac:dyDescent="0.3">
      <c r="A561" t="s">
        <v>20</v>
      </c>
      <c r="B561">
        <v>35</v>
      </c>
      <c r="C561">
        <v>54.5</v>
      </c>
      <c r="D561">
        <v>1.83</v>
      </c>
      <c r="E561">
        <v>16.3</v>
      </c>
      <c r="F561">
        <v>77.400000000000006</v>
      </c>
      <c r="G561" t="s">
        <v>523</v>
      </c>
      <c r="H561">
        <v>189</v>
      </c>
      <c r="I561">
        <v>30</v>
      </c>
      <c r="J561">
        <v>92</v>
      </c>
      <c r="K561" t="s">
        <v>23</v>
      </c>
      <c r="L561" t="s">
        <v>22</v>
      </c>
      <c r="M561" t="s">
        <v>37</v>
      </c>
      <c r="N561">
        <v>0.42299999999999999</v>
      </c>
      <c r="O561">
        <v>119</v>
      </c>
      <c r="P561">
        <v>83</v>
      </c>
      <c r="Q561" t="s">
        <v>29</v>
      </c>
      <c r="R561">
        <v>129</v>
      </c>
      <c r="S561">
        <v>12.99</v>
      </c>
      <c r="T561" t="s">
        <v>26</v>
      </c>
    </row>
    <row r="562" spans="1:20" x14ac:dyDescent="0.3">
      <c r="A562" t="s">
        <v>31</v>
      </c>
      <c r="B562">
        <v>41</v>
      </c>
      <c r="C562">
        <v>64.5</v>
      </c>
      <c r="D562">
        <v>1.84</v>
      </c>
      <c r="E562">
        <v>19.100000000000001</v>
      </c>
      <c r="F562">
        <v>78.400000000000006</v>
      </c>
      <c r="G562" t="s">
        <v>524</v>
      </c>
      <c r="H562">
        <v>163</v>
      </c>
      <c r="I562">
        <v>79</v>
      </c>
      <c r="J562">
        <v>143</v>
      </c>
      <c r="K562" t="s">
        <v>22</v>
      </c>
      <c r="L562" t="s">
        <v>22</v>
      </c>
      <c r="M562" t="s">
        <v>28</v>
      </c>
      <c r="N562">
        <v>0.42599999999999999</v>
      </c>
      <c r="O562">
        <v>118</v>
      </c>
      <c r="P562">
        <v>100</v>
      </c>
      <c r="Q562" t="s">
        <v>38</v>
      </c>
      <c r="R562">
        <v>54</v>
      </c>
      <c r="S562">
        <v>12.98</v>
      </c>
      <c r="T562" t="s">
        <v>52</v>
      </c>
    </row>
    <row r="563" spans="1:20" x14ac:dyDescent="0.3">
      <c r="A563" t="s">
        <v>20</v>
      </c>
      <c r="B563">
        <v>49</v>
      </c>
      <c r="C563">
        <v>100.4</v>
      </c>
      <c r="D563">
        <v>1.68</v>
      </c>
      <c r="E563">
        <v>35.6</v>
      </c>
      <c r="F563">
        <v>94.7</v>
      </c>
      <c r="G563" t="s">
        <v>525</v>
      </c>
      <c r="H563">
        <v>261</v>
      </c>
      <c r="I563">
        <v>65</v>
      </c>
      <c r="J563">
        <v>96</v>
      </c>
      <c r="K563" t="s">
        <v>22</v>
      </c>
      <c r="L563" t="s">
        <v>23</v>
      </c>
      <c r="M563" t="s">
        <v>24</v>
      </c>
      <c r="N563">
        <v>0.56399999999999995</v>
      </c>
      <c r="O563">
        <v>147</v>
      </c>
      <c r="P563">
        <v>74</v>
      </c>
      <c r="Q563" t="s">
        <v>38</v>
      </c>
      <c r="R563">
        <v>166</v>
      </c>
      <c r="S563">
        <v>21.69</v>
      </c>
      <c r="T563" t="s">
        <v>30</v>
      </c>
    </row>
    <row r="564" spans="1:20" x14ac:dyDescent="0.3">
      <c r="A564" t="s">
        <v>20</v>
      </c>
      <c r="B564">
        <v>45</v>
      </c>
      <c r="C564">
        <v>109.1</v>
      </c>
      <c r="D564">
        <v>1.7</v>
      </c>
      <c r="E564">
        <v>37.799999999999997</v>
      </c>
      <c r="F564">
        <v>104.3</v>
      </c>
      <c r="G564" t="s">
        <v>526</v>
      </c>
      <c r="H564">
        <v>296</v>
      </c>
      <c r="I564">
        <v>78</v>
      </c>
      <c r="J564">
        <v>132</v>
      </c>
      <c r="K564" t="s">
        <v>23</v>
      </c>
      <c r="L564" t="s">
        <v>22</v>
      </c>
      <c r="M564" t="s">
        <v>24</v>
      </c>
      <c r="N564">
        <v>0.61399999999999999</v>
      </c>
      <c r="O564">
        <v>142</v>
      </c>
      <c r="P564">
        <v>76</v>
      </c>
      <c r="Q564" t="s">
        <v>38</v>
      </c>
      <c r="R564">
        <v>188</v>
      </c>
      <c r="S564">
        <v>20.58</v>
      </c>
      <c r="T564" t="s">
        <v>30</v>
      </c>
    </row>
    <row r="565" spans="1:20" x14ac:dyDescent="0.3">
      <c r="A565" t="s">
        <v>31</v>
      </c>
      <c r="B565">
        <v>48</v>
      </c>
      <c r="C565">
        <v>100.6</v>
      </c>
      <c r="D565">
        <v>1.66</v>
      </c>
      <c r="E565">
        <v>36.5</v>
      </c>
      <c r="F565">
        <v>107.8</v>
      </c>
      <c r="G565" t="s">
        <v>527</v>
      </c>
      <c r="H565">
        <v>257</v>
      </c>
      <c r="I565">
        <v>56</v>
      </c>
      <c r="J565">
        <v>150</v>
      </c>
      <c r="K565" t="s">
        <v>22</v>
      </c>
      <c r="L565" t="s">
        <v>22</v>
      </c>
      <c r="M565" t="s">
        <v>37</v>
      </c>
      <c r="N565">
        <v>0.64900000000000002</v>
      </c>
      <c r="O565">
        <v>127</v>
      </c>
      <c r="P565">
        <v>93</v>
      </c>
      <c r="Q565" t="s">
        <v>38</v>
      </c>
      <c r="R565">
        <v>171</v>
      </c>
      <c r="S565">
        <v>18.79</v>
      </c>
      <c r="T565" t="s">
        <v>26</v>
      </c>
    </row>
    <row r="566" spans="1:20" x14ac:dyDescent="0.3">
      <c r="A566" t="s">
        <v>20</v>
      </c>
      <c r="B566">
        <v>30</v>
      </c>
      <c r="C566">
        <v>60.5</v>
      </c>
      <c r="D566">
        <v>1.87</v>
      </c>
      <c r="E566">
        <v>17.3</v>
      </c>
      <c r="F566">
        <v>80</v>
      </c>
      <c r="G566" t="s">
        <v>528</v>
      </c>
      <c r="H566">
        <v>179</v>
      </c>
      <c r="I566">
        <v>38</v>
      </c>
      <c r="J566">
        <v>144</v>
      </c>
      <c r="K566" t="s">
        <v>23</v>
      </c>
      <c r="L566" t="s">
        <v>23</v>
      </c>
      <c r="M566" t="s">
        <v>37</v>
      </c>
      <c r="O566">
        <v>91</v>
      </c>
      <c r="P566">
        <v>70</v>
      </c>
      <c r="Q566" t="s">
        <v>33</v>
      </c>
      <c r="R566">
        <v>111</v>
      </c>
      <c r="S566">
        <v>13.59</v>
      </c>
      <c r="T566" t="s">
        <v>30</v>
      </c>
    </row>
    <row r="567" spans="1:20" x14ac:dyDescent="0.3">
      <c r="A567" t="s">
        <v>20</v>
      </c>
      <c r="B567">
        <v>46</v>
      </c>
      <c r="C567">
        <v>112.3</v>
      </c>
      <c r="D567">
        <v>1.73</v>
      </c>
      <c r="E567">
        <v>37.5</v>
      </c>
      <c r="F567">
        <v>87.9</v>
      </c>
      <c r="G567" t="s">
        <v>529</v>
      </c>
      <c r="H567">
        <v>207</v>
      </c>
      <c r="I567">
        <v>66</v>
      </c>
      <c r="J567">
        <v>138</v>
      </c>
      <c r="K567" t="s">
        <v>23</v>
      </c>
      <c r="L567" t="s">
        <v>23</v>
      </c>
      <c r="M567" t="s">
        <v>24</v>
      </c>
      <c r="N567">
        <v>0.50800000000000001</v>
      </c>
      <c r="O567">
        <v>116</v>
      </c>
      <c r="P567">
        <v>87</v>
      </c>
      <c r="Q567" t="s">
        <v>29</v>
      </c>
      <c r="S567">
        <v>19.440000000000001</v>
      </c>
      <c r="T567" t="s">
        <v>30</v>
      </c>
    </row>
    <row r="568" spans="1:20" x14ac:dyDescent="0.3">
      <c r="A568" t="s">
        <v>20</v>
      </c>
      <c r="B568">
        <v>49</v>
      </c>
      <c r="C568">
        <v>92.3</v>
      </c>
      <c r="D568">
        <v>1.69</v>
      </c>
      <c r="E568">
        <v>32.299999999999997</v>
      </c>
      <c r="F568">
        <v>107.1</v>
      </c>
      <c r="G568" t="s">
        <v>530</v>
      </c>
      <c r="H568">
        <v>230</v>
      </c>
      <c r="I568">
        <v>70</v>
      </c>
      <c r="J568">
        <v>74</v>
      </c>
      <c r="K568" t="s">
        <v>23</v>
      </c>
      <c r="L568" t="s">
        <v>22</v>
      </c>
      <c r="M568" t="s">
        <v>24</v>
      </c>
      <c r="N568">
        <v>0.63400000000000001</v>
      </c>
      <c r="O568">
        <v>147</v>
      </c>
      <c r="P568">
        <v>79</v>
      </c>
      <c r="Q568" t="s">
        <v>38</v>
      </c>
      <c r="R568">
        <v>130</v>
      </c>
      <c r="S568">
        <v>18.41</v>
      </c>
      <c r="T568" t="s">
        <v>30</v>
      </c>
    </row>
    <row r="569" spans="1:20" x14ac:dyDescent="0.3">
      <c r="A569" t="s">
        <v>31</v>
      </c>
      <c r="B569">
        <v>47</v>
      </c>
      <c r="D569">
        <v>1.86</v>
      </c>
      <c r="E569">
        <v>33.9</v>
      </c>
      <c r="F569">
        <v>99.5</v>
      </c>
      <c r="G569" t="s">
        <v>531</v>
      </c>
      <c r="H569">
        <v>218</v>
      </c>
      <c r="J569">
        <v>108</v>
      </c>
      <c r="K569" t="s">
        <v>23</v>
      </c>
      <c r="L569" t="s">
        <v>22</v>
      </c>
      <c r="M569" t="s">
        <v>24</v>
      </c>
      <c r="N569">
        <v>0.53500000000000003</v>
      </c>
      <c r="O569">
        <v>97</v>
      </c>
      <c r="P569">
        <v>72</v>
      </c>
      <c r="Q569" t="s">
        <v>33</v>
      </c>
      <c r="R569">
        <v>152</v>
      </c>
      <c r="S569">
        <v>15.99</v>
      </c>
      <c r="T569" t="s">
        <v>30</v>
      </c>
    </row>
    <row r="570" spans="1:20" x14ac:dyDescent="0.3">
      <c r="A570" t="s">
        <v>20</v>
      </c>
      <c r="B570">
        <v>40</v>
      </c>
      <c r="C570">
        <v>115.2</v>
      </c>
      <c r="D570">
        <v>1.66</v>
      </c>
      <c r="E570">
        <v>41.8</v>
      </c>
      <c r="F570">
        <v>75.2</v>
      </c>
      <c r="G570" t="s">
        <v>532</v>
      </c>
      <c r="H570">
        <v>300</v>
      </c>
      <c r="I570">
        <v>40</v>
      </c>
      <c r="J570">
        <v>146</v>
      </c>
      <c r="K570" t="s">
        <v>22</v>
      </c>
      <c r="L570" t="s">
        <v>22</v>
      </c>
      <c r="M570" t="s">
        <v>37</v>
      </c>
      <c r="N570">
        <v>0.45300000000000001</v>
      </c>
      <c r="O570">
        <v>119</v>
      </c>
      <c r="P570">
        <v>72</v>
      </c>
      <c r="Q570" t="s">
        <v>33</v>
      </c>
      <c r="R570">
        <v>230</v>
      </c>
      <c r="T570" t="s">
        <v>26</v>
      </c>
    </row>
    <row r="571" spans="1:20" x14ac:dyDescent="0.3">
      <c r="A571" t="s">
        <v>20</v>
      </c>
      <c r="B571">
        <v>50</v>
      </c>
      <c r="C571">
        <v>72.8</v>
      </c>
      <c r="D571">
        <v>1.79</v>
      </c>
      <c r="E571">
        <v>22.7</v>
      </c>
      <c r="F571">
        <v>76.8</v>
      </c>
      <c r="G571" t="s">
        <v>182</v>
      </c>
      <c r="H571">
        <v>276</v>
      </c>
      <c r="I571">
        <v>36</v>
      </c>
      <c r="J571">
        <v>75</v>
      </c>
      <c r="K571" t="s">
        <v>23</v>
      </c>
      <c r="L571" t="s">
        <v>22</v>
      </c>
      <c r="M571" t="s">
        <v>37</v>
      </c>
      <c r="N571">
        <v>0.42899999999999999</v>
      </c>
      <c r="O571">
        <v>119</v>
      </c>
      <c r="P571">
        <v>81</v>
      </c>
      <c r="Q571" t="s">
        <v>29</v>
      </c>
      <c r="R571">
        <v>210</v>
      </c>
      <c r="S571">
        <v>16.010000000000002</v>
      </c>
      <c r="T571" t="s">
        <v>30</v>
      </c>
    </row>
    <row r="572" spans="1:20" x14ac:dyDescent="0.3">
      <c r="A572" t="s">
        <v>31</v>
      </c>
      <c r="C572">
        <v>70.900000000000006</v>
      </c>
      <c r="D572">
        <v>1.8</v>
      </c>
      <c r="E572">
        <v>21.9</v>
      </c>
      <c r="F572">
        <v>88</v>
      </c>
      <c r="G572" t="s">
        <v>533</v>
      </c>
      <c r="H572">
        <v>271</v>
      </c>
      <c r="I572">
        <v>67</v>
      </c>
      <c r="J572">
        <v>150</v>
      </c>
      <c r="K572" t="s">
        <v>22</v>
      </c>
      <c r="L572" t="s">
        <v>23</v>
      </c>
      <c r="M572" t="s">
        <v>24</v>
      </c>
      <c r="N572">
        <v>0.48899999999999999</v>
      </c>
      <c r="O572">
        <v>137</v>
      </c>
      <c r="P572">
        <v>91</v>
      </c>
      <c r="Q572" t="s">
        <v>29</v>
      </c>
      <c r="R572">
        <v>174</v>
      </c>
      <c r="S572">
        <v>18.649999999999999</v>
      </c>
      <c r="T572" t="s">
        <v>30</v>
      </c>
    </row>
    <row r="573" spans="1:20" x14ac:dyDescent="0.3">
      <c r="A573" t="s">
        <v>20</v>
      </c>
      <c r="B573">
        <v>44</v>
      </c>
      <c r="C573">
        <v>58.1</v>
      </c>
      <c r="D573">
        <v>1.78</v>
      </c>
      <c r="F573">
        <v>98.9</v>
      </c>
      <c r="G573" t="s">
        <v>534</v>
      </c>
      <c r="H573">
        <v>173</v>
      </c>
      <c r="I573">
        <v>36</v>
      </c>
      <c r="J573">
        <v>130</v>
      </c>
      <c r="K573" t="s">
        <v>23</v>
      </c>
      <c r="L573" t="s">
        <v>23</v>
      </c>
      <c r="M573" t="s">
        <v>24</v>
      </c>
      <c r="N573">
        <v>0.55600000000000005</v>
      </c>
      <c r="O573">
        <v>93</v>
      </c>
      <c r="Q573" t="s">
        <v>33</v>
      </c>
      <c r="R573">
        <v>107</v>
      </c>
      <c r="S573">
        <v>13.77</v>
      </c>
      <c r="T573" t="s">
        <v>30</v>
      </c>
    </row>
    <row r="574" spans="1:20" x14ac:dyDescent="0.3">
      <c r="A574" t="s">
        <v>31</v>
      </c>
      <c r="B574">
        <v>47</v>
      </c>
      <c r="C574">
        <v>54.6</v>
      </c>
      <c r="D574">
        <v>1.68</v>
      </c>
      <c r="E574">
        <v>19.3</v>
      </c>
      <c r="F574">
        <v>99.6</v>
      </c>
      <c r="G574" t="s">
        <v>535</v>
      </c>
      <c r="H574">
        <v>172</v>
      </c>
      <c r="I574">
        <v>36</v>
      </c>
      <c r="J574">
        <v>150</v>
      </c>
      <c r="K574" t="s">
        <v>23</v>
      </c>
      <c r="L574" t="s">
        <v>23</v>
      </c>
      <c r="M574" t="s">
        <v>24</v>
      </c>
      <c r="N574">
        <v>0.59299999999999997</v>
      </c>
      <c r="O574">
        <v>134</v>
      </c>
      <c r="P574">
        <v>72</v>
      </c>
      <c r="Q574" t="s">
        <v>29</v>
      </c>
      <c r="R574">
        <v>106</v>
      </c>
      <c r="S574">
        <v>16</v>
      </c>
      <c r="T574" t="s">
        <v>30</v>
      </c>
    </row>
    <row r="575" spans="1:20" x14ac:dyDescent="0.3">
      <c r="A575" t="s">
        <v>31</v>
      </c>
      <c r="B575">
        <v>53</v>
      </c>
      <c r="C575">
        <v>75.7</v>
      </c>
      <c r="D575">
        <v>1.7</v>
      </c>
      <c r="E575">
        <v>26.2</v>
      </c>
      <c r="F575">
        <v>91</v>
      </c>
      <c r="G575" t="s">
        <v>359</v>
      </c>
      <c r="H575">
        <v>280</v>
      </c>
      <c r="I575">
        <v>52</v>
      </c>
      <c r="J575">
        <v>72</v>
      </c>
      <c r="K575" t="s">
        <v>22</v>
      </c>
      <c r="L575" t="s">
        <v>23</v>
      </c>
      <c r="M575" t="s">
        <v>37</v>
      </c>
      <c r="O575">
        <v>103</v>
      </c>
      <c r="P575">
        <v>69</v>
      </c>
      <c r="Q575" t="s">
        <v>33</v>
      </c>
      <c r="R575">
        <v>198</v>
      </c>
      <c r="S575">
        <v>17.989999999999998</v>
      </c>
      <c r="T575" t="s">
        <v>30</v>
      </c>
    </row>
    <row r="576" spans="1:20" x14ac:dyDescent="0.3">
      <c r="A576" t="s">
        <v>20</v>
      </c>
      <c r="B576">
        <v>51</v>
      </c>
      <c r="C576">
        <v>116.2</v>
      </c>
      <c r="D576">
        <v>1.89</v>
      </c>
      <c r="E576">
        <v>32.5</v>
      </c>
      <c r="F576">
        <v>81.3</v>
      </c>
      <c r="G576" t="s">
        <v>226</v>
      </c>
      <c r="H576">
        <v>108</v>
      </c>
      <c r="I576">
        <v>43</v>
      </c>
      <c r="J576">
        <v>103</v>
      </c>
      <c r="K576" t="s">
        <v>22</v>
      </c>
      <c r="L576" t="s">
        <v>23</v>
      </c>
      <c r="M576" t="s">
        <v>28</v>
      </c>
      <c r="N576">
        <v>0.43</v>
      </c>
      <c r="P576">
        <v>84</v>
      </c>
      <c r="Q576" t="s">
        <v>29</v>
      </c>
      <c r="R576">
        <v>35</v>
      </c>
      <c r="S576">
        <v>16.559999999999999</v>
      </c>
      <c r="T576" t="s">
        <v>30</v>
      </c>
    </row>
    <row r="577" spans="1:20" x14ac:dyDescent="0.3">
      <c r="A577" t="s">
        <v>31</v>
      </c>
      <c r="B577">
        <v>33</v>
      </c>
      <c r="C577">
        <v>116.5</v>
      </c>
      <c r="D577">
        <v>1.63</v>
      </c>
      <c r="E577">
        <v>43.8</v>
      </c>
      <c r="F577">
        <v>86.7</v>
      </c>
      <c r="G577" t="s">
        <v>536</v>
      </c>
      <c r="H577">
        <v>281</v>
      </c>
      <c r="I577">
        <v>66</v>
      </c>
      <c r="J577">
        <v>130</v>
      </c>
      <c r="K577" t="s">
        <v>23</v>
      </c>
      <c r="L577" t="s">
        <v>23</v>
      </c>
      <c r="M577" t="s">
        <v>24</v>
      </c>
      <c r="N577">
        <v>0.53200000000000003</v>
      </c>
      <c r="O577">
        <v>150</v>
      </c>
      <c r="P577">
        <v>80</v>
      </c>
      <c r="Q577" t="s">
        <v>29</v>
      </c>
      <c r="R577">
        <v>185</v>
      </c>
      <c r="S577">
        <v>23.88</v>
      </c>
      <c r="T577" t="s">
        <v>30</v>
      </c>
    </row>
    <row r="578" spans="1:20" x14ac:dyDescent="0.3">
      <c r="A578" t="s">
        <v>31</v>
      </c>
      <c r="B578">
        <v>39</v>
      </c>
      <c r="C578">
        <v>62.3</v>
      </c>
      <c r="D578">
        <v>1.89</v>
      </c>
      <c r="E578">
        <v>17.399999999999999</v>
      </c>
      <c r="F578">
        <v>96.8</v>
      </c>
      <c r="G578" t="s">
        <v>537</v>
      </c>
      <c r="H578">
        <v>256</v>
      </c>
      <c r="I578">
        <v>60</v>
      </c>
      <c r="J578">
        <v>93</v>
      </c>
      <c r="K578" t="s">
        <v>23</v>
      </c>
      <c r="L578" t="s">
        <v>23</v>
      </c>
      <c r="M578" t="s">
        <v>24</v>
      </c>
      <c r="N578">
        <v>0.51200000000000001</v>
      </c>
      <c r="O578">
        <v>125</v>
      </c>
      <c r="P578">
        <v>64</v>
      </c>
      <c r="Q578" t="s">
        <v>25</v>
      </c>
      <c r="R578">
        <v>166</v>
      </c>
      <c r="S578">
        <v>16.850000000000001</v>
      </c>
      <c r="T578" t="s">
        <v>30</v>
      </c>
    </row>
    <row r="579" spans="1:20" x14ac:dyDescent="0.3">
      <c r="A579" t="s">
        <v>20</v>
      </c>
      <c r="B579">
        <v>48</v>
      </c>
      <c r="C579">
        <v>59.4</v>
      </c>
      <c r="D579">
        <v>1.88</v>
      </c>
      <c r="E579">
        <v>16.8</v>
      </c>
      <c r="F579">
        <v>91.2</v>
      </c>
      <c r="G579" t="s">
        <v>538</v>
      </c>
      <c r="H579">
        <v>214</v>
      </c>
      <c r="I579">
        <v>69</v>
      </c>
      <c r="J579">
        <v>77</v>
      </c>
      <c r="K579" t="s">
        <v>22</v>
      </c>
      <c r="L579" t="s">
        <v>22</v>
      </c>
      <c r="M579" t="s">
        <v>24</v>
      </c>
      <c r="N579">
        <v>0.48499999999999999</v>
      </c>
      <c r="O579">
        <v>102</v>
      </c>
      <c r="P579">
        <v>84</v>
      </c>
      <c r="Q579" t="s">
        <v>29</v>
      </c>
      <c r="R579">
        <v>115</v>
      </c>
      <c r="S579">
        <v>12.74</v>
      </c>
      <c r="T579" t="s">
        <v>30</v>
      </c>
    </row>
    <row r="580" spans="1:20" x14ac:dyDescent="0.3">
      <c r="A580" t="s">
        <v>20</v>
      </c>
      <c r="B580">
        <v>40</v>
      </c>
      <c r="D580">
        <v>1.71</v>
      </c>
      <c r="E580">
        <v>20.5</v>
      </c>
      <c r="F580">
        <v>101.5</v>
      </c>
      <c r="G580" t="s">
        <v>539</v>
      </c>
      <c r="H580">
        <v>127</v>
      </c>
      <c r="I580">
        <v>34</v>
      </c>
      <c r="J580">
        <v>88</v>
      </c>
      <c r="K580" t="s">
        <v>23</v>
      </c>
      <c r="L580" t="s">
        <v>23</v>
      </c>
      <c r="M580" t="s">
        <v>24</v>
      </c>
      <c r="N580">
        <v>0.59399999999999997</v>
      </c>
      <c r="O580">
        <v>117</v>
      </c>
      <c r="P580">
        <v>86</v>
      </c>
      <c r="Q580" t="s">
        <v>29</v>
      </c>
      <c r="R580">
        <v>63</v>
      </c>
      <c r="S580">
        <v>14.49</v>
      </c>
      <c r="T580" t="s">
        <v>30</v>
      </c>
    </row>
    <row r="581" spans="1:20" x14ac:dyDescent="0.3">
      <c r="A581" t="s">
        <v>20</v>
      </c>
      <c r="C581">
        <v>86.2</v>
      </c>
      <c r="D581">
        <v>1.72</v>
      </c>
      <c r="E581">
        <v>29.1</v>
      </c>
      <c r="F581">
        <v>109.5</v>
      </c>
      <c r="G581" t="s">
        <v>540</v>
      </c>
      <c r="H581">
        <v>282</v>
      </c>
      <c r="I581">
        <v>53</v>
      </c>
      <c r="J581">
        <v>107</v>
      </c>
      <c r="K581" t="s">
        <v>23</v>
      </c>
      <c r="L581" t="s">
        <v>23</v>
      </c>
      <c r="M581" t="s">
        <v>37</v>
      </c>
      <c r="N581">
        <v>0.63700000000000001</v>
      </c>
      <c r="O581">
        <v>112</v>
      </c>
      <c r="P581">
        <v>79</v>
      </c>
      <c r="Q581" t="s">
        <v>33</v>
      </c>
      <c r="S581">
        <v>19.059999999999999</v>
      </c>
      <c r="T581" t="s">
        <v>30</v>
      </c>
    </row>
    <row r="582" spans="1:20" x14ac:dyDescent="0.3">
      <c r="A582" t="s">
        <v>20</v>
      </c>
      <c r="B582">
        <v>43</v>
      </c>
      <c r="D582">
        <v>1.62</v>
      </c>
      <c r="E582">
        <v>30.7</v>
      </c>
      <c r="F582">
        <v>89.4</v>
      </c>
      <c r="G582" t="s">
        <v>541</v>
      </c>
      <c r="H582">
        <v>209</v>
      </c>
      <c r="I582">
        <v>66</v>
      </c>
      <c r="J582">
        <v>111</v>
      </c>
      <c r="K582" t="s">
        <v>22</v>
      </c>
      <c r="L582" t="s">
        <v>22</v>
      </c>
      <c r="M582" t="s">
        <v>28</v>
      </c>
      <c r="N582">
        <v>0.55200000000000005</v>
      </c>
      <c r="O582">
        <v>120</v>
      </c>
      <c r="Q582" t="s">
        <v>38</v>
      </c>
      <c r="R582">
        <v>113</v>
      </c>
      <c r="S582">
        <v>16.32</v>
      </c>
      <c r="T582" t="s">
        <v>26</v>
      </c>
    </row>
    <row r="583" spans="1:20" x14ac:dyDescent="0.3">
      <c r="A583" t="s">
        <v>31</v>
      </c>
      <c r="C583">
        <v>52.8</v>
      </c>
      <c r="D583">
        <v>1.8</v>
      </c>
      <c r="E583">
        <v>16.3</v>
      </c>
      <c r="F583">
        <v>77.3</v>
      </c>
      <c r="G583" t="s">
        <v>383</v>
      </c>
      <c r="H583">
        <v>167</v>
      </c>
      <c r="I583">
        <v>32</v>
      </c>
      <c r="J583">
        <v>135</v>
      </c>
      <c r="K583" t="s">
        <v>22</v>
      </c>
      <c r="L583" t="s">
        <v>23</v>
      </c>
      <c r="M583" t="s">
        <v>24</v>
      </c>
      <c r="N583">
        <v>0.42899999999999999</v>
      </c>
      <c r="O583">
        <v>113</v>
      </c>
      <c r="P583">
        <v>96</v>
      </c>
      <c r="Q583" t="s">
        <v>38</v>
      </c>
      <c r="R583">
        <v>105</v>
      </c>
      <c r="S583">
        <v>14.25</v>
      </c>
      <c r="T583" t="s">
        <v>26</v>
      </c>
    </row>
    <row r="584" spans="1:20" x14ac:dyDescent="0.3">
      <c r="A584" t="s">
        <v>31</v>
      </c>
      <c r="B584">
        <v>41</v>
      </c>
      <c r="C584">
        <v>92</v>
      </c>
      <c r="D584">
        <v>1.77</v>
      </c>
      <c r="E584">
        <v>29.4</v>
      </c>
      <c r="F584">
        <v>98.6</v>
      </c>
      <c r="G584" t="s">
        <v>542</v>
      </c>
      <c r="H584">
        <v>256</v>
      </c>
      <c r="I584">
        <v>49</v>
      </c>
      <c r="J584">
        <v>75</v>
      </c>
      <c r="K584" t="s">
        <v>22</v>
      </c>
      <c r="L584" t="s">
        <v>22</v>
      </c>
      <c r="M584" t="s">
        <v>28</v>
      </c>
      <c r="N584">
        <v>0.55700000000000005</v>
      </c>
      <c r="P584">
        <v>87</v>
      </c>
      <c r="Q584" t="s">
        <v>29</v>
      </c>
      <c r="R584">
        <v>177</v>
      </c>
      <c r="S584">
        <v>16.649999999999999</v>
      </c>
      <c r="T584" t="s">
        <v>26</v>
      </c>
    </row>
    <row r="585" spans="1:20" x14ac:dyDescent="0.3">
      <c r="A585" t="s">
        <v>31</v>
      </c>
      <c r="B585">
        <v>32</v>
      </c>
      <c r="C585">
        <v>106.7</v>
      </c>
      <c r="D585">
        <v>1.85</v>
      </c>
      <c r="E585">
        <v>31.2</v>
      </c>
      <c r="F585">
        <v>72.599999999999994</v>
      </c>
      <c r="G585" t="s">
        <v>57</v>
      </c>
      <c r="H585">
        <v>100</v>
      </c>
      <c r="I585">
        <v>55</v>
      </c>
      <c r="J585">
        <v>95</v>
      </c>
      <c r="K585" t="s">
        <v>23</v>
      </c>
      <c r="L585" t="s">
        <v>23</v>
      </c>
      <c r="M585" t="s">
        <v>37</v>
      </c>
      <c r="N585">
        <v>0.39200000000000002</v>
      </c>
      <c r="O585">
        <v>102</v>
      </c>
      <c r="P585">
        <v>74</v>
      </c>
      <c r="Q585" t="s">
        <v>33</v>
      </c>
      <c r="R585">
        <v>15</v>
      </c>
      <c r="S585">
        <v>15.34</v>
      </c>
      <c r="T585" t="s">
        <v>30</v>
      </c>
    </row>
    <row r="586" spans="1:20" x14ac:dyDescent="0.3">
      <c r="A586" t="s">
        <v>20</v>
      </c>
      <c r="B586">
        <v>43</v>
      </c>
      <c r="C586">
        <v>62.2</v>
      </c>
      <c r="D586">
        <v>1.66</v>
      </c>
      <c r="E586">
        <v>22.6</v>
      </c>
      <c r="F586">
        <v>93.9</v>
      </c>
      <c r="G586" t="s">
        <v>226</v>
      </c>
      <c r="H586">
        <v>164</v>
      </c>
      <c r="I586">
        <v>38</v>
      </c>
      <c r="J586">
        <v>88</v>
      </c>
      <c r="K586" t="s">
        <v>22</v>
      </c>
      <c r="L586" t="s">
        <v>23</v>
      </c>
      <c r="M586" t="s">
        <v>28</v>
      </c>
      <c r="N586">
        <v>0.56599999999999995</v>
      </c>
      <c r="O586">
        <v>118</v>
      </c>
      <c r="P586">
        <v>84</v>
      </c>
      <c r="Q586" t="s">
        <v>29</v>
      </c>
      <c r="R586">
        <v>96</v>
      </c>
      <c r="S586">
        <v>15.7</v>
      </c>
      <c r="T586" t="s">
        <v>26</v>
      </c>
    </row>
    <row r="587" spans="1:20" x14ac:dyDescent="0.3">
      <c r="A587" t="s">
        <v>20</v>
      </c>
      <c r="B587">
        <v>37</v>
      </c>
      <c r="C587">
        <v>99.6</v>
      </c>
      <c r="D587">
        <v>1.8</v>
      </c>
      <c r="E587">
        <v>30.7</v>
      </c>
      <c r="F587">
        <v>102.4</v>
      </c>
      <c r="G587" t="s">
        <v>543</v>
      </c>
      <c r="H587">
        <v>232</v>
      </c>
      <c r="I587">
        <v>73</v>
      </c>
      <c r="K587" t="s">
        <v>22</v>
      </c>
      <c r="L587" t="s">
        <v>22</v>
      </c>
      <c r="M587" t="s">
        <v>24</v>
      </c>
      <c r="N587">
        <v>0.56899999999999995</v>
      </c>
      <c r="O587">
        <v>120</v>
      </c>
      <c r="P587">
        <v>97</v>
      </c>
      <c r="Q587" t="s">
        <v>38</v>
      </c>
      <c r="R587">
        <v>129</v>
      </c>
      <c r="S587">
        <v>16.78</v>
      </c>
      <c r="T587" t="s">
        <v>26</v>
      </c>
    </row>
    <row r="588" spans="1:20" x14ac:dyDescent="0.3">
      <c r="A588" t="s">
        <v>20</v>
      </c>
      <c r="B588">
        <v>59</v>
      </c>
      <c r="C588">
        <v>52.4</v>
      </c>
      <c r="D588">
        <v>1.66</v>
      </c>
      <c r="E588">
        <v>19</v>
      </c>
      <c r="F588">
        <v>95.6</v>
      </c>
      <c r="G588" t="s">
        <v>544</v>
      </c>
      <c r="H588">
        <v>103</v>
      </c>
      <c r="I588">
        <v>37</v>
      </c>
      <c r="J588">
        <v>144</v>
      </c>
      <c r="K588" t="s">
        <v>23</v>
      </c>
      <c r="L588" t="s">
        <v>23</v>
      </c>
      <c r="M588" t="s">
        <v>24</v>
      </c>
      <c r="N588">
        <v>0.57599999999999996</v>
      </c>
      <c r="O588">
        <v>93</v>
      </c>
      <c r="P588">
        <v>73</v>
      </c>
      <c r="Q588" t="s">
        <v>33</v>
      </c>
      <c r="R588">
        <v>36</v>
      </c>
      <c r="T588" t="s">
        <v>30</v>
      </c>
    </row>
    <row r="589" spans="1:20" x14ac:dyDescent="0.3">
      <c r="A589" t="s">
        <v>31</v>
      </c>
      <c r="B589">
        <v>35</v>
      </c>
      <c r="C589">
        <v>118.4</v>
      </c>
      <c r="D589">
        <v>1.76</v>
      </c>
      <c r="E589">
        <v>38.200000000000003</v>
      </c>
      <c r="F589">
        <v>74.400000000000006</v>
      </c>
      <c r="G589" t="s">
        <v>545</v>
      </c>
      <c r="H589">
        <v>162</v>
      </c>
      <c r="I589">
        <v>32</v>
      </c>
      <c r="J589">
        <v>107</v>
      </c>
      <c r="K589" t="s">
        <v>23</v>
      </c>
      <c r="L589" t="s">
        <v>23</v>
      </c>
      <c r="M589" t="s">
        <v>28</v>
      </c>
      <c r="N589">
        <v>0.42299999999999999</v>
      </c>
      <c r="O589">
        <v>96</v>
      </c>
      <c r="P589">
        <v>71</v>
      </c>
      <c r="Q589" t="s">
        <v>33</v>
      </c>
      <c r="R589">
        <v>100</v>
      </c>
      <c r="S589">
        <v>17.68</v>
      </c>
      <c r="T589" t="s">
        <v>30</v>
      </c>
    </row>
    <row r="590" spans="1:20" x14ac:dyDescent="0.3">
      <c r="A590" t="s">
        <v>31</v>
      </c>
      <c r="B590">
        <v>34</v>
      </c>
      <c r="C590">
        <v>60.4</v>
      </c>
      <c r="D590">
        <v>1.81</v>
      </c>
      <c r="E590">
        <v>18.399999999999999</v>
      </c>
      <c r="F590">
        <v>94.6</v>
      </c>
      <c r="G590" t="s">
        <v>546</v>
      </c>
      <c r="H590">
        <v>268</v>
      </c>
      <c r="I590">
        <v>56</v>
      </c>
      <c r="J590">
        <v>85</v>
      </c>
      <c r="K590" t="s">
        <v>23</v>
      </c>
      <c r="L590" t="s">
        <v>22</v>
      </c>
      <c r="M590" t="s">
        <v>28</v>
      </c>
      <c r="N590">
        <v>0.52300000000000002</v>
      </c>
      <c r="O590">
        <v>136</v>
      </c>
      <c r="P590">
        <v>67</v>
      </c>
      <c r="Q590" t="s">
        <v>29</v>
      </c>
      <c r="R590">
        <v>182</v>
      </c>
      <c r="S590">
        <v>15.84</v>
      </c>
      <c r="T590" t="s">
        <v>26</v>
      </c>
    </row>
    <row r="591" spans="1:20" x14ac:dyDescent="0.3">
      <c r="A591" t="s">
        <v>31</v>
      </c>
      <c r="B591">
        <v>57</v>
      </c>
      <c r="C591">
        <v>109.7</v>
      </c>
      <c r="D591">
        <v>1.73</v>
      </c>
      <c r="E591">
        <v>36.700000000000003</v>
      </c>
      <c r="G591" t="s">
        <v>547</v>
      </c>
      <c r="H591">
        <v>142</v>
      </c>
      <c r="I591">
        <v>32</v>
      </c>
      <c r="J591">
        <v>114</v>
      </c>
      <c r="K591" t="s">
        <v>22</v>
      </c>
      <c r="L591" t="s">
        <v>23</v>
      </c>
      <c r="M591" t="s">
        <v>24</v>
      </c>
      <c r="N591">
        <v>0.436</v>
      </c>
      <c r="O591">
        <v>94</v>
      </c>
      <c r="P591">
        <v>85</v>
      </c>
      <c r="Q591" t="s">
        <v>29</v>
      </c>
      <c r="R591">
        <v>80</v>
      </c>
      <c r="S591">
        <v>16.88</v>
      </c>
      <c r="T591" t="s">
        <v>30</v>
      </c>
    </row>
    <row r="592" spans="1:20" x14ac:dyDescent="0.3">
      <c r="A592" t="s">
        <v>20</v>
      </c>
      <c r="B592">
        <v>32</v>
      </c>
      <c r="C592">
        <v>110.3</v>
      </c>
      <c r="D592">
        <v>1.7</v>
      </c>
      <c r="E592">
        <v>38.200000000000003</v>
      </c>
      <c r="F592">
        <v>73.5</v>
      </c>
      <c r="G592" t="s">
        <v>548</v>
      </c>
      <c r="H592">
        <v>290</v>
      </c>
      <c r="I592">
        <v>78</v>
      </c>
      <c r="K592" t="s">
        <v>23</v>
      </c>
      <c r="L592" t="s">
        <v>23</v>
      </c>
      <c r="M592" t="s">
        <v>24</v>
      </c>
      <c r="N592">
        <v>0.432</v>
      </c>
      <c r="O592">
        <v>112</v>
      </c>
      <c r="P592">
        <v>63</v>
      </c>
      <c r="Q592" t="s">
        <v>33</v>
      </c>
      <c r="R592">
        <v>182</v>
      </c>
      <c r="S592">
        <v>21.04</v>
      </c>
      <c r="T592" t="s">
        <v>30</v>
      </c>
    </row>
    <row r="593" spans="1:20" x14ac:dyDescent="0.3">
      <c r="A593" t="s">
        <v>20</v>
      </c>
      <c r="B593">
        <v>42</v>
      </c>
      <c r="C593">
        <v>109.2</v>
      </c>
      <c r="D593">
        <v>1.86</v>
      </c>
      <c r="E593">
        <v>31.6</v>
      </c>
      <c r="F593">
        <v>91</v>
      </c>
      <c r="G593" t="s">
        <v>549</v>
      </c>
      <c r="H593">
        <v>277</v>
      </c>
      <c r="I593">
        <v>30</v>
      </c>
      <c r="J593">
        <v>107</v>
      </c>
      <c r="K593" t="s">
        <v>22</v>
      </c>
      <c r="L593" t="s">
        <v>22</v>
      </c>
      <c r="M593" t="s">
        <v>28</v>
      </c>
      <c r="N593">
        <v>0.48899999999999999</v>
      </c>
      <c r="O593">
        <v>146</v>
      </c>
      <c r="P593">
        <v>74</v>
      </c>
      <c r="Q593" t="s">
        <v>38</v>
      </c>
      <c r="R593">
        <v>217</v>
      </c>
      <c r="S593">
        <v>19.16</v>
      </c>
      <c r="T593" t="s">
        <v>26</v>
      </c>
    </row>
    <row r="594" spans="1:20" x14ac:dyDescent="0.3">
      <c r="A594" t="s">
        <v>20</v>
      </c>
      <c r="B594">
        <v>57</v>
      </c>
      <c r="C594">
        <v>118.9</v>
      </c>
      <c r="D594">
        <v>1.89</v>
      </c>
      <c r="E594">
        <v>33.299999999999997</v>
      </c>
      <c r="F594">
        <v>76.7</v>
      </c>
      <c r="G594" t="s">
        <v>525</v>
      </c>
      <c r="H594">
        <v>193</v>
      </c>
      <c r="I594">
        <v>43</v>
      </c>
      <c r="J594">
        <v>81</v>
      </c>
      <c r="K594" t="s">
        <v>23</v>
      </c>
      <c r="L594" t="s">
        <v>22</v>
      </c>
      <c r="M594" t="s">
        <v>37</v>
      </c>
      <c r="N594">
        <v>0.40600000000000003</v>
      </c>
      <c r="O594">
        <v>147</v>
      </c>
      <c r="P594">
        <v>74</v>
      </c>
      <c r="Q594" t="s">
        <v>38</v>
      </c>
      <c r="R594">
        <v>120</v>
      </c>
      <c r="S594">
        <v>17.87</v>
      </c>
      <c r="T594" t="s">
        <v>26</v>
      </c>
    </row>
    <row r="595" spans="1:20" x14ac:dyDescent="0.3">
      <c r="A595" t="s">
        <v>31</v>
      </c>
      <c r="B595">
        <v>35</v>
      </c>
      <c r="C595">
        <v>63</v>
      </c>
      <c r="D595">
        <v>1.76</v>
      </c>
      <c r="E595">
        <v>20.3</v>
      </c>
      <c r="F595">
        <v>91.9</v>
      </c>
      <c r="G595" t="s">
        <v>550</v>
      </c>
      <c r="H595">
        <v>187</v>
      </c>
      <c r="I595">
        <v>74</v>
      </c>
      <c r="J595">
        <v>146</v>
      </c>
      <c r="K595" t="s">
        <v>23</v>
      </c>
      <c r="L595" t="s">
        <v>22</v>
      </c>
      <c r="M595" t="s">
        <v>37</v>
      </c>
      <c r="N595">
        <v>0.52200000000000002</v>
      </c>
      <c r="O595">
        <v>139</v>
      </c>
      <c r="P595">
        <v>89</v>
      </c>
      <c r="Q595" t="s">
        <v>29</v>
      </c>
      <c r="R595">
        <v>83</v>
      </c>
      <c r="S595">
        <v>14.75</v>
      </c>
      <c r="T595" t="s">
        <v>26</v>
      </c>
    </row>
    <row r="596" spans="1:20" x14ac:dyDescent="0.3">
      <c r="A596" t="s">
        <v>20</v>
      </c>
      <c r="B596">
        <v>47</v>
      </c>
      <c r="C596">
        <v>77.2</v>
      </c>
      <c r="D596">
        <v>1.61</v>
      </c>
      <c r="E596">
        <v>29.8</v>
      </c>
      <c r="F596">
        <v>86.9</v>
      </c>
      <c r="G596" t="s">
        <v>551</v>
      </c>
      <c r="H596">
        <v>276</v>
      </c>
      <c r="I596">
        <v>78</v>
      </c>
      <c r="J596">
        <v>86</v>
      </c>
      <c r="K596" t="s">
        <v>22</v>
      </c>
      <c r="L596" t="s">
        <v>22</v>
      </c>
      <c r="M596" t="s">
        <v>24</v>
      </c>
      <c r="N596">
        <v>0.54</v>
      </c>
      <c r="O596">
        <v>129</v>
      </c>
      <c r="P596">
        <v>88</v>
      </c>
      <c r="Q596" t="s">
        <v>29</v>
      </c>
      <c r="R596">
        <v>168</v>
      </c>
      <c r="S596">
        <v>17.93</v>
      </c>
      <c r="T596" t="s">
        <v>30</v>
      </c>
    </row>
    <row r="597" spans="1:20" x14ac:dyDescent="0.3">
      <c r="A597" t="s">
        <v>31</v>
      </c>
      <c r="B597">
        <v>55</v>
      </c>
      <c r="C597">
        <v>52.9</v>
      </c>
      <c r="D597">
        <v>1.69</v>
      </c>
      <c r="E597">
        <v>18.5</v>
      </c>
      <c r="G597" t="s">
        <v>552</v>
      </c>
      <c r="H597">
        <v>170</v>
      </c>
      <c r="I597">
        <v>59</v>
      </c>
      <c r="J597">
        <v>130</v>
      </c>
      <c r="K597" t="s">
        <v>22</v>
      </c>
      <c r="L597" t="s">
        <v>23</v>
      </c>
      <c r="M597" t="s">
        <v>28</v>
      </c>
      <c r="N597">
        <v>0.45600000000000002</v>
      </c>
      <c r="O597">
        <v>106</v>
      </c>
      <c r="P597">
        <v>66</v>
      </c>
      <c r="Q597" t="s">
        <v>33</v>
      </c>
      <c r="R597">
        <v>81</v>
      </c>
      <c r="S597">
        <v>14.4</v>
      </c>
      <c r="T597" t="s">
        <v>26</v>
      </c>
    </row>
    <row r="598" spans="1:20" x14ac:dyDescent="0.3">
      <c r="A598" t="s">
        <v>31</v>
      </c>
      <c r="B598">
        <v>32</v>
      </c>
      <c r="C598">
        <v>75.8</v>
      </c>
      <c r="D598">
        <v>1.9</v>
      </c>
      <c r="E598">
        <v>21</v>
      </c>
      <c r="F598">
        <v>104</v>
      </c>
      <c r="G598" t="s">
        <v>553</v>
      </c>
      <c r="H598">
        <v>239</v>
      </c>
      <c r="I598">
        <v>47</v>
      </c>
      <c r="J598">
        <v>116</v>
      </c>
      <c r="K598" t="s">
        <v>23</v>
      </c>
      <c r="L598" t="s">
        <v>23</v>
      </c>
      <c r="M598" t="s">
        <v>24</v>
      </c>
      <c r="N598">
        <v>0.54700000000000004</v>
      </c>
      <c r="O598">
        <v>138</v>
      </c>
      <c r="P598">
        <v>81</v>
      </c>
      <c r="Q598" t="s">
        <v>29</v>
      </c>
      <c r="R598">
        <v>162</v>
      </c>
      <c r="S598">
        <v>17.88</v>
      </c>
      <c r="T598" t="s">
        <v>30</v>
      </c>
    </row>
    <row r="599" spans="1:20" x14ac:dyDescent="0.3">
      <c r="A599" t="s">
        <v>20</v>
      </c>
      <c r="C599">
        <v>76.3</v>
      </c>
      <c r="D599">
        <v>1.63</v>
      </c>
      <c r="E599">
        <v>28.7</v>
      </c>
      <c r="F599">
        <v>71.400000000000006</v>
      </c>
      <c r="G599" t="s">
        <v>554</v>
      </c>
      <c r="H599">
        <v>183</v>
      </c>
      <c r="I599">
        <v>50</v>
      </c>
      <c r="J599">
        <v>84</v>
      </c>
      <c r="K599" t="s">
        <v>23</v>
      </c>
      <c r="L599" t="s">
        <v>22</v>
      </c>
      <c r="M599" t="s">
        <v>37</v>
      </c>
      <c r="N599">
        <v>0.438</v>
      </c>
      <c r="O599">
        <v>91</v>
      </c>
      <c r="P599">
        <v>80</v>
      </c>
      <c r="Q599" t="s">
        <v>29</v>
      </c>
      <c r="R599">
        <v>103</v>
      </c>
      <c r="S599">
        <v>13.95</v>
      </c>
      <c r="T599" t="s">
        <v>30</v>
      </c>
    </row>
    <row r="600" spans="1:20" x14ac:dyDescent="0.3">
      <c r="A600" t="s">
        <v>31</v>
      </c>
      <c r="B600">
        <v>34</v>
      </c>
      <c r="C600">
        <v>55</v>
      </c>
      <c r="D600">
        <v>1.73</v>
      </c>
      <c r="F600">
        <v>78.8</v>
      </c>
      <c r="G600" t="s">
        <v>555</v>
      </c>
      <c r="H600">
        <v>174</v>
      </c>
      <c r="I600">
        <v>56</v>
      </c>
      <c r="J600">
        <v>95</v>
      </c>
      <c r="K600" t="s">
        <v>23</v>
      </c>
      <c r="L600" t="s">
        <v>22</v>
      </c>
      <c r="M600" t="s">
        <v>24</v>
      </c>
      <c r="N600">
        <v>0.45500000000000002</v>
      </c>
      <c r="O600">
        <v>140</v>
      </c>
      <c r="P600">
        <v>88</v>
      </c>
      <c r="Q600" t="s">
        <v>29</v>
      </c>
      <c r="R600">
        <v>88</v>
      </c>
      <c r="S600">
        <v>14.16</v>
      </c>
      <c r="T600" t="s">
        <v>26</v>
      </c>
    </row>
    <row r="601" spans="1:20" x14ac:dyDescent="0.3">
      <c r="A601" t="s">
        <v>20</v>
      </c>
      <c r="B601">
        <v>43</v>
      </c>
      <c r="C601">
        <v>59.6</v>
      </c>
      <c r="D601">
        <v>1.78</v>
      </c>
      <c r="E601">
        <v>18.8</v>
      </c>
      <c r="F601">
        <v>70.3</v>
      </c>
      <c r="G601" t="s">
        <v>556</v>
      </c>
      <c r="I601">
        <v>34</v>
      </c>
      <c r="J601">
        <v>84</v>
      </c>
      <c r="K601" t="s">
        <v>23</v>
      </c>
      <c r="L601" t="s">
        <v>23</v>
      </c>
      <c r="M601" t="s">
        <v>28</v>
      </c>
      <c r="N601">
        <v>0.39500000000000002</v>
      </c>
      <c r="O601">
        <v>128</v>
      </c>
      <c r="P601">
        <v>94</v>
      </c>
      <c r="Q601" t="s">
        <v>38</v>
      </c>
      <c r="R601">
        <v>172</v>
      </c>
      <c r="S601">
        <v>16.88</v>
      </c>
      <c r="T601" t="s">
        <v>30</v>
      </c>
    </row>
    <row r="602" spans="1:20" x14ac:dyDescent="0.3">
      <c r="A602" t="s">
        <v>20</v>
      </c>
      <c r="B602">
        <v>31</v>
      </c>
      <c r="C602">
        <v>94.7</v>
      </c>
      <c r="D602">
        <v>1.7</v>
      </c>
      <c r="E602">
        <v>32.799999999999997</v>
      </c>
      <c r="F602">
        <v>90.1</v>
      </c>
      <c r="G602" t="s">
        <v>557</v>
      </c>
      <c r="H602">
        <v>105</v>
      </c>
      <c r="I602">
        <v>31</v>
      </c>
      <c r="J602">
        <v>79</v>
      </c>
      <c r="K602" t="s">
        <v>23</v>
      </c>
      <c r="L602" t="s">
        <v>23</v>
      </c>
      <c r="M602" t="s">
        <v>24</v>
      </c>
      <c r="N602">
        <v>0.53</v>
      </c>
      <c r="O602">
        <v>115</v>
      </c>
      <c r="P602">
        <v>60</v>
      </c>
      <c r="Q602" t="s">
        <v>33</v>
      </c>
      <c r="R602">
        <v>44</v>
      </c>
      <c r="S602">
        <v>16.41</v>
      </c>
      <c r="T602" t="s">
        <v>30</v>
      </c>
    </row>
    <row r="603" spans="1:20" x14ac:dyDescent="0.3">
      <c r="A603" t="s">
        <v>31</v>
      </c>
      <c r="B603">
        <v>52</v>
      </c>
      <c r="C603">
        <v>105.5</v>
      </c>
      <c r="D603">
        <v>1.88</v>
      </c>
      <c r="E603">
        <v>29.8</v>
      </c>
      <c r="F603">
        <v>90.4</v>
      </c>
      <c r="G603" t="s">
        <v>558</v>
      </c>
      <c r="H603">
        <v>241</v>
      </c>
      <c r="I603">
        <v>67</v>
      </c>
      <c r="J603">
        <v>134</v>
      </c>
      <c r="K603" t="s">
        <v>23</v>
      </c>
      <c r="L603" t="s">
        <v>22</v>
      </c>
      <c r="M603" t="s">
        <v>24</v>
      </c>
      <c r="N603">
        <v>0.48099999999999998</v>
      </c>
      <c r="O603">
        <v>102</v>
      </c>
      <c r="P603">
        <v>82</v>
      </c>
      <c r="Q603" t="s">
        <v>29</v>
      </c>
      <c r="R603">
        <v>144</v>
      </c>
      <c r="S603">
        <v>15.88</v>
      </c>
      <c r="T603" t="s">
        <v>30</v>
      </c>
    </row>
    <row r="604" spans="1:20" x14ac:dyDescent="0.3">
      <c r="A604" t="s">
        <v>31</v>
      </c>
      <c r="B604">
        <v>55</v>
      </c>
      <c r="C604">
        <v>84.6</v>
      </c>
      <c r="D604">
        <v>1.77</v>
      </c>
      <c r="E604">
        <v>27</v>
      </c>
      <c r="F604">
        <v>79.599999999999994</v>
      </c>
      <c r="G604" t="s">
        <v>559</v>
      </c>
      <c r="H604">
        <v>273</v>
      </c>
      <c r="I604">
        <v>33</v>
      </c>
      <c r="J604">
        <v>100</v>
      </c>
      <c r="K604" t="s">
        <v>23</v>
      </c>
      <c r="L604" t="s">
        <v>22</v>
      </c>
      <c r="M604" t="s">
        <v>28</v>
      </c>
      <c r="N604">
        <v>0.45</v>
      </c>
      <c r="O604">
        <v>101</v>
      </c>
      <c r="P604">
        <v>96</v>
      </c>
      <c r="Q604" t="s">
        <v>38</v>
      </c>
      <c r="R604">
        <v>210</v>
      </c>
      <c r="S604">
        <v>15.91</v>
      </c>
      <c r="T604" t="s">
        <v>30</v>
      </c>
    </row>
    <row r="605" spans="1:20" x14ac:dyDescent="0.3">
      <c r="A605" t="s">
        <v>20</v>
      </c>
      <c r="B605">
        <v>31</v>
      </c>
      <c r="C605">
        <v>105.5</v>
      </c>
      <c r="D605">
        <v>1.77</v>
      </c>
      <c r="E605">
        <v>33.700000000000003</v>
      </c>
      <c r="F605">
        <v>77.900000000000006</v>
      </c>
      <c r="G605" t="s">
        <v>329</v>
      </c>
      <c r="H605">
        <v>134</v>
      </c>
      <c r="I605">
        <v>63</v>
      </c>
      <c r="J605">
        <v>85</v>
      </c>
      <c r="K605" t="s">
        <v>22</v>
      </c>
      <c r="L605" t="s">
        <v>22</v>
      </c>
      <c r="M605" t="s">
        <v>28</v>
      </c>
      <c r="N605">
        <v>0.44</v>
      </c>
      <c r="O605">
        <v>142</v>
      </c>
      <c r="P605">
        <v>67</v>
      </c>
      <c r="Q605" t="s">
        <v>38</v>
      </c>
      <c r="R605">
        <v>41</v>
      </c>
      <c r="S605">
        <v>16.52</v>
      </c>
      <c r="T605" t="s">
        <v>26</v>
      </c>
    </row>
    <row r="606" spans="1:20" x14ac:dyDescent="0.3">
      <c r="A606" t="s">
        <v>31</v>
      </c>
      <c r="B606">
        <v>43</v>
      </c>
      <c r="C606">
        <v>83.6</v>
      </c>
      <c r="D606">
        <v>1.88</v>
      </c>
      <c r="E606">
        <v>23.7</v>
      </c>
      <c r="F606">
        <v>91</v>
      </c>
      <c r="G606" t="s">
        <v>560</v>
      </c>
      <c r="H606">
        <v>245</v>
      </c>
      <c r="I606">
        <v>38</v>
      </c>
      <c r="J606">
        <v>138</v>
      </c>
      <c r="K606" t="s">
        <v>23</v>
      </c>
      <c r="L606" t="s">
        <v>23</v>
      </c>
      <c r="M606" t="s">
        <v>24</v>
      </c>
      <c r="N606">
        <v>0.48399999999999999</v>
      </c>
      <c r="O606">
        <v>106</v>
      </c>
      <c r="P606">
        <v>92</v>
      </c>
      <c r="Q606" t="s">
        <v>38</v>
      </c>
      <c r="R606">
        <v>177</v>
      </c>
      <c r="S606">
        <v>16.940000000000001</v>
      </c>
      <c r="T606" t="s">
        <v>30</v>
      </c>
    </row>
    <row r="607" spans="1:20" x14ac:dyDescent="0.3">
      <c r="A607" t="s">
        <v>20</v>
      </c>
      <c r="B607">
        <v>31</v>
      </c>
      <c r="C607">
        <v>119.5</v>
      </c>
      <c r="D607">
        <v>1.61</v>
      </c>
      <c r="E607">
        <v>46.1</v>
      </c>
      <c r="F607">
        <v>82.7</v>
      </c>
      <c r="G607" t="s">
        <v>561</v>
      </c>
      <c r="H607">
        <v>252</v>
      </c>
      <c r="I607">
        <v>58</v>
      </c>
      <c r="J607">
        <v>93</v>
      </c>
      <c r="K607" t="s">
        <v>22</v>
      </c>
      <c r="L607" t="s">
        <v>23</v>
      </c>
      <c r="M607" t="s">
        <v>28</v>
      </c>
      <c r="N607">
        <v>0.51400000000000001</v>
      </c>
      <c r="O607">
        <v>145</v>
      </c>
      <c r="P607">
        <v>93</v>
      </c>
      <c r="Q607" t="s">
        <v>38</v>
      </c>
      <c r="R607">
        <v>164</v>
      </c>
      <c r="S607">
        <v>23.51</v>
      </c>
      <c r="T607" t="s">
        <v>26</v>
      </c>
    </row>
    <row r="608" spans="1:20" x14ac:dyDescent="0.3">
      <c r="A608" t="s">
        <v>31</v>
      </c>
      <c r="B608">
        <v>40</v>
      </c>
      <c r="C608">
        <v>56.4</v>
      </c>
      <c r="D608">
        <v>1.85</v>
      </c>
      <c r="E608">
        <v>16.5</v>
      </c>
      <c r="F608">
        <v>84.2</v>
      </c>
      <c r="G608" t="s">
        <v>562</v>
      </c>
      <c r="H608">
        <v>155</v>
      </c>
      <c r="I608">
        <v>53</v>
      </c>
      <c r="J608">
        <v>104</v>
      </c>
      <c r="K608" t="s">
        <v>22</v>
      </c>
      <c r="L608" t="s">
        <v>22</v>
      </c>
      <c r="M608" t="s">
        <v>37</v>
      </c>
      <c r="N608">
        <v>0.45500000000000002</v>
      </c>
      <c r="O608">
        <v>144</v>
      </c>
      <c r="P608">
        <v>85</v>
      </c>
      <c r="Q608" t="s">
        <v>29</v>
      </c>
      <c r="R608">
        <v>72</v>
      </c>
      <c r="S608">
        <v>13.6</v>
      </c>
      <c r="T608" t="s">
        <v>52</v>
      </c>
    </row>
    <row r="609" spans="1:20" x14ac:dyDescent="0.3">
      <c r="A609" t="s">
        <v>20</v>
      </c>
      <c r="B609">
        <v>41</v>
      </c>
      <c r="C609">
        <v>97</v>
      </c>
      <c r="D609">
        <v>1.87</v>
      </c>
      <c r="E609">
        <v>27.7</v>
      </c>
      <c r="F609">
        <v>97.4</v>
      </c>
      <c r="G609" t="s">
        <v>563</v>
      </c>
      <c r="H609">
        <v>147</v>
      </c>
      <c r="I609">
        <v>73</v>
      </c>
      <c r="J609">
        <v>92</v>
      </c>
      <c r="K609" t="s">
        <v>22</v>
      </c>
      <c r="L609" t="s">
        <v>23</v>
      </c>
      <c r="M609" t="s">
        <v>24</v>
      </c>
      <c r="N609">
        <v>0.52100000000000002</v>
      </c>
      <c r="P609">
        <v>100</v>
      </c>
      <c r="Q609" t="s">
        <v>38</v>
      </c>
      <c r="R609">
        <v>44</v>
      </c>
      <c r="S609">
        <v>17.63</v>
      </c>
      <c r="T609" t="s">
        <v>26</v>
      </c>
    </row>
    <row r="610" spans="1:20" x14ac:dyDescent="0.3">
      <c r="A610" t="s">
        <v>31</v>
      </c>
      <c r="B610">
        <v>50</v>
      </c>
      <c r="C610">
        <v>74.7</v>
      </c>
      <c r="D610">
        <v>1.66</v>
      </c>
      <c r="E610">
        <v>27.1</v>
      </c>
      <c r="F610">
        <v>71.900000000000006</v>
      </c>
      <c r="G610" t="s">
        <v>564</v>
      </c>
      <c r="H610">
        <v>119</v>
      </c>
      <c r="I610">
        <v>46</v>
      </c>
      <c r="J610">
        <v>104</v>
      </c>
      <c r="K610" t="s">
        <v>22</v>
      </c>
      <c r="L610" t="s">
        <v>23</v>
      </c>
      <c r="M610" t="s">
        <v>28</v>
      </c>
      <c r="N610">
        <v>0.433</v>
      </c>
      <c r="O610">
        <v>92</v>
      </c>
      <c r="P610">
        <v>60</v>
      </c>
      <c r="Q610" t="s">
        <v>33</v>
      </c>
      <c r="R610">
        <v>43</v>
      </c>
      <c r="S610">
        <v>14.4</v>
      </c>
      <c r="T610" t="s">
        <v>30</v>
      </c>
    </row>
    <row r="611" spans="1:20" x14ac:dyDescent="0.3">
      <c r="A611" t="s">
        <v>20</v>
      </c>
      <c r="B611">
        <v>34</v>
      </c>
      <c r="C611">
        <v>85.3</v>
      </c>
      <c r="D611">
        <v>1.65</v>
      </c>
      <c r="E611">
        <v>31.3</v>
      </c>
      <c r="F611">
        <v>80.8</v>
      </c>
      <c r="G611" t="s">
        <v>316</v>
      </c>
      <c r="H611">
        <v>233</v>
      </c>
      <c r="I611">
        <v>55</v>
      </c>
      <c r="J611">
        <v>137</v>
      </c>
      <c r="K611" t="s">
        <v>23</v>
      </c>
      <c r="L611" t="s">
        <v>23</v>
      </c>
      <c r="M611" t="s">
        <v>37</v>
      </c>
      <c r="N611">
        <v>0.49</v>
      </c>
      <c r="O611">
        <v>104</v>
      </c>
      <c r="P611">
        <v>85</v>
      </c>
      <c r="Q611" t="s">
        <v>29</v>
      </c>
      <c r="R611">
        <v>148</v>
      </c>
      <c r="S611">
        <v>18.12</v>
      </c>
      <c r="T611" t="s">
        <v>30</v>
      </c>
    </row>
    <row r="612" spans="1:20" x14ac:dyDescent="0.3">
      <c r="A612" t="s">
        <v>31</v>
      </c>
      <c r="B612">
        <v>35</v>
      </c>
      <c r="D612">
        <v>1.71</v>
      </c>
      <c r="E612">
        <v>31.2</v>
      </c>
      <c r="F612">
        <v>88.1</v>
      </c>
      <c r="G612" t="s">
        <v>565</v>
      </c>
      <c r="H612">
        <v>218</v>
      </c>
      <c r="J612">
        <v>137</v>
      </c>
      <c r="K612" t="s">
        <v>23</v>
      </c>
      <c r="L612" t="s">
        <v>22</v>
      </c>
      <c r="M612" t="s">
        <v>37</v>
      </c>
      <c r="N612">
        <v>0.51500000000000001</v>
      </c>
      <c r="O612">
        <v>140</v>
      </c>
      <c r="P612">
        <v>66</v>
      </c>
      <c r="Q612" t="s">
        <v>38</v>
      </c>
      <c r="R612">
        <v>138</v>
      </c>
      <c r="S612">
        <v>17.600000000000001</v>
      </c>
      <c r="T612" t="s">
        <v>30</v>
      </c>
    </row>
    <row r="613" spans="1:20" x14ac:dyDescent="0.3">
      <c r="A613" t="s">
        <v>20</v>
      </c>
      <c r="B613">
        <v>54</v>
      </c>
      <c r="C613">
        <v>109.4</v>
      </c>
      <c r="D613">
        <v>1.83</v>
      </c>
      <c r="E613">
        <v>32.700000000000003</v>
      </c>
      <c r="F613">
        <v>88.5</v>
      </c>
      <c r="G613" t="s">
        <v>256</v>
      </c>
      <c r="H613">
        <v>150</v>
      </c>
      <c r="I613">
        <v>46</v>
      </c>
      <c r="J613">
        <v>78</v>
      </c>
      <c r="K613" t="s">
        <v>23</v>
      </c>
      <c r="L613" t="s">
        <v>23</v>
      </c>
      <c r="M613" t="s">
        <v>37</v>
      </c>
      <c r="N613">
        <v>0.48399999999999999</v>
      </c>
      <c r="O613">
        <v>127</v>
      </c>
      <c r="P613">
        <v>84</v>
      </c>
      <c r="Q613" t="s">
        <v>29</v>
      </c>
      <c r="R613">
        <v>74</v>
      </c>
      <c r="S613">
        <v>17.89</v>
      </c>
      <c r="T613" t="s">
        <v>30</v>
      </c>
    </row>
    <row r="614" spans="1:20" x14ac:dyDescent="0.3">
      <c r="A614" t="s">
        <v>31</v>
      </c>
      <c r="C614">
        <v>98.7</v>
      </c>
      <c r="D614">
        <v>1.63</v>
      </c>
      <c r="E614">
        <v>37.1</v>
      </c>
      <c r="F614">
        <v>89.7</v>
      </c>
      <c r="G614" t="s">
        <v>566</v>
      </c>
      <c r="H614">
        <v>158</v>
      </c>
      <c r="I614">
        <v>64</v>
      </c>
      <c r="J614">
        <v>131</v>
      </c>
      <c r="K614" t="s">
        <v>23</v>
      </c>
      <c r="L614" t="s">
        <v>23</v>
      </c>
      <c r="M614" t="s">
        <v>37</v>
      </c>
      <c r="N614">
        <v>0.55000000000000004</v>
      </c>
      <c r="O614">
        <v>139</v>
      </c>
      <c r="P614">
        <v>93</v>
      </c>
      <c r="Q614" t="s">
        <v>29</v>
      </c>
      <c r="R614">
        <v>64</v>
      </c>
      <c r="S614">
        <v>19.53</v>
      </c>
      <c r="T614" t="s">
        <v>30</v>
      </c>
    </row>
    <row r="615" spans="1:20" x14ac:dyDescent="0.3">
      <c r="A615" t="s">
        <v>20</v>
      </c>
      <c r="B615">
        <v>39</v>
      </c>
      <c r="C615">
        <v>116.3</v>
      </c>
      <c r="D615">
        <v>1.72</v>
      </c>
      <c r="E615">
        <v>39.299999999999997</v>
      </c>
      <c r="F615">
        <v>91.8</v>
      </c>
      <c r="G615" t="s">
        <v>567</v>
      </c>
      <c r="H615">
        <v>143</v>
      </c>
      <c r="I615">
        <v>31</v>
      </c>
      <c r="J615">
        <v>101</v>
      </c>
      <c r="K615" t="s">
        <v>23</v>
      </c>
      <c r="L615" t="s">
        <v>23</v>
      </c>
      <c r="M615" t="s">
        <v>24</v>
      </c>
      <c r="N615">
        <v>0.53400000000000003</v>
      </c>
      <c r="O615">
        <v>148</v>
      </c>
      <c r="P615">
        <v>100</v>
      </c>
      <c r="Q615" t="s">
        <v>38</v>
      </c>
      <c r="R615">
        <v>82</v>
      </c>
      <c r="S615">
        <v>20.12</v>
      </c>
      <c r="T615" t="s">
        <v>30</v>
      </c>
    </row>
    <row r="616" spans="1:20" x14ac:dyDescent="0.3">
      <c r="A616" t="s">
        <v>20</v>
      </c>
      <c r="B616">
        <v>42</v>
      </c>
      <c r="C616">
        <v>89.7</v>
      </c>
      <c r="D616">
        <v>1.7</v>
      </c>
      <c r="E616">
        <v>31</v>
      </c>
      <c r="F616">
        <v>83.5</v>
      </c>
      <c r="G616" t="s">
        <v>568</v>
      </c>
      <c r="H616">
        <v>217</v>
      </c>
      <c r="I616">
        <v>66</v>
      </c>
      <c r="J616">
        <v>132</v>
      </c>
      <c r="K616" t="s">
        <v>22</v>
      </c>
      <c r="L616" t="s">
        <v>23</v>
      </c>
      <c r="M616" t="s">
        <v>28</v>
      </c>
      <c r="N616">
        <v>0.49099999999999999</v>
      </c>
      <c r="O616">
        <v>146</v>
      </c>
      <c r="P616">
        <v>91</v>
      </c>
      <c r="Q616" t="s">
        <v>38</v>
      </c>
      <c r="R616">
        <v>121</v>
      </c>
      <c r="S616">
        <v>19.84</v>
      </c>
      <c r="T616" t="s">
        <v>30</v>
      </c>
    </row>
    <row r="617" spans="1:20" x14ac:dyDescent="0.3">
      <c r="A617" t="s">
        <v>31</v>
      </c>
      <c r="B617">
        <v>48</v>
      </c>
      <c r="C617">
        <v>95.7</v>
      </c>
      <c r="D617">
        <v>1.61</v>
      </c>
      <c r="E617">
        <v>36.9</v>
      </c>
      <c r="F617">
        <v>98.4</v>
      </c>
      <c r="G617" t="s">
        <v>116</v>
      </c>
      <c r="H617">
        <v>114</v>
      </c>
      <c r="I617">
        <v>47</v>
      </c>
      <c r="K617" t="s">
        <v>22</v>
      </c>
      <c r="L617" t="s">
        <v>22</v>
      </c>
      <c r="M617" t="s">
        <v>37</v>
      </c>
      <c r="N617">
        <v>0.61099999999999999</v>
      </c>
      <c r="O617">
        <v>114</v>
      </c>
      <c r="P617">
        <v>63</v>
      </c>
      <c r="Q617" t="s">
        <v>33</v>
      </c>
      <c r="R617">
        <v>37</v>
      </c>
      <c r="S617">
        <v>15.36</v>
      </c>
      <c r="T617" t="s">
        <v>26</v>
      </c>
    </row>
    <row r="618" spans="1:20" x14ac:dyDescent="0.3">
      <c r="A618" t="s">
        <v>31</v>
      </c>
      <c r="B618">
        <v>40</v>
      </c>
      <c r="C618">
        <v>59.8</v>
      </c>
      <c r="D618">
        <v>1.78</v>
      </c>
      <c r="E618">
        <v>18.899999999999999</v>
      </c>
      <c r="F618">
        <v>77.3</v>
      </c>
      <c r="G618" t="s">
        <v>569</v>
      </c>
      <c r="H618">
        <v>147</v>
      </c>
      <c r="I618">
        <v>78</v>
      </c>
      <c r="J618">
        <v>123</v>
      </c>
      <c r="K618" t="s">
        <v>23</v>
      </c>
      <c r="L618" t="s">
        <v>22</v>
      </c>
      <c r="M618" t="s">
        <v>28</v>
      </c>
      <c r="N618">
        <v>0.434</v>
      </c>
      <c r="O618">
        <v>107</v>
      </c>
      <c r="P618">
        <v>75</v>
      </c>
      <c r="Q618" t="s">
        <v>33</v>
      </c>
      <c r="R618">
        <v>39</v>
      </c>
      <c r="S618">
        <v>12.07</v>
      </c>
      <c r="T618" t="s">
        <v>26</v>
      </c>
    </row>
    <row r="619" spans="1:20" x14ac:dyDescent="0.3">
      <c r="A619" t="s">
        <v>31</v>
      </c>
      <c r="B619">
        <v>48</v>
      </c>
      <c r="C619">
        <v>59.5</v>
      </c>
      <c r="D619">
        <v>1.82</v>
      </c>
      <c r="E619">
        <v>18</v>
      </c>
      <c r="F619">
        <v>89.6</v>
      </c>
      <c r="G619" t="s">
        <v>570</v>
      </c>
      <c r="H619">
        <v>136</v>
      </c>
      <c r="I619">
        <v>68</v>
      </c>
      <c r="J619">
        <v>148</v>
      </c>
      <c r="K619" t="s">
        <v>22</v>
      </c>
      <c r="L619" t="s">
        <v>22</v>
      </c>
      <c r="M619" t="s">
        <v>28</v>
      </c>
      <c r="N619">
        <v>0.49199999999999999</v>
      </c>
      <c r="O619">
        <v>119</v>
      </c>
      <c r="P619">
        <v>70</v>
      </c>
      <c r="Q619" t="s">
        <v>33</v>
      </c>
      <c r="R619">
        <v>38</v>
      </c>
      <c r="S619">
        <v>12.27</v>
      </c>
      <c r="T619" t="s">
        <v>52</v>
      </c>
    </row>
    <row r="620" spans="1:20" x14ac:dyDescent="0.3">
      <c r="A620" t="s">
        <v>20</v>
      </c>
      <c r="B620">
        <v>36</v>
      </c>
      <c r="D620">
        <v>1.71</v>
      </c>
      <c r="E620">
        <v>17.8</v>
      </c>
      <c r="F620">
        <v>103.4</v>
      </c>
      <c r="G620" t="s">
        <v>571</v>
      </c>
      <c r="H620">
        <v>215</v>
      </c>
      <c r="I620">
        <v>43</v>
      </c>
      <c r="J620">
        <v>110</v>
      </c>
      <c r="K620" t="s">
        <v>22</v>
      </c>
      <c r="L620" t="s">
        <v>22</v>
      </c>
      <c r="M620" t="s">
        <v>24</v>
      </c>
      <c r="N620">
        <v>0.60499999999999998</v>
      </c>
      <c r="O620">
        <v>106</v>
      </c>
      <c r="P620">
        <v>88</v>
      </c>
      <c r="Q620" t="s">
        <v>29</v>
      </c>
      <c r="S620">
        <v>13.16</v>
      </c>
      <c r="T620" t="s">
        <v>26</v>
      </c>
    </row>
    <row r="621" spans="1:20" x14ac:dyDescent="0.3">
      <c r="A621" t="s">
        <v>31</v>
      </c>
      <c r="B621">
        <v>36</v>
      </c>
      <c r="D621">
        <v>1.78</v>
      </c>
      <c r="E621">
        <v>29</v>
      </c>
      <c r="F621">
        <v>79.8</v>
      </c>
      <c r="G621" t="s">
        <v>572</v>
      </c>
      <c r="H621">
        <v>146</v>
      </c>
      <c r="I621">
        <v>64</v>
      </c>
      <c r="J621">
        <v>71</v>
      </c>
      <c r="K621" t="s">
        <v>22</v>
      </c>
      <c r="L621" t="s">
        <v>23</v>
      </c>
      <c r="M621" t="s">
        <v>24</v>
      </c>
      <c r="N621">
        <v>0.44800000000000001</v>
      </c>
      <c r="O621">
        <v>116</v>
      </c>
      <c r="P621">
        <v>70</v>
      </c>
      <c r="Q621" t="s">
        <v>33</v>
      </c>
      <c r="R621">
        <v>52</v>
      </c>
      <c r="S621">
        <v>16.52</v>
      </c>
      <c r="T621" t="s">
        <v>30</v>
      </c>
    </row>
    <row r="622" spans="1:20" x14ac:dyDescent="0.3">
      <c r="A622" t="s">
        <v>20</v>
      </c>
      <c r="B622">
        <v>51</v>
      </c>
      <c r="C622">
        <v>104.2</v>
      </c>
      <c r="D622">
        <v>1.64</v>
      </c>
      <c r="E622">
        <v>38.700000000000003</v>
      </c>
      <c r="F622">
        <v>82.9</v>
      </c>
      <c r="G622" t="s">
        <v>573</v>
      </c>
      <c r="H622">
        <v>134</v>
      </c>
      <c r="J622">
        <v>91</v>
      </c>
      <c r="K622" t="s">
        <v>22</v>
      </c>
      <c r="L622" t="s">
        <v>22</v>
      </c>
      <c r="M622" t="s">
        <v>28</v>
      </c>
      <c r="N622">
        <v>0.505</v>
      </c>
      <c r="O622">
        <v>118</v>
      </c>
      <c r="P622">
        <v>97</v>
      </c>
      <c r="Q622" t="s">
        <v>38</v>
      </c>
      <c r="R622">
        <v>74</v>
      </c>
      <c r="S622">
        <v>16.32</v>
      </c>
      <c r="T622" t="s">
        <v>30</v>
      </c>
    </row>
    <row r="623" spans="1:20" x14ac:dyDescent="0.3">
      <c r="A623" t="s">
        <v>31</v>
      </c>
      <c r="B623">
        <v>48</v>
      </c>
      <c r="C623">
        <v>76.8</v>
      </c>
      <c r="D623">
        <v>1.64</v>
      </c>
      <c r="E623">
        <v>28.6</v>
      </c>
      <c r="F623">
        <v>90.2</v>
      </c>
      <c r="G623" t="s">
        <v>61</v>
      </c>
      <c r="H623">
        <v>168</v>
      </c>
      <c r="I623">
        <v>80</v>
      </c>
      <c r="J623">
        <v>117</v>
      </c>
      <c r="K623" t="s">
        <v>23</v>
      </c>
      <c r="L623" t="s">
        <v>22</v>
      </c>
      <c r="M623" t="s">
        <v>28</v>
      </c>
      <c r="N623">
        <v>0.55000000000000004</v>
      </c>
      <c r="O623">
        <v>128</v>
      </c>
      <c r="P623">
        <v>66</v>
      </c>
      <c r="Q623" t="s">
        <v>25</v>
      </c>
      <c r="R623">
        <v>58</v>
      </c>
      <c r="S623">
        <v>15.48</v>
      </c>
      <c r="T623" t="s">
        <v>26</v>
      </c>
    </row>
    <row r="624" spans="1:20" x14ac:dyDescent="0.3">
      <c r="A624" t="s">
        <v>20</v>
      </c>
      <c r="B624">
        <v>49</v>
      </c>
      <c r="C624">
        <v>97.2</v>
      </c>
      <c r="D624">
        <v>1.66</v>
      </c>
      <c r="E624">
        <v>35.299999999999997</v>
      </c>
      <c r="F624">
        <v>103.4</v>
      </c>
      <c r="G624" t="s">
        <v>574</v>
      </c>
      <c r="H624">
        <v>203</v>
      </c>
      <c r="I624">
        <v>64</v>
      </c>
      <c r="J624">
        <v>102</v>
      </c>
      <c r="K624" t="s">
        <v>23</v>
      </c>
      <c r="L624" t="s">
        <v>22</v>
      </c>
      <c r="M624" t="s">
        <v>28</v>
      </c>
      <c r="N624">
        <v>0.623</v>
      </c>
      <c r="O624">
        <v>121</v>
      </c>
      <c r="P624">
        <v>66</v>
      </c>
      <c r="Q624" t="s">
        <v>25</v>
      </c>
      <c r="R624">
        <v>109</v>
      </c>
      <c r="S624">
        <v>17.170000000000002</v>
      </c>
      <c r="T624" t="s">
        <v>30</v>
      </c>
    </row>
    <row r="625" spans="1:20" x14ac:dyDescent="0.3">
      <c r="A625" t="s">
        <v>20</v>
      </c>
      <c r="B625">
        <v>33</v>
      </c>
      <c r="C625">
        <v>74.7</v>
      </c>
      <c r="E625">
        <v>27.4</v>
      </c>
      <c r="F625">
        <v>93.3</v>
      </c>
      <c r="G625" t="s">
        <v>575</v>
      </c>
      <c r="H625">
        <v>111</v>
      </c>
      <c r="I625">
        <v>36</v>
      </c>
      <c r="J625">
        <v>99</v>
      </c>
      <c r="K625" t="s">
        <v>23</v>
      </c>
      <c r="L625" t="s">
        <v>22</v>
      </c>
      <c r="M625" t="s">
        <v>37</v>
      </c>
      <c r="N625">
        <v>0.56499999999999995</v>
      </c>
      <c r="O625">
        <v>113</v>
      </c>
      <c r="P625">
        <v>89</v>
      </c>
      <c r="Q625" t="s">
        <v>29</v>
      </c>
      <c r="R625">
        <v>45</v>
      </c>
      <c r="S625">
        <v>13.35</v>
      </c>
      <c r="T625" t="s">
        <v>30</v>
      </c>
    </row>
    <row r="626" spans="1:20" x14ac:dyDescent="0.3">
      <c r="A626" t="s">
        <v>31</v>
      </c>
      <c r="B626">
        <v>37</v>
      </c>
      <c r="C626">
        <v>116.7</v>
      </c>
      <c r="D626">
        <v>1.87</v>
      </c>
      <c r="E626">
        <v>33.4</v>
      </c>
      <c r="F626">
        <v>107.6</v>
      </c>
      <c r="G626" t="s">
        <v>576</v>
      </c>
      <c r="H626">
        <v>215</v>
      </c>
      <c r="I626">
        <v>33</v>
      </c>
      <c r="J626">
        <v>70</v>
      </c>
      <c r="K626" t="s">
        <v>22</v>
      </c>
      <c r="L626" t="s">
        <v>23</v>
      </c>
      <c r="M626" t="s">
        <v>37</v>
      </c>
      <c r="N626">
        <v>0.57499999999999996</v>
      </c>
      <c r="O626">
        <v>131</v>
      </c>
      <c r="P626">
        <v>69</v>
      </c>
      <c r="Q626" t="s">
        <v>29</v>
      </c>
      <c r="R626">
        <v>152</v>
      </c>
      <c r="S626">
        <v>19.53</v>
      </c>
      <c r="T626" t="s">
        <v>30</v>
      </c>
    </row>
    <row r="627" spans="1:20" x14ac:dyDescent="0.3">
      <c r="A627" t="s">
        <v>20</v>
      </c>
      <c r="B627">
        <v>58</v>
      </c>
      <c r="C627">
        <v>59.3</v>
      </c>
      <c r="D627">
        <v>1.75</v>
      </c>
      <c r="E627">
        <v>19.399999999999999</v>
      </c>
      <c r="F627">
        <v>104.4</v>
      </c>
      <c r="G627" t="s">
        <v>577</v>
      </c>
      <c r="H627">
        <v>275</v>
      </c>
      <c r="I627">
        <v>47</v>
      </c>
      <c r="J627">
        <v>95</v>
      </c>
      <c r="K627" t="s">
        <v>23</v>
      </c>
      <c r="L627" t="s">
        <v>23</v>
      </c>
      <c r="M627" t="s">
        <v>28</v>
      </c>
      <c r="N627">
        <v>0.59699999999999998</v>
      </c>
      <c r="O627">
        <v>119</v>
      </c>
      <c r="P627">
        <v>63</v>
      </c>
      <c r="Q627" t="s">
        <v>33</v>
      </c>
      <c r="R627">
        <v>198</v>
      </c>
      <c r="S627">
        <v>17.329999999999998</v>
      </c>
      <c r="T627" t="s">
        <v>30</v>
      </c>
    </row>
    <row r="628" spans="1:20" x14ac:dyDescent="0.3">
      <c r="A628" t="s">
        <v>31</v>
      </c>
      <c r="B628">
        <v>47</v>
      </c>
      <c r="C628">
        <v>68.7</v>
      </c>
      <c r="D628">
        <v>1.64</v>
      </c>
      <c r="E628">
        <v>25.5</v>
      </c>
      <c r="F628">
        <v>75.5</v>
      </c>
      <c r="G628" t="s">
        <v>345</v>
      </c>
      <c r="H628">
        <v>164</v>
      </c>
      <c r="I628">
        <v>44</v>
      </c>
      <c r="K628" t="s">
        <v>22</v>
      </c>
      <c r="L628" t="s">
        <v>23</v>
      </c>
      <c r="M628" t="s">
        <v>24</v>
      </c>
      <c r="N628">
        <v>0.46</v>
      </c>
      <c r="O628">
        <v>116</v>
      </c>
      <c r="P628">
        <v>72</v>
      </c>
      <c r="Q628" t="s">
        <v>33</v>
      </c>
      <c r="R628">
        <v>90</v>
      </c>
      <c r="S628">
        <v>16.18</v>
      </c>
      <c r="T628" t="s">
        <v>30</v>
      </c>
    </row>
    <row r="629" spans="1:20" x14ac:dyDescent="0.3">
      <c r="A629" t="s">
        <v>20</v>
      </c>
      <c r="B629">
        <v>30</v>
      </c>
      <c r="C629">
        <v>116.4</v>
      </c>
      <c r="D629">
        <v>1.64</v>
      </c>
      <c r="E629">
        <v>43.3</v>
      </c>
      <c r="F629">
        <v>109.4</v>
      </c>
      <c r="G629" t="s">
        <v>578</v>
      </c>
      <c r="H629">
        <v>198</v>
      </c>
      <c r="I629">
        <v>39</v>
      </c>
      <c r="J629">
        <v>148</v>
      </c>
      <c r="K629" t="s">
        <v>23</v>
      </c>
      <c r="L629" t="s">
        <v>23</v>
      </c>
      <c r="M629" t="s">
        <v>28</v>
      </c>
      <c r="N629">
        <v>0.66700000000000004</v>
      </c>
      <c r="O629">
        <v>124</v>
      </c>
      <c r="Q629" t="s">
        <v>25</v>
      </c>
      <c r="R629">
        <v>129</v>
      </c>
      <c r="S629">
        <v>20.82</v>
      </c>
      <c r="T629" t="s">
        <v>30</v>
      </c>
    </row>
    <row r="630" spans="1:20" x14ac:dyDescent="0.3">
      <c r="A630" t="s">
        <v>31</v>
      </c>
      <c r="B630">
        <v>50</v>
      </c>
      <c r="C630">
        <v>119.1</v>
      </c>
      <c r="D630">
        <v>1.66</v>
      </c>
      <c r="E630">
        <v>43.2</v>
      </c>
      <c r="G630" t="s">
        <v>579</v>
      </c>
      <c r="H630">
        <v>247</v>
      </c>
      <c r="I630">
        <v>67</v>
      </c>
      <c r="J630">
        <v>100</v>
      </c>
      <c r="K630" t="s">
        <v>23</v>
      </c>
      <c r="L630" t="s">
        <v>23</v>
      </c>
      <c r="M630" t="s">
        <v>37</v>
      </c>
      <c r="N630">
        <v>0.495</v>
      </c>
      <c r="O630">
        <v>101</v>
      </c>
      <c r="P630">
        <v>65</v>
      </c>
      <c r="Q630" t="s">
        <v>33</v>
      </c>
      <c r="R630">
        <v>150</v>
      </c>
      <c r="S630">
        <v>20.63</v>
      </c>
      <c r="T630" t="s">
        <v>30</v>
      </c>
    </row>
    <row r="631" spans="1:20" x14ac:dyDescent="0.3">
      <c r="A631" t="s">
        <v>31</v>
      </c>
      <c r="B631">
        <v>34</v>
      </c>
      <c r="C631">
        <v>86</v>
      </c>
      <c r="D631">
        <v>1.71</v>
      </c>
      <c r="E631">
        <v>29.4</v>
      </c>
      <c r="F631">
        <v>88.4</v>
      </c>
      <c r="G631" t="s">
        <v>580</v>
      </c>
      <c r="H631">
        <v>209</v>
      </c>
      <c r="I631">
        <v>38</v>
      </c>
      <c r="J631">
        <v>148</v>
      </c>
      <c r="K631" t="s">
        <v>22</v>
      </c>
      <c r="L631" t="s">
        <v>22</v>
      </c>
      <c r="M631" t="s">
        <v>37</v>
      </c>
      <c r="O631">
        <v>115</v>
      </c>
      <c r="P631">
        <v>90</v>
      </c>
      <c r="Q631" t="s">
        <v>38</v>
      </c>
      <c r="R631">
        <v>141</v>
      </c>
      <c r="S631">
        <v>15.81</v>
      </c>
      <c r="T631" t="s">
        <v>30</v>
      </c>
    </row>
    <row r="632" spans="1:20" x14ac:dyDescent="0.3">
      <c r="A632" t="s">
        <v>31</v>
      </c>
      <c r="B632">
        <v>37</v>
      </c>
      <c r="C632">
        <v>78.099999999999994</v>
      </c>
      <c r="D632">
        <v>1.85</v>
      </c>
      <c r="E632">
        <v>22.8</v>
      </c>
      <c r="F632">
        <v>74.2</v>
      </c>
      <c r="G632" t="s">
        <v>156</v>
      </c>
      <c r="H632">
        <v>118</v>
      </c>
      <c r="I632">
        <v>70</v>
      </c>
      <c r="J632">
        <v>72</v>
      </c>
      <c r="K632" t="s">
        <v>22</v>
      </c>
      <c r="L632" t="s">
        <v>23</v>
      </c>
      <c r="M632" t="s">
        <v>37</v>
      </c>
      <c r="N632">
        <v>0.40100000000000002</v>
      </c>
      <c r="O632">
        <v>100</v>
      </c>
      <c r="P632">
        <v>76</v>
      </c>
      <c r="Q632" t="s">
        <v>33</v>
      </c>
      <c r="R632">
        <v>18</v>
      </c>
      <c r="S632">
        <v>13.92</v>
      </c>
      <c r="T632" t="s">
        <v>52</v>
      </c>
    </row>
    <row r="633" spans="1:20" x14ac:dyDescent="0.3">
      <c r="A633" t="s">
        <v>31</v>
      </c>
      <c r="B633">
        <v>45</v>
      </c>
      <c r="D633">
        <v>1.72</v>
      </c>
      <c r="E633">
        <v>36.299999999999997</v>
      </c>
      <c r="G633" t="s">
        <v>459</v>
      </c>
      <c r="H633">
        <v>104</v>
      </c>
      <c r="I633">
        <v>33</v>
      </c>
      <c r="J633">
        <v>126</v>
      </c>
      <c r="K633" t="s">
        <v>22</v>
      </c>
      <c r="L633" t="s">
        <v>22</v>
      </c>
      <c r="M633" t="s">
        <v>24</v>
      </c>
      <c r="N633">
        <v>0.54800000000000004</v>
      </c>
      <c r="O633">
        <v>113</v>
      </c>
      <c r="P633">
        <v>79</v>
      </c>
      <c r="Q633" t="s">
        <v>33</v>
      </c>
      <c r="R633">
        <v>41</v>
      </c>
      <c r="S633">
        <v>14.99</v>
      </c>
      <c r="T633" t="s">
        <v>26</v>
      </c>
    </row>
    <row r="634" spans="1:20" x14ac:dyDescent="0.3">
      <c r="A634" t="s">
        <v>20</v>
      </c>
      <c r="B634">
        <v>42</v>
      </c>
      <c r="C634">
        <v>70.2</v>
      </c>
      <c r="D634">
        <v>1.8</v>
      </c>
      <c r="F634">
        <v>93.4</v>
      </c>
      <c r="G634" t="s">
        <v>581</v>
      </c>
      <c r="H634">
        <v>208</v>
      </c>
      <c r="I634">
        <v>32</v>
      </c>
      <c r="J634">
        <v>148</v>
      </c>
      <c r="K634" t="s">
        <v>23</v>
      </c>
      <c r="L634" t="s">
        <v>22</v>
      </c>
      <c r="M634" t="s">
        <v>24</v>
      </c>
      <c r="N634">
        <v>0.51900000000000002</v>
      </c>
      <c r="O634">
        <v>134</v>
      </c>
      <c r="P634">
        <v>85</v>
      </c>
      <c r="Q634" t="s">
        <v>29</v>
      </c>
      <c r="S634">
        <v>15.2</v>
      </c>
      <c r="T634" t="s">
        <v>30</v>
      </c>
    </row>
    <row r="635" spans="1:20" x14ac:dyDescent="0.3">
      <c r="A635" t="s">
        <v>20</v>
      </c>
      <c r="B635">
        <v>37</v>
      </c>
      <c r="C635">
        <v>83.2</v>
      </c>
      <c r="D635">
        <v>1.71</v>
      </c>
      <c r="E635">
        <v>28.5</v>
      </c>
      <c r="F635">
        <v>94.4</v>
      </c>
      <c r="G635" t="s">
        <v>582</v>
      </c>
      <c r="H635">
        <v>223</v>
      </c>
      <c r="I635">
        <v>48</v>
      </c>
      <c r="J635">
        <v>70</v>
      </c>
      <c r="K635" t="s">
        <v>23</v>
      </c>
      <c r="L635" t="s">
        <v>23</v>
      </c>
      <c r="M635" t="s">
        <v>24</v>
      </c>
      <c r="N635">
        <v>0.55200000000000005</v>
      </c>
      <c r="O635">
        <v>106</v>
      </c>
      <c r="P635">
        <v>94</v>
      </c>
      <c r="Q635" t="s">
        <v>38</v>
      </c>
      <c r="R635">
        <v>145</v>
      </c>
      <c r="S635">
        <v>17.46</v>
      </c>
      <c r="T635" t="s">
        <v>30</v>
      </c>
    </row>
    <row r="636" spans="1:20" x14ac:dyDescent="0.3">
      <c r="A636" t="s">
        <v>20</v>
      </c>
      <c r="B636">
        <v>36</v>
      </c>
      <c r="C636">
        <v>58.4</v>
      </c>
      <c r="D636">
        <v>1.87</v>
      </c>
      <c r="E636">
        <v>16.7</v>
      </c>
      <c r="F636">
        <v>71.2</v>
      </c>
      <c r="G636" t="s">
        <v>583</v>
      </c>
      <c r="H636">
        <v>143</v>
      </c>
      <c r="J636">
        <v>134</v>
      </c>
      <c r="K636" t="s">
        <v>22</v>
      </c>
      <c r="L636" t="s">
        <v>23</v>
      </c>
      <c r="M636" t="s">
        <v>24</v>
      </c>
      <c r="N636">
        <v>0.38100000000000001</v>
      </c>
      <c r="P636">
        <v>96</v>
      </c>
      <c r="Q636" t="s">
        <v>38</v>
      </c>
      <c r="R636">
        <v>44</v>
      </c>
      <c r="S636">
        <v>15.3</v>
      </c>
      <c r="T636" t="s">
        <v>26</v>
      </c>
    </row>
    <row r="637" spans="1:20" x14ac:dyDescent="0.3">
      <c r="A637" t="s">
        <v>20</v>
      </c>
      <c r="B637">
        <v>52</v>
      </c>
      <c r="C637">
        <v>89.7</v>
      </c>
      <c r="D637">
        <v>1.88</v>
      </c>
      <c r="E637">
        <v>25.4</v>
      </c>
      <c r="F637">
        <v>107.5</v>
      </c>
      <c r="G637" t="s">
        <v>584</v>
      </c>
      <c r="H637">
        <v>142</v>
      </c>
      <c r="J637">
        <v>96</v>
      </c>
      <c r="K637" t="s">
        <v>23</v>
      </c>
      <c r="L637" t="s">
        <v>23</v>
      </c>
      <c r="M637" t="s">
        <v>24</v>
      </c>
      <c r="N637">
        <v>0.57199999999999995</v>
      </c>
      <c r="O637">
        <v>145</v>
      </c>
      <c r="P637">
        <v>92</v>
      </c>
      <c r="Q637" t="s">
        <v>38</v>
      </c>
      <c r="R637">
        <v>42</v>
      </c>
      <c r="S637">
        <v>17.170000000000002</v>
      </c>
      <c r="T637" t="s">
        <v>30</v>
      </c>
    </row>
    <row r="638" spans="1:20" x14ac:dyDescent="0.3">
      <c r="A638" t="s">
        <v>20</v>
      </c>
      <c r="B638">
        <v>38</v>
      </c>
      <c r="C638">
        <v>112.4</v>
      </c>
      <c r="D638">
        <v>1.69</v>
      </c>
      <c r="E638">
        <v>39.4</v>
      </c>
      <c r="F638">
        <v>101.2</v>
      </c>
      <c r="G638" t="s">
        <v>585</v>
      </c>
      <c r="H638">
        <v>209</v>
      </c>
      <c r="I638">
        <v>40</v>
      </c>
      <c r="J638">
        <v>98</v>
      </c>
      <c r="K638" t="s">
        <v>22</v>
      </c>
      <c r="L638" t="s">
        <v>22</v>
      </c>
      <c r="M638" t="s">
        <v>28</v>
      </c>
      <c r="N638">
        <v>0.59899999999999998</v>
      </c>
      <c r="O638">
        <v>139</v>
      </c>
      <c r="P638">
        <v>77</v>
      </c>
      <c r="Q638" t="s">
        <v>29</v>
      </c>
      <c r="R638">
        <v>139</v>
      </c>
      <c r="S638">
        <v>19.010000000000002</v>
      </c>
      <c r="T638" t="s">
        <v>26</v>
      </c>
    </row>
    <row r="639" spans="1:20" x14ac:dyDescent="0.3">
      <c r="A639" t="s">
        <v>31</v>
      </c>
      <c r="B639">
        <v>50</v>
      </c>
      <c r="C639">
        <v>56.5</v>
      </c>
      <c r="D639">
        <v>1.83</v>
      </c>
      <c r="E639">
        <v>16.899999999999999</v>
      </c>
      <c r="F639">
        <v>86.9</v>
      </c>
      <c r="G639" t="s">
        <v>586</v>
      </c>
      <c r="H639">
        <v>262</v>
      </c>
      <c r="I639">
        <v>35</v>
      </c>
      <c r="K639" t="s">
        <v>22</v>
      </c>
      <c r="L639" t="s">
        <v>23</v>
      </c>
      <c r="M639" t="s">
        <v>37</v>
      </c>
      <c r="N639">
        <v>0.47499999999999998</v>
      </c>
      <c r="O639">
        <v>118</v>
      </c>
      <c r="P639">
        <v>95</v>
      </c>
      <c r="Q639" t="s">
        <v>38</v>
      </c>
      <c r="R639">
        <v>197</v>
      </c>
      <c r="S639">
        <v>16.52</v>
      </c>
      <c r="T639" t="s">
        <v>30</v>
      </c>
    </row>
    <row r="640" spans="1:20" x14ac:dyDescent="0.3">
      <c r="A640" t="s">
        <v>20</v>
      </c>
      <c r="B640">
        <v>42</v>
      </c>
      <c r="C640">
        <v>94.5</v>
      </c>
      <c r="D640">
        <v>1.64</v>
      </c>
      <c r="E640">
        <v>35.1</v>
      </c>
      <c r="F640">
        <v>77.099999999999994</v>
      </c>
      <c r="G640" t="s">
        <v>587</v>
      </c>
      <c r="H640">
        <v>104</v>
      </c>
      <c r="I640">
        <v>36</v>
      </c>
      <c r="J640">
        <v>144</v>
      </c>
      <c r="K640" t="s">
        <v>23</v>
      </c>
      <c r="L640" t="s">
        <v>23</v>
      </c>
      <c r="M640" t="s">
        <v>28</v>
      </c>
      <c r="N640">
        <v>0.47</v>
      </c>
      <c r="O640">
        <v>119</v>
      </c>
      <c r="P640">
        <v>95</v>
      </c>
      <c r="Q640" t="s">
        <v>38</v>
      </c>
      <c r="R640">
        <v>38</v>
      </c>
      <c r="S640">
        <v>17.05</v>
      </c>
      <c r="T640" t="s">
        <v>30</v>
      </c>
    </row>
    <row r="641" spans="1:20" x14ac:dyDescent="0.3">
      <c r="A641" t="s">
        <v>31</v>
      </c>
      <c r="B641">
        <v>33</v>
      </c>
      <c r="C641">
        <v>86.2</v>
      </c>
      <c r="D641">
        <v>1.86</v>
      </c>
      <c r="E641">
        <v>24.9</v>
      </c>
      <c r="F641">
        <v>88</v>
      </c>
      <c r="G641" t="s">
        <v>588</v>
      </c>
      <c r="H641">
        <v>219</v>
      </c>
      <c r="I641">
        <v>65</v>
      </c>
      <c r="J641">
        <v>104</v>
      </c>
      <c r="K641" t="s">
        <v>23</v>
      </c>
      <c r="L641" t="s">
        <v>22</v>
      </c>
      <c r="M641" t="s">
        <v>24</v>
      </c>
      <c r="N641">
        <v>0.47299999999999998</v>
      </c>
      <c r="O641">
        <v>139</v>
      </c>
      <c r="P641">
        <v>98</v>
      </c>
      <c r="Q641" t="s">
        <v>29</v>
      </c>
      <c r="R641">
        <v>124</v>
      </c>
      <c r="S641">
        <v>16.309999999999999</v>
      </c>
      <c r="T641" t="s">
        <v>26</v>
      </c>
    </row>
    <row r="642" spans="1:20" x14ac:dyDescent="0.3">
      <c r="A642" t="s">
        <v>31</v>
      </c>
      <c r="B642">
        <v>33</v>
      </c>
      <c r="C642">
        <v>114</v>
      </c>
      <c r="D642">
        <v>1.75</v>
      </c>
      <c r="E642">
        <v>37.200000000000003</v>
      </c>
      <c r="F642">
        <v>76.7</v>
      </c>
      <c r="G642" t="s">
        <v>589</v>
      </c>
      <c r="H642">
        <v>197</v>
      </c>
      <c r="I642">
        <v>77</v>
      </c>
      <c r="J642">
        <v>122</v>
      </c>
      <c r="K642" t="s">
        <v>23</v>
      </c>
      <c r="L642" t="s">
        <v>23</v>
      </c>
      <c r="M642" t="s">
        <v>37</v>
      </c>
      <c r="N642">
        <v>0.438</v>
      </c>
      <c r="O642">
        <v>105</v>
      </c>
      <c r="P642">
        <v>95</v>
      </c>
      <c r="Q642" t="s">
        <v>38</v>
      </c>
      <c r="R642">
        <v>90</v>
      </c>
      <c r="S642">
        <v>18.63</v>
      </c>
      <c r="T642" t="s">
        <v>30</v>
      </c>
    </row>
    <row r="643" spans="1:20" x14ac:dyDescent="0.3">
      <c r="A643" t="s">
        <v>31</v>
      </c>
      <c r="B643">
        <v>41</v>
      </c>
      <c r="C643">
        <v>105.4</v>
      </c>
      <c r="D643">
        <v>1.88</v>
      </c>
      <c r="E643">
        <v>29.8</v>
      </c>
      <c r="F643">
        <v>108.1</v>
      </c>
      <c r="G643" t="s">
        <v>590</v>
      </c>
      <c r="H643">
        <v>195</v>
      </c>
      <c r="I643">
        <v>69</v>
      </c>
      <c r="J643">
        <v>141</v>
      </c>
      <c r="K643" t="s">
        <v>22</v>
      </c>
      <c r="L643" t="s">
        <v>23</v>
      </c>
      <c r="M643" t="s">
        <v>37</v>
      </c>
      <c r="N643">
        <v>0.57499999999999996</v>
      </c>
      <c r="O643">
        <v>125</v>
      </c>
      <c r="P643">
        <v>88</v>
      </c>
      <c r="Q643" t="s">
        <v>29</v>
      </c>
      <c r="R643">
        <v>96</v>
      </c>
      <c r="S643">
        <v>18.11</v>
      </c>
      <c r="T643" t="s">
        <v>26</v>
      </c>
    </row>
    <row r="644" spans="1:20" x14ac:dyDescent="0.3">
      <c r="A644" t="s">
        <v>31</v>
      </c>
      <c r="C644">
        <v>77.7</v>
      </c>
      <c r="D644">
        <v>1.63</v>
      </c>
      <c r="E644">
        <v>29.2</v>
      </c>
      <c r="F644">
        <v>90.7</v>
      </c>
      <c r="G644" t="s">
        <v>123</v>
      </c>
      <c r="H644">
        <v>258</v>
      </c>
      <c r="I644">
        <v>74</v>
      </c>
      <c r="J644">
        <v>109</v>
      </c>
      <c r="K644" t="s">
        <v>22</v>
      </c>
      <c r="L644" t="s">
        <v>23</v>
      </c>
      <c r="M644" t="s">
        <v>28</v>
      </c>
      <c r="N644">
        <v>0.55600000000000005</v>
      </c>
      <c r="O644">
        <v>120</v>
      </c>
      <c r="P644">
        <v>96</v>
      </c>
      <c r="Q644" t="s">
        <v>38</v>
      </c>
      <c r="R644">
        <v>154</v>
      </c>
      <c r="S644">
        <v>19</v>
      </c>
      <c r="T644" t="s">
        <v>30</v>
      </c>
    </row>
    <row r="645" spans="1:20" x14ac:dyDescent="0.3">
      <c r="A645" t="s">
        <v>31</v>
      </c>
      <c r="B645">
        <v>41</v>
      </c>
      <c r="C645">
        <v>62.2</v>
      </c>
      <c r="D645">
        <v>1.82</v>
      </c>
      <c r="E645">
        <v>18.8</v>
      </c>
      <c r="F645">
        <v>107.5</v>
      </c>
      <c r="G645" t="s">
        <v>591</v>
      </c>
      <c r="H645">
        <v>241</v>
      </c>
      <c r="I645">
        <v>47</v>
      </c>
      <c r="J645">
        <v>79</v>
      </c>
      <c r="K645" t="s">
        <v>22</v>
      </c>
      <c r="L645" t="s">
        <v>22</v>
      </c>
      <c r="M645" t="s">
        <v>24</v>
      </c>
      <c r="N645">
        <v>0.59099999999999997</v>
      </c>
      <c r="O645">
        <v>131</v>
      </c>
      <c r="P645">
        <v>81</v>
      </c>
      <c r="Q645" t="s">
        <v>29</v>
      </c>
      <c r="R645">
        <v>164</v>
      </c>
      <c r="S645">
        <v>15.13</v>
      </c>
      <c r="T645" t="s">
        <v>26</v>
      </c>
    </row>
    <row r="646" spans="1:20" x14ac:dyDescent="0.3">
      <c r="A646" t="s">
        <v>31</v>
      </c>
      <c r="B646">
        <v>47</v>
      </c>
      <c r="C646">
        <v>77.5</v>
      </c>
      <c r="D646">
        <v>1.75</v>
      </c>
      <c r="E646">
        <v>25.3</v>
      </c>
      <c r="F646">
        <v>86.2</v>
      </c>
      <c r="G646" t="s">
        <v>296</v>
      </c>
      <c r="H646">
        <v>129</v>
      </c>
      <c r="I646">
        <v>66</v>
      </c>
      <c r="J646">
        <v>119</v>
      </c>
      <c r="K646" t="s">
        <v>23</v>
      </c>
      <c r="L646" t="s">
        <v>23</v>
      </c>
      <c r="M646" t="s">
        <v>28</v>
      </c>
      <c r="O646">
        <v>139</v>
      </c>
      <c r="Q646" t="s">
        <v>29</v>
      </c>
      <c r="R646">
        <v>33</v>
      </c>
      <c r="S646">
        <v>16.59</v>
      </c>
      <c r="T646" t="s">
        <v>30</v>
      </c>
    </row>
    <row r="647" spans="1:20" x14ac:dyDescent="0.3">
      <c r="A647" t="s">
        <v>20</v>
      </c>
      <c r="B647">
        <v>51</v>
      </c>
      <c r="C647">
        <v>58.1</v>
      </c>
      <c r="D647">
        <v>1.71</v>
      </c>
      <c r="E647">
        <v>19.899999999999999</v>
      </c>
      <c r="F647">
        <v>98.9</v>
      </c>
      <c r="G647" t="s">
        <v>592</v>
      </c>
      <c r="H647">
        <v>226</v>
      </c>
      <c r="I647">
        <v>64</v>
      </c>
      <c r="J647">
        <v>99</v>
      </c>
      <c r="K647" t="s">
        <v>23</v>
      </c>
      <c r="L647" t="s">
        <v>22</v>
      </c>
      <c r="M647" t="s">
        <v>28</v>
      </c>
      <c r="N647">
        <v>0.57799999999999996</v>
      </c>
      <c r="O647">
        <v>98</v>
      </c>
      <c r="P647">
        <v>83</v>
      </c>
      <c r="Q647" t="s">
        <v>29</v>
      </c>
      <c r="R647">
        <v>132</v>
      </c>
      <c r="S647">
        <v>13.4</v>
      </c>
      <c r="T647" t="s">
        <v>26</v>
      </c>
    </row>
    <row r="648" spans="1:20" x14ac:dyDescent="0.3">
      <c r="A648" t="s">
        <v>20</v>
      </c>
      <c r="B648">
        <v>47</v>
      </c>
      <c r="C648">
        <v>97.2</v>
      </c>
      <c r="D648">
        <v>1.81</v>
      </c>
      <c r="E648">
        <v>29.7</v>
      </c>
      <c r="F648">
        <v>74.8</v>
      </c>
      <c r="G648" t="s">
        <v>253</v>
      </c>
      <c r="H648">
        <v>137</v>
      </c>
      <c r="I648">
        <v>39</v>
      </c>
      <c r="J648">
        <v>113</v>
      </c>
      <c r="K648" t="s">
        <v>22</v>
      </c>
      <c r="L648" t="s">
        <v>22</v>
      </c>
      <c r="M648" t="s">
        <v>37</v>
      </c>
      <c r="N648">
        <v>0.41299999999999998</v>
      </c>
      <c r="O648">
        <v>131</v>
      </c>
      <c r="P648">
        <v>95</v>
      </c>
      <c r="Q648" t="s">
        <v>29</v>
      </c>
      <c r="R648">
        <v>68</v>
      </c>
      <c r="S648">
        <v>15.23</v>
      </c>
      <c r="T648" t="s">
        <v>26</v>
      </c>
    </row>
    <row r="649" spans="1:20" x14ac:dyDescent="0.3">
      <c r="A649" t="s">
        <v>20</v>
      </c>
      <c r="B649">
        <v>33</v>
      </c>
      <c r="C649">
        <v>63.2</v>
      </c>
      <c r="D649">
        <v>1.65</v>
      </c>
      <c r="F649">
        <v>98.2</v>
      </c>
      <c r="G649" t="s">
        <v>320</v>
      </c>
      <c r="H649">
        <v>286</v>
      </c>
      <c r="J649">
        <v>128</v>
      </c>
      <c r="K649" t="s">
        <v>22</v>
      </c>
      <c r="L649" t="s">
        <v>22</v>
      </c>
      <c r="M649" t="s">
        <v>24</v>
      </c>
      <c r="N649">
        <v>0.59499999999999997</v>
      </c>
      <c r="O649">
        <v>131</v>
      </c>
      <c r="P649">
        <v>67</v>
      </c>
      <c r="Q649" t="s">
        <v>29</v>
      </c>
      <c r="R649">
        <v>212</v>
      </c>
      <c r="S649">
        <v>16.91</v>
      </c>
      <c r="T649" t="s">
        <v>26</v>
      </c>
    </row>
    <row r="650" spans="1:20" x14ac:dyDescent="0.3">
      <c r="A650" t="s">
        <v>20</v>
      </c>
      <c r="B650">
        <v>44</v>
      </c>
      <c r="C650">
        <v>66</v>
      </c>
      <c r="D650">
        <v>1.69</v>
      </c>
      <c r="E650">
        <v>23.1</v>
      </c>
      <c r="F650">
        <v>91.2</v>
      </c>
      <c r="G650" t="s">
        <v>340</v>
      </c>
      <c r="H650">
        <v>126</v>
      </c>
      <c r="I650">
        <v>50</v>
      </c>
      <c r="J650">
        <v>79</v>
      </c>
      <c r="K650" t="s">
        <v>22</v>
      </c>
      <c r="L650" t="s">
        <v>23</v>
      </c>
      <c r="M650" t="s">
        <v>28</v>
      </c>
      <c r="N650">
        <v>0.54</v>
      </c>
      <c r="O650">
        <v>123</v>
      </c>
      <c r="P650">
        <v>89</v>
      </c>
      <c r="Q650" t="s">
        <v>29</v>
      </c>
      <c r="R650">
        <v>46</v>
      </c>
      <c r="S650">
        <v>15.29</v>
      </c>
      <c r="T650" t="s">
        <v>26</v>
      </c>
    </row>
    <row r="651" spans="1:20" x14ac:dyDescent="0.3">
      <c r="A651" t="s">
        <v>31</v>
      </c>
      <c r="B651">
        <v>45</v>
      </c>
      <c r="C651">
        <v>117.2</v>
      </c>
      <c r="D651">
        <v>1.87</v>
      </c>
      <c r="E651">
        <v>33.5</v>
      </c>
      <c r="F651">
        <v>102.7</v>
      </c>
      <c r="G651" t="s">
        <v>593</v>
      </c>
      <c r="H651">
        <v>143</v>
      </c>
      <c r="I651">
        <v>74</v>
      </c>
      <c r="J651">
        <v>86</v>
      </c>
      <c r="K651" t="s">
        <v>22</v>
      </c>
      <c r="L651" t="s">
        <v>23</v>
      </c>
      <c r="M651" t="s">
        <v>28</v>
      </c>
      <c r="N651">
        <v>0.54900000000000004</v>
      </c>
      <c r="O651">
        <v>147</v>
      </c>
      <c r="P651">
        <v>77</v>
      </c>
      <c r="Q651" t="s">
        <v>38</v>
      </c>
      <c r="R651">
        <v>39</v>
      </c>
      <c r="S651">
        <v>18.91</v>
      </c>
      <c r="T651" t="s">
        <v>26</v>
      </c>
    </row>
    <row r="652" spans="1:20" x14ac:dyDescent="0.3">
      <c r="A652" t="s">
        <v>31</v>
      </c>
      <c r="B652">
        <v>36</v>
      </c>
      <c r="C652">
        <v>52.8</v>
      </c>
      <c r="D652">
        <v>1.64</v>
      </c>
      <c r="E652">
        <v>19.600000000000001</v>
      </c>
      <c r="F652">
        <v>74.2</v>
      </c>
      <c r="G652" t="s">
        <v>594</v>
      </c>
      <c r="H652">
        <v>225</v>
      </c>
      <c r="I652">
        <v>76</v>
      </c>
      <c r="J652">
        <v>86</v>
      </c>
      <c r="K652" t="s">
        <v>22</v>
      </c>
      <c r="L652" t="s">
        <v>22</v>
      </c>
      <c r="M652" t="s">
        <v>24</v>
      </c>
      <c r="N652">
        <v>0.45200000000000001</v>
      </c>
      <c r="O652">
        <v>139</v>
      </c>
      <c r="P652">
        <v>78</v>
      </c>
      <c r="Q652" t="s">
        <v>29</v>
      </c>
      <c r="R652">
        <v>119</v>
      </c>
      <c r="S652">
        <v>15.37</v>
      </c>
      <c r="T652" t="s">
        <v>26</v>
      </c>
    </row>
    <row r="653" spans="1:20" x14ac:dyDescent="0.3">
      <c r="A653" t="s">
        <v>20</v>
      </c>
      <c r="B653">
        <v>41</v>
      </c>
      <c r="C653">
        <v>104.3</v>
      </c>
      <c r="D653">
        <v>1.86</v>
      </c>
      <c r="E653">
        <v>30.1</v>
      </c>
      <c r="F653">
        <v>84.3</v>
      </c>
      <c r="G653" t="s">
        <v>348</v>
      </c>
      <c r="I653">
        <v>64</v>
      </c>
      <c r="J653">
        <v>119</v>
      </c>
      <c r="K653" t="s">
        <v>22</v>
      </c>
      <c r="L653" t="s">
        <v>22</v>
      </c>
      <c r="M653" t="s">
        <v>37</v>
      </c>
      <c r="N653">
        <v>0.45300000000000001</v>
      </c>
      <c r="O653">
        <v>125</v>
      </c>
      <c r="P653">
        <v>61</v>
      </c>
      <c r="Q653" t="s">
        <v>25</v>
      </c>
      <c r="S653">
        <v>17.71</v>
      </c>
      <c r="T653" t="s">
        <v>26</v>
      </c>
    </row>
    <row r="654" spans="1:20" x14ac:dyDescent="0.3">
      <c r="A654" t="s">
        <v>20</v>
      </c>
      <c r="B654">
        <v>37</v>
      </c>
      <c r="C654">
        <v>100</v>
      </c>
      <c r="D654">
        <v>1.75</v>
      </c>
      <c r="F654">
        <v>91.6</v>
      </c>
      <c r="G654" t="s">
        <v>595</v>
      </c>
      <c r="H654">
        <v>128</v>
      </c>
      <c r="I654">
        <v>36</v>
      </c>
      <c r="J654">
        <v>131</v>
      </c>
      <c r="K654" t="s">
        <v>22</v>
      </c>
      <c r="L654" t="s">
        <v>23</v>
      </c>
      <c r="M654" t="s">
        <v>37</v>
      </c>
      <c r="O654">
        <v>131</v>
      </c>
      <c r="P654">
        <v>100</v>
      </c>
      <c r="Q654" t="s">
        <v>29</v>
      </c>
      <c r="R654">
        <v>62</v>
      </c>
      <c r="S654">
        <v>17.649999999999999</v>
      </c>
      <c r="T654" t="s">
        <v>30</v>
      </c>
    </row>
    <row r="655" spans="1:20" x14ac:dyDescent="0.3">
      <c r="A655" t="s">
        <v>20</v>
      </c>
      <c r="B655">
        <v>58</v>
      </c>
      <c r="C655">
        <v>51.6</v>
      </c>
      <c r="D655">
        <v>1.73</v>
      </c>
      <c r="E655">
        <v>17.2</v>
      </c>
      <c r="F655">
        <v>79.7</v>
      </c>
      <c r="G655" t="s">
        <v>596</v>
      </c>
      <c r="H655">
        <v>151</v>
      </c>
      <c r="I655">
        <v>71</v>
      </c>
      <c r="J655">
        <v>88</v>
      </c>
      <c r="K655" t="s">
        <v>23</v>
      </c>
      <c r="L655" t="s">
        <v>22</v>
      </c>
      <c r="M655" t="s">
        <v>28</v>
      </c>
      <c r="N655">
        <v>0.46100000000000002</v>
      </c>
      <c r="O655">
        <v>103</v>
      </c>
      <c r="P655">
        <v>83</v>
      </c>
      <c r="Q655" t="s">
        <v>29</v>
      </c>
      <c r="R655">
        <v>50</v>
      </c>
      <c r="S655">
        <v>11.61</v>
      </c>
      <c r="T655" t="s">
        <v>26</v>
      </c>
    </row>
    <row r="656" spans="1:20" x14ac:dyDescent="0.3">
      <c r="A656" t="s">
        <v>20</v>
      </c>
      <c r="B656">
        <v>38</v>
      </c>
      <c r="C656">
        <v>58.6</v>
      </c>
      <c r="D656">
        <v>1.72</v>
      </c>
      <c r="E656">
        <v>19.8</v>
      </c>
      <c r="F656">
        <v>102</v>
      </c>
      <c r="G656" t="s">
        <v>597</v>
      </c>
      <c r="H656">
        <v>102</v>
      </c>
      <c r="I656">
        <v>78</v>
      </c>
      <c r="J656">
        <v>141</v>
      </c>
      <c r="K656" t="s">
        <v>22</v>
      </c>
      <c r="L656" t="s">
        <v>22</v>
      </c>
      <c r="M656" t="s">
        <v>28</v>
      </c>
      <c r="N656">
        <v>0.59299999999999997</v>
      </c>
      <c r="O656">
        <v>117</v>
      </c>
      <c r="P656">
        <v>92</v>
      </c>
      <c r="Q656" t="s">
        <v>38</v>
      </c>
      <c r="R656">
        <v>-6</v>
      </c>
      <c r="T656" t="s">
        <v>52</v>
      </c>
    </row>
    <row r="657" spans="1:20" x14ac:dyDescent="0.3">
      <c r="A657" t="s">
        <v>31</v>
      </c>
      <c r="C657">
        <v>117.8</v>
      </c>
      <c r="D657">
        <v>1.8</v>
      </c>
      <c r="E657">
        <v>36.4</v>
      </c>
      <c r="F657">
        <v>95</v>
      </c>
      <c r="G657" t="s">
        <v>72</v>
      </c>
      <c r="H657">
        <v>298</v>
      </c>
      <c r="I657">
        <v>41</v>
      </c>
      <c r="J657">
        <v>149</v>
      </c>
      <c r="K657" t="s">
        <v>22</v>
      </c>
      <c r="L657" t="s">
        <v>23</v>
      </c>
      <c r="M657" t="s">
        <v>24</v>
      </c>
      <c r="N657">
        <v>0.52800000000000002</v>
      </c>
      <c r="P657">
        <v>75</v>
      </c>
      <c r="Q657" t="s">
        <v>29</v>
      </c>
      <c r="R657">
        <v>227</v>
      </c>
      <c r="S657">
        <v>21.74</v>
      </c>
      <c r="T657" t="s">
        <v>30</v>
      </c>
    </row>
    <row r="658" spans="1:20" x14ac:dyDescent="0.3">
      <c r="A658" t="s">
        <v>20</v>
      </c>
      <c r="B658">
        <v>56</v>
      </c>
      <c r="C658">
        <v>110</v>
      </c>
      <c r="D658">
        <v>1.89</v>
      </c>
      <c r="E658">
        <v>30.8</v>
      </c>
      <c r="F658">
        <v>97</v>
      </c>
      <c r="G658" t="s">
        <v>185</v>
      </c>
      <c r="H658">
        <v>264</v>
      </c>
      <c r="I658">
        <v>44</v>
      </c>
      <c r="J658">
        <v>108</v>
      </c>
      <c r="K658" t="s">
        <v>22</v>
      </c>
      <c r="L658" t="s">
        <v>23</v>
      </c>
      <c r="M658" t="s">
        <v>37</v>
      </c>
      <c r="N658">
        <v>0.51300000000000001</v>
      </c>
      <c r="O658">
        <v>97</v>
      </c>
      <c r="P658">
        <v>79</v>
      </c>
      <c r="Q658" t="s">
        <v>33</v>
      </c>
      <c r="R658">
        <v>190</v>
      </c>
      <c r="S658">
        <v>18.29</v>
      </c>
      <c r="T658" t="s">
        <v>30</v>
      </c>
    </row>
    <row r="659" spans="1:20" x14ac:dyDescent="0.3">
      <c r="A659" t="s">
        <v>20</v>
      </c>
      <c r="B659">
        <v>34</v>
      </c>
      <c r="C659">
        <v>66.8</v>
      </c>
      <c r="D659">
        <v>1.71</v>
      </c>
      <c r="E659">
        <v>22.8</v>
      </c>
      <c r="F659">
        <v>87.7</v>
      </c>
      <c r="G659" t="s">
        <v>541</v>
      </c>
      <c r="H659">
        <v>235</v>
      </c>
      <c r="I659">
        <v>58</v>
      </c>
      <c r="J659">
        <v>85</v>
      </c>
      <c r="K659" t="s">
        <v>22</v>
      </c>
      <c r="L659" t="s">
        <v>23</v>
      </c>
      <c r="M659" t="s">
        <v>24</v>
      </c>
      <c r="N659">
        <v>0.51300000000000001</v>
      </c>
      <c r="O659">
        <v>120</v>
      </c>
      <c r="P659">
        <v>100</v>
      </c>
      <c r="Q659" t="s">
        <v>38</v>
      </c>
      <c r="R659">
        <v>147</v>
      </c>
      <c r="S659">
        <v>17.260000000000002</v>
      </c>
      <c r="T659" t="s">
        <v>30</v>
      </c>
    </row>
    <row r="660" spans="1:20" x14ac:dyDescent="0.3">
      <c r="A660" t="s">
        <v>20</v>
      </c>
      <c r="B660">
        <v>59</v>
      </c>
      <c r="C660">
        <v>60.6</v>
      </c>
      <c r="D660">
        <v>1.75</v>
      </c>
      <c r="E660">
        <v>19.8</v>
      </c>
      <c r="F660">
        <v>78.099999999999994</v>
      </c>
      <c r="G660" t="s">
        <v>598</v>
      </c>
      <c r="H660">
        <v>153</v>
      </c>
      <c r="I660">
        <v>58</v>
      </c>
      <c r="J660">
        <v>144</v>
      </c>
      <c r="K660" t="s">
        <v>22</v>
      </c>
      <c r="L660" t="s">
        <v>23</v>
      </c>
      <c r="M660" t="s">
        <v>24</v>
      </c>
      <c r="N660">
        <v>0.44600000000000001</v>
      </c>
      <c r="O660">
        <v>130</v>
      </c>
      <c r="P660">
        <v>98</v>
      </c>
      <c r="Q660" t="s">
        <v>29</v>
      </c>
      <c r="R660">
        <v>65</v>
      </c>
      <c r="S660">
        <v>15.52</v>
      </c>
      <c r="T660" t="s">
        <v>30</v>
      </c>
    </row>
    <row r="661" spans="1:20" x14ac:dyDescent="0.3">
      <c r="A661" t="s">
        <v>31</v>
      </c>
      <c r="B661">
        <v>58</v>
      </c>
      <c r="C661">
        <v>109.5</v>
      </c>
      <c r="D661">
        <v>1.79</v>
      </c>
      <c r="E661">
        <v>34.200000000000003</v>
      </c>
      <c r="F661">
        <v>103.4</v>
      </c>
      <c r="G661" t="s">
        <v>364</v>
      </c>
      <c r="H661">
        <v>109</v>
      </c>
      <c r="J661">
        <v>92</v>
      </c>
      <c r="K661" t="s">
        <v>23</v>
      </c>
      <c r="L661" t="s">
        <v>23</v>
      </c>
      <c r="M661" t="s">
        <v>28</v>
      </c>
      <c r="N661">
        <v>0.57799999999999996</v>
      </c>
      <c r="O661">
        <v>117</v>
      </c>
      <c r="P661">
        <v>81</v>
      </c>
      <c r="Q661" t="s">
        <v>29</v>
      </c>
      <c r="R661">
        <v>31</v>
      </c>
      <c r="S661">
        <v>16.87</v>
      </c>
      <c r="T661" t="s">
        <v>30</v>
      </c>
    </row>
    <row r="662" spans="1:20" x14ac:dyDescent="0.3">
      <c r="A662" t="s">
        <v>20</v>
      </c>
      <c r="B662">
        <v>51</v>
      </c>
      <c r="C662">
        <v>112.1</v>
      </c>
      <c r="D662">
        <v>1.81</v>
      </c>
      <c r="E662">
        <v>34.200000000000003</v>
      </c>
      <c r="F662">
        <v>100.2</v>
      </c>
      <c r="G662" t="s">
        <v>599</v>
      </c>
      <c r="H662">
        <v>289</v>
      </c>
      <c r="I662">
        <v>43</v>
      </c>
      <c r="K662" t="s">
        <v>22</v>
      </c>
      <c r="L662" t="s">
        <v>22</v>
      </c>
      <c r="M662" t="s">
        <v>37</v>
      </c>
      <c r="N662">
        <v>0.55400000000000005</v>
      </c>
      <c r="O662">
        <v>103</v>
      </c>
      <c r="P662">
        <v>85</v>
      </c>
      <c r="Q662" t="s">
        <v>29</v>
      </c>
      <c r="R662">
        <v>216</v>
      </c>
      <c r="S662">
        <v>17.77</v>
      </c>
      <c r="T662" t="s">
        <v>26</v>
      </c>
    </row>
    <row r="663" spans="1:20" x14ac:dyDescent="0.3">
      <c r="A663" t="s">
        <v>31</v>
      </c>
      <c r="B663">
        <v>41</v>
      </c>
      <c r="C663">
        <v>59.2</v>
      </c>
      <c r="D663">
        <v>1.65</v>
      </c>
      <c r="F663">
        <v>90.4</v>
      </c>
      <c r="G663" t="s">
        <v>600</v>
      </c>
      <c r="H663">
        <v>114</v>
      </c>
      <c r="I663">
        <v>56</v>
      </c>
      <c r="J663">
        <v>134</v>
      </c>
      <c r="K663" t="s">
        <v>23</v>
      </c>
      <c r="L663" t="s">
        <v>22</v>
      </c>
      <c r="M663" t="s">
        <v>28</v>
      </c>
      <c r="N663">
        <v>0.54800000000000004</v>
      </c>
      <c r="O663">
        <v>150</v>
      </c>
      <c r="P663">
        <v>98</v>
      </c>
      <c r="Q663" t="s">
        <v>38</v>
      </c>
      <c r="R663">
        <v>28</v>
      </c>
      <c r="S663">
        <v>14.12</v>
      </c>
      <c r="T663" t="s">
        <v>26</v>
      </c>
    </row>
    <row r="664" spans="1:20" x14ac:dyDescent="0.3">
      <c r="A664" t="s">
        <v>20</v>
      </c>
      <c r="B664">
        <v>32</v>
      </c>
      <c r="C664">
        <v>73.3</v>
      </c>
      <c r="D664">
        <v>1.61</v>
      </c>
      <c r="E664">
        <v>28.3</v>
      </c>
      <c r="F664">
        <v>101.2</v>
      </c>
      <c r="G664" t="s">
        <v>69</v>
      </c>
      <c r="H664">
        <v>260</v>
      </c>
      <c r="I664">
        <v>78</v>
      </c>
      <c r="J664">
        <v>74</v>
      </c>
      <c r="K664" t="s">
        <v>22</v>
      </c>
      <c r="L664" t="s">
        <v>23</v>
      </c>
      <c r="M664" t="s">
        <v>37</v>
      </c>
      <c r="O664">
        <v>136</v>
      </c>
      <c r="P664">
        <v>80</v>
      </c>
      <c r="Q664" t="s">
        <v>29</v>
      </c>
      <c r="R664">
        <v>152</v>
      </c>
      <c r="S664">
        <v>19.66</v>
      </c>
      <c r="T664" t="s">
        <v>26</v>
      </c>
    </row>
    <row r="665" spans="1:20" x14ac:dyDescent="0.3">
      <c r="A665" t="s">
        <v>31</v>
      </c>
      <c r="B665">
        <v>41</v>
      </c>
      <c r="C665">
        <v>110.9</v>
      </c>
      <c r="D665">
        <v>1.74</v>
      </c>
      <c r="E665">
        <v>36.6</v>
      </c>
      <c r="F665">
        <v>92.8</v>
      </c>
      <c r="G665" t="s">
        <v>601</v>
      </c>
      <c r="H665">
        <v>125</v>
      </c>
      <c r="I665">
        <v>70</v>
      </c>
      <c r="J665">
        <v>85</v>
      </c>
      <c r="K665" t="s">
        <v>23</v>
      </c>
      <c r="L665" t="s">
        <v>23</v>
      </c>
      <c r="M665" t="s">
        <v>24</v>
      </c>
      <c r="N665">
        <v>0.53300000000000003</v>
      </c>
      <c r="O665">
        <v>114</v>
      </c>
      <c r="P665">
        <v>89</v>
      </c>
      <c r="Q665" t="s">
        <v>29</v>
      </c>
      <c r="R665">
        <v>25</v>
      </c>
      <c r="S665">
        <v>17.52</v>
      </c>
      <c r="T665" t="s">
        <v>30</v>
      </c>
    </row>
    <row r="666" spans="1:20" x14ac:dyDescent="0.3">
      <c r="A666" t="s">
        <v>20</v>
      </c>
      <c r="B666">
        <v>35</v>
      </c>
      <c r="C666">
        <v>50.1</v>
      </c>
      <c r="D666">
        <v>1.8</v>
      </c>
      <c r="E666">
        <v>15.5</v>
      </c>
      <c r="F666">
        <v>89</v>
      </c>
      <c r="G666" t="s">
        <v>602</v>
      </c>
      <c r="H666">
        <v>262</v>
      </c>
      <c r="I666">
        <v>54</v>
      </c>
      <c r="J666">
        <v>121</v>
      </c>
      <c r="K666" t="s">
        <v>22</v>
      </c>
      <c r="L666" t="s">
        <v>22</v>
      </c>
      <c r="M666" t="s">
        <v>24</v>
      </c>
      <c r="N666">
        <v>0.49399999999999999</v>
      </c>
      <c r="O666">
        <v>127</v>
      </c>
      <c r="P666">
        <v>74</v>
      </c>
      <c r="Q666" t="s">
        <v>25</v>
      </c>
      <c r="R666">
        <v>178</v>
      </c>
      <c r="S666">
        <v>14.69</v>
      </c>
      <c r="T666" t="s">
        <v>26</v>
      </c>
    </row>
    <row r="667" spans="1:20" x14ac:dyDescent="0.3">
      <c r="A667" t="s">
        <v>31</v>
      </c>
      <c r="B667">
        <v>36</v>
      </c>
      <c r="C667">
        <v>58.7</v>
      </c>
      <c r="D667">
        <v>1.74</v>
      </c>
      <c r="F667">
        <v>98.7</v>
      </c>
      <c r="G667" t="s">
        <v>103</v>
      </c>
      <c r="H667">
        <v>159</v>
      </c>
      <c r="I667">
        <v>74</v>
      </c>
      <c r="J667">
        <v>139</v>
      </c>
      <c r="K667" t="s">
        <v>22</v>
      </c>
      <c r="L667" t="s">
        <v>23</v>
      </c>
      <c r="M667" t="s">
        <v>28</v>
      </c>
      <c r="N667">
        <v>0.56699999999999995</v>
      </c>
      <c r="O667">
        <v>102</v>
      </c>
      <c r="P667">
        <v>79</v>
      </c>
      <c r="Q667" t="s">
        <v>33</v>
      </c>
      <c r="R667">
        <v>55</v>
      </c>
      <c r="S667">
        <v>14.16</v>
      </c>
      <c r="T667" t="s">
        <v>52</v>
      </c>
    </row>
    <row r="668" spans="1:20" x14ac:dyDescent="0.3">
      <c r="A668" t="s">
        <v>31</v>
      </c>
      <c r="B668">
        <v>53</v>
      </c>
      <c r="C668">
        <v>87.9</v>
      </c>
      <c r="D668">
        <v>1.75</v>
      </c>
      <c r="E668">
        <v>28.7</v>
      </c>
      <c r="F668">
        <v>89.9</v>
      </c>
      <c r="G668" t="s">
        <v>603</v>
      </c>
      <c r="H668">
        <v>230</v>
      </c>
      <c r="I668">
        <v>34</v>
      </c>
      <c r="J668">
        <v>112</v>
      </c>
      <c r="K668" t="s">
        <v>22</v>
      </c>
      <c r="L668" t="s">
        <v>22</v>
      </c>
      <c r="M668" t="s">
        <v>37</v>
      </c>
      <c r="N668">
        <v>0.51400000000000001</v>
      </c>
      <c r="O668">
        <v>140</v>
      </c>
      <c r="P668">
        <v>72</v>
      </c>
      <c r="Q668" t="s">
        <v>38</v>
      </c>
      <c r="R668">
        <v>166</v>
      </c>
      <c r="S668">
        <v>17.34</v>
      </c>
      <c r="T668" t="s">
        <v>30</v>
      </c>
    </row>
    <row r="669" spans="1:20" x14ac:dyDescent="0.3">
      <c r="A669" t="s">
        <v>31</v>
      </c>
      <c r="B669">
        <v>50</v>
      </c>
      <c r="C669">
        <v>52.1</v>
      </c>
      <c r="D669">
        <v>1.79</v>
      </c>
      <c r="E669">
        <v>16.3</v>
      </c>
      <c r="F669">
        <v>73.7</v>
      </c>
      <c r="G669" t="s">
        <v>573</v>
      </c>
      <c r="H669">
        <v>296</v>
      </c>
      <c r="I669">
        <v>54</v>
      </c>
      <c r="J669">
        <v>106</v>
      </c>
      <c r="K669" t="s">
        <v>23</v>
      </c>
      <c r="L669" t="s">
        <v>22</v>
      </c>
      <c r="M669" t="s">
        <v>24</v>
      </c>
      <c r="N669">
        <v>0.41199999999999998</v>
      </c>
      <c r="O669">
        <v>118</v>
      </c>
      <c r="P669">
        <v>97</v>
      </c>
      <c r="Q669" t="s">
        <v>38</v>
      </c>
      <c r="R669">
        <v>212</v>
      </c>
      <c r="S669">
        <v>15.08</v>
      </c>
      <c r="T669" t="s">
        <v>30</v>
      </c>
    </row>
    <row r="670" spans="1:20" x14ac:dyDescent="0.3">
      <c r="A670" t="s">
        <v>20</v>
      </c>
      <c r="B670">
        <v>30</v>
      </c>
      <c r="D670">
        <v>1.65</v>
      </c>
      <c r="E670">
        <v>36.700000000000003</v>
      </c>
      <c r="F670">
        <v>108.1</v>
      </c>
      <c r="G670" t="s">
        <v>604</v>
      </c>
      <c r="H670">
        <v>101</v>
      </c>
      <c r="I670">
        <v>31</v>
      </c>
      <c r="J670">
        <v>83</v>
      </c>
      <c r="K670" t="s">
        <v>22</v>
      </c>
      <c r="L670" t="s">
        <v>23</v>
      </c>
      <c r="M670" t="s">
        <v>37</v>
      </c>
      <c r="N670">
        <v>0.65500000000000003</v>
      </c>
      <c r="O670">
        <v>130</v>
      </c>
      <c r="P670">
        <v>81</v>
      </c>
      <c r="Q670" t="s">
        <v>29</v>
      </c>
      <c r="R670">
        <v>40</v>
      </c>
      <c r="S670">
        <v>17.86</v>
      </c>
      <c r="T670" t="s">
        <v>26</v>
      </c>
    </row>
    <row r="671" spans="1:20" x14ac:dyDescent="0.3">
      <c r="A671" t="s">
        <v>20</v>
      </c>
      <c r="B671">
        <v>59</v>
      </c>
      <c r="C671">
        <v>85.6</v>
      </c>
      <c r="D671">
        <v>1.89</v>
      </c>
      <c r="E671">
        <v>24</v>
      </c>
      <c r="F671">
        <v>89.1</v>
      </c>
      <c r="G671" t="s">
        <v>605</v>
      </c>
      <c r="H671">
        <v>243</v>
      </c>
      <c r="I671">
        <v>79</v>
      </c>
      <c r="J671">
        <v>104</v>
      </c>
      <c r="K671" t="s">
        <v>23</v>
      </c>
      <c r="L671" t="s">
        <v>22</v>
      </c>
      <c r="M671" t="s">
        <v>28</v>
      </c>
      <c r="N671">
        <v>0.47099999999999997</v>
      </c>
      <c r="P671">
        <v>69</v>
      </c>
      <c r="Q671" t="s">
        <v>33</v>
      </c>
      <c r="R671">
        <v>134</v>
      </c>
      <c r="S671">
        <v>14.21</v>
      </c>
      <c r="T671" t="s">
        <v>26</v>
      </c>
    </row>
    <row r="672" spans="1:20" x14ac:dyDescent="0.3">
      <c r="A672" t="s">
        <v>31</v>
      </c>
      <c r="B672">
        <v>39</v>
      </c>
      <c r="C672">
        <v>95.5</v>
      </c>
      <c r="D672">
        <v>1.61</v>
      </c>
      <c r="F672">
        <v>107.5</v>
      </c>
      <c r="G672" t="s">
        <v>606</v>
      </c>
      <c r="H672">
        <v>294</v>
      </c>
      <c r="I672">
        <v>34</v>
      </c>
      <c r="J672">
        <v>125</v>
      </c>
      <c r="K672" t="s">
        <v>22</v>
      </c>
      <c r="L672" t="s">
        <v>22</v>
      </c>
      <c r="M672" t="s">
        <v>24</v>
      </c>
      <c r="N672">
        <v>0.66800000000000004</v>
      </c>
      <c r="O672">
        <v>121</v>
      </c>
      <c r="P672">
        <v>61</v>
      </c>
      <c r="Q672" t="s">
        <v>25</v>
      </c>
      <c r="R672">
        <v>230</v>
      </c>
      <c r="S672">
        <v>19.29</v>
      </c>
      <c r="T672" t="s">
        <v>30</v>
      </c>
    </row>
    <row r="673" spans="1:20" x14ac:dyDescent="0.3">
      <c r="A673" t="s">
        <v>20</v>
      </c>
      <c r="B673">
        <v>35</v>
      </c>
      <c r="C673">
        <v>71.3</v>
      </c>
      <c r="D673">
        <v>1.72</v>
      </c>
      <c r="E673">
        <v>24.1</v>
      </c>
      <c r="F673">
        <v>82.2</v>
      </c>
      <c r="G673" t="s">
        <v>607</v>
      </c>
      <c r="H673">
        <v>106</v>
      </c>
      <c r="I673">
        <v>39</v>
      </c>
      <c r="J673">
        <v>95</v>
      </c>
      <c r="K673" t="s">
        <v>23</v>
      </c>
      <c r="L673" t="s">
        <v>22</v>
      </c>
      <c r="M673" t="s">
        <v>28</v>
      </c>
      <c r="N673">
        <v>0.47799999999999998</v>
      </c>
      <c r="O673">
        <v>113</v>
      </c>
      <c r="Q673" t="s">
        <v>33</v>
      </c>
      <c r="R673">
        <v>37</v>
      </c>
      <c r="S673">
        <v>12.59</v>
      </c>
      <c r="T673" t="s">
        <v>26</v>
      </c>
    </row>
    <row r="674" spans="1:20" x14ac:dyDescent="0.3">
      <c r="A674" t="s">
        <v>31</v>
      </c>
      <c r="B674">
        <v>31</v>
      </c>
      <c r="C674">
        <v>64.2</v>
      </c>
      <c r="D674">
        <v>1.84</v>
      </c>
      <c r="F674">
        <v>75.5</v>
      </c>
      <c r="G674" t="s">
        <v>189</v>
      </c>
      <c r="H674">
        <v>294</v>
      </c>
      <c r="I674">
        <v>74</v>
      </c>
      <c r="J674">
        <v>74</v>
      </c>
      <c r="K674" t="s">
        <v>22</v>
      </c>
      <c r="L674" t="s">
        <v>23</v>
      </c>
      <c r="M674" t="s">
        <v>37</v>
      </c>
      <c r="N674">
        <v>0.41</v>
      </c>
      <c r="O674">
        <v>131</v>
      </c>
      <c r="P674">
        <v>79</v>
      </c>
      <c r="Q674" t="s">
        <v>29</v>
      </c>
      <c r="R674">
        <v>190</v>
      </c>
      <c r="S674">
        <v>18.23</v>
      </c>
      <c r="T674" t="s">
        <v>26</v>
      </c>
    </row>
    <row r="675" spans="1:20" x14ac:dyDescent="0.3">
      <c r="A675" t="s">
        <v>31</v>
      </c>
      <c r="B675">
        <v>33</v>
      </c>
      <c r="C675">
        <v>105.1</v>
      </c>
      <c r="D675">
        <v>1.83</v>
      </c>
      <c r="E675">
        <v>31.4</v>
      </c>
      <c r="F675">
        <v>78.099999999999994</v>
      </c>
      <c r="G675" t="s">
        <v>608</v>
      </c>
      <c r="H675">
        <v>146</v>
      </c>
      <c r="I675">
        <v>70</v>
      </c>
      <c r="K675" t="s">
        <v>22</v>
      </c>
      <c r="L675" t="s">
        <v>22</v>
      </c>
      <c r="M675" t="s">
        <v>37</v>
      </c>
      <c r="N675">
        <v>0.42699999999999999</v>
      </c>
      <c r="O675">
        <v>119</v>
      </c>
      <c r="P675">
        <v>97</v>
      </c>
      <c r="Q675" t="s">
        <v>38</v>
      </c>
      <c r="R675">
        <v>46</v>
      </c>
      <c r="S675">
        <v>15.15</v>
      </c>
      <c r="T675" t="s">
        <v>26</v>
      </c>
    </row>
    <row r="676" spans="1:20" x14ac:dyDescent="0.3">
      <c r="A676" t="s">
        <v>20</v>
      </c>
      <c r="B676">
        <v>55</v>
      </c>
      <c r="C676">
        <v>81.5</v>
      </c>
      <c r="D676">
        <v>1.8</v>
      </c>
      <c r="E676">
        <v>25.2</v>
      </c>
      <c r="F676">
        <v>104.6</v>
      </c>
      <c r="G676" t="s">
        <v>401</v>
      </c>
      <c r="H676">
        <v>149</v>
      </c>
      <c r="I676">
        <v>40</v>
      </c>
      <c r="J676">
        <v>140</v>
      </c>
      <c r="K676" t="s">
        <v>23</v>
      </c>
      <c r="L676" t="s">
        <v>23</v>
      </c>
      <c r="M676" t="s">
        <v>28</v>
      </c>
      <c r="N676">
        <v>0.58099999999999996</v>
      </c>
      <c r="O676">
        <v>133</v>
      </c>
      <c r="P676">
        <v>87</v>
      </c>
      <c r="Q676" t="s">
        <v>29</v>
      </c>
      <c r="R676">
        <v>79</v>
      </c>
      <c r="S676">
        <v>16.670000000000002</v>
      </c>
      <c r="T676" t="s">
        <v>30</v>
      </c>
    </row>
    <row r="677" spans="1:20" x14ac:dyDescent="0.3">
      <c r="A677" t="s">
        <v>31</v>
      </c>
      <c r="B677">
        <v>50</v>
      </c>
      <c r="C677">
        <v>57</v>
      </c>
      <c r="D677">
        <v>1.79</v>
      </c>
      <c r="E677">
        <v>17.8</v>
      </c>
      <c r="F677">
        <v>86.4</v>
      </c>
      <c r="G677" t="s">
        <v>609</v>
      </c>
      <c r="H677">
        <v>269</v>
      </c>
      <c r="I677">
        <v>48</v>
      </c>
      <c r="J677">
        <v>70</v>
      </c>
      <c r="K677" t="s">
        <v>22</v>
      </c>
      <c r="L677" t="s">
        <v>23</v>
      </c>
      <c r="M677" t="s">
        <v>24</v>
      </c>
      <c r="N677">
        <v>0.48299999999999998</v>
      </c>
      <c r="O677">
        <v>109</v>
      </c>
      <c r="P677">
        <v>84</v>
      </c>
      <c r="Q677" t="s">
        <v>29</v>
      </c>
      <c r="R677">
        <v>191</v>
      </c>
      <c r="S677">
        <v>16.39</v>
      </c>
      <c r="T677" t="s">
        <v>30</v>
      </c>
    </row>
    <row r="678" spans="1:20" x14ac:dyDescent="0.3">
      <c r="A678" t="s">
        <v>31</v>
      </c>
      <c r="B678">
        <v>36</v>
      </c>
      <c r="C678">
        <v>71.099999999999994</v>
      </c>
      <c r="D678">
        <v>1.87</v>
      </c>
      <c r="E678">
        <v>20.3</v>
      </c>
      <c r="F678">
        <v>81.599999999999994</v>
      </c>
      <c r="G678" t="s">
        <v>610</v>
      </c>
      <c r="H678">
        <v>289</v>
      </c>
      <c r="I678">
        <v>31</v>
      </c>
      <c r="J678">
        <v>92</v>
      </c>
      <c r="K678" t="s">
        <v>23</v>
      </c>
      <c r="L678" t="s">
        <v>23</v>
      </c>
      <c r="M678" t="s">
        <v>37</v>
      </c>
      <c r="N678">
        <v>0.436</v>
      </c>
      <c r="O678">
        <v>126</v>
      </c>
      <c r="P678">
        <v>91</v>
      </c>
      <c r="Q678" t="s">
        <v>38</v>
      </c>
      <c r="R678">
        <v>228</v>
      </c>
      <c r="S678">
        <v>18.14</v>
      </c>
      <c r="T678" t="s">
        <v>30</v>
      </c>
    </row>
    <row r="679" spans="1:20" x14ac:dyDescent="0.3">
      <c r="A679" t="s">
        <v>20</v>
      </c>
      <c r="B679">
        <v>48</v>
      </c>
      <c r="C679">
        <v>106.4</v>
      </c>
      <c r="D679">
        <v>1.73</v>
      </c>
      <c r="E679">
        <v>35.6</v>
      </c>
      <c r="F679">
        <v>108</v>
      </c>
      <c r="G679" t="s">
        <v>611</v>
      </c>
      <c r="H679">
        <v>181</v>
      </c>
      <c r="I679">
        <v>56</v>
      </c>
      <c r="J679">
        <v>96</v>
      </c>
      <c r="K679" t="s">
        <v>22</v>
      </c>
      <c r="L679" t="s">
        <v>22</v>
      </c>
      <c r="M679" t="s">
        <v>37</v>
      </c>
      <c r="N679">
        <v>0.624</v>
      </c>
      <c r="O679">
        <v>128</v>
      </c>
      <c r="P679">
        <v>67</v>
      </c>
      <c r="Q679" t="s">
        <v>25</v>
      </c>
      <c r="R679">
        <v>95</v>
      </c>
      <c r="S679">
        <v>17.14</v>
      </c>
      <c r="T679" t="s">
        <v>26</v>
      </c>
    </row>
    <row r="680" spans="1:20" x14ac:dyDescent="0.3">
      <c r="A680" t="s">
        <v>20</v>
      </c>
      <c r="B680">
        <v>51</v>
      </c>
      <c r="C680">
        <v>118.8</v>
      </c>
      <c r="D680">
        <v>1.88</v>
      </c>
      <c r="E680">
        <v>33.6</v>
      </c>
      <c r="F680">
        <v>89.9</v>
      </c>
      <c r="G680" t="s">
        <v>597</v>
      </c>
      <c r="H680">
        <v>150</v>
      </c>
      <c r="I680">
        <v>53</v>
      </c>
      <c r="J680">
        <v>85</v>
      </c>
      <c r="K680" t="s">
        <v>23</v>
      </c>
      <c r="L680" t="s">
        <v>22</v>
      </c>
      <c r="M680" t="s">
        <v>28</v>
      </c>
      <c r="N680">
        <v>0.47799999999999998</v>
      </c>
      <c r="O680">
        <v>117</v>
      </c>
      <c r="P680">
        <v>92</v>
      </c>
      <c r="Q680" t="s">
        <v>38</v>
      </c>
      <c r="R680">
        <v>67</v>
      </c>
      <c r="S680">
        <v>15.57</v>
      </c>
      <c r="T680" t="s">
        <v>30</v>
      </c>
    </row>
    <row r="681" spans="1:20" x14ac:dyDescent="0.3">
      <c r="A681" t="s">
        <v>20</v>
      </c>
      <c r="B681">
        <v>44</v>
      </c>
      <c r="C681">
        <v>105.8</v>
      </c>
      <c r="D681">
        <v>1.8</v>
      </c>
      <c r="E681">
        <v>32.700000000000003</v>
      </c>
      <c r="F681">
        <v>99.1</v>
      </c>
      <c r="G681" t="s">
        <v>612</v>
      </c>
      <c r="H681">
        <v>244</v>
      </c>
      <c r="I681">
        <v>36</v>
      </c>
      <c r="J681">
        <v>146</v>
      </c>
      <c r="K681" t="s">
        <v>23</v>
      </c>
      <c r="L681" t="s">
        <v>22</v>
      </c>
      <c r="M681" t="s">
        <v>37</v>
      </c>
      <c r="N681">
        <v>0.55100000000000005</v>
      </c>
      <c r="O681">
        <v>91</v>
      </c>
      <c r="P681">
        <v>98</v>
      </c>
      <c r="Q681" t="s">
        <v>38</v>
      </c>
      <c r="R681">
        <v>178</v>
      </c>
      <c r="S681">
        <v>15.97</v>
      </c>
      <c r="T681" t="s">
        <v>30</v>
      </c>
    </row>
    <row r="682" spans="1:20" x14ac:dyDescent="0.3">
      <c r="A682" t="s">
        <v>20</v>
      </c>
      <c r="B682">
        <v>52</v>
      </c>
      <c r="C682">
        <v>69.2</v>
      </c>
      <c r="D682">
        <v>1.82</v>
      </c>
      <c r="E682">
        <v>20.9</v>
      </c>
      <c r="F682">
        <v>104.5</v>
      </c>
      <c r="G682" t="s">
        <v>613</v>
      </c>
      <c r="H682">
        <v>254</v>
      </c>
      <c r="I682">
        <v>46</v>
      </c>
      <c r="J682">
        <v>117</v>
      </c>
      <c r="K682" t="s">
        <v>22</v>
      </c>
      <c r="L682" t="s">
        <v>23</v>
      </c>
      <c r="M682" t="s">
        <v>24</v>
      </c>
      <c r="N682">
        <v>0.57399999999999995</v>
      </c>
      <c r="O682">
        <v>105</v>
      </c>
      <c r="P682">
        <v>72</v>
      </c>
      <c r="Q682" t="s">
        <v>33</v>
      </c>
      <c r="R682">
        <v>178</v>
      </c>
      <c r="S682">
        <v>16.510000000000002</v>
      </c>
      <c r="T682" t="s">
        <v>30</v>
      </c>
    </row>
    <row r="683" spans="1:20" x14ac:dyDescent="0.3">
      <c r="A683" t="s">
        <v>20</v>
      </c>
      <c r="B683">
        <v>34</v>
      </c>
      <c r="C683">
        <v>108</v>
      </c>
      <c r="D683">
        <v>1.72</v>
      </c>
      <c r="E683">
        <v>36.5</v>
      </c>
      <c r="F683">
        <v>101.1</v>
      </c>
      <c r="G683" t="s">
        <v>614</v>
      </c>
      <c r="H683">
        <v>130</v>
      </c>
      <c r="I683">
        <v>52</v>
      </c>
      <c r="J683">
        <v>98</v>
      </c>
      <c r="K683" t="s">
        <v>22</v>
      </c>
      <c r="L683" t="s">
        <v>22</v>
      </c>
      <c r="M683" t="s">
        <v>28</v>
      </c>
      <c r="N683">
        <v>0.58799999999999997</v>
      </c>
      <c r="O683">
        <v>134</v>
      </c>
      <c r="P683">
        <v>60</v>
      </c>
      <c r="Q683" t="s">
        <v>29</v>
      </c>
      <c r="R683">
        <v>48</v>
      </c>
      <c r="S683">
        <v>16.600000000000001</v>
      </c>
      <c r="T683" t="s">
        <v>52</v>
      </c>
    </row>
    <row r="684" spans="1:20" x14ac:dyDescent="0.3">
      <c r="A684" t="s">
        <v>20</v>
      </c>
      <c r="B684">
        <v>35</v>
      </c>
      <c r="C684">
        <v>58</v>
      </c>
      <c r="D684">
        <v>1.63</v>
      </c>
      <c r="E684">
        <v>21.8</v>
      </c>
      <c r="F684">
        <v>78.2</v>
      </c>
      <c r="G684" t="s">
        <v>615</v>
      </c>
      <c r="H684">
        <v>262</v>
      </c>
      <c r="I684">
        <v>54</v>
      </c>
      <c r="J684">
        <v>139</v>
      </c>
      <c r="K684" t="s">
        <v>23</v>
      </c>
      <c r="L684" t="s">
        <v>23</v>
      </c>
      <c r="M684" t="s">
        <v>28</v>
      </c>
      <c r="N684">
        <v>0.48</v>
      </c>
      <c r="O684">
        <v>95</v>
      </c>
      <c r="P684">
        <v>100</v>
      </c>
      <c r="Q684" t="s">
        <v>38</v>
      </c>
      <c r="R684">
        <v>178</v>
      </c>
      <c r="S684">
        <v>16.350000000000001</v>
      </c>
      <c r="T684" t="s">
        <v>30</v>
      </c>
    </row>
    <row r="685" spans="1:20" x14ac:dyDescent="0.3">
      <c r="A685" t="s">
        <v>20</v>
      </c>
      <c r="B685">
        <v>37</v>
      </c>
      <c r="C685">
        <v>116.9</v>
      </c>
      <c r="D685">
        <v>1.85</v>
      </c>
      <c r="E685">
        <v>34.200000000000003</v>
      </c>
      <c r="F685">
        <v>96.7</v>
      </c>
      <c r="G685" t="s">
        <v>104</v>
      </c>
      <c r="H685">
        <v>198</v>
      </c>
      <c r="I685">
        <v>77</v>
      </c>
      <c r="J685">
        <v>108</v>
      </c>
      <c r="K685" t="s">
        <v>23</v>
      </c>
      <c r="L685" t="s">
        <v>22</v>
      </c>
      <c r="M685" t="s">
        <v>24</v>
      </c>
      <c r="N685">
        <v>0.52300000000000002</v>
      </c>
      <c r="O685">
        <v>96</v>
      </c>
      <c r="P685">
        <v>65</v>
      </c>
      <c r="Q685" t="s">
        <v>33</v>
      </c>
      <c r="R685">
        <v>91</v>
      </c>
      <c r="T685" t="s">
        <v>26</v>
      </c>
    </row>
    <row r="686" spans="1:20" x14ac:dyDescent="0.3">
      <c r="A686" t="s">
        <v>20</v>
      </c>
      <c r="B686">
        <v>37</v>
      </c>
      <c r="C686">
        <v>105.4</v>
      </c>
      <c r="E686">
        <v>38.200000000000003</v>
      </c>
      <c r="F686">
        <v>73.900000000000006</v>
      </c>
      <c r="G686" t="s">
        <v>43</v>
      </c>
      <c r="H686">
        <v>175</v>
      </c>
      <c r="I686">
        <v>44</v>
      </c>
      <c r="J686">
        <v>72</v>
      </c>
      <c r="K686" t="s">
        <v>23</v>
      </c>
      <c r="L686" t="s">
        <v>22</v>
      </c>
      <c r="M686" t="s">
        <v>37</v>
      </c>
      <c r="N686">
        <v>0.44500000000000001</v>
      </c>
      <c r="O686">
        <v>129</v>
      </c>
      <c r="P686">
        <v>87</v>
      </c>
      <c r="Q686" t="s">
        <v>29</v>
      </c>
      <c r="R686">
        <v>101</v>
      </c>
      <c r="T686" t="s">
        <v>26</v>
      </c>
    </row>
    <row r="687" spans="1:20" x14ac:dyDescent="0.3">
      <c r="A687" t="s">
        <v>31</v>
      </c>
      <c r="B687">
        <v>44</v>
      </c>
      <c r="C687">
        <v>98.7</v>
      </c>
      <c r="D687">
        <v>1.71</v>
      </c>
      <c r="E687">
        <v>33.799999999999997</v>
      </c>
      <c r="F687">
        <v>85.3</v>
      </c>
      <c r="G687" t="s">
        <v>533</v>
      </c>
      <c r="H687">
        <v>192</v>
      </c>
      <c r="I687">
        <v>37</v>
      </c>
      <c r="J687">
        <v>76</v>
      </c>
      <c r="K687" t="s">
        <v>22</v>
      </c>
      <c r="L687" t="s">
        <v>23</v>
      </c>
      <c r="M687" t="s">
        <v>37</v>
      </c>
      <c r="N687">
        <v>0.499</v>
      </c>
      <c r="O687">
        <v>137</v>
      </c>
      <c r="P687">
        <v>91</v>
      </c>
      <c r="Q687" t="s">
        <v>29</v>
      </c>
      <c r="R687">
        <v>125</v>
      </c>
      <c r="S687">
        <v>19.45</v>
      </c>
      <c r="T687" t="s">
        <v>26</v>
      </c>
    </row>
    <row r="688" spans="1:20" x14ac:dyDescent="0.3">
      <c r="A688" t="s">
        <v>31</v>
      </c>
      <c r="B688">
        <v>46</v>
      </c>
      <c r="C688">
        <v>61.8</v>
      </c>
      <c r="D688">
        <v>1.67</v>
      </c>
      <c r="E688">
        <v>22.2</v>
      </c>
      <c r="F688">
        <v>91.8</v>
      </c>
      <c r="G688" t="s">
        <v>616</v>
      </c>
      <c r="H688">
        <v>154</v>
      </c>
      <c r="I688">
        <v>46</v>
      </c>
      <c r="J688">
        <v>121</v>
      </c>
      <c r="K688" t="s">
        <v>23</v>
      </c>
      <c r="L688" t="s">
        <v>22</v>
      </c>
      <c r="M688" t="s">
        <v>28</v>
      </c>
      <c r="N688">
        <v>0.55000000000000004</v>
      </c>
      <c r="O688">
        <v>112</v>
      </c>
      <c r="P688">
        <v>61</v>
      </c>
      <c r="Q688" t="s">
        <v>33</v>
      </c>
      <c r="R688">
        <v>78</v>
      </c>
      <c r="S688">
        <v>13.12</v>
      </c>
      <c r="T688" t="s">
        <v>26</v>
      </c>
    </row>
    <row r="689" spans="1:20" x14ac:dyDescent="0.3">
      <c r="A689" t="s">
        <v>20</v>
      </c>
      <c r="B689">
        <v>43</v>
      </c>
      <c r="C689">
        <v>57.1</v>
      </c>
      <c r="E689">
        <v>16.5</v>
      </c>
      <c r="F689">
        <v>78.599999999999994</v>
      </c>
      <c r="G689" t="s">
        <v>617</v>
      </c>
      <c r="J689">
        <v>137</v>
      </c>
      <c r="K689" t="s">
        <v>23</v>
      </c>
      <c r="L689" t="s">
        <v>22</v>
      </c>
      <c r="M689" t="s">
        <v>24</v>
      </c>
      <c r="N689">
        <v>0.42299999999999999</v>
      </c>
      <c r="P689">
        <v>66</v>
      </c>
      <c r="Q689" t="s">
        <v>33</v>
      </c>
      <c r="R689">
        <v>101</v>
      </c>
      <c r="S689">
        <v>12.04</v>
      </c>
      <c r="T689" t="s">
        <v>26</v>
      </c>
    </row>
    <row r="690" spans="1:20" x14ac:dyDescent="0.3">
      <c r="A690" t="s">
        <v>31</v>
      </c>
      <c r="B690">
        <v>32</v>
      </c>
      <c r="C690">
        <v>74.8</v>
      </c>
      <c r="D690">
        <v>1.69</v>
      </c>
      <c r="E690">
        <v>26.2</v>
      </c>
      <c r="F690">
        <v>102.5</v>
      </c>
      <c r="G690" t="s">
        <v>618</v>
      </c>
      <c r="H690">
        <v>207</v>
      </c>
      <c r="I690">
        <v>80</v>
      </c>
      <c r="J690">
        <v>124</v>
      </c>
      <c r="K690" t="s">
        <v>22</v>
      </c>
      <c r="L690" t="s">
        <v>23</v>
      </c>
      <c r="M690" t="s">
        <v>28</v>
      </c>
      <c r="N690">
        <v>0.60699999999999998</v>
      </c>
      <c r="O690">
        <v>148</v>
      </c>
      <c r="P690">
        <v>98</v>
      </c>
      <c r="Q690" t="s">
        <v>38</v>
      </c>
      <c r="R690">
        <v>97</v>
      </c>
      <c r="S690">
        <v>18.78</v>
      </c>
      <c r="T690" t="s">
        <v>26</v>
      </c>
    </row>
    <row r="691" spans="1:20" x14ac:dyDescent="0.3">
      <c r="A691" t="s">
        <v>20</v>
      </c>
      <c r="B691">
        <v>31</v>
      </c>
      <c r="C691">
        <v>89.2</v>
      </c>
      <c r="D691">
        <v>1.87</v>
      </c>
      <c r="E691">
        <v>25.5</v>
      </c>
      <c r="F691">
        <v>72.5</v>
      </c>
      <c r="G691" t="s">
        <v>619</v>
      </c>
      <c r="H691">
        <v>229</v>
      </c>
      <c r="I691">
        <v>41</v>
      </c>
      <c r="J691">
        <v>70</v>
      </c>
      <c r="K691" t="s">
        <v>23</v>
      </c>
      <c r="L691" t="s">
        <v>23</v>
      </c>
      <c r="M691" t="s">
        <v>28</v>
      </c>
      <c r="N691">
        <v>0.38800000000000001</v>
      </c>
      <c r="O691">
        <v>115</v>
      </c>
      <c r="P691">
        <v>72</v>
      </c>
      <c r="Q691" t="s">
        <v>33</v>
      </c>
      <c r="R691">
        <v>158</v>
      </c>
      <c r="T691" t="s">
        <v>30</v>
      </c>
    </row>
    <row r="692" spans="1:20" x14ac:dyDescent="0.3">
      <c r="A692" t="s">
        <v>20</v>
      </c>
      <c r="B692">
        <v>50</v>
      </c>
      <c r="C692">
        <v>63.4</v>
      </c>
      <c r="D692">
        <v>1.63</v>
      </c>
      <c r="E692">
        <v>23.9</v>
      </c>
      <c r="F692">
        <v>76.3</v>
      </c>
      <c r="G692" t="s">
        <v>620</v>
      </c>
      <c r="H692">
        <v>141</v>
      </c>
      <c r="I692">
        <v>39</v>
      </c>
      <c r="J692">
        <v>88</v>
      </c>
      <c r="K692" t="s">
        <v>23</v>
      </c>
      <c r="L692" t="s">
        <v>22</v>
      </c>
      <c r="M692" t="s">
        <v>24</v>
      </c>
      <c r="N692">
        <v>0.46800000000000003</v>
      </c>
      <c r="O692">
        <v>125</v>
      </c>
      <c r="P692">
        <v>87</v>
      </c>
      <c r="Q692" t="s">
        <v>29</v>
      </c>
      <c r="R692">
        <v>72</v>
      </c>
      <c r="S692">
        <v>13.85</v>
      </c>
      <c r="T692" t="s">
        <v>30</v>
      </c>
    </row>
    <row r="693" spans="1:20" x14ac:dyDescent="0.3">
      <c r="A693" t="s">
        <v>31</v>
      </c>
      <c r="B693">
        <v>32</v>
      </c>
      <c r="C693">
        <v>65.2</v>
      </c>
      <c r="D693">
        <v>1.76</v>
      </c>
      <c r="E693">
        <v>21</v>
      </c>
      <c r="F693">
        <v>72.599999999999994</v>
      </c>
      <c r="G693" t="s">
        <v>206</v>
      </c>
      <c r="H693">
        <v>147</v>
      </c>
      <c r="I693">
        <v>46</v>
      </c>
      <c r="K693" t="s">
        <v>22</v>
      </c>
      <c r="L693" t="s">
        <v>22</v>
      </c>
      <c r="M693" t="s">
        <v>24</v>
      </c>
      <c r="N693">
        <v>0.41199999999999998</v>
      </c>
      <c r="O693">
        <v>141</v>
      </c>
      <c r="P693">
        <v>69</v>
      </c>
      <c r="Q693" t="s">
        <v>38</v>
      </c>
      <c r="R693">
        <v>71</v>
      </c>
      <c r="S693">
        <v>14.19</v>
      </c>
      <c r="T693" t="s">
        <v>52</v>
      </c>
    </row>
    <row r="694" spans="1:20" x14ac:dyDescent="0.3">
      <c r="A694" t="s">
        <v>20</v>
      </c>
      <c r="B694">
        <v>55</v>
      </c>
      <c r="C694">
        <v>91.8</v>
      </c>
      <c r="D694">
        <v>1.66</v>
      </c>
      <c r="E694">
        <v>33.299999999999997</v>
      </c>
      <c r="F694">
        <v>88.7</v>
      </c>
      <c r="G694" t="s">
        <v>621</v>
      </c>
      <c r="H694">
        <v>171</v>
      </c>
      <c r="I694">
        <v>41</v>
      </c>
      <c r="J694">
        <v>89</v>
      </c>
      <c r="K694" t="s">
        <v>22</v>
      </c>
      <c r="L694" t="s">
        <v>22</v>
      </c>
      <c r="M694" t="s">
        <v>24</v>
      </c>
      <c r="N694">
        <v>0.53400000000000003</v>
      </c>
      <c r="O694">
        <v>132</v>
      </c>
      <c r="P694">
        <v>65</v>
      </c>
      <c r="Q694" t="s">
        <v>29</v>
      </c>
      <c r="R694">
        <v>100</v>
      </c>
      <c r="S694">
        <v>16.68</v>
      </c>
      <c r="T694" t="s">
        <v>30</v>
      </c>
    </row>
    <row r="695" spans="1:20" x14ac:dyDescent="0.3">
      <c r="A695" t="s">
        <v>31</v>
      </c>
      <c r="B695">
        <v>60</v>
      </c>
      <c r="C695">
        <v>69.2</v>
      </c>
      <c r="D695">
        <v>1.9</v>
      </c>
      <c r="E695">
        <v>19.2</v>
      </c>
      <c r="F695">
        <v>88.5</v>
      </c>
      <c r="G695" t="s">
        <v>622</v>
      </c>
      <c r="H695">
        <v>121</v>
      </c>
      <c r="I695">
        <v>44</v>
      </c>
      <c r="J695">
        <v>124</v>
      </c>
      <c r="K695" t="s">
        <v>23</v>
      </c>
      <c r="L695" t="s">
        <v>23</v>
      </c>
      <c r="M695" t="s">
        <v>37</v>
      </c>
      <c r="N695">
        <v>0.46600000000000003</v>
      </c>
      <c r="O695">
        <v>123</v>
      </c>
      <c r="P695">
        <v>72</v>
      </c>
      <c r="Q695" t="s">
        <v>25</v>
      </c>
      <c r="R695">
        <v>47</v>
      </c>
      <c r="T695" t="s">
        <v>26</v>
      </c>
    </row>
    <row r="696" spans="1:20" x14ac:dyDescent="0.3">
      <c r="A696" t="s">
        <v>20</v>
      </c>
      <c r="B696">
        <v>33</v>
      </c>
      <c r="C696">
        <v>89.4</v>
      </c>
      <c r="D696">
        <v>1.61</v>
      </c>
      <c r="E696">
        <v>34.5</v>
      </c>
      <c r="F696">
        <v>97.6</v>
      </c>
      <c r="G696" t="s">
        <v>623</v>
      </c>
      <c r="H696">
        <v>214</v>
      </c>
      <c r="I696">
        <v>54</v>
      </c>
      <c r="J696">
        <v>145</v>
      </c>
      <c r="K696" t="s">
        <v>23</v>
      </c>
      <c r="L696" t="s">
        <v>23</v>
      </c>
      <c r="M696" t="s">
        <v>37</v>
      </c>
      <c r="N696">
        <v>0.60599999999999998</v>
      </c>
      <c r="O696">
        <v>142</v>
      </c>
      <c r="P696">
        <v>61</v>
      </c>
      <c r="Q696" t="s">
        <v>38</v>
      </c>
      <c r="R696">
        <v>130</v>
      </c>
      <c r="S696">
        <v>20.28</v>
      </c>
      <c r="T696" t="s">
        <v>30</v>
      </c>
    </row>
    <row r="697" spans="1:20" x14ac:dyDescent="0.3">
      <c r="A697" t="s">
        <v>31</v>
      </c>
      <c r="B697">
        <v>33</v>
      </c>
      <c r="C697">
        <v>74</v>
      </c>
      <c r="D697">
        <v>1.76</v>
      </c>
      <c r="E697">
        <v>23.9</v>
      </c>
      <c r="F697">
        <v>77.400000000000006</v>
      </c>
      <c r="G697" t="s">
        <v>624</v>
      </c>
      <c r="H697">
        <v>165</v>
      </c>
      <c r="I697">
        <v>71</v>
      </c>
      <c r="J697">
        <v>90</v>
      </c>
      <c r="K697" t="s">
        <v>22</v>
      </c>
      <c r="L697" t="s">
        <v>22</v>
      </c>
      <c r="M697" t="s">
        <v>28</v>
      </c>
      <c r="N697">
        <v>0.44</v>
      </c>
      <c r="O697">
        <v>118</v>
      </c>
      <c r="Q697" t="s">
        <v>29</v>
      </c>
      <c r="R697">
        <v>64</v>
      </c>
      <c r="S697">
        <v>13.98</v>
      </c>
      <c r="T697" t="s">
        <v>52</v>
      </c>
    </row>
    <row r="698" spans="1:20" x14ac:dyDescent="0.3">
      <c r="A698" t="s">
        <v>31</v>
      </c>
      <c r="B698">
        <v>36</v>
      </c>
      <c r="C698">
        <v>116.9</v>
      </c>
      <c r="D698">
        <v>1.74</v>
      </c>
      <c r="E698">
        <v>38.6</v>
      </c>
      <c r="F698">
        <v>89.3</v>
      </c>
      <c r="G698" t="s">
        <v>625</v>
      </c>
      <c r="H698">
        <v>103</v>
      </c>
      <c r="I698">
        <v>41</v>
      </c>
      <c r="J698">
        <v>148</v>
      </c>
      <c r="K698" t="s">
        <v>22</v>
      </c>
      <c r="L698" t="s">
        <v>22</v>
      </c>
      <c r="M698" t="s">
        <v>37</v>
      </c>
      <c r="N698">
        <v>0.51300000000000001</v>
      </c>
      <c r="O698">
        <v>126</v>
      </c>
      <c r="P698">
        <v>73</v>
      </c>
      <c r="Q698" t="s">
        <v>25</v>
      </c>
      <c r="R698">
        <v>32</v>
      </c>
      <c r="S698">
        <v>16.079999999999998</v>
      </c>
      <c r="T698" t="s">
        <v>26</v>
      </c>
    </row>
    <row r="699" spans="1:20" x14ac:dyDescent="0.3">
      <c r="A699" t="s">
        <v>20</v>
      </c>
      <c r="B699">
        <v>32</v>
      </c>
      <c r="D699">
        <v>1.62</v>
      </c>
      <c r="E699">
        <v>40.6</v>
      </c>
      <c r="F699">
        <v>98.2</v>
      </c>
      <c r="G699" t="s">
        <v>626</v>
      </c>
      <c r="H699">
        <v>255</v>
      </c>
      <c r="I699">
        <v>59</v>
      </c>
      <c r="J699">
        <v>78</v>
      </c>
      <c r="K699" t="s">
        <v>22</v>
      </c>
      <c r="L699" t="s">
        <v>22</v>
      </c>
      <c r="M699" t="s">
        <v>24</v>
      </c>
      <c r="N699">
        <v>0.60599999999999998</v>
      </c>
      <c r="O699">
        <v>113</v>
      </c>
      <c r="P699">
        <v>98</v>
      </c>
      <c r="Q699" t="s">
        <v>38</v>
      </c>
      <c r="R699">
        <v>166</v>
      </c>
      <c r="S699">
        <v>18.87</v>
      </c>
      <c r="T699" t="s">
        <v>30</v>
      </c>
    </row>
    <row r="700" spans="1:20" x14ac:dyDescent="0.3">
      <c r="A700" t="s">
        <v>20</v>
      </c>
      <c r="B700">
        <v>37</v>
      </c>
      <c r="C700">
        <v>50.5</v>
      </c>
      <c r="D700">
        <v>1.72</v>
      </c>
      <c r="E700">
        <v>17.100000000000001</v>
      </c>
      <c r="F700">
        <v>76.3</v>
      </c>
      <c r="G700" t="s">
        <v>627</v>
      </c>
      <c r="H700">
        <v>274</v>
      </c>
      <c r="I700">
        <v>54</v>
      </c>
      <c r="J700">
        <v>84</v>
      </c>
      <c r="K700" t="s">
        <v>22</v>
      </c>
      <c r="L700" t="s">
        <v>22</v>
      </c>
      <c r="M700" t="s">
        <v>24</v>
      </c>
      <c r="N700">
        <v>0.44400000000000001</v>
      </c>
      <c r="O700">
        <v>146</v>
      </c>
      <c r="P700">
        <v>89</v>
      </c>
      <c r="Q700" t="s">
        <v>29</v>
      </c>
      <c r="R700">
        <v>190</v>
      </c>
      <c r="S700">
        <v>16.2</v>
      </c>
      <c r="T700" t="s">
        <v>26</v>
      </c>
    </row>
    <row r="701" spans="1:20" x14ac:dyDescent="0.3">
      <c r="A701" t="s">
        <v>31</v>
      </c>
      <c r="B701">
        <v>54</v>
      </c>
      <c r="C701">
        <v>89.5</v>
      </c>
      <c r="D701">
        <v>1.86</v>
      </c>
      <c r="E701">
        <v>25.9</v>
      </c>
      <c r="F701">
        <v>73.8</v>
      </c>
      <c r="G701" t="s">
        <v>628</v>
      </c>
      <c r="H701">
        <v>298</v>
      </c>
      <c r="I701">
        <v>37</v>
      </c>
      <c r="J701">
        <v>71</v>
      </c>
      <c r="K701" t="s">
        <v>23</v>
      </c>
      <c r="L701" t="s">
        <v>23</v>
      </c>
      <c r="M701" t="s">
        <v>28</v>
      </c>
      <c r="N701">
        <v>0.39700000000000002</v>
      </c>
      <c r="O701">
        <v>107</v>
      </c>
      <c r="P701">
        <v>83</v>
      </c>
      <c r="Q701" t="s">
        <v>29</v>
      </c>
      <c r="R701">
        <v>231</v>
      </c>
      <c r="S701">
        <v>18.489999999999998</v>
      </c>
      <c r="T701" t="s">
        <v>30</v>
      </c>
    </row>
    <row r="702" spans="1:20" x14ac:dyDescent="0.3">
      <c r="A702" t="s">
        <v>20</v>
      </c>
      <c r="B702">
        <v>60</v>
      </c>
      <c r="C702">
        <v>113.2</v>
      </c>
      <c r="D702">
        <v>1.73</v>
      </c>
      <c r="E702">
        <v>37.799999999999997</v>
      </c>
      <c r="F702">
        <v>82.1</v>
      </c>
      <c r="G702" t="s">
        <v>629</v>
      </c>
      <c r="H702">
        <v>216</v>
      </c>
      <c r="I702">
        <v>61</v>
      </c>
      <c r="J702">
        <v>115</v>
      </c>
      <c r="K702" t="s">
        <v>23</v>
      </c>
      <c r="L702" t="s">
        <v>23</v>
      </c>
      <c r="M702" t="s">
        <v>37</v>
      </c>
      <c r="N702">
        <v>0.47499999999999998</v>
      </c>
      <c r="O702">
        <v>137</v>
      </c>
      <c r="P702">
        <v>89</v>
      </c>
      <c r="Q702" t="s">
        <v>29</v>
      </c>
      <c r="R702">
        <v>125</v>
      </c>
      <c r="S702">
        <v>20.73</v>
      </c>
      <c r="T702" t="s">
        <v>30</v>
      </c>
    </row>
    <row r="703" spans="1:20" x14ac:dyDescent="0.3">
      <c r="A703" t="s">
        <v>31</v>
      </c>
      <c r="B703">
        <v>53</v>
      </c>
      <c r="C703">
        <v>57.8</v>
      </c>
      <c r="D703">
        <v>1.74</v>
      </c>
      <c r="E703">
        <v>19.100000000000001</v>
      </c>
      <c r="F703">
        <v>89</v>
      </c>
      <c r="G703" t="s">
        <v>630</v>
      </c>
      <c r="H703">
        <v>222</v>
      </c>
      <c r="I703">
        <v>52</v>
      </c>
      <c r="J703">
        <v>137</v>
      </c>
      <c r="K703" t="s">
        <v>22</v>
      </c>
      <c r="L703" t="s">
        <v>22</v>
      </c>
      <c r="M703" t="s">
        <v>24</v>
      </c>
      <c r="N703">
        <v>0.51100000000000001</v>
      </c>
      <c r="O703">
        <v>119</v>
      </c>
      <c r="P703">
        <v>68</v>
      </c>
      <c r="Q703" t="s">
        <v>33</v>
      </c>
      <c r="R703">
        <v>140</v>
      </c>
      <c r="S703">
        <v>14.21</v>
      </c>
      <c r="T703" t="s">
        <v>30</v>
      </c>
    </row>
    <row r="704" spans="1:20" x14ac:dyDescent="0.3">
      <c r="A704" t="s">
        <v>20</v>
      </c>
      <c r="B704">
        <v>31</v>
      </c>
      <c r="C704">
        <v>87.7</v>
      </c>
      <c r="D704">
        <v>1.89</v>
      </c>
      <c r="E704">
        <v>24.6</v>
      </c>
      <c r="F704">
        <v>92.6</v>
      </c>
      <c r="G704" t="s">
        <v>631</v>
      </c>
      <c r="H704">
        <v>263</v>
      </c>
      <c r="I704">
        <v>52</v>
      </c>
      <c r="J704">
        <v>126</v>
      </c>
      <c r="K704" t="s">
        <v>23</v>
      </c>
      <c r="L704" t="s">
        <v>23</v>
      </c>
      <c r="M704" t="s">
        <v>24</v>
      </c>
      <c r="O704">
        <v>105</v>
      </c>
      <c r="P704">
        <v>93</v>
      </c>
      <c r="Q704" t="s">
        <v>38</v>
      </c>
      <c r="R704">
        <v>181</v>
      </c>
      <c r="S704">
        <v>17.43</v>
      </c>
      <c r="T704" t="s">
        <v>30</v>
      </c>
    </row>
    <row r="705" spans="1:20" x14ac:dyDescent="0.3">
      <c r="A705" t="s">
        <v>31</v>
      </c>
      <c r="B705">
        <v>32</v>
      </c>
      <c r="C705">
        <v>57.7</v>
      </c>
      <c r="D705">
        <v>1.86</v>
      </c>
      <c r="E705">
        <v>16.7</v>
      </c>
      <c r="F705">
        <v>84.3</v>
      </c>
      <c r="G705" t="s">
        <v>161</v>
      </c>
      <c r="I705">
        <v>79</v>
      </c>
      <c r="J705">
        <v>150</v>
      </c>
      <c r="K705" t="s">
        <v>23</v>
      </c>
      <c r="L705" t="s">
        <v>22</v>
      </c>
      <c r="M705" t="s">
        <v>28</v>
      </c>
      <c r="N705">
        <v>0.45300000000000001</v>
      </c>
      <c r="O705">
        <v>107</v>
      </c>
      <c r="P705">
        <v>66</v>
      </c>
      <c r="Q705" t="s">
        <v>33</v>
      </c>
      <c r="S705">
        <v>13.45</v>
      </c>
      <c r="T705" t="s">
        <v>26</v>
      </c>
    </row>
    <row r="706" spans="1:20" x14ac:dyDescent="0.3">
      <c r="A706" t="s">
        <v>31</v>
      </c>
      <c r="B706">
        <v>46</v>
      </c>
      <c r="C706">
        <v>70.400000000000006</v>
      </c>
      <c r="D706">
        <v>1.9</v>
      </c>
      <c r="E706">
        <v>19.5</v>
      </c>
      <c r="F706">
        <v>71.5</v>
      </c>
      <c r="G706" t="s">
        <v>632</v>
      </c>
      <c r="H706">
        <v>281</v>
      </c>
      <c r="I706">
        <v>58</v>
      </c>
      <c r="J706">
        <v>113</v>
      </c>
      <c r="K706" t="s">
        <v>22</v>
      </c>
      <c r="L706" t="s">
        <v>22</v>
      </c>
      <c r="M706" t="s">
        <v>28</v>
      </c>
      <c r="N706">
        <v>0.376</v>
      </c>
      <c r="O706">
        <v>95</v>
      </c>
      <c r="P706">
        <v>86</v>
      </c>
      <c r="Q706" t="s">
        <v>29</v>
      </c>
      <c r="R706">
        <v>193</v>
      </c>
      <c r="S706">
        <v>14.27</v>
      </c>
      <c r="T706" t="s">
        <v>26</v>
      </c>
    </row>
    <row r="707" spans="1:20" x14ac:dyDescent="0.3">
      <c r="A707" t="s">
        <v>20</v>
      </c>
      <c r="B707">
        <v>55</v>
      </c>
      <c r="C707">
        <v>67.400000000000006</v>
      </c>
      <c r="D707">
        <v>1.87</v>
      </c>
      <c r="E707">
        <v>19.3</v>
      </c>
      <c r="G707" t="s">
        <v>89</v>
      </c>
      <c r="H707">
        <v>177</v>
      </c>
      <c r="I707">
        <v>51</v>
      </c>
      <c r="J707">
        <v>93</v>
      </c>
      <c r="K707" t="s">
        <v>23</v>
      </c>
      <c r="L707" t="s">
        <v>22</v>
      </c>
      <c r="M707" t="s">
        <v>28</v>
      </c>
      <c r="N707">
        <v>0.52200000000000002</v>
      </c>
      <c r="O707">
        <v>94</v>
      </c>
      <c r="P707">
        <v>81</v>
      </c>
      <c r="Q707" t="s">
        <v>29</v>
      </c>
      <c r="R707">
        <v>96</v>
      </c>
      <c r="S707">
        <v>12.1</v>
      </c>
      <c r="T707" t="s">
        <v>26</v>
      </c>
    </row>
    <row r="708" spans="1:20" x14ac:dyDescent="0.3">
      <c r="A708" t="s">
        <v>31</v>
      </c>
      <c r="B708">
        <v>40</v>
      </c>
      <c r="C708">
        <v>84.4</v>
      </c>
      <c r="D708">
        <v>1.76</v>
      </c>
      <c r="E708">
        <v>27.2</v>
      </c>
      <c r="F708">
        <v>102.8</v>
      </c>
      <c r="G708" t="s">
        <v>633</v>
      </c>
      <c r="I708">
        <v>60</v>
      </c>
      <c r="J708">
        <v>129</v>
      </c>
      <c r="K708" t="s">
        <v>23</v>
      </c>
      <c r="L708" t="s">
        <v>23</v>
      </c>
      <c r="M708" t="s">
        <v>28</v>
      </c>
      <c r="N708">
        <v>0.58399999999999996</v>
      </c>
      <c r="O708">
        <v>127</v>
      </c>
      <c r="P708">
        <v>89</v>
      </c>
      <c r="Q708" t="s">
        <v>29</v>
      </c>
      <c r="R708">
        <v>56</v>
      </c>
      <c r="S708">
        <v>16.71</v>
      </c>
      <c r="T708" t="s">
        <v>26</v>
      </c>
    </row>
    <row r="709" spans="1:20" x14ac:dyDescent="0.3">
      <c r="A709" t="s">
        <v>31</v>
      </c>
      <c r="C709">
        <v>92</v>
      </c>
      <c r="D709">
        <v>1.84</v>
      </c>
      <c r="E709">
        <v>27.2</v>
      </c>
      <c r="F709">
        <v>89.5</v>
      </c>
      <c r="G709" t="s">
        <v>634</v>
      </c>
      <c r="H709">
        <v>247</v>
      </c>
      <c r="I709">
        <v>61</v>
      </c>
      <c r="J709">
        <v>103</v>
      </c>
      <c r="K709" t="s">
        <v>23</v>
      </c>
      <c r="L709" t="s">
        <v>22</v>
      </c>
      <c r="M709" t="s">
        <v>24</v>
      </c>
      <c r="N709">
        <v>0.48599999999999999</v>
      </c>
      <c r="O709">
        <v>136</v>
      </c>
      <c r="P709">
        <v>77</v>
      </c>
      <c r="Q709" t="s">
        <v>29</v>
      </c>
      <c r="R709">
        <v>156</v>
      </c>
      <c r="S709">
        <v>17.18</v>
      </c>
      <c r="T709" t="s">
        <v>30</v>
      </c>
    </row>
    <row r="710" spans="1:20" x14ac:dyDescent="0.3">
      <c r="A710" t="s">
        <v>31</v>
      </c>
      <c r="B710">
        <v>56</v>
      </c>
      <c r="C710">
        <v>110.6</v>
      </c>
      <c r="D710">
        <v>1.85</v>
      </c>
      <c r="E710">
        <v>32.299999999999997</v>
      </c>
      <c r="F710">
        <v>70.8</v>
      </c>
      <c r="G710" t="s">
        <v>635</v>
      </c>
      <c r="H710">
        <v>115</v>
      </c>
      <c r="I710">
        <v>40</v>
      </c>
      <c r="J710">
        <v>72</v>
      </c>
      <c r="K710" t="s">
        <v>23</v>
      </c>
      <c r="L710" t="s">
        <v>22</v>
      </c>
      <c r="M710" t="s">
        <v>28</v>
      </c>
      <c r="N710">
        <v>0.38300000000000001</v>
      </c>
      <c r="P710">
        <v>68</v>
      </c>
      <c r="Q710" t="s">
        <v>33</v>
      </c>
      <c r="R710">
        <v>45</v>
      </c>
      <c r="S710">
        <v>14.66</v>
      </c>
      <c r="T710" t="s">
        <v>26</v>
      </c>
    </row>
    <row r="711" spans="1:20" x14ac:dyDescent="0.3">
      <c r="A711" t="s">
        <v>31</v>
      </c>
      <c r="B711">
        <v>41</v>
      </c>
      <c r="C711">
        <v>72.8</v>
      </c>
      <c r="D711">
        <v>1.76</v>
      </c>
      <c r="E711">
        <v>23.5</v>
      </c>
      <c r="F711">
        <v>76.3</v>
      </c>
      <c r="G711" t="s">
        <v>636</v>
      </c>
      <c r="H711">
        <v>118</v>
      </c>
      <c r="I711">
        <v>63</v>
      </c>
      <c r="J711">
        <v>109</v>
      </c>
      <c r="K711" t="s">
        <v>23</v>
      </c>
      <c r="L711" t="s">
        <v>22</v>
      </c>
      <c r="M711" t="s">
        <v>37</v>
      </c>
      <c r="N711">
        <v>0.434</v>
      </c>
      <c r="O711">
        <v>130</v>
      </c>
      <c r="P711">
        <v>66</v>
      </c>
      <c r="Q711" t="s">
        <v>29</v>
      </c>
      <c r="R711">
        <v>25</v>
      </c>
      <c r="S711">
        <v>13.56</v>
      </c>
      <c r="T711" t="s">
        <v>52</v>
      </c>
    </row>
    <row r="712" spans="1:20" x14ac:dyDescent="0.3">
      <c r="A712" t="s">
        <v>31</v>
      </c>
      <c r="B712">
        <v>49</v>
      </c>
      <c r="C712">
        <v>61.1</v>
      </c>
      <c r="D712">
        <v>1.63</v>
      </c>
      <c r="E712">
        <v>23</v>
      </c>
      <c r="F712">
        <v>91.5</v>
      </c>
      <c r="G712" t="s">
        <v>637</v>
      </c>
      <c r="H712">
        <v>111</v>
      </c>
      <c r="I712">
        <v>73</v>
      </c>
      <c r="J712">
        <v>113</v>
      </c>
      <c r="K712" t="s">
        <v>23</v>
      </c>
      <c r="L712" t="s">
        <v>23</v>
      </c>
      <c r="M712" t="s">
        <v>28</v>
      </c>
      <c r="N712">
        <v>0.56100000000000005</v>
      </c>
      <c r="O712">
        <v>98</v>
      </c>
      <c r="P712">
        <v>85</v>
      </c>
      <c r="Q712" t="s">
        <v>29</v>
      </c>
      <c r="R712">
        <v>8</v>
      </c>
      <c r="S712">
        <v>13.72</v>
      </c>
      <c r="T712" t="s">
        <v>30</v>
      </c>
    </row>
    <row r="713" spans="1:20" x14ac:dyDescent="0.3">
      <c r="A713" t="s">
        <v>20</v>
      </c>
      <c r="C713">
        <v>85.6</v>
      </c>
      <c r="D713">
        <v>1.66</v>
      </c>
      <c r="E713">
        <v>31.1</v>
      </c>
      <c r="F713">
        <v>83.6</v>
      </c>
      <c r="G713" t="s">
        <v>286</v>
      </c>
      <c r="H713">
        <v>222</v>
      </c>
      <c r="I713">
        <v>66</v>
      </c>
      <c r="J713">
        <v>99</v>
      </c>
      <c r="K713" t="s">
        <v>23</v>
      </c>
      <c r="L713" t="s">
        <v>23</v>
      </c>
      <c r="M713" t="s">
        <v>28</v>
      </c>
      <c r="N713">
        <v>0.504</v>
      </c>
      <c r="O713">
        <v>103</v>
      </c>
      <c r="P713">
        <v>99</v>
      </c>
      <c r="Q713" t="s">
        <v>38</v>
      </c>
      <c r="R713">
        <v>126</v>
      </c>
      <c r="T713" t="s">
        <v>30</v>
      </c>
    </row>
    <row r="714" spans="1:20" x14ac:dyDescent="0.3">
      <c r="A714" t="s">
        <v>20</v>
      </c>
      <c r="B714">
        <v>47</v>
      </c>
      <c r="C714">
        <v>82.2</v>
      </c>
      <c r="D714">
        <v>1.87</v>
      </c>
      <c r="E714">
        <v>23.5</v>
      </c>
      <c r="G714" t="s">
        <v>278</v>
      </c>
      <c r="H714">
        <v>217</v>
      </c>
      <c r="I714">
        <v>34</v>
      </c>
      <c r="J714">
        <v>103</v>
      </c>
      <c r="K714" t="s">
        <v>23</v>
      </c>
      <c r="L714" t="s">
        <v>23</v>
      </c>
      <c r="M714" t="s">
        <v>24</v>
      </c>
      <c r="N714">
        <v>0.48699999999999999</v>
      </c>
      <c r="O714">
        <v>113</v>
      </c>
      <c r="P714">
        <v>69</v>
      </c>
      <c r="Q714" t="s">
        <v>33</v>
      </c>
      <c r="R714">
        <v>153</v>
      </c>
      <c r="S714">
        <v>16.690000000000001</v>
      </c>
      <c r="T714" t="s">
        <v>30</v>
      </c>
    </row>
    <row r="715" spans="1:20" x14ac:dyDescent="0.3">
      <c r="A715" t="s">
        <v>20</v>
      </c>
      <c r="B715">
        <v>56</v>
      </c>
      <c r="C715">
        <v>113.9</v>
      </c>
      <c r="D715">
        <v>1.89</v>
      </c>
      <c r="E715">
        <v>31.9</v>
      </c>
      <c r="G715" t="s">
        <v>638</v>
      </c>
      <c r="H715">
        <v>239</v>
      </c>
      <c r="I715">
        <v>61</v>
      </c>
      <c r="J715">
        <v>90</v>
      </c>
      <c r="K715" t="s">
        <v>22</v>
      </c>
      <c r="L715" t="s">
        <v>23</v>
      </c>
      <c r="M715" t="s">
        <v>28</v>
      </c>
      <c r="N715">
        <v>0.40400000000000003</v>
      </c>
      <c r="O715">
        <v>129</v>
      </c>
      <c r="P715">
        <v>82</v>
      </c>
      <c r="Q715" t="s">
        <v>29</v>
      </c>
      <c r="R715">
        <v>148</v>
      </c>
      <c r="S715">
        <v>19.61</v>
      </c>
      <c r="T715" t="s">
        <v>30</v>
      </c>
    </row>
    <row r="716" spans="1:20" x14ac:dyDescent="0.3">
      <c r="A716" t="s">
        <v>20</v>
      </c>
      <c r="C716">
        <v>86.8</v>
      </c>
      <c r="D716">
        <v>1.67</v>
      </c>
      <c r="E716">
        <v>31.1</v>
      </c>
      <c r="F716">
        <v>71.599999999999994</v>
      </c>
      <c r="G716" t="s">
        <v>639</v>
      </c>
      <c r="H716">
        <v>105</v>
      </c>
      <c r="I716">
        <v>53</v>
      </c>
      <c r="J716">
        <v>97</v>
      </c>
      <c r="K716" t="s">
        <v>23</v>
      </c>
      <c r="L716" t="s">
        <v>23</v>
      </c>
      <c r="M716" t="s">
        <v>28</v>
      </c>
      <c r="N716">
        <v>0.42899999999999999</v>
      </c>
      <c r="O716">
        <v>120</v>
      </c>
      <c r="P716">
        <v>69</v>
      </c>
      <c r="Q716" t="s">
        <v>25</v>
      </c>
      <c r="R716">
        <v>22</v>
      </c>
      <c r="S716">
        <v>16.32</v>
      </c>
      <c r="T716" t="s">
        <v>30</v>
      </c>
    </row>
    <row r="717" spans="1:20" x14ac:dyDescent="0.3">
      <c r="A717" t="s">
        <v>31</v>
      </c>
      <c r="B717">
        <v>32</v>
      </c>
      <c r="C717">
        <v>53.1</v>
      </c>
      <c r="D717">
        <v>1.69</v>
      </c>
      <c r="E717">
        <v>18.600000000000001</v>
      </c>
      <c r="F717">
        <v>82.9</v>
      </c>
      <c r="G717" t="s">
        <v>640</v>
      </c>
      <c r="H717">
        <v>192</v>
      </c>
      <c r="I717">
        <v>76</v>
      </c>
      <c r="J717">
        <v>103</v>
      </c>
      <c r="K717" t="s">
        <v>22</v>
      </c>
      <c r="L717" t="s">
        <v>22</v>
      </c>
      <c r="M717" t="s">
        <v>37</v>
      </c>
      <c r="N717">
        <v>0.49099999999999999</v>
      </c>
      <c r="P717">
        <v>73</v>
      </c>
      <c r="Q717" t="s">
        <v>25</v>
      </c>
      <c r="R717">
        <v>86</v>
      </c>
      <c r="S717">
        <v>13.76</v>
      </c>
      <c r="T717" t="s">
        <v>52</v>
      </c>
    </row>
    <row r="718" spans="1:20" x14ac:dyDescent="0.3">
      <c r="A718" t="s">
        <v>20</v>
      </c>
      <c r="B718">
        <v>55</v>
      </c>
      <c r="C718">
        <v>79.7</v>
      </c>
      <c r="D718">
        <v>1.78</v>
      </c>
      <c r="E718">
        <v>25.2</v>
      </c>
      <c r="F718">
        <v>86.9</v>
      </c>
      <c r="G718" t="s">
        <v>641</v>
      </c>
      <c r="H718">
        <v>248</v>
      </c>
      <c r="I718">
        <v>36</v>
      </c>
      <c r="J718">
        <v>73</v>
      </c>
      <c r="K718" t="s">
        <v>23</v>
      </c>
      <c r="L718" t="s">
        <v>23</v>
      </c>
      <c r="M718" t="s">
        <v>37</v>
      </c>
      <c r="N718">
        <v>0.48799999999999999</v>
      </c>
      <c r="O718">
        <v>140</v>
      </c>
      <c r="P718">
        <v>62</v>
      </c>
      <c r="Q718" t="s">
        <v>38</v>
      </c>
      <c r="R718">
        <v>182</v>
      </c>
      <c r="S718">
        <v>19</v>
      </c>
      <c r="T718" t="s">
        <v>30</v>
      </c>
    </row>
    <row r="719" spans="1:20" x14ac:dyDescent="0.3">
      <c r="A719" t="s">
        <v>31</v>
      </c>
      <c r="B719">
        <v>34</v>
      </c>
      <c r="C719">
        <v>115.8</v>
      </c>
      <c r="D719">
        <v>1.61</v>
      </c>
      <c r="E719">
        <v>44.7</v>
      </c>
      <c r="F719">
        <v>81.3</v>
      </c>
      <c r="G719" t="s">
        <v>55</v>
      </c>
      <c r="H719">
        <v>232</v>
      </c>
      <c r="I719">
        <v>64</v>
      </c>
      <c r="J719">
        <v>89</v>
      </c>
      <c r="K719" t="s">
        <v>22</v>
      </c>
      <c r="L719" t="s">
        <v>23</v>
      </c>
      <c r="M719" t="s">
        <v>37</v>
      </c>
      <c r="N719">
        <v>0.505</v>
      </c>
      <c r="O719">
        <v>120</v>
      </c>
      <c r="P719">
        <v>89</v>
      </c>
      <c r="Q719" t="s">
        <v>29</v>
      </c>
      <c r="R719">
        <v>138</v>
      </c>
      <c r="S719">
        <v>21.58</v>
      </c>
      <c r="T719" t="s">
        <v>30</v>
      </c>
    </row>
    <row r="720" spans="1:20" x14ac:dyDescent="0.3">
      <c r="A720" t="s">
        <v>20</v>
      </c>
      <c r="B720">
        <v>34</v>
      </c>
      <c r="C720">
        <v>111.3</v>
      </c>
      <c r="D720">
        <v>1.63</v>
      </c>
      <c r="E720">
        <v>41.9</v>
      </c>
      <c r="F720">
        <v>94.9</v>
      </c>
      <c r="G720" t="s">
        <v>640</v>
      </c>
      <c r="H720">
        <v>224</v>
      </c>
      <c r="I720">
        <v>41</v>
      </c>
      <c r="J720">
        <v>78</v>
      </c>
      <c r="K720" t="s">
        <v>23</v>
      </c>
      <c r="L720" t="s">
        <v>23</v>
      </c>
      <c r="M720" t="s">
        <v>37</v>
      </c>
      <c r="N720">
        <v>0.58199999999999996</v>
      </c>
      <c r="O720">
        <v>124</v>
      </c>
      <c r="P720">
        <v>73</v>
      </c>
      <c r="Q720" t="s">
        <v>25</v>
      </c>
      <c r="R720">
        <v>153</v>
      </c>
      <c r="S720">
        <v>21.06</v>
      </c>
      <c r="T720" t="s">
        <v>30</v>
      </c>
    </row>
    <row r="721" spans="1:20" x14ac:dyDescent="0.3">
      <c r="A721" t="s">
        <v>20</v>
      </c>
      <c r="B721">
        <v>41</v>
      </c>
      <c r="C721">
        <v>91.8</v>
      </c>
      <c r="D721">
        <v>1.76</v>
      </c>
      <c r="E721">
        <v>29.6</v>
      </c>
      <c r="F721">
        <v>71</v>
      </c>
      <c r="G721" t="s">
        <v>642</v>
      </c>
      <c r="H721">
        <v>256</v>
      </c>
      <c r="I721">
        <v>73</v>
      </c>
      <c r="J721">
        <v>134</v>
      </c>
      <c r="K721" t="s">
        <v>23</v>
      </c>
      <c r="L721" t="s">
        <v>23</v>
      </c>
      <c r="M721" t="s">
        <v>24</v>
      </c>
      <c r="N721">
        <v>0.40300000000000002</v>
      </c>
      <c r="O721">
        <v>148</v>
      </c>
      <c r="P721">
        <v>67</v>
      </c>
      <c r="Q721" t="s">
        <v>38</v>
      </c>
      <c r="R721">
        <v>153</v>
      </c>
      <c r="S721">
        <v>20.440000000000001</v>
      </c>
      <c r="T721" t="s">
        <v>30</v>
      </c>
    </row>
    <row r="722" spans="1:20" x14ac:dyDescent="0.3">
      <c r="A722" t="s">
        <v>31</v>
      </c>
      <c r="B722">
        <v>47</v>
      </c>
      <c r="C722">
        <v>117</v>
      </c>
      <c r="E722">
        <v>40.5</v>
      </c>
      <c r="F722">
        <v>81.3</v>
      </c>
      <c r="G722" t="s">
        <v>643</v>
      </c>
      <c r="H722">
        <v>238</v>
      </c>
      <c r="I722">
        <v>67</v>
      </c>
      <c r="J722">
        <v>96</v>
      </c>
      <c r="K722" t="s">
        <v>23</v>
      </c>
      <c r="L722" t="s">
        <v>22</v>
      </c>
      <c r="M722" t="s">
        <v>28</v>
      </c>
      <c r="N722">
        <v>0.47799999999999998</v>
      </c>
      <c r="O722">
        <v>122</v>
      </c>
      <c r="P722">
        <v>74</v>
      </c>
      <c r="Q722" t="s">
        <v>25</v>
      </c>
      <c r="R722">
        <v>141</v>
      </c>
      <c r="S722">
        <v>18.96</v>
      </c>
      <c r="T722" t="s">
        <v>30</v>
      </c>
    </row>
    <row r="723" spans="1:20" x14ac:dyDescent="0.3">
      <c r="A723" t="s">
        <v>31</v>
      </c>
      <c r="B723">
        <v>32</v>
      </c>
      <c r="C723">
        <v>110.5</v>
      </c>
      <c r="D723">
        <v>1.76</v>
      </c>
      <c r="E723">
        <v>35.700000000000003</v>
      </c>
      <c r="F723">
        <v>87.5</v>
      </c>
      <c r="G723" t="s">
        <v>644</v>
      </c>
      <c r="H723">
        <v>150</v>
      </c>
      <c r="I723">
        <v>44</v>
      </c>
      <c r="J723">
        <v>136</v>
      </c>
      <c r="K723" t="s">
        <v>23</v>
      </c>
      <c r="L723" t="s">
        <v>22</v>
      </c>
      <c r="M723" t="s">
        <v>37</v>
      </c>
      <c r="N723">
        <v>0.497</v>
      </c>
      <c r="O723">
        <v>119</v>
      </c>
      <c r="P723">
        <v>74</v>
      </c>
      <c r="Q723" t="s">
        <v>33</v>
      </c>
      <c r="R723">
        <v>76</v>
      </c>
      <c r="S723">
        <v>16.09</v>
      </c>
      <c r="T723" t="s">
        <v>26</v>
      </c>
    </row>
    <row r="724" spans="1:20" x14ac:dyDescent="0.3">
      <c r="A724" t="s">
        <v>31</v>
      </c>
      <c r="B724">
        <v>40</v>
      </c>
      <c r="D724">
        <v>1.63</v>
      </c>
      <c r="E724">
        <v>41.6</v>
      </c>
      <c r="F724">
        <v>108.7</v>
      </c>
      <c r="G724" t="s">
        <v>645</v>
      </c>
      <c r="H724">
        <v>273</v>
      </c>
      <c r="J724">
        <v>71</v>
      </c>
      <c r="K724" t="s">
        <v>23</v>
      </c>
      <c r="L724" t="s">
        <v>23</v>
      </c>
      <c r="M724" t="s">
        <v>37</v>
      </c>
      <c r="N724">
        <v>0.66700000000000004</v>
      </c>
      <c r="O724">
        <v>122</v>
      </c>
      <c r="P724">
        <v>73</v>
      </c>
      <c r="Q724" t="s">
        <v>25</v>
      </c>
      <c r="R724">
        <v>172</v>
      </c>
      <c r="S724">
        <v>21.88</v>
      </c>
      <c r="T724" t="s">
        <v>30</v>
      </c>
    </row>
    <row r="725" spans="1:20" x14ac:dyDescent="0.3">
      <c r="A725" t="s">
        <v>20</v>
      </c>
      <c r="B725">
        <v>43</v>
      </c>
      <c r="C725">
        <v>115.5</v>
      </c>
      <c r="D725">
        <v>1.88</v>
      </c>
      <c r="E725">
        <v>32.700000000000003</v>
      </c>
      <c r="F725">
        <v>74.5</v>
      </c>
      <c r="G725" t="s">
        <v>646</v>
      </c>
      <c r="H725">
        <v>232</v>
      </c>
      <c r="I725">
        <v>62</v>
      </c>
      <c r="J725">
        <v>142</v>
      </c>
      <c r="K725" t="s">
        <v>23</v>
      </c>
      <c r="L725" t="s">
        <v>23</v>
      </c>
      <c r="M725" t="s">
        <v>28</v>
      </c>
      <c r="N725">
        <v>0.39600000000000002</v>
      </c>
      <c r="O725">
        <v>131</v>
      </c>
      <c r="P725">
        <v>68</v>
      </c>
      <c r="Q725" t="s">
        <v>29</v>
      </c>
      <c r="R725">
        <v>140</v>
      </c>
      <c r="S725">
        <v>19.73</v>
      </c>
      <c r="T725" t="s">
        <v>30</v>
      </c>
    </row>
    <row r="726" spans="1:20" x14ac:dyDescent="0.3">
      <c r="A726" t="s">
        <v>31</v>
      </c>
      <c r="B726">
        <v>49</v>
      </c>
      <c r="C726">
        <v>68.2</v>
      </c>
      <c r="D726">
        <v>1.87</v>
      </c>
      <c r="E726">
        <v>19.5</v>
      </c>
      <c r="F726">
        <v>79.3</v>
      </c>
      <c r="G726" t="s">
        <v>647</v>
      </c>
      <c r="H726">
        <v>175</v>
      </c>
      <c r="I726">
        <v>56</v>
      </c>
      <c r="J726">
        <v>139</v>
      </c>
      <c r="K726" t="s">
        <v>22</v>
      </c>
      <c r="L726" t="s">
        <v>22</v>
      </c>
      <c r="M726" t="s">
        <v>37</v>
      </c>
      <c r="N726">
        <v>0.42399999999999999</v>
      </c>
      <c r="O726">
        <v>107</v>
      </c>
      <c r="P726">
        <v>100</v>
      </c>
      <c r="Q726" t="s">
        <v>38</v>
      </c>
      <c r="R726">
        <v>89</v>
      </c>
      <c r="S726">
        <v>12.75</v>
      </c>
      <c r="T726" t="s">
        <v>26</v>
      </c>
    </row>
    <row r="727" spans="1:20" x14ac:dyDescent="0.3">
      <c r="A727" t="s">
        <v>31</v>
      </c>
      <c r="B727">
        <v>60</v>
      </c>
      <c r="C727">
        <v>113.3</v>
      </c>
      <c r="D727">
        <v>1.81</v>
      </c>
      <c r="E727">
        <v>34.6</v>
      </c>
      <c r="F727">
        <v>83.7</v>
      </c>
      <c r="G727" t="s">
        <v>648</v>
      </c>
      <c r="H727">
        <v>177</v>
      </c>
      <c r="I727">
        <v>44</v>
      </c>
      <c r="J727">
        <v>74</v>
      </c>
      <c r="K727" t="s">
        <v>22</v>
      </c>
      <c r="L727" t="s">
        <v>23</v>
      </c>
      <c r="M727" t="s">
        <v>37</v>
      </c>
      <c r="N727">
        <v>0.46200000000000002</v>
      </c>
      <c r="P727">
        <v>82</v>
      </c>
      <c r="Q727" t="s">
        <v>29</v>
      </c>
      <c r="R727">
        <v>103</v>
      </c>
      <c r="S727">
        <v>17.21</v>
      </c>
      <c r="T727" t="s">
        <v>26</v>
      </c>
    </row>
    <row r="728" spans="1:20" x14ac:dyDescent="0.3">
      <c r="A728" t="s">
        <v>20</v>
      </c>
      <c r="B728">
        <v>34</v>
      </c>
      <c r="C728">
        <v>67.2</v>
      </c>
      <c r="D728">
        <v>1.82</v>
      </c>
      <c r="E728">
        <v>20.3</v>
      </c>
      <c r="F728">
        <v>109.5</v>
      </c>
      <c r="G728" t="s">
        <v>649</v>
      </c>
      <c r="H728">
        <v>290</v>
      </c>
      <c r="I728">
        <v>66</v>
      </c>
      <c r="J728">
        <v>96</v>
      </c>
      <c r="K728" t="s">
        <v>23</v>
      </c>
      <c r="L728" t="s">
        <v>23</v>
      </c>
      <c r="M728" t="s">
        <v>37</v>
      </c>
      <c r="N728">
        <v>0.60199999999999998</v>
      </c>
      <c r="O728">
        <v>96</v>
      </c>
      <c r="P728">
        <v>60</v>
      </c>
      <c r="Q728" t="s">
        <v>33</v>
      </c>
      <c r="R728">
        <v>194</v>
      </c>
      <c r="S728">
        <v>16.66</v>
      </c>
      <c r="T728" t="s">
        <v>26</v>
      </c>
    </row>
    <row r="729" spans="1:20" x14ac:dyDescent="0.3">
      <c r="A729" t="s">
        <v>31</v>
      </c>
      <c r="B729">
        <v>30</v>
      </c>
      <c r="C729">
        <v>78</v>
      </c>
      <c r="D729">
        <v>1.71</v>
      </c>
      <c r="E729">
        <v>26.7</v>
      </c>
      <c r="F729">
        <v>102.1</v>
      </c>
      <c r="G729" t="s">
        <v>645</v>
      </c>
      <c r="H729">
        <v>275</v>
      </c>
      <c r="J729">
        <v>108</v>
      </c>
      <c r="K729" t="s">
        <v>22</v>
      </c>
      <c r="L729" t="s">
        <v>22</v>
      </c>
      <c r="M729" t="s">
        <v>28</v>
      </c>
      <c r="N729">
        <v>0.59699999999999998</v>
      </c>
      <c r="O729">
        <v>122</v>
      </c>
      <c r="P729">
        <v>73</v>
      </c>
      <c r="Q729" t="s">
        <v>25</v>
      </c>
      <c r="R729">
        <v>168</v>
      </c>
      <c r="S729">
        <v>16.940000000000001</v>
      </c>
      <c r="T729" t="s">
        <v>26</v>
      </c>
    </row>
    <row r="730" spans="1:20" x14ac:dyDescent="0.3">
      <c r="A730" t="s">
        <v>31</v>
      </c>
      <c r="B730">
        <v>42</v>
      </c>
      <c r="C730">
        <v>115.8</v>
      </c>
      <c r="D730">
        <v>1.74</v>
      </c>
      <c r="E730">
        <v>38.200000000000003</v>
      </c>
      <c r="F730">
        <v>88.8</v>
      </c>
      <c r="G730" t="s">
        <v>650</v>
      </c>
      <c r="H730">
        <v>249</v>
      </c>
      <c r="I730">
        <v>66</v>
      </c>
      <c r="J730">
        <v>92</v>
      </c>
      <c r="K730" t="s">
        <v>23</v>
      </c>
      <c r="L730" t="s">
        <v>23</v>
      </c>
      <c r="M730" t="s">
        <v>37</v>
      </c>
      <c r="N730">
        <v>0.51</v>
      </c>
      <c r="O730">
        <v>143</v>
      </c>
      <c r="P730">
        <v>82</v>
      </c>
      <c r="Q730" t="s">
        <v>29</v>
      </c>
      <c r="R730">
        <v>153</v>
      </c>
      <c r="S730">
        <v>21.77</v>
      </c>
      <c r="T730" t="s">
        <v>30</v>
      </c>
    </row>
    <row r="731" spans="1:20" x14ac:dyDescent="0.3">
      <c r="A731" t="s">
        <v>31</v>
      </c>
      <c r="B731">
        <v>37</v>
      </c>
      <c r="C731">
        <v>112.7</v>
      </c>
      <c r="D731">
        <v>1.64</v>
      </c>
      <c r="E731">
        <v>41.9</v>
      </c>
      <c r="F731">
        <v>76.099999999999994</v>
      </c>
      <c r="G731" t="s">
        <v>651</v>
      </c>
      <c r="H731">
        <v>189</v>
      </c>
      <c r="I731">
        <v>68</v>
      </c>
      <c r="J731">
        <v>111</v>
      </c>
      <c r="K731" t="s">
        <v>23</v>
      </c>
      <c r="L731" t="s">
        <v>23</v>
      </c>
      <c r="M731" t="s">
        <v>28</v>
      </c>
      <c r="N731">
        <v>0.46400000000000002</v>
      </c>
      <c r="O731">
        <v>98</v>
      </c>
      <c r="P731">
        <v>92</v>
      </c>
      <c r="Q731" t="s">
        <v>38</v>
      </c>
      <c r="R731">
        <v>91</v>
      </c>
      <c r="S731">
        <v>19.059999999999999</v>
      </c>
      <c r="T731" t="s">
        <v>30</v>
      </c>
    </row>
    <row r="732" spans="1:20" x14ac:dyDescent="0.3">
      <c r="A732" t="s">
        <v>31</v>
      </c>
      <c r="B732">
        <v>48</v>
      </c>
      <c r="C732">
        <v>117.8</v>
      </c>
      <c r="D732">
        <v>1.85</v>
      </c>
      <c r="E732">
        <v>34.4</v>
      </c>
      <c r="F732">
        <v>93.3</v>
      </c>
      <c r="G732" t="s">
        <v>652</v>
      </c>
      <c r="H732">
        <v>141</v>
      </c>
      <c r="I732">
        <v>42</v>
      </c>
      <c r="J732">
        <v>106</v>
      </c>
      <c r="K732" t="s">
        <v>22</v>
      </c>
      <c r="L732" t="s">
        <v>22</v>
      </c>
      <c r="M732" t="s">
        <v>24</v>
      </c>
      <c r="N732">
        <v>0.504</v>
      </c>
      <c r="P732">
        <v>76</v>
      </c>
      <c r="Q732" t="s">
        <v>33</v>
      </c>
      <c r="S732">
        <v>15.2</v>
      </c>
      <c r="T732" t="s">
        <v>26</v>
      </c>
    </row>
    <row r="733" spans="1:20" x14ac:dyDescent="0.3">
      <c r="A733" t="s">
        <v>20</v>
      </c>
      <c r="B733">
        <v>60</v>
      </c>
      <c r="C733">
        <v>116.2</v>
      </c>
      <c r="E733">
        <v>36.700000000000003</v>
      </c>
      <c r="F733">
        <v>97.8</v>
      </c>
      <c r="G733" t="s">
        <v>653</v>
      </c>
      <c r="H733">
        <v>188</v>
      </c>
      <c r="I733">
        <v>52</v>
      </c>
      <c r="J733">
        <v>97</v>
      </c>
      <c r="K733" t="s">
        <v>23</v>
      </c>
      <c r="L733" t="s">
        <v>22</v>
      </c>
      <c r="M733" t="s">
        <v>37</v>
      </c>
      <c r="N733">
        <v>0.54900000000000004</v>
      </c>
      <c r="O733">
        <v>112</v>
      </c>
      <c r="P733">
        <v>80</v>
      </c>
      <c r="Q733" t="s">
        <v>29</v>
      </c>
      <c r="R733">
        <v>106</v>
      </c>
      <c r="S733">
        <v>16.7</v>
      </c>
      <c r="T733" t="s">
        <v>26</v>
      </c>
    </row>
    <row r="734" spans="1:20" x14ac:dyDescent="0.3">
      <c r="A734" t="s">
        <v>31</v>
      </c>
      <c r="B734">
        <v>44</v>
      </c>
      <c r="C734">
        <v>97.8</v>
      </c>
      <c r="D734">
        <v>1.89</v>
      </c>
      <c r="E734">
        <v>27.4</v>
      </c>
      <c r="F734">
        <v>91.9</v>
      </c>
      <c r="G734" t="s">
        <v>446</v>
      </c>
      <c r="H734">
        <v>166</v>
      </c>
      <c r="I734">
        <v>61</v>
      </c>
      <c r="J734">
        <v>143</v>
      </c>
      <c r="K734" t="s">
        <v>23</v>
      </c>
      <c r="L734" t="s">
        <v>23</v>
      </c>
      <c r="M734" t="s">
        <v>37</v>
      </c>
      <c r="N734">
        <v>0.48599999999999999</v>
      </c>
      <c r="O734">
        <v>129</v>
      </c>
      <c r="P734">
        <v>61</v>
      </c>
      <c r="Q734" t="s">
        <v>25</v>
      </c>
      <c r="R734">
        <v>75</v>
      </c>
      <c r="S734">
        <v>17.25</v>
      </c>
      <c r="T734" t="s">
        <v>30</v>
      </c>
    </row>
    <row r="735" spans="1:20" x14ac:dyDescent="0.3">
      <c r="A735" t="s">
        <v>20</v>
      </c>
      <c r="B735">
        <v>58</v>
      </c>
      <c r="C735">
        <v>115</v>
      </c>
      <c r="D735">
        <v>1.81</v>
      </c>
      <c r="E735">
        <v>35.1</v>
      </c>
      <c r="F735">
        <v>107.1</v>
      </c>
      <c r="G735" t="s">
        <v>228</v>
      </c>
      <c r="H735">
        <v>293</v>
      </c>
      <c r="I735">
        <v>68</v>
      </c>
      <c r="J735">
        <v>124</v>
      </c>
      <c r="K735" t="s">
        <v>23</v>
      </c>
      <c r="L735" t="s">
        <v>23</v>
      </c>
      <c r="M735" t="s">
        <v>24</v>
      </c>
      <c r="N735">
        <v>0.59199999999999997</v>
      </c>
      <c r="O735">
        <v>139</v>
      </c>
      <c r="Q735" t="s">
        <v>29</v>
      </c>
      <c r="R735">
        <v>195</v>
      </c>
      <c r="S735">
        <v>21.83</v>
      </c>
      <c r="T735" t="s">
        <v>30</v>
      </c>
    </row>
    <row r="736" spans="1:20" x14ac:dyDescent="0.3">
      <c r="A736" t="s">
        <v>31</v>
      </c>
      <c r="B736">
        <v>60</v>
      </c>
      <c r="C736">
        <v>78.599999999999994</v>
      </c>
      <c r="D736">
        <v>1.8</v>
      </c>
      <c r="E736">
        <v>24.3</v>
      </c>
      <c r="F736">
        <v>105.7</v>
      </c>
      <c r="G736" t="s">
        <v>207</v>
      </c>
      <c r="H736">
        <v>141</v>
      </c>
      <c r="I736">
        <v>37</v>
      </c>
      <c r="J736">
        <v>80</v>
      </c>
      <c r="K736" t="s">
        <v>23</v>
      </c>
      <c r="L736" t="s">
        <v>22</v>
      </c>
      <c r="M736" t="s">
        <v>24</v>
      </c>
      <c r="N736">
        <v>0.58699999999999997</v>
      </c>
      <c r="O736">
        <v>130</v>
      </c>
      <c r="P736">
        <v>71</v>
      </c>
      <c r="Q736" t="s">
        <v>29</v>
      </c>
      <c r="R736">
        <v>74</v>
      </c>
      <c r="S736">
        <v>14.18</v>
      </c>
      <c r="T736" t="s">
        <v>30</v>
      </c>
    </row>
    <row r="737" spans="1:20" x14ac:dyDescent="0.3">
      <c r="A737" t="s">
        <v>20</v>
      </c>
      <c r="B737">
        <v>46</v>
      </c>
      <c r="C737">
        <v>74.5</v>
      </c>
      <c r="D737">
        <v>1.81</v>
      </c>
      <c r="E737">
        <v>22.7</v>
      </c>
      <c r="F737">
        <v>79</v>
      </c>
      <c r="G737" t="s">
        <v>356</v>
      </c>
      <c r="H737">
        <v>231</v>
      </c>
      <c r="J737">
        <v>97</v>
      </c>
      <c r="K737" t="s">
        <v>22</v>
      </c>
      <c r="L737" t="s">
        <v>22</v>
      </c>
      <c r="M737" t="s">
        <v>37</v>
      </c>
      <c r="N737">
        <v>0.436</v>
      </c>
      <c r="O737">
        <v>129</v>
      </c>
      <c r="P737">
        <v>80</v>
      </c>
      <c r="Q737" t="s">
        <v>29</v>
      </c>
      <c r="R737">
        <v>132</v>
      </c>
      <c r="S737">
        <v>15.61</v>
      </c>
      <c r="T737" t="s">
        <v>26</v>
      </c>
    </row>
    <row r="738" spans="1:20" x14ac:dyDescent="0.3">
      <c r="A738" t="s">
        <v>20</v>
      </c>
      <c r="B738">
        <v>44</v>
      </c>
      <c r="C738">
        <v>81.7</v>
      </c>
      <c r="D738">
        <v>1.61</v>
      </c>
      <c r="E738">
        <v>31.5</v>
      </c>
      <c r="F738">
        <v>70.8</v>
      </c>
      <c r="G738" t="s">
        <v>654</v>
      </c>
      <c r="H738">
        <v>140</v>
      </c>
      <c r="I738">
        <v>70</v>
      </c>
      <c r="J738">
        <v>108</v>
      </c>
      <c r="K738" t="s">
        <v>22</v>
      </c>
      <c r="L738" t="s">
        <v>23</v>
      </c>
      <c r="M738" t="s">
        <v>24</v>
      </c>
      <c r="N738">
        <v>0.44</v>
      </c>
      <c r="O738">
        <v>148</v>
      </c>
      <c r="P738">
        <v>65</v>
      </c>
      <c r="Q738" t="s">
        <v>38</v>
      </c>
      <c r="R738">
        <v>40</v>
      </c>
      <c r="S738">
        <v>18.5</v>
      </c>
      <c r="T738" t="s">
        <v>30</v>
      </c>
    </row>
    <row r="739" spans="1:20" x14ac:dyDescent="0.3">
      <c r="A739" t="s">
        <v>20</v>
      </c>
      <c r="B739">
        <v>58</v>
      </c>
      <c r="C739">
        <v>88.6</v>
      </c>
      <c r="D739">
        <v>1.67</v>
      </c>
      <c r="E739">
        <v>31.8</v>
      </c>
      <c r="F739">
        <v>95.3</v>
      </c>
      <c r="G739" t="s">
        <v>655</v>
      </c>
      <c r="H739">
        <v>133</v>
      </c>
      <c r="I739">
        <v>80</v>
      </c>
      <c r="J739">
        <v>73</v>
      </c>
      <c r="K739" t="s">
        <v>23</v>
      </c>
      <c r="L739" t="s">
        <v>23</v>
      </c>
      <c r="M739" t="s">
        <v>28</v>
      </c>
      <c r="N739">
        <v>0.57099999999999995</v>
      </c>
      <c r="O739">
        <v>90</v>
      </c>
      <c r="P739">
        <v>74</v>
      </c>
      <c r="Q739" t="s">
        <v>33</v>
      </c>
      <c r="R739">
        <v>23</v>
      </c>
      <c r="S739">
        <v>15.52</v>
      </c>
      <c r="T739" t="s">
        <v>30</v>
      </c>
    </row>
    <row r="740" spans="1:20" x14ac:dyDescent="0.3">
      <c r="A740" t="s">
        <v>31</v>
      </c>
      <c r="B740">
        <v>41</v>
      </c>
      <c r="C740">
        <v>92.4</v>
      </c>
      <c r="D740">
        <v>1.8</v>
      </c>
      <c r="E740">
        <v>28.5</v>
      </c>
      <c r="F740">
        <v>78.8</v>
      </c>
      <c r="G740" t="s">
        <v>656</v>
      </c>
      <c r="H740">
        <v>135</v>
      </c>
      <c r="I740">
        <v>67</v>
      </c>
      <c r="J740">
        <v>123</v>
      </c>
      <c r="K740" t="s">
        <v>23</v>
      </c>
      <c r="L740" t="s">
        <v>23</v>
      </c>
      <c r="M740" t="s">
        <v>24</v>
      </c>
      <c r="N740">
        <v>0.438</v>
      </c>
      <c r="O740">
        <v>101</v>
      </c>
      <c r="P740">
        <v>77</v>
      </c>
      <c r="Q740" t="s">
        <v>33</v>
      </c>
      <c r="R740">
        <v>38</v>
      </c>
      <c r="S740">
        <v>15.45</v>
      </c>
      <c r="T740" t="s">
        <v>30</v>
      </c>
    </row>
    <row r="741" spans="1:20" x14ac:dyDescent="0.3">
      <c r="A741" t="s">
        <v>31</v>
      </c>
      <c r="B741">
        <v>31</v>
      </c>
      <c r="C741">
        <v>119.7</v>
      </c>
      <c r="D741">
        <v>1.61</v>
      </c>
      <c r="E741">
        <v>46.2</v>
      </c>
      <c r="G741" t="s">
        <v>657</v>
      </c>
      <c r="H741">
        <v>280</v>
      </c>
      <c r="I741">
        <v>80</v>
      </c>
      <c r="J741">
        <v>136</v>
      </c>
      <c r="K741" t="s">
        <v>23</v>
      </c>
      <c r="L741" t="s">
        <v>22</v>
      </c>
      <c r="M741" t="s">
        <v>37</v>
      </c>
      <c r="N741">
        <v>0.55300000000000005</v>
      </c>
      <c r="O741">
        <v>127</v>
      </c>
      <c r="P741">
        <v>70</v>
      </c>
      <c r="Q741" t="s">
        <v>25</v>
      </c>
      <c r="R741">
        <v>170</v>
      </c>
      <c r="S741">
        <v>21.19</v>
      </c>
      <c r="T741" t="s">
        <v>30</v>
      </c>
    </row>
    <row r="742" spans="1:20" x14ac:dyDescent="0.3">
      <c r="A742" t="s">
        <v>31</v>
      </c>
      <c r="B742">
        <v>53</v>
      </c>
      <c r="C742">
        <v>112.7</v>
      </c>
      <c r="E742">
        <v>37.200000000000003</v>
      </c>
      <c r="F742">
        <v>104.1</v>
      </c>
      <c r="G742" t="s">
        <v>658</v>
      </c>
      <c r="H742">
        <v>126</v>
      </c>
      <c r="I742">
        <v>30</v>
      </c>
      <c r="J742">
        <v>74</v>
      </c>
      <c r="K742" t="s">
        <v>23</v>
      </c>
      <c r="L742" t="s">
        <v>22</v>
      </c>
      <c r="M742" t="s">
        <v>24</v>
      </c>
      <c r="N742">
        <v>0.59799999999999998</v>
      </c>
      <c r="O742">
        <v>132</v>
      </c>
      <c r="P742">
        <v>83</v>
      </c>
      <c r="Q742" t="s">
        <v>29</v>
      </c>
      <c r="R742">
        <v>66</v>
      </c>
      <c r="S742">
        <v>16.559999999999999</v>
      </c>
      <c r="T742" t="s">
        <v>30</v>
      </c>
    </row>
    <row r="743" spans="1:20" x14ac:dyDescent="0.3">
      <c r="A743" t="s">
        <v>31</v>
      </c>
      <c r="B743">
        <v>45</v>
      </c>
      <c r="C743">
        <v>105.6</v>
      </c>
      <c r="D743">
        <v>1.81</v>
      </c>
      <c r="E743">
        <v>32.200000000000003</v>
      </c>
      <c r="F743">
        <v>100.6</v>
      </c>
      <c r="G743" t="s">
        <v>659</v>
      </c>
      <c r="H743">
        <v>201</v>
      </c>
      <c r="I743">
        <v>36</v>
      </c>
      <c r="J743">
        <v>77</v>
      </c>
      <c r="K743" t="s">
        <v>23</v>
      </c>
      <c r="L743" t="s">
        <v>23</v>
      </c>
      <c r="M743" t="s">
        <v>24</v>
      </c>
      <c r="N743">
        <v>0.55600000000000005</v>
      </c>
      <c r="O743">
        <v>111</v>
      </c>
      <c r="P743">
        <v>97</v>
      </c>
      <c r="Q743" t="s">
        <v>38</v>
      </c>
      <c r="R743">
        <v>135</v>
      </c>
      <c r="S743">
        <v>18.010000000000002</v>
      </c>
      <c r="T743" t="s">
        <v>30</v>
      </c>
    </row>
    <row r="744" spans="1:20" x14ac:dyDescent="0.3">
      <c r="A744" t="s">
        <v>20</v>
      </c>
      <c r="B744">
        <v>50</v>
      </c>
      <c r="C744">
        <v>99.4</v>
      </c>
      <c r="D744">
        <v>1.67</v>
      </c>
      <c r="E744">
        <v>35.6</v>
      </c>
      <c r="F744">
        <v>96.3</v>
      </c>
      <c r="G744" t="s">
        <v>660</v>
      </c>
      <c r="H744">
        <v>256</v>
      </c>
      <c r="I744">
        <v>30</v>
      </c>
      <c r="J744">
        <v>107</v>
      </c>
      <c r="K744" t="s">
        <v>23</v>
      </c>
      <c r="L744" t="s">
        <v>22</v>
      </c>
      <c r="M744" t="s">
        <v>37</v>
      </c>
      <c r="N744">
        <v>0.57699999999999996</v>
      </c>
      <c r="O744">
        <v>144</v>
      </c>
      <c r="P744">
        <v>81</v>
      </c>
      <c r="Q744" t="s">
        <v>29</v>
      </c>
      <c r="R744">
        <v>196</v>
      </c>
      <c r="S744">
        <v>19.440000000000001</v>
      </c>
      <c r="T744" t="s">
        <v>30</v>
      </c>
    </row>
    <row r="745" spans="1:20" x14ac:dyDescent="0.3">
      <c r="A745" t="s">
        <v>31</v>
      </c>
      <c r="B745">
        <v>49</v>
      </c>
      <c r="C745">
        <v>118.3</v>
      </c>
      <c r="D745">
        <v>1.89</v>
      </c>
      <c r="E745">
        <v>33.1</v>
      </c>
      <c r="F745">
        <v>96.2</v>
      </c>
      <c r="G745" t="s">
        <v>661</v>
      </c>
      <c r="H745">
        <v>240</v>
      </c>
      <c r="I745">
        <v>61</v>
      </c>
      <c r="J745">
        <v>86</v>
      </c>
      <c r="K745" t="s">
        <v>22</v>
      </c>
      <c r="L745" t="s">
        <v>22</v>
      </c>
      <c r="M745" t="s">
        <v>37</v>
      </c>
      <c r="N745">
        <v>0.50900000000000001</v>
      </c>
      <c r="O745">
        <v>130</v>
      </c>
      <c r="P745">
        <v>68</v>
      </c>
      <c r="Q745" t="s">
        <v>29</v>
      </c>
      <c r="R745">
        <v>149</v>
      </c>
      <c r="T745" t="s">
        <v>26</v>
      </c>
    </row>
    <row r="746" spans="1:20" x14ac:dyDescent="0.3">
      <c r="A746" t="s">
        <v>20</v>
      </c>
      <c r="B746">
        <v>54</v>
      </c>
      <c r="C746">
        <v>74.599999999999994</v>
      </c>
      <c r="D746">
        <v>1.86</v>
      </c>
      <c r="E746">
        <v>21.6</v>
      </c>
      <c r="F746">
        <v>103.6</v>
      </c>
      <c r="G746" t="s">
        <v>662</v>
      </c>
      <c r="H746">
        <v>279</v>
      </c>
      <c r="I746">
        <v>38</v>
      </c>
      <c r="J746">
        <v>146</v>
      </c>
      <c r="K746" t="s">
        <v>22</v>
      </c>
      <c r="L746" t="s">
        <v>22</v>
      </c>
      <c r="M746" t="s">
        <v>24</v>
      </c>
      <c r="N746">
        <v>0.55700000000000005</v>
      </c>
      <c r="O746">
        <v>102</v>
      </c>
      <c r="P746">
        <v>73</v>
      </c>
      <c r="Q746" t="s">
        <v>33</v>
      </c>
      <c r="S746">
        <v>15</v>
      </c>
      <c r="T746" t="s">
        <v>30</v>
      </c>
    </row>
    <row r="747" spans="1:20" x14ac:dyDescent="0.3">
      <c r="A747" t="s">
        <v>31</v>
      </c>
      <c r="B747">
        <v>35</v>
      </c>
      <c r="C747">
        <v>86.5</v>
      </c>
      <c r="D747">
        <v>1.8</v>
      </c>
      <c r="E747">
        <v>26.7</v>
      </c>
      <c r="F747">
        <v>96.6</v>
      </c>
      <c r="G747" t="s">
        <v>663</v>
      </c>
      <c r="H747">
        <v>284</v>
      </c>
      <c r="I747">
        <v>39</v>
      </c>
      <c r="J747">
        <v>77</v>
      </c>
      <c r="K747" t="s">
        <v>23</v>
      </c>
      <c r="L747" t="s">
        <v>22</v>
      </c>
      <c r="M747" t="s">
        <v>28</v>
      </c>
      <c r="N747">
        <v>0.53700000000000003</v>
      </c>
      <c r="O747">
        <v>118</v>
      </c>
      <c r="P747">
        <v>78</v>
      </c>
      <c r="Q747" t="s">
        <v>33</v>
      </c>
      <c r="R747">
        <v>215</v>
      </c>
      <c r="S747">
        <v>16.920000000000002</v>
      </c>
      <c r="T747" t="s">
        <v>30</v>
      </c>
    </row>
    <row r="748" spans="1:20" x14ac:dyDescent="0.3">
      <c r="A748" t="s">
        <v>20</v>
      </c>
      <c r="B748">
        <v>37</v>
      </c>
      <c r="C748">
        <v>54.9</v>
      </c>
      <c r="D748">
        <v>1.63</v>
      </c>
      <c r="E748">
        <v>20.7</v>
      </c>
      <c r="F748">
        <v>75.2</v>
      </c>
      <c r="G748" t="s">
        <v>664</v>
      </c>
      <c r="H748">
        <v>114</v>
      </c>
      <c r="I748">
        <v>38</v>
      </c>
      <c r="J748">
        <v>110</v>
      </c>
      <c r="K748" t="s">
        <v>23</v>
      </c>
      <c r="L748" t="s">
        <v>23</v>
      </c>
      <c r="M748" t="s">
        <v>24</v>
      </c>
      <c r="N748">
        <v>0.46100000000000002</v>
      </c>
      <c r="P748">
        <v>81</v>
      </c>
      <c r="Q748" t="s">
        <v>29</v>
      </c>
      <c r="R748">
        <v>46</v>
      </c>
      <c r="T748" t="s">
        <v>30</v>
      </c>
    </row>
    <row r="749" spans="1:20" x14ac:dyDescent="0.3">
      <c r="A749" t="s">
        <v>20</v>
      </c>
      <c r="B749">
        <v>34</v>
      </c>
      <c r="C749">
        <v>61.1</v>
      </c>
      <c r="D749">
        <v>1.75</v>
      </c>
      <c r="E749">
        <v>20</v>
      </c>
      <c r="F749">
        <v>71.599999999999994</v>
      </c>
      <c r="G749" t="s">
        <v>665</v>
      </c>
      <c r="H749">
        <v>277</v>
      </c>
      <c r="I749">
        <v>40</v>
      </c>
      <c r="J749">
        <v>97</v>
      </c>
      <c r="K749" t="s">
        <v>23</v>
      </c>
      <c r="L749" t="s">
        <v>22</v>
      </c>
      <c r="M749" t="s">
        <v>37</v>
      </c>
      <c r="N749">
        <v>0.40899999999999997</v>
      </c>
      <c r="O749">
        <v>108</v>
      </c>
      <c r="P749">
        <v>100</v>
      </c>
      <c r="Q749" t="s">
        <v>38</v>
      </c>
      <c r="R749">
        <v>207</v>
      </c>
      <c r="S749">
        <v>14.94</v>
      </c>
      <c r="T749" t="s">
        <v>26</v>
      </c>
    </row>
    <row r="750" spans="1:20" x14ac:dyDescent="0.3">
      <c r="A750" t="s">
        <v>20</v>
      </c>
      <c r="B750">
        <v>34</v>
      </c>
      <c r="C750">
        <v>67.7</v>
      </c>
      <c r="D750">
        <v>1.81</v>
      </c>
      <c r="F750">
        <v>79.8</v>
      </c>
      <c r="G750" t="s">
        <v>354</v>
      </c>
      <c r="H750">
        <v>235</v>
      </c>
      <c r="I750">
        <v>31</v>
      </c>
      <c r="J750">
        <v>147</v>
      </c>
      <c r="K750" t="s">
        <v>23</v>
      </c>
      <c r="L750" t="s">
        <v>22</v>
      </c>
      <c r="M750" t="s">
        <v>24</v>
      </c>
      <c r="N750">
        <v>0.441</v>
      </c>
      <c r="P750">
        <v>91</v>
      </c>
      <c r="Q750" t="s">
        <v>29</v>
      </c>
      <c r="R750">
        <v>174</v>
      </c>
      <c r="S750">
        <v>15.59</v>
      </c>
      <c r="T750" t="s">
        <v>30</v>
      </c>
    </row>
    <row r="751" spans="1:20" x14ac:dyDescent="0.3">
      <c r="A751" t="s">
        <v>20</v>
      </c>
      <c r="B751">
        <v>36</v>
      </c>
      <c r="C751">
        <v>60.2</v>
      </c>
      <c r="D751">
        <v>1.68</v>
      </c>
      <c r="E751">
        <v>21.3</v>
      </c>
      <c r="F751">
        <v>104.7</v>
      </c>
      <c r="G751" t="s">
        <v>666</v>
      </c>
      <c r="H751">
        <v>289</v>
      </c>
      <c r="I751">
        <v>68</v>
      </c>
      <c r="J751">
        <v>116</v>
      </c>
      <c r="K751" t="s">
        <v>23</v>
      </c>
      <c r="L751" t="s">
        <v>22</v>
      </c>
      <c r="M751" t="s">
        <v>37</v>
      </c>
      <c r="N751">
        <v>0.623</v>
      </c>
      <c r="O751">
        <v>111</v>
      </c>
      <c r="P751">
        <v>87</v>
      </c>
      <c r="Q751" t="s">
        <v>29</v>
      </c>
      <c r="R751">
        <v>191</v>
      </c>
      <c r="S751">
        <v>15.59</v>
      </c>
      <c r="T751" t="s">
        <v>26</v>
      </c>
    </row>
    <row r="752" spans="1:20" x14ac:dyDescent="0.3">
      <c r="A752" t="s">
        <v>20</v>
      </c>
      <c r="B752">
        <v>43</v>
      </c>
      <c r="C752">
        <v>72</v>
      </c>
      <c r="D752">
        <v>1.67</v>
      </c>
      <c r="E752">
        <v>25.8</v>
      </c>
      <c r="F752">
        <v>84.9</v>
      </c>
      <c r="G752" t="s">
        <v>667</v>
      </c>
      <c r="H752">
        <v>190</v>
      </c>
      <c r="I752">
        <v>67</v>
      </c>
      <c r="J752">
        <v>144</v>
      </c>
      <c r="K752" t="s">
        <v>23</v>
      </c>
      <c r="L752" t="s">
        <v>22</v>
      </c>
      <c r="M752" t="s">
        <v>37</v>
      </c>
      <c r="N752">
        <v>0.50800000000000001</v>
      </c>
      <c r="O752">
        <v>92</v>
      </c>
      <c r="P752">
        <v>69</v>
      </c>
      <c r="Q752" t="s">
        <v>33</v>
      </c>
      <c r="R752">
        <v>93</v>
      </c>
      <c r="S752">
        <v>13.56</v>
      </c>
      <c r="T752" t="s">
        <v>26</v>
      </c>
    </row>
    <row r="753" spans="1:20" x14ac:dyDescent="0.3">
      <c r="A753" t="s">
        <v>31</v>
      </c>
      <c r="B753">
        <v>55</v>
      </c>
      <c r="C753">
        <v>85</v>
      </c>
      <c r="D753">
        <v>1.75</v>
      </c>
      <c r="E753">
        <v>27.8</v>
      </c>
      <c r="F753">
        <v>79.400000000000006</v>
      </c>
      <c r="G753" t="s">
        <v>668</v>
      </c>
      <c r="H753">
        <v>240</v>
      </c>
      <c r="I753">
        <v>32</v>
      </c>
      <c r="K753" t="s">
        <v>22</v>
      </c>
      <c r="L753" t="s">
        <v>23</v>
      </c>
      <c r="M753" t="s">
        <v>24</v>
      </c>
      <c r="N753">
        <v>0.45400000000000001</v>
      </c>
      <c r="O753">
        <v>94</v>
      </c>
      <c r="P753">
        <v>71</v>
      </c>
      <c r="Q753" t="s">
        <v>33</v>
      </c>
      <c r="R753">
        <v>178</v>
      </c>
      <c r="S753">
        <v>17.059999999999999</v>
      </c>
      <c r="T753" t="s">
        <v>30</v>
      </c>
    </row>
    <row r="754" spans="1:20" x14ac:dyDescent="0.3">
      <c r="A754" t="s">
        <v>20</v>
      </c>
      <c r="B754">
        <v>41</v>
      </c>
      <c r="C754">
        <v>80</v>
      </c>
      <c r="D754">
        <v>1.63</v>
      </c>
      <c r="E754">
        <v>30.1</v>
      </c>
      <c r="F754">
        <v>84.5</v>
      </c>
      <c r="G754" t="s">
        <v>669</v>
      </c>
      <c r="H754">
        <v>250</v>
      </c>
      <c r="I754">
        <v>34</v>
      </c>
      <c r="J754">
        <v>122</v>
      </c>
      <c r="K754" t="s">
        <v>22</v>
      </c>
      <c r="L754" t="s">
        <v>22</v>
      </c>
      <c r="M754" t="s">
        <v>37</v>
      </c>
      <c r="N754">
        <v>0.51800000000000002</v>
      </c>
      <c r="O754">
        <v>119</v>
      </c>
      <c r="P754">
        <v>73</v>
      </c>
      <c r="Q754" t="s">
        <v>33</v>
      </c>
      <c r="R754">
        <v>186</v>
      </c>
      <c r="S754">
        <v>16.97</v>
      </c>
      <c r="T754" t="s">
        <v>26</v>
      </c>
    </row>
    <row r="755" spans="1:20" x14ac:dyDescent="0.3">
      <c r="A755" t="s">
        <v>31</v>
      </c>
      <c r="B755">
        <v>39</v>
      </c>
      <c r="C755">
        <v>70.900000000000006</v>
      </c>
      <c r="D755">
        <v>1.85</v>
      </c>
      <c r="E755">
        <v>20.7</v>
      </c>
      <c r="F755">
        <v>73.2</v>
      </c>
      <c r="G755" t="s">
        <v>670</v>
      </c>
      <c r="H755">
        <v>172</v>
      </c>
      <c r="I755">
        <v>34</v>
      </c>
      <c r="J755">
        <v>133</v>
      </c>
      <c r="K755" t="s">
        <v>23</v>
      </c>
      <c r="L755" t="s">
        <v>23</v>
      </c>
      <c r="M755" t="s">
        <v>28</v>
      </c>
      <c r="N755">
        <v>0.39600000000000002</v>
      </c>
      <c r="O755">
        <v>127</v>
      </c>
      <c r="P755">
        <v>86</v>
      </c>
      <c r="Q755" t="s">
        <v>29</v>
      </c>
      <c r="R755">
        <v>108</v>
      </c>
      <c r="S755">
        <v>15.93</v>
      </c>
      <c r="T755" t="s">
        <v>30</v>
      </c>
    </row>
    <row r="756" spans="1:20" x14ac:dyDescent="0.3">
      <c r="A756" t="s">
        <v>20</v>
      </c>
      <c r="C756">
        <v>79.599999999999994</v>
      </c>
      <c r="D756">
        <v>1.88</v>
      </c>
      <c r="E756">
        <v>22.5</v>
      </c>
      <c r="F756">
        <v>97</v>
      </c>
      <c r="G756" t="s">
        <v>671</v>
      </c>
      <c r="H756">
        <v>194</v>
      </c>
      <c r="I756">
        <v>76</v>
      </c>
      <c r="J756">
        <v>90</v>
      </c>
      <c r="K756" t="s">
        <v>23</v>
      </c>
      <c r="L756" t="s">
        <v>22</v>
      </c>
      <c r="M756" t="s">
        <v>37</v>
      </c>
      <c r="N756">
        <v>0.51600000000000001</v>
      </c>
      <c r="O756">
        <v>114</v>
      </c>
      <c r="P756">
        <v>85</v>
      </c>
      <c r="Q756" t="s">
        <v>29</v>
      </c>
      <c r="S756">
        <v>14.08</v>
      </c>
      <c r="T756" t="s">
        <v>26</v>
      </c>
    </row>
    <row r="757" spans="1:20" x14ac:dyDescent="0.3">
      <c r="A757" t="s">
        <v>31</v>
      </c>
      <c r="B757">
        <v>58</v>
      </c>
      <c r="C757">
        <v>117.8</v>
      </c>
      <c r="D757">
        <v>1.66</v>
      </c>
      <c r="E757">
        <v>42.7</v>
      </c>
      <c r="F757">
        <v>103.3</v>
      </c>
      <c r="G757" t="s">
        <v>672</v>
      </c>
      <c r="H757">
        <v>249</v>
      </c>
      <c r="I757">
        <v>71</v>
      </c>
      <c r="J757">
        <v>122</v>
      </c>
      <c r="K757" t="s">
        <v>23</v>
      </c>
      <c r="L757" t="s">
        <v>22</v>
      </c>
      <c r="M757" t="s">
        <v>24</v>
      </c>
      <c r="N757">
        <v>0.622</v>
      </c>
      <c r="O757">
        <v>113</v>
      </c>
      <c r="P757">
        <v>73</v>
      </c>
      <c r="Q757" t="s">
        <v>33</v>
      </c>
      <c r="R757">
        <v>148</v>
      </c>
      <c r="S757">
        <v>19.170000000000002</v>
      </c>
      <c r="T757" t="s">
        <v>30</v>
      </c>
    </row>
    <row r="758" spans="1:20" x14ac:dyDescent="0.3">
      <c r="A758" t="s">
        <v>20</v>
      </c>
      <c r="B758">
        <v>35</v>
      </c>
      <c r="C758">
        <v>116.2</v>
      </c>
      <c r="D758">
        <v>1.83</v>
      </c>
      <c r="E758">
        <v>34.700000000000003</v>
      </c>
      <c r="F758">
        <v>108.4</v>
      </c>
      <c r="G758" t="s">
        <v>673</v>
      </c>
      <c r="H758">
        <v>220</v>
      </c>
      <c r="I758">
        <v>62</v>
      </c>
      <c r="J758">
        <v>135</v>
      </c>
      <c r="K758" t="s">
        <v>22</v>
      </c>
      <c r="L758" t="s">
        <v>23</v>
      </c>
      <c r="M758" t="s">
        <v>37</v>
      </c>
      <c r="N758">
        <v>0.59199999999999997</v>
      </c>
      <c r="O758">
        <v>119</v>
      </c>
      <c r="P758">
        <v>66</v>
      </c>
      <c r="Q758" t="s">
        <v>33</v>
      </c>
      <c r="R758">
        <v>128</v>
      </c>
      <c r="S758">
        <v>19.29</v>
      </c>
      <c r="T758" t="s">
        <v>26</v>
      </c>
    </row>
    <row r="759" spans="1:20" x14ac:dyDescent="0.3">
      <c r="A759" t="s">
        <v>20</v>
      </c>
      <c r="B759">
        <v>41</v>
      </c>
      <c r="C759">
        <v>103.9</v>
      </c>
      <c r="D759">
        <v>1.9</v>
      </c>
      <c r="E759">
        <v>28.8</v>
      </c>
      <c r="F759">
        <v>82.4</v>
      </c>
      <c r="G759" t="s">
        <v>674</v>
      </c>
      <c r="H759">
        <v>110</v>
      </c>
      <c r="J759">
        <v>127</v>
      </c>
      <c r="K759" t="s">
        <v>23</v>
      </c>
      <c r="L759" t="s">
        <v>23</v>
      </c>
      <c r="M759" t="s">
        <v>37</v>
      </c>
      <c r="N759">
        <v>0.434</v>
      </c>
      <c r="O759">
        <v>142</v>
      </c>
      <c r="P759">
        <v>93</v>
      </c>
      <c r="Q759" t="s">
        <v>38</v>
      </c>
      <c r="R759">
        <v>18</v>
      </c>
      <c r="S759">
        <v>17.059999999999999</v>
      </c>
      <c r="T759" t="s">
        <v>30</v>
      </c>
    </row>
    <row r="760" spans="1:20" x14ac:dyDescent="0.3">
      <c r="A760" t="s">
        <v>31</v>
      </c>
      <c r="B760">
        <v>51</v>
      </c>
      <c r="C760">
        <v>50.5</v>
      </c>
      <c r="D760">
        <v>1.66</v>
      </c>
      <c r="E760">
        <v>18.3</v>
      </c>
      <c r="F760">
        <v>108</v>
      </c>
      <c r="G760" t="s">
        <v>675</v>
      </c>
      <c r="H760">
        <v>208</v>
      </c>
      <c r="I760">
        <v>40</v>
      </c>
      <c r="J760">
        <v>80</v>
      </c>
      <c r="K760" t="s">
        <v>23</v>
      </c>
      <c r="L760" t="s">
        <v>23</v>
      </c>
      <c r="M760" t="s">
        <v>37</v>
      </c>
      <c r="N760">
        <v>0.65100000000000002</v>
      </c>
      <c r="O760">
        <v>148</v>
      </c>
      <c r="P760">
        <v>73</v>
      </c>
      <c r="Q760" t="s">
        <v>38</v>
      </c>
      <c r="R760">
        <v>138</v>
      </c>
      <c r="S760">
        <v>17.22</v>
      </c>
      <c r="T760" t="s">
        <v>30</v>
      </c>
    </row>
    <row r="761" spans="1:20" x14ac:dyDescent="0.3">
      <c r="A761" t="s">
        <v>31</v>
      </c>
      <c r="C761">
        <v>55.6</v>
      </c>
      <c r="D761">
        <v>1.83</v>
      </c>
      <c r="E761">
        <v>16.600000000000001</v>
      </c>
      <c r="F761">
        <v>104.8</v>
      </c>
      <c r="G761" t="s">
        <v>676</v>
      </c>
      <c r="H761">
        <v>289</v>
      </c>
      <c r="I761">
        <v>58</v>
      </c>
      <c r="J761">
        <v>135</v>
      </c>
      <c r="K761" t="s">
        <v>23</v>
      </c>
      <c r="L761" t="s">
        <v>22</v>
      </c>
      <c r="M761" t="s">
        <v>28</v>
      </c>
      <c r="N761">
        <v>0.57299999999999995</v>
      </c>
      <c r="O761">
        <v>126</v>
      </c>
      <c r="P761">
        <v>95</v>
      </c>
      <c r="Q761" t="s">
        <v>38</v>
      </c>
      <c r="R761">
        <v>201</v>
      </c>
      <c r="S761">
        <v>15.4</v>
      </c>
      <c r="T761" t="s">
        <v>26</v>
      </c>
    </row>
    <row r="762" spans="1:20" x14ac:dyDescent="0.3">
      <c r="A762" t="s">
        <v>20</v>
      </c>
      <c r="B762">
        <v>52</v>
      </c>
      <c r="C762">
        <v>98.9</v>
      </c>
      <c r="D762">
        <v>1.78</v>
      </c>
      <c r="E762">
        <v>31.2</v>
      </c>
      <c r="F762">
        <v>86.4</v>
      </c>
      <c r="G762" t="s">
        <v>677</v>
      </c>
      <c r="H762">
        <v>277</v>
      </c>
      <c r="I762">
        <v>36</v>
      </c>
      <c r="J762">
        <v>88</v>
      </c>
      <c r="K762" t="s">
        <v>23</v>
      </c>
      <c r="L762" t="s">
        <v>23</v>
      </c>
      <c r="M762" t="s">
        <v>37</v>
      </c>
      <c r="N762">
        <v>0.48499999999999999</v>
      </c>
      <c r="O762">
        <v>138</v>
      </c>
      <c r="P762">
        <v>84</v>
      </c>
      <c r="Q762" t="s">
        <v>29</v>
      </c>
      <c r="R762">
        <v>211</v>
      </c>
      <c r="S762">
        <v>20.68</v>
      </c>
      <c r="T762" t="s">
        <v>30</v>
      </c>
    </row>
    <row r="763" spans="1:20" x14ac:dyDescent="0.3">
      <c r="A763" t="s">
        <v>31</v>
      </c>
      <c r="B763">
        <v>51</v>
      </c>
      <c r="C763">
        <v>72.8</v>
      </c>
      <c r="D763">
        <v>1.81</v>
      </c>
      <c r="E763">
        <v>22.2</v>
      </c>
      <c r="G763" t="s">
        <v>678</v>
      </c>
      <c r="H763">
        <v>101</v>
      </c>
      <c r="I763">
        <v>78</v>
      </c>
      <c r="J763">
        <v>76</v>
      </c>
      <c r="K763" t="s">
        <v>22</v>
      </c>
      <c r="L763" t="s">
        <v>22</v>
      </c>
      <c r="M763" t="s">
        <v>37</v>
      </c>
      <c r="N763">
        <v>0.50800000000000001</v>
      </c>
      <c r="O763">
        <v>126</v>
      </c>
      <c r="P763">
        <v>82</v>
      </c>
      <c r="Q763" t="s">
        <v>29</v>
      </c>
      <c r="R763">
        <v>-7</v>
      </c>
      <c r="S763">
        <v>12.76</v>
      </c>
      <c r="T763" t="s">
        <v>26</v>
      </c>
    </row>
    <row r="764" spans="1:20" x14ac:dyDescent="0.3">
      <c r="A764" t="s">
        <v>20</v>
      </c>
      <c r="B764">
        <v>49</v>
      </c>
      <c r="C764">
        <v>85.8</v>
      </c>
      <c r="D764">
        <v>1.78</v>
      </c>
      <c r="E764">
        <v>27.1</v>
      </c>
      <c r="F764">
        <v>76.900000000000006</v>
      </c>
      <c r="G764" t="s">
        <v>187</v>
      </c>
      <c r="H764">
        <v>136</v>
      </c>
      <c r="I764">
        <v>31</v>
      </c>
      <c r="J764">
        <v>125</v>
      </c>
      <c r="K764" t="s">
        <v>22</v>
      </c>
      <c r="L764" t="s">
        <v>23</v>
      </c>
      <c r="M764" t="s">
        <v>37</v>
      </c>
      <c r="N764">
        <v>0.432</v>
      </c>
      <c r="O764">
        <v>121</v>
      </c>
      <c r="P764">
        <v>67</v>
      </c>
      <c r="Q764" t="s">
        <v>25</v>
      </c>
      <c r="R764">
        <v>75</v>
      </c>
      <c r="S764">
        <v>16.190000000000001</v>
      </c>
      <c r="T764" t="s">
        <v>30</v>
      </c>
    </row>
    <row r="765" spans="1:20" x14ac:dyDescent="0.3">
      <c r="A765" t="s">
        <v>20</v>
      </c>
      <c r="B765">
        <v>37</v>
      </c>
      <c r="D765">
        <v>1.87</v>
      </c>
      <c r="E765">
        <v>25.9</v>
      </c>
      <c r="F765">
        <v>87.6</v>
      </c>
      <c r="G765" t="s">
        <v>679</v>
      </c>
      <c r="H765">
        <v>252</v>
      </c>
      <c r="I765">
        <v>79</v>
      </c>
      <c r="J765">
        <v>133</v>
      </c>
      <c r="K765" t="s">
        <v>23</v>
      </c>
      <c r="L765" t="s">
        <v>23</v>
      </c>
      <c r="M765" t="s">
        <v>28</v>
      </c>
      <c r="N765">
        <v>0.46800000000000003</v>
      </c>
      <c r="O765">
        <v>113</v>
      </c>
      <c r="P765">
        <v>75</v>
      </c>
      <c r="Q765" t="s">
        <v>33</v>
      </c>
      <c r="R765">
        <v>143</v>
      </c>
      <c r="S765">
        <v>17.87</v>
      </c>
      <c r="T765" t="s">
        <v>30</v>
      </c>
    </row>
    <row r="766" spans="1:20" x14ac:dyDescent="0.3">
      <c r="A766" t="s">
        <v>20</v>
      </c>
      <c r="B766">
        <v>60</v>
      </c>
      <c r="C766">
        <v>71.3</v>
      </c>
      <c r="D766">
        <v>1.68</v>
      </c>
      <c r="E766">
        <v>25.3</v>
      </c>
      <c r="F766">
        <v>95.3</v>
      </c>
      <c r="G766" t="s">
        <v>680</v>
      </c>
      <c r="H766">
        <v>271</v>
      </c>
      <c r="I766">
        <v>59</v>
      </c>
      <c r="J766">
        <v>93</v>
      </c>
      <c r="K766" t="s">
        <v>23</v>
      </c>
      <c r="L766" t="s">
        <v>23</v>
      </c>
      <c r="M766" t="s">
        <v>28</v>
      </c>
      <c r="O766">
        <v>92</v>
      </c>
      <c r="P766">
        <v>70</v>
      </c>
      <c r="Q766" t="s">
        <v>33</v>
      </c>
      <c r="R766">
        <v>182</v>
      </c>
      <c r="S766">
        <v>17.079999999999998</v>
      </c>
      <c r="T766" t="s">
        <v>30</v>
      </c>
    </row>
    <row r="767" spans="1:20" x14ac:dyDescent="0.3">
      <c r="A767" t="s">
        <v>20</v>
      </c>
      <c r="B767">
        <v>31</v>
      </c>
      <c r="C767">
        <v>94.5</v>
      </c>
      <c r="D767">
        <v>1.82</v>
      </c>
      <c r="E767">
        <v>28.5</v>
      </c>
      <c r="F767">
        <v>74.599999999999994</v>
      </c>
      <c r="G767" t="s">
        <v>681</v>
      </c>
      <c r="H767">
        <v>115</v>
      </c>
      <c r="J767">
        <v>144</v>
      </c>
      <c r="K767" t="s">
        <v>23</v>
      </c>
      <c r="L767" t="s">
        <v>23</v>
      </c>
      <c r="M767" t="s">
        <v>37</v>
      </c>
      <c r="N767">
        <v>0.41</v>
      </c>
      <c r="O767">
        <v>90</v>
      </c>
      <c r="P767">
        <v>79</v>
      </c>
      <c r="Q767" t="s">
        <v>33</v>
      </c>
      <c r="R767">
        <v>13</v>
      </c>
      <c r="S767">
        <v>14.5</v>
      </c>
      <c r="T767" t="s">
        <v>26</v>
      </c>
    </row>
    <row r="768" spans="1:20" x14ac:dyDescent="0.3">
      <c r="A768" t="s">
        <v>20</v>
      </c>
      <c r="B768">
        <v>36</v>
      </c>
      <c r="C768">
        <v>62.1</v>
      </c>
      <c r="D768">
        <v>1.76</v>
      </c>
      <c r="E768">
        <v>20</v>
      </c>
      <c r="F768">
        <v>70.599999999999994</v>
      </c>
      <c r="G768" t="s">
        <v>682</v>
      </c>
      <c r="H768">
        <v>226</v>
      </c>
      <c r="I768">
        <v>63</v>
      </c>
      <c r="J768">
        <v>107</v>
      </c>
      <c r="K768" t="s">
        <v>23</v>
      </c>
      <c r="L768" t="s">
        <v>22</v>
      </c>
      <c r="M768" t="s">
        <v>28</v>
      </c>
      <c r="N768">
        <v>0.40100000000000002</v>
      </c>
      <c r="O768">
        <v>126</v>
      </c>
      <c r="P768">
        <v>89</v>
      </c>
      <c r="Q768" t="s">
        <v>29</v>
      </c>
      <c r="R768">
        <v>133</v>
      </c>
      <c r="T768" t="s">
        <v>26</v>
      </c>
    </row>
    <row r="769" spans="1:20" x14ac:dyDescent="0.3">
      <c r="A769" t="s">
        <v>31</v>
      </c>
      <c r="B769">
        <v>58</v>
      </c>
      <c r="C769">
        <v>56</v>
      </c>
      <c r="D769">
        <v>1.82</v>
      </c>
      <c r="E769">
        <v>16.899999999999999</v>
      </c>
      <c r="F769">
        <v>104.2</v>
      </c>
      <c r="G769" t="s">
        <v>683</v>
      </c>
      <c r="H769">
        <v>144</v>
      </c>
      <c r="I769">
        <v>43</v>
      </c>
      <c r="J769">
        <v>98</v>
      </c>
      <c r="K769" t="s">
        <v>23</v>
      </c>
      <c r="L769" t="s">
        <v>22</v>
      </c>
      <c r="M769" t="s">
        <v>24</v>
      </c>
      <c r="O769">
        <v>132</v>
      </c>
      <c r="P769">
        <v>78</v>
      </c>
      <c r="Q769" t="s">
        <v>29</v>
      </c>
      <c r="R769">
        <v>71</v>
      </c>
      <c r="S769">
        <v>12.86</v>
      </c>
      <c r="T769" t="s">
        <v>30</v>
      </c>
    </row>
    <row r="770" spans="1:20" x14ac:dyDescent="0.3">
      <c r="A770" t="s">
        <v>20</v>
      </c>
      <c r="B770">
        <v>53</v>
      </c>
      <c r="C770">
        <v>68.599999999999994</v>
      </c>
      <c r="D770">
        <v>1.89</v>
      </c>
      <c r="E770">
        <v>19.2</v>
      </c>
      <c r="F770">
        <v>88.2</v>
      </c>
      <c r="G770" t="s">
        <v>187</v>
      </c>
      <c r="H770">
        <v>199</v>
      </c>
      <c r="I770">
        <v>73</v>
      </c>
      <c r="J770">
        <v>129</v>
      </c>
      <c r="K770" t="s">
        <v>22</v>
      </c>
      <c r="L770" t="s">
        <v>23</v>
      </c>
      <c r="M770" t="s">
        <v>28</v>
      </c>
      <c r="N770">
        <v>0.46700000000000003</v>
      </c>
      <c r="O770">
        <v>121</v>
      </c>
      <c r="P770">
        <v>67</v>
      </c>
      <c r="Q770" t="s">
        <v>25</v>
      </c>
      <c r="R770">
        <v>96</v>
      </c>
      <c r="S770">
        <v>15.87</v>
      </c>
      <c r="T770" t="s">
        <v>26</v>
      </c>
    </row>
    <row r="771" spans="1:20" x14ac:dyDescent="0.3">
      <c r="A771" t="s">
        <v>20</v>
      </c>
      <c r="B771">
        <v>49</v>
      </c>
      <c r="C771">
        <v>51.7</v>
      </c>
      <c r="D771">
        <v>1.63</v>
      </c>
      <c r="E771">
        <v>19.5</v>
      </c>
      <c r="F771">
        <v>105.1</v>
      </c>
      <c r="G771" t="s">
        <v>193</v>
      </c>
      <c r="H771">
        <v>135</v>
      </c>
      <c r="I771">
        <v>77</v>
      </c>
      <c r="J771">
        <v>125</v>
      </c>
      <c r="K771" t="s">
        <v>22</v>
      </c>
      <c r="L771" t="s">
        <v>23</v>
      </c>
      <c r="M771" t="s">
        <v>37</v>
      </c>
      <c r="N771">
        <v>0.64500000000000002</v>
      </c>
      <c r="O771">
        <v>137</v>
      </c>
      <c r="P771">
        <v>64</v>
      </c>
      <c r="Q771" t="s">
        <v>29</v>
      </c>
      <c r="R771">
        <v>28</v>
      </c>
      <c r="S771">
        <v>15.45</v>
      </c>
      <c r="T771" t="s">
        <v>26</v>
      </c>
    </row>
    <row r="772" spans="1:20" x14ac:dyDescent="0.3">
      <c r="A772" t="s">
        <v>31</v>
      </c>
      <c r="B772">
        <v>50</v>
      </c>
      <c r="C772">
        <v>95.4</v>
      </c>
      <c r="D772">
        <v>1.87</v>
      </c>
      <c r="E772">
        <v>27.3</v>
      </c>
      <c r="F772">
        <v>94.4</v>
      </c>
      <c r="G772" t="s">
        <v>636</v>
      </c>
      <c r="I772">
        <v>56</v>
      </c>
      <c r="J772">
        <v>128</v>
      </c>
      <c r="K772" t="s">
        <v>23</v>
      </c>
      <c r="L772" t="s">
        <v>22</v>
      </c>
      <c r="M772" t="s">
        <v>28</v>
      </c>
      <c r="N772">
        <v>0.505</v>
      </c>
      <c r="O772">
        <v>130</v>
      </c>
      <c r="P772">
        <v>66</v>
      </c>
      <c r="Q772" t="s">
        <v>29</v>
      </c>
      <c r="R772">
        <v>24</v>
      </c>
      <c r="S772">
        <v>14.16</v>
      </c>
      <c r="T772" t="s">
        <v>30</v>
      </c>
    </row>
    <row r="773" spans="1:20" x14ac:dyDescent="0.3">
      <c r="A773" t="s">
        <v>20</v>
      </c>
      <c r="B773">
        <v>35</v>
      </c>
      <c r="D773">
        <v>1.71</v>
      </c>
      <c r="E773">
        <v>29</v>
      </c>
      <c r="F773">
        <v>92.8</v>
      </c>
      <c r="G773" t="s">
        <v>684</v>
      </c>
      <c r="H773">
        <v>151</v>
      </c>
      <c r="I773">
        <v>42</v>
      </c>
      <c r="J773">
        <v>99</v>
      </c>
      <c r="K773" t="s">
        <v>22</v>
      </c>
      <c r="L773" t="s">
        <v>22</v>
      </c>
      <c r="M773" t="s">
        <v>28</v>
      </c>
      <c r="N773">
        <v>0.54300000000000004</v>
      </c>
      <c r="O773">
        <v>149</v>
      </c>
      <c r="P773">
        <v>69</v>
      </c>
      <c r="Q773" t="s">
        <v>38</v>
      </c>
      <c r="R773">
        <v>79</v>
      </c>
      <c r="S773">
        <v>16.27</v>
      </c>
      <c r="T773" t="s">
        <v>26</v>
      </c>
    </row>
    <row r="774" spans="1:20" x14ac:dyDescent="0.3">
      <c r="A774" t="s">
        <v>20</v>
      </c>
      <c r="B774">
        <v>56</v>
      </c>
      <c r="C774">
        <v>111.3</v>
      </c>
      <c r="D774">
        <v>1.82</v>
      </c>
      <c r="E774">
        <v>33.6</v>
      </c>
      <c r="F774">
        <v>79.5</v>
      </c>
      <c r="G774" t="s">
        <v>685</v>
      </c>
      <c r="H774">
        <v>296</v>
      </c>
      <c r="I774">
        <v>62</v>
      </c>
      <c r="J774">
        <v>137</v>
      </c>
      <c r="K774" t="s">
        <v>22</v>
      </c>
      <c r="L774" t="s">
        <v>23</v>
      </c>
      <c r="M774" t="s">
        <v>37</v>
      </c>
      <c r="N774">
        <v>0.437</v>
      </c>
      <c r="O774">
        <v>110</v>
      </c>
      <c r="P774">
        <v>86</v>
      </c>
      <c r="Q774" t="s">
        <v>29</v>
      </c>
      <c r="R774">
        <v>204</v>
      </c>
      <c r="S774">
        <v>20.14</v>
      </c>
      <c r="T774" t="s">
        <v>30</v>
      </c>
    </row>
    <row r="775" spans="1:20" x14ac:dyDescent="0.3">
      <c r="A775" t="s">
        <v>20</v>
      </c>
      <c r="B775">
        <v>35</v>
      </c>
      <c r="C775">
        <v>100.7</v>
      </c>
      <c r="D775">
        <v>1.83</v>
      </c>
      <c r="E775">
        <v>30.1</v>
      </c>
      <c r="F775">
        <v>108.8</v>
      </c>
      <c r="G775" t="s">
        <v>686</v>
      </c>
      <c r="H775">
        <v>162</v>
      </c>
      <c r="I775">
        <v>57</v>
      </c>
      <c r="J775">
        <v>90</v>
      </c>
      <c r="K775" t="s">
        <v>23</v>
      </c>
      <c r="L775" t="s">
        <v>22</v>
      </c>
      <c r="M775" t="s">
        <v>37</v>
      </c>
      <c r="N775">
        <v>0.59499999999999997</v>
      </c>
      <c r="O775">
        <v>143</v>
      </c>
      <c r="P775">
        <v>64</v>
      </c>
      <c r="Q775" t="s">
        <v>38</v>
      </c>
      <c r="R775">
        <v>75</v>
      </c>
      <c r="T775" t="s">
        <v>26</v>
      </c>
    </row>
    <row r="776" spans="1:20" x14ac:dyDescent="0.3">
      <c r="A776" t="s">
        <v>31</v>
      </c>
      <c r="B776">
        <v>55</v>
      </c>
      <c r="C776">
        <v>110.5</v>
      </c>
      <c r="D776">
        <v>1.73</v>
      </c>
      <c r="E776">
        <v>36.9</v>
      </c>
      <c r="G776" t="s">
        <v>687</v>
      </c>
      <c r="H776">
        <v>196</v>
      </c>
      <c r="I776">
        <v>39</v>
      </c>
      <c r="J776">
        <v>98</v>
      </c>
      <c r="K776" t="s">
        <v>23</v>
      </c>
      <c r="L776" t="s">
        <v>22</v>
      </c>
      <c r="M776" t="s">
        <v>28</v>
      </c>
      <c r="N776">
        <v>0.441</v>
      </c>
      <c r="O776">
        <v>118</v>
      </c>
      <c r="P776">
        <v>72</v>
      </c>
      <c r="Q776" t="s">
        <v>33</v>
      </c>
      <c r="R776">
        <v>127</v>
      </c>
      <c r="T776" t="s">
        <v>30</v>
      </c>
    </row>
    <row r="777" spans="1:20" x14ac:dyDescent="0.3">
      <c r="A777" t="s">
        <v>20</v>
      </c>
      <c r="B777">
        <v>40</v>
      </c>
      <c r="C777">
        <v>101.7</v>
      </c>
      <c r="D777">
        <v>1.82</v>
      </c>
      <c r="E777">
        <v>30.7</v>
      </c>
      <c r="F777">
        <v>77.099999999999994</v>
      </c>
      <c r="G777" t="s">
        <v>688</v>
      </c>
      <c r="H777">
        <v>172</v>
      </c>
      <c r="I777">
        <v>42</v>
      </c>
      <c r="J777">
        <v>135</v>
      </c>
      <c r="K777" t="s">
        <v>22</v>
      </c>
      <c r="L777" t="s">
        <v>22</v>
      </c>
      <c r="M777" t="s">
        <v>24</v>
      </c>
      <c r="N777">
        <v>0.42399999999999999</v>
      </c>
      <c r="O777">
        <v>125</v>
      </c>
      <c r="P777">
        <v>80</v>
      </c>
      <c r="Q777" t="s">
        <v>29</v>
      </c>
      <c r="R777">
        <v>100</v>
      </c>
      <c r="S777">
        <v>15.83</v>
      </c>
      <c r="T777" t="s">
        <v>26</v>
      </c>
    </row>
    <row r="778" spans="1:20" x14ac:dyDescent="0.3">
      <c r="A778" t="s">
        <v>20</v>
      </c>
      <c r="B778">
        <v>37</v>
      </c>
      <c r="C778">
        <v>95.7</v>
      </c>
      <c r="D778">
        <v>1.76</v>
      </c>
      <c r="E778">
        <v>30.9</v>
      </c>
      <c r="F778">
        <v>102.8</v>
      </c>
      <c r="G778" t="s">
        <v>689</v>
      </c>
      <c r="H778">
        <v>256</v>
      </c>
      <c r="I778">
        <v>47</v>
      </c>
      <c r="J778">
        <v>102</v>
      </c>
      <c r="K778" t="s">
        <v>22</v>
      </c>
      <c r="L778" t="s">
        <v>23</v>
      </c>
      <c r="M778" t="s">
        <v>24</v>
      </c>
      <c r="N778">
        <v>0.58399999999999996</v>
      </c>
      <c r="O778">
        <v>93</v>
      </c>
      <c r="Q778" t="s">
        <v>33</v>
      </c>
      <c r="R778">
        <v>179</v>
      </c>
      <c r="S778">
        <v>17.95</v>
      </c>
      <c r="T778" t="s">
        <v>30</v>
      </c>
    </row>
    <row r="779" spans="1:20" x14ac:dyDescent="0.3">
      <c r="A779" t="s">
        <v>20</v>
      </c>
      <c r="B779">
        <v>60</v>
      </c>
      <c r="C779">
        <v>104.2</v>
      </c>
      <c r="D779">
        <v>1.7</v>
      </c>
      <c r="E779">
        <v>36.1</v>
      </c>
      <c r="F779">
        <v>73.7</v>
      </c>
      <c r="G779" t="s">
        <v>690</v>
      </c>
      <c r="H779">
        <v>155</v>
      </c>
      <c r="I779">
        <v>59</v>
      </c>
      <c r="J779">
        <v>115</v>
      </c>
      <c r="K779" t="s">
        <v>23</v>
      </c>
      <c r="L779" t="s">
        <v>23</v>
      </c>
      <c r="M779" t="s">
        <v>24</v>
      </c>
      <c r="N779">
        <v>0.434</v>
      </c>
      <c r="O779">
        <v>150</v>
      </c>
      <c r="P779">
        <v>67</v>
      </c>
      <c r="Q779" t="s">
        <v>38</v>
      </c>
      <c r="R779">
        <v>66</v>
      </c>
      <c r="S779">
        <v>19.82</v>
      </c>
      <c r="T779" t="s">
        <v>30</v>
      </c>
    </row>
    <row r="780" spans="1:20" x14ac:dyDescent="0.3">
      <c r="A780" t="s">
        <v>31</v>
      </c>
      <c r="B780">
        <v>45</v>
      </c>
      <c r="C780">
        <v>62.1</v>
      </c>
      <c r="D780">
        <v>1.8</v>
      </c>
      <c r="E780">
        <v>19.2</v>
      </c>
      <c r="F780">
        <v>84.1</v>
      </c>
      <c r="G780" t="s">
        <v>691</v>
      </c>
      <c r="H780">
        <v>141</v>
      </c>
      <c r="I780">
        <v>45</v>
      </c>
      <c r="J780">
        <v>117</v>
      </c>
      <c r="K780" t="s">
        <v>23</v>
      </c>
      <c r="L780" t="s">
        <v>23</v>
      </c>
      <c r="M780" t="s">
        <v>28</v>
      </c>
      <c r="N780">
        <v>0.46700000000000003</v>
      </c>
      <c r="O780">
        <v>117</v>
      </c>
      <c r="P780">
        <v>60</v>
      </c>
      <c r="Q780" t="s">
        <v>33</v>
      </c>
      <c r="R780">
        <v>66</v>
      </c>
      <c r="S780">
        <v>14.51</v>
      </c>
      <c r="T780" t="s">
        <v>26</v>
      </c>
    </row>
    <row r="781" spans="1:20" x14ac:dyDescent="0.3">
      <c r="A781" t="s">
        <v>31</v>
      </c>
      <c r="B781">
        <v>44</v>
      </c>
      <c r="C781">
        <v>97.8</v>
      </c>
      <c r="D781">
        <v>1.63</v>
      </c>
      <c r="E781">
        <v>36.799999999999997</v>
      </c>
      <c r="F781">
        <v>104</v>
      </c>
      <c r="G781" t="s">
        <v>692</v>
      </c>
      <c r="H781">
        <v>155</v>
      </c>
      <c r="I781">
        <v>55</v>
      </c>
      <c r="J781">
        <v>142</v>
      </c>
      <c r="K781" t="s">
        <v>23</v>
      </c>
      <c r="L781" t="s">
        <v>23</v>
      </c>
      <c r="M781" t="s">
        <v>37</v>
      </c>
      <c r="O781">
        <v>141</v>
      </c>
      <c r="P781">
        <v>68</v>
      </c>
      <c r="Q781" t="s">
        <v>38</v>
      </c>
      <c r="R781">
        <v>70</v>
      </c>
      <c r="S781">
        <v>19.510000000000002</v>
      </c>
      <c r="T781" t="s">
        <v>26</v>
      </c>
    </row>
    <row r="782" spans="1:20" x14ac:dyDescent="0.3">
      <c r="A782" t="s">
        <v>20</v>
      </c>
      <c r="C782">
        <v>54.7</v>
      </c>
      <c r="D782">
        <v>1.82</v>
      </c>
      <c r="E782">
        <v>16.5</v>
      </c>
      <c r="F782">
        <v>83.2</v>
      </c>
      <c r="G782" t="s">
        <v>693</v>
      </c>
      <c r="H782">
        <v>193</v>
      </c>
      <c r="I782">
        <v>61</v>
      </c>
      <c r="J782">
        <v>133</v>
      </c>
      <c r="K782" t="s">
        <v>23</v>
      </c>
      <c r="L782" t="s">
        <v>23</v>
      </c>
      <c r="M782" t="s">
        <v>28</v>
      </c>
      <c r="N782">
        <v>0.45700000000000002</v>
      </c>
      <c r="O782">
        <v>150</v>
      </c>
      <c r="P782">
        <v>81</v>
      </c>
      <c r="Q782" t="s">
        <v>29</v>
      </c>
      <c r="R782">
        <v>102</v>
      </c>
      <c r="S782">
        <v>16.66</v>
      </c>
      <c r="T782" t="s">
        <v>26</v>
      </c>
    </row>
    <row r="783" spans="1:20" x14ac:dyDescent="0.3">
      <c r="A783" t="s">
        <v>31</v>
      </c>
      <c r="B783">
        <v>53</v>
      </c>
      <c r="C783">
        <v>62.7</v>
      </c>
      <c r="D783">
        <v>1.6</v>
      </c>
      <c r="E783">
        <v>24.5</v>
      </c>
      <c r="F783">
        <v>73.7</v>
      </c>
      <c r="G783" t="s">
        <v>694</v>
      </c>
      <c r="H783">
        <v>172</v>
      </c>
      <c r="I783">
        <v>73</v>
      </c>
      <c r="J783">
        <v>142</v>
      </c>
      <c r="K783" t="s">
        <v>23</v>
      </c>
      <c r="L783" t="s">
        <v>23</v>
      </c>
      <c r="M783" t="s">
        <v>28</v>
      </c>
      <c r="N783">
        <v>0.46100000000000002</v>
      </c>
      <c r="P783">
        <v>73</v>
      </c>
      <c r="Q783" t="s">
        <v>29</v>
      </c>
      <c r="R783">
        <v>69</v>
      </c>
      <c r="S783">
        <v>16.89</v>
      </c>
      <c r="T783" t="s">
        <v>30</v>
      </c>
    </row>
    <row r="784" spans="1:20" x14ac:dyDescent="0.3">
      <c r="A784" t="s">
        <v>20</v>
      </c>
      <c r="B784">
        <v>30</v>
      </c>
      <c r="C784">
        <v>68.599999999999994</v>
      </c>
      <c r="D784">
        <v>1.73</v>
      </c>
      <c r="E784">
        <v>22.9</v>
      </c>
      <c r="F784">
        <v>86.7</v>
      </c>
      <c r="G784" t="s">
        <v>100</v>
      </c>
      <c r="H784">
        <v>142</v>
      </c>
      <c r="I784">
        <v>59</v>
      </c>
      <c r="J784">
        <v>94</v>
      </c>
      <c r="K784" t="s">
        <v>22</v>
      </c>
      <c r="L784" t="s">
        <v>23</v>
      </c>
      <c r="M784" t="s">
        <v>28</v>
      </c>
      <c r="N784">
        <v>0.501</v>
      </c>
      <c r="O784">
        <v>142</v>
      </c>
      <c r="P784">
        <v>66</v>
      </c>
      <c r="Q784" t="s">
        <v>38</v>
      </c>
      <c r="R784">
        <v>53</v>
      </c>
      <c r="S784">
        <v>16.52</v>
      </c>
      <c r="T784" t="s">
        <v>52</v>
      </c>
    </row>
    <row r="785" spans="1:20" x14ac:dyDescent="0.3">
      <c r="A785" t="s">
        <v>31</v>
      </c>
      <c r="B785">
        <v>50</v>
      </c>
      <c r="C785">
        <v>95.3</v>
      </c>
      <c r="D785">
        <v>1.9</v>
      </c>
      <c r="E785">
        <v>26.4</v>
      </c>
      <c r="F785">
        <v>90</v>
      </c>
      <c r="G785" t="s">
        <v>695</v>
      </c>
      <c r="H785">
        <v>205</v>
      </c>
      <c r="I785">
        <v>38</v>
      </c>
      <c r="J785">
        <v>82</v>
      </c>
      <c r="K785" t="s">
        <v>22</v>
      </c>
      <c r="L785" t="s">
        <v>23</v>
      </c>
      <c r="M785" t="s">
        <v>37</v>
      </c>
      <c r="N785">
        <v>0.47399999999999998</v>
      </c>
      <c r="O785">
        <v>125</v>
      </c>
      <c r="P785">
        <v>90</v>
      </c>
      <c r="Q785" t="s">
        <v>38</v>
      </c>
      <c r="R785">
        <v>137</v>
      </c>
      <c r="S785">
        <v>17.63</v>
      </c>
      <c r="T785" t="s">
        <v>30</v>
      </c>
    </row>
    <row r="786" spans="1:20" x14ac:dyDescent="0.3">
      <c r="A786" t="s">
        <v>31</v>
      </c>
      <c r="B786">
        <v>31</v>
      </c>
      <c r="C786">
        <v>65.5</v>
      </c>
      <c r="D786">
        <v>1.8</v>
      </c>
      <c r="E786">
        <v>20.2</v>
      </c>
      <c r="F786">
        <v>79.2</v>
      </c>
      <c r="G786" t="s">
        <v>696</v>
      </c>
      <c r="H786">
        <v>266</v>
      </c>
      <c r="I786">
        <v>60</v>
      </c>
      <c r="J786">
        <v>111</v>
      </c>
      <c r="K786" t="s">
        <v>23</v>
      </c>
      <c r="L786" t="s">
        <v>23</v>
      </c>
      <c r="M786" t="s">
        <v>24</v>
      </c>
      <c r="N786">
        <v>0.44</v>
      </c>
      <c r="O786">
        <v>124</v>
      </c>
      <c r="P786">
        <v>61</v>
      </c>
      <c r="Q786" t="s">
        <v>25</v>
      </c>
      <c r="R786">
        <v>176</v>
      </c>
      <c r="S786">
        <v>17.559999999999999</v>
      </c>
      <c r="T786" t="s">
        <v>30</v>
      </c>
    </row>
    <row r="787" spans="1:20" x14ac:dyDescent="0.3">
      <c r="A787" t="s">
        <v>31</v>
      </c>
      <c r="B787">
        <v>43</v>
      </c>
      <c r="C787">
        <v>110.9</v>
      </c>
      <c r="D787">
        <v>1.83</v>
      </c>
      <c r="E787">
        <v>33.1</v>
      </c>
      <c r="F787">
        <v>90.5</v>
      </c>
      <c r="G787" t="s">
        <v>446</v>
      </c>
      <c r="H787">
        <v>160</v>
      </c>
      <c r="J787">
        <v>144</v>
      </c>
      <c r="K787" t="s">
        <v>22</v>
      </c>
      <c r="L787" t="s">
        <v>23</v>
      </c>
      <c r="M787" t="s">
        <v>37</v>
      </c>
      <c r="O787">
        <v>129</v>
      </c>
      <c r="P787">
        <v>61</v>
      </c>
      <c r="Q787" t="s">
        <v>25</v>
      </c>
      <c r="R787">
        <v>62</v>
      </c>
      <c r="S787">
        <v>18.27</v>
      </c>
      <c r="T787" t="s">
        <v>26</v>
      </c>
    </row>
    <row r="788" spans="1:20" x14ac:dyDescent="0.3">
      <c r="A788" t="s">
        <v>31</v>
      </c>
      <c r="B788">
        <v>55</v>
      </c>
      <c r="C788">
        <v>75.3</v>
      </c>
      <c r="D788">
        <v>1.66</v>
      </c>
      <c r="E788">
        <v>27.3</v>
      </c>
      <c r="F788">
        <v>76.3</v>
      </c>
      <c r="G788" t="s">
        <v>697</v>
      </c>
      <c r="H788">
        <v>122</v>
      </c>
      <c r="I788">
        <v>51</v>
      </c>
      <c r="J788">
        <v>81</v>
      </c>
      <c r="K788" t="s">
        <v>23</v>
      </c>
      <c r="L788" t="s">
        <v>23</v>
      </c>
      <c r="M788" t="s">
        <v>37</v>
      </c>
      <c r="N788">
        <v>0.46</v>
      </c>
      <c r="O788">
        <v>134</v>
      </c>
      <c r="P788">
        <v>90</v>
      </c>
      <c r="Q788" t="s">
        <v>29</v>
      </c>
      <c r="R788">
        <v>41</v>
      </c>
      <c r="T788" t="s">
        <v>30</v>
      </c>
    </row>
    <row r="789" spans="1:20" x14ac:dyDescent="0.3">
      <c r="A789" t="s">
        <v>20</v>
      </c>
      <c r="B789">
        <v>31</v>
      </c>
      <c r="C789">
        <v>92.3</v>
      </c>
      <c r="D789">
        <v>1.72</v>
      </c>
      <c r="E789">
        <v>31.2</v>
      </c>
      <c r="F789">
        <v>94</v>
      </c>
      <c r="G789" t="s">
        <v>698</v>
      </c>
      <c r="H789">
        <v>182</v>
      </c>
      <c r="I789">
        <v>60</v>
      </c>
      <c r="J789">
        <v>73</v>
      </c>
      <c r="K789" t="s">
        <v>22</v>
      </c>
      <c r="L789" t="s">
        <v>22</v>
      </c>
      <c r="M789" t="s">
        <v>37</v>
      </c>
      <c r="N789">
        <v>0.54700000000000004</v>
      </c>
      <c r="O789">
        <v>108</v>
      </c>
      <c r="P789">
        <v>71</v>
      </c>
      <c r="Q789" t="s">
        <v>33</v>
      </c>
      <c r="R789">
        <v>92</v>
      </c>
      <c r="S789">
        <v>15.28</v>
      </c>
      <c r="T789" t="s">
        <v>52</v>
      </c>
    </row>
    <row r="790" spans="1:20" x14ac:dyDescent="0.3">
      <c r="A790" t="s">
        <v>20</v>
      </c>
      <c r="B790">
        <v>42</v>
      </c>
      <c r="C790">
        <v>69.099999999999994</v>
      </c>
      <c r="E790">
        <v>19.600000000000001</v>
      </c>
      <c r="G790" t="s">
        <v>699</v>
      </c>
      <c r="H790">
        <v>263</v>
      </c>
      <c r="I790">
        <v>74</v>
      </c>
      <c r="J790">
        <v>94</v>
      </c>
      <c r="K790" t="s">
        <v>22</v>
      </c>
      <c r="L790" t="s">
        <v>22</v>
      </c>
      <c r="M790" t="s">
        <v>24</v>
      </c>
      <c r="N790">
        <v>0.54500000000000004</v>
      </c>
      <c r="O790">
        <v>92</v>
      </c>
      <c r="P790">
        <v>95</v>
      </c>
      <c r="Q790" t="s">
        <v>38</v>
      </c>
      <c r="S790">
        <v>13.78</v>
      </c>
      <c r="T790" t="s">
        <v>26</v>
      </c>
    </row>
    <row r="791" spans="1:20" x14ac:dyDescent="0.3">
      <c r="A791" t="s">
        <v>31</v>
      </c>
      <c r="B791">
        <v>50</v>
      </c>
      <c r="C791">
        <v>119</v>
      </c>
      <c r="D791">
        <v>1.64</v>
      </c>
      <c r="E791">
        <v>44.2</v>
      </c>
      <c r="F791">
        <v>70.900000000000006</v>
      </c>
      <c r="G791" t="s">
        <v>700</v>
      </c>
      <c r="H791">
        <v>188</v>
      </c>
      <c r="I791">
        <v>68</v>
      </c>
      <c r="J791">
        <v>113</v>
      </c>
      <c r="K791" t="s">
        <v>23</v>
      </c>
      <c r="L791" t="s">
        <v>23</v>
      </c>
      <c r="M791" t="s">
        <v>37</v>
      </c>
      <c r="N791">
        <v>0.432</v>
      </c>
      <c r="O791">
        <v>126</v>
      </c>
      <c r="P791">
        <v>77</v>
      </c>
      <c r="Q791" t="s">
        <v>25</v>
      </c>
      <c r="R791">
        <v>90</v>
      </c>
      <c r="T791" t="s">
        <v>30</v>
      </c>
    </row>
    <row r="792" spans="1:20" x14ac:dyDescent="0.3">
      <c r="A792" t="s">
        <v>20</v>
      </c>
      <c r="B792">
        <v>42</v>
      </c>
      <c r="C792">
        <v>114.2</v>
      </c>
      <c r="D792">
        <v>1.89</v>
      </c>
      <c r="E792">
        <v>32</v>
      </c>
      <c r="F792">
        <v>84.4</v>
      </c>
      <c r="G792" t="s">
        <v>701</v>
      </c>
      <c r="H792">
        <v>153</v>
      </c>
      <c r="I792">
        <v>68</v>
      </c>
      <c r="J792">
        <v>137</v>
      </c>
      <c r="K792" t="s">
        <v>22</v>
      </c>
      <c r="L792" t="s">
        <v>23</v>
      </c>
      <c r="M792" t="s">
        <v>28</v>
      </c>
      <c r="N792">
        <v>0.44700000000000001</v>
      </c>
      <c r="O792">
        <v>109</v>
      </c>
      <c r="P792">
        <v>91</v>
      </c>
      <c r="Q792" t="s">
        <v>38</v>
      </c>
      <c r="R792">
        <v>55</v>
      </c>
      <c r="S792">
        <v>16.91</v>
      </c>
      <c r="T792" t="s">
        <v>26</v>
      </c>
    </row>
    <row r="793" spans="1:20" x14ac:dyDescent="0.3">
      <c r="A793" t="s">
        <v>31</v>
      </c>
      <c r="B793">
        <v>56</v>
      </c>
      <c r="D793">
        <v>1.79</v>
      </c>
      <c r="E793">
        <v>22.7</v>
      </c>
      <c r="F793">
        <v>104.8</v>
      </c>
      <c r="G793" t="s">
        <v>475</v>
      </c>
      <c r="H793">
        <v>295</v>
      </c>
      <c r="I793">
        <v>57</v>
      </c>
      <c r="J793">
        <v>93</v>
      </c>
      <c r="K793" t="s">
        <v>22</v>
      </c>
      <c r="L793" t="s">
        <v>23</v>
      </c>
      <c r="M793" t="s">
        <v>37</v>
      </c>
      <c r="N793">
        <v>0.58499999999999996</v>
      </c>
      <c r="O793">
        <v>150</v>
      </c>
      <c r="P793">
        <v>97</v>
      </c>
      <c r="Q793" t="s">
        <v>38</v>
      </c>
      <c r="R793">
        <v>208</v>
      </c>
      <c r="S793">
        <v>19.940000000000001</v>
      </c>
      <c r="T793" t="s">
        <v>26</v>
      </c>
    </row>
    <row r="794" spans="1:20" x14ac:dyDescent="0.3">
      <c r="A794" t="s">
        <v>31</v>
      </c>
      <c r="B794">
        <v>54</v>
      </c>
      <c r="C794">
        <v>53.1</v>
      </c>
      <c r="D794">
        <v>1.73</v>
      </c>
      <c r="E794">
        <v>17.7</v>
      </c>
      <c r="F794">
        <v>103.3</v>
      </c>
      <c r="G794" t="s">
        <v>702</v>
      </c>
      <c r="I794">
        <v>71</v>
      </c>
      <c r="J794">
        <v>106</v>
      </c>
      <c r="K794" t="s">
        <v>23</v>
      </c>
      <c r="L794" t="s">
        <v>22</v>
      </c>
      <c r="M794" t="s">
        <v>37</v>
      </c>
      <c r="N794">
        <v>0.59699999999999998</v>
      </c>
      <c r="O794">
        <v>137</v>
      </c>
      <c r="P794">
        <v>65</v>
      </c>
      <c r="Q794" t="s">
        <v>29</v>
      </c>
      <c r="R794">
        <v>56</v>
      </c>
      <c r="S794">
        <v>13.53</v>
      </c>
      <c r="T794" t="s">
        <v>26</v>
      </c>
    </row>
    <row r="795" spans="1:20" x14ac:dyDescent="0.3">
      <c r="A795" t="s">
        <v>31</v>
      </c>
      <c r="C795">
        <v>94.9</v>
      </c>
      <c r="D795">
        <v>1.67</v>
      </c>
      <c r="E795">
        <v>34</v>
      </c>
      <c r="F795">
        <v>98.6</v>
      </c>
      <c r="G795" t="s">
        <v>703</v>
      </c>
      <c r="H795">
        <v>234</v>
      </c>
      <c r="J795">
        <v>148</v>
      </c>
      <c r="K795" t="s">
        <v>23</v>
      </c>
      <c r="L795" t="s">
        <v>22</v>
      </c>
      <c r="M795" t="s">
        <v>37</v>
      </c>
      <c r="N795">
        <v>0.59</v>
      </c>
      <c r="O795">
        <v>150</v>
      </c>
      <c r="P795">
        <v>86</v>
      </c>
      <c r="Q795" t="s">
        <v>29</v>
      </c>
      <c r="R795">
        <v>136</v>
      </c>
      <c r="S795">
        <v>18.98</v>
      </c>
      <c r="T795" t="s">
        <v>30</v>
      </c>
    </row>
    <row r="796" spans="1:20" x14ac:dyDescent="0.3">
      <c r="A796" t="s">
        <v>20</v>
      </c>
      <c r="B796">
        <v>48</v>
      </c>
      <c r="C796">
        <v>88.9</v>
      </c>
      <c r="D796">
        <v>1.88</v>
      </c>
      <c r="E796">
        <v>25.2</v>
      </c>
      <c r="F796">
        <v>97.9</v>
      </c>
      <c r="G796" t="s">
        <v>704</v>
      </c>
      <c r="H796">
        <v>234</v>
      </c>
      <c r="I796">
        <v>63</v>
      </c>
      <c r="J796">
        <v>96</v>
      </c>
      <c r="K796" t="s">
        <v>23</v>
      </c>
      <c r="L796" t="s">
        <v>23</v>
      </c>
      <c r="M796" t="s">
        <v>37</v>
      </c>
      <c r="N796">
        <v>0.52100000000000002</v>
      </c>
      <c r="O796">
        <v>110</v>
      </c>
      <c r="P796">
        <v>72</v>
      </c>
      <c r="Q796" t="s">
        <v>33</v>
      </c>
      <c r="R796">
        <v>141</v>
      </c>
      <c r="S796">
        <v>17.22</v>
      </c>
      <c r="T796" t="s">
        <v>30</v>
      </c>
    </row>
    <row r="797" spans="1:20" x14ac:dyDescent="0.3">
      <c r="A797" t="s">
        <v>31</v>
      </c>
      <c r="B797">
        <v>44</v>
      </c>
      <c r="C797">
        <v>86.5</v>
      </c>
      <c r="D797">
        <v>1.67</v>
      </c>
      <c r="E797">
        <v>31</v>
      </c>
      <c r="F797">
        <v>81.400000000000006</v>
      </c>
      <c r="G797" t="s">
        <v>705</v>
      </c>
      <c r="H797">
        <v>103</v>
      </c>
      <c r="I797">
        <v>58</v>
      </c>
      <c r="J797">
        <v>79</v>
      </c>
      <c r="K797" t="s">
        <v>23</v>
      </c>
      <c r="L797" t="s">
        <v>23</v>
      </c>
      <c r="M797" t="s">
        <v>37</v>
      </c>
      <c r="N797">
        <v>0.48699999999999999</v>
      </c>
      <c r="O797">
        <v>101</v>
      </c>
      <c r="P797">
        <v>73</v>
      </c>
      <c r="Q797" t="s">
        <v>33</v>
      </c>
      <c r="R797">
        <v>15</v>
      </c>
      <c r="S797">
        <v>15.31</v>
      </c>
      <c r="T797" t="s">
        <v>30</v>
      </c>
    </row>
    <row r="798" spans="1:20" x14ac:dyDescent="0.3">
      <c r="A798" t="s">
        <v>31</v>
      </c>
      <c r="B798">
        <v>42</v>
      </c>
      <c r="C798">
        <v>104.5</v>
      </c>
      <c r="D798">
        <v>1.66</v>
      </c>
      <c r="E798">
        <v>37.9</v>
      </c>
      <c r="F798">
        <v>90.2</v>
      </c>
      <c r="G798" t="s">
        <v>706</v>
      </c>
      <c r="H798">
        <v>125</v>
      </c>
      <c r="I798">
        <v>32</v>
      </c>
      <c r="J798">
        <v>134</v>
      </c>
      <c r="K798" t="s">
        <v>23</v>
      </c>
      <c r="L798" t="s">
        <v>23</v>
      </c>
      <c r="M798" t="s">
        <v>28</v>
      </c>
      <c r="N798">
        <v>0.54300000000000004</v>
      </c>
      <c r="O798">
        <v>123</v>
      </c>
      <c r="P798">
        <v>62</v>
      </c>
      <c r="Q798" t="s">
        <v>25</v>
      </c>
      <c r="R798">
        <v>63</v>
      </c>
      <c r="S798">
        <v>18.23</v>
      </c>
      <c r="T798" t="s">
        <v>30</v>
      </c>
    </row>
    <row r="799" spans="1:20" x14ac:dyDescent="0.3">
      <c r="A799" t="s">
        <v>20</v>
      </c>
      <c r="B799">
        <v>49</v>
      </c>
      <c r="C799">
        <v>58.5</v>
      </c>
      <c r="D799">
        <v>1.72</v>
      </c>
      <c r="E799">
        <v>19.8</v>
      </c>
      <c r="F799">
        <v>90.1</v>
      </c>
      <c r="G799" t="s">
        <v>707</v>
      </c>
      <c r="H799">
        <v>131</v>
      </c>
      <c r="I799">
        <v>62</v>
      </c>
      <c r="J799">
        <v>150</v>
      </c>
      <c r="K799" t="s">
        <v>23</v>
      </c>
      <c r="L799" t="s">
        <v>22</v>
      </c>
      <c r="M799" t="s">
        <v>37</v>
      </c>
      <c r="N799">
        <v>0.52400000000000002</v>
      </c>
      <c r="O799">
        <v>150</v>
      </c>
      <c r="P799">
        <v>79</v>
      </c>
      <c r="Q799" t="s">
        <v>38</v>
      </c>
      <c r="R799">
        <v>39</v>
      </c>
      <c r="S799">
        <v>14.08</v>
      </c>
      <c r="T799" t="s">
        <v>26</v>
      </c>
    </row>
    <row r="800" spans="1:20" x14ac:dyDescent="0.3">
      <c r="A800" t="s">
        <v>20</v>
      </c>
      <c r="B800">
        <v>54</v>
      </c>
      <c r="C800">
        <v>119.8</v>
      </c>
      <c r="D800">
        <v>1.62</v>
      </c>
      <c r="E800">
        <v>45.6</v>
      </c>
      <c r="F800">
        <v>103.9</v>
      </c>
      <c r="G800" t="s">
        <v>708</v>
      </c>
      <c r="H800">
        <v>185</v>
      </c>
      <c r="I800">
        <v>38</v>
      </c>
      <c r="J800">
        <v>85</v>
      </c>
      <c r="K800" t="s">
        <v>23</v>
      </c>
      <c r="L800" t="s">
        <v>22</v>
      </c>
      <c r="M800" t="s">
        <v>24</v>
      </c>
      <c r="N800">
        <v>0.64100000000000001</v>
      </c>
      <c r="O800">
        <v>129</v>
      </c>
      <c r="P800">
        <v>98</v>
      </c>
      <c r="Q800" t="s">
        <v>38</v>
      </c>
      <c r="R800">
        <v>117</v>
      </c>
      <c r="S800">
        <v>19.27</v>
      </c>
      <c r="T800" t="s">
        <v>30</v>
      </c>
    </row>
    <row r="801" spans="1:20" x14ac:dyDescent="0.3">
      <c r="A801" t="s">
        <v>31</v>
      </c>
      <c r="B801">
        <v>49</v>
      </c>
      <c r="D801">
        <v>1.63</v>
      </c>
      <c r="E801">
        <v>23.1</v>
      </c>
      <c r="F801">
        <v>93.8</v>
      </c>
      <c r="G801" t="s">
        <v>709</v>
      </c>
      <c r="H801">
        <v>191</v>
      </c>
      <c r="I801">
        <v>79</v>
      </c>
      <c r="J801">
        <v>117</v>
      </c>
      <c r="K801" t="s">
        <v>23</v>
      </c>
      <c r="L801" t="s">
        <v>23</v>
      </c>
      <c r="M801" t="s">
        <v>37</v>
      </c>
      <c r="N801">
        <v>0.57499999999999996</v>
      </c>
      <c r="O801">
        <v>144</v>
      </c>
      <c r="Q801" t="s">
        <v>38</v>
      </c>
      <c r="R801">
        <v>82</v>
      </c>
      <c r="S801">
        <v>17.64</v>
      </c>
      <c r="T801" t="s">
        <v>30</v>
      </c>
    </row>
    <row r="802" spans="1:20" x14ac:dyDescent="0.3">
      <c r="A802" t="s">
        <v>20</v>
      </c>
      <c r="B802">
        <v>52</v>
      </c>
      <c r="C802">
        <v>50.2</v>
      </c>
      <c r="D802">
        <v>1.65</v>
      </c>
      <c r="E802">
        <v>18.399999999999999</v>
      </c>
      <c r="F802">
        <v>80.099999999999994</v>
      </c>
      <c r="G802" t="s">
        <v>710</v>
      </c>
      <c r="H802">
        <v>257</v>
      </c>
      <c r="I802">
        <v>78</v>
      </c>
      <c r="J802">
        <v>104</v>
      </c>
      <c r="K802" t="s">
        <v>22</v>
      </c>
      <c r="L802" t="s">
        <v>22</v>
      </c>
      <c r="M802" t="s">
        <v>24</v>
      </c>
      <c r="N802">
        <v>0.48499999999999999</v>
      </c>
      <c r="O802">
        <v>108</v>
      </c>
      <c r="P802">
        <v>73</v>
      </c>
      <c r="Q802" t="s">
        <v>33</v>
      </c>
      <c r="R802">
        <v>149</v>
      </c>
      <c r="S802">
        <v>14.22</v>
      </c>
      <c r="T802" t="s">
        <v>30</v>
      </c>
    </row>
    <row r="803" spans="1:20" x14ac:dyDescent="0.3">
      <c r="A803" t="s">
        <v>31</v>
      </c>
      <c r="B803">
        <v>54</v>
      </c>
      <c r="C803">
        <v>114.1</v>
      </c>
      <c r="D803">
        <v>1.61</v>
      </c>
      <c r="E803">
        <v>44</v>
      </c>
      <c r="F803">
        <v>107.2</v>
      </c>
      <c r="G803" t="s">
        <v>711</v>
      </c>
      <c r="H803">
        <v>279</v>
      </c>
      <c r="I803">
        <v>49</v>
      </c>
      <c r="J803">
        <v>75</v>
      </c>
      <c r="K803" t="s">
        <v>23</v>
      </c>
      <c r="L803" t="s">
        <v>22</v>
      </c>
      <c r="M803" t="s">
        <v>24</v>
      </c>
      <c r="N803">
        <v>0.66600000000000004</v>
      </c>
      <c r="O803">
        <v>134</v>
      </c>
      <c r="P803">
        <v>88</v>
      </c>
      <c r="Q803" t="s">
        <v>29</v>
      </c>
      <c r="R803">
        <v>200</v>
      </c>
      <c r="S803">
        <v>21.08</v>
      </c>
      <c r="T803" t="s">
        <v>30</v>
      </c>
    </row>
    <row r="804" spans="1:20" x14ac:dyDescent="0.3">
      <c r="A804" t="s">
        <v>20</v>
      </c>
      <c r="B804">
        <v>51</v>
      </c>
      <c r="D804">
        <v>1.64</v>
      </c>
      <c r="E804">
        <v>27.4</v>
      </c>
      <c r="F804">
        <v>75</v>
      </c>
      <c r="G804" t="s">
        <v>712</v>
      </c>
      <c r="H804">
        <v>235</v>
      </c>
      <c r="J804">
        <v>146</v>
      </c>
      <c r="K804" t="s">
        <v>23</v>
      </c>
      <c r="L804" t="s">
        <v>22</v>
      </c>
      <c r="M804" t="s">
        <v>24</v>
      </c>
      <c r="N804">
        <v>0.45700000000000002</v>
      </c>
      <c r="O804">
        <v>149</v>
      </c>
      <c r="P804">
        <v>92</v>
      </c>
      <c r="Q804" t="s">
        <v>38</v>
      </c>
      <c r="R804">
        <v>128</v>
      </c>
      <c r="S804">
        <v>17.63</v>
      </c>
      <c r="T804" t="s">
        <v>30</v>
      </c>
    </row>
    <row r="805" spans="1:20" x14ac:dyDescent="0.3">
      <c r="A805" t="s">
        <v>20</v>
      </c>
      <c r="B805">
        <v>45</v>
      </c>
      <c r="C805">
        <v>107.4</v>
      </c>
      <c r="D805">
        <v>1.63</v>
      </c>
      <c r="E805">
        <v>40.4</v>
      </c>
      <c r="F805">
        <v>102.3</v>
      </c>
      <c r="G805" t="s">
        <v>713</v>
      </c>
      <c r="H805">
        <v>247</v>
      </c>
      <c r="I805">
        <v>52</v>
      </c>
      <c r="J805">
        <v>82</v>
      </c>
      <c r="K805" t="s">
        <v>23</v>
      </c>
      <c r="L805" t="s">
        <v>22</v>
      </c>
      <c r="M805" t="s">
        <v>28</v>
      </c>
      <c r="N805">
        <v>0.628</v>
      </c>
      <c r="O805">
        <v>140</v>
      </c>
      <c r="P805">
        <v>77</v>
      </c>
      <c r="Q805" t="s">
        <v>38</v>
      </c>
      <c r="R805">
        <v>165</v>
      </c>
      <c r="S805">
        <v>20.02</v>
      </c>
      <c r="T805" t="s">
        <v>30</v>
      </c>
    </row>
    <row r="806" spans="1:20" x14ac:dyDescent="0.3">
      <c r="A806" t="s">
        <v>31</v>
      </c>
      <c r="B806">
        <v>43</v>
      </c>
      <c r="C806">
        <v>111.9</v>
      </c>
      <c r="D806">
        <v>1.81</v>
      </c>
      <c r="E806">
        <v>34.200000000000003</v>
      </c>
      <c r="F806">
        <v>75.900000000000006</v>
      </c>
      <c r="G806" t="s">
        <v>714</v>
      </c>
      <c r="H806">
        <v>136</v>
      </c>
      <c r="I806">
        <v>66</v>
      </c>
      <c r="K806" t="s">
        <v>23</v>
      </c>
      <c r="L806" t="s">
        <v>22</v>
      </c>
      <c r="M806" t="s">
        <v>37</v>
      </c>
      <c r="N806">
        <v>0.41899999999999998</v>
      </c>
      <c r="O806">
        <v>142</v>
      </c>
      <c r="P806">
        <v>88</v>
      </c>
      <c r="Q806" t="s">
        <v>29</v>
      </c>
      <c r="R806">
        <v>40</v>
      </c>
      <c r="S806">
        <v>16.66</v>
      </c>
      <c r="T806" t="s">
        <v>26</v>
      </c>
    </row>
    <row r="807" spans="1:20" x14ac:dyDescent="0.3">
      <c r="A807" t="s">
        <v>20</v>
      </c>
      <c r="B807">
        <v>37</v>
      </c>
      <c r="C807">
        <v>75.2</v>
      </c>
      <c r="D807">
        <v>1.8</v>
      </c>
      <c r="E807">
        <v>23.2</v>
      </c>
      <c r="G807" t="s">
        <v>312</v>
      </c>
      <c r="H807">
        <v>187</v>
      </c>
      <c r="I807">
        <v>49</v>
      </c>
      <c r="J807">
        <v>113</v>
      </c>
      <c r="K807" t="s">
        <v>23</v>
      </c>
      <c r="L807" t="s">
        <v>22</v>
      </c>
      <c r="M807" t="s">
        <v>37</v>
      </c>
      <c r="N807">
        <v>0.59799999999999998</v>
      </c>
      <c r="O807">
        <v>108</v>
      </c>
      <c r="P807">
        <v>67</v>
      </c>
      <c r="Q807" t="s">
        <v>33</v>
      </c>
      <c r="R807">
        <v>108</v>
      </c>
      <c r="T807" t="s">
        <v>26</v>
      </c>
    </row>
    <row r="808" spans="1:20" x14ac:dyDescent="0.3">
      <c r="A808" t="s">
        <v>31</v>
      </c>
      <c r="B808">
        <v>50</v>
      </c>
      <c r="C808">
        <v>65.5</v>
      </c>
      <c r="D808">
        <v>1.63</v>
      </c>
      <c r="E808">
        <v>24.7</v>
      </c>
      <c r="F808">
        <v>74.599999999999994</v>
      </c>
      <c r="G808" t="s">
        <v>715</v>
      </c>
      <c r="H808">
        <v>166</v>
      </c>
      <c r="I808">
        <v>41</v>
      </c>
      <c r="J808">
        <v>107</v>
      </c>
      <c r="K808" t="s">
        <v>23</v>
      </c>
      <c r="L808" t="s">
        <v>23</v>
      </c>
      <c r="M808" t="s">
        <v>37</v>
      </c>
      <c r="N808">
        <v>0.45800000000000002</v>
      </c>
      <c r="O808">
        <v>123</v>
      </c>
      <c r="P808">
        <v>99</v>
      </c>
      <c r="Q808" t="s">
        <v>38</v>
      </c>
      <c r="R808">
        <v>95</v>
      </c>
      <c r="S808">
        <v>16.41</v>
      </c>
      <c r="T808" t="s">
        <v>26</v>
      </c>
    </row>
    <row r="809" spans="1:20" x14ac:dyDescent="0.3">
      <c r="A809" t="s">
        <v>20</v>
      </c>
      <c r="B809">
        <v>55</v>
      </c>
      <c r="C809">
        <v>115.3</v>
      </c>
      <c r="E809">
        <v>32.299999999999997</v>
      </c>
      <c r="F809">
        <v>85.6</v>
      </c>
      <c r="G809" t="s">
        <v>626</v>
      </c>
      <c r="H809">
        <v>192</v>
      </c>
      <c r="I809">
        <v>55</v>
      </c>
      <c r="J809">
        <v>83</v>
      </c>
      <c r="K809" t="s">
        <v>22</v>
      </c>
      <c r="L809" t="s">
        <v>23</v>
      </c>
      <c r="M809" t="s">
        <v>24</v>
      </c>
      <c r="N809">
        <v>0.45300000000000001</v>
      </c>
      <c r="O809">
        <v>113</v>
      </c>
      <c r="P809">
        <v>98</v>
      </c>
      <c r="Q809" t="s">
        <v>38</v>
      </c>
      <c r="R809">
        <v>107</v>
      </c>
      <c r="S809">
        <v>17.95</v>
      </c>
      <c r="T809" t="s">
        <v>30</v>
      </c>
    </row>
    <row r="810" spans="1:20" x14ac:dyDescent="0.3">
      <c r="A810" t="s">
        <v>20</v>
      </c>
      <c r="B810">
        <v>48</v>
      </c>
      <c r="C810">
        <v>106.8</v>
      </c>
      <c r="D810">
        <v>1.79</v>
      </c>
      <c r="E810">
        <v>33.299999999999997</v>
      </c>
      <c r="F810">
        <v>93.2</v>
      </c>
      <c r="G810" t="s">
        <v>716</v>
      </c>
      <c r="H810">
        <v>150</v>
      </c>
      <c r="I810">
        <v>61</v>
      </c>
      <c r="J810">
        <v>91</v>
      </c>
      <c r="K810" t="s">
        <v>22</v>
      </c>
      <c r="L810" t="s">
        <v>23</v>
      </c>
      <c r="M810" t="s">
        <v>37</v>
      </c>
      <c r="N810">
        <v>0.52100000000000002</v>
      </c>
      <c r="O810">
        <v>110</v>
      </c>
      <c r="P810">
        <v>64</v>
      </c>
      <c r="Q810" t="s">
        <v>33</v>
      </c>
      <c r="R810">
        <v>59</v>
      </c>
      <c r="S810">
        <v>17.16</v>
      </c>
      <c r="T810" t="s">
        <v>26</v>
      </c>
    </row>
    <row r="811" spans="1:20" x14ac:dyDescent="0.3">
      <c r="A811" t="s">
        <v>31</v>
      </c>
      <c r="B811">
        <v>48</v>
      </c>
      <c r="C811">
        <v>71.099999999999994</v>
      </c>
      <c r="D811">
        <v>1.74</v>
      </c>
      <c r="E811">
        <v>23.5</v>
      </c>
      <c r="F811">
        <v>71.7</v>
      </c>
      <c r="G811" t="s">
        <v>717</v>
      </c>
      <c r="H811">
        <v>226</v>
      </c>
      <c r="I811">
        <v>66</v>
      </c>
      <c r="J811">
        <v>114</v>
      </c>
      <c r="K811" t="s">
        <v>22</v>
      </c>
      <c r="L811" t="s">
        <v>22</v>
      </c>
      <c r="M811" t="s">
        <v>24</v>
      </c>
      <c r="N811">
        <v>0.41199999999999998</v>
      </c>
      <c r="O811">
        <v>99</v>
      </c>
      <c r="P811">
        <v>62</v>
      </c>
      <c r="Q811" t="s">
        <v>33</v>
      </c>
      <c r="R811">
        <v>130</v>
      </c>
      <c r="S811">
        <v>14.17</v>
      </c>
      <c r="T811" t="s">
        <v>30</v>
      </c>
    </row>
    <row r="812" spans="1:20" x14ac:dyDescent="0.3">
      <c r="A812" t="s">
        <v>31</v>
      </c>
      <c r="B812">
        <v>43</v>
      </c>
      <c r="C812">
        <v>73.5</v>
      </c>
      <c r="D812">
        <v>1.62</v>
      </c>
      <c r="E812">
        <v>28</v>
      </c>
      <c r="F812">
        <v>86.7</v>
      </c>
      <c r="G812" t="s">
        <v>666</v>
      </c>
      <c r="H812">
        <v>200</v>
      </c>
      <c r="I812">
        <v>62</v>
      </c>
      <c r="J812">
        <v>100</v>
      </c>
      <c r="K812" t="s">
        <v>22</v>
      </c>
      <c r="L812" t="s">
        <v>22</v>
      </c>
      <c r="M812" t="s">
        <v>28</v>
      </c>
      <c r="N812">
        <v>0.53500000000000003</v>
      </c>
      <c r="O812">
        <v>111</v>
      </c>
      <c r="P812">
        <v>87</v>
      </c>
      <c r="Q812" t="s">
        <v>29</v>
      </c>
      <c r="R812">
        <v>108</v>
      </c>
      <c r="S812">
        <v>15.15</v>
      </c>
      <c r="T812" t="s">
        <v>52</v>
      </c>
    </row>
    <row r="813" spans="1:20" x14ac:dyDescent="0.3">
      <c r="A813" t="s">
        <v>31</v>
      </c>
      <c r="B813">
        <v>49</v>
      </c>
      <c r="C813">
        <v>51.6</v>
      </c>
      <c r="D813">
        <v>1.77</v>
      </c>
      <c r="E813">
        <v>16.5</v>
      </c>
      <c r="F813">
        <v>91.7</v>
      </c>
      <c r="G813" t="s">
        <v>718</v>
      </c>
      <c r="H813">
        <v>289</v>
      </c>
      <c r="I813">
        <v>62</v>
      </c>
      <c r="J813">
        <v>83</v>
      </c>
      <c r="K813" t="s">
        <v>22</v>
      </c>
      <c r="L813" t="s">
        <v>23</v>
      </c>
      <c r="M813" t="s">
        <v>37</v>
      </c>
      <c r="N813">
        <v>0.51800000000000002</v>
      </c>
      <c r="O813">
        <v>98</v>
      </c>
      <c r="P813">
        <v>65</v>
      </c>
      <c r="Q813" t="s">
        <v>33</v>
      </c>
      <c r="R813">
        <v>197</v>
      </c>
      <c r="S813">
        <v>15.98</v>
      </c>
      <c r="T813" t="s">
        <v>30</v>
      </c>
    </row>
    <row r="814" spans="1:20" x14ac:dyDescent="0.3">
      <c r="A814" t="s">
        <v>20</v>
      </c>
      <c r="C814">
        <v>73.400000000000006</v>
      </c>
      <c r="D814">
        <v>1.65</v>
      </c>
      <c r="E814">
        <v>27</v>
      </c>
      <c r="F814">
        <v>78.099999999999994</v>
      </c>
      <c r="G814" t="s">
        <v>655</v>
      </c>
      <c r="H814">
        <v>135</v>
      </c>
      <c r="I814">
        <v>60</v>
      </c>
      <c r="J814">
        <v>150</v>
      </c>
      <c r="K814" t="s">
        <v>22</v>
      </c>
      <c r="L814" t="s">
        <v>22</v>
      </c>
      <c r="M814" t="s">
        <v>28</v>
      </c>
      <c r="N814">
        <v>0.47299999999999998</v>
      </c>
      <c r="O814">
        <v>90</v>
      </c>
      <c r="P814">
        <v>74</v>
      </c>
      <c r="Q814" t="s">
        <v>33</v>
      </c>
      <c r="R814">
        <v>45</v>
      </c>
      <c r="S814">
        <v>12.6</v>
      </c>
      <c r="T814" t="s">
        <v>52</v>
      </c>
    </row>
    <row r="815" spans="1:20" x14ac:dyDescent="0.3">
      <c r="A815" t="s">
        <v>20</v>
      </c>
      <c r="B815">
        <v>40</v>
      </c>
      <c r="C815">
        <v>107.5</v>
      </c>
      <c r="D815">
        <v>1.63</v>
      </c>
      <c r="E815">
        <v>40.5</v>
      </c>
      <c r="F815">
        <v>87.3</v>
      </c>
      <c r="G815" t="s">
        <v>719</v>
      </c>
      <c r="H815">
        <v>289</v>
      </c>
      <c r="I815">
        <v>41</v>
      </c>
      <c r="J815">
        <v>80</v>
      </c>
      <c r="K815" t="s">
        <v>22</v>
      </c>
      <c r="L815" t="s">
        <v>23</v>
      </c>
      <c r="M815" t="s">
        <v>28</v>
      </c>
      <c r="N815">
        <v>0.53600000000000003</v>
      </c>
      <c r="O815">
        <v>104</v>
      </c>
      <c r="P815">
        <v>70</v>
      </c>
      <c r="Q815" t="s">
        <v>33</v>
      </c>
      <c r="S815">
        <v>21.08</v>
      </c>
      <c r="T815" t="s">
        <v>26</v>
      </c>
    </row>
    <row r="816" spans="1:20" x14ac:dyDescent="0.3">
      <c r="A816" t="s">
        <v>31</v>
      </c>
      <c r="B816">
        <v>37</v>
      </c>
      <c r="C816">
        <v>67.900000000000006</v>
      </c>
      <c r="D816">
        <v>1.61</v>
      </c>
      <c r="E816">
        <v>26.2</v>
      </c>
      <c r="F816">
        <v>79.3</v>
      </c>
      <c r="G816" t="s">
        <v>720</v>
      </c>
      <c r="H816">
        <v>122</v>
      </c>
      <c r="I816">
        <v>74</v>
      </c>
      <c r="J816">
        <v>95</v>
      </c>
      <c r="K816" t="s">
        <v>23</v>
      </c>
      <c r="L816" t="s">
        <v>23</v>
      </c>
      <c r="M816" t="s">
        <v>24</v>
      </c>
      <c r="N816">
        <v>0.49299999999999999</v>
      </c>
      <c r="O816">
        <v>147</v>
      </c>
      <c r="P816">
        <v>71</v>
      </c>
      <c r="Q816" t="s">
        <v>38</v>
      </c>
      <c r="S816">
        <v>17.03</v>
      </c>
      <c r="T816" t="s">
        <v>30</v>
      </c>
    </row>
    <row r="817" spans="1:20" x14ac:dyDescent="0.3">
      <c r="A817" t="s">
        <v>20</v>
      </c>
      <c r="B817">
        <v>40</v>
      </c>
      <c r="C817">
        <v>63.2</v>
      </c>
      <c r="D817">
        <v>1.89</v>
      </c>
      <c r="E817">
        <v>17.7</v>
      </c>
      <c r="F817">
        <v>73.099999999999994</v>
      </c>
      <c r="G817" t="s">
        <v>721</v>
      </c>
      <c r="H817">
        <v>252</v>
      </c>
      <c r="I817">
        <v>63</v>
      </c>
      <c r="J817">
        <v>130</v>
      </c>
      <c r="K817" t="s">
        <v>22</v>
      </c>
      <c r="L817" t="s">
        <v>23</v>
      </c>
      <c r="M817" t="s">
        <v>37</v>
      </c>
      <c r="N817">
        <v>0.38700000000000001</v>
      </c>
      <c r="O817">
        <v>95</v>
      </c>
      <c r="P817">
        <v>90</v>
      </c>
      <c r="Q817" t="s">
        <v>38</v>
      </c>
      <c r="R817">
        <v>159</v>
      </c>
      <c r="S817">
        <v>15.33</v>
      </c>
      <c r="T817" t="s">
        <v>26</v>
      </c>
    </row>
    <row r="818" spans="1:20" x14ac:dyDescent="0.3">
      <c r="A818" t="s">
        <v>31</v>
      </c>
      <c r="B818">
        <v>53</v>
      </c>
      <c r="C818">
        <v>108</v>
      </c>
      <c r="D818">
        <v>1.89</v>
      </c>
      <c r="E818">
        <v>30.2</v>
      </c>
      <c r="F818">
        <v>86</v>
      </c>
      <c r="G818" t="s">
        <v>722</v>
      </c>
      <c r="H818">
        <v>261</v>
      </c>
      <c r="I818">
        <v>68</v>
      </c>
      <c r="J818">
        <v>109</v>
      </c>
      <c r="K818" t="s">
        <v>22</v>
      </c>
      <c r="L818" t="s">
        <v>22</v>
      </c>
      <c r="M818" t="s">
        <v>24</v>
      </c>
      <c r="N818">
        <v>0.45500000000000002</v>
      </c>
      <c r="O818">
        <v>141</v>
      </c>
      <c r="P818">
        <v>62</v>
      </c>
      <c r="Q818" t="s">
        <v>38</v>
      </c>
      <c r="R818">
        <v>163</v>
      </c>
      <c r="S818">
        <v>18.309999999999999</v>
      </c>
      <c r="T818" t="s">
        <v>30</v>
      </c>
    </row>
    <row r="819" spans="1:20" x14ac:dyDescent="0.3">
      <c r="A819" t="s">
        <v>20</v>
      </c>
      <c r="B819">
        <v>32</v>
      </c>
      <c r="C819">
        <v>54</v>
      </c>
      <c r="D819">
        <v>1.63</v>
      </c>
      <c r="E819">
        <v>20.3</v>
      </c>
      <c r="F819">
        <v>108.3</v>
      </c>
      <c r="G819" t="s">
        <v>723</v>
      </c>
      <c r="H819">
        <v>288</v>
      </c>
      <c r="I819">
        <v>62</v>
      </c>
      <c r="J819">
        <v>76</v>
      </c>
      <c r="K819" t="s">
        <v>22</v>
      </c>
      <c r="L819" t="s">
        <v>22</v>
      </c>
      <c r="M819" t="s">
        <v>24</v>
      </c>
      <c r="N819">
        <v>0.66400000000000003</v>
      </c>
      <c r="O819">
        <v>103</v>
      </c>
      <c r="P819">
        <v>63</v>
      </c>
      <c r="Q819" t="s">
        <v>33</v>
      </c>
      <c r="R819">
        <v>196</v>
      </c>
      <c r="S819">
        <v>14.97</v>
      </c>
      <c r="T819" t="s">
        <v>26</v>
      </c>
    </row>
    <row r="820" spans="1:20" x14ac:dyDescent="0.3">
      <c r="A820" t="s">
        <v>31</v>
      </c>
      <c r="B820">
        <v>47</v>
      </c>
      <c r="C820">
        <v>61.2</v>
      </c>
      <c r="D820">
        <v>1.7</v>
      </c>
      <c r="E820">
        <v>21.2</v>
      </c>
      <c r="F820">
        <v>92.6</v>
      </c>
      <c r="G820" t="s">
        <v>724</v>
      </c>
      <c r="H820">
        <v>209</v>
      </c>
      <c r="I820">
        <v>65</v>
      </c>
      <c r="J820">
        <v>121</v>
      </c>
      <c r="K820" t="s">
        <v>23</v>
      </c>
      <c r="L820" t="s">
        <v>23</v>
      </c>
      <c r="M820" t="s">
        <v>37</v>
      </c>
      <c r="N820">
        <v>0.54500000000000004</v>
      </c>
      <c r="O820">
        <v>98</v>
      </c>
      <c r="P820">
        <v>89</v>
      </c>
      <c r="Q820" t="s">
        <v>29</v>
      </c>
      <c r="R820">
        <v>114</v>
      </c>
      <c r="T820" t="s">
        <v>30</v>
      </c>
    </row>
    <row r="821" spans="1:20" x14ac:dyDescent="0.3">
      <c r="A821" t="s">
        <v>20</v>
      </c>
      <c r="B821">
        <v>46</v>
      </c>
      <c r="C821">
        <v>67.3</v>
      </c>
      <c r="D821">
        <v>1.86</v>
      </c>
      <c r="E821">
        <v>19.5</v>
      </c>
      <c r="F821">
        <v>82.6</v>
      </c>
      <c r="G821" t="s">
        <v>725</v>
      </c>
      <c r="H821">
        <v>279</v>
      </c>
      <c r="I821">
        <v>73</v>
      </c>
      <c r="J821">
        <v>82</v>
      </c>
      <c r="K821" t="s">
        <v>23</v>
      </c>
      <c r="L821" t="s">
        <v>23</v>
      </c>
      <c r="M821" t="s">
        <v>37</v>
      </c>
      <c r="N821">
        <v>0.44400000000000001</v>
      </c>
      <c r="O821">
        <v>130</v>
      </c>
      <c r="P821">
        <v>93</v>
      </c>
      <c r="Q821" t="s">
        <v>29</v>
      </c>
      <c r="R821">
        <v>176</v>
      </c>
      <c r="S821">
        <v>17.98</v>
      </c>
      <c r="T821" t="s">
        <v>30</v>
      </c>
    </row>
    <row r="822" spans="1:20" x14ac:dyDescent="0.3">
      <c r="A822" t="s">
        <v>31</v>
      </c>
      <c r="B822">
        <v>42</v>
      </c>
      <c r="C822">
        <v>116.5</v>
      </c>
      <c r="D822">
        <v>1.62</v>
      </c>
      <c r="E822">
        <v>44.4</v>
      </c>
      <c r="F822">
        <v>103.3</v>
      </c>
      <c r="G822" t="s">
        <v>726</v>
      </c>
      <c r="H822">
        <v>113</v>
      </c>
      <c r="I822">
        <v>62</v>
      </c>
      <c r="J822">
        <v>110</v>
      </c>
      <c r="K822" t="s">
        <v>22</v>
      </c>
      <c r="L822" t="s">
        <v>23</v>
      </c>
      <c r="M822" t="s">
        <v>24</v>
      </c>
      <c r="N822">
        <v>0.63800000000000001</v>
      </c>
      <c r="O822">
        <v>139</v>
      </c>
      <c r="P822">
        <v>62</v>
      </c>
      <c r="Q822" t="s">
        <v>29</v>
      </c>
      <c r="R822">
        <v>21</v>
      </c>
      <c r="S822">
        <v>20.09</v>
      </c>
      <c r="T822" t="s">
        <v>26</v>
      </c>
    </row>
    <row r="823" spans="1:20" x14ac:dyDescent="0.3">
      <c r="A823" t="s">
        <v>20</v>
      </c>
      <c r="C823">
        <v>118.5</v>
      </c>
      <c r="D823">
        <v>1.77</v>
      </c>
      <c r="E823">
        <v>37.799999999999997</v>
      </c>
      <c r="F823">
        <v>91.7</v>
      </c>
      <c r="G823" t="s">
        <v>727</v>
      </c>
      <c r="H823">
        <v>185</v>
      </c>
      <c r="I823">
        <v>30</v>
      </c>
      <c r="J823">
        <v>123</v>
      </c>
      <c r="K823" t="s">
        <v>22</v>
      </c>
      <c r="L823" t="s">
        <v>23</v>
      </c>
      <c r="M823" t="s">
        <v>24</v>
      </c>
      <c r="N823">
        <v>0.51800000000000002</v>
      </c>
      <c r="O823">
        <v>121</v>
      </c>
      <c r="P823">
        <v>84</v>
      </c>
      <c r="Q823" t="s">
        <v>29</v>
      </c>
      <c r="R823">
        <v>125</v>
      </c>
      <c r="S823">
        <v>19.309999999999999</v>
      </c>
      <c r="T823" t="s">
        <v>30</v>
      </c>
    </row>
    <row r="824" spans="1:20" x14ac:dyDescent="0.3">
      <c r="A824" t="s">
        <v>31</v>
      </c>
      <c r="B824">
        <v>41</v>
      </c>
      <c r="C824">
        <v>66.8</v>
      </c>
      <c r="D824">
        <v>1.68</v>
      </c>
      <c r="E824">
        <v>23.7</v>
      </c>
      <c r="F824">
        <v>76.2</v>
      </c>
      <c r="G824" t="s">
        <v>728</v>
      </c>
      <c r="H824">
        <v>204</v>
      </c>
      <c r="I824">
        <v>55</v>
      </c>
      <c r="J824">
        <v>75</v>
      </c>
      <c r="K824" t="s">
        <v>22</v>
      </c>
      <c r="L824" t="s">
        <v>23</v>
      </c>
      <c r="M824" t="s">
        <v>24</v>
      </c>
      <c r="N824">
        <v>0.45400000000000001</v>
      </c>
      <c r="P824">
        <v>78</v>
      </c>
      <c r="Q824" t="s">
        <v>29</v>
      </c>
      <c r="R824">
        <v>119</v>
      </c>
      <c r="S824">
        <v>17.62</v>
      </c>
      <c r="T824" t="s">
        <v>26</v>
      </c>
    </row>
    <row r="825" spans="1:20" x14ac:dyDescent="0.3">
      <c r="A825" t="s">
        <v>31</v>
      </c>
      <c r="B825">
        <v>39</v>
      </c>
      <c r="C825">
        <v>102.5</v>
      </c>
      <c r="D825">
        <v>1.84</v>
      </c>
      <c r="E825">
        <v>30.3</v>
      </c>
      <c r="F825">
        <v>84</v>
      </c>
      <c r="G825" t="s">
        <v>614</v>
      </c>
      <c r="H825">
        <v>292</v>
      </c>
      <c r="I825">
        <v>38</v>
      </c>
      <c r="K825" t="s">
        <v>22</v>
      </c>
      <c r="L825" t="s">
        <v>22</v>
      </c>
      <c r="M825" t="s">
        <v>37</v>
      </c>
      <c r="N825">
        <v>0.45700000000000002</v>
      </c>
      <c r="O825">
        <v>134</v>
      </c>
      <c r="P825">
        <v>60</v>
      </c>
      <c r="Q825" t="s">
        <v>29</v>
      </c>
      <c r="R825">
        <v>224</v>
      </c>
      <c r="S825">
        <v>18.600000000000001</v>
      </c>
      <c r="T825" t="s">
        <v>26</v>
      </c>
    </row>
    <row r="826" spans="1:20" x14ac:dyDescent="0.3">
      <c r="A826" t="s">
        <v>31</v>
      </c>
      <c r="B826">
        <v>56</v>
      </c>
      <c r="C826">
        <v>111.6</v>
      </c>
      <c r="D826">
        <v>1.81</v>
      </c>
      <c r="E826">
        <v>34.1</v>
      </c>
      <c r="F826">
        <v>86</v>
      </c>
      <c r="G826" t="s">
        <v>729</v>
      </c>
      <c r="H826">
        <v>161</v>
      </c>
      <c r="I826">
        <v>69</v>
      </c>
      <c r="J826">
        <v>145</v>
      </c>
      <c r="K826" t="s">
        <v>23</v>
      </c>
      <c r="L826" t="s">
        <v>23</v>
      </c>
      <c r="M826" t="s">
        <v>37</v>
      </c>
      <c r="N826">
        <v>0.47499999999999998</v>
      </c>
      <c r="O826">
        <v>102</v>
      </c>
      <c r="P826">
        <v>100</v>
      </c>
      <c r="Q826" t="s">
        <v>38</v>
      </c>
      <c r="R826">
        <v>62</v>
      </c>
      <c r="S826">
        <v>17.14</v>
      </c>
      <c r="T826" t="s">
        <v>30</v>
      </c>
    </row>
    <row r="827" spans="1:20" x14ac:dyDescent="0.3">
      <c r="A827" t="s">
        <v>20</v>
      </c>
      <c r="B827">
        <v>38</v>
      </c>
      <c r="C827">
        <v>95.6</v>
      </c>
      <c r="D827">
        <v>1.9</v>
      </c>
      <c r="E827">
        <v>26.5</v>
      </c>
      <c r="F827">
        <v>102.6</v>
      </c>
      <c r="G827" t="s">
        <v>730</v>
      </c>
      <c r="H827">
        <v>192</v>
      </c>
      <c r="I827">
        <v>37</v>
      </c>
      <c r="J827">
        <v>70</v>
      </c>
      <c r="K827" t="s">
        <v>23</v>
      </c>
      <c r="L827" t="s">
        <v>23</v>
      </c>
      <c r="M827" t="s">
        <v>37</v>
      </c>
      <c r="O827">
        <v>124</v>
      </c>
      <c r="P827">
        <v>98</v>
      </c>
      <c r="Q827" t="s">
        <v>38</v>
      </c>
      <c r="R827">
        <v>125</v>
      </c>
      <c r="S827">
        <v>17.34</v>
      </c>
      <c r="T827" t="s">
        <v>30</v>
      </c>
    </row>
    <row r="828" spans="1:20" x14ac:dyDescent="0.3">
      <c r="A828" t="s">
        <v>31</v>
      </c>
      <c r="B828">
        <v>32</v>
      </c>
      <c r="C828">
        <v>58.9</v>
      </c>
      <c r="D828">
        <v>1.74</v>
      </c>
      <c r="E828">
        <v>19.5</v>
      </c>
      <c r="F828">
        <v>107.1</v>
      </c>
      <c r="G828" t="s">
        <v>449</v>
      </c>
      <c r="I828">
        <v>37</v>
      </c>
      <c r="J828">
        <v>123</v>
      </c>
      <c r="K828" t="s">
        <v>23</v>
      </c>
      <c r="L828" t="s">
        <v>22</v>
      </c>
      <c r="M828" t="s">
        <v>24</v>
      </c>
      <c r="N828">
        <v>0.61599999999999999</v>
      </c>
      <c r="O828">
        <v>123</v>
      </c>
      <c r="P828">
        <v>83</v>
      </c>
      <c r="Q828" t="s">
        <v>29</v>
      </c>
      <c r="R828">
        <v>202</v>
      </c>
      <c r="S828">
        <v>15.43</v>
      </c>
      <c r="T828" t="s">
        <v>30</v>
      </c>
    </row>
    <row r="829" spans="1:20" x14ac:dyDescent="0.3">
      <c r="A829" t="s">
        <v>31</v>
      </c>
      <c r="B829">
        <v>32</v>
      </c>
      <c r="C829">
        <v>68.900000000000006</v>
      </c>
      <c r="D829">
        <v>1.85</v>
      </c>
      <c r="E829">
        <v>20.100000000000001</v>
      </c>
      <c r="F829">
        <v>85.8</v>
      </c>
      <c r="G829" t="s">
        <v>731</v>
      </c>
      <c r="H829">
        <v>151</v>
      </c>
      <c r="I829">
        <v>35</v>
      </c>
      <c r="J829">
        <v>136</v>
      </c>
      <c r="K829" t="s">
        <v>23</v>
      </c>
      <c r="L829" t="s">
        <v>23</v>
      </c>
      <c r="M829" t="s">
        <v>37</v>
      </c>
      <c r="O829">
        <v>111</v>
      </c>
      <c r="P829">
        <v>73</v>
      </c>
      <c r="Q829" t="s">
        <v>33</v>
      </c>
      <c r="S829">
        <v>14.59</v>
      </c>
      <c r="T829" t="s">
        <v>26</v>
      </c>
    </row>
    <row r="830" spans="1:20" x14ac:dyDescent="0.3">
      <c r="A830" t="s">
        <v>20</v>
      </c>
      <c r="B830">
        <v>41</v>
      </c>
      <c r="C830">
        <v>94.3</v>
      </c>
      <c r="D830">
        <v>1.72</v>
      </c>
      <c r="E830">
        <v>31.9</v>
      </c>
      <c r="F830">
        <v>76.599999999999994</v>
      </c>
      <c r="G830" t="s">
        <v>732</v>
      </c>
      <c r="H830">
        <v>166</v>
      </c>
      <c r="I830">
        <v>44</v>
      </c>
      <c r="J830">
        <v>139</v>
      </c>
      <c r="K830" t="s">
        <v>22</v>
      </c>
      <c r="L830" t="s">
        <v>22</v>
      </c>
      <c r="M830" t="s">
        <v>28</v>
      </c>
      <c r="N830">
        <v>0.44500000000000001</v>
      </c>
      <c r="P830">
        <v>92</v>
      </c>
      <c r="Q830" t="s">
        <v>38</v>
      </c>
      <c r="R830">
        <v>92</v>
      </c>
      <c r="S830">
        <v>16.899999999999999</v>
      </c>
      <c r="T830" t="s">
        <v>52</v>
      </c>
    </row>
    <row r="831" spans="1:20" x14ac:dyDescent="0.3">
      <c r="A831" t="s">
        <v>31</v>
      </c>
      <c r="B831">
        <v>54</v>
      </c>
      <c r="C831">
        <v>119.2</v>
      </c>
      <c r="D831">
        <v>1.68</v>
      </c>
      <c r="E831">
        <v>42.2</v>
      </c>
      <c r="F831">
        <v>79.2</v>
      </c>
      <c r="G831" t="s">
        <v>733</v>
      </c>
      <c r="H831">
        <v>265</v>
      </c>
      <c r="I831">
        <v>70</v>
      </c>
      <c r="J831">
        <v>109</v>
      </c>
      <c r="K831" t="s">
        <v>22</v>
      </c>
      <c r="L831" t="s">
        <v>23</v>
      </c>
      <c r="M831" t="s">
        <v>37</v>
      </c>
      <c r="O831">
        <v>114</v>
      </c>
      <c r="P831">
        <v>88</v>
      </c>
      <c r="Q831" t="s">
        <v>29</v>
      </c>
      <c r="R831">
        <v>165</v>
      </c>
      <c r="S831">
        <v>21.44</v>
      </c>
      <c r="T831" t="s">
        <v>30</v>
      </c>
    </row>
    <row r="832" spans="1:20" x14ac:dyDescent="0.3">
      <c r="A832" t="s">
        <v>31</v>
      </c>
      <c r="B832">
        <v>52</v>
      </c>
      <c r="C832">
        <v>57.9</v>
      </c>
      <c r="D832">
        <v>1.67</v>
      </c>
      <c r="E832">
        <v>20.8</v>
      </c>
      <c r="F832">
        <v>101.4</v>
      </c>
      <c r="G832" t="s">
        <v>460</v>
      </c>
      <c r="H832">
        <v>265</v>
      </c>
      <c r="I832">
        <v>46</v>
      </c>
      <c r="J832">
        <v>86</v>
      </c>
      <c r="K832" t="s">
        <v>22</v>
      </c>
      <c r="L832" t="s">
        <v>22</v>
      </c>
      <c r="M832" t="s">
        <v>28</v>
      </c>
      <c r="N832">
        <v>0.60699999999999998</v>
      </c>
      <c r="O832">
        <v>140</v>
      </c>
      <c r="P832">
        <v>98</v>
      </c>
      <c r="Q832" t="s">
        <v>38</v>
      </c>
      <c r="R832">
        <v>189</v>
      </c>
      <c r="S832">
        <v>16.46</v>
      </c>
      <c r="T832" t="s">
        <v>26</v>
      </c>
    </row>
    <row r="833" spans="1:20" x14ac:dyDescent="0.3">
      <c r="A833" t="s">
        <v>20</v>
      </c>
      <c r="B833">
        <v>37</v>
      </c>
      <c r="C833">
        <v>119</v>
      </c>
      <c r="D833">
        <v>1.73</v>
      </c>
      <c r="E833">
        <v>39.799999999999997</v>
      </c>
      <c r="F833">
        <v>86.2</v>
      </c>
      <c r="G833" t="s">
        <v>734</v>
      </c>
      <c r="H833">
        <v>215</v>
      </c>
      <c r="I833">
        <v>30</v>
      </c>
      <c r="J833">
        <v>94</v>
      </c>
      <c r="K833" t="s">
        <v>22</v>
      </c>
      <c r="L833" t="s">
        <v>23</v>
      </c>
      <c r="M833" t="s">
        <v>28</v>
      </c>
      <c r="N833">
        <v>0.498</v>
      </c>
      <c r="P833">
        <v>87</v>
      </c>
      <c r="Q833" t="s">
        <v>29</v>
      </c>
      <c r="R833">
        <v>155</v>
      </c>
      <c r="S833">
        <v>20.61</v>
      </c>
      <c r="T833" t="s">
        <v>30</v>
      </c>
    </row>
    <row r="834" spans="1:20" x14ac:dyDescent="0.3">
      <c r="A834" t="s">
        <v>20</v>
      </c>
      <c r="B834">
        <v>57</v>
      </c>
      <c r="C834">
        <v>54.2</v>
      </c>
      <c r="D834">
        <v>1.85</v>
      </c>
      <c r="E834">
        <v>15.8</v>
      </c>
      <c r="F834">
        <v>88.6</v>
      </c>
      <c r="G834" t="s">
        <v>735</v>
      </c>
      <c r="H834">
        <v>251</v>
      </c>
      <c r="I834">
        <v>69</v>
      </c>
      <c r="J834">
        <v>76</v>
      </c>
      <c r="K834" t="s">
        <v>22</v>
      </c>
      <c r="L834" t="s">
        <v>22</v>
      </c>
      <c r="M834" t="s">
        <v>28</v>
      </c>
      <c r="N834">
        <v>0.47899999999999998</v>
      </c>
      <c r="O834">
        <v>137</v>
      </c>
      <c r="P834">
        <v>88</v>
      </c>
      <c r="Q834" t="s">
        <v>29</v>
      </c>
      <c r="R834">
        <v>152</v>
      </c>
      <c r="S834">
        <v>15.03</v>
      </c>
      <c r="T834" t="s">
        <v>26</v>
      </c>
    </row>
    <row r="835" spans="1:20" x14ac:dyDescent="0.3">
      <c r="A835" t="s">
        <v>20</v>
      </c>
      <c r="B835">
        <v>55</v>
      </c>
      <c r="C835">
        <v>69.2</v>
      </c>
      <c r="E835">
        <v>19.600000000000001</v>
      </c>
      <c r="F835">
        <v>77.5</v>
      </c>
      <c r="G835" t="s">
        <v>736</v>
      </c>
      <c r="H835">
        <v>279</v>
      </c>
      <c r="I835">
        <v>68</v>
      </c>
      <c r="J835">
        <v>90</v>
      </c>
      <c r="K835" t="s">
        <v>23</v>
      </c>
      <c r="L835" t="s">
        <v>22</v>
      </c>
      <c r="M835" t="s">
        <v>37</v>
      </c>
      <c r="N835">
        <v>0.41199999999999998</v>
      </c>
      <c r="P835">
        <v>63</v>
      </c>
      <c r="Q835" t="s">
        <v>33</v>
      </c>
      <c r="R835">
        <v>181</v>
      </c>
      <c r="S835">
        <v>14</v>
      </c>
      <c r="T835" t="s">
        <v>30</v>
      </c>
    </row>
    <row r="836" spans="1:20" x14ac:dyDescent="0.3">
      <c r="A836" t="s">
        <v>20</v>
      </c>
      <c r="B836">
        <v>42</v>
      </c>
      <c r="C836">
        <v>116.2</v>
      </c>
      <c r="D836">
        <v>1.65</v>
      </c>
      <c r="E836">
        <v>42.7</v>
      </c>
      <c r="F836">
        <v>89.4</v>
      </c>
      <c r="G836" t="s">
        <v>737</v>
      </c>
      <c r="H836">
        <v>205</v>
      </c>
      <c r="I836">
        <v>68</v>
      </c>
      <c r="J836">
        <v>80</v>
      </c>
      <c r="K836" t="s">
        <v>23</v>
      </c>
      <c r="L836" t="s">
        <v>23</v>
      </c>
      <c r="M836" t="s">
        <v>28</v>
      </c>
      <c r="N836">
        <v>0.54200000000000004</v>
      </c>
      <c r="O836">
        <v>139</v>
      </c>
      <c r="P836">
        <v>96</v>
      </c>
      <c r="Q836" t="s">
        <v>29</v>
      </c>
      <c r="R836">
        <v>107</v>
      </c>
      <c r="S836">
        <v>21.59</v>
      </c>
      <c r="T836" t="s">
        <v>30</v>
      </c>
    </row>
    <row r="837" spans="1:20" x14ac:dyDescent="0.3">
      <c r="A837" t="s">
        <v>20</v>
      </c>
      <c r="B837">
        <v>47</v>
      </c>
      <c r="C837">
        <v>90.7</v>
      </c>
      <c r="D837">
        <v>1.7</v>
      </c>
      <c r="E837">
        <v>31.4</v>
      </c>
      <c r="F837">
        <v>77.599999999999994</v>
      </c>
      <c r="G837" t="s">
        <v>723</v>
      </c>
      <c r="H837">
        <v>141</v>
      </c>
      <c r="I837">
        <v>68</v>
      </c>
      <c r="J837">
        <v>79</v>
      </c>
      <c r="K837" t="s">
        <v>22</v>
      </c>
      <c r="L837" t="s">
        <v>23</v>
      </c>
      <c r="M837" t="s">
        <v>24</v>
      </c>
      <c r="N837">
        <v>0.45600000000000002</v>
      </c>
      <c r="O837">
        <v>103</v>
      </c>
      <c r="Q837" t="s">
        <v>33</v>
      </c>
      <c r="R837">
        <v>43</v>
      </c>
      <c r="S837">
        <v>16.25</v>
      </c>
      <c r="T837" t="s">
        <v>30</v>
      </c>
    </row>
    <row r="838" spans="1:20" x14ac:dyDescent="0.3">
      <c r="A838" t="s">
        <v>20</v>
      </c>
      <c r="B838">
        <v>37</v>
      </c>
      <c r="C838">
        <v>86.7</v>
      </c>
      <c r="D838">
        <v>1.62</v>
      </c>
      <c r="E838">
        <v>33</v>
      </c>
      <c r="F838">
        <v>88.5</v>
      </c>
      <c r="G838" t="s">
        <v>607</v>
      </c>
      <c r="H838">
        <v>250</v>
      </c>
      <c r="I838">
        <v>36</v>
      </c>
      <c r="J838">
        <v>104</v>
      </c>
      <c r="K838" t="s">
        <v>22</v>
      </c>
      <c r="L838" t="s">
        <v>23</v>
      </c>
      <c r="M838" t="s">
        <v>28</v>
      </c>
      <c r="N838">
        <v>0.54600000000000004</v>
      </c>
      <c r="O838">
        <v>113</v>
      </c>
      <c r="P838">
        <v>77</v>
      </c>
      <c r="Q838" t="s">
        <v>33</v>
      </c>
      <c r="R838">
        <v>184</v>
      </c>
      <c r="S838">
        <v>19.25</v>
      </c>
      <c r="T838" t="s">
        <v>30</v>
      </c>
    </row>
    <row r="839" spans="1:20" x14ac:dyDescent="0.3">
      <c r="A839" t="s">
        <v>31</v>
      </c>
      <c r="B839">
        <v>42</v>
      </c>
      <c r="C839">
        <v>75.099999999999994</v>
      </c>
      <c r="D839">
        <v>1.89</v>
      </c>
      <c r="E839">
        <v>21</v>
      </c>
      <c r="F839">
        <v>104.3</v>
      </c>
      <c r="G839" t="s">
        <v>738</v>
      </c>
      <c r="H839">
        <v>111</v>
      </c>
      <c r="I839">
        <v>42</v>
      </c>
      <c r="J839">
        <v>95</v>
      </c>
      <c r="K839" t="s">
        <v>22</v>
      </c>
      <c r="L839" t="s">
        <v>23</v>
      </c>
      <c r="M839" t="s">
        <v>24</v>
      </c>
      <c r="N839">
        <v>0.55200000000000005</v>
      </c>
      <c r="O839">
        <v>112</v>
      </c>
      <c r="P839">
        <v>93</v>
      </c>
      <c r="Q839" t="s">
        <v>38</v>
      </c>
      <c r="R839">
        <v>39</v>
      </c>
      <c r="S839">
        <v>14.02</v>
      </c>
      <c r="T839" t="s">
        <v>26</v>
      </c>
    </row>
    <row r="840" spans="1:20" x14ac:dyDescent="0.3">
      <c r="A840" t="s">
        <v>31</v>
      </c>
      <c r="C840">
        <v>64.900000000000006</v>
      </c>
      <c r="D840">
        <v>1.83</v>
      </c>
      <c r="E840">
        <v>19.399999999999999</v>
      </c>
      <c r="F840">
        <v>99.8</v>
      </c>
      <c r="G840" t="s">
        <v>358</v>
      </c>
      <c r="H840">
        <v>173</v>
      </c>
      <c r="I840">
        <v>65</v>
      </c>
      <c r="J840">
        <v>101</v>
      </c>
      <c r="K840" t="s">
        <v>22</v>
      </c>
      <c r="L840" t="s">
        <v>22</v>
      </c>
      <c r="M840" t="s">
        <v>28</v>
      </c>
      <c r="N840">
        <v>0.54500000000000004</v>
      </c>
      <c r="O840">
        <v>96</v>
      </c>
      <c r="P840">
        <v>93</v>
      </c>
      <c r="Q840" t="s">
        <v>38</v>
      </c>
      <c r="R840">
        <v>78</v>
      </c>
      <c r="S840">
        <v>12.14</v>
      </c>
      <c r="T840" t="s">
        <v>52</v>
      </c>
    </row>
    <row r="841" spans="1:20" x14ac:dyDescent="0.3">
      <c r="A841" t="s">
        <v>20</v>
      </c>
      <c r="B841">
        <v>47</v>
      </c>
      <c r="C841">
        <v>79.099999999999994</v>
      </c>
      <c r="D841">
        <v>1.81</v>
      </c>
      <c r="E841">
        <v>24.1</v>
      </c>
      <c r="F841">
        <v>76.400000000000006</v>
      </c>
      <c r="G841" t="s">
        <v>573</v>
      </c>
      <c r="H841">
        <v>147</v>
      </c>
      <c r="I841">
        <v>70</v>
      </c>
      <c r="J841">
        <v>83</v>
      </c>
      <c r="K841" t="s">
        <v>23</v>
      </c>
      <c r="L841" t="s">
        <v>23</v>
      </c>
      <c r="M841" t="s">
        <v>24</v>
      </c>
      <c r="N841">
        <v>0.42199999999999999</v>
      </c>
      <c r="O841">
        <v>118</v>
      </c>
      <c r="P841">
        <v>97</v>
      </c>
      <c r="Q841" t="s">
        <v>38</v>
      </c>
      <c r="R841">
        <v>47</v>
      </c>
      <c r="S841">
        <v>15.66</v>
      </c>
      <c r="T841" t="s">
        <v>30</v>
      </c>
    </row>
    <row r="842" spans="1:20" x14ac:dyDescent="0.3">
      <c r="A842" t="s">
        <v>31</v>
      </c>
      <c r="B842">
        <v>38</v>
      </c>
      <c r="C842">
        <v>103.6</v>
      </c>
      <c r="D842">
        <v>1.83</v>
      </c>
      <c r="E842">
        <v>30.9</v>
      </c>
      <c r="F842">
        <v>78.599999999999994</v>
      </c>
      <c r="G842" t="s">
        <v>112</v>
      </c>
      <c r="I842">
        <v>79</v>
      </c>
      <c r="J842">
        <v>75</v>
      </c>
      <c r="K842" t="s">
        <v>22</v>
      </c>
      <c r="L842" t="s">
        <v>22</v>
      </c>
      <c r="M842" t="s">
        <v>37</v>
      </c>
      <c r="N842">
        <v>0.43</v>
      </c>
      <c r="O842">
        <v>94</v>
      </c>
      <c r="P842">
        <v>78</v>
      </c>
      <c r="Q842" t="s">
        <v>33</v>
      </c>
      <c r="R842">
        <v>55</v>
      </c>
      <c r="S842">
        <v>14.16</v>
      </c>
      <c r="T842" t="s">
        <v>52</v>
      </c>
    </row>
    <row r="843" spans="1:20" x14ac:dyDescent="0.3">
      <c r="A843" t="s">
        <v>20</v>
      </c>
      <c r="B843">
        <v>46</v>
      </c>
      <c r="C843">
        <v>88.1</v>
      </c>
      <c r="D843">
        <v>1.63</v>
      </c>
      <c r="E843">
        <v>33.200000000000003</v>
      </c>
      <c r="F843">
        <v>98.7</v>
      </c>
      <c r="G843" t="s">
        <v>739</v>
      </c>
      <c r="H843">
        <v>166</v>
      </c>
      <c r="I843">
        <v>78</v>
      </c>
      <c r="J843">
        <v>103</v>
      </c>
      <c r="K843" t="s">
        <v>23</v>
      </c>
      <c r="L843" t="s">
        <v>23</v>
      </c>
      <c r="M843" t="s">
        <v>24</v>
      </c>
      <c r="N843">
        <v>0.60599999999999998</v>
      </c>
      <c r="O843">
        <v>95</v>
      </c>
      <c r="P843">
        <v>81</v>
      </c>
      <c r="Q843" t="s">
        <v>29</v>
      </c>
      <c r="R843">
        <v>58</v>
      </c>
      <c r="S843">
        <v>16.71</v>
      </c>
      <c r="T843" t="s">
        <v>30</v>
      </c>
    </row>
    <row r="844" spans="1:20" x14ac:dyDescent="0.3">
      <c r="A844" t="s">
        <v>20</v>
      </c>
      <c r="B844">
        <v>30</v>
      </c>
      <c r="C844">
        <v>80</v>
      </c>
      <c r="D844">
        <v>1.86</v>
      </c>
      <c r="E844">
        <v>23.1</v>
      </c>
      <c r="F844">
        <v>93.5</v>
      </c>
      <c r="G844" t="s">
        <v>740</v>
      </c>
      <c r="H844">
        <v>143</v>
      </c>
      <c r="I844">
        <v>60</v>
      </c>
      <c r="J844">
        <v>139</v>
      </c>
      <c r="K844" t="s">
        <v>23</v>
      </c>
      <c r="L844" t="s">
        <v>22</v>
      </c>
      <c r="M844" t="s">
        <v>28</v>
      </c>
      <c r="N844">
        <v>0.503</v>
      </c>
      <c r="O844">
        <v>110</v>
      </c>
      <c r="P844">
        <v>98</v>
      </c>
      <c r="Q844" t="s">
        <v>38</v>
      </c>
      <c r="R844">
        <v>53</v>
      </c>
      <c r="S844">
        <v>12.98</v>
      </c>
      <c r="T844" t="s">
        <v>26</v>
      </c>
    </row>
    <row r="845" spans="1:20" x14ac:dyDescent="0.3">
      <c r="A845" t="s">
        <v>31</v>
      </c>
      <c r="B845">
        <v>52</v>
      </c>
      <c r="C845">
        <v>55</v>
      </c>
      <c r="E845">
        <v>18.8</v>
      </c>
      <c r="F845">
        <v>108.6</v>
      </c>
      <c r="G845" t="s">
        <v>741</v>
      </c>
      <c r="H845">
        <v>183</v>
      </c>
      <c r="I845">
        <v>53</v>
      </c>
      <c r="J845">
        <v>115</v>
      </c>
      <c r="K845" t="s">
        <v>22</v>
      </c>
      <c r="L845" t="s">
        <v>23</v>
      </c>
      <c r="M845" t="s">
        <v>37</v>
      </c>
      <c r="N845">
        <v>0.63500000000000001</v>
      </c>
      <c r="O845">
        <v>132</v>
      </c>
      <c r="P845">
        <v>76</v>
      </c>
      <c r="Q845" t="s">
        <v>29</v>
      </c>
      <c r="R845">
        <v>100</v>
      </c>
      <c r="S845">
        <v>16.02</v>
      </c>
      <c r="T845" t="s">
        <v>26</v>
      </c>
    </row>
    <row r="846" spans="1:20" x14ac:dyDescent="0.3">
      <c r="A846" t="s">
        <v>20</v>
      </c>
      <c r="B846">
        <v>30</v>
      </c>
      <c r="C846">
        <v>110.4</v>
      </c>
      <c r="D846">
        <v>1.71</v>
      </c>
      <c r="E846">
        <v>37.799999999999997</v>
      </c>
      <c r="F846">
        <v>99</v>
      </c>
      <c r="G846" t="s">
        <v>742</v>
      </c>
      <c r="H846">
        <v>265</v>
      </c>
      <c r="I846">
        <v>65</v>
      </c>
      <c r="J846">
        <v>124</v>
      </c>
      <c r="K846" t="s">
        <v>23</v>
      </c>
      <c r="L846" t="s">
        <v>23</v>
      </c>
      <c r="M846" t="s">
        <v>37</v>
      </c>
      <c r="N846">
        <v>0.57899999999999996</v>
      </c>
      <c r="O846">
        <v>116</v>
      </c>
      <c r="Q846" t="s">
        <v>38</v>
      </c>
      <c r="R846">
        <v>170</v>
      </c>
      <c r="S846">
        <v>20.66</v>
      </c>
      <c r="T846" t="s">
        <v>30</v>
      </c>
    </row>
    <row r="847" spans="1:20" x14ac:dyDescent="0.3">
      <c r="A847" t="s">
        <v>31</v>
      </c>
      <c r="B847">
        <v>52</v>
      </c>
      <c r="C847">
        <v>59.5</v>
      </c>
      <c r="D847">
        <v>1.74</v>
      </c>
      <c r="E847">
        <v>19.7</v>
      </c>
      <c r="G847" t="s">
        <v>743</v>
      </c>
      <c r="H847">
        <v>183</v>
      </c>
      <c r="I847">
        <v>63</v>
      </c>
      <c r="J847">
        <v>85</v>
      </c>
      <c r="K847" t="s">
        <v>22</v>
      </c>
      <c r="L847" t="s">
        <v>22</v>
      </c>
      <c r="M847" t="s">
        <v>37</v>
      </c>
      <c r="N847">
        <v>0.499</v>
      </c>
      <c r="O847">
        <v>107</v>
      </c>
      <c r="P847">
        <v>80</v>
      </c>
      <c r="Q847" t="s">
        <v>29</v>
      </c>
      <c r="R847">
        <v>90</v>
      </c>
      <c r="S847">
        <v>12.95</v>
      </c>
      <c r="T847" t="s">
        <v>26</v>
      </c>
    </row>
    <row r="848" spans="1:20" x14ac:dyDescent="0.3">
      <c r="A848" t="s">
        <v>31</v>
      </c>
      <c r="B848">
        <v>31</v>
      </c>
      <c r="C848">
        <v>82.5</v>
      </c>
      <c r="D848">
        <v>1.74</v>
      </c>
      <c r="E848">
        <v>27.2</v>
      </c>
      <c r="F848">
        <v>81.7</v>
      </c>
      <c r="G848" t="s">
        <v>744</v>
      </c>
      <c r="H848">
        <v>200</v>
      </c>
      <c r="I848">
        <v>52</v>
      </c>
      <c r="J848">
        <v>108</v>
      </c>
      <c r="K848" t="s">
        <v>23</v>
      </c>
      <c r="L848" t="s">
        <v>23</v>
      </c>
      <c r="M848" t="s">
        <v>24</v>
      </c>
      <c r="N848">
        <v>0.47</v>
      </c>
      <c r="O848">
        <v>136</v>
      </c>
      <c r="P848">
        <v>92</v>
      </c>
      <c r="Q848" t="s">
        <v>29</v>
      </c>
      <c r="R848">
        <v>118</v>
      </c>
      <c r="S848">
        <v>18.239999999999998</v>
      </c>
      <c r="T848" t="s">
        <v>30</v>
      </c>
    </row>
    <row r="849" spans="1:20" x14ac:dyDescent="0.3">
      <c r="A849" t="s">
        <v>31</v>
      </c>
      <c r="B849">
        <v>45</v>
      </c>
      <c r="C849">
        <v>91.3</v>
      </c>
      <c r="D849">
        <v>1.87</v>
      </c>
      <c r="E849">
        <v>26.1</v>
      </c>
      <c r="F849">
        <v>80</v>
      </c>
      <c r="G849" t="s">
        <v>745</v>
      </c>
      <c r="H849">
        <v>271</v>
      </c>
      <c r="I849">
        <v>31</v>
      </c>
      <c r="J849">
        <v>126</v>
      </c>
      <c r="K849" t="s">
        <v>23</v>
      </c>
      <c r="L849" t="s">
        <v>23</v>
      </c>
      <c r="M849" t="s">
        <v>28</v>
      </c>
      <c r="N849">
        <v>0.42799999999999999</v>
      </c>
      <c r="O849">
        <v>102</v>
      </c>
      <c r="P849">
        <v>61</v>
      </c>
      <c r="Q849" t="s">
        <v>33</v>
      </c>
      <c r="R849">
        <v>210</v>
      </c>
      <c r="S849">
        <v>17.739999999999998</v>
      </c>
      <c r="T849" t="s">
        <v>30</v>
      </c>
    </row>
    <row r="850" spans="1:20" x14ac:dyDescent="0.3">
      <c r="A850" t="s">
        <v>20</v>
      </c>
      <c r="B850">
        <v>46</v>
      </c>
      <c r="C850">
        <v>93.4</v>
      </c>
      <c r="D850">
        <v>1.63</v>
      </c>
      <c r="E850">
        <v>35.200000000000003</v>
      </c>
      <c r="F850">
        <v>77.599999999999994</v>
      </c>
      <c r="G850" t="s">
        <v>746</v>
      </c>
      <c r="H850">
        <v>297</v>
      </c>
      <c r="I850">
        <v>48</v>
      </c>
      <c r="J850">
        <v>147</v>
      </c>
      <c r="K850" t="s">
        <v>23</v>
      </c>
      <c r="L850" t="s">
        <v>22</v>
      </c>
      <c r="M850" t="s">
        <v>28</v>
      </c>
      <c r="N850">
        <v>0.47599999999999998</v>
      </c>
      <c r="O850">
        <v>116</v>
      </c>
      <c r="P850">
        <v>65</v>
      </c>
      <c r="Q850" t="s">
        <v>33</v>
      </c>
      <c r="R850">
        <v>219</v>
      </c>
      <c r="S850">
        <v>18.78</v>
      </c>
      <c r="T850" t="s">
        <v>30</v>
      </c>
    </row>
    <row r="851" spans="1:20" x14ac:dyDescent="0.3">
      <c r="A851" t="s">
        <v>20</v>
      </c>
      <c r="B851">
        <v>46</v>
      </c>
      <c r="C851">
        <v>63.7</v>
      </c>
      <c r="D851">
        <v>1.84</v>
      </c>
      <c r="F851">
        <v>89.7</v>
      </c>
      <c r="G851" t="s">
        <v>747</v>
      </c>
      <c r="H851">
        <v>155</v>
      </c>
      <c r="I851">
        <v>41</v>
      </c>
      <c r="J851">
        <v>105</v>
      </c>
      <c r="K851" t="s">
        <v>22</v>
      </c>
      <c r="L851" t="s">
        <v>23</v>
      </c>
      <c r="M851" t="s">
        <v>24</v>
      </c>
      <c r="N851">
        <v>0.48699999999999999</v>
      </c>
      <c r="O851">
        <v>92</v>
      </c>
      <c r="P851">
        <v>62</v>
      </c>
      <c r="Q851" t="s">
        <v>33</v>
      </c>
      <c r="R851">
        <v>84</v>
      </c>
      <c r="T851" t="s">
        <v>30</v>
      </c>
    </row>
    <row r="852" spans="1:20" x14ac:dyDescent="0.3">
      <c r="A852" t="s">
        <v>20</v>
      </c>
      <c r="B852">
        <v>56</v>
      </c>
      <c r="D852">
        <v>1.73</v>
      </c>
      <c r="E852">
        <v>33.4</v>
      </c>
      <c r="F852">
        <v>93.8</v>
      </c>
      <c r="G852" t="s">
        <v>748</v>
      </c>
      <c r="H852">
        <v>208</v>
      </c>
      <c r="I852">
        <v>61</v>
      </c>
      <c r="J852">
        <v>79</v>
      </c>
      <c r="K852" t="s">
        <v>22</v>
      </c>
      <c r="L852" t="s">
        <v>22</v>
      </c>
      <c r="M852" t="s">
        <v>37</v>
      </c>
      <c r="N852">
        <v>0.54200000000000004</v>
      </c>
      <c r="O852">
        <v>145</v>
      </c>
      <c r="P852">
        <v>79</v>
      </c>
      <c r="Q852" t="s">
        <v>38</v>
      </c>
      <c r="R852">
        <v>117</v>
      </c>
      <c r="S852">
        <v>18.09</v>
      </c>
      <c r="T852" t="s">
        <v>26</v>
      </c>
    </row>
    <row r="853" spans="1:20" x14ac:dyDescent="0.3">
      <c r="A853" t="s">
        <v>31</v>
      </c>
      <c r="C853">
        <v>99.4</v>
      </c>
      <c r="D853">
        <v>1.61</v>
      </c>
      <c r="E853">
        <v>38.299999999999997</v>
      </c>
      <c r="F853">
        <v>99.4</v>
      </c>
      <c r="G853" t="s">
        <v>749</v>
      </c>
      <c r="H853">
        <v>191</v>
      </c>
      <c r="I853">
        <v>71</v>
      </c>
      <c r="J853">
        <v>125</v>
      </c>
      <c r="K853" t="s">
        <v>22</v>
      </c>
      <c r="L853" t="s">
        <v>23</v>
      </c>
      <c r="M853" t="s">
        <v>24</v>
      </c>
      <c r="N853">
        <v>0.61699999999999999</v>
      </c>
      <c r="P853">
        <v>93</v>
      </c>
      <c r="Q853" t="s">
        <v>38</v>
      </c>
      <c r="R853">
        <v>90</v>
      </c>
      <c r="S853">
        <v>18.23</v>
      </c>
      <c r="T853" t="s">
        <v>26</v>
      </c>
    </row>
    <row r="854" spans="1:20" x14ac:dyDescent="0.3">
      <c r="A854" t="s">
        <v>20</v>
      </c>
      <c r="B854">
        <v>35</v>
      </c>
      <c r="C854">
        <v>67.5</v>
      </c>
      <c r="D854">
        <v>1.73</v>
      </c>
      <c r="E854">
        <v>22.6</v>
      </c>
      <c r="F854">
        <v>91.9</v>
      </c>
      <c r="G854" t="s">
        <v>750</v>
      </c>
      <c r="H854">
        <v>286</v>
      </c>
      <c r="I854">
        <v>54</v>
      </c>
      <c r="J854">
        <v>112</v>
      </c>
      <c r="K854" t="s">
        <v>23</v>
      </c>
      <c r="L854" t="s">
        <v>22</v>
      </c>
      <c r="M854" t="s">
        <v>24</v>
      </c>
      <c r="N854">
        <v>0.53100000000000003</v>
      </c>
      <c r="O854">
        <v>144</v>
      </c>
      <c r="P854">
        <v>63</v>
      </c>
      <c r="Q854" t="s">
        <v>38</v>
      </c>
      <c r="R854">
        <v>202</v>
      </c>
      <c r="S854">
        <v>17.440000000000001</v>
      </c>
      <c r="T854" t="s">
        <v>26</v>
      </c>
    </row>
    <row r="855" spans="1:20" x14ac:dyDescent="0.3">
      <c r="A855" t="s">
        <v>31</v>
      </c>
      <c r="B855">
        <v>46</v>
      </c>
      <c r="C855">
        <v>99.5</v>
      </c>
      <c r="D855">
        <v>1.89</v>
      </c>
      <c r="E855">
        <v>27.9</v>
      </c>
      <c r="F855">
        <v>83.7</v>
      </c>
      <c r="G855" t="s">
        <v>516</v>
      </c>
      <c r="H855">
        <v>105</v>
      </c>
      <c r="I855">
        <v>33</v>
      </c>
      <c r="J855">
        <v>134</v>
      </c>
      <c r="K855" t="s">
        <v>22</v>
      </c>
      <c r="L855" t="s">
        <v>22</v>
      </c>
      <c r="M855" t="s">
        <v>24</v>
      </c>
      <c r="N855">
        <v>0.443</v>
      </c>
      <c r="O855">
        <v>116</v>
      </c>
      <c r="P855">
        <v>91</v>
      </c>
      <c r="Q855" t="s">
        <v>38</v>
      </c>
      <c r="R855">
        <v>42</v>
      </c>
      <c r="S855">
        <v>13.48</v>
      </c>
      <c r="T855" t="s">
        <v>30</v>
      </c>
    </row>
    <row r="856" spans="1:20" x14ac:dyDescent="0.3">
      <c r="A856" t="s">
        <v>20</v>
      </c>
      <c r="B856">
        <v>34</v>
      </c>
      <c r="C856">
        <v>70.599999999999994</v>
      </c>
      <c r="D856">
        <v>1.66</v>
      </c>
      <c r="E856">
        <v>25.6</v>
      </c>
      <c r="F856">
        <v>86.1</v>
      </c>
      <c r="G856" t="s">
        <v>751</v>
      </c>
      <c r="H856">
        <v>187</v>
      </c>
      <c r="I856">
        <v>65</v>
      </c>
      <c r="J856">
        <v>75</v>
      </c>
      <c r="K856" t="s">
        <v>23</v>
      </c>
      <c r="L856" t="s">
        <v>23</v>
      </c>
      <c r="M856" t="s">
        <v>24</v>
      </c>
      <c r="N856">
        <v>0.51900000000000002</v>
      </c>
      <c r="O856">
        <v>116</v>
      </c>
      <c r="P856">
        <v>85</v>
      </c>
      <c r="Q856" t="s">
        <v>29</v>
      </c>
      <c r="R856">
        <v>92</v>
      </c>
      <c r="S856">
        <v>16.66</v>
      </c>
      <c r="T856" t="s">
        <v>30</v>
      </c>
    </row>
    <row r="857" spans="1:20" x14ac:dyDescent="0.3">
      <c r="A857" t="s">
        <v>31</v>
      </c>
      <c r="B857">
        <v>32</v>
      </c>
      <c r="C857">
        <v>119.2</v>
      </c>
      <c r="D857">
        <v>1.65</v>
      </c>
      <c r="E857">
        <v>43.8</v>
      </c>
      <c r="F857">
        <v>85</v>
      </c>
      <c r="G857" t="s">
        <v>752</v>
      </c>
      <c r="H857">
        <v>205</v>
      </c>
      <c r="I857">
        <v>80</v>
      </c>
      <c r="J857">
        <v>121</v>
      </c>
      <c r="K857" t="s">
        <v>23</v>
      </c>
      <c r="L857" t="s">
        <v>22</v>
      </c>
      <c r="M857" t="s">
        <v>37</v>
      </c>
      <c r="N857">
        <v>0.51500000000000001</v>
      </c>
      <c r="O857">
        <v>144</v>
      </c>
      <c r="P857">
        <v>96</v>
      </c>
      <c r="Q857" t="s">
        <v>38</v>
      </c>
      <c r="R857">
        <v>95</v>
      </c>
      <c r="S857">
        <v>20.059999999999999</v>
      </c>
      <c r="T857" t="s">
        <v>26</v>
      </c>
    </row>
    <row r="858" spans="1:20" x14ac:dyDescent="0.3">
      <c r="A858" t="s">
        <v>31</v>
      </c>
      <c r="B858">
        <v>40</v>
      </c>
      <c r="C858">
        <v>82.7</v>
      </c>
      <c r="D858">
        <v>1.9</v>
      </c>
      <c r="E858">
        <v>22.9</v>
      </c>
      <c r="F858">
        <v>95.7</v>
      </c>
      <c r="G858" t="s">
        <v>236</v>
      </c>
      <c r="H858">
        <v>119</v>
      </c>
      <c r="I858">
        <v>37</v>
      </c>
      <c r="J858">
        <v>146</v>
      </c>
      <c r="K858" t="s">
        <v>23</v>
      </c>
      <c r="L858" t="s">
        <v>22</v>
      </c>
      <c r="M858" t="s">
        <v>37</v>
      </c>
      <c r="N858">
        <v>0.504</v>
      </c>
      <c r="O858">
        <v>107</v>
      </c>
      <c r="P858">
        <v>88</v>
      </c>
      <c r="Q858" t="s">
        <v>29</v>
      </c>
      <c r="R858">
        <v>52</v>
      </c>
      <c r="S858">
        <v>12.31</v>
      </c>
      <c r="T858" t="s">
        <v>26</v>
      </c>
    </row>
    <row r="859" spans="1:20" x14ac:dyDescent="0.3">
      <c r="A859" t="s">
        <v>20</v>
      </c>
      <c r="B859">
        <v>34</v>
      </c>
      <c r="C859">
        <v>87.5</v>
      </c>
      <c r="D859">
        <v>1.73</v>
      </c>
      <c r="E859">
        <v>29.2</v>
      </c>
      <c r="F859">
        <v>99.9</v>
      </c>
      <c r="G859" t="s">
        <v>753</v>
      </c>
      <c r="H859">
        <v>135</v>
      </c>
      <c r="I859">
        <v>72</v>
      </c>
      <c r="J859">
        <v>110</v>
      </c>
      <c r="K859" t="s">
        <v>22</v>
      </c>
      <c r="L859" t="s">
        <v>22</v>
      </c>
      <c r="M859" t="s">
        <v>24</v>
      </c>
      <c r="N859">
        <v>0.57699999999999996</v>
      </c>
      <c r="O859">
        <v>118</v>
      </c>
      <c r="P859">
        <v>96</v>
      </c>
      <c r="Q859" t="s">
        <v>38</v>
      </c>
      <c r="R859">
        <v>33</v>
      </c>
      <c r="S859">
        <v>14.44</v>
      </c>
      <c r="T859" t="s">
        <v>26</v>
      </c>
    </row>
    <row r="860" spans="1:20" x14ac:dyDescent="0.3">
      <c r="A860" t="s">
        <v>20</v>
      </c>
      <c r="B860">
        <v>56</v>
      </c>
      <c r="C860">
        <v>56.3</v>
      </c>
      <c r="D860">
        <v>1.62</v>
      </c>
      <c r="E860">
        <v>21.5</v>
      </c>
      <c r="F860">
        <v>84.5</v>
      </c>
      <c r="G860" t="s">
        <v>754</v>
      </c>
      <c r="H860">
        <v>131</v>
      </c>
      <c r="I860">
        <v>61</v>
      </c>
      <c r="J860">
        <v>73</v>
      </c>
      <c r="K860" t="s">
        <v>22</v>
      </c>
      <c r="L860" t="s">
        <v>22</v>
      </c>
      <c r="M860" t="s">
        <v>24</v>
      </c>
      <c r="N860">
        <v>0.52200000000000002</v>
      </c>
      <c r="O860">
        <v>136</v>
      </c>
      <c r="P860">
        <v>75</v>
      </c>
      <c r="Q860" t="s">
        <v>29</v>
      </c>
      <c r="R860">
        <v>40</v>
      </c>
      <c r="S860">
        <v>13.72</v>
      </c>
      <c r="T860" t="s">
        <v>26</v>
      </c>
    </row>
    <row r="861" spans="1:20" x14ac:dyDescent="0.3">
      <c r="A861" t="s">
        <v>20</v>
      </c>
      <c r="B861">
        <v>46</v>
      </c>
      <c r="C861">
        <v>81.599999999999994</v>
      </c>
      <c r="D861">
        <v>1.88</v>
      </c>
      <c r="E861">
        <v>23.1</v>
      </c>
      <c r="F861">
        <v>80.2</v>
      </c>
      <c r="G861" t="s">
        <v>755</v>
      </c>
      <c r="H861">
        <v>130</v>
      </c>
      <c r="I861">
        <v>69</v>
      </c>
      <c r="J861">
        <v>83</v>
      </c>
      <c r="K861" t="s">
        <v>23</v>
      </c>
      <c r="L861" t="s">
        <v>23</v>
      </c>
      <c r="M861" t="s">
        <v>28</v>
      </c>
      <c r="O861">
        <v>117</v>
      </c>
      <c r="P861">
        <v>83</v>
      </c>
      <c r="Q861" t="s">
        <v>29</v>
      </c>
      <c r="R861">
        <v>31</v>
      </c>
      <c r="T861" t="s">
        <v>26</v>
      </c>
    </row>
    <row r="862" spans="1:20" x14ac:dyDescent="0.3">
      <c r="A862" t="s">
        <v>31</v>
      </c>
      <c r="B862">
        <v>43</v>
      </c>
      <c r="C862">
        <v>117.9</v>
      </c>
      <c r="D862">
        <v>1.9</v>
      </c>
      <c r="E862">
        <v>32.700000000000003</v>
      </c>
      <c r="F862">
        <v>93.1</v>
      </c>
      <c r="G862" t="s">
        <v>756</v>
      </c>
      <c r="H862">
        <v>293</v>
      </c>
      <c r="I862">
        <v>69</v>
      </c>
      <c r="J862">
        <v>125</v>
      </c>
      <c r="K862" t="s">
        <v>22</v>
      </c>
      <c r="L862" t="s">
        <v>22</v>
      </c>
      <c r="M862" t="s">
        <v>37</v>
      </c>
      <c r="N862">
        <v>0.49</v>
      </c>
      <c r="O862">
        <v>127</v>
      </c>
      <c r="P862">
        <v>99</v>
      </c>
      <c r="Q862" t="s">
        <v>38</v>
      </c>
      <c r="R862">
        <v>194</v>
      </c>
      <c r="S862">
        <v>18.75</v>
      </c>
      <c r="T862" t="s">
        <v>26</v>
      </c>
    </row>
    <row r="863" spans="1:20" x14ac:dyDescent="0.3">
      <c r="A863" t="s">
        <v>20</v>
      </c>
      <c r="B863">
        <v>43</v>
      </c>
      <c r="C863">
        <v>114.2</v>
      </c>
      <c r="E863">
        <v>40.9</v>
      </c>
      <c r="F863">
        <v>91.1</v>
      </c>
      <c r="G863" t="s">
        <v>757</v>
      </c>
      <c r="H863">
        <v>263</v>
      </c>
      <c r="I863">
        <v>70</v>
      </c>
      <c r="J863">
        <v>78</v>
      </c>
      <c r="K863" t="s">
        <v>23</v>
      </c>
      <c r="L863" t="s">
        <v>23</v>
      </c>
      <c r="M863" t="s">
        <v>24</v>
      </c>
      <c r="N863">
        <v>0.54600000000000004</v>
      </c>
      <c r="O863">
        <v>146</v>
      </c>
      <c r="P863">
        <v>60</v>
      </c>
      <c r="Q863" t="s">
        <v>38</v>
      </c>
      <c r="R863">
        <v>163</v>
      </c>
      <c r="S863">
        <v>22.74</v>
      </c>
      <c r="T863" t="s">
        <v>30</v>
      </c>
    </row>
    <row r="864" spans="1:20" x14ac:dyDescent="0.3">
      <c r="A864" t="s">
        <v>31</v>
      </c>
      <c r="B864">
        <v>32</v>
      </c>
      <c r="C864">
        <v>111.1</v>
      </c>
      <c r="D864">
        <v>1.72</v>
      </c>
      <c r="E864">
        <v>37.6</v>
      </c>
      <c r="F864">
        <v>86.9</v>
      </c>
      <c r="G864" t="s">
        <v>758</v>
      </c>
      <c r="H864">
        <v>246</v>
      </c>
      <c r="I864">
        <v>61</v>
      </c>
      <c r="J864">
        <v>98</v>
      </c>
      <c r="K864" t="s">
        <v>23</v>
      </c>
      <c r="L864" t="s">
        <v>22</v>
      </c>
      <c r="M864" t="s">
        <v>24</v>
      </c>
      <c r="N864">
        <v>0.505</v>
      </c>
      <c r="O864">
        <v>138</v>
      </c>
      <c r="P864">
        <v>68</v>
      </c>
      <c r="Q864" t="s">
        <v>29</v>
      </c>
      <c r="R864">
        <v>155</v>
      </c>
      <c r="S864">
        <v>19.34</v>
      </c>
      <c r="T864" t="s">
        <v>30</v>
      </c>
    </row>
    <row r="865" spans="1:20" x14ac:dyDescent="0.3">
      <c r="A865" t="s">
        <v>20</v>
      </c>
      <c r="B865">
        <v>48</v>
      </c>
      <c r="C865">
        <v>102.2</v>
      </c>
      <c r="D865">
        <v>1.83</v>
      </c>
      <c r="E865">
        <v>30.5</v>
      </c>
      <c r="F865">
        <v>109.1</v>
      </c>
      <c r="G865" t="s">
        <v>759</v>
      </c>
      <c r="H865">
        <v>191</v>
      </c>
      <c r="I865">
        <v>37</v>
      </c>
      <c r="J865">
        <v>99</v>
      </c>
      <c r="K865" t="s">
        <v>23</v>
      </c>
      <c r="L865" t="s">
        <v>23</v>
      </c>
      <c r="M865" t="s">
        <v>24</v>
      </c>
      <c r="N865">
        <v>0.59599999999999997</v>
      </c>
      <c r="O865">
        <v>118</v>
      </c>
      <c r="P865">
        <v>67</v>
      </c>
      <c r="Q865" t="s">
        <v>33</v>
      </c>
      <c r="R865">
        <v>124</v>
      </c>
      <c r="S865">
        <v>17.82</v>
      </c>
      <c r="T865" t="s">
        <v>30</v>
      </c>
    </row>
    <row r="866" spans="1:20" x14ac:dyDescent="0.3">
      <c r="A866" t="s">
        <v>31</v>
      </c>
      <c r="B866">
        <v>42</v>
      </c>
      <c r="C866">
        <v>60.3</v>
      </c>
      <c r="D866">
        <v>1.78</v>
      </c>
      <c r="E866">
        <v>19</v>
      </c>
      <c r="F866">
        <v>108.4</v>
      </c>
      <c r="G866" t="s">
        <v>760</v>
      </c>
      <c r="H866">
        <v>123</v>
      </c>
      <c r="I866">
        <v>35</v>
      </c>
      <c r="J866">
        <v>101</v>
      </c>
      <c r="K866" t="s">
        <v>23</v>
      </c>
      <c r="L866" t="s">
        <v>22</v>
      </c>
      <c r="M866" t="s">
        <v>28</v>
      </c>
      <c r="N866">
        <v>0.60899999999999999</v>
      </c>
      <c r="O866">
        <v>128</v>
      </c>
      <c r="P866">
        <v>60</v>
      </c>
      <c r="Q866" t="s">
        <v>25</v>
      </c>
      <c r="R866">
        <v>58</v>
      </c>
      <c r="S866">
        <v>12.66</v>
      </c>
      <c r="T866" t="s">
        <v>26</v>
      </c>
    </row>
    <row r="867" spans="1:20" x14ac:dyDescent="0.3">
      <c r="A867" t="s">
        <v>31</v>
      </c>
      <c r="B867">
        <v>36</v>
      </c>
      <c r="C867">
        <v>68.099999999999994</v>
      </c>
      <c r="D867">
        <v>1.76</v>
      </c>
      <c r="E867">
        <v>22</v>
      </c>
      <c r="F867">
        <v>80.099999999999994</v>
      </c>
      <c r="G867" t="s">
        <v>761</v>
      </c>
      <c r="H867">
        <v>202</v>
      </c>
      <c r="I867">
        <v>59</v>
      </c>
      <c r="J867">
        <v>91</v>
      </c>
      <c r="K867" t="s">
        <v>23</v>
      </c>
      <c r="L867" t="s">
        <v>22</v>
      </c>
      <c r="M867" t="s">
        <v>24</v>
      </c>
      <c r="N867">
        <v>0.45500000000000002</v>
      </c>
      <c r="O867">
        <v>111</v>
      </c>
      <c r="P867">
        <v>77</v>
      </c>
      <c r="Q867" t="s">
        <v>33</v>
      </c>
      <c r="R867">
        <v>113</v>
      </c>
      <c r="S867">
        <v>13.99</v>
      </c>
      <c r="T867" t="s">
        <v>26</v>
      </c>
    </row>
    <row r="868" spans="1:20" x14ac:dyDescent="0.3">
      <c r="A868" t="s">
        <v>20</v>
      </c>
      <c r="B868">
        <v>43</v>
      </c>
      <c r="C868">
        <v>58</v>
      </c>
      <c r="D868">
        <v>1.85</v>
      </c>
      <c r="E868">
        <v>16.899999999999999</v>
      </c>
      <c r="F868">
        <v>74.599999999999994</v>
      </c>
      <c r="G868" t="s">
        <v>762</v>
      </c>
      <c r="H868">
        <v>218</v>
      </c>
      <c r="I868">
        <v>78</v>
      </c>
      <c r="J868">
        <v>88</v>
      </c>
      <c r="K868" t="s">
        <v>22</v>
      </c>
      <c r="L868" t="s">
        <v>22</v>
      </c>
      <c r="M868" t="s">
        <v>37</v>
      </c>
      <c r="N868">
        <v>0.40300000000000002</v>
      </c>
      <c r="O868">
        <v>102</v>
      </c>
      <c r="P868">
        <v>92</v>
      </c>
      <c r="Q868" t="s">
        <v>38</v>
      </c>
      <c r="R868">
        <v>110</v>
      </c>
      <c r="T868" t="s">
        <v>52</v>
      </c>
    </row>
    <row r="869" spans="1:20" x14ac:dyDescent="0.3">
      <c r="A869" t="s">
        <v>20</v>
      </c>
      <c r="B869">
        <v>50</v>
      </c>
      <c r="C869">
        <v>90.8</v>
      </c>
      <c r="D869">
        <v>1.86</v>
      </c>
      <c r="E869">
        <v>26.2</v>
      </c>
      <c r="F869">
        <v>71.099999999999994</v>
      </c>
      <c r="G869" t="s">
        <v>423</v>
      </c>
      <c r="H869">
        <v>100</v>
      </c>
      <c r="J869">
        <v>121</v>
      </c>
      <c r="K869" t="s">
        <v>22</v>
      </c>
      <c r="L869" t="s">
        <v>22</v>
      </c>
      <c r="M869" t="s">
        <v>24</v>
      </c>
      <c r="N869">
        <v>0.38200000000000001</v>
      </c>
      <c r="O869">
        <v>141</v>
      </c>
      <c r="P869">
        <v>70</v>
      </c>
      <c r="Q869" t="s">
        <v>38</v>
      </c>
      <c r="R869">
        <v>28</v>
      </c>
      <c r="S869">
        <v>14.29</v>
      </c>
      <c r="T869" t="s">
        <v>26</v>
      </c>
    </row>
    <row r="870" spans="1:20" x14ac:dyDescent="0.3">
      <c r="A870" t="s">
        <v>31</v>
      </c>
      <c r="B870">
        <v>59</v>
      </c>
      <c r="C870">
        <v>70.5</v>
      </c>
      <c r="D870">
        <v>1.61</v>
      </c>
      <c r="E870">
        <v>27.2</v>
      </c>
      <c r="F870">
        <v>107.3</v>
      </c>
      <c r="G870" t="s">
        <v>763</v>
      </c>
      <c r="H870">
        <v>219</v>
      </c>
      <c r="I870">
        <v>71</v>
      </c>
      <c r="J870">
        <v>140</v>
      </c>
      <c r="K870" t="s">
        <v>23</v>
      </c>
      <c r="L870" t="s">
        <v>22</v>
      </c>
      <c r="M870" t="s">
        <v>24</v>
      </c>
      <c r="N870">
        <v>0.66600000000000004</v>
      </c>
      <c r="O870">
        <v>122</v>
      </c>
      <c r="P870">
        <v>94</v>
      </c>
      <c r="Q870" t="s">
        <v>38</v>
      </c>
      <c r="R870">
        <v>118</v>
      </c>
      <c r="S870">
        <v>15.92</v>
      </c>
      <c r="T870" t="s">
        <v>30</v>
      </c>
    </row>
    <row r="871" spans="1:20" x14ac:dyDescent="0.3">
      <c r="A871" t="s">
        <v>31</v>
      </c>
      <c r="B871">
        <v>34</v>
      </c>
      <c r="C871">
        <v>110.9</v>
      </c>
      <c r="D871">
        <v>1.71</v>
      </c>
      <c r="E871">
        <v>37.9</v>
      </c>
      <c r="F871">
        <v>70.5</v>
      </c>
      <c r="G871" t="s">
        <v>177</v>
      </c>
      <c r="H871">
        <v>298</v>
      </c>
      <c r="I871">
        <v>63</v>
      </c>
      <c r="J871">
        <v>120</v>
      </c>
      <c r="K871" t="s">
        <v>22</v>
      </c>
      <c r="L871" t="s">
        <v>23</v>
      </c>
      <c r="M871" t="s">
        <v>24</v>
      </c>
      <c r="N871">
        <v>0.41199999999999998</v>
      </c>
      <c r="O871">
        <v>127</v>
      </c>
      <c r="P871">
        <v>77</v>
      </c>
      <c r="Q871" t="s">
        <v>25</v>
      </c>
      <c r="R871">
        <v>205</v>
      </c>
      <c r="S871">
        <v>21.89</v>
      </c>
      <c r="T871" t="s">
        <v>30</v>
      </c>
    </row>
    <row r="872" spans="1:20" x14ac:dyDescent="0.3">
      <c r="A872" t="s">
        <v>31</v>
      </c>
      <c r="B872">
        <v>52</v>
      </c>
      <c r="D872">
        <v>1.83</v>
      </c>
      <c r="E872">
        <v>17.100000000000001</v>
      </c>
      <c r="F872">
        <v>79.400000000000006</v>
      </c>
      <c r="G872" t="s">
        <v>764</v>
      </c>
      <c r="H872">
        <v>245</v>
      </c>
      <c r="I872">
        <v>55</v>
      </c>
      <c r="J872">
        <v>148</v>
      </c>
      <c r="K872" t="s">
        <v>22</v>
      </c>
      <c r="L872" t="s">
        <v>22</v>
      </c>
      <c r="M872" t="s">
        <v>24</v>
      </c>
      <c r="N872">
        <v>0.434</v>
      </c>
      <c r="O872">
        <v>132</v>
      </c>
      <c r="P872">
        <v>77</v>
      </c>
      <c r="Q872" t="s">
        <v>29</v>
      </c>
      <c r="R872">
        <v>160</v>
      </c>
      <c r="S872">
        <v>14.92</v>
      </c>
      <c r="T872" t="s">
        <v>30</v>
      </c>
    </row>
    <row r="873" spans="1:20" x14ac:dyDescent="0.3">
      <c r="A873" t="s">
        <v>31</v>
      </c>
      <c r="B873">
        <v>36</v>
      </c>
      <c r="C873">
        <v>62.1</v>
      </c>
      <c r="D873">
        <v>1.73</v>
      </c>
      <c r="E873">
        <v>20.7</v>
      </c>
      <c r="F873">
        <v>82</v>
      </c>
      <c r="G873" t="s">
        <v>765</v>
      </c>
      <c r="H873">
        <v>150</v>
      </c>
      <c r="I873">
        <v>34</v>
      </c>
      <c r="K873" t="s">
        <v>22</v>
      </c>
      <c r="L873" t="s">
        <v>22</v>
      </c>
      <c r="M873" t="s">
        <v>37</v>
      </c>
      <c r="N873">
        <v>0.47399999999999998</v>
      </c>
      <c r="O873">
        <v>91</v>
      </c>
      <c r="P873">
        <v>91</v>
      </c>
      <c r="Q873" t="s">
        <v>38</v>
      </c>
      <c r="R873">
        <v>86</v>
      </c>
      <c r="S873">
        <v>11.69</v>
      </c>
      <c r="T873" t="s">
        <v>52</v>
      </c>
    </row>
    <row r="874" spans="1:20" x14ac:dyDescent="0.3">
      <c r="A874" t="s">
        <v>31</v>
      </c>
      <c r="B874">
        <v>33</v>
      </c>
      <c r="C874">
        <v>108.7</v>
      </c>
      <c r="D874">
        <v>1.86</v>
      </c>
      <c r="F874">
        <v>96.9</v>
      </c>
      <c r="G874" t="s">
        <v>165</v>
      </c>
      <c r="H874">
        <v>250</v>
      </c>
      <c r="I874">
        <v>47</v>
      </c>
      <c r="J874">
        <v>106</v>
      </c>
      <c r="K874" t="s">
        <v>22</v>
      </c>
      <c r="L874" t="s">
        <v>22</v>
      </c>
      <c r="M874" t="s">
        <v>24</v>
      </c>
      <c r="N874">
        <v>0.52100000000000002</v>
      </c>
      <c r="O874">
        <v>130</v>
      </c>
      <c r="Q874" t="s">
        <v>29</v>
      </c>
      <c r="R874">
        <v>173</v>
      </c>
      <c r="S874">
        <v>17.78</v>
      </c>
      <c r="T874" t="s">
        <v>30</v>
      </c>
    </row>
    <row r="875" spans="1:20" x14ac:dyDescent="0.3">
      <c r="A875" t="s">
        <v>20</v>
      </c>
      <c r="B875">
        <v>59</v>
      </c>
      <c r="C875">
        <v>91.2</v>
      </c>
      <c r="D875">
        <v>1.89</v>
      </c>
      <c r="E875">
        <v>25.5</v>
      </c>
      <c r="F875">
        <v>106.5</v>
      </c>
      <c r="G875" t="s">
        <v>766</v>
      </c>
      <c r="H875">
        <v>286</v>
      </c>
      <c r="I875">
        <v>30</v>
      </c>
      <c r="K875" t="s">
        <v>23</v>
      </c>
      <c r="L875" t="s">
        <v>22</v>
      </c>
      <c r="M875" t="s">
        <v>28</v>
      </c>
      <c r="N875">
        <v>0.56299999999999994</v>
      </c>
      <c r="O875">
        <v>95</v>
      </c>
      <c r="P875">
        <v>89</v>
      </c>
      <c r="Q875" t="s">
        <v>29</v>
      </c>
      <c r="R875">
        <v>226</v>
      </c>
      <c r="T875" t="s">
        <v>30</v>
      </c>
    </row>
    <row r="876" spans="1:20" x14ac:dyDescent="0.3">
      <c r="A876" t="s">
        <v>31</v>
      </c>
      <c r="B876">
        <v>52</v>
      </c>
      <c r="C876">
        <v>83.2</v>
      </c>
      <c r="D876">
        <v>1.86</v>
      </c>
      <c r="E876">
        <v>24</v>
      </c>
      <c r="F876">
        <v>108.2</v>
      </c>
      <c r="G876" t="s">
        <v>767</v>
      </c>
      <c r="H876">
        <v>129</v>
      </c>
      <c r="I876">
        <v>42</v>
      </c>
      <c r="J876">
        <v>83</v>
      </c>
      <c r="K876" t="s">
        <v>22</v>
      </c>
      <c r="L876" t="s">
        <v>22</v>
      </c>
      <c r="M876" t="s">
        <v>37</v>
      </c>
      <c r="N876">
        <v>0.58199999999999996</v>
      </c>
      <c r="O876">
        <v>143</v>
      </c>
      <c r="P876">
        <v>81</v>
      </c>
      <c r="Q876" t="s">
        <v>29</v>
      </c>
      <c r="R876">
        <v>57</v>
      </c>
      <c r="S876">
        <v>14.53</v>
      </c>
      <c r="T876" t="s">
        <v>52</v>
      </c>
    </row>
    <row r="877" spans="1:20" x14ac:dyDescent="0.3">
      <c r="A877" t="s">
        <v>31</v>
      </c>
      <c r="B877">
        <v>50</v>
      </c>
      <c r="C877">
        <v>87.4</v>
      </c>
      <c r="D877">
        <v>1.77</v>
      </c>
      <c r="E877">
        <v>27.9</v>
      </c>
      <c r="F877">
        <v>79.2</v>
      </c>
      <c r="G877" t="s">
        <v>768</v>
      </c>
      <c r="H877">
        <v>287</v>
      </c>
      <c r="I877">
        <v>35</v>
      </c>
      <c r="J877">
        <v>117</v>
      </c>
      <c r="K877" t="s">
        <v>22</v>
      </c>
      <c r="L877" t="s">
        <v>23</v>
      </c>
      <c r="M877" t="s">
        <v>37</v>
      </c>
      <c r="N877">
        <v>0.44700000000000001</v>
      </c>
      <c r="O877">
        <v>94</v>
      </c>
      <c r="P877">
        <v>69</v>
      </c>
      <c r="Q877" t="s">
        <v>33</v>
      </c>
      <c r="R877">
        <v>222</v>
      </c>
      <c r="T877" t="s">
        <v>30</v>
      </c>
    </row>
    <row r="878" spans="1:20" x14ac:dyDescent="0.3">
      <c r="A878" t="s">
        <v>31</v>
      </c>
      <c r="B878">
        <v>41</v>
      </c>
      <c r="C878">
        <v>52.1</v>
      </c>
      <c r="D878">
        <v>1.65</v>
      </c>
      <c r="E878">
        <v>19.100000000000001</v>
      </c>
      <c r="F878">
        <v>81.2</v>
      </c>
      <c r="G878" t="s">
        <v>494</v>
      </c>
      <c r="H878">
        <v>119</v>
      </c>
      <c r="I878">
        <v>54</v>
      </c>
      <c r="J878">
        <v>97</v>
      </c>
      <c r="K878" t="s">
        <v>23</v>
      </c>
      <c r="L878" t="s">
        <v>22</v>
      </c>
      <c r="M878" t="s">
        <v>28</v>
      </c>
      <c r="N878">
        <v>0.49199999999999999</v>
      </c>
      <c r="O878">
        <v>102</v>
      </c>
      <c r="P878">
        <v>62</v>
      </c>
      <c r="Q878" t="s">
        <v>33</v>
      </c>
      <c r="R878">
        <v>35</v>
      </c>
      <c r="S878">
        <v>11.3</v>
      </c>
      <c r="T878" t="s">
        <v>26</v>
      </c>
    </row>
    <row r="879" spans="1:20" x14ac:dyDescent="0.3">
      <c r="A879" t="s">
        <v>31</v>
      </c>
      <c r="B879">
        <v>47</v>
      </c>
      <c r="C879">
        <v>109.3</v>
      </c>
      <c r="D879">
        <v>1.67</v>
      </c>
      <c r="E879">
        <v>39.200000000000003</v>
      </c>
      <c r="F879">
        <v>96.2</v>
      </c>
      <c r="G879" t="s">
        <v>769</v>
      </c>
      <c r="H879">
        <v>109</v>
      </c>
      <c r="I879">
        <v>30</v>
      </c>
      <c r="J879">
        <v>130</v>
      </c>
      <c r="K879" t="s">
        <v>22</v>
      </c>
      <c r="L879" t="s">
        <v>22</v>
      </c>
      <c r="M879" t="s">
        <v>24</v>
      </c>
      <c r="N879">
        <v>0.57599999999999996</v>
      </c>
      <c r="O879">
        <v>141</v>
      </c>
      <c r="P879">
        <v>63</v>
      </c>
      <c r="Q879" t="s">
        <v>38</v>
      </c>
      <c r="R879">
        <v>49</v>
      </c>
      <c r="S879">
        <v>17.07</v>
      </c>
      <c r="T879" t="s">
        <v>30</v>
      </c>
    </row>
    <row r="880" spans="1:20" x14ac:dyDescent="0.3">
      <c r="A880" t="s">
        <v>20</v>
      </c>
      <c r="B880">
        <v>56</v>
      </c>
      <c r="C880">
        <v>67.099999999999994</v>
      </c>
      <c r="D880">
        <v>1.85</v>
      </c>
      <c r="E880">
        <v>19.600000000000001</v>
      </c>
      <c r="F880">
        <v>96.8</v>
      </c>
      <c r="G880" t="s">
        <v>770</v>
      </c>
      <c r="H880">
        <v>184</v>
      </c>
      <c r="I880">
        <v>40</v>
      </c>
      <c r="J880">
        <v>82</v>
      </c>
      <c r="K880" t="s">
        <v>22</v>
      </c>
      <c r="L880" t="s">
        <v>22</v>
      </c>
      <c r="M880" t="s">
        <v>28</v>
      </c>
      <c r="N880">
        <v>0.52300000000000002</v>
      </c>
      <c r="O880">
        <v>111</v>
      </c>
      <c r="P880">
        <v>72</v>
      </c>
      <c r="Q880" t="s">
        <v>33</v>
      </c>
      <c r="R880">
        <v>114</v>
      </c>
      <c r="S880">
        <v>13.15</v>
      </c>
      <c r="T880" t="s">
        <v>26</v>
      </c>
    </row>
    <row r="881" spans="1:20" x14ac:dyDescent="0.3">
      <c r="A881" t="s">
        <v>20</v>
      </c>
      <c r="B881">
        <v>45</v>
      </c>
      <c r="C881">
        <v>64.3</v>
      </c>
      <c r="D881">
        <v>1.89</v>
      </c>
      <c r="E881">
        <v>18</v>
      </c>
      <c r="F881">
        <v>108.6</v>
      </c>
      <c r="G881" t="s">
        <v>126</v>
      </c>
      <c r="H881">
        <v>261</v>
      </c>
      <c r="I881">
        <v>55</v>
      </c>
      <c r="J881">
        <v>82</v>
      </c>
      <c r="K881" t="s">
        <v>22</v>
      </c>
      <c r="L881" t="s">
        <v>22</v>
      </c>
      <c r="M881" t="s">
        <v>28</v>
      </c>
      <c r="N881">
        <v>0.57499999999999996</v>
      </c>
      <c r="P881">
        <v>91</v>
      </c>
      <c r="Q881" t="s">
        <v>38</v>
      </c>
      <c r="R881">
        <v>176</v>
      </c>
      <c r="S881">
        <v>13.82</v>
      </c>
      <c r="T881" t="s">
        <v>26</v>
      </c>
    </row>
    <row r="882" spans="1:20" x14ac:dyDescent="0.3">
      <c r="A882" t="s">
        <v>31</v>
      </c>
      <c r="B882">
        <v>52</v>
      </c>
      <c r="C882">
        <v>72.599999999999994</v>
      </c>
      <c r="D882">
        <v>1.83</v>
      </c>
      <c r="E882">
        <v>21.7</v>
      </c>
      <c r="F882">
        <v>96.7</v>
      </c>
      <c r="G882" t="s">
        <v>771</v>
      </c>
      <c r="H882">
        <v>126</v>
      </c>
      <c r="I882">
        <v>57</v>
      </c>
      <c r="J882">
        <v>97</v>
      </c>
      <c r="K882" t="s">
        <v>22</v>
      </c>
      <c r="L882" t="s">
        <v>23</v>
      </c>
      <c r="M882" t="s">
        <v>37</v>
      </c>
      <c r="N882">
        <v>0.52800000000000002</v>
      </c>
      <c r="O882">
        <v>121</v>
      </c>
      <c r="P882">
        <v>65</v>
      </c>
      <c r="Q882" t="s">
        <v>25</v>
      </c>
      <c r="R882">
        <v>39</v>
      </c>
      <c r="S882">
        <v>14.91</v>
      </c>
      <c r="T882" t="s">
        <v>26</v>
      </c>
    </row>
    <row r="883" spans="1:20" x14ac:dyDescent="0.3">
      <c r="A883" t="s">
        <v>31</v>
      </c>
      <c r="B883">
        <v>44</v>
      </c>
      <c r="C883">
        <v>54.6</v>
      </c>
      <c r="D883">
        <v>1.84</v>
      </c>
      <c r="E883">
        <v>16.100000000000001</v>
      </c>
      <c r="F883">
        <v>110</v>
      </c>
      <c r="G883" t="s">
        <v>530</v>
      </c>
      <c r="H883">
        <v>277</v>
      </c>
      <c r="I883">
        <v>67</v>
      </c>
      <c r="J883">
        <v>87</v>
      </c>
      <c r="K883" t="s">
        <v>23</v>
      </c>
      <c r="L883" t="s">
        <v>22</v>
      </c>
      <c r="M883" t="s">
        <v>24</v>
      </c>
      <c r="N883">
        <v>0.59799999999999998</v>
      </c>
      <c r="O883">
        <v>147</v>
      </c>
      <c r="P883">
        <v>79</v>
      </c>
      <c r="Q883" t="s">
        <v>38</v>
      </c>
      <c r="R883">
        <v>180</v>
      </c>
      <c r="S883">
        <v>16.11</v>
      </c>
      <c r="T883" t="s">
        <v>30</v>
      </c>
    </row>
    <row r="884" spans="1:20" x14ac:dyDescent="0.3">
      <c r="A884" t="s">
        <v>20</v>
      </c>
      <c r="B884">
        <v>31</v>
      </c>
      <c r="C884">
        <v>87</v>
      </c>
      <c r="D884">
        <v>1.66</v>
      </c>
      <c r="E884">
        <v>31.6</v>
      </c>
      <c r="F884">
        <v>91.5</v>
      </c>
      <c r="G884" t="s">
        <v>296</v>
      </c>
      <c r="H884">
        <v>207</v>
      </c>
      <c r="I884">
        <v>56</v>
      </c>
      <c r="J884">
        <v>82</v>
      </c>
      <c r="K884" t="s">
        <v>22</v>
      </c>
      <c r="L884" t="s">
        <v>22</v>
      </c>
      <c r="M884" t="s">
        <v>24</v>
      </c>
      <c r="N884">
        <v>0.55100000000000005</v>
      </c>
      <c r="O884">
        <v>139</v>
      </c>
      <c r="P884">
        <v>81</v>
      </c>
      <c r="Q884" t="s">
        <v>29</v>
      </c>
      <c r="R884">
        <v>121</v>
      </c>
      <c r="S884">
        <v>17.41</v>
      </c>
      <c r="T884" t="s">
        <v>30</v>
      </c>
    </row>
    <row r="885" spans="1:20" x14ac:dyDescent="0.3">
      <c r="A885" t="s">
        <v>31</v>
      </c>
      <c r="B885">
        <v>33</v>
      </c>
      <c r="C885">
        <v>94.7</v>
      </c>
      <c r="D885">
        <v>1.79</v>
      </c>
      <c r="F885">
        <v>89.8</v>
      </c>
      <c r="G885" t="s">
        <v>772</v>
      </c>
      <c r="H885">
        <v>248</v>
      </c>
      <c r="I885">
        <v>50</v>
      </c>
      <c r="J885">
        <v>130</v>
      </c>
      <c r="K885" t="s">
        <v>23</v>
      </c>
      <c r="L885" t="s">
        <v>23</v>
      </c>
      <c r="M885" t="s">
        <v>37</v>
      </c>
      <c r="N885">
        <v>0.502</v>
      </c>
      <c r="O885">
        <v>119</v>
      </c>
      <c r="P885">
        <v>60</v>
      </c>
      <c r="Q885" t="s">
        <v>33</v>
      </c>
      <c r="R885">
        <v>168</v>
      </c>
      <c r="T885" t="s">
        <v>30</v>
      </c>
    </row>
    <row r="886" spans="1:20" x14ac:dyDescent="0.3">
      <c r="A886" t="s">
        <v>31</v>
      </c>
      <c r="B886">
        <v>53</v>
      </c>
      <c r="C886">
        <v>101.3</v>
      </c>
      <c r="D886">
        <v>1.73</v>
      </c>
      <c r="E886">
        <v>33.799999999999997</v>
      </c>
      <c r="F886">
        <v>86.5</v>
      </c>
      <c r="G886" t="s">
        <v>773</v>
      </c>
      <c r="H886">
        <v>132</v>
      </c>
      <c r="I886">
        <v>80</v>
      </c>
      <c r="J886">
        <v>128</v>
      </c>
      <c r="K886" t="s">
        <v>22</v>
      </c>
      <c r="L886" t="s">
        <v>22</v>
      </c>
      <c r="M886" t="s">
        <v>28</v>
      </c>
      <c r="N886">
        <v>0.5</v>
      </c>
      <c r="O886">
        <v>114</v>
      </c>
      <c r="P886">
        <v>86</v>
      </c>
      <c r="Q886" t="s">
        <v>29</v>
      </c>
      <c r="R886">
        <v>22</v>
      </c>
      <c r="S886">
        <v>15.1</v>
      </c>
      <c r="T886" t="s">
        <v>26</v>
      </c>
    </row>
    <row r="887" spans="1:20" x14ac:dyDescent="0.3">
      <c r="A887" t="s">
        <v>20</v>
      </c>
      <c r="B887">
        <v>57</v>
      </c>
      <c r="C887">
        <v>60</v>
      </c>
      <c r="D887">
        <v>1.7</v>
      </c>
      <c r="E887">
        <v>20.8</v>
      </c>
      <c r="F887">
        <v>88.8</v>
      </c>
      <c r="G887" t="s">
        <v>774</v>
      </c>
      <c r="H887">
        <v>237</v>
      </c>
      <c r="I887">
        <v>78</v>
      </c>
      <c r="J887">
        <v>90</v>
      </c>
      <c r="K887" t="s">
        <v>22</v>
      </c>
      <c r="L887" t="s">
        <v>22</v>
      </c>
      <c r="M887" t="s">
        <v>24</v>
      </c>
      <c r="N887">
        <v>0.52200000000000002</v>
      </c>
      <c r="O887">
        <v>114</v>
      </c>
      <c r="P887">
        <v>73</v>
      </c>
      <c r="Q887" t="s">
        <v>33</v>
      </c>
      <c r="R887">
        <v>129</v>
      </c>
      <c r="S887">
        <v>14.6</v>
      </c>
      <c r="T887" t="s">
        <v>26</v>
      </c>
    </row>
    <row r="888" spans="1:20" x14ac:dyDescent="0.3">
      <c r="A888" t="s">
        <v>31</v>
      </c>
      <c r="B888">
        <v>43</v>
      </c>
      <c r="C888">
        <v>70</v>
      </c>
      <c r="D888">
        <v>1.74</v>
      </c>
      <c r="E888">
        <v>23.1</v>
      </c>
      <c r="F888">
        <v>95.9</v>
      </c>
      <c r="G888" t="s">
        <v>336</v>
      </c>
      <c r="H888">
        <v>184</v>
      </c>
      <c r="I888">
        <v>44</v>
      </c>
      <c r="J888">
        <v>80</v>
      </c>
      <c r="K888" t="s">
        <v>23</v>
      </c>
      <c r="L888" t="s">
        <v>23</v>
      </c>
      <c r="M888" t="s">
        <v>24</v>
      </c>
      <c r="N888">
        <v>0.55100000000000005</v>
      </c>
      <c r="O888">
        <v>99</v>
      </c>
      <c r="P888">
        <v>70</v>
      </c>
      <c r="Q888" t="s">
        <v>33</v>
      </c>
      <c r="S888">
        <v>15.25</v>
      </c>
      <c r="T888" t="s">
        <v>30</v>
      </c>
    </row>
    <row r="889" spans="1:20" x14ac:dyDescent="0.3">
      <c r="A889" t="s">
        <v>20</v>
      </c>
      <c r="B889">
        <v>58</v>
      </c>
      <c r="C889">
        <v>103.5</v>
      </c>
      <c r="D889">
        <v>1.79</v>
      </c>
      <c r="E889">
        <v>32.299999999999997</v>
      </c>
      <c r="F889">
        <v>101</v>
      </c>
      <c r="G889" t="s">
        <v>775</v>
      </c>
      <c r="H889">
        <v>270</v>
      </c>
      <c r="I889">
        <v>39</v>
      </c>
      <c r="J889">
        <v>84</v>
      </c>
      <c r="K889" t="s">
        <v>23</v>
      </c>
      <c r="L889" t="s">
        <v>23</v>
      </c>
      <c r="M889" t="s">
        <v>28</v>
      </c>
      <c r="N889">
        <v>0.56399999999999995</v>
      </c>
      <c r="O889">
        <v>123</v>
      </c>
      <c r="P889">
        <v>76</v>
      </c>
      <c r="Q889" t="s">
        <v>25</v>
      </c>
      <c r="R889">
        <v>201</v>
      </c>
      <c r="S889">
        <v>20.010000000000002</v>
      </c>
      <c r="T889" t="s">
        <v>30</v>
      </c>
    </row>
    <row r="890" spans="1:20" x14ac:dyDescent="0.3">
      <c r="A890" t="s">
        <v>31</v>
      </c>
      <c r="B890">
        <v>56</v>
      </c>
      <c r="C890">
        <v>55.4</v>
      </c>
      <c r="D890">
        <v>1.87</v>
      </c>
      <c r="E890">
        <v>15.8</v>
      </c>
      <c r="F890">
        <v>99.1</v>
      </c>
      <c r="G890" t="s">
        <v>776</v>
      </c>
      <c r="H890">
        <v>209</v>
      </c>
      <c r="I890">
        <v>38</v>
      </c>
      <c r="J890">
        <v>81</v>
      </c>
      <c r="K890" t="s">
        <v>22</v>
      </c>
      <c r="L890" t="s">
        <v>22</v>
      </c>
      <c r="M890" t="s">
        <v>28</v>
      </c>
      <c r="N890">
        <v>0.53</v>
      </c>
      <c r="O890">
        <v>124</v>
      </c>
      <c r="P890">
        <v>78</v>
      </c>
      <c r="Q890" t="s">
        <v>25</v>
      </c>
      <c r="R890">
        <v>141</v>
      </c>
      <c r="S890">
        <v>13.54</v>
      </c>
      <c r="T890" t="s">
        <v>26</v>
      </c>
    </row>
    <row r="891" spans="1:20" x14ac:dyDescent="0.3">
      <c r="A891" t="s">
        <v>20</v>
      </c>
      <c r="B891">
        <v>34</v>
      </c>
      <c r="C891">
        <v>89.8</v>
      </c>
      <c r="D891">
        <v>1.69</v>
      </c>
      <c r="F891">
        <v>88.3</v>
      </c>
      <c r="G891" t="s">
        <v>777</v>
      </c>
      <c r="H891">
        <v>174</v>
      </c>
      <c r="J891">
        <v>140</v>
      </c>
      <c r="K891" t="s">
        <v>22</v>
      </c>
      <c r="L891" t="s">
        <v>22</v>
      </c>
      <c r="M891" t="s">
        <v>37</v>
      </c>
      <c r="N891">
        <v>0.52200000000000002</v>
      </c>
      <c r="O891">
        <v>109</v>
      </c>
      <c r="P891">
        <v>61</v>
      </c>
      <c r="Q891" t="s">
        <v>33</v>
      </c>
      <c r="R891">
        <v>108</v>
      </c>
      <c r="S891">
        <v>15.21</v>
      </c>
      <c r="T891" t="s">
        <v>26</v>
      </c>
    </row>
    <row r="892" spans="1:20" x14ac:dyDescent="0.3">
      <c r="A892" t="s">
        <v>31</v>
      </c>
      <c r="B892">
        <v>34</v>
      </c>
      <c r="C892">
        <v>66.400000000000006</v>
      </c>
      <c r="D892">
        <v>1.88</v>
      </c>
      <c r="E892">
        <v>18.8</v>
      </c>
      <c r="F892">
        <v>106.3</v>
      </c>
      <c r="G892" t="s">
        <v>778</v>
      </c>
      <c r="H892">
        <v>283</v>
      </c>
      <c r="I892">
        <v>65</v>
      </c>
      <c r="J892">
        <v>97</v>
      </c>
      <c r="K892" t="s">
        <v>22</v>
      </c>
      <c r="L892" t="s">
        <v>23</v>
      </c>
      <c r="M892" t="s">
        <v>28</v>
      </c>
      <c r="N892">
        <v>0.56499999999999995</v>
      </c>
      <c r="O892">
        <v>104</v>
      </c>
      <c r="P892">
        <v>64</v>
      </c>
      <c r="Q892" t="s">
        <v>33</v>
      </c>
      <c r="R892">
        <v>188</v>
      </c>
      <c r="S892">
        <v>16.62</v>
      </c>
      <c r="T892" t="s">
        <v>26</v>
      </c>
    </row>
    <row r="893" spans="1:20" x14ac:dyDescent="0.3">
      <c r="A893" t="s">
        <v>20</v>
      </c>
      <c r="B893">
        <v>53</v>
      </c>
      <c r="C893">
        <v>50.7</v>
      </c>
      <c r="D893">
        <v>1.73</v>
      </c>
      <c r="E893">
        <v>16.899999999999999</v>
      </c>
      <c r="F893">
        <v>94</v>
      </c>
      <c r="G893" t="s">
        <v>256</v>
      </c>
      <c r="H893">
        <v>160</v>
      </c>
      <c r="I893">
        <v>57</v>
      </c>
      <c r="J893">
        <v>77</v>
      </c>
      <c r="K893" t="s">
        <v>23</v>
      </c>
      <c r="L893" t="s">
        <v>23</v>
      </c>
      <c r="M893" t="s">
        <v>28</v>
      </c>
      <c r="N893">
        <v>0.54300000000000004</v>
      </c>
      <c r="O893">
        <v>127</v>
      </c>
      <c r="P893">
        <v>84</v>
      </c>
      <c r="Q893" t="s">
        <v>29</v>
      </c>
      <c r="R893">
        <v>73</v>
      </c>
      <c r="S893">
        <v>14.93</v>
      </c>
      <c r="T893" t="s">
        <v>26</v>
      </c>
    </row>
    <row r="894" spans="1:20" x14ac:dyDescent="0.3">
      <c r="A894" t="s">
        <v>31</v>
      </c>
      <c r="B894">
        <v>59</v>
      </c>
      <c r="C894">
        <v>98.9</v>
      </c>
      <c r="D894">
        <v>1.67</v>
      </c>
      <c r="E894">
        <v>35.5</v>
      </c>
      <c r="F894">
        <v>108.7</v>
      </c>
      <c r="G894" t="s">
        <v>779</v>
      </c>
      <c r="H894">
        <v>216</v>
      </c>
      <c r="I894">
        <v>45</v>
      </c>
      <c r="J894">
        <v>87</v>
      </c>
      <c r="K894" t="s">
        <v>22</v>
      </c>
      <c r="L894" t="s">
        <v>23</v>
      </c>
      <c r="M894" t="s">
        <v>24</v>
      </c>
      <c r="N894">
        <v>0.65100000000000002</v>
      </c>
      <c r="O894">
        <v>104</v>
      </c>
      <c r="P894">
        <v>95</v>
      </c>
      <c r="Q894" t="s">
        <v>38</v>
      </c>
      <c r="R894">
        <v>141</v>
      </c>
      <c r="S894">
        <v>18.62</v>
      </c>
      <c r="T894" t="s">
        <v>30</v>
      </c>
    </row>
    <row r="895" spans="1:20" x14ac:dyDescent="0.3">
      <c r="A895" t="s">
        <v>20</v>
      </c>
      <c r="B895">
        <v>38</v>
      </c>
      <c r="C895">
        <v>76.400000000000006</v>
      </c>
      <c r="D895">
        <v>1.63</v>
      </c>
      <c r="E895">
        <v>28.8</v>
      </c>
      <c r="F895">
        <v>91.6</v>
      </c>
      <c r="G895" t="s">
        <v>780</v>
      </c>
      <c r="H895">
        <v>119</v>
      </c>
      <c r="I895">
        <v>48</v>
      </c>
      <c r="J895">
        <v>71</v>
      </c>
      <c r="K895" t="s">
        <v>23</v>
      </c>
      <c r="L895" t="s">
        <v>23</v>
      </c>
      <c r="M895" t="s">
        <v>28</v>
      </c>
      <c r="O895">
        <v>98</v>
      </c>
      <c r="P895">
        <v>86</v>
      </c>
      <c r="Q895" t="s">
        <v>29</v>
      </c>
      <c r="R895">
        <v>41</v>
      </c>
      <c r="S895">
        <v>15.04</v>
      </c>
      <c r="T895" t="s">
        <v>26</v>
      </c>
    </row>
    <row r="896" spans="1:20" x14ac:dyDescent="0.3">
      <c r="A896" t="s">
        <v>31</v>
      </c>
      <c r="B896">
        <v>42</v>
      </c>
      <c r="C896">
        <v>55.9</v>
      </c>
      <c r="D896">
        <v>1.71</v>
      </c>
      <c r="E896">
        <v>19.100000000000001</v>
      </c>
      <c r="F896">
        <v>105.8</v>
      </c>
      <c r="G896" t="s">
        <v>781</v>
      </c>
      <c r="H896">
        <v>296</v>
      </c>
      <c r="I896">
        <v>43</v>
      </c>
      <c r="J896">
        <v>111</v>
      </c>
      <c r="K896" t="s">
        <v>23</v>
      </c>
      <c r="L896" t="s">
        <v>23</v>
      </c>
      <c r="M896" t="s">
        <v>28</v>
      </c>
      <c r="N896">
        <v>0.61899999999999999</v>
      </c>
      <c r="O896">
        <v>131</v>
      </c>
      <c r="P896">
        <v>66</v>
      </c>
      <c r="Q896" t="s">
        <v>29</v>
      </c>
      <c r="R896">
        <v>223</v>
      </c>
      <c r="S896">
        <v>18.29</v>
      </c>
      <c r="T896" t="s">
        <v>30</v>
      </c>
    </row>
    <row r="897" spans="1:20" x14ac:dyDescent="0.3">
      <c r="A897" t="s">
        <v>31</v>
      </c>
      <c r="B897">
        <v>55</v>
      </c>
      <c r="C897">
        <v>55.8</v>
      </c>
      <c r="D897">
        <v>1.79</v>
      </c>
      <c r="E897">
        <v>17.399999999999999</v>
      </c>
      <c r="F897">
        <v>73</v>
      </c>
      <c r="G897" t="s">
        <v>782</v>
      </c>
      <c r="H897">
        <v>258</v>
      </c>
      <c r="I897">
        <v>54</v>
      </c>
      <c r="J897">
        <v>85</v>
      </c>
      <c r="K897" t="s">
        <v>23</v>
      </c>
      <c r="L897" t="s">
        <v>22</v>
      </c>
      <c r="M897" t="s">
        <v>24</v>
      </c>
      <c r="N897">
        <v>0.40799999999999997</v>
      </c>
      <c r="O897">
        <v>146</v>
      </c>
      <c r="P897">
        <v>65</v>
      </c>
      <c r="Q897" t="s">
        <v>38</v>
      </c>
      <c r="R897">
        <v>174</v>
      </c>
      <c r="S897">
        <v>15.94</v>
      </c>
      <c r="T897" t="s">
        <v>30</v>
      </c>
    </row>
    <row r="898" spans="1:20" x14ac:dyDescent="0.3">
      <c r="A898" t="s">
        <v>31</v>
      </c>
      <c r="B898">
        <v>57</v>
      </c>
      <c r="C898">
        <v>105.1</v>
      </c>
      <c r="D898">
        <v>1.81</v>
      </c>
      <c r="E898">
        <v>32.1</v>
      </c>
      <c r="F898">
        <v>81</v>
      </c>
      <c r="G898" t="s">
        <v>400</v>
      </c>
      <c r="H898">
        <v>234</v>
      </c>
      <c r="I898">
        <v>58</v>
      </c>
      <c r="J898">
        <v>74</v>
      </c>
      <c r="K898" t="s">
        <v>22</v>
      </c>
      <c r="L898" t="s">
        <v>23</v>
      </c>
      <c r="M898" t="s">
        <v>24</v>
      </c>
      <c r="N898">
        <v>0.44800000000000001</v>
      </c>
      <c r="O898">
        <v>113</v>
      </c>
      <c r="P898">
        <v>95</v>
      </c>
      <c r="Q898" t="s">
        <v>38</v>
      </c>
      <c r="R898">
        <v>146</v>
      </c>
      <c r="S898">
        <v>18.75</v>
      </c>
      <c r="T898" t="s">
        <v>30</v>
      </c>
    </row>
    <row r="899" spans="1:20" x14ac:dyDescent="0.3">
      <c r="A899" t="s">
        <v>31</v>
      </c>
      <c r="B899">
        <v>51</v>
      </c>
      <c r="C899">
        <v>56.9</v>
      </c>
      <c r="D899">
        <v>1.7</v>
      </c>
      <c r="E899">
        <v>19.7</v>
      </c>
      <c r="F899">
        <v>75.3</v>
      </c>
      <c r="G899" t="s">
        <v>783</v>
      </c>
      <c r="H899">
        <v>109</v>
      </c>
      <c r="I899">
        <v>32</v>
      </c>
      <c r="J899">
        <v>122</v>
      </c>
      <c r="K899" t="s">
        <v>22</v>
      </c>
      <c r="L899" t="s">
        <v>23</v>
      </c>
      <c r="M899" t="s">
        <v>28</v>
      </c>
      <c r="N899">
        <v>0.443</v>
      </c>
      <c r="P899">
        <v>71</v>
      </c>
      <c r="Q899" t="s">
        <v>38</v>
      </c>
      <c r="R899">
        <v>47</v>
      </c>
      <c r="S899">
        <v>15.17</v>
      </c>
      <c r="T899" t="s">
        <v>26</v>
      </c>
    </row>
    <row r="900" spans="1:20" x14ac:dyDescent="0.3">
      <c r="A900" t="s">
        <v>20</v>
      </c>
      <c r="B900">
        <v>57</v>
      </c>
      <c r="C900">
        <v>77.2</v>
      </c>
      <c r="D900">
        <v>1.82</v>
      </c>
      <c r="E900">
        <v>23.3</v>
      </c>
      <c r="F900">
        <v>99.2</v>
      </c>
      <c r="G900" t="s">
        <v>784</v>
      </c>
      <c r="H900">
        <v>118</v>
      </c>
      <c r="I900">
        <v>43</v>
      </c>
      <c r="J900">
        <v>120</v>
      </c>
      <c r="K900" t="s">
        <v>23</v>
      </c>
      <c r="L900" t="s">
        <v>22</v>
      </c>
      <c r="M900" t="s">
        <v>37</v>
      </c>
      <c r="N900">
        <v>0.54500000000000004</v>
      </c>
      <c r="O900">
        <v>130</v>
      </c>
      <c r="P900">
        <v>61</v>
      </c>
      <c r="Q900" t="s">
        <v>29</v>
      </c>
      <c r="R900">
        <v>45</v>
      </c>
      <c r="S900">
        <v>13.52</v>
      </c>
      <c r="T900" t="s">
        <v>26</v>
      </c>
    </row>
    <row r="901" spans="1:20" x14ac:dyDescent="0.3">
      <c r="A901" t="s">
        <v>20</v>
      </c>
      <c r="B901">
        <v>34</v>
      </c>
      <c r="C901">
        <v>118.8</v>
      </c>
      <c r="D901">
        <v>1.61</v>
      </c>
      <c r="E901">
        <v>45.8</v>
      </c>
      <c r="F901">
        <v>102</v>
      </c>
      <c r="G901" t="s">
        <v>759</v>
      </c>
      <c r="H901">
        <v>236</v>
      </c>
      <c r="I901">
        <v>59</v>
      </c>
      <c r="K901" t="s">
        <v>23</v>
      </c>
      <c r="L901" t="s">
        <v>23</v>
      </c>
      <c r="M901" t="s">
        <v>24</v>
      </c>
      <c r="O901">
        <v>118</v>
      </c>
      <c r="P901">
        <v>67</v>
      </c>
      <c r="Q901" t="s">
        <v>33</v>
      </c>
      <c r="R901">
        <v>147</v>
      </c>
      <c r="S901">
        <v>21.78</v>
      </c>
      <c r="T901" t="s">
        <v>30</v>
      </c>
    </row>
    <row r="902" spans="1:20" x14ac:dyDescent="0.3">
      <c r="A902" t="s">
        <v>31</v>
      </c>
      <c r="B902">
        <v>36</v>
      </c>
      <c r="C902">
        <v>61.2</v>
      </c>
      <c r="D902">
        <v>1.62</v>
      </c>
      <c r="E902">
        <v>23.3</v>
      </c>
      <c r="F902">
        <v>97.2</v>
      </c>
      <c r="G902" t="s">
        <v>785</v>
      </c>
      <c r="H902">
        <v>219</v>
      </c>
      <c r="I902">
        <v>78</v>
      </c>
      <c r="K902" t="s">
        <v>22</v>
      </c>
      <c r="L902" t="s">
        <v>22</v>
      </c>
      <c r="M902" t="s">
        <v>37</v>
      </c>
      <c r="N902">
        <v>0.6</v>
      </c>
      <c r="O902">
        <v>140</v>
      </c>
      <c r="P902">
        <v>67</v>
      </c>
      <c r="Q902" t="s">
        <v>38</v>
      </c>
      <c r="S902">
        <v>16.04</v>
      </c>
      <c r="T902" t="s">
        <v>26</v>
      </c>
    </row>
    <row r="903" spans="1:20" x14ac:dyDescent="0.3">
      <c r="A903" t="s">
        <v>20</v>
      </c>
      <c r="B903">
        <v>42</v>
      </c>
      <c r="C903">
        <v>84.6</v>
      </c>
      <c r="E903">
        <v>30.3</v>
      </c>
      <c r="F903">
        <v>77.900000000000006</v>
      </c>
      <c r="G903" t="s">
        <v>786</v>
      </c>
      <c r="H903">
        <v>236</v>
      </c>
      <c r="I903">
        <v>70</v>
      </c>
      <c r="J903">
        <v>126</v>
      </c>
      <c r="K903" t="s">
        <v>22</v>
      </c>
      <c r="L903" t="s">
        <v>23</v>
      </c>
      <c r="M903" t="s">
        <v>28</v>
      </c>
      <c r="N903">
        <v>0.46600000000000003</v>
      </c>
      <c r="O903">
        <v>104</v>
      </c>
      <c r="P903">
        <v>62</v>
      </c>
      <c r="Q903" t="s">
        <v>33</v>
      </c>
      <c r="R903">
        <v>136</v>
      </c>
      <c r="S903">
        <v>17.98</v>
      </c>
      <c r="T903" t="s">
        <v>30</v>
      </c>
    </row>
    <row r="904" spans="1:20" x14ac:dyDescent="0.3">
      <c r="A904" t="s">
        <v>20</v>
      </c>
      <c r="B904">
        <v>35</v>
      </c>
      <c r="C904">
        <v>109.1</v>
      </c>
      <c r="D904">
        <v>1.81</v>
      </c>
      <c r="E904">
        <v>33.299999999999997</v>
      </c>
      <c r="F904">
        <v>91.9</v>
      </c>
      <c r="G904" t="s">
        <v>241</v>
      </c>
      <c r="H904">
        <v>120</v>
      </c>
      <c r="I904">
        <v>56</v>
      </c>
      <c r="J904">
        <v>149</v>
      </c>
      <c r="K904" t="s">
        <v>22</v>
      </c>
      <c r="L904" t="s">
        <v>22</v>
      </c>
      <c r="M904" t="s">
        <v>28</v>
      </c>
      <c r="N904">
        <v>0.50800000000000001</v>
      </c>
      <c r="O904">
        <v>127</v>
      </c>
      <c r="P904">
        <v>71</v>
      </c>
      <c r="Q904" t="s">
        <v>25</v>
      </c>
      <c r="R904">
        <v>34</v>
      </c>
      <c r="S904">
        <v>15.41</v>
      </c>
      <c r="T904" t="s">
        <v>52</v>
      </c>
    </row>
    <row r="905" spans="1:20" x14ac:dyDescent="0.3">
      <c r="A905" t="s">
        <v>20</v>
      </c>
      <c r="C905">
        <v>110.2</v>
      </c>
      <c r="D905">
        <v>1.77</v>
      </c>
      <c r="E905">
        <v>35.200000000000003</v>
      </c>
      <c r="F905">
        <v>102</v>
      </c>
      <c r="G905" t="s">
        <v>787</v>
      </c>
      <c r="H905">
        <v>247</v>
      </c>
      <c r="I905">
        <v>67</v>
      </c>
      <c r="J905">
        <v>106</v>
      </c>
      <c r="K905" t="s">
        <v>23</v>
      </c>
      <c r="L905" t="s">
        <v>22</v>
      </c>
      <c r="M905" t="s">
        <v>28</v>
      </c>
      <c r="N905">
        <v>0.57599999999999996</v>
      </c>
      <c r="O905">
        <v>92</v>
      </c>
      <c r="P905">
        <v>100</v>
      </c>
      <c r="Q905" t="s">
        <v>38</v>
      </c>
      <c r="R905">
        <v>150</v>
      </c>
      <c r="S905">
        <v>16.579999999999998</v>
      </c>
      <c r="T905" t="s">
        <v>30</v>
      </c>
    </row>
    <row r="906" spans="1:20" x14ac:dyDescent="0.3">
      <c r="A906" t="s">
        <v>31</v>
      </c>
      <c r="B906">
        <v>48</v>
      </c>
      <c r="C906">
        <v>67.099999999999994</v>
      </c>
      <c r="D906">
        <v>1.77</v>
      </c>
      <c r="E906">
        <v>21.4</v>
      </c>
      <c r="F906">
        <v>98</v>
      </c>
      <c r="G906" t="s">
        <v>788</v>
      </c>
      <c r="H906">
        <v>268</v>
      </c>
      <c r="I906">
        <v>47</v>
      </c>
      <c r="J906">
        <v>79</v>
      </c>
      <c r="K906" t="s">
        <v>22</v>
      </c>
      <c r="L906" t="s">
        <v>22</v>
      </c>
      <c r="M906" t="s">
        <v>24</v>
      </c>
      <c r="N906">
        <v>0.55400000000000005</v>
      </c>
      <c r="P906">
        <v>100</v>
      </c>
      <c r="Q906" t="s">
        <v>38</v>
      </c>
      <c r="R906">
        <v>191</v>
      </c>
      <c r="S906">
        <v>15.94</v>
      </c>
      <c r="T906" t="s">
        <v>30</v>
      </c>
    </row>
    <row r="907" spans="1:20" x14ac:dyDescent="0.3">
      <c r="A907" t="s">
        <v>20</v>
      </c>
      <c r="C907">
        <v>111.6</v>
      </c>
      <c r="D907">
        <v>1.75</v>
      </c>
      <c r="E907">
        <v>36.4</v>
      </c>
      <c r="F907">
        <v>85.1</v>
      </c>
      <c r="G907" t="s">
        <v>789</v>
      </c>
      <c r="H907">
        <v>265</v>
      </c>
      <c r="I907">
        <v>66</v>
      </c>
      <c r="J907">
        <v>127</v>
      </c>
      <c r="K907" t="s">
        <v>22</v>
      </c>
      <c r="L907" t="s">
        <v>22</v>
      </c>
      <c r="M907" t="s">
        <v>28</v>
      </c>
      <c r="N907">
        <v>0.48599999999999999</v>
      </c>
      <c r="O907">
        <v>131</v>
      </c>
      <c r="P907">
        <v>62</v>
      </c>
      <c r="Q907" t="s">
        <v>29</v>
      </c>
      <c r="R907">
        <v>169</v>
      </c>
      <c r="S907">
        <v>19.13</v>
      </c>
      <c r="T907" t="s">
        <v>26</v>
      </c>
    </row>
    <row r="908" spans="1:20" x14ac:dyDescent="0.3">
      <c r="A908" t="s">
        <v>31</v>
      </c>
      <c r="B908">
        <v>53</v>
      </c>
      <c r="C908">
        <v>90.2</v>
      </c>
      <c r="D908">
        <v>1.61</v>
      </c>
      <c r="E908">
        <v>34.799999999999997</v>
      </c>
      <c r="F908">
        <v>85.3</v>
      </c>
      <c r="G908" t="s">
        <v>279</v>
      </c>
      <c r="H908">
        <v>300</v>
      </c>
      <c r="I908">
        <v>33</v>
      </c>
      <c r="J908">
        <v>84</v>
      </c>
      <c r="K908" t="s">
        <v>22</v>
      </c>
      <c r="L908" t="s">
        <v>23</v>
      </c>
      <c r="M908" t="s">
        <v>37</v>
      </c>
      <c r="N908">
        <v>0.53</v>
      </c>
      <c r="O908">
        <v>136</v>
      </c>
      <c r="Q908" t="s">
        <v>29</v>
      </c>
      <c r="R908">
        <v>237</v>
      </c>
      <c r="S908">
        <v>21.76</v>
      </c>
      <c r="T908" t="s">
        <v>30</v>
      </c>
    </row>
    <row r="909" spans="1:20" x14ac:dyDescent="0.3">
      <c r="A909" t="s">
        <v>20</v>
      </c>
      <c r="B909">
        <v>52</v>
      </c>
      <c r="C909">
        <v>67</v>
      </c>
      <c r="D909">
        <v>1.88</v>
      </c>
      <c r="E909">
        <v>19</v>
      </c>
      <c r="F909">
        <v>108.1</v>
      </c>
      <c r="G909" t="s">
        <v>790</v>
      </c>
      <c r="H909">
        <v>300</v>
      </c>
      <c r="I909">
        <v>49</v>
      </c>
      <c r="J909">
        <v>148</v>
      </c>
      <c r="K909" t="s">
        <v>22</v>
      </c>
      <c r="L909" t="s">
        <v>22</v>
      </c>
      <c r="M909" t="s">
        <v>24</v>
      </c>
      <c r="N909">
        <v>0.57499999999999996</v>
      </c>
      <c r="O909">
        <v>122</v>
      </c>
      <c r="P909">
        <v>97</v>
      </c>
      <c r="Q909" t="s">
        <v>38</v>
      </c>
      <c r="R909">
        <v>221</v>
      </c>
      <c r="S909">
        <v>15.9</v>
      </c>
      <c r="T909" t="s">
        <v>26</v>
      </c>
    </row>
    <row r="910" spans="1:20" x14ac:dyDescent="0.3">
      <c r="A910" t="s">
        <v>31</v>
      </c>
      <c r="B910">
        <v>45</v>
      </c>
      <c r="C910">
        <v>96.8</v>
      </c>
      <c r="D910">
        <v>1.86</v>
      </c>
      <c r="E910">
        <v>28</v>
      </c>
      <c r="F910">
        <v>71.400000000000006</v>
      </c>
      <c r="G910" t="s">
        <v>791</v>
      </c>
      <c r="H910">
        <v>230</v>
      </c>
      <c r="I910">
        <v>57</v>
      </c>
      <c r="J910">
        <v>91</v>
      </c>
      <c r="K910" t="s">
        <v>23</v>
      </c>
      <c r="L910" t="s">
        <v>23</v>
      </c>
      <c r="M910" t="s">
        <v>28</v>
      </c>
      <c r="N910">
        <v>0.38400000000000001</v>
      </c>
      <c r="O910">
        <v>112</v>
      </c>
      <c r="P910">
        <v>75</v>
      </c>
      <c r="Q910" t="s">
        <v>33</v>
      </c>
      <c r="R910">
        <v>143</v>
      </c>
      <c r="S910">
        <v>17.8</v>
      </c>
      <c r="T910" t="s">
        <v>30</v>
      </c>
    </row>
    <row r="911" spans="1:20" x14ac:dyDescent="0.3">
      <c r="A911" t="s">
        <v>31</v>
      </c>
      <c r="B911">
        <v>42</v>
      </c>
      <c r="C911">
        <v>59.4</v>
      </c>
      <c r="D911">
        <v>1.89</v>
      </c>
      <c r="E911">
        <v>16.600000000000001</v>
      </c>
      <c r="F911">
        <v>94.4</v>
      </c>
      <c r="G911" t="s">
        <v>348</v>
      </c>
      <c r="H911">
        <v>228</v>
      </c>
      <c r="I911">
        <v>71</v>
      </c>
      <c r="J911">
        <v>147</v>
      </c>
      <c r="K911" t="s">
        <v>22</v>
      </c>
      <c r="L911" t="s">
        <v>23</v>
      </c>
      <c r="M911" t="s">
        <v>28</v>
      </c>
      <c r="N911">
        <v>0.499</v>
      </c>
      <c r="O911">
        <v>125</v>
      </c>
      <c r="Q911" t="s">
        <v>25</v>
      </c>
      <c r="R911">
        <v>127</v>
      </c>
      <c r="S911">
        <v>16.13</v>
      </c>
      <c r="T911" t="s">
        <v>26</v>
      </c>
    </row>
    <row r="912" spans="1:20" x14ac:dyDescent="0.3">
      <c r="A912" t="s">
        <v>20</v>
      </c>
      <c r="B912">
        <v>42</v>
      </c>
      <c r="C912">
        <v>93.5</v>
      </c>
      <c r="D912">
        <v>1.76</v>
      </c>
      <c r="E912">
        <v>30.2</v>
      </c>
      <c r="F912">
        <v>92.1</v>
      </c>
      <c r="G912" t="s">
        <v>792</v>
      </c>
      <c r="H912">
        <v>290</v>
      </c>
      <c r="I912">
        <v>39</v>
      </c>
      <c r="J912">
        <v>78</v>
      </c>
      <c r="K912" t="s">
        <v>23</v>
      </c>
      <c r="L912" t="s">
        <v>23</v>
      </c>
      <c r="M912" t="s">
        <v>24</v>
      </c>
      <c r="N912">
        <v>0.52300000000000002</v>
      </c>
      <c r="O912">
        <v>102</v>
      </c>
      <c r="P912">
        <v>64</v>
      </c>
      <c r="Q912" t="s">
        <v>33</v>
      </c>
      <c r="R912">
        <v>221</v>
      </c>
      <c r="S912">
        <v>18.940000000000001</v>
      </c>
      <c r="T912" t="s">
        <v>30</v>
      </c>
    </row>
    <row r="913" spans="1:20" x14ac:dyDescent="0.3">
      <c r="A913" t="s">
        <v>20</v>
      </c>
      <c r="B913">
        <v>58</v>
      </c>
      <c r="C913">
        <v>72.3</v>
      </c>
      <c r="D913">
        <v>1.74</v>
      </c>
      <c r="E913">
        <v>23.9</v>
      </c>
      <c r="F913">
        <v>91.6</v>
      </c>
      <c r="G913" t="s">
        <v>115</v>
      </c>
      <c r="H913">
        <v>208</v>
      </c>
      <c r="I913">
        <v>63</v>
      </c>
      <c r="J913">
        <v>114</v>
      </c>
      <c r="K913" t="s">
        <v>22</v>
      </c>
      <c r="L913" t="s">
        <v>22</v>
      </c>
      <c r="M913" t="s">
        <v>28</v>
      </c>
      <c r="N913">
        <v>0.52600000000000002</v>
      </c>
      <c r="O913">
        <v>99</v>
      </c>
      <c r="P913">
        <v>90</v>
      </c>
      <c r="Q913" t="s">
        <v>38</v>
      </c>
      <c r="R913">
        <v>115</v>
      </c>
      <c r="S913">
        <v>13.89</v>
      </c>
      <c r="T913" t="s">
        <v>26</v>
      </c>
    </row>
    <row r="914" spans="1:20" x14ac:dyDescent="0.3">
      <c r="A914" t="s">
        <v>20</v>
      </c>
      <c r="B914">
        <v>48</v>
      </c>
      <c r="C914">
        <v>60.8</v>
      </c>
      <c r="D914">
        <v>1.68</v>
      </c>
      <c r="E914">
        <v>21.5</v>
      </c>
      <c r="F914">
        <v>82.5</v>
      </c>
      <c r="G914" t="s">
        <v>793</v>
      </c>
      <c r="H914">
        <v>173</v>
      </c>
      <c r="I914">
        <v>56</v>
      </c>
      <c r="J914">
        <v>122</v>
      </c>
      <c r="K914" t="s">
        <v>22</v>
      </c>
      <c r="L914" t="s">
        <v>22</v>
      </c>
      <c r="M914" t="s">
        <v>37</v>
      </c>
      <c r="N914">
        <v>0.49099999999999999</v>
      </c>
      <c r="O914">
        <v>133</v>
      </c>
      <c r="P914">
        <v>76</v>
      </c>
      <c r="Q914" t="s">
        <v>29</v>
      </c>
      <c r="R914">
        <v>87</v>
      </c>
      <c r="S914">
        <v>14.41</v>
      </c>
      <c r="T914" t="s">
        <v>26</v>
      </c>
    </row>
    <row r="915" spans="1:20" x14ac:dyDescent="0.3">
      <c r="A915" t="s">
        <v>31</v>
      </c>
      <c r="B915">
        <v>54</v>
      </c>
      <c r="C915">
        <v>111</v>
      </c>
      <c r="D915">
        <v>1.78</v>
      </c>
      <c r="E915">
        <v>35</v>
      </c>
      <c r="F915">
        <v>100</v>
      </c>
      <c r="G915" t="s">
        <v>794</v>
      </c>
      <c r="H915">
        <v>247</v>
      </c>
      <c r="I915">
        <v>41</v>
      </c>
      <c r="J915">
        <v>136</v>
      </c>
      <c r="K915" t="s">
        <v>22</v>
      </c>
      <c r="L915" t="s">
        <v>23</v>
      </c>
      <c r="M915" t="s">
        <v>37</v>
      </c>
      <c r="N915">
        <v>0.56200000000000006</v>
      </c>
      <c r="O915">
        <v>117</v>
      </c>
      <c r="P915">
        <v>74</v>
      </c>
      <c r="Q915" t="s">
        <v>33</v>
      </c>
      <c r="R915">
        <v>176</v>
      </c>
      <c r="S915">
        <v>19.79</v>
      </c>
      <c r="T915" t="s">
        <v>30</v>
      </c>
    </row>
    <row r="916" spans="1:20" x14ac:dyDescent="0.3">
      <c r="A916" t="s">
        <v>20</v>
      </c>
      <c r="B916">
        <v>59</v>
      </c>
      <c r="C916">
        <v>103</v>
      </c>
      <c r="D916">
        <v>1.8</v>
      </c>
      <c r="E916">
        <v>31.8</v>
      </c>
      <c r="F916">
        <v>94.4</v>
      </c>
      <c r="G916" t="s">
        <v>795</v>
      </c>
      <c r="H916">
        <v>107</v>
      </c>
      <c r="I916">
        <v>42</v>
      </c>
      <c r="J916">
        <v>124</v>
      </c>
      <c r="K916" t="s">
        <v>22</v>
      </c>
      <c r="L916" t="s">
        <v>22</v>
      </c>
      <c r="M916" t="s">
        <v>24</v>
      </c>
      <c r="N916">
        <v>0.52400000000000002</v>
      </c>
      <c r="O916">
        <v>139</v>
      </c>
      <c r="P916">
        <v>68</v>
      </c>
      <c r="Q916" t="s">
        <v>29</v>
      </c>
      <c r="R916">
        <v>35</v>
      </c>
      <c r="S916">
        <v>15.45</v>
      </c>
      <c r="T916" t="s">
        <v>30</v>
      </c>
    </row>
    <row r="917" spans="1:20" x14ac:dyDescent="0.3">
      <c r="A917" t="s">
        <v>31</v>
      </c>
      <c r="B917">
        <v>33</v>
      </c>
      <c r="C917">
        <v>95.7</v>
      </c>
      <c r="E917">
        <v>35.200000000000003</v>
      </c>
      <c r="F917">
        <v>72.099999999999994</v>
      </c>
      <c r="G917" t="s">
        <v>641</v>
      </c>
      <c r="H917">
        <v>118</v>
      </c>
      <c r="I917">
        <v>45</v>
      </c>
      <c r="J917">
        <v>91</v>
      </c>
      <c r="K917" t="s">
        <v>23</v>
      </c>
      <c r="L917" t="s">
        <v>23</v>
      </c>
      <c r="M917" t="s">
        <v>37</v>
      </c>
      <c r="O917">
        <v>140</v>
      </c>
      <c r="P917">
        <v>62</v>
      </c>
      <c r="Q917" t="s">
        <v>38</v>
      </c>
      <c r="R917">
        <v>43</v>
      </c>
      <c r="S917">
        <v>18.399999999999999</v>
      </c>
      <c r="T917" t="s">
        <v>30</v>
      </c>
    </row>
    <row r="918" spans="1:20" x14ac:dyDescent="0.3">
      <c r="A918" t="s">
        <v>20</v>
      </c>
      <c r="B918">
        <v>34</v>
      </c>
      <c r="C918">
        <v>64.599999999999994</v>
      </c>
      <c r="D918">
        <v>1.62</v>
      </c>
      <c r="E918">
        <v>24.6</v>
      </c>
      <c r="F918">
        <v>92.8</v>
      </c>
      <c r="G918" t="s">
        <v>796</v>
      </c>
      <c r="H918">
        <v>106</v>
      </c>
      <c r="I918">
        <v>43</v>
      </c>
      <c r="J918">
        <v>114</v>
      </c>
      <c r="K918" t="s">
        <v>23</v>
      </c>
      <c r="L918" t="s">
        <v>23</v>
      </c>
      <c r="M918" t="s">
        <v>37</v>
      </c>
      <c r="N918">
        <v>0.57299999999999995</v>
      </c>
      <c r="O918">
        <v>90</v>
      </c>
      <c r="P918">
        <v>70</v>
      </c>
      <c r="Q918" t="s">
        <v>33</v>
      </c>
      <c r="R918">
        <v>33</v>
      </c>
      <c r="S918">
        <v>13.54</v>
      </c>
      <c r="T918" t="s">
        <v>26</v>
      </c>
    </row>
    <row r="919" spans="1:20" x14ac:dyDescent="0.3">
      <c r="A919" t="s">
        <v>31</v>
      </c>
      <c r="C919">
        <v>56.2</v>
      </c>
      <c r="D919">
        <v>1.89</v>
      </c>
      <c r="E919">
        <v>15.7</v>
      </c>
      <c r="F919">
        <v>74.599999999999994</v>
      </c>
      <c r="G919" t="s">
        <v>782</v>
      </c>
      <c r="H919">
        <v>131</v>
      </c>
      <c r="I919">
        <v>45</v>
      </c>
      <c r="J919">
        <v>93</v>
      </c>
      <c r="K919" t="s">
        <v>22</v>
      </c>
      <c r="L919" t="s">
        <v>23</v>
      </c>
      <c r="M919" t="s">
        <v>24</v>
      </c>
      <c r="N919">
        <v>0.39500000000000002</v>
      </c>
      <c r="O919">
        <v>146</v>
      </c>
      <c r="P919">
        <v>65</v>
      </c>
      <c r="Q919" t="s">
        <v>38</v>
      </c>
      <c r="R919">
        <v>56</v>
      </c>
      <c r="S919">
        <v>15.06</v>
      </c>
      <c r="T919" t="s">
        <v>26</v>
      </c>
    </row>
    <row r="920" spans="1:20" x14ac:dyDescent="0.3">
      <c r="A920" t="s">
        <v>20</v>
      </c>
      <c r="B920">
        <v>30</v>
      </c>
      <c r="C920">
        <v>65.2</v>
      </c>
      <c r="D920">
        <v>1.71</v>
      </c>
      <c r="E920">
        <v>22.3</v>
      </c>
      <c r="F920">
        <v>86</v>
      </c>
      <c r="G920" t="s">
        <v>797</v>
      </c>
      <c r="H920">
        <v>229</v>
      </c>
      <c r="I920">
        <v>68</v>
      </c>
      <c r="K920" t="s">
        <v>22</v>
      </c>
      <c r="L920" t="s">
        <v>23</v>
      </c>
      <c r="M920" t="s">
        <v>24</v>
      </c>
      <c r="N920">
        <v>0.503</v>
      </c>
      <c r="O920">
        <v>97</v>
      </c>
      <c r="P920">
        <v>67</v>
      </c>
      <c r="Q920" t="s">
        <v>33</v>
      </c>
      <c r="R920">
        <v>131</v>
      </c>
      <c r="S920">
        <v>15.89</v>
      </c>
      <c r="T920" t="s">
        <v>30</v>
      </c>
    </row>
    <row r="921" spans="1:20" x14ac:dyDescent="0.3">
      <c r="A921" t="s">
        <v>20</v>
      </c>
      <c r="B921">
        <v>37</v>
      </c>
      <c r="D921">
        <v>1.69</v>
      </c>
      <c r="E921">
        <v>35.5</v>
      </c>
      <c r="F921">
        <v>77.8</v>
      </c>
      <c r="G921" t="s">
        <v>798</v>
      </c>
      <c r="H921">
        <v>126</v>
      </c>
      <c r="I921">
        <v>57</v>
      </c>
      <c r="J921">
        <v>88</v>
      </c>
      <c r="K921" t="s">
        <v>23</v>
      </c>
      <c r="L921" t="s">
        <v>23</v>
      </c>
      <c r="M921" t="s">
        <v>37</v>
      </c>
      <c r="O921">
        <v>126</v>
      </c>
      <c r="P921">
        <v>99</v>
      </c>
      <c r="Q921" t="s">
        <v>38</v>
      </c>
      <c r="R921">
        <v>39</v>
      </c>
      <c r="S921">
        <v>17.920000000000002</v>
      </c>
      <c r="T921" t="s">
        <v>30</v>
      </c>
    </row>
    <row r="922" spans="1:20" x14ac:dyDescent="0.3">
      <c r="A922" t="s">
        <v>31</v>
      </c>
      <c r="B922">
        <v>39</v>
      </c>
      <c r="C922">
        <v>77.900000000000006</v>
      </c>
      <c r="D922">
        <v>1.72</v>
      </c>
      <c r="E922">
        <v>26.3</v>
      </c>
      <c r="F922">
        <v>95.9</v>
      </c>
      <c r="G922" t="s">
        <v>799</v>
      </c>
      <c r="H922">
        <v>208</v>
      </c>
      <c r="I922">
        <v>66</v>
      </c>
      <c r="J922">
        <v>103</v>
      </c>
      <c r="K922" t="s">
        <v>22</v>
      </c>
      <c r="L922" t="s">
        <v>23</v>
      </c>
      <c r="M922" t="s">
        <v>37</v>
      </c>
      <c r="N922">
        <v>0.55800000000000005</v>
      </c>
      <c r="O922">
        <v>120</v>
      </c>
      <c r="P922">
        <v>91</v>
      </c>
      <c r="Q922" t="s">
        <v>38</v>
      </c>
      <c r="R922">
        <v>112</v>
      </c>
      <c r="S922">
        <v>17.420000000000002</v>
      </c>
      <c r="T922" t="s">
        <v>26</v>
      </c>
    </row>
    <row r="923" spans="1:20" x14ac:dyDescent="0.3">
      <c r="A923" t="s">
        <v>31</v>
      </c>
      <c r="B923">
        <v>48</v>
      </c>
      <c r="C923">
        <v>107.2</v>
      </c>
      <c r="D923">
        <v>1.61</v>
      </c>
      <c r="E923">
        <v>41.4</v>
      </c>
      <c r="F923">
        <v>80.8</v>
      </c>
      <c r="G923" t="s">
        <v>607</v>
      </c>
      <c r="H923">
        <v>152</v>
      </c>
      <c r="I923">
        <v>80</v>
      </c>
      <c r="J923">
        <v>134</v>
      </c>
      <c r="K923" t="s">
        <v>23</v>
      </c>
      <c r="L923" t="s">
        <v>22</v>
      </c>
      <c r="M923" t="s">
        <v>37</v>
      </c>
      <c r="N923">
        <v>0.502</v>
      </c>
      <c r="O923">
        <v>113</v>
      </c>
      <c r="Q923" t="s">
        <v>33</v>
      </c>
      <c r="R923">
        <v>42</v>
      </c>
      <c r="S923">
        <v>16.97</v>
      </c>
      <c r="T923" t="s">
        <v>26</v>
      </c>
    </row>
    <row r="924" spans="1:20" x14ac:dyDescent="0.3">
      <c r="A924" t="s">
        <v>31</v>
      </c>
      <c r="B924">
        <v>60</v>
      </c>
      <c r="C924">
        <v>86.5</v>
      </c>
      <c r="D924">
        <v>1.6</v>
      </c>
      <c r="E924">
        <v>33.799999999999997</v>
      </c>
      <c r="F924">
        <v>70.7</v>
      </c>
      <c r="G924" t="s">
        <v>122</v>
      </c>
      <c r="H924">
        <v>181</v>
      </c>
      <c r="I924">
        <v>47</v>
      </c>
      <c r="J924">
        <v>129</v>
      </c>
      <c r="K924" t="s">
        <v>22</v>
      </c>
      <c r="L924" t="s">
        <v>22</v>
      </c>
      <c r="M924" t="s">
        <v>28</v>
      </c>
      <c r="N924">
        <v>0.442</v>
      </c>
      <c r="O924">
        <v>119</v>
      </c>
      <c r="P924">
        <v>65</v>
      </c>
      <c r="Q924" t="s">
        <v>33</v>
      </c>
      <c r="R924">
        <v>104</v>
      </c>
      <c r="S924">
        <v>16.329999999999998</v>
      </c>
      <c r="T924" t="s">
        <v>26</v>
      </c>
    </row>
    <row r="925" spans="1:20" x14ac:dyDescent="0.3">
      <c r="A925" t="s">
        <v>31</v>
      </c>
      <c r="C925">
        <v>73.2</v>
      </c>
      <c r="D925">
        <v>1.62</v>
      </c>
      <c r="E925">
        <v>27.9</v>
      </c>
      <c r="F925">
        <v>70.2</v>
      </c>
      <c r="G925" t="s">
        <v>300</v>
      </c>
      <c r="I925">
        <v>34</v>
      </c>
      <c r="J925">
        <v>104</v>
      </c>
      <c r="K925" t="s">
        <v>23</v>
      </c>
      <c r="L925" t="s">
        <v>23</v>
      </c>
      <c r="M925" t="s">
        <v>28</v>
      </c>
      <c r="N925">
        <v>0.433</v>
      </c>
      <c r="O925">
        <v>115</v>
      </c>
      <c r="P925">
        <v>100</v>
      </c>
      <c r="Q925" t="s">
        <v>38</v>
      </c>
      <c r="R925">
        <v>160</v>
      </c>
      <c r="S925">
        <v>17.809999999999999</v>
      </c>
      <c r="T925" t="s">
        <v>30</v>
      </c>
    </row>
    <row r="926" spans="1:20" x14ac:dyDescent="0.3">
      <c r="A926" t="s">
        <v>31</v>
      </c>
      <c r="B926">
        <v>44</v>
      </c>
      <c r="C926">
        <v>113</v>
      </c>
      <c r="D926">
        <v>1.7</v>
      </c>
      <c r="E926">
        <v>39.1</v>
      </c>
      <c r="F926">
        <v>82.6</v>
      </c>
      <c r="G926" t="s">
        <v>800</v>
      </c>
      <c r="H926">
        <v>270</v>
      </c>
      <c r="I926">
        <v>44</v>
      </c>
      <c r="J926">
        <v>103</v>
      </c>
      <c r="K926" t="s">
        <v>23</v>
      </c>
      <c r="L926" t="s">
        <v>23</v>
      </c>
      <c r="M926" t="s">
        <v>28</v>
      </c>
      <c r="N926">
        <v>0.48599999999999999</v>
      </c>
      <c r="O926">
        <v>113</v>
      </c>
      <c r="P926">
        <v>70</v>
      </c>
      <c r="Q926" t="s">
        <v>33</v>
      </c>
      <c r="R926">
        <v>196</v>
      </c>
      <c r="S926">
        <v>20.87</v>
      </c>
      <c r="T926" t="s">
        <v>30</v>
      </c>
    </row>
    <row r="927" spans="1:20" x14ac:dyDescent="0.3">
      <c r="A927" t="s">
        <v>31</v>
      </c>
      <c r="B927">
        <v>40</v>
      </c>
      <c r="C927">
        <v>120</v>
      </c>
      <c r="E927">
        <v>35.4</v>
      </c>
      <c r="F927">
        <v>100.9</v>
      </c>
      <c r="G927" t="s">
        <v>801</v>
      </c>
      <c r="H927">
        <v>223</v>
      </c>
      <c r="I927">
        <v>62</v>
      </c>
      <c r="J927">
        <v>84</v>
      </c>
      <c r="K927" t="s">
        <v>23</v>
      </c>
      <c r="L927" t="s">
        <v>23</v>
      </c>
      <c r="M927" t="s">
        <v>37</v>
      </c>
      <c r="N927">
        <v>0.54800000000000004</v>
      </c>
      <c r="O927">
        <v>94</v>
      </c>
      <c r="P927">
        <v>68</v>
      </c>
      <c r="Q927" t="s">
        <v>33</v>
      </c>
      <c r="R927">
        <v>131</v>
      </c>
      <c r="S927">
        <v>18.239999999999998</v>
      </c>
      <c r="T927" t="s">
        <v>30</v>
      </c>
    </row>
    <row r="928" spans="1:20" x14ac:dyDescent="0.3">
      <c r="A928" t="s">
        <v>20</v>
      </c>
      <c r="B928">
        <v>56</v>
      </c>
      <c r="C928">
        <v>114</v>
      </c>
      <c r="D928">
        <v>1.66</v>
      </c>
      <c r="E928">
        <v>41.4</v>
      </c>
      <c r="F928">
        <v>73.900000000000006</v>
      </c>
      <c r="G928" t="s">
        <v>659</v>
      </c>
      <c r="H928">
        <v>120</v>
      </c>
      <c r="I928">
        <v>34</v>
      </c>
      <c r="J928">
        <v>93</v>
      </c>
      <c r="K928" t="s">
        <v>23</v>
      </c>
      <c r="L928" t="s">
        <v>22</v>
      </c>
      <c r="M928" t="s">
        <v>28</v>
      </c>
      <c r="N928">
        <v>0.44500000000000001</v>
      </c>
      <c r="O928">
        <v>111</v>
      </c>
      <c r="P928">
        <v>97</v>
      </c>
      <c r="Q928" t="s">
        <v>38</v>
      </c>
      <c r="R928">
        <v>56</v>
      </c>
      <c r="S928">
        <v>16.23</v>
      </c>
      <c r="T928" t="s">
        <v>30</v>
      </c>
    </row>
    <row r="929" spans="1:20" x14ac:dyDescent="0.3">
      <c r="A929" t="s">
        <v>31</v>
      </c>
      <c r="B929">
        <v>59</v>
      </c>
      <c r="C929">
        <v>82.7</v>
      </c>
      <c r="D929">
        <v>1.84</v>
      </c>
      <c r="E929">
        <v>24.4</v>
      </c>
      <c r="F929">
        <v>100.2</v>
      </c>
      <c r="G929" t="s">
        <v>802</v>
      </c>
      <c r="H929">
        <v>158</v>
      </c>
      <c r="I929">
        <v>75</v>
      </c>
      <c r="J929">
        <v>107</v>
      </c>
      <c r="K929" t="s">
        <v>23</v>
      </c>
      <c r="L929" t="s">
        <v>22</v>
      </c>
      <c r="M929" t="s">
        <v>37</v>
      </c>
      <c r="N929">
        <v>0.54500000000000004</v>
      </c>
      <c r="O929">
        <v>145</v>
      </c>
      <c r="P929">
        <v>65</v>
      </c>
      <c r="Q929" t="s">
        <v>38</v>
      </c>
      <c r="R929">
        <v>53</v>
      </c>
      <c r="S929">
        <v>15.29</v>
      </c>
      <c r="T929" t="s">
        <v>26</v>
      </c>
    </row>
    <row r="930" spans="1:20" x14ac:dyDescent="0.3">
      <c r="A930" t="s">
        <v>20</v>
      </c>
      <c r="C930">
        <v>110.5</v>
      </c>
      <c r="E930">
        <v>42.6</v>
      </c>
      <c r="F930">
        <v>76.900000000000006</v>
      </c>
      <c r="G930" t="s">
        <v>803</v>
      </c>
      <c r="H930">
        <v>173</v>
      </c>
      <c r="I930">
        <v>55</v>
      </c>
      <c r="J930">
        <v>99</v>
      </c>
      <c r="K930" t="s">
        <v>22</v>
      </c>
      <c r="L930" t="s">
        <v>22</v>
      </c>
      <c r="M930" t="s">
        <v>37</v>
      </c>
      <c r="N930">
        <v>0.47799999999999998</v>
      </c>
      <c r="O930">
        <v>133</v>
      </c>
      <c r="P930">
        <v>95</v>
      </c>
      <c r="Q930" t="s">
        <v>29</v>
      </c>
      <c r="R930">
        <v>88</v>
      </c>
      <c r="S930">
        <v>18.63</v>
      </c>
      <c r="T930" t="s">
        <v>26</v>
      </c>
    </row>
    <row r="931" spans="1:20" x14ac:dyDescent="0.3">
      <c r="A931" t="s">
        <v>31</v>
      </c>
      <c r="B931">
        <v>44</v>
      </c>
      <c r="C931">
        <v>60.1</v>
      </c>
      <c r="D931">
        <v>1.87</v>
      </c>
      <c r="E931">
        <v>17.2</v>
      </c>
      <c r="F931">
        <v>106.6</v>
      </c>
      <c r="G931" t="s">
        <v>804</v>
      </c>
      <c r="H931">
        <v>182</v>
      </c>
      <c r="I931">
        <v>54</v>
      </c>
      <c r="J931">
        <v>70</v>
      </c>
      <c r="K931" t="s">
        <v>22</v>
      </c>
      <c r="L931" t="s">
        <v>23</v>
      </c>
      <c r="M931" t="s">
        <v>28</v>
      </c>
      <c r="N931">
        <v>0.56999999999999995</v>
      </c>
      <c r="O931">
        <v>149</v>
      </c>
      <c r="P931">
        <v>60</v>
      </c>
      <c r="Q931" t="s">
        <v>38</v>
      </c>
      <c r="R931">
        <v>98</v>
      </c>
      <c r="S931">
        <v>16.53</v>
      </c>
      <c r="T931" t="s">
        <v>26</v>
      </c>
    </row>
    <row r="932" spans="1:20" x14ac:dyDescent="0.3">
      <c r="A932" t="s">
        <v>31</v>
      </c>
      <c r="B932">
        <v>55</v>
      </c>
      <c r="C932">
        <v>109.8</v>
      </c>
      <c r="D932">
        <v>1.81</v>
      </c>
      <c r="E932">
        <v>33.5</v>
      </c>
      <c r="F932">
        <v>101.1</v>
      </c>
      <c r="G932" t="s">
        <v>805</v>
      </c>
      <c r="H932">
        <v>265</v>
      </c>
      <c r="I932">
        <v>76</v>
      </c>
      <c r="J932">
        <v>121</v>
      </c>
      <c r="K932" t="s">
        <v>22</v>
      </c>
      <c r="L932" t="s">
        <v>23</v>
      </c>
      <c r="M932" t="s">
        <v>28</v>
      </c>
      <c r="N932">
        <v>0.55900000000000005</v>
      </c>
      <c r="O932">
        <v>102</v>
      </c>
      <c r="P932">
        <v>95</v>
      </c>
      <c r="Q932" t="s">
        <v>38</v>
      </c>
      <c r="R932">
        <v>159</v>
      </c>
      <c r="S932">
        <v>19.100000000000001</v>
      </c>
      <c r="T932" t="s">
        <v>30</v>
      </c>
    </row>
    <row r="933" spans="1:20" x14ac:dyDescent="0.3">
      <c r="A933" t="s">
        <v>20</v>
      </c>
      <c r="B933">
        <v>45</v>
      </c>
      <c r="C933">
        <v>111.4</v>
      </c>
      <c r="D933">
        <v>1.89</v>
      </c>
      <c r="E933">
        <v>31.2</v>
      </c>
      <c r="F933">
        <v>101.8</v>
      </c>
      <c r="G933" t="s">
        <v>806</v>
      </c>
      <c r="H933">
        <v>266</v>
      </c>
      <c r="I933">
        <v>44</v>
      </c>
      <c r="J933">
        <v>113</v>
      </c>
      <c r="K933" t="s">
        <v>23</v>
      </c>
      <c r="L933" t="s">
        <v>22</v>
      </c>
      <c r="M933" t="s">
        <v>24</v>
      </c>
      <c r="N933">
        <v>0.53900000000000003</v>
      </c>
      <c r="O933">
        <v>132</v>
      </c>
      <c r="P933">
        <v>84</v>
      </c>
      <c r="Q933" t="s">
        <v>29</v>
      </c>
      <c r="R933">
        <v>192</v>
      </c>
      <c r="S933">
        <v>18.16</v>
      </c>
      <c r="T933" t="s">
        <v>30</v>
      </c>
    </row>
    <row r="934" spans="1:20" x14ac:dyDescent="0.3">
      <c r="A934" t="s">
        <v>20</v>
      </c>
      <c r="B934">
        <v>31</v>
      </c>
      <c r="C934">
        <v>54.3</v>
      </c>
      <c r="D934">
        <v>1.69</v>
      </c>
      <c r="E934">
        <v>19</v>
      </c>
      <c r="F934">
        <v>78</v>
      </c>
      <c r="G934" t="s">
        <v>807</v>
      </c>
      <c r="H934">
        <v>124</v>
      </c>
      <c r="I934">
        <v>61</v>
      </c>
      <c r="J934">
        <v>124</v>
      </c>
      <c r="K934" t="s">
        <v>23</v>
      </c>
      <c r="L934" t="s">
        <v>23</v>
      </c>
      <c r="M934" t="s">
        <v>24</v>
      </c>
      <c r="N934">
        <v>0.46200000000000002</v>
      </c>
      <c r="O934">
        <v>135</v>
      </c>
      <c r="P934">
        <v>83</v>
      </c>
      <c r="Q934" t="s">
        <v>29</v>
      </c>
      <c r="R934">
        <v>33</v>
      </c>
      <c r="S934">
        <v>15.03</v>
      </c>
      <c r="T934" t="s">
        <v>26</v>
      </c>
    </row>
    <row r="935" spans="1:20" x14ac:dyDescent="0.3">
      <c r="A935" t="s">
        <v>31</v>
      </c>
      <c r="B935">
        <v>33</v>
      </c>
      <c r="C935">
        <v>88.4</v>
      </c>
      <c r="D935">
        <v>1.86</v>
      </c>
      <c r="E935">
        <v>25.6</v>
      </c>
      <c r="F935">
        <v>90.1</v>
      </c>
      <c r="G935" t="s">
        <v>288</v>
      </c>
      <c r="H935">
        <v>268</v>
      </c>
      <c r="I935">
        <v>68</v>
      </c>
      <c r="J935">
        <v>88</v>
      </c>
      <c r="K935" t="s">
        <v>23</v>
      </c>
      <c r="L935" t="s">
        <v>22</v>
      </c>
      <c r="M935" t="s">
        <v>24</v>
      </c>
      <c r="N935">
        <v>0.48399999999999999</v>
      </c>
      <c r="O935">
        <v>116</v>
      </c>
      <c r="P935">
        <v>69</v>
      </c>
      <c r="Q935" t="s">
        <v>33</v>
      </c>
      <c r="R935">
        <v>170</v>
      </c>
      <c r="S935">
        <v>16.28</v>
      </c>
      <c r="T935" t="s">
        <v>30</v>
      </c>
    </row>
    <row r="936" spans="1:20" x14ac:dyDescent="0.3">
      <c r="A936" t="s">
        <v>20</v>
      </c>
      <c r="B936">
        <v>52</v>
      </c>
      <c r="C936">
        <v>94</v>
      </c>
      <c r="D936">
        <v>1.71</v>
      </c>
      <c r="E936">
        <v>32.1</v>
      </c>
      <c r="F936">
        <v>90.6</v>
      </c>
      <c r="G936" t="s">
        <v>497</v>
      </c>
      <c r="H936">
        <v>108</v>
      </c>
      <c r="J936">
        <v>89</v>
      </c>
      <c r="K936" t="s">
        <v>22</v>
      </c>
      <c r="L936" t="s">
        <v>22</v>
      </c>
      <c r="M936" t="s">
        <v>28</v>
      </c>
      <c r="N936">
        <v>0.53</v>
      </c>
      <c r="O936">
        <v>90</v>
      </c>
      <c r="P936">
        <v>82</v>
      </c>
      <c r="Q936" t="s">
        <v>29</v>
      </c>
      <c r="R936">
        <v>24</v>
      </c>
      <c r="S936">
        <v>13.08</v>
      </c>
      <c r="T936" t="s">
        <v>26</v>
      </c>
    </row>
    <row r="937" spans="1:20" x14ac:dyDescent="0.3">
      <c r="A937" t="s">
        <v>20</v>
      </c>
      <c r="B937">
        <v>50</v>
      </c>
      <c r="C937">
        <v>83.8</v>
      </c>
      <c r="D937">
        <v>1.76</v>
      </c>
      <c r="E937">
        <v>27.1</v>
      </c>
      <c r="F937">
        <v>106.5</v>
      </c>
      <c r="G937" t="s">
        <v>808</v>
      </c>
      <c r="H937">
        <v>280</v>
      </c>
      <c r="I937">
        <v>52</v>
      </c>
      <c r="J937">
        <v>135</v>
      </c>
      <c r="K937" t="s">
        <v>23</v>
      </c>
      <c r="L937" t="s">
        <v>23</v>
      </c>
      <c r="M937" t="s">
        <v>28</v>
      </c>
      <c r="N937">
        <v>0.60499999999999998</v>
      </c>
      <c r="O937">
        <v>131</v>
      </c>
      <c r="P937">
        <v>75</v>
      </c>
      <c r="Q937" t="s">
        <v>29</v>
      </c>
      <c r="R937">
        <v>198</v>
      </c>
      <c r="S937">
        <v>19.57</v>
      </c>
      <c r="T937" t="s">
        <v>30</v>
      </c>
    </row>
    <row r="938" spans="1:20" x14ac:dyDescent="0.3">
      <c r="A938" t="s">
        <v>20</v>
      </c>
      <c r="B938">
        <v>34</v>
      </c>
      <c r="C938">
        <v>104.2</v>
      </c>
      <c r="D938">
        <v>1.88</v>
      </c>
      <c r="E938">
        <v>29.5</v>
      </c>
      <c r="F938">
        <v>83.7</v>
      </c>
      <c r="G938" t="s">
        <v>809</v>
      </c>
      <c r="H938">
        <v>140</v>
      </c>
      <c r="I938">
        <v>63</v>
      </c>
      <c r="J938">
        <v>92</v>
      </c>
      <c r="K938" t="s">
        <v>23</v>
      </c>
      <c r="L938" t="s">
        <v>23</v>
      </c>
      <c r="M938" t="s">
        <v>37</v>
      </c>
      <c r="O938">
        <v>138</v>
      </c>
      <c r="P938">
        <v>76</v>
      </c>
      <c r="Q938" t="s">
        <v>29</v>
      </c>
      <c r="R938">
        <v>47</v>
      </c>
      <c r="S938">
        <v>17.600000000000001</v>
      </c>
      <c r="T938" t="s">
        <v>30</v>
      </c>
    </row>
    <row r="939" spans="1:20" x14ac:dyDescent="0.3">
      <c r="A939" t="s">
        <v>20</v>
      </c>
      <c r="B939">
        <v>56</v>
      </c>
      <c r="D939">
        <v>1.85</v>
      </c>
      <c r="E939">
        <v>22.7</v>
      </c>
      <c r="F939">
        <v>99.6</v>
      </c>
      <c r="G939" t="s">
        <v>810</v>
      </c>
      <c r="H939">
        <v>203</v>
      </c>
      <c r="I939">
        <v>35</v>
      </c>
      <c r="J939">
        <v>122</v>
      </c>
      <c r="K939" t="s">
        <v>23</v>
      </c>
      <c r="L939" t="s">
        <v>23</v>
      </c>
      <c r="M939" t="s">
        <v>24</v>
      </c>
      <c r="N939">
        <v>0.53800000000000003</v>
      </c>
      <c r="O939">
        <v>130</v>
      </c>
      <c r="P939">
        <v>77</v>
      </c>
      <c r="Q939" t="s">
        <v>29</v>
      </c>
      <c r="R939">
        <v>138</v>
      </c>
      <c r="S939">
        <v>17.100000000000001</v>
      </c>
      <c r="T939" t="s">
        <v>30</v>
      </c>
    </row>
    <row r="940" spans="1:20" x14ac:dyDescent="0.3">
      <c r="A940" t="s">
        <v>20</v>
      </c>
      <c r="B940">
        <v>39</v>
      </c>
      <c r="C940">
        <v>118.4</v>
      </c>
      <c r="D940">
        <v>1.74</v>
      </c>
      <c r="E940">
        <v>39.1</v>
      </c>
      <c r="F940">
        <v>74.3</v>
      </c>
      <c r="G940" t="s">
        <v>811</v>
      </c>
      <c r="H940">
        <v>213</v>
      </c>
      <c r="I940">
        <v>49</v>
      </c>
      <c r="J940">
        <v>140</v>
      </c>
      <c r="K940" t="s">
        <v>22</v>
      </c>
      <c r="L940" t="s">
        <v>23</v>
      </c>
      <c r="M940" t="s">
        <v>37</v>
      </c>
      <c r="N940">
        <v>0.42699999999999999</v>
      </c>
      <c r="O940">
        <v>101</v>
      </c>
      <c r="P940">
        <v>92</v>
      </c>
      <c r="Q940" t="s">
        <v>38</v>
      </c>
      <c r="R940">
        <v>134</v>
      </c>
      <c r="S940">
        <v>19.13</v>
      </c>
      <c r="T940" t="s">
        <v>30</v>
      </c>
    </row>
    <row r="941" spans="1:20" x14ac:dyDescent="0.3">
      <c r="A941" t="s">
        <v>31</v>
      </c>
      <c r="B941">
        <v>48</v>
      </c>
      <c r="C941">
        <v>114.5</v>
      </c>
      <c r="D941">
        <v>1.9</v>
      </c>
      <c r="E941">
        <v>31.7</v>
      </c>
      <c r="F941">
        <v>80</v>
      </c>
      <c r="G941" t="s">
        <v>812</v>
      </c>
      <c r="H941">
        <v>201</v>
      </c>
      <c r="I941">
        <v>46</v>
      </c>
      <c r="J941">
        <v>135</v>
      </c>
      <c r="K941" t="s">
        <v>23</v>
      </c>
      <c r="L941" t="s">
        <v>23</v>
      </c>
      <c r="M941" t="s">
        <v>24</v>
      </c>
      <c r="N941">
        <v>0.42099999999999999</v>
      </c>
      <c r="O941">
        <v>144</v>
      </c>
      <c r="P941">
        <v>99</v>
      </c>
      <c r="Q941" t="s">
        <v>38</v>
      </c>
      <c r="R941">
        <v>125</v>
      </c>
      <c r="S941">
        <v>19.559999999999999</v>
      </c>
      <c r="T941" t="s">
        <v>30</v>
      </c>
    </row>
    <row r="942" spans="1:20" x14ac:dyDescent="0.3">
      <c r="A942" t="s">
        <v>20</v>
      </c>
      <c r="B942">
        <v>52</v>
      </c>
      <c r="C942">
        <v>85.2</v>
      </c>
      <c r="D942">
        <v>1.66</v>
      </c>
      <c r="E942">
        <v>30.9</v>
      </c>
      <c r="F942">
        <v>89.7</v>
      </c>
      <c r="G942" t="s">
        <v>813</v>
      </c>
      <c r="H942">
        <v>250</v>
      </c>
      <c r="J942">
        <v>135</v>
      </c>
      <c r="K942" t="s">
        <v>23</v>
      </c>
      <c r="L942" t="s">
        <v>23</v>
      </c>
      <c r="M942" t="s">
        <v>28</v>
      </c>
      <c r="N942">
        <v>0.54</v>
      </c>
      <c r="O942">
        <v>106</v>
      </c>
      <c r="P942">
        <v>77</v>
      </c>
      <c r="Q942" t="s">
        <v>33</v>
      </c>
      <c r="R942">
        <v>156</v>
      </c>
      <c r="S942">
        <v>18.48</v>
      </c>
      <c r="T942" t="s">
        <v>30</v>
      </c>
    </row>
    <row r="943" spans="1:20" x14ac:dyDescent="0.3">
      <c r="A943" t="s">
        <v>20</v>
      </c>
      <c r="B943">
        <v>41</v>
      </c>
      <c r="D943">
        <v>1.7</v>
      </c>
      <c r="E943">
        <v>22.5</v>
      </c>
      <c r="F943">
        <v>75.2</v>
      </c>
      <c r="G943" t="s">
        <v>814</v>
      </c>
      <c r="H943">
        <v>190</v>
      </c>
      <c r="I943">
        <v>33</v>
      </c>
      <c r="J943">
        <v>90</v>
      </c>
      <c r="K943" t="s">
        <v>23</v>
      </c>
      <c r="L943" t="s">
        <v>23</v>
      </c>
      <c r="M943" t="s">
        <v>24</v>
      </c>
      <c r="N943">
        <v>0.442</v>
      </c>
      <c r="O943">
        <v>139</v>
      </c>
      <c r="P943">
        <v>60</v>
      </c>
      <c r="Q943" t="s">
        <v>29</v>
      </c>
      <c r="R943">
        <v>127</v>
      </c>
      <c r="S943">
        <v>17.25</v>
      </c>
      <c r="T943" t="s">
        <v>30</v>
      </c>
    </row>
    <row r="944" spans="1:20" x14ac:dyDescent="0.3">
      <c r="A944" t="s">
        <v>20</v>
      </c>
      <c r="B944">
        <v>58</v>
      </c>
      <c r="C944">
        <v>117</v>
      </c>
      <c r="D944">
        <v>1.89</v>
      </c>
      <c r="E944">
        <v>32.799999999999997</v>
      </c>
      <c r="F944">
        <v>80.599999999999994</v>
      </c>
      <c r="G944" t="s">
        <v>738</v>
      </c>
      <c r="H944">
        <v>135</v>
      </c>
      <c r="I944">
        <v>43</v>
      </c>
      <c r="J944">
        <v>128</v>
      </c>
      <c r="K944" t="s">
        <v>23</v>
      </c>
      <c r="L944" t="s">
        <v>23</v>
      </c>
      <c r="M944" t="s">
        <v>37</v>
      </c>
      <c r="N944">
        <v>0.42599999999999999</v>
      </c>
      <c r="P944">
        <v>93</v>
      </c>
      <c r="Q944" t="s">
        <v>38</v>
      </c>
      <c r="R944">
        <v>62</v>
      </c>
      <c r="S944">
        <v>16.86</v>
      </c>
      <c r="T944" t="s">
        <v>30</v>
      </c>
    </row>
    <row r="945" spans="1:20" x14ac:dyDescent="0.3">
      <c r="A945" t="s">
        <v>31</v>
      </c>
      <c r="B945">
        <v>44</v>
      </c>
      <c r="C945">
        <v>105.4</v>
      </c>
      <c r="D945">
        <v>1.83</v>
      </c>
      <c r="E945">
        <v>31.5</v>
      </c>
      <c r="F945">
        <v>109.7</v>
      </c>
      <c r="G945" t="s">
        <v>815</v>
      </c>
      <c r="H945">
        <v>230</v>
      </c>
      <c r="I945">
        <v>73</v>
      </c>
      <c r="J945">
        <v>128</v>
      </c>
      <c r="K945" t="s">
        <v>22</v>
      </c>
      <c r="L945" t="s">
        <v>23</v>
      </c>
      <c r="M945" t="s">
        <v>24</v>
      </c>
      <c r="N945">
        <v>0.59899999999999998</v>
      </c>
      <c r="O945">
        <v>142</v>
      </c>
      <c r="P945">
        <v>84</v>
      </c>
      <c r="Q945" t="s">
        <v>29</v>
      </c>
      <c r="R945">
        <v>127</v>
      </c>
      <c r="S945">
        <v>20</v>
      </c>
      <c r="T945" t="s">
        <v>30</v>
      </c>
    </row>
    <row r="946" spans="1:20" x14ac:dyDescent="0.3">
      <c r="A946" t="s">
        <v>31</v>
      </c>
      <c r="B946">
        <v>36</v>
      </c>
      <c r="C946">
        <v>55.4</v>
      </c>
      <c r="D946">
        <v>1.86</v>
      </c>
      <c r="E946">
        <v>16</v>
      </c>
      <c r="F946">
        <v>86.2</v>
      </c>
      <c r="G946" t="s">
        <v>349</v>
      </c>
      <c r="H946">
        <v>109</v>
      </c>
      <c r="I946">
        <v>50</v>
      </c>
      <c r="J946">
        <v>143</v>
      </c>
      <c r="K946" t="s">
        <v>23</v>
      </c>
      <c r="L946" t="s">
        <v>23</v>
      </c>
      <c r="M946" t="s">
        <v>37</v>
      </c>
      <c r="N946">
        <v>0.46300000000000002</v>
      </c>
      <c r="O946">
        <v>93</v>
      </c>
      <c r="P946">
        <v>63</v>
      </c>
      <c r="Q946" t="s">
        <v>33</v>
      </c>
      <c r="R946">
        <v>29</v>
      </c>
      <c r="S946">
        <v>12.03</v>
      </c>
      <c r="T946" t="s">
        <v>26</v>
      </c>
    </row>
    <row r="947" spans="1:20" x14ac:dyDescent="0.3">
      <c r="A947" t="s">
        <v>20</v>
      </c>
      <c r="B947">
        <v>53</v>
      </c>
      <c r="C947">
        <v>105.5</v>
      </c>
      <c r="D947">
        <v>1.71</v>
      </c>
      <c r="E947">
        <v>36.1</v>
      </c>
      <c r="F947">
        <v>83.1</v>
      </c>
      <c r="G947" t="s">
        <v>719</v>
      </c>
      <c r="H947">
        <v>280</v>
      </c>
      <c r="I947">
        <v>63</v>
      </c>
      <c r="K947" t="s">
        <v>23</v>
      </c>
      <c r="L947" t="s">
        <v>23</v>
      </c>
      <c r="M947" t="s">
        <v>37</v>
      </c>
      <c r="N947">
        <v>0.48599999999999999</v>
      </c>
      <c r="O947">
        <v>104</v>
      </c>
      <c r="P947">
        <v>70</v>
      </c>
      <c r="Q947" t="s">
        <v>33</v>
      </c>
      <c r="R947">
        <v>187</v>
      </c>
      <c r="S947">
        <v>20.02</v>
      </c>
      <c r="T947" t="s">
        <v>30</v>
      </c>
    </row>
    <row r="948" spans="1:20" x14ac:dyDescent="0.3">
      <c r="A948" t="s">
        <v>20</v>
      </c>
      <c r="B948">
        <v>46</v>
      </c>
      <c r="C948">
        <v>73.2</v>
      </c>
      <c r="D948">
        <v>1.8</v>
      </c>
      <c r="E948">
        <v>22.6</v>
      </c>
      <c r="F948">
        <v>79.3</v>
      </c>
      <c r="G948" t="s">
        <v>816</v>
      </c>
      <c r="H948">
        <v>135</v>
      </c>
      <c r="I948">
        <v>71</v>
      </c>
      <c r="J948">
        <v>117</v>
      </c>
      <c r="K948" t="s">
        <v>23</v>
      </c>
      <c r="L948" t="s">
        <v>23</v>
      </c>
      <c r="M948" t="s">
        <v>24</v>
      </c>
      <c r="N948">
        <v>0.441</v>
      </c>
      <c r="O948">
        <v>126</v>
      </c>
      <c r="P948">
        <v>81</v>
      </c>
      <c r="Q948" t="s">
        <v>29</v>
      </c>
      <c r="S948">
        <v>15.52</v>
      </c>
      <c r="T948" t="s">
        <v>30</v>
      </c>
    </row>
    <row r="949" spans="1:20" x14ac:dyDescent="0.3">
      <c r="A949" t="s">
        <v>31</v>
      </c>
      <c r="B949">
        <v>56</v>
      </c>
      <c r="C949">
        <v>66</v>
      </c>
      <c r="D949">
        <v>1.82</v>
      </c>
      <c r="E949">
        <v>19.899999999999999</v>
      </c>
      <c r="F949">
        <v>80.5</v>
      </c>
      <c r="G949" t="s">
        <v>817</v>
      </c>
      <c r="H949">
        <v>159</v>
      </c>
      <c r="I949">
        <v>73</v>
      </c>
      <c r="J949">
        <v>71</v>
      </c>
      <c r="K949" t="s">
        <v>23</v>
      </c>
      <c r="L949" t="s">
        <v>23</v>
      </c>
      <c r="M949" t="s">
        <v>24</v>
      </c>
      <c r="N949">
        <v>0.442</v>
      </c>
      <c r="O949">
        <v>148</v>
      </c>
      <c r="P949">
        <v>94</v>
      </c>
      <c r="Q949" t="s">
        <v>38</v>
      </c>
      <c r="R949">
        <v>56</v>
      </c>
      <c r="S949">
        <v>16.559999999999999</v>
      </c>
      <c r="T949" t="s">
        <v>30</v>
      </c>
    </row>
    <row r="950" spans="1:20" x14ac:dyDescent="0.3">
      <c r="A950" t="s">
        <v>31</v>
      </c>
      <c r="B950">
        <v>47</v>
      </c>
      <c r="C950">
        <v>51.6</v>
      </c>
      <c r="D950">
        <v>1.68</v>
      </c>
      <c r="E950">
        <v>18.3</v>
      </c>
      <c r="F950">
        <v>71.8</v>
      </c>
      <c r="G950" t="s">
        <v>560</v>
      </c>
      <c r="H950">
        <v>137</v>
      </c>
      <c r="I950">
        <v>37</v>
      </c>
      <c r="J950">
        <v>105</v>
      </c>
      <c r="K950" t="s">
        <v>22</v>
      </c>
      <c r="L950" t="s">
        <v>22</v>
      </c>
      <c r="M950" t="s">
        <v>37</v>
      </c>
      <c r="N950">
        <v>0.42699999999999999</v>
      </c>
      <c r="O950">
        <v>106</v>
      </c>
      <c r="P950">
        <v>92</v>
      </c>
      <c r="Q950" t="s">
        <v>38</v>
      </c>
      <c r="R950">
        <v>70</v>
      </c>
      <c r="S950">
        <v>11.7</v>
      </c>
      <c r="T950" t="s">
        <v>26</v>
      </c>
    </row>
    <row r="951" spans="1:20" x14ac:dyDescent="0.3">
      <c r="A951" t="s">
        <v>20</v>
      </c>
      <c r="B951">
        <v>55</v>
      </c>
      <c r="D951">
        <v>1.65</v>
      </c>
      <c r="E951">
        <v>21.4</v>
      </c>
      <c r="F951">
        <v>92.6</v>
      </c>
      <c r="G951" t="s">
        <v>818</v>
      </c>
      <c r="H951">
        <v>179</v>
      </c>
      <c r="I951">
        <v>75</v>
      </c>
      <c r="J951">
        <v>139</v>
      </c>
      <c r="K951" t="s">
        <v>23</v>
      </c>
      <c r="L951" t="s">
        <v>22</v>
      </c>
      <c r="M951" t="s">
        <v>37</v>
      </c>
      <c r="N951">
        <v>0.56100000000000005</v>
      </c>
      <c r="O951">
        <v>107</v>
      </c>
      <c r="P951">
        <v>89</v>
      </c>
      <c r="Q951" t="s">
        <v>29</v>
      </c>
      <c r="R951">
        <v>74</v>
      </c>
      <c r="S951">
        <v>13.21</v>
      </c>
      <c r="T951" t="s">
        <v>26</v>
      </c>
    </row>
    <row r="952" spans="1:20" x14ac:dyDescent="0.3">
      <c r="A952" t="s">
        <v>20</v>
      </c>
      <c r="B952">
        <v>60</v>
      </c>
      <c r="C952">
        <v>54.3</v>
      </c>
      <c r="D952">
        <v>1.81</v>
      </c>
      <c r="E952">
        <v>16.600000000000001</v>
      </c>
      <c r="F952">
        <v>99.1</v>
      </c>
      <c r="G952" t="s">
        <v>203</v>
      </c>
      <c r="H952">
        <v>187</v>
      </c>
      <c r="I952">
        <v>78</v>
      </c>
      <c r="J952">
        <v>80</v>
      </c>
      <c r="K952" t="s">
        <v>22</v>
      </c>
      <c r="L952" t="s">
        <v>23</v>
      </c>
      <c r="M952" t="s">
        <v>28</v>
      </c>
      <c r="N952">
        <v>0.54800000000000004</v>
      </c>
      <c r="O952">
        <v>133</v>
      </c>
      <c r="P952">
        <v>65</v>
      </c>
      <c r="Q952" t="s">
        <v>29</v>
      </c>
      <c r="R952">
        <v>79</v>
      </c>
      <c r="S952">
        <v>15.71</v>
      </c>
      <c r="T952" t="s">
        <v>26</v>
      </c>
    </row>
    <row r="953" spans="1:20" x14ac:dyDescent="0.3">
      <c r="A953" t="s">
        <v>20</v>
      </c>
      <c r="B953">
        <v>37</v>
      </c>
      <c r="C953">
        <v>79</v>
      </c>
      <c r="D953">
        <v>1.74</v>
      </c>
      <c r="F953">
        <v>92.4</v>
      </c>
      <c r="G953" t="s">
        <v>819</v>
      </c>
      <c r="H953">
        <v>212</v>
      </c>
      <c r="I953">
        <v>73</v>
      </c>
      <c r="J953">
        <v>90</v>
      </c>
      <c r="K953" t="s">
        <v>23</v>
      </c>
      <c r="L953" t="s">
        <v>22</v>
      </c>
      <c r="M953" t="s">
        <v>37</v>
      </c>
      <c r="N953">
        <v>0.53100000000000003</v>
      </c>
      <c r="O953">
        <v>147</v>
      </c>
      <c r="P953">
        <v>85</v>
      </c>
      <c r="Q953" t="s">
        <v>29</v>
      </c>
      <c r="S953">
        <v>16.809999999999999</v>
      </c>
      <c r="T953" t="s">
        <v>26</v>
      </c>
    </row>
    <row r="954" spans="1:20" x14ac:dyDescent="0.3">
      <c r="A954" t="s">
        <v>31</v>
      </c>
      <c r="B954">
        <v>51</v>
      </c>
      <c r="C954">
        <v>85.9</v>
      </c>
      <c r="D954">
        <v>1.78</v>
      </c>
      <c r="E954">
        <v>27.1</v>
      </c>
      <c r="F954">
        <v>87.2</v>
      </c>
      <c r="G954" t="s">
        <v>192</v>
      </c>
      <c r="H954">
        <v>189</v>
      </c>
      <c r="I954">
        <v>44</v>
      </c>
      <c r="J954">
        <v>100</v>
      </c>
      <c r="K954" t="s">
        <v>22</v>
      </c>
      <c r="L954" t="s">
        <v>22</v>
      </c>
      <c r="M954" t="s">
        <v>24</v>
      </c>
      <c r="N954">
        <v>0.49</v>
      </c>
      <c r="O954">
        <v>144</v>
      </c>
      <c r="P954">
        <v>70</v>
      </c>
      <c r="Q954" t="s">
        <v>38</v>
      </c>
      <c r="S954">
        <v>16.399999999999999</v>
      </c>
      <c r="T954" t="s">
        <v>26</v>
      </c>
    </row>
    <row r="955" spans="1:20" x14ac:dyDescent="0.3">
      <c r="A955" t="s">
        <v>31</v>
      </c>
      <c r="B955">
        <v>31</v>
      </c>
      <c r="C955">
        <v>60.3</v>
      </c>
      <c r="D955">
        <v>1.7</v>
      </c>
      <c r="E955">
        <v>20.9</v>
      </c>
      <c r="F955">
        <v>70.099999999999994</v>
      </c>
      <c r="G955" t="s">
        <v>820</v>
      </c>
      <c r="H955">
        <v>253</v>
      </c>
      <c r="I955">
        <v>38</v>
      </c>
      <c r="J955">
        <v>119</v>
      </c>
      <c r="K955" t="s">
        <v>23</v>
      </c>
      <c r="L955" t="s">
        <v>22</v>
      </c>
      <c r="M955" t="s">
        <v>37</v>
      </c>
      <c r="N955">
        <v>0.41199999999999998</v>
      </c>
      <c r="O955">
        <v>141</v>
      </c>
      <c r="P955">
        <v>96</v>
      </c>
      <c r="Q955" t="s">
        <v>38</v>
      </c>
      <c r="R955">
        <v>185</v>
      </c>
      <c r="S955">
        <v>16.29</v>
      </c>
      <c r="T955" t="s">
        <v>30</v>
      </c>
    </row>
    <row r="956" spans="1:20" x14ac:dyDescent="0.3">
      <c r="A956" t="s">
        <v>20</v>
      </c>
      <c r="B956">
        <v>49</v>
      </c>
      <c r="C956">
        <v>60.5</v>
      </c>
      <c r="D956">
        <v>1.64</v>
      </c>
      <c r="E956">
        <v>22.5</v>
      </c>
      <c r="F956">
        <v>76.400000000000006</v>
      </c>
      <c r="G956" t="s">
        <v>821</v>
      </c>
      <c r="H956">
        <v>178</v>
      </c>
      <c r="I956">
        <v>78</v>
      </c>
      <c r="J956">
        <v>124</v>
      </c>
      <c r="K956" t="s">
        <v>22</v>
      </c>
      <c r="L956" t="s">
        <v>22</v>
      </c>
      <c r="M956" t="s">
        <v>37</v>
      </c>
      <c r="N956">
        <v>0.46600000000000003</v>
      </c>
      <c r="O956">
        <v>104</v>
      </c>
      <c r="P956">
        <v>80</v>
      </c>
      <c r="Q956" t="s">
        <v>29</v>
      </c>
      <c r="R956">
        <v>70</v>
      </c>
      <c r="S956">
        <v>13.26</v>
      </c>
      <c r="T956" t="s">
        <v>26</v>
      </c>
    </row>
    <row r="957" spans="1:20" x14ac:dyDescent="0.3">
      <c r="A957" t="s">
        <v>20</v>
      </c>
      <c r="B957">
        <v>48</v>
      </c>
      <c r="C957">
        <v>82.9</v>
      </c>
      <c r="D957">
        <v>1.89</v>
      </c>
      <c r="E957">
        <v>23.2</v>
      </c>
      <c r="F957">
        <v>84.4</v>
      </c>
      <c r="G957" t="s">
        <v>822</v>
      </c>
      <c r="H957">
        <v>109</v>
      </c>
      <c r="I957">
        <v>70</v>
      </c>
      <c r="J957">
        <v>108</v>
      </c>
      <c r="K957" t="s">
        <v>22</v>
      </c>
      <c r="L957" t="s">
        <v>23</v>
      </c>
      <c r="M957" t="s">
        <v>28</v>
      </c>
      <c r="N957">
        <v>0.44700000000000001</v>
      </c>
      <c r="O957">
        <v>129</v>
      </c>
      <c r="P957">
        <v>60</v>
      </c>
      <c r="Q957" t="s">
        <v>25</v>
      </c>
      <c r="R957">
        <v>9</v>
      </c>
      <c r="S957">
        <v>15.27</v>
      </c>
      <c r="T957" t="s">
        <v>26</v>
      </c>
    </row>
    <row r="958" spans="1:20" x14ac:dyDescent="0.3">
      <c r="A958" t="s">
        <v>20</v>
      </c>
      <c r="B958">
        <v>48</v>
      </c>
      <c r="C958">
        <v>103.2</v>
      </c>
      <c r="D958">
        <v>1.75</v>
      </c>
      <c r="E958">
        <v>33.700000000000003</v>
      </c>
      <c r="F958">
        <v>75.5</v>
      </c>
      <c r="G958" t="s">
        <v>823</v>
      </c>
      <c r="H958">
        <v>256</v>
      </c>
      <c r="I958">
        <v>38</v>
      </c>
      <c r="J958">
        <v>104</v>
      </c>
      <c r="K958" t="s">
        <v>22</v>
      </c>
      <c r="L958" t="s">
        <v>22</v>
      </c>
      <c r="M958" t="s">
        <v>24</v>
      </c>
      <c r="N958">
        <v>0.43099999999999999</v>
      </c>
      <c r="O958">
        <v>146</v>
      </c>
      <c r="P958">
        <v>99</v>
      </c>
      <c r="Q958" t="s">
        <v>38</v>
      </c>
      <c r="R958">
        <v>188</v>
      </c>
      <c r="S958">
        <v>19.16</v>
      </c>
      <c r="T958" t="s">
        <v>30</v>
      </c>
    </row>
    <row r="959" spans="1:20" x14ac:dyDescent="0.3">
      <c r="A959" t="s">
        <v>20</v>
      </c>
      <c r="B959">
        <v>40</v>
      </c>
      <c r="C959">
        <v>74.400000000000006</v>
      </c>
      <c r="D959">
        <v>1.88</v>
      </c>
      <c r="E959">
        <v>21.1</v>
      </c>
      <c r="F959">
        <v>91.1</v>
      </c>
      <c r="G959" t="s">
        <v>824</v>
      </c>
      <c r="H959">
        <v>176</v>
      </c>
      <c r="I959">
        <v>73</v>
      </c>
      <c r="J959">
        <v>98</v>
      </c>
      <c r="K959" t="s">
        <v>23</v>
      </c>
      <c r="L959" t="s">
        <v>22</v>
      </c>
      <c r="M959" t="s">
        <v>24</v>
      </c>
      <c r="N959">
        <v>0.48499999999999999</v>
      </c>
      <c r="O959">
        <v>90</v>
      </c>
      <c r="P959">
        <v>97</v>
      </c>
      <c r="Q959" t="s">
        <v>38</v>
      </c>
      <c r="R959">
        <v>73</v>
      </c>
      <c r="S959">
        <v>12.24</v>
      </c>
      <c r="T959" t="s">
        <v>26</v>
      </c>
    </row>
    <row r="960" spans="1:20" x14ac:dyDescent="0.3">
      <c r="A960" t="s">
        <v>20</v>
      </c>
      <c r="B960">
        <v>31</v>
      </c>
      <c r="C960">
        <v>93.2</v>
      </c>
      <c r="D960">
        <v>1.63</v>
      </c>
      <c r="E960">
        <v>35.1</v>
      </c>
      <c r="F960">
        <v>95.5</v>
      </c>
      <c r="G960" t="s">
        <v>825</v>
      </c>
      <c r="I960">
        <v>57</v>
      </c>
      <c r="J960">
        <v>123</v>
      </c>
      <c r="K960" t="s">
        <v>23</v>
      </c>
      <c r="L960" t="s">
        <v>22</v>
      </c>
      <c r="M960" t="s">
        <v>37</v>
      </c>
      <c r="N960">
        <v>0.58599999999999997</v>
      </c>
      <c r="P960">
        <v>91</v>
      </c>
      <c r="Q960" t="s">
        <v>29</v>
      </c>
      <c r="R960">
        <v>180</v>
      </c>
      <c r="S960">
        <v>19.309999999999999</v>
      </c>
      <c r="T960" t="s">
        <v>30</v>
      </c>
    </row>
    <row r="961" spans="1:20" x14ac:dyDescent="0.3">
      <c r="A961" t="s">
        <v>31</v>
      </c>
      <c r="B961">
        <v>57</v>
      </c>
      <c r="C961">
        <v>74.900000000000006</v>
      </c>
      <c r="D961">
        <v>1.81</v>
      </c>
      <c r="E961">
        <v>22.9</v>
      </c>
      <c r="F961">
        <v>72.099999999999994</v>
      </c>
      <c r="G961" t="s">
        <v>826</v>
      </c>
      <c r="H961">
        <v>258</v>
      </c>
      <c r="I961">
        <v>53</v>
      </c>
      <c r="J961">
        <v>109</v>
      </c>
      <c r="K961" t="s">
        <v>23</v>
      </c>
      <c r="L961" t="s">
        <v>22</v>
      </c>
      <c r="M961" t="s">
        <v>28</v>
      </c>
      <c r="N961">
        <v>0.39800000000000002</v>
      </c>
      <c r="O961">
        <v>121</v>
      </c>
      <c r="P961">
        <v>93</v>
      </c>
      <c r="Q961" t="s">
        <v>38</v>
      </c>
      <c r="R961">
        <v>175</v>
      </c>
      <c r="S961">
        <v>15.79</v>
      </c>
      <c r="T961" t="s">
        <v>30</v>
      </c>
    </row>
    <row r="962" spans="1:20" x14ac:dyDescent="0.3">
      <c r="A962" t="s">
        <v>20</v>
      </c>
      <c r="B962">
        <v>33</v>
      </c>
      <c r="C962">
        <v>57.9</v>
      </c>
      <c r="D962">
        <v>1.73</v>
      </c>
      <c r="E962">
        <v>19.3</v>
      </c>
      <c r="F962">
        <v>84.7</v>
      </c>
      <c r="G962" t="s">
        <v>262</v>
      </c>
      <c r="H962">
        <v>111</v>
      </c>
      <c r="I962">
        <v>57</v>
      </c>
      <c r="J962">
        <v>124</v>
      </c>
      <c r="K962" t="s">
        <v>23</v>
      </c>
      <c r="L962" t="s">
        <v>22</v>
      </c>
      <c r="M962" t="s">
        <v>24</v>
      </c>
      <c r="O962">
        <v>126</v>
      </c>
      <c r="P962">
        <v>86</v>
      </c>
      <c r="Q962" t="s">
        <v>29</v>
      </c>
      <c r="R962">
        <v>24</v>
      </c>
      <c r="S962">
        <v>12.38</v>
      </c>
      <c r="T962" t="s">
        <v>26</v>
      </c>
    </row>
    <row r="963" spans="1:20" x14ac:dyDescent="0.3">
      <c r="A963" t="s">
        <v>20</v>
      </c>
      <c r="B963">
        <v>47</v>
      </c>
      <c r="C963">
        <v>82.7</v>
      </c>
      <c r="D963">
        <v>1.63</v>
      </c>
      <c r="E963">
        <v>31.1</v>
      </c>
      <c r="F963">
        <v>82.1</v>
      </c>
      <c r="G963" t="s">
        <v>621</v>
      </c>
      <c r="H963">
        <v>158</v>
      </c>
      <c r="I963">
        <v>78</v>
      </c>
      <c r="J963">
        <v>91</v>
      </c>
      <c r="K963" t="s">
        <v>22</v>
      </c>
      <c r="L963" t="s">
        <v>23</v>
      </c>
      <c r="M963" t="s">
        <v>28</v>
      </c>
      <c r="N963">
        <v>0.504</v>
      </c>
      <c r="P963">
        <v>65</v>
      </c>
      <c r="Q963" t="s">
        <v>29</v>
      </c>
      <c r="R963">
        <v>50</v>
      </c>
      <c r="S963">
        <v>17.98</v>
      </c>
      <c r="T963" t="s">
        <v>30</v>
      </c>
    </row>
    <row r="964" spans="1:20" x14ac:dyDescent="0.3">
      <c r="A964" t="s">
        <v>31</v>
      </c>
      <c r="B964">
        <v>60</v>
      </c>
      <c r="C964">
        <v>91.2</v>
      </c>
      <c r="D964">
        <v>1.68</v>
      </c>
      <c r="E964">
        <v>32.299999999999997</v>
      </c>
      <c r="F964">
        <v>73.2</v>
      </c>
      <c r="G964" t="s">
        <v>827</v>
      </c>
      <c r="H964">
        <v>249</v>
      </c>
      <c r="I964">
        <v>60</v>
      </c>
      <c r="J964">
        <v>147</v>
      </c>
      <c r="K964" t="s">
        <v>22</v>
      </c>
      <c r="L964" t="s">
        <v>22</v>
      </c>
      <c r="M964" t="s">
        <v>37</v>
      </c>
      <c r="N964">
        <v>0.436</v>
      </c>
      <c r="O964">
        <v>124</v>
      </c>
      <c r="Q964" t="s">
        <v>29</v>
      </c>
      <c r="R964">
        <v>159</v>
      </c>
      <c r="S964">
        <v>17.64</v>
      </c>
      <c r="T964" t="s">
        <v>26</v>
      </c>
    </row>
    <row r="965" spans="1:20" x14ac:dyDescent="0.3">
      <c r="A965" t="s">
        <v>20</v>
      </c>
      <c r="B965">
        <v>53</v>
      </c>
      <c r="C965">
        <v>115.2</v>
      </c>
      <c r="D965">
        <v>1.74</v>
      </c>
      <c r="E965">
        <v>38</v>
      </c>
      <c r="F965">
        <v>88.1</v>
      </c>
      <c r="G965" t="s">
        <v>828</v>
      </c>
      <c r="H965">
        <v>100</v>
      </c>
      <c r="I965">
        <v>32</v>
      </c>
      <c r="J965">
        <v>72</v>
      </c>
      <c r="K965" t="s">
        <v>22</v>
      </c>
      <c r="L965" t="s">
        <v>23</v>
      </c>
      <c r="M965" t="s">
        <v>24</v>
      </c>
      <c r="N965">
        <v>0.50600000000000001</v>
      </c>
      <c r="O965">
        <v>146</v>
      </c>
      <c r="P965">
        <v>80</v>
      </c>
      <c r="Q965" t="s">
        <v>29</v>
      </c>
      <c r="R965">
        <v>38</v>
      </c>
      <c r="S965">
        <v>18.899999999999999</v>
      </c>
      <c r="T965" t="s">
        <v>30</v>
      </c>
    </row>
    <row r="966" spans="1:20" x14ac:dyDescent="0.3">
      <c r="A966" t="s">
        <v>20</v>
      </c>
      <c r="B966">
        <v>44</v>
      </c>
      <c r="C966">
        <v>96.3</v>
      </c>
      <c r="D966">
        <v>1.74</v>
      </c>
      <c r="E966">
        <v>31.8</v>
      </c>
      <c r="F966">
        <v>91.3</v>
      </c>
      <c r="G966" t="s">
        <v>829</v>
      </c>
      <c r="H966">
        <v>109</v>
      </c>
      <c r="I966">
        <v>53</v>
      </c>
      <c r="J966">
        <v>129</v>
      </c>
      <c r="K966" t="s">
        <v>22</v>
      </c>
      <c r="L966" t="s">
        <v>23</v>
      </c>
      <c r="M966" t="s">
        <v>28</v>
      </c>
      <c r="N966">
        <v>0.52500000000000002</v>
      </c>
      <c r="O966">
        <v>93</v>
      </c>
      <c r="P966">
        <v>95</v>
      </c>
      <c r="Q966" t="s">
        <v>38</v>
      </c>
      <c r="R966">
        <v>26</v>
      </c>
      <c r="S966">
        <v>15.19</v>
      </c>
      <c r="T966" t="s">
        <v>26</v>
      </c>
    </row>
    <row r="967" spans="1:20" x14ac:dyDescent="0.3">
      <c r="A967" t="s">
        <v>31</v>
      </c>
      <c r="B967">
        <v>37</v>
      </c>
      <c r="C967">
        <v>102.6</v>
      </c>
      <c r="D967">
        <v>1.74</v>
      </c>
      <c r="E967">
        <v>33.9</v>
      </c>
      <c r="F967">
        <v>103.5</v>
      </c>
      <c r="G967" t="s">
        <v>830</v>
      </c>
      <c r="H967">
        <v>127</v>
      </c>
      <c r="I967">
        <v>60</v>
      </c>
      <c r="J967">
        <v>138</v>
      </c>
      <c r="K967" t="s">
        <v>22</v>
      </c>
      <c r="L967" t="s">
        <v>23</v>
      </c>
      <c r="M967" t="s">
        <v>28</v>
      </c>
      <c r="O967">
        <v>134</v>
      </c>
      <c r="P967">
        <v>68</v>
      </c>
      <c r="Q967" t="s">
        <v>29</v>
      </c>
      <c r="R967">
        <v>37</v>
      </c>
      <c r="S967">
        <v>18.02</v>
      </c>
      <c r="T967" t="s">
        <v>26</v>
      </c>
    </row>
    <row r="968" spans="1:20" x14ac:dyDescent="0.3">
      <c r="A968" t="s">
        <v>20</v>
      </c>
      <c r="B968">
        <v>60</v>
      </c>
      <c r="D968">
        <v>1.79</v>
      </c>
      <c r="E968">
        <v>26.1</v>
      </c>
      <c r="F968">
        <v>99.2</v>
      </c>
      <c r="G968" t="s">
        <v>271</v>
      </c>
      <c r="H968">
        <v>245</v>
      </c>
      <c r="I968">
        <v>37</v>
      </c>
      <c r="J968">
        <v>72</v>
      </c>
      <c r="K968" t="s">
        <v>23</v>
      </c>
      <c r="L968" t="s">
        <v>22</v>
      </c>
      <c r="M968" t="s">
        <v>37</v>
      </c>
      <c r="N968">
        <v>0.55400000000000005</v>
      </c>
      <c r="O968">
        <v>121</v>
      </c>
      <c r="P968">
        <v>100</v>
      </c>
      <c r="Q968" t="s">
        <v>38</v>
      </c>
      <c r="S968">
        <v>16.170000000000002</v>
      </c>
      <c r="T968" t="s">
        <v>30</v>
      </c>
    </row>
    <row r="969" spans="1:20" x14ac:dyDescent="0.3">
      <c r="A969" t="s">
        <v>31</v>
      </c>
      <c r="B969">
        <v>31</v>
      </c>
      <c r="C969">
        <v>51</v>
      </c>
      <c r="D969">
        <v>1.63</v>
      </c>
      <c r="E969">
        <v>19.2</v>
      </c>
      <c r="F969">
        <v>95.4</v>
      </c>
      <c r="G969" t="s">
        <v>564</v>
      </c>
      <c r="H969">
        <v>121</v>
      </c>
      <c r="I969">
        <v>46</v>
      </c>
      <c r="J969">
        <v>143</v>
      </c>
      <c r="K969" t="s">
        <v>23</v>
      </c>
      <c r="L969" t="s">
        <v>22</v>
      </c>
      <c r="M969" t="s">
        <v>28</v>
      </c>
      <c r="N969">
        <v>0.58499999999999996</v>
      </c>
      <c r="O969">
        <v>92</v>
      </c>
      <c r="P969">
        <v>60</v>
      </c>
      <c r="Q969" t="s">
        <v>33</v>
      </c>
      <c r="R969">
        <v>45</v>
      </c>
      <c r="S969">
        <v>10.86</v>
      </c>
      <c r="T969" t="s">
        <v>52</v>
      </c>
    </row>
    <row r="970" spans="1:20" x14ac:dyDescent="0.3">
      <c r="A970" t="s">
        <v>20</v>
      </c>
      <c r="B970">
        <v>33</v>
      </c>
      <c r="C970">
        <v>116.9</v>
      </c>
      <c r="D970">
        <v>1.89</v>
      </c>
      <c r="E970">
        <v>32.700000000000003</v>
      </c>
      <c r="F970">
        <v>93.6</v>
      </c>
      <c r="G970" t="s">
        <v>789</v>
      </c>
      <c r="H970">
        <v>110</v>
      </c>
      <c r="I970">
        <v>74</v>
      </c>
      <c r="J970">
        <v>108</v>
      </c>
      <c r="K970" t="s">
        <v>23</v>
      </c>
      <c r="L970" t="s">
        <v>23</v>
      </c>
      <c r="M970" t="s">
        <v>28</v>
      </c>
      <c r="N970">
        <v>0.495</v>
      </c>
      <c r="O970">
        <v>131</v>
      </c>
      <c r="P970">
        <v>62</v>
      </c>
      <c r="Q970" t="s">
        <v>29</v>
      </c>
      <c r="S970">
        <v>17.29</v>
      </c>
      <c r="T970" t="s">
        <v>26</v>
      </c>
    </row>
    <row r="971" spans="1:20" x14ac:dyDescent="0.3">
      <c r="A971" t="s">
        <v>31</v>
      </c>
      <c r="B971">
        <v>38</v>
      </c>
      <c r="D971">
        <v>1.89</v>
      </c>
      <c r="E971">
        <v>15.3</v>
      </c>
      <c r="F971">
        <v>99.9</v>
      </c>
      <c r="G971" t="s">
        <v>711</v>
      </c>
      <c r="H971">
        <v>206</v>
      </c>
      <c r="I971">
        <v>79</v>
      </c>
      <c r="J971">
        <v>105</v>
      </c>
      <c r="K971" t="s">
        <v>22</v>
      </c>
      <c r="L971" t="s">
        <v>22</v>
      </c>
      <c r="M971" t="s">
        <v>28</v>
      </c>
      <c r="N971">
        <v>0.52900000000000003</v>
      </c>
      <c r="O971">
        <v>134</v>
      </c>
      <c r="P971">
        <v>88</v>
      </c>
      <c r="Q971" t="s">
        <v>29</v>
      </c>
      <c r="R971">
        <v>97</v>
      </c>
      <c r="S971">
        <v>13.88</v>
      </c>
      <c r="T971" t="s">
        <v>26</v>
      </c>
    </row>
    <row r="972" spans="1:20" x14ac:dyDescent="0.3">
      <c r="A972" t="s">
        <v>20</v>
      </c>
      <c r="B972">
        <v>39</v>
      </c>
      <c r="C972">
        <v>106.7</v>
      </c>
      <c r="D972">
        <v>1.65</v>
      </c>
      <c r="E972">
        <v>39.200000000000003</v>
      </c>
      <c r="F972">
        <v>106.5</v>
      </c>
      <c r="G972" t="s">
        <v>831</v>
      </c>
      <c r="H972">
        <v>201</v>
      </c>
      <c r="I972">
        <v>76</v>
      </c>
      <c r="J972">
        <v>127</v>
      </c>
      <c r="K972" t="s">
        <v>22</v>
      </c>
      <c r="L972" t="s">
        <v>22</v>
      </c>
      <c r="M972" t="s">
        <v>28</v>
      </c>
      <c r="N972">
        <v>0.64500000000000002</v>
      </c>
      <c r="O972">
        <v>106</v>
      </c>
      <c r="P972">
        <v>69</v>
      </c>
      <c r="Q972" t="s">
        <v>33</v>
      </c>
      <c r="R972">
        <v>95</v>
      </c>
      <c r="S972">
        <v>17.16</v>
      </c>
      <c r="T972" t="s">
        <v>26</v>
      </c>
    </row>
    <row r="973" spans="1:20" x14ac:dyDescent="0.3">
      <c r="A973" t="s">
        <v>20</v>
      </c>
      <c r="B973">
        <v>49</v>
      </c>
      <c r="C973">
        <v>62.7</v>
      </c>
      <c r="D973">
        <v>1.63</v>
      </c>
      <c r="E973">
        <v>23.6</v>
      </c>
      <c r="F973">
        <v>93.9</v>
      </c>
      <c r="G973" t="s">
        <v>685</v>
      </c>
      <c r="H973">
        <v>252</v>
      </c>
      <c r="I973">
        <v>42</v>
      </c>
      <c r="J973">
        <v>114</v>
      </c>
      <c r="K973" t="s">
        <v>23</v>
      </c>
      <c r="L973" t="s">
        <v>23</v>
      </c>
      <c r="M973" t="s">
        <v>24</v>
      </c>
      <c r="N973">
        <v>0.57599999999999996</v>
      </c>
      <c r="O973">
        <v>110</v>
      </c>
      <c r="P973">
        <v>86</v>
      </c>
      <c r="Q973" t="s">
        <v>29</v>
      </c>
      <c r="R973">
        <v>180</v>
      </c>
      <c r="S973">
        <v>17.260000000000002</v>
      </c>
      <c r="T973" t="s">
        <v>30</v>
      </c>
    </row>
    <row r="974" spans="1:20" x14ac:dyDescent="0.3">
      <c r="A974" t="s">
        <v>20</v>
      </c>
      <c r="B974">
        <v>40</v>
      </c>
      <c r="C974">
        <v>98.1</v>
      </c>
      <c r="D974">
        <v>1.84</v>
      </c>
      <c r="F974">
        <v>73.3</v>
      </c>
      <c r="G974" t="s">
        <v>832</v>
      </c>
      <c r="H974">
        <v>235</v>
      </c>
      <c r="I974">
        <v>75</v>
      </c>
      <c r="J974">
        <v>100</v>
      </c>
      <c r="K974" t="s">
        <v>22</v>
      </c>
      <c r="L974" t="s">
        <v>23</v>
      </c>
      <c r="M974" t="s">
        <v>24</v>
      </c>
      <c r="N974">
        <v>0.39800000000000002</v>
      </c>
      <c r="O974">
        <v>143</v>
      </c>
      <c r="P974">
        <v>95</v>
      </c>
      <c r="Q974" t="s">
        <v>38</v>
      </c>
      <c r="R974">
        <v>130</v>
      </c>
      <c r="S974">
        <v>19.649999999999999</v>
      </c>
      <c r="T974" t="s">
        <v>30</v>
      </c>
    </row>
    <row r="975" spans="1:20" x14ac:dyDescent="0.3">
      <c r="A975" t="s">
        <v>20</v>
      </c>
      <c r="B975">
        <v>36</v>
      </c>
      <c r="D975">
        <v>1.76</v>
      </c>
      <c r="E975">
        <v>19.7</v>
      </c>
      <c r="F975">
        <v>88</v>
      </c>
      <c r="G975" t="s">
        <v>415</v>
      </c>
      <c r="I975">
        <v>44</v>
      </c>
      <c r="K975" t="s">
        <v>23</v>
      </c>
      <c r="L975" t="s">
        <v>23</v>
      </c>
      <c r="M975" t="s">
        <v>37</v>
      </c>
      <c r="N975">
        <v>0.5</v>
      </c>
      <c r="O975">
        <v>98</v>
      </c>
      <c r="P975">
        <v>88</v>
      </c>
      <c r="Q975" t="s">
        <v>29</v>
      </c>
      <c r="R975">
        <v>177</v>
      </c>
      <c r="S975">
        <v>15.86</v>
      </c>
      <c r="T975" t="s">
        <v>30</v>
      </c>
    </row>
    <row r="976" spans="1:20" x14ac:dyDescent="0.3">
      <c r="A976" t="s">
        <v>31</v>
      </c>
      <c r="B976">
        <v>32</v>
      </c>
      <c r="C976">
        <v>94.9</v>
      </c>
      <c r="D976">
        <v>1.84</v>
      </c>
      <c r="E976">
        <v>28</v>
      </c>
      <c r="F976">
        <v>79.3</v>
      </c>
      <c r="G976" t="s">
        <v>833</v>
      </c>
      <c r="H976">
        <v>206</v>
      </c>
      <c r="I976">
        <v>46</v>
      </c>
      <c r="J976">
        <v>122</v>
      </c>
      <c r="K976" t="s">
        <v>23</v>
      </c>
      <c r="L976" t="s">
        <v>22</v>
      </c>
      <c r="M976" t="s">
        <v>24</v>
      </c>
      <c r="N976">
        <v>0.43099999999999999</v>
      </c>
      <c r="O976">
        <v>143</v>
      </c>
      <c r="P976">
        <v>66</v>
      </c>
      <c r="Q976" t="s">
        <v>38</v>
      </c>
      <c r="R976">
        <v>130</v>
      </c>
      <c r="S976">
        <v>16.87</v>
      </c>
      <c r="T976" t="s">
        <v>30</v>
      </c>
    </row>
    <row r="977" spans="1:20" x14ac:dyDescent="0.3">
      <c r="A977" t="s">
        <v>31</v>
      </c>
      <c r="B977">
        <v>40</v>
      </c>
      <c r="C977">
        <v>76.900000000000006</v>
      </c>
      <c r="D977">
        <v>1.64</v>
      </c>
      <c r="E977">
        <v>28.6</v>
      </c>
      <c r="F977">
        <v>101.5</v>
      </c>
      <c r="G977" t="s">
        <v>834</v>
      </c>
      <c r="H977">
        <v>181</v>
      </c>
      <c r="I977">
        <v>63</v>
      </c>
      <c r="J977">
        <v>144</v>
      </c>
      <c r="K977" t="s">
        <v>23</v>
      </c>
      <c r="L977" t="s">
        <v>22</v>
      </c>
      <c r="M977" t="s">
        <v>24</v>
      </c>
      <c r="N977">
        <v>0.61899999999999999</v>
      </c>
      <c r="O977">
        <v>101</v>
      </c>
      <c r="P977">
        <v>79</v>
      </c>
      <c r="Q977" t="s">
        <v>33</v>
      </c>
      <c r="R977">
        <v>88</v>
      </c>
      <c r="S977">
        <v>14.39</v>
      </c>
      <c r="T977" t="s">
        <v>26</v>
      </c>
    </row>
    <row r="978" spans="1:20" x14ac:dyDescent="0.3">
      <c r="A978" t="s">
        <v>31</v>
      </c>
      <c r="B978">
        <v>55</v>
      </c>
      <c r="C978">
        <v>83</v>
      </c>
      <c r="D978">
        <v>1.61</v>
      </c>
      <c r="E978">
        <v>32</v>
      </c>
      <c r="F978">
        <v>77.7</v>
      </c>
      <c r="G978" t="s">
        <v>835</v>
      </c>
      <c r="H978">
        <v>210</v>
      </c>
      <c r="I978">
        <v>32</v>
      </c>
      <c r="J978">
        <v>100</v>
      </c>
      <c r="K978" t="s">
        <v>23</v>
      </c>
      <c r="L978" t="s">
        <v>22</v>
      </c>
      <c r="M978" t="s">
        <v>28</v>
      </c>
      <c r="N978">
        <v>0.48299999999999998</v>
      </c>
      <c r="O978">
        <v>116</v>
      </c>
      <c r="P978">
        <v>66</v>
      </c>
      <c r="Q978" t="s">
        <v>33</v>
      </c>
      <c r="S978">
        <v>16.399999999999999</v>
      </c>
      <c r="T978" t="s">
        <v>30</v>
      </c>
    </row>
    <row r="979" spans="1:20" x14ac:dyDescent="0.3">
      <c r="A979" t="s">
        <v>20</v>
      </c>
      <c r="B979">
        <v>36</v>
      </c>
      <c r="C979">
        <v>83.1</v>
      </c>
      <c r="D979">
        <v>1.81</v>
      </c>
      <c r="E979">
        <v>25.4</v>
      </c>
      <c r="F979">
        <v>99.9</v>
      </c>
      <c r="G979" t="s">
        <v>560</v>
      </c>
      <c r="H979">
        <v>167</v>
      </c>
      <c r="I979">
        <v>42</v>
      </c>
      <c r="J979">
        <v>87</v>
      </c>
      <c r="K979" t="s">
        <v>23</v>
      </c>
      <c r="L979" t="s">
        <v>23</v>
      </c>
      <c r="M979" t="s">
        <v>37</v>
      </c>
      <c r="N979">
        <v>0.55200000000000005</v>
      </c>
      <c r="O979">
        <v>106</v>
      </c>
      <c r="P979">
        <v>92</v>
      </c>
      <c r="Q979" t="s">
        <v>38</v>
      </c>
      <c r="R979">
        <v>95</v>
      </c>
      <c r="S979">
        <v>15.72</v>
      </c>
      <c r="T979" t="s">
        <v>26</v>
      </c>
    </row>
    <row r="980" spans="1:20" x14ac:dyDescent="0.3">
      <c r="A980" t="s">
        <v>20</v>
      </c>
      <c r="B980">
        <v>41</v>
      </c>
      <c r="C980">
        <v>102.7</v>
      </c>
      <c r="D980">
        <v>1.61</v>
      </c>
      <c r="E980">
        <v>39.6</v>
      </c>
      <c r="F980">
        <v>107.3</v>
      </c>
      <c r="G980" t="s">
        <v>836</v>
      </c>
      <c r="H980">
        <v>188</v>
      </c>
      <c r="I980">
        <v>56</v>
      </c>
      <c r="J980">
        <v>86</v>
      </c>
      <c r="K980" t="s">
        <v>23</v>
      </c>
      <c r="L980" t="s">
        <v>23</v>
      </c>
      <c r="M980" t="s">
        <v>28</v>
      </c>
      <c r="N980">
        <v>0.66600000000000004</v>
      </c>
      <c r="O980">
        <v>95</v>
      </c>
      <c r="P980">
        <v>88</v>
      </c>
      <c r="Q980" t="s">
        <v>29</v>
      </c>
      <c r="R980">
        <v>102</v>
      </c>
      <c r="S980">
        <v>18.43</v>
      </c>
      <c r="T980" t="s">
        <v>30</v>
      </c>
    </row>
    <row r="981" spans="1:20" x14ac:dyDescent="0.3">
      <c r="A981" t="s">
        <v>31</v>
      </c>
      <c r="C981">
        <v>81.2</v>
      </c>
      <c r="D981">
        <v>1.84</v>
      </c>
      <c r="E981">
        <v>24</v>
      </c>
      <c r="F981">
        <v>86.1</v>
      </c>
      <c r="G981" t="s">
        <v>837</v>
      </c>
      <c r="H981">
        <v>223</v>
      </c>
      <c r="I981">
        <v>38</v>
      </c>
      <c r="J981">
        <v>81</v>
      </c>
      <c r="K981" t="s">
        <v>22</v>
      </c>
      <c r="L981" t="s">
        <v>23</v>
      </c>
      <c r="M981" t="s">
        <v>24</v>
      </c>
      <c r="N981">
        <v>0.46800000000000003</v>
      </c>
      <c r="O981">
        <v>131</v>
      </c>
      <c r="P981">
        <v>84</v>
      </c>
      <c r="Q981" t="s">
        <v>29</v>
      </c>
      <c r="R981">
        <v>155</v>
      </c>
      <c r="S981">
        <v>17.809999999999999</v>
      </c>
      <c r="T981" t="s">
        <v>30</v>
      </c>
    </row>
    <row r="982" spans="1:20" x14ac:dyDescent="0.3">
      <c r="A982" t="s">
        <v>20</v>
      </c>
      <c r="B982">
        <v>59</v>
      </c>
      <c r="C982">
        <v>54.1</v>
      </c>
      <c r="E982">
        <v>16</v>
      </c>
      <c r="F982">
        <v>102.1</v>
      </c>
      <c r="G982" t="s">
        <v>838</v>
      </c>
      <c r="H982">
        <v>150</v>
      </c>
      <c r="I982">
        <v>57</v>
      </c>
      <c r="J982">
        <v>100</v>
      </c>
      <c r="K982" t="s">
        <v>23</v>
      </c>
      <c r="L982" t="s">
        <v>22</v>
      </c>
      <c r="M982" t="s">
        <v>37</v>
      </c>
      <c r="N982">
        <v>0.55500000000000005</v>
      </c>
      <c r="O982">
        <v>101</v>
      </c>
      <c r="P982">
        <v>86</v>
      </c>
      <c r="Q982" t="s">
        <v>29</v>
      </c>
      <c r="R982">
        <v>63</v>
      </c>
      <c r="S982">
        <v>11.25</v>
      </c>
      <c r="T982" t="s">
        <v>26</v>
      </c>
    </row>
    <row r="983" spans="1:20" x14ac:dyDescent="0.3">
      <c r="A983" t="s">
        <v>20</v>
      </c>
      <c r="C983">
        <v>93.7</v>
      </c>
      <c r="D983">
        <v>1.75</v>
      </c>
      <c r="E983">
        <v>30.6</v>
      </c>
      <c r="F983">
        <v>78.8</v>
      </c>
      <c r="G983" t="s">
        <v>839</v>
      </c>
      <c r="H983">
        <v>119</v>
      </c>
      <c r="I983">
        <v>41</v>
      </c>
      <c r="J983">
        <v>96</v>
      </c>
      <c r="K983" t="s">
        <v>23</v>
      </c>
      <c r="L983" t="s">
        <v>22</v>
      </c>
      <c r="M983" t="s">
        <v>28</v>
      </c>
      <c r="N983">
        <v>0.45</v>
      </c>
      <c r="O983">
        <v>134</v>
      </c>
      <c r="P983">
        <v>81</v>
      </c>
      <c r="Q983" t="s">
        <v>29</v>
      </c>
      <c r="S983">
        <v>15.2</v>
      </c>
      <c r="T983" t="s">
        <v>26</v>
      </c>
    </row>
    <row r="984" spans="1:20" x14ac:dyDescent="0.3">
      <c r="A984" t="s">
        <v>31</v>
      </c>
      <c r="B984">
        <v>56</v>
      </c>
      <c r="C984">
        <v>84.1</v>
      </c>
      <c r="D984">
        <v>1.76</v>
      </c>
      <c r="E984">
        <v>27.2</v>
      </c>
      <c r="F984">
        <v>83.4</v>
      </c>
      <c r="G984" t="s">
        <v>840</v>
      </c>
      <c r="H984">
        <v>111</v>
      </c>
      <c r="I984">
        <v>61</v>
      </c>
      <c r="J984">
        <v>113</v>
      </c>
      <c r="K984" t="s">
        <v>22</v>
      </c>
      <c r="L984" t="s">
        <v>22</v>
      </c>
      <c r="M984" t="s">
        <v>24</v>
      </c>
      <c r="N984">
        <v>0.47399999999999998</v>
      </c>
      <c r="O984">
        <v>130</v>
      </c>
      <c r="P984">
        <v>65</v>
      </c>
      <c r="Q984" t="s">
        <v>29</v>
      </c>
      <c r="R984">
        <v>20</v>
      </c>
      <c r="S984">
        <v>14.16</v>
      </c>
      <c r="T984" t="s">
        <v>26</v>
      </c>
    </row>
    <row r="985" spans="1:20" x14ac:dyDescent="0.3">
      <c r="A985" t="s">
        <v>20</v>
      </c>
      <c r="B985">
        <v>47</v>
      </c>
      <c r="C985">
        <v>112.2</v>
      </c>
      <c r="D985">
        <v>1.69</v>
      </c>
      <c r="E985">
        <v>39.299999999999997</v>
      </c>
      <c r="F985">
        <v>75.3</v>
      </c>
      <c r="G985" t="s">
        <v>841</v>
      </c>
      <c r="H985">
        <v>285</v>
      </c>
      <c r="I985">
        <v>60</v>
      </c>
      <c r="J985">
        <v>99</v>
      </c>
      <c r="K985" t="s">
        <v>23</v>
      </c>
      <c r="L985" t="s">
        <v>22</v>
      </c>
      <c r="M985" t="s">
        <v>24</v>
      </c>
      <c r="N985">
        <v>0.44600000000000001</v>
      </c>
      <c r="O985">
        <v>138</v>
      </c>
      <c r="P985">
        <v>61</v>
      </c>
      <c r="Q985" t="s">
        <v>29</v>
      </c>
      <c r="R985">
        <v>195</v>
      </c>
      <c r="S985">
        <v>20.46</v>
      </c>
      <c r="T985" t="s">
        <v>30</v>
      </c>
    </row>
    <row r="986" spans="1:20" x14ac:dyDescent="0.3">
      <c r="A986" t="s">
        <v>31</v>
      </c>
      <c r="B986">
        <v>37</v>
      </c>
      <c r="C986">
        <v>109.6</v>
      </c>
      <c r="D986">
        <v>1.83</v>
      </c>
      <c r="F986">
        <v>90.1</v>
      </c>
      <c r="G986" t="s">
        <v>842</v>
      </c>
      <c r="J986">
        <v>86</v>
      </c>
      <c r="K986" t="s">
        <v>22</v>
      </c>
      <c r="L986" t="s">
        <v>23</v>
      </c>
      <c r="M986" t="s">
        <v>24</v>
      </c>
      <c r="N986">
        <v>0.49199999999999999</v>
      </c>
      <c r="P986">
        <v>90</v>
      </c>
      <c r="Q986" t="s">
        <v>38</v>
      </c>
      <c r="R986">
        <v>128</v>
      </c>
      <c r="S986">
        <v>20.14</v>
      </c>
      <c r="T986" t="s">
        <v>30</v>
      </c>
    </row>
    <row r="987" spans="1:20" x14ac:dyDescent="0.3">
      <c r="A987" t="s">
        <v>20</v>
      </c>
      <c r="B987">
        <v>57</v>
      </c>
      <c r="C987">
        <v>54.2</v>
      </c>
      <c r="D987">
        <v>1.87</v>
      </c>
      <c r="E987">
        <v>15.5</v>
      </c>
      <c r="F987">
        <v>89.8</v>
      </c>
      <c r="G987" t="s">
        <v>843</v>
      </c>
      <c r="H987">
        <v>245</v>
      </c>
      <c r="I987">
        <v>36</v>
      </c>
      <c r="J987">
        <v>99</v>
      </c>
      <c r="K987" t="s">
        <v>22</v>
      </c>
      <c r="L987" t="s">
        <v>23</v>
      </c>
      <c r="M987" t="s">
        <v>24</v>
      </c>
      <c r="N987">
        <v>0.48</v>
      </c>
      <c r="O987">
        <v>92</v>
      </c>
      <c r="P987">
        <v>94</v>
      </c>
      <c r="Q987" t="s">
        <v>38</v>
      </c>
      <c r="R987">
        <v>179</v>
      </c>
      <c r="T987" t="s">
        <v>30</v>
      </c>
    </row>
    <row r="988" spans="1:20" x14ac:dyDescent="0.3">
      <c r="A988" t="s">
        <v>31</v>
      </c>
      <c r="B988">
        <v>76</v>
      </c>
      <c r="C988">
        <v>56.283000000000001</v>
      </c>
      <c r="D988">
        <v>1.9410000000000001</v>
      </c>
      <c r="E988">
        <v>32.701999999999998</v>
      </c>
      <c r="F988">
        <v>107.777</v>
      </c>
      <c r="G988" t="s">
        <v>844</v>
      </c>
      <c r="H988">
        <v>276</v>
      </c>
      <c r="I988">
        <v>83</v>
      </c>
      <c r="J988">
        <v>177</v>
      </c>
      <c r="K988" t="s">
        <v>23</v>
      </c>
      <c r="L988" t="s">
        <v>23</v>
      </c>
      <c r="M988" t="s">
        <v>37</v>
      </c>
      <c r="N988">
        <v>0.55500000000000005</v>
      </c>
      <c r="O988">
        <v>135</v>
      </c>
      <c r="P988">
        <v>69</v>
      </c>
      <c r="Q988" t="s">
        <v>29</v>
      </c>
      <c r="R988">
        <v>163</v>
      </c>
      <c r="S988">
        <v>20.81</v>
      </c>
      <c r="T988" t="s">
        <v>52</v>
      </c>
    </row>
    <row r="989" spans="1:20" x14ac:dyDescent="0.3">
      <c r="A989" t="s">
        <v>20</v>
      </c>
      <c r="B989">
        <v>62</v>
      </c>
      <c r="C989">
        <v>87.543999999999997</v>
      </c>
      <c r="E989">
        <v>38.527000000000001</v>
      </c>
      <c r="F989">
        <v>86.486999999999995</v>
      </c>
      <c r="G989" t="s">
        <v>845</v>
      </c>
      <c r="H989">
        <v>125</v>
      </c>
      <c r="I989">
        <v>48</v>
      </c>
      <c r="J989">
        <v>167</v>
      </c>
      <c r="K989" t="s">
        <v>23</v>
      </c>
      <c r="L989" t="s">
        <v>23</v>
      </c>
      <c r="M989" t="s">
        <v>37</v>
      </c>
      <c r="N989">
        <v>0.48499999999999999</v>
      </c>
      <c r="O989">
        <v>154</v>
      </c>
      <c r="P989">
        <v>60</v>
      </c>
      <c r="Q989" t="s">
        <v>38</v>
      </c>
      <c r="R989">
        <v>47</v>
      </c>
      <c r="S989">
        <v>19.905000000000001</v>
      </c>
      <c r="T989" t="s">
        <v>30</v>
      </c>
    </row>
    <row r="990" spans="1:20" x14ac:dyDescent="0.3">
      <c r="A990" t="s">
        <v>31</v>
      </c>
      <c r="B990">
        <v>60</v>
      </c>
      <c r="C990">
        <v>97.400999999999996</v>
      </c>
      <c r="D990">
        <v>1.7709999999999999</v>
      </c>
      <c r="E990">
        <v>32.968000000000004</v>
      </c>
      <c r="F990">
        <v>79.328000000000003</v>
      </c>
      <c r="G990" t="s">
        <v>846</v>
      </c>
      <c r="H990">
        <v>177</v>
      </c>
      <c r="I990">
        <v>40</v>
      </c>
      <c r="J990">
        <v>176</v>
      </c>
      <c r="K990" t="s">
        <v>23</v>
      </c>
      <c r="L990" t="s">
        <v>23</v>
      </c>
      <c r="M990" t="s">
        <v>28</v>
      </c>
      <c r="N990">
        <v>0.44800000000000001</v>
      </c>
      <c r="P990">
        <v>78</v>
      </c>
      <c r="Q990" t="s">
        <v>38</v>
      </c>
      <c r="R990">
        <v>107</v>
      </c>
      <c r="S990">
        <v>19.484000000000002</v>
      </c>
      <c r="T990" t="s">
        <v>26</v>
      </c>
    </row>
    <row r="991" spans="1:20" x14ac:dyDescent="0.3">
      <c r="A991" t="s">
        <v>20</v>
      </c>
      <c r="B991">
        <v>44</v>
      </c>
      <c r="C991">
        <v>82.164000000000001</v>
      </c>
      <c r="D991">
        <v>1.986</v>
      </c>
      <c r="E991">
        <v>34.701000000000001</v>
      </c>
      <c r="F991">
        <v>117.72</v>
      </c>
      <c r="G991" t="s">
        <v>847</v>
      </c>
      <c r="H991">
        <v>285</v>
      </c>
      <c r="I991">
        <v>83</v>
      </c>
      <c r="J991">
        <v>73</v>
      </c>
      <c r="K991" t="s">
        <v>22</v>
      </c>
      <c r="L991" t="s">
        <v>23</v>
      </c>
      <c r="M991" t="s">
        <v>37</v>
      </c>
      <c r="O991">
        <v>154</v>
      </c>
      <c r="P991">
        <v>69</v>
      </c>
      <c r="Q991" t="s">
        <v>38</v>
      </c>
      <c r="R991">
        <v>172</v>
      </c>
      <c r="S991">
        <v>22.34</v>
      </c>
      <c r="T991" t="s">
        <v>52</v>
      </c>
    </row>
    <row r="992" spans="1:20" x14ac:dyDescent="0.3">
      <c r="A992" t="s">
        <v>31</v>
      </c>
      <c r="B992">
        <v>67</v>
      </c>
      <c r="C992">
        <v>93.938999999999993</v>
      </c>
      <c r="D992">
        <v>1.988</v>
      </c>
      <c r="E992">
        <v>28.5</v>
      </c>
      <c r="F992">
        <v>112.81399999999999</v>
      </c>
      <c r="G992" t="s">
        <v>848</v>
      </c>
      <c r="H992">
        <v>174</v>
      </c>
      <c r="I992">
        <v>45</v>
      </c>
      <c r="J992">
        <v>83</v>
      </c>
      <c r="K992" t="s">
        <v>22</v>
      </c>
      <c r="L992" t="s">
        <v>23</v>
      </c>
      <c r="M992" t="s">
        <v>37</v>
      </c>
      <c r="N992">
        <v>0.56699999999999995</v>
      </c>
      <c r="O992">
        <v>105</v>
      </c>
      <c r="P992">
        <v>110</v>
      </c>
      <c r="Q992" t="s">
        <v>38</v>
      </c>
      <c r="S992">
        <v>16.43</v>
      </c>
      <c r="T992" t="s">
        <v>30</v>
      </c>
    </row>
    <row r="993" spans="1:20" x14ac:dyDescent="0.3">
      <c r="A993" t="s">
        <v>31</v>
      </c>
      <c r="B993">
        <v>50</v>
      </c>
      <c r="C993">
        <v>77.491</v>
      </c>
      <c r="D993">
        <v>1.73</v>
      </c>
      <c r="E993">
        <v>19.614999999999998</v>
      </c>
      <c r="F993">
        <v>94.611999999999995</v>
      </c>
      <c r="G993" t="s">
        <v>849</v>
      </c>
      <c r="H993">
        <v>156</v>
      </c>
      <c r="I993">
        <v>36</v>
      </c>
      <c r="J993">
        <v>174</v>
      </c>
      <c r="K993" t="s">
        <v>23</v>
      </c>
      <c r="L993" t="s">
        <v>22</v>
      </c>
      <c r="M993" t="s">
        <v>28</v>
      </c>
      <c r="N993">
        <v>0.54700000000000004</v>
      </c>
      <c r="O993">
        <v>125</v>
      </c>
      <c r="P993">
        <v>118</v>
      </c>
      <c r="Q993" t="s">
        <v>38</v>
      </c>
      <c r="R993">
        <v>90</v>
      </c>
      <c r="S993">
        <v>13.292999999999999</v>
      </c>
      <c r="T993" t="s">
        <v>52</v>
      </c>
    </row>
    <row r="994" spans="1:20" x14ac:dyDescent="0.3">
      <c r="A994" t="s">
        <v>20</v>
      </c>
      <c r="B994">
        <v>38</v>
      </c>
      <c r="C994">
        <v>68.516000000000005</v>
      </c>
      <c r="D994">
        <v>1.929</v>
      </c>
      <c r="E994">
        <v>39.966999999999999</v>
      </c>
      <c r="F994">
        <v>96.956999999999994</v>
      </c>
      <c r="G994" t="s">
        <v>850</v>
      </c>
      <c r="H994">
        <v>241</v>
      </c>
      <c r="I994">
        <v>52</v>
      </c>
      <c r="J994">
        <v>103</v>
      </c>
      <c r="K994" t="s">
        <v>23</v>
      </c>
      <c r="L994" t="s">
        <v>22</v>
      </c>
      <c r="M994" t="s">
        <v>37</v>
      </c>
      <c r="N994">
        <v>0.503</v>
      </c>
      <c r="O994">
        <v>105</v>
      </c>
      <c r="P994">
        <v>84</v>
      </c>
      <c r="Q994" t="s">
        <v>29</v>
      </c>
      <c r="R994">
        <v>159</v>
      </c>
      <c r="S994">
        <v>18.062999999999999</v>
      </c>
      <c r="T994" t="s">
        <v>30</v>
      </c>
    </row>
    <row r="995" spans="1:20" x14ac:dyDescent="0.3">
      <c r="A995" t="s">
        <v>31</v>
      </c>
      <c r="B995">
        <v>77</v>
      </c>
      <c r="C995">
        <v>86.405000000000001</v>
      </c>
      <c r="D995">
        <v>1.972</v>
      </c>
      <c r="E995">
        <v>35.85</v>
      </c>
      <c r="F995">
        <v>99.563999999999993</v>
      </c>
      <c r="G995" t="s">
        <v>851</v>
      </c>
      <c r="H995">
        <v>222</v>
      </c>
      <c r="I995">
        <v>40</v>
      </c>
      <c r="K995" t="s">
        <v>22</v>
      </c>
      <c r="L995" t="s">
        <v>22</v>
      </c>
      <c r="M995" t="s">
        <v>37</v>
      </c>
      <c r="N995">
        <v>0.505</v>
      </c>
      <c r="O995">
        <v>129</v>
      </c>
      <c r="P995">
        <v>93</v>
      </c>
      <c r="Q995" t="s">
        <v>38</v>
      </c>
      <c r="R995">
        <v>152</v>
      </c>
      <c r="S995">
        <v>18.059999999999999</v>
      </c>
      <c r="T995" t="s">
        <v>30</v>
      </c>
    </row>
    <row r="996" spans="1:20" x14ac:dyDescent="0.3">
      <c r="A996" t="s">
        <v>31</v>
      </c>
      <c r="B996">
        <v>51</v>
      </c>
      <c r="C996">
        <v>105</v>
      </c>
      <c r="E996">
        <v>25.309000000000001</v>
      </c>
      <c r="F996">
        <v>110.277</v>
      </c>
      <c r="G996" t="s">
        <v>852</v>
      </c>
      <c r="H996">
        <v>126</v>
      </c>
      <c r="I996">
        <v>50</v>
      </c>
      <c r="J996">
        <v>91</v>
      </c>
      <c r="K996" t="s">
        <v>22</v>
      </c>
      <c r="L996" t="s">
        <v>22</v>
      </c>
      <c r="M996" t="s">
        <v>37</v>
      </c>
      <c r="N996">
        <v>0.624</v>
      </c>
      <c r="O996">
        <v>144</v>
      </c>
      <c r="P996">
        <v>93</v>
      </c>
      <c r="Q996" t="s">
        <v>38</v>
      </c>
      <c r="R996">
        <v>46</v>
      </c>
      <c r="T996" t="s">
        <v>26</v>
      </c>
    </row>
    <row r="997" spans="1:20" x14ac:dyDescent="0.3">
      <c r="A997" t="s">
        <v>31</v>
      </c>
      <c r="B997">
        <v>42</v>
      </c>
      <c r="C997">
        <v>51.094999999999999</v>
      </c>
      <c r="D997">
        <v>1.5209999999999999</v>
      </c>
      <c r="E997">
        <v>20.190000000000001</v>
      </c>
      <c r="F997">
        <v>72.274000000000001</v>
      </c>
      <c r="G997" t="s">
        <v>853</v>
      </c>
      <c r="H997">
        <v>296</v>
      </c>
      <c r="J997">
        <v>123</v>
      </c>
      <c r="K997" t="s">
        <v>22</v>
      </c>
      <c r="L997" t="s">
        <v>22</v>
      </c>
      <c r="M997" t="s">
        <v>37</v>
      </c>
      <c r="O997">
        <v>159</v>
      </c>
      <c r="P997">
        <v>91</v>
      </c>
      <c r="Q997" t="s">
        <v>38</v>
      </c>
      <c r="R997">
        <v>211</v>
      </c>
      <c r="S997">
        <v>17.908000000000001</v>
      </c>
      <c r="T997" t="s">
        <v>52</v>
      </c>
    </row>
    <row r="998" spans="1:20" x14ac:dyDescent="0.3">
      <c r="A998" t="s">
        <v>20</v>
      </c>
      <c r="B998">
        <v>52</v>
      </c>
      <c r="C998">
        <v>69.367000000000004</v>
      </c>
      <c r="D998">
        <v>1.8320000000000001</v>
      </c>
      <c r="E998">
        <v>30.099</v>
      </c>
      <c r="F998">
        <v>112.452</v>
      </c>
      <c r="G998" t="s">
        <v>854</v>
      </c>
      <c r="I998">
        <v>47</v>
      </c>
      <c r="J998">
        <v>90</v>
      </c>
      <c r="K998" t="s">
        <v>23</v>
      </c>
      <c r="L998" t="s">
        <v>22</v>
      </c>
      <c r="M998" t="s">
        <v>24</v>
      </c>
      <c r="N998">
        <v>0.61399999999999999</v>
      </c>
      <c r="O998">
        <v>149</v>
      </c>
      <c r="P998">
        <v>107</v>
      </c>
      <c r="Q998" t="s">
        <v>38</v>
      </c>
      <c r="R998">
        <v>210</v>
      </c>
      <c r="S998">
        <v>19.21</v>
      </c>
      <c r="T998" t="s">
        <v>52</v>
      </c>
    </row>
    <row r="999" spans="1:20" x14ac:dyDescent="0.3">
      <c r="A999" t="s">
        <v>20</v>
      </c>
      <c r="B999">
        <v>60</v>
      </c>
      <c r="C999">
        <v>90.05</v>
      </c>
      <c r="E999">
        <v>33.582000000000001</v>
      </c>
      <c r="F999">
        <v>85.075999999999993</v>
      </c>
      <c r="G999" t="s">
        <v>855</v>
      </c>
      <c r="H999">
        <v>238</v>
      </c>
      <c r="I999">
        <v>51</v>
      </c>
      <c r="J999">
        <v>161</v>
      </c>
      <c r="K999" t="s">
        <v>22</v>
      </c>
      <c r="L999" t="s">
        <v>23</v>
      </c>
      <c r="M999" t="s">
        <v>24</v>
      </c>
      <c r="N999">
        <v>0.5</v>
      </c>
      <c r="O999">
        <v>120</v>
      </c>
      <c r="P999">
        <v>102</v>
      </c>
      <c r="Q999" t="s">
        <v>38</v>
      </c>
      <c r="R999">
        <v>157</v>
      </c>
      <c r="S999">
        <v>19.475999999999999</v>
      </c>
      <c r="T999" t="s">
        <v>52</v>
      </c>
    </row>
    <row r="1000" spans="1:20" x14ac:dyDescent="0.3">
      <c r="A1000" t="s">
        <v>20</v>
      </c>
      <c r="B1000">
        <v>43</v>
      </c>
      <c r="C1000">
        <v>91.147999999999996</v>
      </c>
      <c r="D1000">
        <v>1.998</v>
      </c>
      <c r="E1000">
        <v>38.405000000000001</v>
      </c>
      <c r="F1000">
        <v>108.75</v>
      </c>
      <c r="G1000" t="s">
        <v>856</v>
      </c>
      <c r="H1000">
        <v>272</v>
      </c>
      <c r="I1000">
        <v>40</v>
      </c>
      <c r="J1000">
        <v>157</v>
      </c>
      <c r="K1000" t="s">
        <v>22</v>
      </c>
      <c r="L1000" t="s">
        <v>23</v>
      </c>
      <c r="M1000" t="s">
        <v>24</v>
      </c>
      <c r="N1000">
        <v>0.54400000000000004</v>
      </c>
      <c r="O1000">
        <v>108</v>
      </c>
      <c r="P1000">
        <v>95</v>
      </c>
      <c r="Q1000" t="s">
        <v>38</v>
      </c>
      <c r="R1000">
        <v>202</v>
      </c>
      <c r="S1000">
        <v>20.521000000000001</v>
      </c>
      <c r="T1000" t="s">
        <v>52</v>
      </c>
    </row>
    <row r="1001" spans="1:20" x14ac:dyDescent="0.3">
      <c r="A1001" t="s">
        <v>31</v>
      </c>
      <c r="B1001">
        <v>65</v>
      </c>
      <c r="C1001">
        <v>80.069000000000003</v>
      </c>
      <c r="E1001">
        <v>29.166</v>
      </c>
      <c r="F1001">
        <v>80.971000000000004</v>
      </c>
      <c r="G1001" t="s">
        <v>114</v>
      </c>
      <c r="H1001">
        <v>151</v>
      </c>
      <c r="I1001">
        <v>35</v>
      </c>
      <c r="J1001">
        <v>70</v>
      </c>
      <c r="K1001" t="s">
        <v>22</v>
      </c>
      <c r="L1001" t="s">
        <v>23</v>
      </c>
      <c r="M1001" t="s">
        <v>28</v>
      </c>
      <c r="N1001">
        <v>0.51900000000000002</v>
      </c>
      <c r="O1001">
        <v>120</v>
      </c>
      <c r="P1001">
        <v>87</v>
      </c>
      <c r="Q1001" t="s">
        <v>29</v>
      </c>
      <c r="R1001">
        <v>86</v>
      </c>
      <c r="S1001">
        <v>16.853000000000002</v>
      </c>
      <c r="T1001" t="s">
        <v>26</v>
      </c>
    </row>
    <row r="1002" spans="1:20" x14ac:dyDescent="0.3">
      <c r="A1002" t="s">
        <v>20</v>
      </c>
      <c r="B1002">
        <v>67</v>
      </c>
      <c r="C1002">
        <v>58.323999999999998</v>
      </c>
      <c r="D1002">
        <v>1.6339999999999999</v>
      </c>
      <c r="E1002">
        <v>36.951999999999998</v>
      </c>
      <c r="F1002">
        <v>86.34</v>
      </c>
      <c r="G1002" t="s">
        <v>857</v>
      </c>
      <c r="H1002">
        <v>233</v>
      </c>
      <c r="I1002">
        <v>86</v>
      </c>
      <c r="J1002">
        <v>114</v>
      </c>
      <c r="K1002" t="s">
        <v>23</v>
      </c>
      <c r="L1002" t="s">
        <v>23</v>
      </c>
      <c r="M1002" t="s">
        <v>24</v>
      </c>
      <c r="N1002">
        <v>0.52800000000000002</v>
      </c>
      <c r="O1002">
        <v>168</v>
      </c>
      <c r="P1002">
        <v>60</v>
      </c>
      <c r="Q1002" t="s">
        <v>38</v>
      </c>
      <c r="R1002">
        <v>117</v>
      </c>
      <c r="S1002">
        <v>22.45</v>
      </c>
      <c r="T1002" t="s">
        <v>52</v>
      </c>
    </row>
    <row r="1003" spans="1:20" x14ac:dyDescent="0.3">
      <c r="A1003" t="s">
        <v>31</v>
      </c>
      <c r="B1003">
        <v>52</v>
      </c>
      <c r="C1003">
        <v>55.683999999999997</v>
      </c>
      <c r="D1003">
        <v>1.552</v>
      </c>
      <c r="F1003">
        <v>103.846</v>
      </c>
      <c r="G1003" t="s">
        <v>858</v>
      </c>
      <c r="H1003">
        <v>298</v>
      </c>
      <c r="I1003">
        <v>53</v>
      </c>
      <c r="J1003">
        <v>149</v>
      </c>
      <c r="K1003" t="s">
        <v>23</v>
      </c>
      <c r="L1003" t="s">
        <v>23</v>
      </c>
      <c r="M1003" t="s">
        <v>24</v>
      </c>
      <c r="N1003">
        <v>0.66900000000000004</v>
      </c>
      <c r="O1003">
        <v>147</v>
      </c>
      <c r="P1003">
        <v>87</v>
      </c>
      <c r="Q1003" t="s">
        <v>29</v>
      </c>
      <c r="R1003">
        <v>215</v>
      </c>
      <c r="S1003">
        <v>21.032</v>
      </c>
      <c r="T1003" t="s">
        <v>30</v>
      </c>
    </row>
    <row r="1004" spans="1:20" x14ac:dyDescent="0.3">
      <c r="A1004" t="s">
        <v>20</v>
      </c>
      <c r="B1004">
        <v>28</v>
      </c>
      <c r="C1004">
        <v>88.094999999999999</v>
      </c>
      <c r="D1004">
        <v>1.738</v>
      </c>
      <c r="E1004">
        <v>24.181999999999999</v>
      </c>
      <c r="F1004">
        <v>70.090999999999994</v>
      </c>
      <c r="G1004" t="s">
        <v>859</v>
      </c>
      <c r="H1004">
        <v>141</v>
      </c>
      <c r="I1004">
        <v>35</v>
      </c>
      <c r="J1004">
        <v>74</v>
      </c>
      <c r="K1004" t="s">
        <v>23</v>
      </c>
      <c r="L1004" t="s">
        <v>23</v>
      </c>
      <c r="M1004" t="s">
        <v>24</v>
      </c>
      <c r="N1004">
        <v>0.40300000000000002</v>
      </c>
      <c r="O1004">
        <v>99</v>
      </c>
      <c r="P1004">
        <v>80</v>
      </c>
      <c r="Q1004" t="s">
        <v>29</v>
      </c>
      <c r="R1004">
        <v>76</v>
      </c>
      <c r="S1004">
        <v>14.606</v>
      </c>
      <c r="T1004" t="s">
        <v>26</v>
      </c>
    </row>
    <row r="1005" spans="1:20" x14ac:dyDescent="0.3">
      <c r="A1005" t="s">
        <v>31</v>
      </c>
      <c r="B1005">
        <v>79</v>
      </c>
      <c r="C1005">
        <v>102.027</v>
      </c>
      <c r="D1005">
        <v>1.786</v>
      </c>
      <c r="E1005">
        <v>18.585000000000001</v>
      </c>
      <c r="F1005">
        <v>83.74</v>
      </c>
      <c r="G1005" t="s">
        <v>860</v>
      </c>
      <c r="H1005">
        <v>182</v>
      </c>
      <c r="I1005">
        <v>87</v>
      </c>
      <c r="J1005">
        <v>102</v>
      </c>
      <c r="K1005" t="s">
        <v>23</v>
      </c>
      <c r="L1005" t="s">
        <v>22</v>
      </c>
      <c r="M1005" t="s">
        <v>24</v>
      </c>
      <c r="N1005">
        <v>0.46899999999999997</v>
      </c>
      <c r="O1005">
        <v>152</v>
      </c>
      <c r="P1005">
        <v>109</v>
      </c>
      <c r="Q1005" t="s">
        <v>38</v>
      </c>
      <c r="R1005">
        <v>65</v>
      </c>
      <c r="S1005">
        <v>14.957000000000001</v>
      </c>
      <c r="T1005" t="s">
        <v>26</v>
      </c>
    </row>
    <row r="1006" spans="1:20" x14ac:dyDescent="0.3">
      <c r="A1006" t="s">
        <v>20</v>
      </c>
      <c r="B1006">
        <v>54</v>
      </c>
      <c r="C1006">
        <v>98.343000000000004</v>
      </c>
      <c r="D1006">
        <v>1.887</v>
      </c>
      <c r="E1006">
        <v>35.972999999999999</v>
      </c>
      <c r="F1006">
        <v>103.28400000000001</v>
      </c>
      <c r="G1006" t="s">
        <v>861</v>
      </c>
      <c r="H1006">
        <v>295</v>
      </c>
      <c r="I1006">
        <v>64</v>
      </c>
      <c r="J1006">
        <v>75</v>
      </c>
      <c r="K1006" t="s">
        <v>23</v>
      </c>
      <c r="L1006" t="s">
        <v>23</v>
      </c>
      <c r="M1006" t="s">
        <v>37</v>
      </c>
      <c r="N1006">
        <v>0.54700000000000004</v>
      </c>
      <c r="O1006">
        <v>104</v>
      </c>
      <c r="P1006">
        <v>99</v>
      </c>
      <c r="Q1006" t="s">
        <v>38</v>
      </c>
      <c r="R1006">
        <v>201</v>
      </c>
      <c r="S1006">
        <v>20.295000000000002</v>
      </c>
      <c r="T1006" t="s">
        <v>52</v>
      </c>
    </row>
    <row r="1007" spans="1:20" x14ac:dyDescent="0.3">
      <c r="A1007" t="s">
        <v>31</v>
      </c>
      <c r="B1007">
        <v>79</v>
      </c>
      <c r="C1007">
        <v>75.956999999999994</v>
      </c>
      <c r="D1007">
        <v>1.6539999999999999</v>
      </c>
      <c r="E1007">
        <v>21.277999999999999</v>
      </c>
      <c r="F1007">
        <v>117.142</v>
      </c>
      <c r="G1007" t="s">
        <v>862</v>
      </c>
      <c r="H1007">
        <v>112</v>
      </c>
      <c r="I1007">
        <v>61</v>
      </c>
      <c r="J1007">
        <v>89</v>
      </c>
      <c r="K1007" t="s">
        <v>22</v>
      </c>
      <c r="L1007" t="s">
        <v>22</v>
      </c>
      <c r="M1007" t="s">
        <v>28</v>
      </c>
      <c r="N1007">
        <v>0.70799999999999996</v>
      </c>
      <c r="O1007">
        <v>155</v>
      </c>
      <c r="P1007">
        <v>119</v>
      </c>
      <c r="Q1007" t="s">
        <v>38</v>
      </c>
      <c r="R1007">
        <v>21</v>
      </c>
      <c r="S1007">
        <v>14.246</v>
      </c>
      <c r="T1007" t="s">
        <v>26</v>
      </c>
    </row>
    <row r="1008" spans="1:20" x14ac:dyDescent="0.3">
      <c r="A1008" t="s">
        <v>31</v>
      </c>
      <c r="B1008">
        <v>27</v>
      </c>
      <c r="C1008">
        <v>114.312</v>
      </c>
      <c r="D1008">
        <v>1.6879999999999999</v>
      </c>
      <c r="E1008">
        <v>25.163</v>
      </c>
      <c r="G1008" t="s">
        <v>863</v>
      </c>
      <c r="H1008">
        <v>210</v>
      </c>
      <c r="I1008">
        <v>41</v>
      </c>
      <c r="J1008">
        <v>80</v>
      </c>
      <c r="K1008" t="s">
        <v>23</v>
      </c>
      <c r="L1008" t="s">
        <v>22</v>
      </c>
      <c r="M1008" t="s">
        <v>24</v>
      </c>
      <c r="N1008">
        <v>0.58399999999999996</v>
      </c>
      <c r="O1008">
        <v>140</v>
      </c>
      <c r="P1008">
        <v>106</v>
      </c>
      <c r="Q1008" t="s">
        <v>38</v>
      </c>
      <c r="R1008">
        <v>139</v>
      </c>
      <c r="S1008">
        <v>16.233000000000001</v>
      </c>
      <c r="T1008" t="s">
        <v>26</v>
      </c>
    </row>
    <row r="1009" spans="1:20" x14ac:dyDescent="0.3">
      <c r="A1009" t="s">
        <v>20</v>
      </c>
      <c r="B1009">
        <v>70</v>
      </c>
      <c r="D1009">
        <v>1.754</v>
      </c>
      <c r="E1009">
        <v>37.484000000000002</v>
      </c>
      <c r="F1009">
        <v>95.49</v>
      </c>
      <c r="G1009" t="s">
        <v>864</v>
      </c>
      <c r="H1009">
        <v>172</v>
      </c>
      <c r="I1009">
        <v>65</v>
      </c>
      <c r="J1009">
        <v>141</v>
      </c>
      <c r="K1009" t="s">
        <v>22</v>
      </c>
      <c r="L1009" t="s">
        <v>22</v>
      </c>
      <c r="M1009" t="s">
        <v>24</v>
      </c>
      <c r="N1009">
        <v>0.54500000000000004</v>
      </c>
      <c r="O1009">
        <v>113</v>
      </c>
      <c r="P1009">
        <v>119</v>
      </c>
      <c r="Q1009" t="s">
        <v>38</v>
      </c>
      <c r="R1009">
        <v>77</v>
      </c>
      <c r="S1009">
        <v>16.587</v>
      </c>
      <c r="T1009" t="s">
        <v>52</v>
      </c>
    </row>
    <row r="1010" spans="1:20" x14ac:dyDescent="0.3">
      <c r="A1010" t="s">
        <v>20</v>
      </c>
      <c r="B1010">
        <v>37</v>
      </c>
      <c r="C1010">
        <v>82.742999999999995</v>
      </c>
      <c r="D1010">
        <v>1.9770000000000001</v>
      </c>
      <c r="E1010">
        <v>24.571999999999999</v>
      </c>
      <c r="F1010">
        <v>95.001999999999995</v>
      </c>
      <c r="G1010" t="s">
        <v>865</v>
      </c>
      <c r="H1010">
        <v>282</v>
      </c>
      <c r="I1010">
        <v>57</v>
      </c>
      <c r="J1010">
        <v>164</v>
      </c>
      <c r="K1010" t="s">
        <v>22</v>
      </c>
      <c r="L1010" t="s">
        <v>23</v>
      </c>
      <c r="M1010" t="s">
        <v>24</v>
      </c>
      <c r="N1010">
        <v>0.48099999999999998</v>
      </c>
      <c r="O1010">
        <v>136</v>
      </c>
      <c r="P1010">
        <v>114</v>
      </c>
      <c r="Q1010" t="s">
        <v>29</v>
      </c>
      <c r="R1010">
        <v>195</v>
      </c>
      <c r="S1010">
        <v>19.353999999999999</v>
      </c>
      <c r="T1010" t="s">
        <v>30</v>
      </c>
    </row>
    <row r="1011" spans="1:20" x14ac:dyDescent="0.3">
      <c r="A1011" t="s">
        <v>31</v>
      </c>
      <c r="B1011">
        <v>43</v>
      </c>
      <c r="C1011">
        <v>98.221999999999994</v>
      </c>
      <c r="D1011">
        <v>1.9830000000000001</v>
      </c>
      <c r="E1011">
        <v>24.088999999999999</v>
      </c>
      <c r="F1011">
        <v>116.852</v>
      </c>
      <c r="G1011" t="s">
        <v>866</v>
      </c>
      <c r="H1011">
        <v>152</v>
      </c>
      <c r="I1011">
        <v>47</v>
      </c>
      <c r="K1011" t="s">
        <v>23</v>
      </c>
      <c r="L1011" t="s">
        <v>22</v>
      </c>
      <c r="M1011" t="s">
        <v>28</v>
      </c>
      <c r="N1011">
        <v>0.58899999999999997</v>
      </c>
      <c r="O1011">
        <v>103</v>
      </c>
      <c r="P1011">
        <v>68</v>
      </c>
      <c r="Q1011" t="s">
        <v>33</v>
      </c>
      <c r="R1011">
        <v>75</v>
      </c>
      <c r="S1011">
        <v>13.007999999999999</v>
      </c>
      <c r="T1011" t="s">
        <v>30</v>
      </c>
    </row>
    <row r="1012" spans="1:20" x14ac:dyDescent="0.3">
      <c r="A1012" t="s">
        <v>31</v>
      </c>
      <c r="B1012">
        <v>31</v>
      </c>
      <c r="C1012">
        <v>104.34399999999999</v>
      </c>
      <c r="D1012">
        <v>1.9550000000000001</v>
      </c>
      <c r="E1012">
        <v>27.114999999999998</v>
      </c>
      <c r="F1012">
        <v>74.353999999999999</v>
      </c>
      <c r="G1012" t="s">
        <v>867</v>
      </c>
      <c r="H1012">
        <v>160</v>
      </c>
      <c r="I1012">
        <v>39</v>
      </c>
      <c r="J1012">
        <v>89</v>
      </c>
      <c r="K1012" t="s">
        <v>22</v>
      </c>
      <c r="L1012" t="s">
        <v>22</v>
      </c>
      <c r="M1012" t="s">
        <v>24</v>
      </c>
      <c r="N1012">
        <v>0.38</v>
      </c>
      <c r="O1012">
        <v>174</v>
      </c>
      <c r="Q1012" t="s">
        <v>38</v>
      </c>
      <c r="R1012">
        <v>91</v>
      </c>
      <c r="S1012">
        <v>17.323</v>
      </c>
      <c r="T1012" t="s">
        <v>26</v>
      </c>
    </row>
    <row r="1013" spans="1:20" x14ac:dyDescent="0.3">
      <c r="A1013" t="s">
        <v>31</v>
      </c>
      <c r="B1013">
        <v>30</v>
      </c>
      <c r="C1013">
        <v>72.361999999999995</v>
      </c>
      <c r="D1013">
        <v>1.5920000000000001</v>
      </c>
      <c r="E1013">
        <v>27.881</v>
      </c>
      <c r="F1013">
        <v>117.02200000000001</v>
      </c>
      <c r="G1013" t="s">
        <v>431</v>
      </c>
      <c r="H1013">
        <v>107</v>
      </c>
      <c r="I1013">
        <v>40</v>
      </c>
      <c r="J1013">
        <v>97</v>
      </c>
      <c r="K1013" t="s">
        <v>22</v>
      </c>
      <c r="L1013" t="s">
        <v>23</v>
      </c>
      <c r="M1013" t="s">
        <v>24</v>
      </c>
      <c r="N1013">
        <v>0.73499999999999999</v>
      </c>
      <c r="O1013">
        <v>121</v>
      </c>
      <c r="P1013">
        <v>92</v>
      </c>
      <c r="Q1013" t="s">
        <v>38</v>
      </c>
      <c r="R1013">
        <v>37</v>
      </c>
      <c r="S1013">
        <v>15.766</v>
      </c>
      <c r="T1013" t="s">
        <v>30</v>
      </c>
    </row>
    <row r="1014" spans="1:20" x14ac:dyDescent="0.3">
      <c r="A1014" t="s">
        <v>20</v>
      </c>
      <c r="B1014">
        <v>72</v>
      </c>
      <c r="C1014">
        <v>68.852999999999994</v>
      </c>
      <c r="D1014">
        <v>1.9510000000000001</v>
      </c>
      <c r="E1014">
        <v>24.155999999999999</v>
      </c>
      <c r="F1014">
        <v>82.284999999999997</v>
      </c>
      <c r="G1014" t="s">
        <v>443</v>
      </c>
      <c r="H1014">
        <v>192</v>
      </c>
      <c r="J1014">
        <v>183</v>
      </c>
      <c r="K1014" t="s">
        <v>23</v>
      </c>
      <c r="L1014" t="s">
        <v>22</v>
      </c>
      <c r="M1014" t="s">
        <v>28</v>
      </c>
      <c r="N1014">
        <v>0.42199999999999999</v>
      </c>
      <c r="O1014">
        <v>116</v>
      </c>
      <c r="P1014">
        <v>86</v>
      </c>
      <c r="Q1014" t="s">
        <v>29</v>
      </c>
      <c r="R1014">
        <v>107</v>
      </c>
      <c r="S1014">
        <v>14.471</v>
      </c>
      <c r="T1014" t="s">
        <v>26</v>
      </c>
    </row>
    <row r="1015" spans="1:20" x14ac:dyDescent="0.3">
      <c r="A1015" t="s">
        <v>31</v>
      </c>
      <c r="B1015">
        <v>37</v>
      </c>
      <c r="C1015">
        <v>117.678</v>
      </c>
      <c r="D1015">
        <v>1.7929999999999999</v>
      </c>
      <c r="E1015">
        <v>23.637</v>
      </c>
      <c r="F1015">
        <v>105.11</v>
      </c>
      <c r="G1015" t="s">
        <v>868</v>
      </c>
      <c r="H1015">
        <v>269</v>
      </c>
      <c r="I1015">
        <v>41</v>
      </c>
      <c r="J1015">
        <v>103</v>
      </c>
      <c r="K1015" t="s">
        <v>22</v>
      </c>
      <c r="L1015" t="s">
        <v>23</v>
      </c>
      <c r="M1015" t="s">
        <v>28</v>
      </c>
      <c r="N1015">
        <v>0.58599999999999997</v>
      </c>
      <c r="O1015">
        <v>121</v>
      </c>
      <c r="P1015">
        <v>72</v>
      </c>
      <c r="Q1015" t="s">
        <v>25</v>
      </c>
      <c r="R1015">
        <v>198</v>
      </c>
      <c r="S1015">
        <v>18.157</v>
      </c>
      <c r="T1015" t="s">
        <v>30</v>
      </c>
    </row>
    <row r="1016" spans="1:20" x14ac:dyDescent="0.3">
      <c r="A1016" t="s">
        <v>31</v>
      </c>
      <c r="B1016">
        <v>46</v>
      </c>
      <c r="C1016">
        <v>58.262999999999998</v>
      </c>
      <c r="D1016">
        <v>1.6160000000000001</v>
      </c>
      <c r="E1016">
        <v>30.568999999999999</v>
      </c>
      <c r="F1016">
        <v>83.263999999999996</v>
      </c>
      <c r="G1016" t="s">
        <v>869</v>
      </c>
      <c r="H1016">
        <v>244</v>
      </c>
      <c r="I1016">
        <v>49</v>
      </c>
      <c r="J1016">
        <v>115</v>
      </c>
      <c r="K1016" t="s">
        <v>23</v>
      </c>
      <c r="L1016" t="s">
        <v>23</v>
      </c>
      <c r="M1016" t="s">
        <v>24</v>
      </c>
      <c r="N1016">
        <v>0.51500000000000001</v>
      </c>
      <c r="O1016">
        <v>109</v>
      </c>
      <c r="P1016">
        <v>78</v>
      </c>
      <c r="Q1016" t="s">
        <v>33</v>
      </c>
      <c r="R1016">
        <v>165</v>
      </c>
      <c r="S1016">
        <v>18.443999999999999</v>
      </c>
      <c r="T1016" t="s">
        <v>52</v>
      </c>
    </row>
    <row r="1017" spans="1:20" x14ac:dyDescent="0.3">
      <c r="A1017" t="s">
        <v>31</v>
      </c>
      <c r="B1017">
        <v>70</v>
      </c>
      <c r="C1017">
        <v>114.137</v>
      </c>
      <c r="D1017">
        <v>1.9770000000000001</v>
      </c>
      <c r="E1017">
        <v>19.395</v>
      </c>
      <c r="F1017">
        <v>85.766000000000005</v>
      </c>
      <c r="G1017" t="s">
        <v>870</v>
      </c>
      <c r="H1017">
        <v>104</v>
      </c>
      <c r="I1017">
        <v>64</v>
      </c>
      <c r="J1017">
        <v>94</v>
      </c>
      <c r="K1017" t="s">
        <v>22</v>
      </c>
      <c r="L1017" t="s">
        <v>23</v>
      </c>
      <c r="M1017" t="s">
        <v>28</v>
      </c>
      <c r="N1017">
        <v>0.434</v>
      </c>
      <c r="O1017">
        <v>162</v>
      </c>
      <c r="P1017">
        <v>118</v>
      </c>
      <c r="Q1017" t="s">
        <v>38</v>
      </c>
      <c r="R1017">
        <v>10</v>
      </c>
      <c r="S1017">
        <v>16.059000000000001</v>
      </c>
      <c r="T1017" t="s">
        <v>26</v>
      </c>
    </row>
    <row r="1018" spans="1:20" x14ac:dyDescent="0.3">
      <c r="A1018" t="s">
        <v>31</v>
      </c>
      <c r="B1018">
        <v>54</v>
      </c>
      <c r="C1018">
        <v>103.97</v>
      </c>
      <c r="D1018">
        <v>1.5589999999999999</v>
      </c>
      <c r="E1018">
        <v>37.058</v>
      </c>
      <c r="F1018">
        <v>112.72199999999999</v>
      </c>
      <c r="G1018" t="s">
        <v>871</v>
      </c>
      <c r="H1018">
        <v>169</v>
      </c>
      <c r="I1018">
        <v>72</v>
      </c>
      <c r="J1018">
        <v>74</v>
      </c>
      <c r="K1018" t="s">
        <v>22</v>
      </c>
      <c r="L1018" t="s">
        <v>23</v>
      </c>
      <c r="M1018" t="s">
        <v>28</v>
      </c>
      <c r="N1018">
        <v>0.72299999999999998</v>
      </c>
      <c r="O1018">
        <v>155</v>
      </c>
      <c r="P1018">
        <v>70</v>
      </c>
      <c r="Q1018" t="s">
        <v>38</v>
      </c>
      <c r="R1018">
        <v>67</v>
      </c>
      <c r="S1018">
        <v>20.542000000000002</v>
      </c>
      <c r="T1018" t="s">
        <v>52</v>
      </c>
    </row>
    <row r="1019" spans="1:20" x14ac:dyDescent="0.3">
      <c r="A1019" t="s">
        <v>31</v>
      </c>
      <c r="B1019">
        <v>61</v>
      </c>
      <c r="C1019">
        <v>86.75</v>
      </c>
      <c r="D1019">
        <v>1.7569999999999999</v>
      </c>
      <c r="E1019">
        <v>24.963000000000001</v>
      </c>
      <c r="F1019">
        <v>110.819</v>
      </c>
      <c r="G1019" t="s">
        <v>872</v>
      </c>
      <c r="H1019">
        <v>207</v>
      </c>
      <c r="J1019">
        <v>115</v>
      </c>
      <c r="K1019" t="s">
        <v>23</v>
      </c>
      <c r="L1019" t="s">
        <v>22</v>
      </c>
      <c r="M1019" t="s">
        <v>24</v>
      </c>
      <c r="N1019">
        <v>0.63100000000000001</v>
      </c>
      <c r="O1019">
        <v>169</v>
      </c>
      <c r="P1019">
        <v>89</v>
      </c>
      <c r="Q1019" t="s">
        <v>29</v>
      </c>
      <c r="R1019">
        <v>124</v>
      </c>
      <c r="S1019">
        <v>17.582999999999998</v>
      </c>
      <c r="T1019" t="s">
        <v>52</v>
      </c>
    </row>
    <row r="1020" spans="1:20" x14ac:dyDescent="0.3">
      <c r="A1020" t="s">
        <v>31</v>
      </c>
      <c r="B1020">
        <v>76</v>
      </c>
      <c r="C1020">
        <v>58.598999999999997</v>
      </c>
      <c r="D1020">
        <v>1.5740000000000001</v>
      </c>
      <c r="E1020">
        <v>28.085999999999999</v>
      </c>
      <c r="F1020">
        <v>93.554000000000002</v>
      </c>
      <c r="G1020" t="s">
        <v>873</v>
      </c>
      <c r="H1020">
        <v>197</v>
      </c>
      <c r="I1020">
        <v>65</v>
      </c>
      <c r="J1020">
        <v>125</v>
      </c>
      <c r="K1020" t="s">
        <v>22</v>
      </c>
      <c r="L1020" t="s">
        <v>23</v>
      </c>
      <c r="M1020" t="s">
        <v>37</v>
      </c>
      <c r="N1020">
        <v>0.59399999999999997</v>
      </c>
      <c r="O1020">
        <v>154</v>
      </c>
      <c r="P1020">
        <v>62</v>
      </c>
      <c r="Q1020" t="s">
        <v>38</v>
      </c>
      <c r="R1020">
        <v>102</v>
      </c>
      <c r="S1020">
        <v>19.257000000000001</v>
      </c>
      <c r="T1020" t="s">
        <v>26</v>
      </c>
    </row>
    <row r="1021" spans="1:20" x14ac:dyDescent="0.3">
      <c r="A1021" t="s">
        <v>31</v>
      </c>
      <c r="B1021">
        <v>25</v>
      </c>
      <c r="C1021">
        <v>61.902000000000001</v>
      </c>
      <c r="D1021">
        <v>1.5229999999999999</v>
      </c>
      <c r="E1021">
        <v>27.202999999999999</v>
      </c>
      <c r="F1021">
        <v>108.373</v>
      </c>
      <c r="G1021" t="s">
        <v>874</v>
      </c>
      <c r="H1021">
        <v>200</v>
      </c>
      <c r="I1021">
        <v>44</v>
      </c>
      <c r="J1021">
        <v>104</v>
      </c>
      <c r="K1021" t="s">
        <v>23</v>
      </c>
      <c r="L1021" t="s">
        <v>23</v>
      </c>
      <c r="M1021" t="s">
        <v>28</v>
      </c>
      <c r="N1021">
        <v>0.71199999999999997</v>
      </c>
      <c r="O1021">
        <v>163</v>
      </c>
      <c r="P1021">
        <v>73</v>
      </c>
      <c r="Q1021" t="s">
        <v>38</v>
      </c>
      <c r="R1021">
        <v>126</v>
      </c>
      <c r="S1021">
        <v>19.591000000000001</v>
      </c>
      <c r="T1021" t="s">
        <v>52</v>
      </c>
    </row>
    <row r="1022" spans="1:20" x14ac:dyDescent="0.3">
      <c r="A1022" t="s">
        <v>20</v>
      </c>
      <c r="B1022">
        <v>39</v>
      </c>
      <c r="C1022">
        <v>90.147000000000006</v>
      </c>
      <c r="D1022">
        <v>1.7829999999999999</v>
      </c>
      <c r="E1022">
        <v>28.042999999999999</v>
      </c>
      <c r="F1022">
        <v>111.875</v>
      </c>
      <c r="G1022" t="s">
        <v>875</v>
      </c>
      <c r="H1022">
        <v>249</v>
      </c>
      <c r="I1022">
        <v>34</v>
      </c>
      <c r="J1022">
        <v>176</v>
      </c>
      <c r="K1022" t="s">
        <v>22</v>
      </c>
      <c r="L1022" t="s">
        <v>23</v>
      </c>
      <c r="M1022" t="s">
        <v>24</v>
      </c>
      <c r="N1022">
        <v>0.628</v>
      </c>
      <c r="O1022">
        <v>161</v>
      </c>
      <c r="P1022">
        <v>114</v>
      </c>
      <c r="Q1022" t="s">
        <v>38</v>
      </c>
      <c r="R1022">
        <v>185</v>
      </c>
      <c r="S1022">
        <v>20.638999999999999</v>
      </c>
      <c r="T1022" t="s">
        <v>30</v>
      </c>
    </row>
    <row r="1023" spans="1:20" x14ac:dyDescent="0.3">
      <c r="A1023" t="s">
        <v>20</v>
      </c>
      <c r="B1023">
        <v>43</v>
      </c>
      <c r="C1023">
        <v>56.029000000000003</v>
      </c>
      <c r="D1023">
        <v>1.962</v>
      </c>
      <c r="E1023">
        <v>25.34</v>
      </c>
      <c r="F1023">
        <v>78.28</v>
      </c>
      <c r="G1023" t="s">
        <v>876</v>
      </c>
      <c r="H1023">
        <v>138</v>
      </c>
      <c r="I1023">
        <v>66</v>
      </c>
      <c r="J1023">
        <v>154</v>
      </c>
      <c r="K1023" t="s">
        <v>22</v>
      </c>
      <c r="L1023" t="s">
        <v>23</v>
      </c>
      <c r="M1023" t="s">
        <v>28</v>
      </c>
      <c r="N1023">
        <v>0.39900000000000002</v>
      </c>
      <c r="O1023">
        <v>163</v>
      </c>
      <c r="P1023">
        <v>91</v>
      </c>
      <c r="Q1023" t="s">
        <v>38</v>
      </c>
      <c r="R1023">
        <v>42</v>
      </c>
      <c r="S1023">
        <v>17.978000000000002</v>
      </c>
      <c r="T1023" t="s">
        <v>30</v>
      </c>
    </row>
    <row r="1024" spans="1:20" x14ac:dyDescent="0.3">
      <c r="A1024" t="s">
        <v>20</v>
      </c>
      <c r="B1024">
        <v>34</v>
      </c>
      <c r="C1024">
        <v>102.547</v>
      </c>
      <c r="D1024">
        <v>1.9790000000000001</v>
      </c>
      <c r="E1024">
        <v>20.358000000000001</v>
      </c>
      <c r="F1024">
        <v>115.742</v>
      </c>
      <c r="G1024" t="s">
        <v>618</v>
      </c>
      <c r="H1024">
        <v>266</v>
      </c>
      <c r="I1024">
        <v>44</v>
      </c>
      <c r="J1024">
        <v>159</v>
      </c>
      <c r="K1024" t="s">
        <v>23</v>
      </c>
      <c r="L1024" t="s">
        <v>22</v>
      </c>
      <c r="M1024" t="s">
        <v>24</v>
      </c>
      <c r="N1024">
        <v>0.58499999999999996</v>
      </c>
      <c r="O1024">
        <v>148</v>
      </c>
      <c r="P1024">
        <v>98</v>
      </c>
      <c r="Q1024" t="s">
        <v>38</v>
      </c>
      <c r="R1024">
        <v>192</v>
      </c>
      <c r="S1024">
        <v>16.792000000000002</v>
      </c>
      <c r="T1024" t="s">
        <v>30</v>
      </c>
    </row>
    <row r="1025" spans="1:20" x14ac:dyDescent="0.3">
      <c r="A1025" t="s">
        <v>20</v>
      </c>
      <c r="B1025">
        <v>69</v>
      </c>
      <c r="C1025">
        <v>56.982999999999997</v>
      </c>
      <c r="D1025">
        <v>1.9450000000000001</v>
      </c>
      <c r="E1025">
        <v>25.004999999999999</v>
      </c>
      <c r="F1025">
        <v>93.257000000000005</v>
      </c>
      <c r="G1025" t="s">
        <v>877</v>
      </c>
      <c r="H1025">
        <v>217</v>
      </c>
      <c r="I1025">
        <v>48</v>
      </c>
      <c r="K1025" t="s">
        <v>22</v>
      </c>
      <c r="L1025" t="s">
        <v>23</v>
      </c>
      <c r="M1025" t="s">
        <v>28</v>
      </c>
      <c r="N1025">
        <v>0.47899999999999998</v>
      </c>
      <c r="O1025">
        <v>149</v>
      </c>
      <c r="Q1025" t="s">
        <v>38</v>
      </c>
      <c r="R1025">
        <v>139</v>
      </c>
      <c r="S1025">
        <v>18.791</v>
      </c>
      <c r="T1025" t="s">
        <v>52</v>
      </c>
    </row>
    <row r="1026" spans="1:20" x14ac:dyDescent="0.3">
      <c r="A1026" t="s">
        <v>20</v>
      </c>
      <c r="B1026">
        <v>49</v>
      </c>
      <c r="C1026">
        <v>116.55800000000001</v>
      </c>
      <c r="D1026">
        <v>1.665</v>
      </c>
      <c r="E1026">
        <v>25.079000000000001</v>
      </c>
      <c r="F1026">
        <v>103.991</v>
      </c>
      <c r="G1026" t="s">
        <v>878</v>
      </c>
      <c r="H1026">
        <v>130</v>
      </c>
      <c r="I1026">
        <v>39</v>
      </c>
      <c r="J1026">
        <v>189</v>
      </c>
      <c r="K1026" t="s">
        <v>22</v>
      </c>
      <c r="L1026" t="s">
        <v>23</v>
      </c>
      <c r="M1026" t="s">
        <v>28</v>
      </c>
      <c r="N1026">
        <v>0.624</v>
      </c>
      <c r="O1026">
        <v>121</v>
      </c>
      <c r="P1026">
        <v>115</v>
      </c>
      <c r="Q1026" t="s">
        <v>38</v>
      </c>
      <c r="R1026">
        <v>61</v>
      </c>
      <c r="S1026">
        <v>15.666</v>
      </c>
      <c r="T1026" t="s">
        <v>26</v>
      </c>
    </row>
    <row r="1027" spans="1:20" x14ac:dyDescent="0.3">
      <c r="A1027" t="s">
        <v>20</v>
      </c>
      <c r="B1027">
        <v>51</v>
      </c>
      <c r="C1027">
        <v>75.849999999999994</v>
      </c>
      <c r="D1027">
        <v>1.831</v>
      </c>
      <c r="E1027">
        <v>38.493000000000002</v>
      </c>
      <c r="F1027">
        <v>89.087999999999994</v>
      </c>
      <c r="G1027" t="s">
        <v>879</v>
      </c>
      <c r="I1027">
        <v>69</v>
      </c>
      <c r="J1027">
        <v>175</v>
      </c>
      <c r="K1027" t="s">
        <v>22</v>
      </c>
      <c r="L1027" t="s">
        <v>22</v>
      </c>
      <c r="M1027" t="s">
        <v>37</v>
      </c>
      <c r="N1027">
        <v>0.48699999999999999</v>
      </c>
      <c r="O1027">
        <v>131</v>
      </c>
      <c r="P1027">
        <v>92</v>
      </c>
      <c r="Q1027" t="s">
        <v>29</v>
      </c>
      <c r="R1027">
        <v>50</v>
      </c>
      <c r="S1027">
        <v>17.228999999999999</v>
      </c>
      <c r="T1027" t="s">
        <v>26</v>
      </c>
    </row>
    <row r="1028" spans="1:20" x14ac:dyDescent="0.3">
      <c r="A1028" t="s">
        <v>20</v>
      </c>
      <c r="B1028">
        <v>44</v>
      </c>
      <c r="C1028">
        <v>80.807000000000002</v>
      </c>
      <c r="D1028">
        <v>1.6990000000000001</v>
      </c>
      <c r="E1028">
        <v>35.97</v>
      </c>
      <c r="F1028">
        <v>102.551</v>
      </c>
      <c r="G1028" t="s">
        <v>880</v>
      </c>
      <c r="H1028">
        <v>228</v>
      </c>
      <c r="I1028">
        <v>86</v>
      </c>
      <c r="J1028">
        <v>149</v>
      </c>
      <c r="K1028" t="s">
        <v>22</v>
      </c>
      <c r="L1028" t="s">
        <v>22</v>
      </c>
      <c r="M1028" t="s">
        <v>28</v>
      </c>
      <c r="N1028">
        <v>0.60399999999999998</v>
      </c>
      <c r="O1028">
        <v>108</v>
      </c>
      <c r="Q1028" t="s">
        <v>38</v>
      </c>
      <c r="R1028">
        <v>112</v>
      </c>
      <c r="S1028">
        <v>17.154</v>
      </c>
      <c r="T1028" t="s">
        <v>26</v>
      </c>
    </row>
    <row r="1029" spans="1:20" x14ac:dyDescent="0.3">
      <c r="A1029" t="s">
        <v>31</v>
      </c>
      <c r="B1029">
        <v>64</v>
      </c>
      <c r="D1029">
        <v>1.9239999999999999</v>
      </c>
      <c r="E1029">
        <v>35.881</v>
      </c>
      <c r="F1029">
        <v>97.462000000000003</v>
      </c>
      <c r="G1029" t="s">
        <v>881</v>
      </c>
      <c r="H1029">
        <v>198</v>
      </c>
      <c r="I1029">
        <v>55</v>
      </c>
      <c r="J1029">
        <v>149</v>
      </c>
      <c r="K1029" t="s">
        <v>23</v>
      </c>
      <c r="L1029" t="s">
        <v>22</v>
      </c>
      <c r="M1029" t="s">
        <v>24</v>
      </c>
      <c r="N1029">
        <v>0.50700000000000001</v>
      </c>
      <c r="O1029">
        <v>102</v>
      </c>
      <c r="P1029">
        <v>102</v>
      </c>
      <c r="Q1029" t="s">
        <v>38</v>
      </c>
      <c r="R1029">
        <v>113</v>
      </c>
      <c r="S1029">
        <v>16.236000000000001</v>
      </c>
      <c r="T1029" t="s">
        <v>30</v>
      </c>
    </row>
    <row r="1030" spans="1:20" x14ac:dyDescent="0.3">
      <c r="A1030" t="s">
        <v>20</v>
      </c>
      <c r="B1030">
        <v>72</v>
      </c>
      <c r="C1030">
        <v>57.835999999999999</v>
      </c>
      <c r="D1030">
        <v>1.554</v>
      </c>
      <c r="E1030">
        <v>24.007999999999999</v>
      </c>
      <c r="F1030">
        <v>115.565</v>
      </c>
      <c r="G1030" t="s">
        <v>882</v>
      </c>
      <c r="H1030">
        <v>211</v>
      </c>
      <c r="I1030">
        <v>81</v>
      </c>
      <c r="J1030">
        <v>85</v>
      </c>
      <c r="K1030" t="s">
        <v>22</v>
      </c>
      <c r="L1030" t="s">
        <v>22</v>
      </c>
      <c r="M1030" t="s">
        <v>37</v>
      </c>
      <c r="N1030">
        <v>0.74399999999999999</v>
      </c>
      <c r="O1030">
        <v>157</v>
      </c>
      <c r="P1030">
        <v>75</v>
      </c>
      <c r="Q1030" t="s">
        <v>38</v>
      </c>
      <c r="R1030">
        <v>100</v>
      </c>
      <c r="S1030">
        <v>16.872</v>
      </c>
      <c r="T1030" t="s">
        <v>26</v>
      </c>
    </row>
    <row r="1031" spans="1:20" x14ac:dyDescent="0.3">
      <c r="A1031" t="s">
        <v>31</v>
      </c>
      <c r="B1031">
        <v>34</v>
      </c>
      <c r="C1031">
        <v>87.111000000000004</v>
      </c>
      <c r="D1031">
        <v>1.552</v>
      </c>
      <c r="E1031">
        <v>37.164999999999999</v>
      </c>
      <c r="F1031">
        <v>96.013000000000005</v>
      </c>
      <c r="G1031" t="s">
        <v>883</v>
      </c>
      <c r="H1031">
        <v>218</v>
      </c>
      <c r="I1031">
        <v>63</v>
      </c>
      <c r="J1031">
        <v>157</v>
      </c>
      <c r="K1031" t="s">
        <v>23</v>
      </c>
      <c r="L1031" t="s">
        <v>22</v>
      </c>
      <c r="M1031" t="s">
        <v>37</v>
      </c>
      <c r="N1031">
        <v>0.61899999999999999</v>
      </c>
      <c r="O1031">
        <v>171</v>
      </c>
      <c r="P1031">
        <v>99</v>
      </c>
      <c r="Q1031" t="s">
        <v>38</v>
      </c>
      <c r="R1031">
        <v>125</v>
      </c>
      <c r="S1031">
        <v>20.343</v>
      </c>
      <c r="T1031" t="s">
        <v>30</v>
      </c>
    </row>
    <row r="1032" spans="1:20" x14ac:dyDescent="0.3">
      <c r="A1032" t="s">
        <v>20</v>
      </c>
      <c r="B1032">
        <v>60</v>
      </c>
      <c r="C1032">
        <v>60.755000000000003</v>
      </c>
      <c r="D1032">
        <v>1.675</v>
      </c>
      <c r="E1032">
        <v>25.623999999999999</v>
      </c>
      <c r="F1032">
        <v>82.403000000000006</v>
      </c>
      <c r="G1032" t="s">
        <v>884</v>
      </c>
      <c r="H1032">
        <v>185</v>
      </c>
      <c r="I1032">
        <v>42</v>
      </c>
      <c r="J1032">
        <v>184</v>
      </c>
      <c r="K1032" t="s">
        <v>23</v>
      </c>
      <c r="L1032" t="s">
        <v>23</v>
      </c>
      <c r="M1032" t="s">
        <v>24</v>
      </c>
      <c r="N1032">
        <v>0.49199999999999999</v>
      </c>
      <c r="O1032">
        <v>143</v>
      </c>
      <c r="P1032">
        <v>96</v>
      </c>
      <c r="Q1032" t="s">
        <v>38</v>
      </c>
      <c r="R1032">
        <v>113</v>
      </c>
      <c r="S1032">
        <v>17.975000000000001</v>
      </c>
      <c r="T1032" t="s">
        <v>26</v>
      </c>
    </row>
    <row r="1033" spans="1:20" x14ac:dyDescent="0.3">
      <c r="A1033" t="s">
        <v>20</v>
      </c>
      <c r="B1033">
        <v>59</v>
      </c>
      <c r="C1033">
        <v>55.807000000000002</v>
      </c>
      <c r="D1033">
        <v>1.881</v>
      </c>
      <c r="E1033">
        <v>35.554000000000002</v>
      </c>
      <c r="F1033">
        <v>87.524000000000001</v>
      </c>
      <c r="G1033" t="s">
        <v>759</v>
      </c>
      <c r="H1033">
        <v>134</v>
      </c>
      <c r="I1033">
        <v>78</v>
      </c>
      <c r="J1033">
        <v>176</v>
      </c>
      <c r="K1033" t="s">
        <v>22</v>
      </c>
      <c r="L1033" t="s">
        <v>23</v>
      </c>
      <c r="M1033" t="s">
        <v>24</v>
      </c>
      <c r="N1033">
        <v>0.46500000000000002</v>
      </c>
      <c r="O1033">
        <v>118</v>
      </c>
      <c r="P1033">
        <v>67</v>
      </c>
      <c r="Q1033" t="s">
        <v>33</v>
      </c>
      <c r="R1033">
        <v>26</v>
      </c>
      <c r="S1033">
        <v>17.690999999999999</v>
      </c>
      <c r="T1033" t="s">
        <v>52</v>
      </c>
    </row>
    <row r="1034" spans="1:20" x14ac:dyDescent="0.3">
      <c r="A1034" t="s">
        <v>31</v>
      </c>
      <c r="B1034">
        <v>60</v>
      </c>
      <c r="C1034">
        <v>78.113</v>
      </c>
      <c r="D1034">
        <v>1.915</v>
      </c>
      <c r="E1034">
        <v>30.027999999999999</v>
      </c>
      <c r="F1034">
        <v>102.369</v>
      </c>
      <c r="G1034" t="s">
        <v>885</v>
      </c>
      <c r="H1034">
        <v>277</v>
      </c>
      <c r="I1034">
        <v>85</v>
      </c>
      <c r="J1034">
        <v>116</v>
      </c>
      <c r="K1034" t="s">
        <v>22</v>
      </c>
      <c r="L1034" t="s">
        <v>23</v>
      </c>
      <c r="M1034" t="s">
        <v>37</v>
      </c>
      <c r="N1034">
        <v>0.53400000000000003</v>
      </c>
      <c r="O1034">
        <v>124</v>
      </c>
      <c r="P1034">
        <v>110</v>
      </c>
      <c r="Q1034" t="s">
        <v>38</v>
      </c>
      <c r="R1034">
        <v>162</v>
      </c>
      <c r="S1034">
        <v>19.745999999999999</v>
      </c>
      <c r="T1034" t="s">
        <v>30</v>
      </c>
    </row>
    <row r="1035" spans="1:20" x14ac:dyDescent="0.3">
      <c r="A1035" t="s">
        <v>20</v>
      </c>
      <c r="B1035">
        <v>32</v>
      </c>
      <c r="C1035">
        <v>53.08</v>
      </c>
      <c r="D1035">
        <v>1.5960000000000001</v>
      </c>
      <c r="E1035">
        <v>38.350999999999999</v>
      </c>
      <c r="F1035">
        <v>78.852000000000004</v>
      </c>
      <c r="G1035" t="s">
        <v>886</v>
      </c>
      <c r="H1035">
        <v>184</v>
      </c>
      <c r="I1035">
        <v>85</v>
      </c>
      <c r="J1035">
        <v>95</v>
      </c>
      <c r="K1035" t="s">
        <v>23</v>
      </c>
      <c r="L1035" t="s">
        <v>23</v>
      </c>
      <c r="M1035" t="s">
        <v>28</v>
      </c>
      <c r="N1035">
        <v>0.49399999999999999</v>
      </c>
      <c r="O1035">
        <v>167</v>
      </c>
      <c r="P1035">
        <v>83</v>
      </c>
      <c r="Q1035" t="s">
        <v>29</v>
      </c>
      <c r="R1035">
        <v>69</v>
      </c>
      <c r="T1035" t="s">
        <v>52</v>
      </c>
    </row>
    <row r="1036" spans="1:20" x14ac:dyDescent="0.3">
      <c r="A1036" t="s">
        <v>31</v>
      </c>
      <c r="B1036">
        <v>70</v>
      </c>
      <c r="C1036">
        <v>116.129</v>
      </c>
      <c r="D1036">
        <v>1.859</v>
      </c>
      <c r="E1036">
        <v>28.103000000000002</v>
      </c>
      <c r="F1036">
        <v>114.06100000000001</v>
      </c>
      <c r="G1036" t="s">
        <v>887</v>
      </c>
      <c r="H1036">
        <v>285</v>
      </c>
      <c r="I1036">
        <v>67</v>
      </c>
      <c r="J1036">
        <v>92</v>
      </c>
      <c r="K1036" t="s">
        <v>23</v>
      </c>
      <c r="L1036" t="s">
        <v>22</v>
      </c>
      <c r="M1036" t="s">
        <v>24</v>
      </c>
      <c r="N1036">
        <v>0.61299999999999999</v>
      </c>
      <c r="O1036">
        <v>125</v>
      </c>
      <c r="P1036">
        <v>93</v>
      </c>
      <c r="Q1036" t="s">
        <v>38</v>
      </c>
      <c r="R1036">
        <v>188</v>
      </c>
      <c r="S1036">
        <v>17.571000000000002</v>
      </c>
      <c r="T1036" t="s">
        <v>30</v>
      </c>
    </row>
    <row r="1037" spans="1:20" x14ac:dyDescent="0.3">
      <c r="A1037" t="s">
        <v>31</v>
      </c>
      <c r="B1037">
        <v>41</v>
      </c>
      <c r="C1037">
        <v>112.71599999999999</v>
      </c>
      <c r="D1037">
        <v>1.77</v>
      </c>
      <c r="E1037">
        <v>38.307000000000002</v>
      </c>
      <c r="F1037">
        <v>74.33</v>
      </c>
      <c r="G1037" t="s">
        <v>888</v>
      </c>
      <c r="H1037">
        <v>259</v>
      </c>
      <c r="J1037">
        <v>70</v>
      </c>
      <c r="K1037" t="s">
        <v>23</v>
      </c>
      <c r="L1037" t="s">
        <v>22</v>
      </c>
      <c r="M1037" t="s">
        <v>37</v>
      </c>
      <c r="N1037">
        <v>0.42</v>
      </c>
      <c r="O1037">
        <v>153</v>
      </c>
      <c r="P1037">
        <v>95</v>
      </c>
      <c r="Q1037" t="s">
        <v>38</v>
      </c>
      <c r="R1037">
        <v>175</v>
      </c>
      <c r="S1037">
        <v>20.491</v>
      </c>
      <c r="T1037" t="s">
        <v>52</v>
      </c>
    </row>
    <row r="1038" spans="1:20" x14ac:dyDescent="0.3">
      <c r="A1038" t="s">
        <v>20</v>
      </c>
      <c r="B1038">
        <v>79</v>
      </c>
      <c r="C1038">
        <v>103.35899999999999</v>
      </c>
      <c r="D1038">
        <v>1.9430000000000001</v>
      </c>
      <c r="E1038">
        <v>28.356999999999999</v>
      </c>
      <c r="F1038">
        <v>95.531000000000006</v>
      </c>
      <c r="G1038" t="s">
        <v>889</v>
      </c>
      <c r="H1038">
        <v>190</v>
      </c>
      <c r="I1038">
        <v>35</v>
      </c>
      <c r="J1038">
        <v>84</v>
      </c>
      <c r="K1038" t="s">
        <v>23</v>
      </c>
      <c r="L1038" t="s">
        <v>22</v>
      </c>
      <c r="M1038" t="s">
        <v>37</v>
      </c>
      <c r="N1038">
        <v>0.49199999999999999</v>
      </c>
      <c r="O1038">
        <v>162</v>
      </c>
      <c r="P1038">
        <v>114</v>
      </c>
      <c r="Q1038" t="s">
        <v>38</v>
      </c>
      <c r="R1038">
        <v>125</v>
      </c>
      <c r="S1038">
        <v>17.571000000000002</v>
      </c>
      <c r="T1038" t="s">
        <v>26</v>
      </c>
    </row>
    <row r="1039" spans="1:20" x14ac:dyDescent="0.3">
      <c r="A1039" t="s">
        <v>20</v>
      </c>
      <c r="B1039">
        <v>64</v>
      </c>
      <c r="C1039">
        <v>90.216999999999999</v>
      </c>
      <c r="D1039">
        <v>1.754</v>
      </c>
      <c r="E1039">
        <v>19.222000000000001</v>
      </c>
      <c r="F1039">
        <v>78.796000000000006</v>
      </c>
      <c r="G1039" t="s">
        <v>890</v>
      </c>
      <c r="H1039">
        <v>266</v>
      </c>
      <c r="I1039">
        <v>89</v>
      </c>
      <c r="J1039">
        <v>168</v>
      </c>
      <c r="K1039" t="s">
        <v>22</v>
      </c>
      <c r="L1039" t="s">
        <v>23</v>
      </c>
      <c r="M1039" t="s">
        <v>37</v>
      </c>
      <c r="N1039">
        <v>0.44900000000000001</v>
      </c>
      <c r="O1039">
        <v>141</v>
      </c>
      <c r="P1039">
        <v>83</v>
      </c>
      <c r="Q1039" t="s">
        <v>29</v>
      </c>
      <c r="R1039">
        <v>147</v>
      </c>
      <c r="S1039">
        <v>18.213999999999999</v>
      </c>
      <c r="T1039" t="s">
        <v>26</v>
      </c>
    </row>
    <row r="1040" spans="1:20" x14ac:dyDescent="0.3">
      <c r="A1040" t="s">
        <v>20</v>
      </c>
      <c r="C1040">
        <v>67.730999999999995</v>
      </c>
      <c r="D1040">
        <v>1.798</v>
      </c>
      <c r="E1040">
        <v>20.350000000000001</v>
      </c>
      <c r="F1040">
        <v>101.315</v>
      </c>
      <c r="G1040" t="s">
        <v>891</v>
      </c>
      <c r="H1040">
        <v>143</v>
      </c>
      <c r="I1040">
        <v>31</v>
      </c>
      <c r="J1040">
        <v>151</v>
      </c>
      <c r="K1040" t="s">
        <v>22</v>
      </c>
      <c r="L1040" t="s">
        <v>22</v>
      </c>
      <c r="M1040" t="s">
        <v>28</v>
      </c>
      <c r="N1040">
        <v>0.56299999999999994</v>
      </c>
      <c r="O1040">
        <v>168</v>
      </c>
      <c r="P1040">
        <v>86</v>
      </c>
      <c r="Q1040" t="s">
        <v>29</v>
      </c>
      <c r="R1040">
        <v>82</v>
      </c>
      <c r="S1040">
        <v>15.33</v>
      </c>
      <c r="T1040" t="s">
        <v>52</v>
      </c>
    </row>
    <row r="1041" spans="1:20" x14ac:dyDescent="0.3">
      <c r="A1041" t="s">
        <v>20</v>
      </c>
      <c r="B1041">
        <v>37</v>
      </c>
      <c r="C1041">
        <v>55.311</v>
      </c>
      <c r="D1041">
        <v>1.8160000000000001</v>
      </c>
      <c r="E1041">
        <v>30.302</v>
      </c>
      <c r="F1041">
        <v>107.283</v>
      </c>
      <c r="G1041" t="s">
        <v>892</v>
      </c>
      <c r="H1041">
        <v>203</v>
      </c>
      <c r="I1041">
        <v>59</v>
      </c>
      <c r="J1041">
        <v>82</v>
      </c>
      <c r="K1041" t="s">
        <v>22</v>
      </c>
      <c r="L1041" t="s">
        <v>23</v>
      </c>
      <c r="M1041" t="s">
        <v>28</v>
      </c>
      <c r="N1041">
        <v>0.59099999999999997</v>
      </c>
      <c r="O1041">
        <v>92</v>
      </c>
      <c r="P1041">
        <v>61</v>
      </c>
      <c r="Q1041" t="s">
        <v>33</v>
      </c>
      <c r="R1041">
        <v>114</v>
      </c>
      <c r="S1041">
        <v>16.72</v>
      </c>
      <c r="T1041" t="s">
        <v>30</v>
      </c>
    </row>
    <row r="1042" spans="1:20" x14ac:dyDescent="0.3">
      <c r="A1042" t="s">
        <v>31</v>
      </c>
      <c r="B1042">
        <v>58</v>
      </c>
      <c r="C1042">
        <v>50.307000000000002</v>
      </c>
      <c r="D1042">
        <v>1.633</v>
      </c>
      <c r="E1042">
        <v>28.206</v>
      </c>
      <c r="F1042">
        <v>75.421000000000006</v>
      </c>
      <c r="G1042" t="s">
        <v>893</v>
      </c>
      <c r="H1042">
        <v>260</v>
      </c>
      <c r="I1042">
        <v>62</v>
      </c>
      <c r="J1042">
        <v>124</v>
      </c>
      <c r="K1042" t="s">
        <v>23</v>
      </c>
      <c r="L1042" t="s">
        <v>23</v>
      </c>
      <c r="M1042" t="s">
        <v>28</v>
      </c>
      <c r="N1042">
        <v>0.46200000000000002</v>
      </c>
      <c r="O1042">
        <v>122</v>
      </c>
      <c r="P1042">
        <v>119</v>
      </c>
      <c r="Q1042" t="s">
        <v>38</v>
      </c>
      <c r="R1042">
        <v>168</v>
      </c>
      <c r="S1042">
        <v>18.940999999999999</v>
      </c>
      <c r="T1042" t="s">
        <v>52</v>
      </c>
    </row>
    <row r="1043" spans="1:20" x14ac:dyDescent="0.3">
      <c r="A1043" t="s">
        <v>20</v>
      </c>
      <c r="B1043">
        <v>68</v>
      </c>
      <c r="C1043">
        <v>104.107</v>
      </c>
      <c r="D1043">
        <v>1.782</v>
      </c>
      <c r="E1043">
        <v>21.760999999999999</v>
      </c>
      <c r="F1043">
        <v>115.72799999999999</v>
      </c>
      <c r="G1043" t="s">
        <v>894</v>
      </c>
      <c r="H1043">
        <v>292</v>
      </c>
      <c r="I1043">
        <v>63</v>
      </c>
      <c r="J1043">
        <v>90</v>
      </c>
      <c r="K1043" t="s">
        <v>22</v>
      </c>
      <c r="L1043" t="s">
        <v>22</v>
      </c>
      <c r="M1043" t="s">
        <v>37</v>
      </c>
      <c r="N1043">
        <v>0.64900000000000002</v>
      </c>
      <c r="O1043">
        <v>133</v>
      </c>
      <c r="P1043">
        <v>101</v>
      </c>
      <c r="Q1043" t="s">
        <v>29</v>
      </c>
      <c r="R1043">
        <v>199</v>
      </c>
      <c r="S1043">
        <v>16.841999999999999</v>
      </c>
      <c r="T1043" t="s">
        <v>26</v>
      </c>
    </row>
    <row r="1044" spans="1:20" x14ac:dyDescent="0.3">
      <c r="A1044" t="s">
        <v>20</v>
      </c>
      <c r="B1044">
        <v>62</v>
      </c>
      <c r="C1044">
        <v>102.495</v>
      </c>
      <c r="D1044">
        <v>1.97</v>
      </c>
      <c r="E1044">
        <v>24.384</v>
      </c>
      <c r="F1044">
        <v>80.456000000000003</v>
      </c>
      <c r="G1044" t="s">
        <v>895</v>
      </c>
      <c r="H1044">
        <v>112</v>
      </c>
      <c r="I1044">
        <v>55</v>
      </c>
      <c r="J1044">
        <v>77</v>
      </c>
      <c r="K1044" t="s">
        <v>23</v>
      </c>
      <c r="L1044" t="s">
        <v>22</v>
      </c>
      <c r="M1044" t="s">
        <v>24</v>
      </c>
      <c r="N1044">
        <v>0.40799999999999997</v>
      </c>
      <c r="O1044">
        <v>120</v>
      </c>
      <c r="P1044">
        <v>110</v>
      </c>
      <c r="Q1044" t="s">
        <v>38</v>
      </c>
      <c r="R1044">
        <v>27</v>
      </c>
      <c r="S1044">
        <v>13.117000000000001</v>
      </c>
      <c r="T1044" t="s">
        <v>52</v>
      </c>
    </row>
    <row r="1045" spans="1:20" x14ac:dyDescent="0.3">
      <c r="A1045" t="s">
        <v>20</v>
      </c>
      <c r="B1045">
        <v>36</v>
      </c>
      <c r="C1045">
        <v>108.182</v>
      </c>
      <c r="D1045">
        <v>1.927</v>
      </c>
      <c r="E1045">
        <v>18.600999999999999</v>
      </c>
      <c r="F1045">
        <v>115.85899999999999</v>
      </c>
      <c r="G1045" t="s">
        <v>467</v>
      </c>
      <c r="H1045">
        <v>101</v>
      </c>
      <c r="I1045">
        <v>59</v>
      </c>
      <c r="J1045">
        <v>146</v>
      </c>
      <c r="K1045" t="s">
        <v>22</v>
      </c>
      <c r="L1045" t="s">
        <v>22</v>
      </c>
      <c r="M1045" t="s">
        <v>28</v>
      </c>
      <c r="N1045">
        <v>0.60099999999999998</v>
      </c>
      <c r="O1045">
        <v>103</v>
      </c>
      <c r="P1045">
        <v>64</v>
      </c>
      <c r="Q1045" t="s">
        <v>33</v>
      </c>
      <c r="R1045">
        <v>12</v>
      </c>
      <c r="S1045">
        <v>10.89</v>
      </c>
      <c r="T1045" t="s">
        <v>30</v>
      </c>
    </row>
    <row r="1046" spans="1:20" x14ac:dyDescent="0.3">
      <c r="A1046" t="s">
        <v>20</v>
      </c>
      <c r="B1046">
        <v>58</v>
      </c>
      <c r="C1046">
        <v>97.126000000000005</v>
      </c>
      <c r="D1046">
        <v>1.72</v>
      </c>
      <c r="F1046">
        <v>81.804000000000002</v>
      </c>
      <c r="G1046" t="s">
        <v>896</v>
      </c>
      <c r="H1046">
        <v>159</v>
      </c>
      <c r="I1046">
        <v>89</v>
      </c>
      <c r="J1046">
        <v>74</v>
      </c>
      <c r="K1046" t="s">
        <v>22</v>
      </c>
      <c r="L1046" t="s">
        <v>22</v>
      </c>
      <c r="M1046" t="s">
        <v>28</v>
      </c>
      <c r="N1046">
        <v>0.47599999999999998</v>
      </c>
      <c r="O1046">
        <v>94</v>
      </c>
      <c r="P1046">
        <v>63</v>
      </c>
      <c r="Q1046" t="s">
        <v>33</v>
      </c>
      <c r="R1046">
        <v>40</v>
      </c>
      <c r="S1046">
        <v>13.047000000000001</v>
      </c>
      <c r="T1046" t="s">
        <v>26</v>
      </c>
    </row>
    <row r="1047" spans="1:20" x14ac:dyDescent="0.3">
      <c r="A1047" t="s">
        <v>20</v>
      </c>
      <c r="B1047">
        <v>62</v>
      </c>
      <c r="C1047">
        <v>85.781000000000006</v>
      </c>
      <c r="E1047">
        <v>19.832999999999998</v>
      </c>
      <c r="F1047">
        <v>108.559</v>
      </c>
      <c r="G1047" t="s">
        <v>897</v>
      </c>
      <c r="H1047">
        <v>210</v>
      </c>
      <c r="I1047">
        <v>81</v>
      </c>
      <c r="J1047">
        <v>107</v>
      </c>
      <c r="K1047" t="s">
        <v>23</v>
      </c>
      <c r="L1047" t="s">
        <v>22</v>
      </c>
      <c r="M1047" t="s">
        <v>37</v>
      </c>
      <c r="N1047">
        <v>0.59299999999999997</v>
      </c>
      <c r="O1047">
        <v>154</v>
      </c>
      <c r="P1047">
        <v>114</v>
      </c>
      <c r="Q1047" t="s">
        <v>38</v>
      </c>
      <c r="R1047">
        <v>99</v>
      </c>
      <c r="S1047">
        <v>15.867000000000001</v>
      </c>
      <c r="T1047" t="s">
        <v>26</v>
      </c>
    </row>
    <row r="1048" spans="1:20" x14ac:dyDescent="0.3">
      <c r="A1048" t="s">
        <v>31</v>
      </c>
      <c r="B1048">
        <v>44</v>
      </c>
      <c r="C1048">
        <v>51.936</v>
      </c>
      <c r="D1048">
        <v>1.9359999999999999</v>
      </c>
      <c r="E1048">
        <v>36.442</v>
      </c>
      <c r="F1048">
        <v>115.755</v>
      </c>
      <c r="G1048" t="s">
        <v>898</v>
      </c>
      <c r="H1048">
        <v>107</v>
      </c>
      <c r="I1048">
        <v>52</v>
      </c>
      <c r="J1048">
        <v>125</v>
      </c>
      <c r="K1048" t="s">
        <v>23</v>
      </c>
      <c r="L1048" t="s">
        <v>23</v>
      </c>
      <c r="M1048" t="s">
        <v>24</v>
      </c>
      <c r="N1048">
        <v>0.59799999999999998</v>
      </c>
      <c r="O1048">
        <v>105</v>
      </c>
      <c r="P1048">
        <v>108</v>
      </c>
      <c r="Q1048" t="s">
        <v>38</v>
      </c>
      <c r="R1048">
        <v>25</v>
      </c>
      <c r="S1048">
        <v>16.678000000000001</v>
      </c>
      <c r="T1048" t="s">
        <v>30</v>
      </c>
    </row>
    <row r="1049" spans="1:20" x14ac:dyDescent="0.3">
      <c r="A1049" t="s">
        <v>31</v>
      </c>
      <c r="B1049">
        <v>52</v>
      </c>
      <c r="C1049">
        <v>98.406000000000006</v>
      </c>
      <c r="D1049">
        <v>1.956</v>
      </c>
      <c r="E1049">
        <v>24.042999999999999</v>
      </c>
      <c r="F1049">
        <v>96.171999999999997</v>
      </c>
      <c r="G1049" t="s">
        <v>899</v>
      </c>
      <c r="H1049">
        <v>194</v>
      </c>
      <c r="I1049">
        <v>62</v>
      </c>
      <c r="J1049">
        <v>191</v>
      </c>
      <c r="K1049" t="s">
        <v>22</v>
      </c>
      <c r="L1049" t="s">
        <v>23</v>
      </c>
      <c r="M1049" t="s">
        <v>28</v>
      </c>
      <c r="N1049">
        <v>0.49199999999999999</v>
      </c>
      <c r="O1049">
        <v>139</v>
      </c>
      <c r="P1049">
        <v>83</v>
      </c>
      <c r="Q1049" t="s">
        <v>29</v>
      </c>
      <c r="R1049">
        <v>102</v>
      </c>
      <c r="S1049">
        <v>17.638999999999999</v>
      </c>
      <c r="T1049" t="s">
        <v>30</v>
      </c>
    </row>
    <row r="1050" spans="1:20" x14ac:dyDescent="0.3">
      <c r="A1050" t="s">
        <v>20</v>
      </c>
      <c r="B1050">
        <v>58</v>
      </c>
      <c r="C1050">
        <v>67.057000000000002</v>
      </c>
      <c r="E1050">
        <v>31.312000000000001</v>
      </c>
      <c r="F1050">
        <v>101.93</v>
      </c>
      <c r="G1050" t="s">
        <v>418</v>
      </c>
      <c r="H1050">
        <v>185</v>
      </c>
      <c r="I1050">
        <v>70</v>
      </c>
      <c r="J1050">
        <v>172</v>
      </c>
      <c r="K1050" t="s">
        <v>22</v>
      </c>
      <c r="L1050" t="s">
        <v>22</v>
      </c>
      <c r="M1050" t="s">
        <v>37</v>
      </c>
      <c r="N1050">
        <v>0.63700000000000001</v>
      </c>
      <c r="O1050">
        <v>96</v>
      </c>
      <c r="P1050">
        <v>85</v>
      </c>
      <c r="Q1050" t="s">
        <v>29</v>
      </c>
      <c r="R1050">
        <v>85</v>
      </c>
      <c r="S1050">
        <v>14.762</v>
      </c>
      <c r="T1050" t="s">
        <v>52</v>
      </c>
    </row>
    <row r="1051" spans="1:20" x14ac:dyDescent="0.3">
      <c r="A1051" t="s">
        <v>31</v>
      </c>
      <c r="B1051">
        <v>73</v>
      </c>
      <c r="C1051">
        <v>100.845</v>
      </c>
      <c r="D1051">
        <v>1.591</v>
      </c>
      <c r="E1051">
        <v>22.896999999999998</v>
      </c>
      <c r="F1051">
        <v>88.019000000000005</v>
      </c>
      <c r="G1051" t="s">
        <v>900</v>
      </c>
      <c r="H1051">
        <v>196</v>
      </c>
      <c r="I1051">
        <v>76</v>
      </c>
      <c r="J1051">
        <v>135</v>
      </c>
      <c r="K1051" t="s">
        <v>23</v>
      </c>
      <c r="L1051" t="s">
        <v>22</v>
      </c>
      <c r="M1051" t="s">
        <v>28</v>
      </c>
      <c r="N1051">
        <v>0.55300000000000005</v>
      </c>
      <c r="O1051">
        <v>145</v>
      </c>
      <c r="P1051">
        <v>91</v>
      </c>
      <c r="Q1051" t="s">
        <v>38</v>
      </c>
      <c r="R1051">
        <v>90</v>
      </c>
      <c r="S1051">
        <v>15.749000000000001</v>
      </c>
      <c r="T1051" t="s">
        <v>26</v>
      </c>
    </row>
    <row r="1052" spans="1:20" x14ac:dyDescent="0.3">
      <c r="A1052" t="s">
        <v>31</v>
      </c>
      <c r="B1052">
        <v>48</v>
      </c>
      <c r="C1052">
        <v>107.611</v>
      </c>
      <c r="D1052">
        <v>1.718</v>
      </c>
      <c r="E1052">
        <v>26.407</v>
      </c>
      <c r="F1052">
        <v>80.588999999999999</v>
      </c>
      <c r="G1052" t="s">
        <v>691</v>
      </c>
      <c r="H1052">
        <v>162</v>
      </c>
      <c r="I1052">
        <v>69</v>
      </c>
      <c r="J1052">
        <v>94</v>
      </c>
      <c r="K1052" t="s">
        <v>23</v>
      </c>
      <c r="L1052" t="s">
        <v>22</v>
      </c>
      <c r="M1052" t="s">
        <v>24</v>
      </c>
      <c r="N1052">
        <v>0.46899999999999997</v>
      </c>
      <c r="O1052">
        <v>117</v>
      </c>
      <c r="P1052">
        <v>60</v>
      </c>
      <c r="Q1052" t="s">
        <v>33</v>
      </c>
      <c r="R1052">
        <v>63</v>
      </c>
      <c r="S1052">
        <v>14.371</v>
      </c>
      <c r="T1052" t="s">
        <v>30</v>
      </c>
    </row>
    <row r="1053" spans="1:20" x14ac:dyDescent="0.3">
      <c r="A1053" t="s">
        <v>20</v>
      </c>
      <c r="B1053">
        <v>44</v>
      </c>
      <c r="C1053">
        <v>90.260999999999996</v>
      </c>
      <c r="D1053">
        <v>1.6359999999999999</v>
      </c>
      <c r="E1053">
        <v>26.895</v>
      </c>
      <c r="F1053">
        <v>77.206999999999994</v>
      </c>
      <c r="G1053" t="s">
        <v>901</v>
      </c>
      <c r="H1053">
        <v>287</v>
      </c>
      <c r="I1053">
        <v>57</v>
      </c>
      <c r="J1053">
        <v>158</v>
      </c>
      <c r="K1053" t="s">
        <v>23</v>
      </c>
      <c r="L1053" t="s">
        <v>23</v>
      </c>
      <c r="M1053" t="s">
        <v>37</v>
      </c>
      <c r="N1053">
        <v>0.47199999999999998</v>
      </c>
      <c r="O1053">
        <v>164</v>
      </c>
      <c r="Q1053" t="s">
        <v>29</v>
      </c>
      <c r="R1053">
        <v>200</v>
      </c>
      <c r="S1053">
        <v>21.318999999999999</v>
      </c>
      <c r="T1053" t="s">
        <v>30</v>
      </c>
    </row>
    <row r="1054" spans="1:20" x14ac:dyDescent="0.3">
      <c r="A1054" t="s">
        <v>20</v>
      </c>
      <c r="B1054">
        <v>48</v>
      </c>
      <c r="C1054">
        <v>81.247</v>
      </c>
      <c r="D1054">
        <v>1.9490000000000001</v>
      </c>
      <c r="E1054">
        <v>39.118000000000002</v>
      </c>
      <c r="F1054">
        <v>77.647000000000006</v>
      </c>
      <c r="G1054" t="s">
        <v>902</v>
      </c>
      <c r="H1054">
        <v>274</v>
      </c>
      <c r="J1054">
        <v>170</v>
      </c>
      <c r="K1054" t="s">
        <v>22</v>
      </c>
      <c r="L1054" t="s">
        <v>23</v>
      </c>
      <c r="M1054" t="s">
        <v>28</v>
      </c>
      <c r="N1054">
        <v>0.39800000000000002</v>
      </c>
      <c r="O1054">
        <v>158</v>
      </c>
      <c r="P1054">
        <v>74</v>
      </c>
      <c r="Q1054" t="s">
        <v>38</v>
      </c>
      <c r="R1054">
        <v>193</v>
      </c>
      <c r="S1054">
        <v>23.204000000000001</v>
      </c>
      <c r="T1054" t="s">
        <v>26</v>
      </c>
    </row>
    <row r="1055" spans="1:20" x14ac:dyDescent="0.3">
      <c r="A1055" t="s">
        <v>20</v>
      </c>
      <c r="B1055">
        <v>75</v>
      </c>
      <c r="C1055">
        <v>76.602999999999994</v>
      </c>
      <c r="D1055">
        <v>1.85</v>
      </c>
      <c r="E1055">
        <v>39.712000000000003</v>
      </c>
      <c r="F1055">
        <v>106.93</v>
      </c>
      <c r="G1055" t="s">
        <v>903</v>
      </c>
      <c r="H1055">
        <v>179</v>
      </c>
      <c r="I1055">
        <v>30</v>
      </c>
      <c r="J1055">
        <v>189</v>
      </c>
      <c r="K1055" t="s">
        <v>22</v>
      </c>
      <c r="L1055" t="s">
        <v>23</v>
      </c>
      <c r="M1055" t="s">
        <v>24</v>
      </c>
      <c r="N1055">
        <v>0.57799999999999996</v>
      </c>
      <c r="O1055">
        <v>90</v>
      </c>
      <c r="P1055">
        <v>87</v>
      </c>
      <c r="Q1055" t="s">
        <v>29</v>
      </c>
      <c r="R1055">
        <v>119</v>
      </c>
      <c r="T1055" t="s">
        <v>30</v>
      </c>
    </row>
    <row r="1056" spans="1:20" x14ac:dyDescent="0.3">
      <c r="A1056" t="s">
        <v>20</v>
      </c>
      <c r="B1056">
        <v>41</v>
      </c>
      <c r="C1056">
        <v>82.337000000000003</v>
      </c>
      <c r="D1056">
        <v>1.7270000000000001</v>
      </c>
      <c r="E1056">
        <v>18.827999999999999</v>
      </c>
      <c r="F1056">
        <v>72.052999999999997</v>
      </c>
      <c r="G1056" t="s">
        <v>904</v>
      </c>
      <c r="H1056">
        <v>207</v>
      </c>
      <c r="I1056">
        <v>53</v>
      </c>
      <c r="J1056">
        <v>92</v>
      </c>
      <c r="K1056" t="s">
        <v>23</v>
      </c>
      <c r="L1056" t="s">
        <v>23</v>
      </c>
      <c r="M1056" t="s">
        <v>37</v>
      </c>
      <c r="N1056">
        <v>0.41699999999999998</v>
      </c>
      <c r="O1056">
        <v>154</v>
      </c>
      <c r="P1056">
        <v>70</v>
      </c>
      <c r="Q1056" t="s">
        <v>38</v>
      </c>
      <c r="R1056">
        <v>124</v>
      </c>
      <c r="S1056">
        <v>17.606000000000002</v>
      </c>
      <c r="T1056" t="s">
        <v>30</v>
      </c>
    </row>
    <row r="1057" spans="1:20" x14ac:dyDescent="0.3">
      <c r="A1057" t="s">
        <v>31</v>
      </c>
      <c r="B1057">
        <v>28</v>
      </c>
      <c r="C1057">
        <v>99.08</v>
      </c>
      <c r="D1057">
        <v>1.77</v>
      </c>
      <c r="E1057">
        <v>24.835000000000001</v>
      </c>
      <c r="F1057">
        <v>96.245000000000005</v>
      </c>
      <c r="G1057" t="s">
        <v>905</v>
      </c>
      <c r="H1057">
        <v>147</v>
      </c>
      <c r="I1057">
        <v>38</v>
      </c>
      <c r="J1057">
        <v>165</v>
      </c>
      <c r="K1057" t="s">
        <v>23</v>
      </c>
      <c r="L1057" t="s">
        <v>23</v>
      </c>
      <c r="M1057" t="s">
        <v>28</v>
      </c>
      <c r="N1057">
        <v>0.54400000000000004</v>
      </c>
      <c r="O1057">
        <v>103</v>
      </c>
      <c r="P1057">
        <v>107</v>
      </c>
      <c r="Q1057" t="s">
        <v>38</v>
      </c>
      <c r="R1057">
        <v>79</v>
      </c>
      <c r="S1057">
        <v>15.057</v>
      </c>
      <c r="T1057" t="s">
        <v>30</v>
      </c>
    </row>
    <row r="1058" spans="1:20" x14ac:dyDescent="0.3">
      <c r="A1058" t="s">
        <v>20</v>
      </c>
      <c r="B1058">
        <v>75</v>
      </c>
      <c r="C1058">
        <v>115.384</v>
      </c>
      <c r="D1058">
        <v>1.744</v>
      </c>
      <c r="E1058">
        <v>34.636000000000003</v>
      </c>
      <c r="F1058">
        <v>102.26</v>
      </c>
      <c r="G1058" t="s">
        <v>906</v>
      </c>
      <c r="H1058">
        <v>164</v>
      </c>
      <c r="I1058">
        <v>31</v>
      </c>
      <c r="J1058">
        <v>122</v>
      </c>
      <c r="K1058" t="s">
        <v>23</v>
      </c>
      <c r="L1058" t="s">
        <v>22</v>
      </c>
      <c r="M1058" t="s">
        <v>37</v>
      </c>
      <c r="N1058">
        <v>0.58599999999999997</v>
      </c>
      <c r="O1058">
        <v>128</v>
      </c>
      <c r="P1058">
        <v>97</v>
      </c>
      <c r="Q1058" t="s">
        <v>38</v>
      </c>
      <c r="R1058">
        <v>103</v>
      </c>
      <c r="S1058">
        <v>16.606999999999999</v>
      </c>
      <c r="T1058" t="s">
        <v>26</v>
      </c>
    </row>
    <row r="1059" spans="1:20" x14ac:dyDescent="0.3">
      <c r="A1059" t="s">
        <v>31</v>
      </c>
      <c r="B1059">
        <v>32</v>
      </c>
      <c r="D1059">
        <v>1.657</v>
      </c>
      <c r="E1059">
        <v>21.387</v>
      </c>
      <c r="F1059">
        <v>75.28</v>
      </c>
      <c r="G1059" t="s">
        <v>907</v>
      </c>
      <c r="H1059">
        <v>281</v>
      </c>
      <c r="I1059">
        <v>63</v>
      </c>
      <c r="J1059">
        <v>153</v>
      </c>
      <c r="K1059" t="s">
        <v>23</v>
      </c>
      <c r="L1059" t="s">
        <v>23</v>
      </c>
      <c r="M1059" t="s">
        <v>24</v>
      </c>
      <c r="N1059">
        <v>0.45400000000000001</v>
      </c>
      <c r="O1059">
        <v>147</v>
      </c>
      <c r="P1059">
        <v>81</v>
      </c>
      <c r="Q1059" t="s">
        <v>29</v>
      </c>
      <c r="R1059">
        <v>188</v>
      </c>
      <c r="S1059">
        <v>19.247</v>
      </c>
      <c r="T1059" t="s">
        <v>30</v>
      </c>
    </row>
    <row r="1060" spans="1:20" x14ac:dyDescent="0.3">
      <c r="A1060" t="s">
        <v>31</v>
      </c>
      <c r="B1060">
        <v>43</v>
      </c>
      <c r="C1060">
        <v>80.563000000000002</v>
      </c>
      <c r="D1060">
        <v>1.7150000000000001</v>
      </c>
      <c r="E1060">
        <v>30.696000000000002</v>
      </c>
      <c r="F1060">
        <v>111.462</v>
      </c>
      <c r="G1060" t="s">
        <v>908</v>
      </c>
      <c r="H1060">
        <v>262</v>
      </c>
      <c r="I1060">
        <v>77</v>
      </c>
      <c r="J1060">
        <v>140</v>
      </c>
      <c r="K1060" t="s">
        <v>23</v>
      </c>
      <c r="L1060" t="s">
        <v>22</v>
      </c>
      <c r="M1060" t="s">
        <v>28</v>
      </c>
      <c r="N1060">
        <v>0.65</v>
      </c>
      <c r="O1060">
        <v>177</v>
      </c>
      <c r="P1060">
        <v>98</v>
      </c>
      <c r="Q1060" t="s">
        <v>38</v>
      </c>
      <c r="R1060">
        <v>155</v>
      </c>
      <c r="S1060">
        <v>20.228999999999999</v>
      </c>
      <c r="T1060" t="s">
        <v>52</v>
      </c>
    </row>
    <row r="1061" spans="1:20" x14ac:dyDescent="0.3">
      <c r="A1061" t="s">
        <v>20</v>
      </c>
      <c r="B1061">
        <v>71</v>
      </c>
      <c r="C1061">
        <v>105.63</v>
      </c>
      <c r="D1061">
        <v>1.6819999999999999</v>
      </c>
      <c r="E1061">
        <v>33.093000000000004</v>
      </c>
      <c r="F1061">
        <v>105.92700000000001</v>
      </c>
      <c r="G1061" t="s">
        <v>909</v>
      </c>
      <c r="H1061">
        <v>212</v>
      </c>
      <c r="I1061">
        <v>59</v>
      </c>
      <c r="J1061">
        <v>98</v>
      </c>
      <c r="K1061" t="s">
        <v>22</v>
      </c>
      <c r="L1061" t="s">
        <v>22</v>
      </c>
      <c r="M1061" t="s">
        <v>24</v>
      </c>
      <c r="N1061">
        <v>0.63</v>
      </c>
      <c r="O1061">
        <v>172</v>
      </c>
      <c r="P1061">
        <v>77</v>
      </c>
      <c r="Q1061" t="s">
        <v>38</v>
      </c>
      <c r="R1061">
        <v>123</v>
      </c>
      <c r="S1061">
        <v>19.459</v>
      </c>
      <c r="T1061" t="s">
        <v>30</v>
      </c>
    </row>
    <row r="1062" spans="1:20" x14ac:dyDescent="0.3">
      <c r="A1062" t="s">
        <v>31</v>
      </c>
      <c r="B1062">
        <v>45</v>
      </c>
      <c r="C1062">
        <v>110.392</v>
      </c>
      <c r="D1062">
        <v>1.7050000000000001</v>
      </c>
      <c r="E1062">
        <v>34.826000000000001</v>
      </c>
      <c r="F1062">
        <v>95.951999999999998</v>
      </c>
      <c r="G1062" t="s">
        <v>910</v>
      </c>
      <c r="H1062">
        <v>276</v>
      </c>
      <c r="I1062">
        <v>56</v>
      </c>
      <c r="J1062">
        <v>70</v>
      </c>
      <c r="K1062" t="s">
        <v>22</v>
      </c>
      <c r="L1062" t="s">
        <v>22</v>
      </c>
      <c r="M1062" t="s">
        <v>24</v>
      </c>
      <c r="N1062">
        <v>0.56299999999999994</v>
      </c>
      <c r="O1062">
        <v>165</v>
      </c>
      <c r="P1062">
        <v>85</v>
      </c>
      <c r="Q1062" t="s">
        <v>29</v>
      </c>
      <c r="R1062">
        <v>190</v>
      </c>
      <c r="S1062">
        <v>20.734999999999999</v>
      </c>
      <c r="T1062" t="s">
        <v>26</v>
      </c>
    </row>
    <row r="1063" spans="1:20" x14ac:dyDescent="0.3">
      <c r="A1063" t="s">
        <v>31</v>
      </c>
      <c r="B1063">
        <v>33</v>
      </c>
      <c r="C1063">
        <v>73.070999999999998</v>
      </c>
      <c r="D1063">
        <v>1.6459999999999999</v>
      </c>
      <c r="E1063">
        <v>27.373000000000001</v>
      </c>
      <c r="F1063">
        <v>82.346000000000004</v>
      </c>
      <c r="G1063" t="s">
        <v>911</v>
      </c>
      <c r="J1063">
        <v>92</v>
      </c>
      <c r="K1063" t="s">
        <v>23</v>
      </c>
      <c r="L1063" t="s">
        <v>23</v>
      </c>
      <c r="M1063" t="s">
        <v>28</v>
      </c>
      <c r="N1063">
        <v>0.5</v>
      </c>
      <c r="O1063">
        <v>129</v>
      </c>
      <c r="P1063">
        <v>113</v>
      </c>
      <c r="Q1063" t="s">
        <v>38</v>
      </c>
      <c r="R1063">
        <v>32</v>
      </c>
      <c r="S1063">
        <v>16.425000000000001</v>
      </c>
      <c r="T1063" t="s">
        <v>30</v>
      </c>
    </row>
    <row r="1064" spans="1:20" x14ac:dyDescent="0.3">
      <c r="A1064" t="s">
        <v>20</v>
      </c>
      <c r="B1064">
        <v>57</v>
      </c>
      <c r="C1064">
        <v>57.427999999999997</v>
      </c>
      <c r="D1064">
        <v>1.8109999999999999</v>
      </c>
      <c r="E1064">
        <v>36.299999999999997</v>
      </c>
      <c r="F1064">
        <v>92.387</v>
      </c>
      <c r="G1064" t="s">
        <v>912</v>
      </c>
      <c r="H1064">
        <v>203</v>
      </c>
      <c r="J1064">
        <v>161</v>
      </c>
      <c r="K1064" t="s">
        <v>23</v>
      </c>
      <c r="L1064" t="s">
        <v>23</v>
      </c>
      <c r="M1064" t="s">
        <v>28</v>
      </c>
      <c r="N1064">
        <v>0.51</v>
      </c>
      <c r="O1064">
        <v>126</v>
      </c>
      <c r="P1064">
        <v>61</v>
      </c>
      <c r="Q1064" t="s">
        <v>25</v>
      </c>
      <c r="S1064">
        <v>19.62</v>
      </c>
      <c r="T1064" t="s">
        <v>30</v>
      </c>
    </row>
    <row r="1065" spans="1:20" x14ac:dyDescent="0.3">
      <c r="A1065" t="s">
        <v>20</v>
      </c>
      <c r="B1065">
        <v>53</v>
      </c>
      <c r="C1065">
        <v>96.331999999999994</v>
      </c>
      <c r="D1065">
        <v>1.6739999999999999</v>
      </c>
      <c r="E1065">
        <v>38.898000000000003</v>
      </c>
      <c r="F1065">
        <v>103.991</v>
      </c>
      <c r="G1065" t="s">
        <v>913</v>
      </c>
      <c r="H1065">
        <v>212</v>
      </c>
      <c r="I1065">
        <v>35</v>
      </c>
      <c r="J1065">
        <v>96</v>
      </c>
      <c r="K1065" t="s">
        <v>23</v>
      </c>
      <c r="L1065" t="s">
        <v>23</v>
      </c>
      <c r="M1065" t="s">
        <v>28</v>
      </c>
      <c r="N1065">
        <v>0.621</v>
      </c>
      <c r="P1065">
        <v>90</v>
      </c>
      <c r="Q1065" t="s">
        <v>38</v>
      </c>
      <c r="R1065">
        <v>147</v>
      </c>
      <c r="S1065">
        <v>22.97</v>
      </c>
      <c r="T1065" t="s">
        <v>26</v>
      </c>
    </row>
    <row r="1066" spans="1:20" x14ac:dyDescent="0.3">
      <c r="A1066" t="s">
        <v>20</v>
      </c>
      <c r="B1066">
        <v>47</v>
      </c>
      <c r="C1066">
        <v>83.534000000000006</v>
      </c>
      <c r="D1066">
        <v>1.89</v>
      </c>
      <c r="E1066">
        <v>38.703000000000003</v>
      </c>
      <c r="F1066">
        <v>113.907</v>
      </c>
      <c r="G1066" t="s">
        <v>914</v>
      </c>
      <c r="H1066">
        <v>255</v>
      </c>
      <c r="I1066">
        <v>47</v>
      </c>
      <c r="J1066">
        <v>173</v>
      </c>
      <c r="K1066" t="s">
        <v>23</v>
      </c>
      <c r="L1066" t="s">
        <v>22</v>
      </c>
      <c r="M1066" t="s">
        <v>28</v>
      </c>
      <c r="N1066">
        <v>0.60299999999999998</v>
      </c>
      <c r="O1066">
        <v>171</v>
      </c>
      <c r="P1066">
        <v>113</v>
      </c>
      <c r="Q1066" t="s">
        <v>38</v>
      </c>
      <c r="R1066">
        <v>178</v>
      </c>
      <c r="S1066">
        <v>21.390999999999998</v>
      </c>
      <c r="T1066" t="s">
        <v>26</v>
      </c>
    </row>
    <row r="1067" spans="1:20" x14ac:dyDescent="0.3">
      <c r="A1067" t="s">
        <v>20</v>
      </c>
      <c r="B1067">
        <v>67</v>
      </c>
      <c r="C1067">
        <v>79.489000000000004</v>
      </c>
      <c r="D1067">
        <v>1.879</v>
      </c>
      <c r="E1067">
        <v>28.065999999999999</v>
      </c>
      <c r="F1067">
        <v>81.173000000000002</v>
      </c>
      <c r="G1067" t="s">
        <v>915</v>
      </c>
      <c r="H1067">
        <v>229</v>
      </c>
      <c r="I1067">
        <v>70</v>
      </c>
      <c r="J1067">
        <v>136</v>
      </c>
      <c r="K1067" t="s">
        <v>22</v>
      </c>
      <c r="L1067" t="s">
        <v>22</v>
      </c>
      <c r="M1067" t="s">
        <v>37</v>
      </c>
      <c r="N1067">
        <v>0.432</v>
      </c>
      <c r="O1067">
        <v>162</v>
      </c>
      <c r="P1067">
        <v>117</v>
      </c>
      <c r="Q1067" t="s">
        <v>38</v>
      </c>
      <c r="R1067">
        <v>129</v>
      </c>
      <c r="S1067">
        <v>18.292999999999999</v>
      </c>
      <c r="T1067" t="s">
        <v>52</v>
      </c>
    </row>
    <row r="1068" spans="1:20" x14ac:dyDescent="0.3">
      <c r="A1068" t="s">
        <v>20</v>
      </c>
      <c r="B1068">
        <v>33</v>
      </c>
      <c r="C1068">
        <v>105.351</v>
      </c>
      <c r="D1068">
        <v>1.68</v>
      </c>
      <c r="E1068">
        <v>28.038</v>
      </c>
      <c r="F1068">
        <v>109.807</v>
      </c>
      <c r="G1068" t="s">
        <v>568</v>
      </c>
      <c r="H1068">
        <v>288</v>
      </c>
      <c r="I1068">
        <v>48</v>
      </c>
      <c r="J1068">
        <v>161</v>
      </c>
      <c r="K1068" t="s">
        <v>23</v>
      </c>
      <c r="L1068" t="s">
        <v>23</v>
      </c>
      <c r="M1068" t="s">
        <v>28</v>
      </c>
      <c r="N1068">
        <v>0.65400000000000003</v>
      </c>
      <c r="O1068">
        <v>146</v>
      </c>
      <c r="P1068">
        <v>91</v>
      </c>
      <c r="Q1068" t="s">
        <v>38</v>
      </c>
      <c r="R1068">
        <v>210</v>
      </c>
      <c r="S1068">
        <v>20.667999999999999</v>
      </c>
      <c r="T1068" t="s">
        <v>52</v>
      </c>
    </row>
    <row r="1069" spans="1:20" x14ac:dyDescent="0.3">
      <c r="A1069" t="s">
        <v>20</v>
      </c>
      <c r="B1069">
        <v>64</v>
      </c>
      <c r="C1069">
        <v>67.144000000000005</v>
      </c>
      <c r="D1069">
        <v>1.532</v>
      </c>
      <c r="E1069">
        <v>22.811</v>
      </c>
      <c r="F1069">
        <v>99.79</v>
      </c>
      <c r="G1069" t="s">
        <v>756</v>
      </c>
      <c r="H1069">
        <v>260</v>
      </c>
      <c r="I1069">
        <v>59</v>
      </c>
      <c r="J1069">
        <v>106</v>
      </c>
      <c r="K1069" t="s">
        <v>22</v>
      </c>
      <c r="L1069" t="s">
        <v>22</v>
      </c>
      <c r="M1069" t="s">
        <v>28</v>
      </c>
      <c r="N1069">
        <v>0.65100000000000002</v>
      </c>
      <c r="O1069">
        <v>127</v>
      </c>
      <c r="P1069">
        <v>99</v>
      </c>
      <c r="Q1069" t="s">
        <v>38</v>
      </c>
      <c r="R1069">
        <v>171</v>
      </c>
      <c r="S1069">
        <v>16.111999999999998</v>
      </c>
      <c r="T1069" t="s">
        <v>30</v>
      </c>
    </row>
    <row r="1070" spans="1:20" x14ac:dyDescent="0.3">
      <c r="A1070" t="s">
        <v>20</v>
      </c>
      <c r="B1070">
        <v>76</v>
      </c>
      <c r="C1070">
        <v>99.191000000000003</v>
      </c>
      <c r="D1070">
        <v>1.738</v>
      </c>
      <c r="F1070">
        <v>80.861999999999995</v>
      </c>
      <c r="G1070" t="s">
        <v>916</v>
      </c>
      <c r="H1070">
        <v>212</v>
      </c>
      <c r="I1070">
        <v>66</v>
      </c>
      <c r="J1070">
        <v>178</v>
      </c>
      <c r="K1070" t="s">
        <v>22</v>
      </c>
      <c r="L1070" t="s">
        <v>23</v>
      </c>
      <c r="M1070" t="s">
        <v>24</v>
      </c>
      <c r="N1070">
        <v>0.46500000000000002</v>
      </c>
      <c r="O1070">
        <v>102</v>
      </c>
      <c r="P1070">
        <v>70</v>
      </c>
      <c r="Q1070" t="s">
        <v>33</v>
      </c>
      <c r="R1070">
        <v>116</v>
      </c>
      <c r="S1070">
        <v>18.044</v>
      </c>
      <c r="T1070" t="s">
        <v>26</v>
      </c>
    </row>
    <row r="1071" spans="1:20" x14ac:dyDescent="0.3">
      <c r="A1071" t="s">
        <v>31</v>
      </c>
      <c r="B1071">
        <v>44</v>
      </c>
      <c r="C1071">
        <v>104.303</v>
      </c>
      <c r="D1071">
        <v>1.8959999999999999</v>
      </c>
      <c r="E1071">
        <v>33.274000000000001</v>
      </c>
      <c r="F1071">
        <v>90.572000000000003</v>
      </c>
      <c r="G1071" t="s">
        <v>917</v>
      </c>
      <c r="H1071">
        <v>117</v>
      </c>
      <c r="I1071">
        <v>43</v>
      </c>
      <c r="J1071">
        <v>170</v>
      </c>
      <c r="K1071" t="s">
        <v>23</v>
      </c>
      <c r="L1071" t="s">
        <v>22</v>
      </c>
      <c r="M1071" t="s">
        <v>28</v>
      </c>
      <c r="N1071">
        <v>0.47799999999999998</v>
      </c>
      <c r="O1071">
        <v>108</v>
      </c>
      <c r="P1071">
        <v>84</v>
      </c>
      <c r="Q1071" t="s">
        <v>29</v>
      </c>
      <c r="R1071">
        <v>44</v>
      </c>
      <c r="S1071">
        <v>14.395</v>
      </c>
      <c r="T1071" t="s">
        <v>30</v>
      </c>
    </row>
    <row r="1072" spans="1:20" x14ac:dyDescent="0.3">
      <c r="A1072" t="s">
        <v>20</v>
      </c>
      <c r="B1072">
        <v>30</v>
      </c>
      <c r="C1072">
        <v>74.353999999999999</v>
      </c>
      <c r="E1072">
        <v>26.4</v>
      </c>
      <c r="F1072">
        <v>96.936000000000007</v>
      </c>
      <c r="G1072" t="s">
        <v>209</v>
      </c>
      <c r="H1072">
        <v>160</v>
      </c>
      <c r="I1072">
        <v>37</v>
      </c>
      <c r="K1072" t="s">
        <v>23</v>
      </c>
      <c r="L1072" t="s">
        <v>23</v>
      </c>
      <c r="M1072" t="s">
        <v>37</v>
      </c>
      <c r="N1072">
        <v>0.54200000000000004</v>
      </c>
      <c r="O1072">
        <v>102</v>
      </c>
      <c r="P1072">
        <v>60</v>
      </c>
      <c r="Q1072" t="s">
        <v>33</v>
      </c>
      <c r="R1072">
        <v>93</v>
      </c>
      <c r="S1072">
        <v>15.58</v>
      </c>
      <c r="T1072" t="s">
        <v>52</v>
      </c>
    </row>
    <row r="1073" spans="1:20" x14ac:dyDescent="0.3">
      <c r="A1073" t="s">
        <v>20</v>
      </c>
      <c r="B1073">
        <v>51</v>
      </c>
      <c r="C1073">
        <v>70.213999999999999</v>
      </c>
      <c r="D1073">
        <v>1.599</v>
      </c>
      <c r="E1073">
        <v>21.675999999999998</v>
      </c>
      <c r="F1073">
        <v>77.685000000000002</v>
      </c>
      <c r="G1073" t="s">
        <v>918</v>
      </c>
      <c r="H1073">
        <v>137</v>
      </c>
      <c r="I1073">
        <v>75</v>
      </c>
      <c r="J1073">
        <v>79</v>
      </c>
      <c r="K1073" t="s">
        <v>23</v>
      </c>
      <c r="L1073" t="s">
        <v>23</v>
      </c>
      <c r="M1073" t="s">
        <v>37</v>
      </c>
      <c r="O1073">
        <v>127</v>
      </c>
      <c r="P1073">
        <v>106</v>
      </c>
      <c r="Q1073" t="s">
        <v>38</v>
      </c>
      <c r="R1073">
        <v>32</v>
      </c>
      <c r="S1073">
        <v>15.425000000000001</v>
      </c>
      <c r="T1073" t="s">
        <v>26</v>
      </c>
    </row>
    <row r="1074" spans="1:20" x14ac:dyDescent="0.3">
      <c r="A1074" t="s">
        <v>31</v>
      </c>
      <c r="B1074">
        <v>72</v>
      </c>
      <c r="C1074">
        <v>60.783000000000001</v>
      </c>
      <c r="D1074">
        <v>1.556</v>
      </c>
      <c r="E1074">
        <v>21.14</v>
      </c>
      <c r="F1074">
        <v>112.63</v>
      </c>
      <c r="G1074" t="s">
        <v>919</v>
      </c>
      <c r="H1074">
        <v>124</v>
      </c>
      <c r="I1074">
        <v>37</v>
      </c>
      <c r="J1074">
        <v>82</v>
      </c>
      <c r="K1074" t="s">
        <v>22</v>
      </c>
      <c r="L1074" t="s">
        <v>22</v>
      </c>
      <c r="M1074" t="s">
        <v>24</v>
      </c>
      <c r="N1074">
        <v>0.72399999999999998</v>
      </c>
      <c r="O1074">
        <v>117</v>
      </c>
      <c r="P1074">
        <v>108</v>
      </c>
      <c r="Q1074" t="s">
        <v>38</v>
      </c>
      <c r="R1074">
        <v>57</v>
      </c>
      <c r="S1074">
        <v>12.558</v>
      </c>
      <c r="T1074" t="s">
        <v>30</v>
      </c>
    </row>
    <row r="1075" spans="1:20" x14ac:dyDescent="0.3">
      <c r="A1075" t="s">
        <v>20</v>
      </c>
      <c r="B1075">
        <v>59</v>
      </c>
      <c r="C1075">
        <v>56.171999999999997</v>
      </c>
      <c r="D1075">
        <v>1.958</v>
      </c>
      <c r="E1075">
        <v>20.582000000000001</v>
      </c>
      <c r="F1075">
        <v>79.411000000000001</v>
      </c>
      <c r="G1075" t="s">
        <v>920</v>
      </c>
      <c r="H1075">
        <v>127</v>
      </c>
      <c r="I1075">
        <v>57</v>
      </c>
      <c r="J1075">
        <v>91</v>
      </c>
      <c r="K1075" t="s">
        <v>23</v>
      </c>
      <c r="L1075" t="s">
        <v>22</v>
      </c>
      <c r="M1075" t="s">
        <v>37</v>
      </c>
      <c r="N1075">
        <v>0.40600000000000003</v>
      </c>
      <c r="O1075">
        <v>167</v>
      </c>
      <c r="Q1075" t="s">
        <v>38</v>
      </c>
      <c r="R1075">
        <v>40</v>
      </c>
      <c r="S1075">
        <v>15.006</v>
      </c>
      <c r="T1075" t="s">
        <v>52</v>
      </c>
    </row>
    <row r="1076" spans="1:20" x14ac:dyDescent="0.3">
      <c r="A1076" t="s">
        <v>31</v>
      </c>
      <c r="B1076">
        <v>34</v>
      </c>
      <c r="C1076">
        <v>108.047</v>
      </c>
      <c r="D1076">
        <v>1.51</v>
      </c>
      <c r="E1076">
        <v>22.56</v>
      </c>
      <c r="F1076">
        <v>88.790999999999997</v>
      </c>
      <c r="G1076" t="s">
        <v>921</v>
      </c>
      <c r="H1076">
        <v>194</v>
      </c>
      <c r="I1076">
        <v>44</v>
      </c>
      <c r="J1076">
        <v>84</v>
      </c>
      <c r="K1076" t="s">
        <v>23</v>
      </c>
      <c r="L1076" t="s">
        <v>22</v>
      </c>
      <c r="M1076" t="s">
        <v>37</v>
      </c>
      <c r="N1076">
        <v>0.58799999999999997</v>
      </c>
      <c r="O1076">
        <v>109</v>
      </c>
      <c r="P1076">
        <v>86</v>
      </c>
      <c r="Q1076" t="s">
        <v>29</v>
      </c>
      <c r="R1076">
        <v>120</v>
      </c>
      <c r="S1076">
        <v>13.842000000000001</v>
      </c>
      <c r="T1076" t="s">
        <v>26</v>
      </c>
    </row>
    <row r="1077" spans="1:20" x14ac:dyDescent="0.3">
      <c r="A1077" t="s">
        <v>20</v>
      </c>
      <c r="B1077">
        <v>70</v>
      </c>
      <c r="C1077">
        <v>92.343999999999994</v>
      </c>
      <c r="D1077">
        <v>1.629</v>
      </c>
      <c r="E1077">
        <v>22.933</v>
      </c>
      <c r="F1077">
        <v>118.05800000000001</v>
      </c>
      <c r="G1077" t="s">
        <v>922</v>
      </c>
      <c r="H1077">
        <v>234</v>
      </c>
      <c r="I1077">
        <v>66</v>
      </c>
      <c r="J1077">
        <v>197</v>
      </c>
      <c r="K1077" t="s">
        <v>22</v>
      </c>
      <c r="L1077" t="s">
        <v>23</v>
      </c>
      <c r="M1077" t="s">
        <v>28</v>
      </c>
      <c r="N1077">
        <v>0.72499999999999998</v>
      </c>
      <c r="O1077">
        <v>132</v>
      </c>
      <c r="P1077">
        <v>72</v>
      </c>
      <c r="Q1077" t="s">
        <v>29</v>
      </c>
      <c r="R1077">
        <v>138</v>
      </c>
      <c r="S1077">
        <v>17.867000000000001</v>
      </c>
      <c r="T1077" t="s">
        <v>30</v>
      </c>
    </row>
    <row r="1078" spans="1:20" x14ac:dyDescent="0.3">
      <c r="A1078" t="s">
        <v>31</v>
      </c>
      <c r="B1078">
        <v>30</v>
      </c>
      <c r="C1078">
        <v>118.169</v>
      </c>
      <c r="D1078">
        <v>1.6719999999999999</v>
      </c>
      <c r="E1078">
        <v>28.821999999999999</v>
      </c>
      <c r="G1078" t="s">
        <v>923</v>
      </c>
      <c r="H1078">
        <v>265</v>
      </c>
      <c r="I1078">
        <v>73</v>
      </c>
      <c r="J1078">
        <v>74</v>
      </c>
      <c r="K1078" t="s">
        <v>22</v>
      </c>
      <c r="L1078" t="s">
        <v>23</v>
      </c>
      <c r="M1078" t="s">
        <v>24</v>
      </c>
      <c r="N1078">
        <v>0.59299999999999997</v>
      </c>
      <c r="O1078">
        <v>174</v>
      </c>
      <c r="P1078">
        <v>76</v>
      </c>
      <c r="Q1078" t="s">
        <v>38</v>
      </c>
      <c r="R1078">
        <v>162</v>
      </c>
      <c r="S1078">
        <v>21.763999999999999</v>
      </c>
      <c r="T1078" t="s">
        <v>26</v>
      </c>
    </row>
    <row r="1079" spans="1:20" x14ac:dyDescent="0.3">
      <c r="A1079" t="s">
        <v>31</v>
      </c>
      <c r="B1079">
        <v>33</v>
      </c>
      <c r="C1079">
        <v>66.855000000000004</v>
      </c>
      <c r="D1079">
        <v>1.93</v>
      </c>
      <c r="E1079">
        <v>29.587</v>
      </c>
      <c r="F1079">
        <v>71.373000000000005</v>
      </c>
      <c r="G1079" t="s">
        <v>924</v>
      </c>
      <c r="H1079">
        <v>215</v>
      </c>
      <c r="I1079">
        <v>82</v>
      </c>
      <c r="J1079">
        <v>196</v>
      </c>
      <c r="K1079" t="s">
        <v>22</v>
      </c>
      <c r="L1079" t="s">
        <v>22</v>
      </c>
      <c r="M1079" t="s">
        <v>37</v>
      </c>
      <c r="N1079">
        <v>0.37</v>
      </c>
      <c r="O1079">
        <v>144</v>
      </c>
      <c r="P1079">
        <v>76</v>
      </c>
      <c r="Q1079" t="s">
        <v>38</v>
      </c>
      <c r="R1079">
        <v>103</v>
      </c>
      <c r="S1079">
        <v>17.417000000000002</v>
      </c>
      <c r="T1079" t="s">
        <v>52</v>
      </c>
    </row>
    <row r="1080" spans="1:20" x14ac:dyDescent="0.3">
      <c r="A1080" t="s">
        <v>20</v>
      </c>
      <c r="B1080">
        <v>65</v>
      </c>
      <c r="C1080">
        <v>83.355000000000004</v>
      </c>
      <c r="D1080">
        <v>1.847</v>
      </c>
      <c r="E1080">
        <v>27.68</v>
      </c>
      <c r="F1080">
        <v>81.436000000000007</v>
      </c>
      <c r="G1080" t="s">
        <v>925</v>
      </c>
      <c r="H1080">
        <v>281</v>
      </c>
      <c r="I1080">
        <v>83</v>
      </c>
      <c r="J1080">
        <v>162</v>
      </c>
      <c r="K1080" t="s">
        <v>23</v>
      </c>
      <c r="L1080" t="s">
        <v>23</v>
      </c>
      <c r="M1080" t="s">
        <v>28</v>
      </c>
      <c r="N1080">
        <v>0.441</v>
      </c>
      <c r="O1080">
        <v>102</v>
      </c>
      <c r="P1080">
        <v>96</v>
      </c>
      <c r="Q1080" t="s">
        <v>38</v>
      </c>
      <c r="R1080">
        <v>168</v>
      </c>
      <c r="T1080" t="s">
        <v>30</v>
      </c>
    </row>
    <row r="1081" spans="1:20" x14ac:dyDescent="0.3">
      <c r="A1081" t="s">
        <v>20</v>
      </c>
      <c r="B1081">
        <v>34</v>
      </c>
      <c r="D1081">
        <v>1.976</v>
      </c>
      <c r="E1081">
        <v>36.826999999999998</v>
      </c>
      <c r="F1081">
        <v>109.577</v>
      </c>
      <c r="G1081" t="s">
        <v>926</v>
      </c>
      <c r="H1081">
        <v>216</v>
      </c>
      <c r="I1081">
        <v>55</v>
      </c>
      <c r="J1081">
        <v>192</v>
      </c>
      <c r="K1081" t="s">
        <v>23</v>
      </c>
      <c r="L1081" t="s">
        <v>22</v>
      </c>
      <c r="M1081" t="s">
        <v>28</v>
      </c>
      <c r="N1081">
        <v>0.55500000000000005</v>
      </c>
      <c r="O1081">
        <v>100</v>
      </c>
      <c r="P1081">
        <v>84</v>
      </c>
      <c r="Q1081" t="s">
        <v>29</v>
      </c>
      <c r="R1081">
        <v>131</v>
      </c>
      <c r="S1081">
        <v>16.684999999999999</v>
      </c>
      <c r="T1081" t="s">
        <v>52</v>
      </c>
    </row>
    <row r="1082" spans="1:20" x14ac:dyDescent="0.3">
      <c r="A1082" t="s">
        <v>20</v>
      </c>
      <c r="B1082">
        <v>35</v>
      </c>
      <c r="D1082">
        <v>1.78</v>
      </c>
      <c r="F1082">
        <v>119.672</v>
      </c>
      <c r="G1082" t="s">
        <v>927</v>
      </c>
      <c r="H1082">
        <v>173</v>
      </c>
      <c r="I1082">
        <v>60</v>
      </c>
      <c r="J1082">
        <v>187</v>
      </c>
      <c r="K1082" t="s">
        <v>22</v>
      </c>
      <c r="L1082" t="s">
        <v>23</v>
      </c>
      <c r="M1082" t="s">
        <v>28</v>
      </c>
      <c r="N1082">
        <v>0.67200000000000004</v>
      </c>
      <c r="O1082">
        <v>113</v>
      </c>
      <c r="P1082">
        <v>65</v>
      </c>
      <c r="Q1082" t="s">
        <v>33</v>
      </c>
      <c r="R1082">
        <v>83</v>
      </c>
      <c r="S1082">
        <v>18.323</v>
      </c>
      <c r="T1082" t="s">
        <v>30</v>
      </c>
    </row>
    <row r="1083" spans="1:20" x14ac:dyDescent="0.3">
      <c r="A1083" t="s">
        <v>31</v>
      </c>
      <c r="B1083">
        <v>74</v>
      </c>
      <c r="C1083">
        <v>88.77</v>
      </c>
      <c r="D1083">
        <v>1.5720000000000001</v>
      </c>
      <c r="E1083">
        <v>25.428000000000001</v>
      </c>
      <c r="F1083">
        <v>76.659000000000006</v>
      </c>
      <c r="G1083" t="s">
        <v>928</v>
      </c>
      <c r="H1083">
        <v>150</v>
      </c>
      <c r="I1083">
        <v>38</v>
      </c>
      <c r="J1083">
        <v>164</v>
      </c>
      <c r="K1083" t="s">
        <v>22</v>
      </c>
      <c r="L1083" t="s">
        <v>23</v>
      </c>
      <c r="M1083" t="s">
        <v>28</v>
      </c>
      <c r="N1083">
        <v>0.48799999999999999</v>
      </c>
      <c r="O1083">
        <v>170</v>
      </c>
      <c r="P1083">
        <v>89</v>
      </c>
      <c r="Q1083" t="s">
        <v>29</v>
      </c>
      <c r="R1083">
        <v>82</v>
      </c>
      <c r="S1083">
        <v>18.585999999999999</v>
      </c>
      <c r="T1083" t="s">
        <v>26</v>
      </c>
    </row>
    <row r="1084" spans="1:20" x14ac:dyDescent="0.3">
      <c r="A1084" t="s">
        <v>31</v>
      </c>
      <c r="B1084">
        <v>52</v>
      </c>
      <c r="C1084">
        <v>65.311000000000007</v>
      </c>
      <c r="D1084">
        <v>1.589</v>
      </c>
      <c r="E1084">
        <v>32.176000000000002</v>
      </c>
      <c r="F1084">
        <v>99.412000000000006</v>
      </c>
      <c r="G1084" t="s">
        <v>929</v>
      </c>
      <c r="H1084">
        <v>272</v>
      </c>
      <c r="I1084">
        <v>38</v>
      </c>
      <c r="J1084">
        <v>81</v>
      </c>
      <c r="K1084" t="s">
        <v>23</v>
      </c>
      <c r="L1084" t="s">
        <v>22</v>
      </c>
      <c r="M1084" t="s">
        <v>28</v>
      </c>
      <c r="N1084">
        <v>0.626</v>
      </c>
      <c r="O1084">
        <v>139</v>
      </c>
      <c r="P1084">
        <v>106</v>
      </c>
      <c r="Q1084" t="s">
        <v>29</v>
      </c>
      <c r="R1084">
        <v>204</v>
      </c>
      <c r="S1084">
        <v>18.824999999999999</v>
      </c>
      <c r="T1084" t="s">
        <v>30</v>
      </c>
    </row>
    <row r="1085" spans="1:20" x14ac:dyDescent="0.3">
      <c r="A1085" t="s">
        <v>20</v>
      </c>
      <c r="B1085">
        <v>27</v>
      </c>
      <c r="C1085">
        <v>71.323999999999998</v>
      </c>
      <c r="D1085">
        <v>1.9450000000000001</v>
      </c>
      <c r="E1085">
        <v>37.817</v>
      </c>
      <c r="F1085">
        <v>80.259</v>
      </c>
      <c r="G1085" t="s">
        <v>930</v>
      </c>
      <c r="H1085">
        <v>203</v>
      </c>
      <c r="I1085">
        <v>46</v>
      </c>
      <c r="J1085">
        <v>85</v>
      </c>
      <c r="K1085" t="s">
        <v>23</v>
      </c>
      <c r="L1085" t="s">
        <v>22</v>
      </c>
      <c r="M1085" t="s">
        <v>28</v>
      </c>
      <c r="N1085">
        <v>0.41299999999999998</v>
      </c>
      <c r="O1085">
        <v>92</v>
      </c>
      <c r="P1085">
        <v>88</v>
      </c>
      <c r="Q1085" t="s">
        <v>29</v>
      </c>
      <c r="R1085">
        <v>127</v>
      </c>
      <c r="S1085">
        <v>16.222999999999999</v>
      </c>
      <c r="T1085" t="s">
        <v>30</v>
      </c>
    </row>
    <row r="1086" spans="1:20" x14ac:dyDescent="0.3">
      <c r="A1086" t="s">
        <v>31</v>
      </c>
      <c r="B1086">
        <v>45</v>
      </c>
      <c r="C1086">
        <v>64.42</v>
      </c>
      <c r="D1086">
        <v>1.921</v>
      </c>
      <c r="E1086">
        <v>28.513000000000002</v>
      </c>
      <c r="F1086">
        <v>81.260999999999996</v>
      </c>
      <c r="G1086" t="s">
        <v>931</v>
      </c>
      <c r="H1086">
        <v>219</v>
      </c>
      <c r="I1086">
        <v>74</v>
      </c>
      <c r="J1086">
        <v>157</v>
      </c>
      <c r="K1086" t="s">
        <v>22</v>
      </c>
      <c r="L1086" t="s">
        <v>23</v>
      </c>
      <c r="M1086" t="s">
        <v>24</v>
      </c>
      <c r="N1086">
        <v>0.42299999999999999</v>
      </c>
      <c r="O1086">
        <v>131</v>
      </c>
      <c r="P1086">
        <v>115</v>
      </c>
      <c r="Q1086" t="s">
        <v>29</v>
      </c>
      <c r="R1086">
        <v>115</v>
      </c>
      <c r="S1086">
        <v>18.632999999999999</v>
      </c>
      <c r="T1086" t="s">
        <v>26</v>
      </c>
    </row>
    <row r="1087" spans="1:20" x14ac:dyDescent="0.3">
      <c r="A1087" t="s">
        <v>20</v>
      </c>
      <c r="B1087">
        <v>67</v>
      </c>
      <c r="C1087">
        <v>99.691000000000003</v>
      </c>
      <c r="D1087">
        <v>1.57</v>
      </c>
      <c r="E1087">
        <v>25.021000000000001</v>
      </c>
      <c r="F1087">
        <v>88.168999999999997</v>
      </c>
      <c r="G1087" t="s">
        <v>609</v>
      </c>
      <c r="H1087">
        <v>194</v>
      </c>
      <c r="I1087">
        <v>31</v>
      </c>
      <c r="J1087">
        <v>196</v>
      </c>
      <c r="K1087" t="s">
        <v>22</v>
      </c>
      <c r="L1087" t="s">
        <v>22</v>
      </c>
      <c r="M1087" t="s">
        <v>37</v>
      </c>
      <c r="N1087">
        <v>0.56100000000000005</v>
      </c>
      <c r="O1087">
        <v>109</v>
      </c>
      <c r="P1087">
        <v>84</v>
      </c>
      <c r="Q1087" t="s">
        <v>29</v>
      </c>
      <c r="R1087">
        <v>133</v>
      </c>
      <c r="S1087">
        <v>14.334</v>
      </c>
      <c r="T1087" t="s">
        <v>30</v>
      </c>
    </row>
    <row r="1088" spans="1:20" x14ac:dyDescent="0.3">
      <c r="A1088" t="s">
        <v>31</v>
      </c>
      <c r="B1088">
        <v>58</v>
      </c>
      <c r="C1088">
        <v>53.317</v>
      </c>
      <c r="D1088">
        <v>1.913</v>
      </c>
      <c r="E1088">
        <v>28.419</v>
      </c>
      <c r="F1088">
        <v>110.331</v>
      </c>
      <c r="G1088" t="s">
        <v>932</v>
      </c>
      <c r="H1088">
        <v>100</v>
      </c>
      <c r="I1088">
        <v>88</v>
      </c>
      <c r="J1088">
        <v>106</v>
      </c>
      <c r="K1088" t="s">
        <v>23</v>
      </c>
      <c r="L1088" t="s">
        <v>22</v>
      </c>
      <c r="M1088" t="s">
        <v>37</v>
      </c>
      <c r="N1088">
        <v>0.57699999999999996</v>
      </c>
      <c r="O1088">
        <v>172</v>
      </c>
      <c r="P1088">
        <v>108</v>
      </c>
      <c r="Q1088" t="s">
        <v>38</v>
      </c>
      <c r="R1088">
        <v>-18</v>
      </c>
      <c r="S1088">
        <v>16.283999999999999</v>
      </c>
      <c r="T1088" t="s">
        <v>30</v>
      </c>
    </row>
    <row r="1089" spans="1:20" x14ac:dyDescent="0.3">
      <c r="A1089" t="s">
        <v>31</v>
      </c>
      <c r="B1089">
        <v>49</v>
      </c>
      <c r="C1089">
        <v>71.372</v>
      </c>
      <c r="D1089">
        <v>1.9239999999999999</v>
      </c>
      <c r="E1089">
        <v>34.363</v>
      </c>
      <c r="F1089">
        <v>84.581000000000003</v>
      </c>
      <c r="G1089" t="s">
        <v>880</v>
      </c>
      <c r="H1089">
        <v>178</v>
      </c>
      <c r="I1089">
        <v>60</v>
      </c>
      <c r="J1089">
        <v>164</v>
      </c>
      <c r="K1089" t="s">
        <v>23</v>
      </c>
      <c r="L1089" t="s">
        <v>23</v>
      </c>
      <c r="M1089" t="s">
        <v>28</v>
      </c>
      <c r="N1089">
        <v>0.44</v>
      </c>
      <c r="O1089">
        <v>108</v>
      </c>
      <c r="P1089">
        <v>115</v>
      </c>
      <c r="Q1089" t="s">
        <v>38</v>
      </c>
      <c r="R1089">
        <v>88</v>
      </c>
      <c r="S1089">
        <v>17.832999999999998</v>
      </c>
      <c r="T1089" t="s">
        <v>30</v>
      </c>
    </row>
    <row r="1090" spans="1:20" x14ac:dyDescent="0.3">
      <c r="A1090" t="s">
        <v>31</v>
      </c>
      <c r="B1090">
        <v>66</v>
      </c>
      <c r="C1090">
        <v>85.786000000000001</v>
      </c>
      <c r="D1090">
        <v>1.9610000000000001</v>
      </c>
      <c r="E1090">
        <v>19.439</v>
      </c>
      <c r="G1090" t="s">
        <v>933</v>
      </c>
      <c r="H1090">
        <v>230</v>
      </c>
      <c r="I1090">
        <v>76</v>
      </c>
      <c r="J1090">
        <v>103</v>
      </c>
      <c r="K1090" t="s">
        <v>23</v>
      </c>
      <c r="L1090" t="s">
        <v>23</v>
      </c>
      <c r="M1090" t="s">
        <v>24</v>
      </c>
      <c r="N1090">
        <v>0.439</v>
      </c>
      <c r="O1090">
        <v>121</v>
      </c>
      <c r="P1090">
        <v>105</v>
      </c>
      <c r="Q1090" t="s">
        <v>38</v>
      </c>
      <c r="R1090">
        <v>124</v>
      </c>
      <c r="S1090">
        <v>16.538</v>
      </c>
      <c r="T1090" t="s">
        <v>52</v>
      </c>
    </row>
    <row r="1091" spans="1:20" x14ac:dyDescent="0.3">
      <c r="A1091" t="s">
        <v>31</v>
      </c>
      <c r="B1091">
        <v>63</v>
      </c>
      <c r="C1091">
        <v>54.923000000000002</v>
      </c>
      <c r="D1091">
        <v>1.8720000000000001</v>
      </c>
      <c r="E1091">
        <v>39.978999999999999</v>
      </c>
      <c r="F1091">
        <v>106.94799999999999</v>
      </c>
      <c r="G1091" t="s">
        <v>934</v>
      </c>
      <c r="H1091">
        <v>100</v>
      </c>
      <c r="I1091">
        <v>61</v>
      </c>
      <c r="J1091">
        <v>70</v>
      </c>
      <c r="K1091" t="s">
        <v>23</v>
      </c>
      <c r="L1091" t="s">
        <v>23</v>
      </c>
      <c r="M1091" t="s">
        <v>24</v>
      </c>
      <c r="N1091">
        <v>0.57099999999999995</v>
      </c>
      <c r="O1091">
        <v>179</v>
      </c>
      <c r="P1091">
        <v>79</v>
      </c>
      <c r="Q1091" t="s">
        <v>38</v>
      </c>
      <c r="R1091">
        <v>9</v>
      </c>
      <c r="S1091">
        <v>20.946000000000002</v>
      </c>
      <c r="T1091" t="s">
        <v>26</v>
      </c>
    </row>
    <row r="1092" spans="1:20" x14ac:dyDescent="0.3">
      <c r="A1092" t="s">
        <v>31</v>
      </c>
      <c r="B1092">
        <v>79</v>
      </c>
      <c r="C1092">
        <v>116.72199999999999</v>
      </c>
      <c r="D1092">
        <v>1.9690000000000001</v>
      </c>
      <c r="E1092">
        <v>33.073999999999998</v>
      </c>
      <c r="F1092">
        <v>105.557</v>
      </c>
      <c r="G1092" t="s">
        <v>935</v>
      </c>
      <c r="H1092">
        <v>118</v>
      </c>
      <c r="I1092">
        <v>87</v>
      </c>
      <c r="K1092" t="s">
        <v>22</v>
      </c>
      <c r="L1092" t="s">
        <v>23</v>
      </c>
      <c r="M1092" t="s">
        <v>24</v>
      </c>
      <c r="N1092">
        <v>0.53600000000000003</v>
      </c>
      <c r="O1092">
        <v>94</v>
      </c>
      <c r="P1092">
        <v>117</v>
      </c>
      <c r="Q1092" t="s">
        <v>38</v>
      </c>
      <c r="R1092">
        <v>1</v>
      </c>
      <c r="S1092">
        <v>15.675000000000001</v>
      </c>
      <c r="T1092" t="s">
        <v>52</v>
      </c>
    </row>
    <row r="1093" spans="1:20" x14ac:dyDescent="0.3">
      <c r="A1093" t="s">
        <v>20</v>
      </c>
      <c r="B1093">
        <v>76</v>
      </c>
      <c r="C1093">
        <v>106.884</v>
      </c>
      <c r="D1093">
        <v>1.728</v>
      </c>
      <c r="E1093">
        <v>20.629000000000001</v>
      </c>
      <c r="F1093">
        <v>101.182</v>
      </c>
      <c r="G1093" t="s">
        <v>936</v>
      </c>
      <c r="H1093">
        <v>102</v>
      </c>
      <c r="I1093">
        <v>54</v>
      </c>
      <c r="J1093">
        <v>192</v>
      </c>
      <c r="K1093" t="s">
        <v>23</v>
      </c>
      <c r="L1093" t="s">
        <v>23</v>
      </c>
      <c r="M1093" t="s">
        <v>28</v>
      </c>
      <c r="N1093">
        <v>0.58599999999999997</v>
      </c>
      <c r="O1093">
        <v>155</v>
      </c>
      <c r="P1093">
        <v>79</v>
      </c>
      <c r="Q1093" t="s">
        <v>38</v>
      </c>
      <c r="R1093">
        <v>18</v>
      </c>
      <c r="T1093" t="s">
        <v>26</v>
      </c>
    </row>
    <row r="1094" spans="1:20" x14ac:dyDescent="0.3">
      <c r="A1094" t="s">
        <v>31</v>
      </c>
      <c r="B1094">
        <v>46</v>
      </c>
      <c r="C1094">
        <v>90.77</v>
      </c>
      <c r="D1094">
        <v>1.6419999999999999</v>
      </c>
      <c r="E1094">
        <v>18.899000000000001</v>
      </c>
      <c r="F1094">
        <v>114.08499999999999</v>
      </c>
      <c r="G1094" t="s">
        <v>937</v>
      </c>
      <c r="H1094">
        <v>199</v>
      </c>
      <c r="I1094">
        <v>32</v>
      </c>
      <c r="J1094">
        <v>70</v>
      </c>
      <c r="K1094" t="s">
        <v>22</v>
      </c>
      <c r="L1094" t="s">
        <v>23</v>
      </c>
      <c r="M1094" t="s">
        <v>28</v>
      </c>
      <c r="N1094">
        <v>0.69499999999999995</v>
      </c>
      <c r="O1094">
        <v>130</v>
      </c>
      <c r="P1094">
        <v>109</v>
      </c>
      <c r="Q1094" t="s">
        <v>29</v>
      </c>
      <c r="R1094">
        <v>137</v>
      </c>
      <c r="S1094">
        <v>16.260000000000002</v>
      </c>
      <c r="T1094" t="s">
        <v>26</v>
      </c>
    </row>
    <row r="1095" spans="1:20" x14ac:dyDescent="0.3">
      <c r="A1095" t="s">
        <v>20</v>
      </c>
      <c r="B1095">
        <v>52</v>
      </c>
      <c r="C1095">
        <v>53.542000000000002</v>
      </c>
      <c r="D1095">
        <v>1.69</v>
      </c>
      <c r="E1095">
        <v>28.713000000000001</v>
      </c>
      <c r="F1095">
        <v>73.144999999999996</v>
      </c>
      <c r="G1095" t="s">
        <v>938</v>
      </c>
      <c r="H1095">
        <v>176</v>
      </c>
      <c r="I1095">
        <v>79</v>
      </c>
      <c r="J1095">
        <v>111</v>
      </c>
      <c r="K1095" t="s">
        <v>23</v>
      </c>
      <c r="L1095" t="s">
        <v>22</v>
      </c>
      <c r="M1095" t="s">
        <v>28</v>
      </c>
      <c r="N1095">
        <v>0.433</v>
      </c>
      <c r="O1095">
        <v>103</v>
      </c>
      <c r="P1095">
        <v>90</v>
      </c>
      <c r="Q1095" t="s">
        <v>38</v>
      </c>
      <c r="R1095">
        <v>67</v>
      </c>
      <c r="S1095">
        <v>14.413</v>
      </c>
      <c r="T1095" t="s">
        <v>52</v>
      </c>
    </row>
    <row r="1096" spans="1:20" x14ac:dyDescent="0.3">
      <c r="A1096" t="s">
        <v>20</v>
      </c>
      <c r="B1096">
        <v>74</v>
      </c>
      <c r="C1096">
        <v>63.398000000000003</v>
      </c>
      <c r="D1096">
        <v>1.7849999999999999</v>
      </c>
      <c r="E1096">
        <v>31.238</v>
      </c>
      <c r="F1096">
        <v>83.495000000000005</v>
      </c>
      <c r="G1096" t="s">
        <v>939</v>
      </c>
      <c r="H1096">
        <v>218</v>
      </c>
      <c r="I1096">
        <v>63</v>
      </c>
      <c r="J1096">
        <v>72</v>
      </c>
      <c r="K1096" t="s">
        <v>23</v>
      </c>
      <c r="L1096" t="s">
        <v>23</v>
      </c>
      <c r="M1096" t="s">
        <v>28</v>
      </c>
      <c r="N1096">
        <v>0.46800000000000003</v>
      </c>
      <c r="O1096">
        <v>137</v>
      </c>
      <c r="P1096">
        <v>113</v>
      </c>
      <c r="Q1096" t="s">
        <v>29</v>
      </c>
      <c r="R1096">
        <v>125</v>
      </c>
      <c r="S1096">
        <v>19.457999999999998</v>
      </c>
      <c r="T1096" t="s">
        <v>30</v>
      </c>
    </row>
    <row r="1097" spans="1:20" x14ac:dyDescent="0.3">
      <c r="A1097" t="s">
        <v>20</v>
      </c>
      <c r="B1097">
        <v>60</v>
      </c>
      <c r="C1097">
        <v>94.003</v>
      </c>
      <c r="D1097">
        <v>1.5489999999999999</v>
      </c>
      <c r="E1097">
        <v>34.152999999999999</v>
      </c>
      <c r="F1097">
        <v>77.307000000000002</v>
      </c>
      <c r="G1097" t="s">
        <v>940</v>
      </c>
      <c r="H1097">
        <v>238</v>
      </c>
      <c r="I1097">
        <v>85</v>
      </c>
      <c r="J1097">
        <v>154</v>
      </c>
      <c r="K1097" t="s">
        <v>22</v>
      </c>
      <c r="L1097" t="s">
        <v>23</v>
      </c>
      <c r="M1097" t="s">
        <v>37</v>
      </c>
      <c r="N1097">
        <v>0.499</v>
      </c>
      <c r="O1097">
        <v>152</v>
      </c>
      <c r="P1097">
        <v>114</v>
      </c>
      <c r="Q1097" t="s">
        <v>38</v>
      </c>
      <c r="R1097">
        <v>123</v>
      </c>
      <c r="S1097">
        <v>21.190999999999999</v>
      </c>
      <c r="T1097" t="s">
        <v>52</v>
      </c>
    </row>
    <row r="1098" spans="1:20" x14ac:dyDescent="0.3">
      <c r="A1098" t="s">
        <v>31</v>
      </c>
      <c r="B1098">
        <v>57</v>
      </c>
      <c r="C1098">
        <v>119.063</v>
      </c>
      <c r="D1098">
        <v>1.823</v>
      </c>
      <c r="E1098">
        <v>33.326000000000001</v>
      </c>
      <c r="F1098">
        <v>76.637</v>
      </c>
      <c r="G1098" t="s">
        <v>941</v>
      </c>
      <c r="H1098">
        <v>250</v>
      </c>
      <c r="I1098">
        <v>73</v>
      </c>
      <c r="J1098">
        <v>185</v>
      </c>
      <c r="K1098" t="s">
        <v>22</v>
      </c>
      <c r="L1098" t="s">
        <v>23</v>
      </c>
      <c r="M1098" t="s">
        <v>28</v>
      </c>
      <c r="N1098">
        <v>0.42</v>
      </c>
      <c r="O1098">
        <v>109</v>
      </c>
      <c r="P1098">
        <v>118</v>
      </c>
      <c r="Q1098" t="s">
        <v>38</v>
      </c>
      <c r="R1098">
        <v>147</v>
      </c>
      <c r="S1098">
        <v>19.114999999999998</v>
      </c>
      <c r="T1098" t="s">
        <v>30</v>
      </c>
    </row>
    <row r="1099" spans="1:20" x14ac:dyDescent="0.3">
      <c r="A1099" t="s">
        <v>31</v>
      </c>
      <c r="B1099">
        <v>43</v>
      </c>
      <c r="C1099">
        <v>93.834000000000003</v>
      </c>
      <c r="D1099">
        <v>1.8069999999999999</v>
      </c>
      <c r="E1099">
        <v>24.548999999999999</v>
      </c>
      <c r="F1099">
        <v>97.454999999999998</v>
      </c>
      <c r="G1099" t="s">
        <v>942</v>
      </c>
      <c r="H1099">
        <v>295</v>
      </c>
      <c r="I1099">
        <v>69</v>
      </c>
      <c r="J1099">
        <v>197</v>
      </c>
      <c r="K1099" t="s">
        <v>22</v>
      </c>
      <c r="L1099" t="s">
        <v>23</v>
      </c>
      <c r="M1099" t="s">
        <v>24</v>
      </c>
      <c r="O1099">
        <v>155</v>
      </c>
      <c r="P1099">
        <v>110</v>
      </c>
      <c r="Q1099" t="s">
        <v>38</v>
      </c>
      <c r="R1099">
        <v>196</v>
      </c>
      <c r="S1099">
        <v>20.56</v>
      </c>
      <c r="T1099" t="s">
        <v>52</v>
      </c>
    </row>
    <row r="1100" spans="1:20" x14ac:dyDescent="0.3">
      <c r="A1100" t="s">
        <v>20</v>
      </c>
      <c r="B1100">
        <v>33</v>
      </c>
      <c r="C1100">
        <v>59.622999999999998</v>
      </c>
      <c r="D1100">
        <v>1.6259999999999999</v>
      </c>
      <c r="E1100">
        <v>25.751000000000001</v>
      </c>
      <c r="F1100">
        <v>75.781999999999996</v>
      </c>
      <c r="G1100" t="s">
        <v>943</v>
      </c>
      <c r="H1100">
        <v>259</v>
      </c>
      <c r="I1100">
        <v>80</v>
      </c>
      <c r="J1100">
        <v>82</v>
      </c>
      <c r="K1100" t="s">
        <v>22</v>
      </c>
      <c r="L1100" t="s">
        <v>22</v>
      </c>
      <c r="M1100" t="s">
        <v>24</v>
      </c>
      <c r="N1100">
        <v>0.46600000000000003</v>
      </c>
      <c r="O1100">
        <v>170</v>
      </c>
      <c r="P1100">
        <v>76</v>
      </c>
      <c r="Q1100" t="s">
        <v>38</v>
      </c>
      <c r="R1100">
        <v>149</v>
      </c>
      <c r="S1100">
        <v>18.829999999999998</v>
      </c>
      <c r="T1100" t="s">
        <v>26</v>
      </c>
    </row>
    <row r="1101" spans="1:20" x14ac:dyDescent="0.3">
      <c r="A1101" t="s">
        <v>20</v>
      </c>
      <c r="B1101">
        <v>72</v>
      </c>
      <c r="D1101">
        <v>1.589</v>
      </c>
      <c r="F1101">
        <v>89.795000000000002</v>
      </c>
      <c r="G1101" t="s">
        <v>581</v>
      </c>
      <c r="H1101">
        <v>183</v>
      </c>
      <c r="I1101">
        <v>39</v>
      </c>
      <c r="J1101">
        <v>159</v>
      </c>
      <c r="K1101" t="s">
        <v>22</v>
      </c>
      <c r="L1101" t="s">
        <v>23</v>
      </c>
      <c r="M1101" t="s">
        <v>24</v>
      </c>
      <c r="N1101">
        <v>0.56499999999999995</v>
      </c>
      <c r="O1101">
        <v>134</v>
      </c>
      <c r="P1101">
        <v>85</v>
      </c>
      <c r="Q1101" t="s">
        <v>29</v>
      </c>
      <c r="S1101">
        <v>20.323</v>
      </c>
      <c r="T1101" t="s">
        <v>26</v>
      </c>
    </row>
    <row r="1102" spans="1:20" x14ac:dyDescent="0.3">
      <c r="A1102" t="s">
        <v>31</v>
      </c>
      <c r="B1102">
        <v>38</v>
      </c>
      <c r="C1102">
        <v>100.84</v>
      </c>
      <c r="D1102">
        <v>1.7689999999999999</v>
      </c>
      <c r="E1102">
        <v>25.382999999999999</v>
      </c>
      <c r="F1102">
        <v>73.367999999999995</v>
      </c>
      <c r="G1102" t="s">
        <v>944</v>
      </c>
      <c r="H1102">
        <v>201</v>
      </c>
      <c r="I1102">
        <v>31</v>
      </c>
      <c r="J1102">
        <v>172</v>
      </c>
      <c r="K1102" t="s">
        <v>22</v>
      </c>
      <c r="L1102" t="s">
        <v>23</v>
      </c>
      <c r="M1102" t="s">
        <v>28</v>
      </c>
      <c r="N1102">
        <v>0.41499999999999998</v>
      </c>
      <c r="P1102">
        <v>101</v>
      </c>
      <c r="Q1102" t="s">
        <v>38</v>
      </c>
      <c r="S1102">
        <v>17.297000000000001</v>
      </c>
      <c r="T1102" t="s">
        <v>26</v>
      </c>
    </row>
    <row r="1103" spans="1:20" x14ac:dyDescent="0.3">
      <c r="A1103" t="s">
        <v>20</v>
      </c>
      <c r="B1103">
        <v>57</v>
      </c>
      <c r="C1103">
        <v>100.13</v>
      </c>
      <c r="D1103">
        <v>1.84</v>
      </c>
      <c r="E1103">
        <v>22.242000000000001</v>
      </c>
      <c r="F1103">
        <v>80.813999999999993</v>
      </c>
      <c r="G1103" t="s">
        <v>945</v>
      </c>
      <c r="H1103">
        <v>123</v>
      </c>
      <c r="I1103">
        <v>54</v>
      </c>
      <c r="J1103">
        <v>94</v>
      </c>
      <c r="K1103" t="s">
        <v>22</v>
      </c>
      <c r="L1103" t="s">
        <v>22</v>
      </c>
      <c r="M1103" t="s">
        <v>24</v>
      </c>
      <c r="N1103">
        <v>0.439</v>
      </c>
      <c r="O1103">
        <v>165</v>
      </c>
      <c r="P1103">
        <v>99</v>
      </c>
      <c r="Q1103" t="s">
        <v>38</v>
      </c>
      <c r="R1103">
        <v>39</v>
      </c>
      <c r="S1103">
        <v>15.157999999999999</v>
      </c>
      <c r="T1103" t="s">
        <v>52</v>
      </c>
    </row>
    <row r="1104" spans="1:20" x14ac:dyDescent="0.3">
      <c r="A1104" t="s">
        <v>20</v>
      </c>
      <c r="C1104">
        <v>98.783000000000001</v>
      </c>
      <c r="D1104">
        <v>1.76</v>
      </c>
      <c r="E1104">
        <v>36.078000000000003</v>
      </c>
      <c r="F1104">
        <v>74.397000000000006</v>
      </c>
      <c r="G1104" t="s">
        <v>217</v>
      </c>
      <c r="H1104">
        <v>227</v>
      </c>
      <c r="I1104">
        <v>77</v>
      </c>
      <c r="J1104">
        <v>105</v>
      </c>
      <c r="K1104" t="s">
        <v>22</v>
      </c>
      <c r="L1104" t="s">
        <v>22</v>
      </c>
      <c r="M1104" t="s">
        <v>28</v>
      </c>
      <c r="N1104">
        <v>0.42299999999999999</v>
      </c>
      <c r="O1104">
        <v>117</v>
      </c>
      <c r="P1104">
        <v>62</v>
      </c>
      <c r="Q1104" t="s">
        <v>33</v>
      </c>
      <c r="R1104">
        <v>120</v>
      </c>
      <c r="S1104">
        <v>17.606000000000002</v>
      </c>
      <c r="T1104" t="s">
        <v>30</v>
      </c>
    </row>
    <row r="1105" spans="1:20" x14ac:dyDescent="0.3">
      <c r="A1105" t="s">
        <v>31</v>
      </c>
      <c r="B1105">
        <v>27</v>
      </c>
      <c r="C1105">
        <v>115.739</v>
      </c>
      <c r="D1105">
        <v>1.7989999999999999</v>
      </c>
      <c r="E1105">
        <v>22.463999999999999</v>
      </c>
      <c r="F1105">
        <v>77.691999999999993</v>
      </c>
      <c r="G1105" t="s">
        <v>946</v>
      </c>
      <c r="H1105">
        <v>151</v>
      </c>
      <c r="I1105">
        <v>50</v>
      </c>
      <c r="J1105">
        <v>188</v>
      </c>
      <c r="K1105" t="s">
        <v>23</v>
      </c>
      <c r="L1105" t="s">
        <v>23</v>
      </c>
      <c r="M1105" t="s">
        <v>28</v>
      </c>
      <c r="N1105">
        <v>0.432</v>
      </c>
      <c r="O1105">
        <v>173</v>
      </c>
      <c r="P1105">
        <v>96</v>
      </c>
      <c r="Q1105" t="s">
        <v>38</v>
      </c>
      <c r="R1105">
        <v>71</v>
      </c>
      <c r="S1105">
        <v>18.163</v>
      </c>
      <c r="T1105" t="s">
        <v>30</v>
      </c>
    </row>
    <row r="1106" spans="1:20" x14ac:dyDescent="0.3">
      <c r="A1106" t="s">
        <v>20</v>
      </c>
      <c r="B1106">
        <v>38</v>
      </c>
      <c r="C1106">
        <v>53.055999999999997</v>
      </c>
      <c r="D1106">
        <v>1.7829999999999999</v>
      </c>
      <c r="E1106">
        <v>25.81</v>
      </c>
      <c r="F1106">
        <v>73.491</v>
      </c>
      <c r="G1106" t="s">
        <v>659</v>
      </c>
      <c r="H1106">
        <v>274</v>
      </c>
      <c r="I1106">
        <v>61</v>
      </c>
      <c r="J1106">
        <v>160</v>
      </c>
      <c r="K1106" t="s">
        <v>23</v>
      </c>
      <c r="L1106" t="s">
        <v>23</v>
      </c>
      <c r="M1106" t="s">
        <v>28</v>
      </c>
      <c r="N1106">
        <v>0.41199999999999998</v>
      </c>
      <c r="O1106">
        <v>111</v>
      </c>
      <c r="P1106">
        <v>97</v>
      </c>
      <c r="Q1106" t="s">
        <v>38</v>
      </c>
      <c r="R1106">
        <v>183</v>
      </c>
      <c r="S1106">
        <v>18.192</v>
      </c>
      <c r="T1106" t="s">
        <v>52</v>
      </c>
    </row>
    <row r="1107" spans="1:20" x14ac:dyDescent="0.3">
      <c r="A1107" t="s">
        <v>20</v>
      </c>
      <c r="B1107">
        <v>29</v>
      </c>
      <c r="C1107">
        <v>112.22499999999999</v>
      </c>
      <c r="D1107">
        <v>1.9339999999999999</v>
      </c>
      <c r="E1107">
        <v>23.06</v>
      </c>
      <c r="F1107">
        <v>110.373</v>
      </c>
      <c r="G1107" t="s">
        <v>947</v>
      </c>
      <c r="H1107">
        <v>247</v>
      </c>
      <c r="I1107">
        <v>66</v>
      </c>
      <c r="J1107">
        <v>151</v>
      </c>
      <c r="K1107" t="s">
        <v>22</v>
      </c>
      <c r="L1107" t="s">
        <v>22</v>
      </c>
      <c r="M1107" t="s">
        <v>37</v>
      </c>
      <c r="N1107">
        <v>0.57099999999999995</v>
      </c>
      <c r="O1107">
        <v>178</v>
      </c>
      <c r="P1107">
        <v>90</v>
      </c>
      <c r="Q1107" t="s">
        <v>38</v>
      </c>
      <c r="R1107">
        <v>151</v>
      </c>
      <c r="S1107">
        <v>18.452000000000002</v>
      </c>
      <c r="T1107" t="s">
        <v>26</v>
      </c>
    </row>
    <row r="1108" spans="1:20" x14ac:dyDescent="0.3">
      <c r="A1108" t="s">
        <v>31</v>
      </c>
      <c r="B1108">
        <v>45</v>
      </c>
      <c r="C1108">
        <v>73.935000000000002</v>
      </c>
      <c r="D1108">
        <v>1.9279999999999999</v>
      </c>
      <c r="E1108">
        <v>38.51</v>
      </c>
      <c r="F1108">
        <v>112.14700000000001</v>
      </c>
      <c r="G1108" t="s">
        <v>948</v>
      </c>
      <c r="H1108">
        <v>167</v>
      </c>
      <c r="I1108">
        <v>71</v>
      </c>
      <c r="J1108">
        <v>115</v>
      </c>
      <c r="K1108" t="s">
        <v>22</v>
      </c>
      <c r="L1108" t="s">
        <v>23</v>
      </c>
      <c r="M1108" t="s">
        <v>28</v>
      </c>
      <c r="N1108">
        <v>0.58199999999999996</v>
      </c>
      <c r="O1108">
        <v>159</v>
      </c>
      <c r="P1108">
        <v>78</v>
      </c>
      <c r="Q1108" t="s">
        <v>38</v>
      </c>
      <c r="R1108">
        <v>66</v>
      </c>
      <c r="S1108">
        <v>20.992000000000001</v>
      </c>
      <c r="T1108" t="s">
        <v>52</v>
      </c>
    </row>
    <row r="1109" spans="1:20" x14ac:dyDescent="0.3">
      <c r="A1109" t="s">
        <v>31</v>
      </c>
      <c r="B1109">
        <v>37</v>
      </c>
      <c r="C1109">
        <v>116.535</v>
      </c>
      <c r="D1109">
        <v>1.8120000000000001</v>
      </c>
      <c r="E1109">
        <v>28.501999999999999</v>
      </c>
      <c r="F1109">
        <v>76.302000000000007</v>
      </c>
      <c r="G1109" t="s">
        <v>663</v>
      </c>
      <c r="H1109">
        <v>143</v>
      </c>
      <c r="I1109">
        <v>61</v>
      </c>
      <c r="J1109">
        <v>145</v>
      </c>
      <c r="K1109" t="s">
        <v>22</v>
      </c>
      <c r="L1109" t="s">
        <v>23</v>
      </c>
      <c r="M1109" t="s">
        <v>37</v>
      </c>
      <c r="N1109">
        <v>0.42099999999999999</v>
      </c>
      <c r="O1109">
        <v>118</v>
      </c>
      <c r="P1109">
        <v>78</v>
      </c>
      <c r="Q1109" t="s">
        <v>33</v>
      </c>
      <c r="R1109">
        <v>52</v>
      </c>
      <c r="S1109">
        <v>16.46</v>
      </c>
      <c r="T1109" t="s">
        <v>26</v>
      </c>
    </row>
    <row r="1110" spans="1:20" x14ac:dyDescent="0.3">
      <c r="A1110" t="s">
        <v>20</v>
      </c>
      <c r="B1110">
        <v>34</v>
      </c>
      <c r="C1110">
        <v>76.59</v>
      </c>
      <c r="D1110">
        <v>1.7270000000000001</v>
      </c>
      <c r="E1110">
        <v>22.260999999999999</v>
      </c>
      <c r="F1110">
        <v>87.186999999999998</v>
      </c>
      <c r="G1110" t="s">
        <v>949</v>
      </c>
      <c r="H1110">
        <v>245</v>
      </c>
      <c r="I1110">
        <v>71</v>
      </c>
      <c r="J1110">
        <v>156</v>
      </c>
      <c r="K1110" t="s">
        <v>22</v>
      </c>
      <c r="L1110" t="s">
        <v>23</v>
      </c>
      <c r="M1110" t="s">
        <v>24</v>
      </c>
      <c r="N1110">
        <v>0.505</v>
      </c>
      <c r="O1110">
        <v>138</v>
      </c>
      <c r="P1110">
        <v>71</v>
      </c>
      <c r="Q1110" t="s">
        <v>29</v>
      </c>
      <c r="R1110">
        <v>144</v>
      </c>
      <c r="S1110">
        <v>18.251999999999999</v>
      </c>
      <c r="T1110" t="s">
        <v>26</v>
      </c>
    </row>
    <row r="1111" spans="1:20" x14ac:dyDescent="0.3">
      <c r="A1111" t="s">
        <v>20</v>
      </c>
      <c r="B1111">
        <v>72</v>
      </c>
      <c r="C1111">
        <v>96.578999999999994</v>
      </c>
      <c r="D1111">
        <v>1.8640000000000001</v>
      </c>
      <c r="E1111">
        <v>35.783000000000001</v>
      </c>
      <c r="F1111">
        <v>93.995999999999995</v>
      </c>
      <c r="G1111" t="s">
        <v>96</v>
      </c>
      <c r="H1111">
        <v>282</v>
      </c>
      <c r="I1111">
        <v>59</v>
      </c>
      <c r="J1111">
        <v>174</v>
      </c>
      <c r="K1111" t="s">
        <v>22</v>
      </c>
      <c r="L1111" t="s">
        <v>22</v>
      </c>
      <c r="M1111" t="s">
        <v>37</v>
      </c>
      <c r="N1111">
        <v>0.504</v>
      </c>
      <c r="O1111">
        <v>114</v>
      </c>
      <c r="P1111">
        <v>91</v>
      </c>
      <c r="Q1111" t="s">
        <v>38</v>
      </c>
      <c r="R1111">
        <v>193</v>
      </c>
      <c r="S1111">
        <v>18.497</v>
      </c>
      <c r="T1111" t="s">
        <v>52</v>
      </c>
    </row>
    <row r="1112" spans="1:20" x14ac:dyDescent="0.3">
      <c r="A1112" t="s">
        <v>31</v>
      </c>
      <c r="B1112">
        <v>75</v>
      </c>
      <c r="C1112">
        <v>61.744999999999997</v>
      </c>
      <c r="D1112">
        <v>1.8149999999999999</v>
      </c>
      <c r="E1112">
        <v>33.881</v>
      </c>
      <c r="F1112">
        <v>81.766000000000005</v>
      </c>
      <c r="G1112" t="s">
        <v>950</v>
      </c>
      <c r="H1112">
        <v>277</v>
      </c>
      <c r="I1112">
        <v>53</v>
      </c>
      <c r="J1112">
        <v>100</v>
      </c>
      <c r="K1112" t="s">
        <v>23</v>
      </c>
      <c r="L1112" t="s">
        <v>23</v>
      </c>
      <c r="M1112" t="s">
        <v>28</v>
      </c>
      <c r="O1112">
        <v>161</v>
      </c>
      <c r="P1112">
        <v>97</v>
      </c>
      <c r="Q1112" t="s">
        <v>38</v>
      </c>
      <c r="R1112">
        <v>194</v>
      </c>
      <c r="S1112">
        <v>22.366</v>
      </c>
      <c r="T1112" t="s">
        <v>52</v>
      </c>
    </row>
    <row r="1113" spans="1:20" x14ac:dyDescent="0.3">
      <c r="A1113" t="s">
        <v>31</v>
      </c>
      <c r="B1113">
        <v>27</v>
      </c>
      <c r="C1113">
        <v>104.574</v>
      </c>
      <c r="D1113">
        <v>1.6519999999999999</v>
      </c>
      <c r="E1113">
        <v>36.427</v>
      </c>
      <c r="F1113">
        <v>102.483</v>
      </c>
      <c r="G1113" t="s">
        <v>951</v>
      </c>
      <c r="H1113">
        <v>179</v>
      </c>
      <c r="I1113">
        <v>62</v>
      </c>
      <c r="J1113">
        <v>154</v>
      </c>
      <c r="K1113" t="s">
        <v>23</v>
      </c>
      <c r="L1113" t="s">
        <v>23</v>
      </c>
      <c r="M1113" t="s">
        <v>24</v>
      </c>
      <c r="N1113">
        <v>0.621</v>
      </c>
      <c r="O1113">
        <v>179</v>
      </c>
      <c r="P1113">
        <v>97</v>
      </c>
      <c r="Q1113" t="s">
        <v>38</v>
      </c>
      <c r="R1113">
        <v>87</v>
      </c>
      <c r="S1113">
        <v>21.815000000000001</v>
      </c>
      <c r="T1113" t="s">
        <v>26</v>
      </c>
    </row>
    <row r="1114" spans="1:20" x14ac:dyDescent="0.3">
      <c r="A1114" t="s">
        <v>31</v>
      </c>
      <c r="B1114">
        <v>60</v>
      </c>
      <c r="C1114">
        <v>113.801</v>
      </c>
      <c r="D1114">
        <v>2</v>
      </c>
      <c r="E1114">
        <v>26.901</v>
      </c>
      <c r="F1114">
        <v>96.6</v>
      </c>
      <c r="G1114" t="s">
        <v>952</v>
      </c>
      <c r="H1114">
        <v>273</v>
      </c>
      <c r="I1114">
        <v>70</v>
      </c>
      <c r="J1114">
        <v>125</v>
      </c>
      <c r="K1114" t="s">
        <v>23</v>
      </c>
      <c r="L1114" t="s">
        <v>23</v>
      </c>
      <c r="M1114" t="s">
        <v>37</v>
      </c>
      <c r="N1114">
        <v>0.48299999999999998</v>
      </c>
      <c r="O1114">
        <v>125</v>
      </c>
      <c r="P1114">
        <v>116</v>
      </c>
      <c r="Q1114" t="s">
        <v>38</v>
      </c>
      <c r="R1114">
        <v>173</v>
      </c>
      <c r="S1114">
        <v>19.09</v>
      </c>
      <c r="T1114" t="s">
        <v>26</v>
      </c>
    </row>
    <row r="1115" spans="1:20" x14ac:dyDescent="0.3">
      <c r="A1115" t="s">
        <v>20</v>
      </c>
      <c r="B1115">
        <v>70</v>
      </c>
      <c r="C1115">
        <v>85.24</v>
      </c>
      <c r="D1115">
        <v>1.7969999999999999</v>
      </c>
      <c r="E1115">
        <v>23.600999999999999</v>
      </c>
      <c r="F1115">
        <v>82.224000000000004</v>
      </c>
      <c r="G1115" t="s">
        <v>953</v>
      </c>
      <c r="H1115">
        <v>224</v>
      </c>
      <c r="I1115">
        <v>67</v>
      </c>
      <c r="J1115">
        <v>171</v>
      </c>
      <c r="K1115" t="s">
        <v>23</v>
      </c>
      <c r="L1115" t="s">
        <v>22</v>
      </c>
      <c r="M1115" t="s">
        <v>28</v>
      </c>
      <c r="N1115">
        <v>0.45700000000000002</v>
      </c>
      <c r="O1115">
        <v>125</v>
      </c>
      <c r="P1115">
        <v>72</v>
      </c>
      <c r="Q1115" t="s">
        <v>25</v>
      </c>
      <c r="R1115">
        <v>127</v>
      </c>
      <c r="S1115">
        <v>15.45</v>
      </c>
      <c r="T1115" t="s">
        <v>52</v>
      </c>
    </row>
    <row r="1116" spans="1:20" x14ac:dyDescent="0.3">
      <c r="A1116" t="s">
        <v>31</v>
      </c>
      <c r="B1116">
        <v>55</v>
      </c>
      <c r="D1116">
        <v>1.847</v>
      </c>
      <c r="E1116">
        <v>35.527999999999999</v>
      </c>
      <c r="F1116">
        <v>114.91200000000001</v>
      </c>
      <c r="G1116" t="s">
        <v>954</v>
      </c>
      <c r="H1116">
        <v>296</v>
      </c>
      <c r="I1116">
        <v>36</v>
      </c>
      <c r="J1116">
        <v>73</v>
      </c>
      <c r="K1116" t="s">
        <v>22</v>
      </c>
      <c r="L1116" t="s">
        <v>23</v>
      </c>
      <c r="M1116" t="s">
        <v>24</v>
      </c>
      <c r="N1116">
        <v>0.622</v>
      </c>
      <c r="O1116">
        <v>112</v>
      </c>
      <c r="P1116">
        <v>113</v>
      </c>
      <c r="Q1116" t="s">
        <v>38</v>
      </c>
      <c r="R1116">
        <v>230</v>
      </c>
      <c r="S1116">
        <v>20.626000000000001</v>
      </c>
      <c r="T1116" t="s">
        <v>30</v>
      </c>
    </row>
    <row r="1117" spans="1:20" x14ac:dyDescent="0.3">
      <c r="A1117" t="s">
        <v>20</v>
      </c>
      <c r="B1117">
        <v>79</v>
      </c>
      <c r="C1117">
        <v>106.143</v>
      </c>
      <c r="D1117">
        <v>1.8480000000000001</v>
      </c>
      <c r="E1117">
        <v>37.142000000000003</v>
      </c>
      <c r="F1117">
        <v>82.367999999999995</v>
      </c>
      <c r="G1117" t="s">
        <v>955</v>
      </c>
      <c r="J1117">
        <v>187</v>
      </c>
      <c r="K1117" t="s">
        <v>23</v>
      </c>
      <c r="L1117" t="s">
        <v>23</v>
      </c>
      <c r="M1117" t="s">
        <v>37</v>
      </c>
      <c r="N1117">
        <v>0.44600000000000001</v>
      </c>
      <c r="O1117">
        <v>100</v>
      </c>
      <c r="P1117">
        <v>67</v>
      </c>
      <c r="Q1117" t="s">
        <v>33</v>
      </c>
      <c r="R1117">
        <v>127</v>
      </c>
      <c r="S1117">
        <v>18.908000000000001</v>
      </c>
      <c r="T1117" t="s">
        <v>26</v>
      </c>
    </row>
    <row r="1118" spans="1:20" x14ac:dyDescent="0.3">
      <c r="A1118" t="s">
        <v>31</v>
      </c>
      <c r="B1118">
        <v>51</v>
      </c>
      <c r="C1118">
        <v>59.35</v>
      </c>
      <c r="D1118">
        <v>1.87</v>
      </c>
      <c r="E1118">
        <v>37.003999999999998</v>
      </c>
      <c r="F1118">
        <v>97.067999999999998</v>
      </c>
      <c r="G1118" t="s">
        <v>956</v>
      </c>
      <c r="H1118">
        <v>250</v>
      </c>
      <c r="J1118">
        <v>76</v>
      </c>
      <c r="K1118" t="s">
        <v>22</v>
      </c>
      <c r="L1118" t="s">
        <v>22</v>
      </c>
      <c r="M1118" t="s">
        <v>37</v>
      </c>
      <c r="N1118">
        <v>0.51900000000000002</v>
      </c>
      <c r="O1118">
        <v>113</v>
      </c>
      <c r="P1118">
        <v>67</v>
      </c>
      <c r="Q1118" t="s">
        <v>33</v>
      </c>
      <c r="R1118">
        <v>159</v>
      </c>
      <c r="S1118">
        <v>18.050999999999998</v>
      </c>
      <c r="T1118" t="s">
        <v>26</v>
      </c>
    </row>
    <row r="1119" spans="1:20" x14ac:dyDescent="0.3">
      <c r="A1119" t="s">
        <v>31</v>
      </c>
      <c r="B1119">
        <v>61</v>
      </c>
      <c r="C1119">
        <v>61.982999999999997</v>
      </c>
      <c r="D1119">
        <v>1.7869999999999999</v>
      </c>
      <c r="E1119">
        <v>19.673999999999999</v>
      </c>
      <c r="G1119" t="s">
        <v>957</v>
      </c>
      <c r="H1119">
        <v>104</v>
      </c>
      <c r="I1119">
        <v>76</v>
      </c>
      <c r="J1119">
        <v>137</v>
      </c>
      <c r="K1119" t="s">
        <v>23</v>
      </c>
      <c r="L1119" t="s">
        <v>22</v>
      </c>
      <c r="M1119" t="s">
        <v>28</v>
      </c>
      <c r="N1119">
        <v>0.53200000000000003</v>
      </c>
      <c r="O1119">
        <v>92</v>
      </c>
      <c r="P1119">
        <v>93</v>
      </c>
      <c r="Q1119" t="s">
        <v>38</v>
      </c>
      <c r="R1119">
        <v>-2</v>
      </c>
      <c r="T1119" t="s">
        <v>52</v>
      </c>
    </row>
    <row r="1120" spans="1:20" x14ac:dyDescent="0.3">
      <c r="A1120" t="s">
        <v>31</v>
      </c>
      <c r="B1120">
        <v>30</v>
      </c>
      <c r="C1120">
        <v>70.296999999999997</v>
      </c>
      <c r="E1120">
        <v>23.539000000000001</v>
      </c>
      <c r="F1120">
        <v>92.822999999999993</v>
      </c>
      <c r="G1120" t="s">
        <v>958</v>
      </c>
      <c r="H1120">
        <v>135</v>
      </c>
      <c r="I1120">
        <v>78</v>
      </c>
      <c r="J1120">
        <v>99</v>
      </c>
      <c r="K1120" t="s">
        <v>23</v>
      </c>
      <c r="L1120" t="s">
        <v>23</v>
      </c>
      <c r="M1120" t="s">
        <v>37</v>
      </c>
      <c r="N1120">
        <v>0.501</v>
      </c>
      <c r="O1120">
        <v>172</v>
      </c>
      <c r="P1120">
        <v>66</v>
      </c>
      <c r="Q1120" t="s">
        <v>38</v>
      </c>
      <c r="R1120">
        <v>27</v>
      </c>
      <c r="S1120">
        <v>18.007999999999999</v>
      </c>
      <c r="T1120" t="s">
        <v>52</v>
      </c>
    </row>
    <row r="1121" spans="1:20" x14ac:dyDescent="0.3">
      <c r="A1121" t="s">
        <v>20</v>
      </c>
      <c r="B1121">
        <v>67</v>
      </c>
      <c r="C1121">
        <v>115.768</v>
      </c>
      <c r="D1121">
        <v>1.64</v>
      </c>
      <c r="E1121">
        <v>28.486000000000001</v>
      </c>
      <c r="F1121">
        <v>107.307</v>
      </c>
      <c r="G1121" t="s">
        <v>959</v>
      </c>
      <c r="H1121">
        <v>260</v>
      </c>
      <c r="I1121">
        <v>46</v>
      </c>
      <c r="J1121">
        <v>131</v>
      </c>
      <c r="K1121" t="s">
        <v>23</v>
      </c>
      <c r="L1121" t="s">
        <v>22</v>
      </c>
      <c r="M1121" t="s">
        <v>28</v>
      </c>
      <c r="N1121">
        <v>0.65400000000000003</v>
      </c>
      <c r="O1121">
        <v>162</v>
      </c>
      <c r="P1121">
        <v>95</v>
      </c>
      <c r="Q1121" t="s">
        <v>38</v>
      </c>
      <c r="R1121">
        <v>184</v>
      </c>
      <c r="S1121">
        <v>18.997</v>
      </c>
      <c r="T1121" t="s">
        <v>52</v>
      </c>
    </row>
    <row r="1122" spans="1:20" x14ac:dyDescent="0.3">
      <c r="A1122" t="s">
        <v>31</v>
      </c>
      <c r="B1122">
        <v>55</v>
      </c>
      <c r="C1122">
        <v>114.033</v>
      </c>
      <c r="D1122">
        <v>1.907</v>
      </c>
      <c r="E1122">
        <v>38.616999999999997</v>
      </c>
      <c r="F1122">
        <v>115.36199999999999</v>
      </c>
      <c r="G1122" t="s">
        <v>960</v>
      </c>
      <c r="H1122">
        <v>117</v>
      </c>
      <c r="I1122">
        <v>59</v>
      </c>
      <c r="J1122">
        <v>89</v>
      </c>
      <c r="K1122" t="s">
        <v>23</v>
      </c>
      <c r="L1122" t="s">
        <v>22</v>
      </c>
      <c r="M1122" t="s">
        <v>37</v>
      </c>
      <c r="N1122">
        <v>0.60499999999999998</v>
      </c>
      <c r="O1122">
        <v>179</v>
      </c>
      <c r="Q1122" t="s">
        <v>38</v>
      </c>
      <c r="R1122">
        <v>28</v>
      </c>
      <c r="S1122">
        <v>19.013000000000002</v>
      </c>
      <c r="T1122" t="s">
        <v>52</v>
      </c>
    </row>
    <row r="1123" spans="1:20" x14ac:dyDescent="0.3">
      <c r="A1123" t="s">
        <v>31</v>
      </c>
      <c r="B1123">
        <v>47</v>
      </c>
      <c r="C1123">
        <v>79.057000000000002</v>
      </c>
      <c r="D1123">
        <v>1.6379999999999999</v>
      </c>
      <c r="E1123">
        <v>33.725999999999999</v>
      </c>
      <c r="F1123">
        <v>112.245</v>
      </c>
      <c r="G1123" t="s">
        <v>961</v>
      </c>
      <c r="H1123">
        <v>197</v>
      </c>
      <c r="I1123">
        <v>82</v>
      </c>
      <c r="J1123">
        <v>109</v>
      </c>
      <c r="K1123" t="s">
        <v>22</v>
      </c>
      <c r="L1123" t="s">
        <v>23</v>
      </c>
      <c r="M1123" t="s">
        <v>24</v>
      </c>
      <c r="N1123">
        <v>0.68500000000000005</v>
      </c>
      <c r="O1123">
        <v>93</v>
      </c>
      <c r="P1123">
        <v>117</v>
      </c>
      <c r="Q1123" t="s">
        <v>38</v>
      </c>
      <c r="R1123">
        <v>85</v>
      </c>
      <c r="S1123">
        <v>17.335000000000001</v>
      </c>
      <c r="T1123" t="s">
        <v>26</v>
      </c>
    </row>
    <row r="1124" spans="1:20" x14ac:dyDescent="0.3">
      <c r="A1124" t="s">
        <v>31</v>
      </c>
      <c r="B1124">
        <v>78</v>
      </c>
      <c r="C1124">
        <v>61.345999999999997</v>
      </c>
      <c r="D1124">
        <v>1.9690000000000001</v>
      </c>
      <c r="E1124">
        <v>27.276</v>
      </c>
      <c r="F1124">
        <v>114.44199999999999</v>
      </c>
      <c r="G1124" t="s">
        <v>610</v>
      </c>
      <c r="H1124">
        <v>223</v>
      </c>
      <c r="I1124">
        <v>82</v>
      </c>
      <c r="J1124">
        <v>108</v>
      </c>
      <c r="K1124" t="s">
        <v>23</v>
      </c>
      <c r="L1124" t="s">
        <v>22</v>
      </c>
      <c r="M1124" t="s">
        <v>37</v>
      </c>
      <c r="N1124">
        <v>0.58099999999999996</v>
      </c>
      <c r="O1124">
        <v>126</v>
      </c>
      <c r="P1124">
        <v>91</v>
      </c>
      <c r="Q1124" t="s">
        <v>38</v>
      </c>
      <c r="S1124">
        <v>16.215</v>
      </c>
      <c r="T1124" t="s">
        <v>30</v>
      </c>
    </row>
    <row r="1125" spans="1:20" x14ac:dyDescent="0.3">
      <c r="A1125" t="s">
        <v>20</v>
      </c>
      <c r="B1125">
        <v>78</v>
      </c>
      <c r="C1125">
        <v>54.046999999999997</v>
      </c>
      <c r="D1125">
        <v>1.794</v>
      </c>
      <c r="E1125">
        <v>33.164000000000001</v>
      </c>
      <c r="F1125">
        <v>119.48399999999999</v>
      </c>
      <c r="G1125" t="s">
        <v>962</v>
      </c>
      <c r="H1125">
        <v>178</v>
      </c>
      <c r="I1125">
        <v>57</v>
      </c>
      <c r="J1125">
        <v>96</v>
      </c>
      <c r="K1125" t="s">
        <v>22</v>
      </c>
      <c r="L1125" t="s">
        <v>23</v>
      </c>
      <c r="M1125" t="s">
        <v>24</v>
      </c>
      <c r="N1125">
        <v>0.66600000000000004</v>
      </c>
      <c r="O1125">
        <v>93</v>
      </c>
      <c r="P1125">
        <v>93</v>
      </c>
      <c r="Q1125" t="s">
        <v>38</v>
      </c>
      <c r="R1125">
        <v>91</v>
      </c>
      <c r="S1125">
        <v>16.843</v>
      </c>
      <c r="T1125" t="s">
        <v>52</v>
      </c>
    </row>
    <row r="1126" spans="1:20" x14ac:dyDescent="0.3">
      <c r="A1126" t="s">
        <v>20</v>
      </c>
      <c r="B1126">
        <v>72</v>
      </c>
      <c r="C1126">
        <v>109.136</v>
      </c>
      <c r="D1126">
        <v>1.905</v>
      </c>
      <c r="E1126">
        <v>31.61</v>
      </c>
      <c r="F1126">
        <v>74.462000000000003</v>
      </c>
      <c r="G1126" t="s">
        <v>963</v>
      </c>
      <c r="H1126">
        <v>109</v>
      </c>
      <c r="I1126">
        <v>60</v>
      </c>
      <c r="J1126">
        <v>104</v>
      </c>
      <c r="K1126" t="s">
        <v>23</v>
      </c>
      <c r="L1126" t="s">
        <v>22</v>
      </c>
      <c r="M1126" t="s">
        <v>37</v>
      </c>
      <c r="N1126">
        <v>0.39100000000000001</v>
      </c>
      <c r="O1126">
        <v>99</v>
      </c>
      <c r="P1126">
        <v>71</v>
      </c>
      <c r="Q1126" t="s">
        <v>33</v>
      </c>
      <c r="R1126">
        <v>19</v>
      </c>
      <c r="S1126">
        <v>13.452</v>
      </c>
      <c r="T1126" t="s">
        <v>30</v>
      </c>
    </row>
    <row r="1127" spans="1:20" x14ac:dyDescent="0.3">
      <c r="A1127" t="s">
        <v>31</v>
      </c>
      <c r="B1127">
        <v>56</v>
      </c>
      <c r="C1127">
        <v>94.117999999999995</v>
      </c>
      <c r="D1127">
        <v>1.7729999999999999</v>
      </c>
      <c r="E1127">
        <v>27.082999999999998</v>
      </c>
      <c r="F1127">
        <v>77.094999999999999</v>
      </c>
      <c r="G1127" t="s">
        <v>964</v>
      </c>
      <c r="H1127">
        <v>160</v>
      </c>
      <c r="I1127">
        <v>44</v>
      </c>
      <c r="J1127">
        <v>179</v>
      </c>
      <c r="K1127" t="s">
        <v>23</v>
      </c>
      <c r="L1127" t="s">
        <v>22</v>
      </c>
      <c r="M1127" t="s">
        <v>37</v>
      </c>
      <c r="N1127">
        <v>0.435</v>
      </c>
      <c r="O1127">
        <v>174</v>
      </c>
      <c r="P1127">
        <v>78</v>
      </c>
      <c r="Q1127" t="s">
        <v>38</v>
      </c>
      <c r="R1127">
        <v>86</v>
      </c>
      <c r="S1127">
        <v>17.317</v>
      </c>
      <c r="T1127" t="s">
        <v>26</v>
      </c>
    </row>
    <row r="1128" spans="1:20" x14ac:dyDescent="0.3">
      <c r="A1128" t="s">
        <v>20</v>
      </c>
      <c r="B1128">
        <v>60</v>
      </c>
      <c r="C1128">
        <v>51.871000000000002</v>
      </c>
      <c r="D1128">
        <v>1.8939999999999999</v>
      </c>
      <c r="E1128">
        <v>30.558</v>
      </c>
      <c r="F1128">
        <v>83.375</v>
      </c>
      <c r="G1128" t="s">
        <v>965</v>
      </c>
      <c r="H1128">
        <v>261</v>
      </c>
      <c r="I1128">
        <v>36</v>
      </c>
      <c r="K1128" t="s">
        <v>22</v>
      </c>
      <c r="L1128" t="s">
        <v>23</v>
      </c>
      <c r="M1128" t="s">
        <v>28</v>
      </c>
      <c r="N1128">
        <v>0.44</v>
      </c>
      <c r="O1128">
        <v>99</v>
      </c>
      <c r="P1128">
        <v>108</v>
      </c>
      <c r="Q1128" t="s">
        <v>38</v>
      </c>
      <c r="R1128">
        <v>195</v>
      </c>
      <c r="S1128">
        <v>18.282</v>
      </c>
      <c r="T1128" t="s">
        <v>30</v>
      </c>
    </row>
    <row r="1129" spans="1:20" x14ac:dyDescent="0.3">
      <c r="A1129" t="s">
        <v>20</v>
      </c>
      <c r="B1129">
        <v>41</v>
      </c>
      <c r="C1129">
        <v>117.726</v>
      </c>
      <c r="E1129">
        <v>24.768000000000001</v>
      </c>
      <c r="F1129">
        <v>92.332999999999998</v>
      </c>
      <c r="G1129" t="s">
        <v>966</v>
      </c>
      <c r="H1129">
        <v>139</v>
      </c>
      <c r="J1129">
        <v>139</v>
      </c>
      <c r="K1129" t="s">
        <v>22</v>
      </c>
      <c r="L1129" t="s">
        <v>22</v>
      </c>
      <c r="M1129" t="s">
        <v>37</v>
      </c>
      <c r="N1129">
        <v>0.499</v>
      </c>
      <c r="O1129">
        <v>166</v>
      </c>
      <c r="P1129">
        <v>77</v>
      </c>
      <c r="Q1129" t="s">
        <v>38</v>
      </c>
      <c r="R1129">
        <v>53</v>
      </c>
      <c r="S1129">
        <v>16.033999999999999</v>
      </c>
      <c r="T1129" t="s">
        <v>30</v>
      </c>
    </row>
    <row r="1130" spans="1:20" x14ac:dyDescent="0.3">
      <c r="A1130" t="s">
        <v>31</v>
      </c>
      <c r="B1130">
        <v>66</v>
      </c>
      <c r="C1130">
        <v>86.933000000000007</v>
      </c>
      <c r="D1130">
        <v>1.5169999999999999</v>
      </c>
      <c r="E1130">
        <v>39.320999999999998</v>
      </c>
      <c r="F1130">
        <v>79.563999999999993</v>
      </c>
      <c r="G1130" t="s">
        <v>967</v>
      </c>
      <c r="H1130">
        <v>257</v>
      </c>
      <c r="I1130">
        <v>36</v>
      </c>
      <c r="J1130">
        <v>105</v>
      </c>
      <c r="K1130" t="s">
        <v>22</v>
      </c>
      <c r="L1130" t="s">
        <v>22</v>
      </c>
      <c r="M1130" t="s">
        <v>37</v>
      </c>
      <c r="N1130">
        <v>0.52400000000000002</v>
      </c>
      <c r="O1130">
        <v>105</v>
      </c>
      <c r="P1130">
        <v>68</v>
      </c>
      <c r="Q1130" t="s">
        <v>33</v>
      </c>
      <c r="R1130">
        <v>191</v>
      </c>
      <c r="S1130">
        <v>18.254000000000001</v>
      </c>
      <c r="T1130" t="s">
        <v>52</v>
      </c>
    </row>
    <row r="1131" spans="1:20" x14ac:dyDescent="0.3">
      <c r="A1131" t="s">
        <v>31</v>
      </c>
      <c r="B1131">
        <v>48</v>
      </c>
      <c r="C1131">
        <v>101.761</v>
      </c>
      <c r="D1131">
        <v>1.51</v>
      </c>
      <c r="E1131">
        <v>27.321999999999999</v>
      </c>
      <c r="G1131" t="s">
        <v>968</v>
      </c>
      <c r="H1131">
        <v>278</v>
      </c>
      <c r="I1131">
        <v>83</v>
      </c>
      <c r="J1131">
        <v>168</v>
      </c>
      <c r="K1131" t="s">
        <v>23</v>
      </c>
      <c r="L1131" t="s">
        <v>22</v>
      </c>
      <c r="M1131" t="s">
        <v>28</v>
      </c>
      <c r="N1131">
        <v>0.70799999999999996</v>
      </c>
      <c r="O1131">
        <v>136</v>
      </c>
      <c r="P1131">
        <v>101</v>
      </c>
      <c r="Q1131" t="s">
        <v>29</v>
      </c>
      <c r="R1131">
        <v>165</v>
      </c>
      <c r="S1131">
        <v>17.824000000000002</v>
      </c>
      <c r="T1131" t="s">
        <v>52</v>
      </c>
    </row>
    <row r="1132" spans="1:20" x14ac:dyDescent="0.3">
      <c r="A1132" t="s">
        <v>31</v>
      </c>
      <c r="B1132">
        <v>38</v>
      </c>
      <c r="C1132">
        <v>76.971000000000004</v>
      </c>
      <c r="D1132">
        <v>1.921</v>
      </c>
      <c r="E1132">
        <v>39.555</v>
      </c>
      <c r="F1132">
        <v>85.308000000000007</v>
      </c>
      <c r="G1132" t="s">
        <v>969</v>
      </c>
      <c r="H1132">
        <v>148</v>
      </c>
      <c r="I1132">
        <v>31</v>
      </c>
      <c r="J1132">
        <v>117</v>
      </c>
      <c r="K1132" t="s">
        <v>23</v>
      </c>
      <c r="L1132" t="s">
        <v>23</v>
      </c>
      <c r="M1132" t="s">
        <v>37</v>
      </c>
      <c r="N1132">
        <v>0.44400000000000001</v>
      </c>
      <c r="O1132">
        <v>112</v>
      </c>
      <c r="P1132">
        <v>119</v>
      </c>
      <c r="Q1132" t="s">
        <v>38</v>
      </c>
      <c r="R1132">
        <v>87</v>
      </c>
      <c r="S1132">
        <v>18.471</v>
      </c>
      <c r="T1132" t="s">
        <v>30</v>
      </c>
    </row>
    <row r="1133" spans="1:20" x14ac:dyDescent="0.3">
      <c r="A1133" t="s">
        <v>31</v>
      </c>
      <c r="C1133">
        <v>115.322</v>
      </c>
      <c r="D1133">
        <v>1.589</v>
      </c>
      <c r="E1133">
        <v>27.756</v>
      </c>
      <c r="F1133">
        <v>75.941000000000003</v>
      </c>
      <c r="G1133" t="s">
        <v>970</v>
      </c>
      <c r="H1133">
        <v>121</v>
      </c>
      <c r="I1133">
        <v>53</v>
      </c>
      <c r="J1133">
        <v>103</v>
      </c>
      <c r="K1133" t="s">
        <v>22</v>
      </c>
      <c r="L1133" t="s">
        <v>22</v>
      </c>
      <c r="M1133" t="s">
        <v>37</v>
      </c>
      <c r="N1133">
        <v>0.47799999999999998</v>
      </c>
      <c r="O1133">
        <v>159</v>
      </c>
      <c r="P1133">
        <v>89</v>
      </c>
      <c r="Q1133" t="s">
        <v>29</v>
      </c>
      <c r="R1133">
        <v>38</v>
      </c>
      <c r="S1133">
        <v>15.920999999999999</v>
      </c>
      <c r="T1133" t="s">
        <v>52</v>
      </c>
    </row>
    <row r="1134" spans="1:20" x14ac:dyDescent="0.3">
      <c r="A1134" t="s">
        <v>31</v>
      </c>
      <c r="B1134">
        <v>49</v>
      </c>
      <c r="C1134">
        <v>83.064999999999998</v>
      </c>
      <c r="D1134">
        <v>1.9710000000000001</v>
      </c>
      <c r="E1134">
        <v>28.154</v>
      </c>
      <c r="F1134">
        <v>92.423000000000002</v>
      </c>
      <c r="G1134" t="s">
        <v>133</v>
      </c>
      <c r="H1134">
        <v>104</v>
      </c>
      <c r="I1134">
        <v>89</v>
      </c>
      <c r="J1134">
        <v>71</v>
      </c>
      <c r="K1134" t="s">
        <v>22</v>
      </c>
      <c r="L1134" t="s">
        <v>22</v>
      </c>
      <c r="M1134" t="s">
        <v>24</v>
      </c>
      <c r="N1134">
        <v>0.46899999999999997</v>
      </c>
      <c r="O1134">
        <v>103</v>
      </c>
      <c r="P1134">
        <v>81</v>
      </c>
      <c r="Q1134" t="s">
        <v>29</v>
      </c>
      <c r="R1134">
        <v>-15</v>
      </c>
      <c r="S1134">
        <v>12.861000000000001</v>
      </c>
      <c r="T1134" t="s">
        <v>26</v>
      </c>
    </row>
    <row r="1135" spans="1:20" x14ac:dyDescent="0.3">
      <c r="A1135" t="s">
        <v>31</v>
      </c>
      <c r="B1135">
        <v>59</v>
      </c>
      <c r="C1135">
        <v>108.125</v>
      </c>
      <c r="D1135">
        <v>1.5680000000000001</v>
      </c>
      <c r="E1135">
        <v>25.887</v>
      </c>
      <c r="F1135">
        <v>103.05500000000001</v>
      </c>
      <c r="G1135" t="s">
        <v>971</v>
      </c>
      <c r="H1135">
        <v>255</v>
      </c>
      <c r="J1135">
        <v>137</v>
      </c>
      <c r="K1135" t="s">
        <v>23</v>
      </c>
      <c r="L1135" t="s">
        <v>23</v>
      </c>
      <c r="M1135" t="s">
        <v>28</v>
      </c>
      <c r="N1135">
        <v>0.65700000000000003</v>
      </c>
      <c r="O1135">
        <v>157</v>
      </c>
      <c r="P1135">
        <v>61</v>
      </c>
      <c r="Q1135" t="s">
        <v>38</v>
      </c>
      <c r="R1135">
        <v>180</v>
      </c>
      <c r="S1135">
        <v>20.126999999999999</v>
      </c>
      <c r="T1135" t="s">
        <v>52</v>
      </c>
    </row>
    <row r="1136" spans="1:20" x14ac:dyDescent="0.3">
      <c r="A1136" t="s">
        <v>31</v>
      </c>
      <c r="C1136">
        <v>95.772000000000006</v>
      </c>
      <c r="D1136">
        <v>1.6890000000000001</v>
      </c>
      <c r="E1136">
        <v>21.716999999999999</v>
      </c>
      <c r="F1136">
        <v>79.183999999999997</v>
      </c>
      <c r="G1136" t="s">
        <v>140</v>
      </c>
      <c r="H1136">
        <v>163</v>
      </c>
      <c r="I1136">
        <v>83</v>
      </c>
      <c r="J1136">
        <v>154</v>
      </c>
      <c r="K1136" t="s">
        <v>22</v>
      </c>
      <c r="L1136" t="s">
        <v>23</v>
      </c>
      <c r="M1136" t="s">
        <v>28</v>
      </c>
      <c r="N1136">
        <v>0.46899999999999997</v>
      </c>
      <c r="O1136">
        <v>113</v>
      </c>
      <c r="P1136">
        <v>99</v>
      </c>
      <c r="Q1136" t="s">
        <v>38</v>
      </c>
      <c r="R1136">
        <v>50</v>
      </c>
      <c r="S1136">
        <v>15.253</v>
      </c>
      <c r="T1136" t="s">
        <v>30</v>
      </c>
    </row>
    <row r="1137" spans="1:20" x14ac:dyDescent="0.3">
      <c r="A1137" t="s">
        <v>31</v>
      </c>
      <c r="B1137">
        <v>30</v>
      </c>
      <c r="C1137">
        <v>102.828</v>
      </c>
      <c r="D1137">
        <v>1.9770000000000001</v>
      </c>
      <c r="E1137">
        <v>38.314999999999998</v>
      </c>
      <c r="F1137">
        <v>100.4</v>
      </c>
      <c r="G1137" t="s">
        <v>972</v>
      </c>
      <c r="H1137">
        <v>294</v>
      </c>
      <c r="I1137">
        <v>30</v>
      </c>
      <c r="J1137">
        <v>88</v>
      </c>
      <c r="K1137" t="s">
        <v>23</v>
      </c>
      <c r="L1137" t="s">
        <v>23</v>
      </c>
      <c r="M1137" t="s">
        <v>28</v>
      </c>
      <c r="N1137">
        <v>0.50800000000000001</v>
      </c>
      <c r="O1137">
        <v>151</v>
      </c>
      <c r="P1137">
        <v>77</v>
      </c>
      <c r="Q1137" t="s">
        <v>38</v>
      </c>
      <c r="R1137">
        <v>234</v>
      </c>
      <c r="S1137">
        <v>23.093</v>
      </c>
      <c r="T1137" t="s">
        <v>52</v>
      </c>
    </row>
    <row r="1138" spans="1:20" x14ac:dyDescent="0.3">
      <c r="A1138" t="s">
        <v>31</v>
      </c>
      <c r="B1138">
        <v>26</v>
      </c>
      <c r="C1138">
        <v>58.953000000000003</v>
      </c>
      <c r="D1138">
        <v>1.6879999999999999</v>
      </c>
      <c r="E1138">
        <v>25.286000000000001</v>
      </c>
      <c r="G1138" t="s">
        <v>973</v>
      </c>
      <c r="H1138">
        <v>258</v>
      </c>
      <c r="I1138">
        <v>58</v>
      </c>
      <c r="J1138">
        <v>146</v>
      </c>
      <c r="K1138" t="s">
        <v>22</v>
      </c>
      <c r="L1138" t="s">
        <v>22</v>
      </c>
      <c r="M1138" t="s">
        <v>28</v>
      </c>
      <c r="N1138">
        <v>0.45500000000000002</v>
      </c>
      <c r="O1138">
        <v>110</v>
      </c>
      <c r="P1138">
        <v>114</v>
      </c>
      <c r="Q1138" t="s">
        <v>38</v>
      </c>
      <c r="R1138">
        <v>170</v>
      </c>
      <c r="S1138">
        <v>15.717000000000001</v>
      </c>
      <c r="T1138" t="s">
        <v>30</v>
      </c>
    </row>
    <row r="1139" spans="1:20" x14ac:dyDescent="0.3">
      <c r="A1139" t="s">
        <v>31</v>
      </c>
      <c r="B1139">
        <v>76</v>
      </c>
      <c r="C1139">
        <v>99.585999999999999</v>
      </c>
      <c r="D1139">
        <v>1.8979999999999999</v>
      </c>
      <c r="E1139">
        <v>39.517000000000003</v>
      </c>
      <c r="F1139">
        <v>107.48099999999999</v>
      </c>
      <c r="G1139" t="s">
        <v>974</v>
      </c>
      <c r="H1139">
        <v>125</v>
      </c>
      <c r="I1139">
        <v>45</v>
      </c>
      <c r="J1139">
        <v>101</v>
      </c>
      <c r="K1139" t="s">
        <v>23</v>
      </c>
      <c r="L1139" t="s">
        <v>23</v>
      </c>
      <c r="M1139" t="s">
        <v>28</v>
      </c>
      <c r="N1139">
        <v>0.56599999999999995</v>
      </c>
      <c r="O1139">
        <v>171</v>
      </c>
      <c r="P1139">
        <v>80</v>
      </c>
      <c r="Q1139" t="s">
        <v>29</v>
      </c>
      <c r="R1139">
        <v>50</v>
      </c>
      <c r="S1139">
        <v>20.952999999999999</v>
      </c>
      <c r="T1139" t="s">
        <v>52</v>
      </c>
    </row>
    <row r="1140" spans="1:20" x14ac:dyDescent="0.3">
      <c r="A1140" t="s">
        <v>31</v>
      </c>
      <c r="B1140">
        <v>75</v>
      </c>
      <c r="C1140">
        <v>96.063000000000002</v>
      </c>
      <c r="D1140">
        <v>1.986</v>
      </c>
      <c r="E1140">
        <v>27.821000000000002</v>
      </c>
      <c r="F1140">
        <v>72.712999999999994</v>
      </c>
      <c r="G1140" t="s">
        <v>902</v>
      </c>
      <c r="H1140">
        <v>211</v>
      </c>
      <c r="I1140">
        <v>74</v>
      </c>
      <c r="J1140">
        <v>75</v>
      </c>
      <c r="K1140" t="s">
        <v>23</v>
      </c>
      <c r="L1140" t="s">
        <v>23</v>
      </c>
      <c r="M1140" t="s">
        <v>24</v>
      </c>
      <c r="N1140">
        <v>0.36599999999999999</v>
      </c>
      <c r="O1140">
        <v>158</v>
      </c>
      <c r="P1140">
        <v>74</v>
      </c>
      <c r="Q1140" t="s">
        <v>38</v>
      </c>
      <c r="R1140">
        <v>107</v>
      </c>
      <c r="S1140">
        <v>19.684000000000001</v>
      </c>
      <c r="T1140" t="s">
        <v>52</v>
      </c>
    </row>
    <row r="1141" spans="1:20" x14ac:dyDescent="0.3">
      <c r="A1141" t="s">
        <v>20</v>
      </c>
      <c r="B1141">
        <v>76</v>
      </c>
      <c r="C1141">
        <v>60.206000000000003</v>
      </c>
      <c r="D1141">
        <v>1.857</v>
      </c>
      <c r="E1141">
        <v>21.033000000000001</v>
      </c>
      <c r="F1141">
        <v>78.745000000000005</v>
      </c>
      <c r="G1141" t="s">
        <v>975</v>
      </c>
      <c r="H1141">
        <v>123</v>
      </c>
      <c r="I1141">
        <v>76</v>
      </c>
      <c r="J1141">
        <v>109</v>
      </c>
      <c r="K1141" t="s">
        <v>22</v>
      </c>
      <c r="L1141" t="s">
        <v>22</v>
      </c>
      <c r="M1141" t="s">
        <v>24</v>
      </c>
      <c r="N1141">
        <v>0.42399999999999999</v>
      </c>
      <c r="O1141">
        <v>140</v>
      </c>
      <c r="P1141">
        <v>61</v>
      </c>
      <c r="Q1141" t="s">
        <v>38</v>
      </c>
      <c r="R1141">
        <v>17</v>
      </c>
      <c r="S1141">
        <v>13.667</v>
      </c>
      <c r="T1141" t="s">
        <v>52</v>
      </c>
    </row>
    <row r="1142" spans="1:20" x14ac:dyDescent="0.3">
      <c r="A1142" t="s">
        <v>20</v>
      </c>
      <c r="C1142">
        <v>59.238</v>
      </c>
      <c r="D1142">
        <v>1.623</v>
      </c>
      <c r="E1142">
        <v>26.465</v>
      </c>
      <c r="F1142">
        <v>98.698999999999998</v>
      </c>
      <c r="G1142" t="s">
        <v>976</v>
      </c>
      <c r="H1142">
        <v>247</v>
      </c>
      <c r="I1142">
        <v>41</v>
      </c>
      <c r="J1142">
        <v>71</v>
      </c>
      <c r="K1142" t="s">
        <v>22</v>
      </c>
      <c r="L1142" t="s">
        <v>23</v>
      </c>
      <c r="M1142" t="s">
        <v>37</v>
      </c>
      <c r="N1142">
        <v>0.60799999999999998</v>
      </c>
      <c r="O1142">
        <v>113</v>
      </c>
      <c r="P1142">
        <v>66</v>
      </c>
      <c r="Q1142" t="s">
        <v>33</v>
      </c>
      <c r="R1142">
        <v>176</v>
      </c>
      <c r="S1142">
        <v>17.882999999999999</v>
      </c>
      <c r="T1142" t="s">
        <v>26</v>
      </c>
    </row>
    <row r="1143" spans="1:20" x14ac:dyDescent="0.3">
      <c r="A1143" t="s">
        <v>31</v>
      </c>
      <c r="B1143">
        <v>33</v>
      </c>
      <c r="C1143">
        <v>116.375</v>
      </c>
      <c r="D1143">
        <v>1.91</v>
      </c>
      <c r="E1143">
        <v>33.597000000000001</v>
      </c>
      <c r="G1143" t="s">
        <v>977</v>
      </c>
      <c r="H1143">
        <v>240</v>
      </c>
      <c r="I1143">
        <v>60</v>
      </c>
      <c r="J1143">
        <v>180</v>
      </c>
      <c r="K1143" t="s">
        <v>22</v>
      </c>
      <c r="L1143" t="s">
        <v>23</v>
      </c>
      <c r="M1143" t="s">
        <v>28</v>
      </c>
      <c r="N1143">
        <v>0.42599999999999999</v>
      </c>
      <c r="O1143">
        <v>98</v>
      </c>
      <c r="P1143">
        <v>91</v>
      </c>
      <c r="Q1143" t="s">
        <v>38</v>
      </c>
      <c r="R1143">
        <v>150</v>
      </c>
      <c r="S1143">
        <v>18.419</v>
      </c>
      <c r="T1143" t="s">
        <v>26</v>
      </c>
    </row>
    <row r="1144" spans="1:20" x14ac:dyDescent="0.3">
      <c r="A1144" t="s">
        <v>31</v>
      </c>
      <c r="B1144">
        <v>64</v>
      </c>
      <c r="C1144">
        <v>92.384</v>
      </c>
      <c r="D1144">
        <v>1.5640000000000001</v>
      </c>
      <c r="E1144">
        <v>33.505000000000003</v>
      </c>
      <c r="F1144">
        <v>82.86</v>
      </c>
      <c r="G1144" t="s">
        <v>978</v>
      </c>
      <c r="H1144">
        <v>146</v>
      </c>
      <c r="I1144">
        <v>84</v>
      </c>
      <c r="J1144">
        <v>117</v>
      </c>
      <c r="K1144" t="s">
        <v>23</v>
      </c>
      <c r="L1144" t="s">
        <v>22</v>
      </c>
      <c r="M1144" t="s">
        <v>24</v>
      </c>
      <c r="N1144">
        <v>0.53</v>
      </c>
      <c r="O1144">
        <v>146</v>
      </c>
      <c r="P1144">
        <v>72</v>
      </c>
      <c r="Q1144" t="s">
        <v>38</v>
      </c>
      <c r="R1144">
        <v>32</v>
      </c>
      <c r="S1144">
        <v>16.920999999999999</v>
      </c>
      <c r="T1144" t="s">
        <v>52</v>
      </c>
    </row>
    <row r="1145" spans="1:20" x14ac:dyDescent="0.3">
      <c r="A1145" t="s">
        <v>31</v>
      </c>
      <c r="B1145">
        <v>31</v>
      </c>
      <c r="C1145">
        <v>112.709</v>
      </c>
      <c r="D1145">
        <v>1.8420000000000001</v>
      </c>
      <c r="E1145">
        <v>26.524000000000001</v>
      </c>
      <c r="F1145">
        <v>107.197</v>
      </c>
      <c r="G1145" t="s">
        <v>979</v>
      </c>
      <c r="H1145">
        <v>155</v>
      </c>
      <c r="I1145">
        <v>64</v>
      </c>
      <c r="J1145">
        <v>160</v>
      </c>
      <c r="K1145" t="s">
        <v>23</v>
      </c>
      <c r="L1145" t="s">
        <v>22</v>
      </c>
      <c r="M1145" t="s">
        <v>37</v>
      </c>
      <c r="N1145">
        <v>0.58199999999999996</v>
      </c>
      <c r="O1145">
        <v>112</v>
      </c>
      <c r="P1145">
        <v>77</v>
      </c>
      <c r="Q1145" t="s">
        <v>33</v>
      </c>
      <c r="R1145">
        <v>61</v>
      </c>
      <c r="S1145">
        <v>14.005000000000001</v>
      </c>
      <c r="T1145" t="s">
        <v>30</v>
      </c>
    </row>
    <row r="1146" spans="1:20" x14ac:dyDescent="0.3">
      <c r="A1146" t="s">
        <v>31</v>
      </c>
      <c r="B1146">
        <v>79</v>
      </c>
      <c r="C1146">
        <v>71.227999999999994</v>
      </c>
      <c r="D1146">
        <v>1.7969999999999999</v>
      </c>
      <c r="E1146">
        <v>19.484999999999999</v>
      </c>
      <c r="F1146">
        <v>109.94199999999999</v>
      </c>
      <c r="G1146" t="s">
        <v>980</v>
      </c>
      <c r="H1146">
        <v>150</v>
      </c>
      <c r="I1146">
        <v>75</v>
      </c>
      <c r="J1146">
        <v>97</v>
      </c>
      <c r="K1146" t="s">
        <v>22</v>
      </c>
      <c r="L1146" t="s">
        <v>23</v>
      </c>
      <c r="M1146" t="s">
        <v>28</v>
      </c>
      <c r="N1146">
        <v>0.61199999999999999</v>
      </c>
      <c r="O1146">
        <v>132</v>
      </c>
      <c r="P1146">
        <v>60</v>
      </c>
      <c r="Q1146" t="s">
        <v>29</v>
      </c>
      <c r="R1146">
        <v>45</v>
      </c>
      <c r="S1146">
        <v>15.497</v>
      </c>
      <c r="T1146" t="s">
        <v>52</v>
      </c>
    </row>
    <row r="1147" spans="1:20" x14ac:dyDescent="0.3">
      <c r="A1147" t="s">
        <v>20</v>
      </c>
      <c r="B1147">
        <v>58</v>
      </c>
      <c r="C1147">
        <v>69.87</v>
      </c>
      <c r="D1147">
        <v>1.944</v>
      </c>
      <c r="E1147">
        <v>20.785</v>
      </c>
      <c r="F1147">
        <v>86.259</v>
      </c>
      <c r="G1147" t="s">
        <v>981</v>
      </c>
      <c r="H1147">
        <v>151</v>
      </c>
      <c r="J1147">
        <v>139</v>
      </c>
      <c r="K1147" t="s">
        <v>23</v>
      </c>
      <c r="L1147" t="s">
        <v>22</v>
      </c>
      <c r="M1147" t="s">
        <v>37</v>
      </c>
      <c r="N1147">
        <v>0.44400000000000001</v>
      </c>
      <c r="O1147">
        <v>162</v>
      </c>
      <c r="P1147">
        <v>106</v>
      </c>
      <c r="Q1147" t="s">
        <v>38</v>
      </c>
      <c r="R1147">
        <v>44</v>
      </c>
      <c r="S1147">
        <v>15.276999999999999</v>
      </c>
      <c r="T1147" t="s">
        <v>30</v>
      </c>
    </row>
    <row r="1148" spans="1:20" x14ac:dyDescent="0.3">
      <c r="A1148" t="s">
        <v>20</v>
      </c>
      <c r="C1148">
        <v>68.159000000000006</v>
      </c>
      <c r="D1148">
        <v>1.655</v>
      </c>
      <c r="E1148">
        <v>31.213999999999999</v>
      </c>
      <c r="F1148">
        <v>92.111000000000004</v>
      </c>
      <c r="G1148" t="s">
        <v>800</v>
      </c>
      <c r="H1148">
        <v>123</v>
      </c>
      <c r="I1148">
        <v>34</v>
      </c>
      <c r="J1148">
        <v>118</v>
      </c>
      <c r="K1148" t="s">
        <v>23</v>
      </c>
      <c r="L1148" t="s">
        <v>22</v>
      </c>
      <c r="M1148" t="s">
        <v>28</v>
      </c>
      <c r="N1148">
        <v>0.55600000000000005</v>
      </c>
      <c r="O1148">
        <v>113</v>
      </c>
      <c r="P1148">
        <v>70</v>
      </c>
      <c r="Q1148" t="s">
        <v>33</v>
      </c>
      <c r="S1148">
        <v>14.353</v>
      </c>
      <c r="T1148" t="s">
        <v>52</v>
      </c>
    </row>
    <row r="1149" spans="1:20" x14ac:dyDescent="0.3">
      <c r="A1149" t="s">
        <v>20</v>
      </c>
      <c r="C1149">
        <v>104.46899999999999</v>
      </c>
      <c r="D1149">
        <v>1.9950000000000001</v>
      </c>
      <c r="E1149">
        <v>25.39</v>
      </c>
      <c r="F1149">
        <v>86.894000000000005</v>
      </c>
      <c r="G1149" t="s">
        <v>982</v>
      </c>
      <c r="I1149">
        <v>82</v>
      </c>
      <c r="J1149">
        <v>175</v>
      </c>
      <c r="K1149" t="s">
        <v>22</v>
      </c>
      <c r="L1149" t="s">
        <v>22</v>
      </c>
      <c r="M1149" t="s">
        <v>24</v>
      </c>
      <c r="N1149">
        <v>0.436</v>
      </c>
      <c r="O1149">
        <v>164</v>
      </c>
      <c r="P1149">
        <v>90</v>
      </c>
      <c r="Q1149" t="s">
        <v>38</v>
      </c>
      <c r="R1149">
        <v>147</v>
      </c>
      <c r="S1149">
        <v>18.457999999999998</v>
      </c>
      <c r="T1149" t="s">
        <v>30</v>
      </c>
    </row>
    <row r="1150" spans="1:20" x14ac:dyDescent="0.3">
      <c r="A1150" t="s">
        <v>20</v>
      </c>
      <c r="B1150">
        <v>36</v>
      </c>
      <c r="C1150">
        <v>113.298</v>
      </c>
      <c r="D1150">
        <v>1.5089999999999999</v>
      </c>
      <c r="E1150">
        <v>22.850999999999999</v>
      </c>
      <c r="F1150">
        <v>113.07</v>
      </c>
      <c r="G1150" t="s">
        <v>983</v>
      </c>
      <c r="H1150">
        <v>241</v>
      </c>
      <c r="I1150">
        <v>77</v>
      </c>
      <c r="J1150">
        <v>95</v>
      </c>
      <c r="K1150" t="s">
        <v>23</v>
      </c>
      <c r="L1150" t="s">
        <v>22</v>
      </c>
      <c r="M1150" t="s">
        <v>24</v>
      </c>
      <c r="N1150">
        <v>0.749</v>
      </c>
      <c r="O1150">
        <v>133</v>
      </c>
      <c r="P1150">
        <v>115</v>
      </c>
      <c r="Q1150" t="s">
        <v>29</v>
      </c>
      <c r="R1150">
        <v>134</v>
      </c>
      <c r="S1150">
        <v>16.04</v>
      </c>
      <c r="T1150" t="s">
        <v>52</v>
      </c>
    </row>
    <row r="1151" spans="1:20" x14ac:dyDescent="0.3">
      <c r="A1151" t="s">
        <v>31</v>
      </c>
      <c r="B1151">
        <v>43</v>
      </c>
      <c r="C1151">
        <v>53.326999999999998</v>
      </c>
      <c r="D1151">
        <v>1.7050000000000001</v>
      </c>
      <c r="E1151">
        <v>34.231999999999999</v>
      </c>
      <c r="F1151">
        <v>111.739</v>
      </c>
      <c r="G1151" t="s">
        <v>984</v>
      </c>
      <c r="H1151">
        <v>287</v>
      </c>
      <c r="I1151">
        <v>82</v>
      </c>
      <c r="J1151">
        <v>140</v>
      </c>
      <c r="K1151" t="s">
        <v>23</v>
      </c>
      <c r="L1151" t="s">
        <v>22</v>
      </c>
      <c r="M1151" t="s">
        <v>28</v>
      </c>
      <c r="N1151">
        <v>0.65600000000000003</v>
      </c>
      <c r="O1151">
        <v>117</v>
      </c>
      <c r="P1151">
        <v>116</v>
      </c>
      <c r="Q1151" t="s">
        <v>38</v>
      </c>
      <c r="R1151">
        <v>175</v>
      </c>
      <c r="S1151">
        <v>18.436</v>
      </c>
      <c r="T1151" t="s">
        <v>30</v>
      </c>
    </row>
    <row r="1152" spans="1:20" x14ac:dyDescent="0.3">
      <c r="A1152" t="s">
        <v>31</v>
      </c>
      <c r="B1152">
        <v>30</v>
      </c>
      <c r="C1152">
        <v>58.401000000000003</v>
      </c>
      <c r="D1152">
        <v>1.998</v>
      </c>
      <c r="E1152">
        <v>30.402999999999999</v>
      </c>
      <c r="F1152">
        <v>105.896</v>
      </c>
      <c r="G1152" t="s">
        <v>985</v>
      </c>
      <c r="H1152">
        <v>173</v>
      </c>
      <c r="I1152">
        <v>60</v>
      </c>
      <c r="J1152">
        <v>141</v>
      </c>
      <c r="K1152" t="s">
        <v>23</v>
      </c>
      <c r="L1152" t="s">
        <v>23</v>
      </c>
      <c r="M1152" t="s">
        <v>24</v>
      </c>
      <c r="N1152">
        <v>0.53</v>
      </c>
      <c r="O1152">
        <v>154</v>
      </c>
      <c r="P1152">
        <v>97</v>
      </c>
      <c r="Q1152" t="s">
        <v>38</v>
      </c>
      <c r="R1152">
        <v>83</v>
      </c>
      <c r="S1152">
        <v>19.241</v>
      </c>
      <c r="T1152" t="s">
        <v>26</v>
      </c>
    </row>
    <row r="1153" spans="1:20" x14ac:dyDescent="0.3">
      <c r="A1153" t="s">
        <v>31</v>
      </c>
      <c r="B1153">
        <v>58</v>
      </c>
      <c r="C1153">
        <v>50.863999999999997</v>
      </c>
      <c r="D1153">
        <v>1.782</v>
      </c>
      <c r="E1153">
        <v>25.684999999999999</v>
      </c>
      <c r="F1153">
        <v>119.736</v>
      </c>
      <c r="G1153" t="s">
        <v>919</v>
      </c>
      <c r="H1153">
        <v>273</v>
      </c>
      <c r="I1153">
        <v>37</v>
      </c>
      <c r="J1153">
        <v>108</v>
      </c>
      <c r="K1153" t="s">
        <v>22</v>
      </c>
      <c r="L1153" t="s">
        <v>23</v>
      </c>
      <c r="M1153" t="s">
        <v>28</v>
      </c>
      <c r="N1153">
        <v>0.67200000000000004</v>
      </c>
      <c r="O1153">
        <v>117</v>
      </c>
      <c r="P1153">
        <v>108</v>
      </c>
      <c r="Q1153" t="s">
        <v>38</v>
      </c>
      <c r="R1153">
        <v>206</v>
      </c>
      <c r="S1153">
        <v>18.446999999999999</v>
      </c>
      <c r="T1153" t="s">
        <v>30</v>
      </c>
    </row>
    <row r="1154" spans="1:20" x14ac:dyDescent="0.3">
      <c r="A1154" t="s">
        <v>31</v>
      </c>
      <c r="B1154">
        <v>76</v>
      </c>
      <c r="C1154">
        <v>56.93</v>
      </c>
      <c r="D1154">
        <v>1.95</v>
      </c>
      <c r="E1154">
        <v>25.27</v>
      </c>
      <c r="F1154">
        <v>88.361000000000004</v>
      </c>
      <c r="G1154" t="s">
        <v>986</v>
      </c>
      <c r="I1154">
        <v>44</v>
      </c>
      <c r="J1154">
        <v>115</v>
      </c>
      <c r="K1154" t="s">
        <v>22</v>
      </c>
      <c r="L1154" t="s">
        <v>23</v>
      </c>
      <c r="M1154" t="s">
        <v>24</v>
      </c>
      <c r="N1154">
        <v>0.45300000000000001</v>
      </c>
      <c r="O1154">
        <v>110</v>
      </c>
      <c r="P1154">
        <v>67</v>
      </c>
      <c r="Q1154" t="s">
        <v>33</v>
      </c>
      <c r="R1154">
        <v>113</v>
      </c>
      <c r="S1154">
        <v>16.294</v>
      </c>
      <c r="T1154" t="s">
        <v>26</v>
      </c>
    </row>
    <row r="1155" spans="1:20" x14ac:dyDescent="0.3">
      <c r="A1155" t="s">
        <v>20</v>
      </c>
      <c r="B1155">
        <v>50</v>
      </c>
      <c r="C1155">
        <v>69.123000000000005</v>
      </c>
      <c r="D1155">
        <v>1.5820000000000001</v>
      </c>
      <c r="E1155">
        <v>35.716000000000001</v>
      </c>
      <c r="F1155">
        <v>82.75</v>
      </c>
      <c r="G1155" t="s">
        <v>987</v>
      </c>
      <c r="H1155">
        <v>251</v>
      </c>
      <c r="I1155">
        <v>75</v>
      </c>
      <c r="K1155" t="s">
        <v>23</v>
      </c>
      <c r="L1155" t="s">
        <v>22</v>
      </c>
      <c r="M1155" t="s">
        <v>28</v>
      </c>
      <c r="N1155">
        <v>0.52300000000000002</v>
      </c>
      <c r="O1155">
        <v>175</v>
      </c>
      <c r="P1155">
        <v>98</v>
      </c>
      <c r="Q1155" t="s">
        <v>38</v>
      </c>
      <c r="R1155">
        <v>146</v>
      </c>
      <c r="S1155">
        <v>20.913</v>
      </c>
      <c r="T1155" t="s">
        <v>30</v>
      </c>
    </row>
    <row r="1156" spans="1:20" x14ac:dyDescent="0.3">
      <c r="A1156" t="s">
        <v>31</v>
      </c>
      <c r="B1156">
        <v>50</v>
      </c>
      <c r="C1156">
        <v>110.31699999999999</v>
      </c>
      <c r="D1156">
        <v>1.8520000000000001</v>
      </c>
      <c r="E1156">
        <v>33.401000000000003</v>
      </c>
      <c r="F1156">
        <v>100.033</v>
      </c>
      <c r="G1156" t="s">
        <v>988</v>
      </c>
      <c r="I1156">
        <v>87</v>
      </c>
      <c r="J1156">
        <v>180</v>
      </c>
      <c r="K1156" t="s">
        <v>22</v>
      </c>
      <c r="L1156" t="s">
        <v>23</v>
      </c>
      <c r="M1156" t="s">
        <v>28</v>
      </c>
      <c r="N1156">
        <v>0.54</v>
      </c>
      <c r="O1156">
        <v>110</v>
      </c>
      <c r="P1156">
        <v>90</v>
      </c>
      <c r="Q1156" t="s">
        <v>38</v>
      </c>
      <c r="R1156">
        <v>158</v>
      </c>
      <c r="S1156">
        <v>19.68</v>
      </c>
      <c r="T1156" t="s">
        <v>26</v>
      </c>
    </row>
    <row r="1157" spans="1:20" x14ac:dyDescent="0.3">
      <c r="A1157" t="s">
        <v>20</v>
      </c>
      <c r="B1157">
        <v>29</v>
      </c>
      <c r="C1157">
        <v>64.171999999999997</v>
      </c>
      <c r="D1157">
        <v>1.6779999999999999</v>
      </c>
      <c r="E1157">
        <v>20.372</v>
      </c>
      <c r="F1157">
        <v>100.568</v>
      </c>
      <c r="G1157" t="s">
        <v>989</v>
      </c>
      <c r="H1157">
        <v>225</v>
      </c>
      <c r="I1157">
        <v>78</v>
      </c>
      <c r="J1157">
        <v>140</v>
      </c>
      <c r="K1157" t="s">
        <v>23</v>
      </c>
      <c r="L1157" t="s">
        <v>22</v>
      </c>
      <c r="M1157" t="s">
        <v>28</v>
      </c>
      <c r="N1157">
        <v>0.59899999999999998</v>
      </c>
      <c r="O1157">
        <v>146</v>
      </c>
      <c r="P1157">
        <v>96</v>
      </c>
      <c r="Q1157" t="s">
        <v>38</v>
      </c>
      <c r="S1157">
        <v>15.874000000000001</v>
      </c>
      <c r="T1157" t="s">
        <v>52</v>
      </c>
    </row>
    <row r="1158" spans="1:20" x14ac:dyDescent="0.3">
      <c r="A1158" t="s">
        <v>31</v>
      </c>
      <c r="B1158">
        <v>46</v>
      </c>
      <c r="C1158">
        <v>113.143</v>
      </c>
      <c r="D1158">
        <v>1.518</v>
      </c>
      <c r="E1158">
        <v>25.745000000000001</v>
      </c>
      <c r="F1158">
        <v>97.483000000000004</v>
      </c>
      <c r="G1158" t="s">
        <v>803</v>
      </c>
      <c r="H1158">
        <v>150</v>
      </c>
      <c r="I1158">
        <v>54</v>
      </c>
      <c r="J1158">
        <v>133</v>
      </c>
      <c r="K1158" t="s">
        <v>23</v>
      </c>
      <c r="L1158" t="s">
        <v>23</v>
      </c>
      <c r="M1158" t="s">
        <v>24</v>
      </c>
      <c r="N1158">
        <v>0.64200000000000002</v>
      </c>
      <c r="O1158">
        <v>133</v>
      </c>
      <c r="P1158">
        <v>95</v>
      </c>
      <c r="Q1158" t="s">
        <v>29</v>
      </c>
      <c r="R1158">
        <v>66</v>
      </c>
      <c r="S1158">
        <v>16.798999999999999</v>
      </c>
      <c r="T1158" t="s">
        <v>30</v>
      </c>
    </row>
    <row r="1159" spans="1:20" x14ac:dyDescent="0.3">
      <c r="A1159" t="s">
        <v>31</v>
      </c>
      <c r="B1159">
        <v>53</v>
      </c>
      <c r="C1159">
        <v>68.763999999999996</v>
      </c>
      <c r="D1159">
        <v>1.742</v>
      </c>
      <c r="E1159">
        <v>34.994</v>
      </c>
      <c r="F1159">
        <v>94.353999999999999</v>
      </c>
      <c r="G1159" t="s">
        <v>990</v>
      </c>
      <c r="H1159">
        <v>261</v>
      </c>
      <c r="I1159">
        <v>43</v>
      </c>
      <c r="J1159">
        <v>78</v>
      </c>
      <c r="K1159" t="s">
        <v>22</v>
      </c>
      <c r="L1159" t="s">
        <v>22</v>
      </c>
      <c r="M1159" t="s">
        <v>37</v>
      </c>
      <c r="N1159">
        <v>0.54200000000000004</v>
      </c>
      <c r="O1159">
        <v>156</v>
      </c>
      <c r="P1159">
        <v>64</v>
      </c>
      <c r="Q1159" t="s">
        <v>38</v>
      </c>
      <c r="R1159">
        <v>188</v>
      </c>
      <c r="S1159">
        <v>20.018999999999998</v>
      </c>
      <c r="T1159" t="s">
        <v>52</v>
      </c>
    </row>
    <row r="1160" spans="1:20" x14ac:dyDescent="0.3">
      <c r="A1160" t="s">
        <v>31</v>
      </c>
      <c r="B1160">
        <v>74</v>
      </c>
      <c r="C1160">
        <v>51.857999999999997</v>
      </c>
      <c r="D1160">
        <v>1.6080000000000001</v>
      </c>
      <c r="E1160">
        <v>33.293999999999997</v>
      </c>
      <c r="F1160">
        <v>71.58</v>
      </c>
      <c r="G1160" t="s">
        <v>991</v>
      </c>
      <c r="H1160">
        <v>124</v>
      </c>
      <c r="I1160">
        <v>60</v>
      </c>
      <c r="J1160">
        <v>135</v>
      </c>
      <c r="K1160" t="s">
        <v>23</v>
      </c>
      <c r="L1160" t="s">
        <v>23</v>
      </c>
      <c r="M1160" t="s">
        <v>37</v>
      </c>
      <c r="N1160">
        <v>0.44500000000000001</v>
      </c>
      <c r="O1160">
        <v>99</v>
      </c>
      <c r="Q1160" t="s">
        <v>33</v>
      </c>
      <c r="R1160">
        <v>34</v>
      </c>
      <c r="S1160">
        <v>16.088999999999999</v>
      </c>
      <c r="T1160" t="s">
        <v>52</v>
      </c>
    </row>
    <row r="1161" spans="1:20" x14ac:dyDescent="0.3">
      <c r="A1161" t="s">
        <v>31</v>
      </c>
      <c r="B1161">
        <v>63</v>
      </c>
      <c r="C1161">
        <v>72.349999999999994</v>
      </c>
      <c r="D1161">
        <v>1.738</v>
      </c>
      <c r="E1161">
        <v>37.643999999999998</v>
      </c>
      <c r="F1161">
        <v>73.531000000000006</v>
      </c>
      <c r="G1161" t="s">
        <v>992</v>
      </c>
      <c r="I1161">
        <v>41</v>
      </c>
      <c r="J1161">
        <v>76</v>
      </c>
      <c r="K1161" t="s">
        <v>23</v>
      </c>
      <c r="L1161" t="s">
        <v>22</v>
      </c>
      <c r="M1161" t="s">
        <v>37</v>
      </c>
      <c r="N1161">
        <v>0.42299999999999999</v>
      </c>
      <c r="O1161">
        <v>145</v>
      </c>
      <c r="P1161">
        <v>103</v>
      </c>
      <c r="Q1161" t="s">
        <v>38</v>
      </c>
      <c r="R1161">
        <v>96</v>
      </c>
      <c r="S1161">
        <v>18.119</v>
      </c>
      <c r="T1161" t="s">
        <v>26</v>
      </c>
    </row>
    <row r="1162" spans="1:20" x14ac:dyDescent="0.3">
      <c r="A1162" t="s">
        <v>31</v>
      </c>
      <c r="B1162">
        <v>76</v>
      </c>
      <c r="C1162">
        <v>100.935</v>
      </c>
      <c r="D1162">
        <v>1.512</v>
      </c>
      <c r="E1162">
        <v>32.673000000000002</v>
      </c>
      <c r="F1162">
        <v>80.738</v>
      </c>
      <c r="G1162" t="s">
        <v>993</v>
      </c>
      <c r="H1162">
        <v>106</v>
      </c>
      <c r="I1162">
        <v>30</v>
      </c>
      <c r="J1162">
        <v>191</v>
      </c>
      <c r="K1162" t="s">
        <v>23</v>
      </c>
      <c r="L1162" t="s">
        <v>23</v>
      </c>
      <c r="M1162" t="s">
        <v>37</v>
      </c>
      <c r="N1162">
        <v>0.53400000000000003</v>
      </c>
      <c r="O1162">
        <v>151</v>
      </c>
      <c r="P1162">
        <v>78</v>
      </c>
      <c r="Q1162" t="s">
        <v>38</v>
      </c>
      <c r="R1162">
        <v>46</v>
      </c>
      <c r="S1162">
        <v>18.204999999999998</v>
      </c>
      <c r="T1162" t="s">
        <v>52</v>
      </c>
    </row>
    <row r="1163" spans="1:20" x14ac:dyDescent="0.3">
      <c r="A1163" t="s">
        <v>31</v>
      </c>
      <c r="B1163">
        <v>31</v>
      </c>
      <c r="C1163">
        <v>60.392000000000003</v>
      </c>
      <c r="D1163">
        <v>1.589</v>
      </c>
      <c r="E1163">
        <v>35.881</v>
      </c>
      <c r="F1163">
        <v>106.985</v>
      </c>
      <c r="G1163" t="s">
        <v>994</v>
      </c>
      <c r="H1163">
        <v>154</v>
      </c>
      <c r="I1163">
        <v>87</v>
      </c>
      <c r="J1163">
        <v>124</v>
      </c>
      <c r="K1163" t="s">
        <v>22</v>
      </c>
      <c r="L1163" t="s">
        <v>23</v>
      </c>
      <c r="M1163" t="s">
        <v>28</v>
      </c>
      <c r="N1163">
        <v>0.67300000000000004</v>
      </c>
      <c r="O1163">
        <v>155</v>
      </c>
      <c r="P1163">
        <v>81</v>
      </c>
      <c r="Q1163" t="s">
        <v>29</v>
      </c>
      <c r="R1163">
        <v>37</v>
      </c>
      <c r="S1163">
        <v>20.006</v>
      </c>
      <c r="T1163" t="s">
        <v>26</v>
      </c>
    </row>
    <row r="1164" spans="1:20" x14ac:dyDescent="0.3">
      <c r="A1164" t="s">
        <v>20</v>
      </c>
      <c r="B1164">
        <v>59</v>
      </c>
      <c r="C1164">
        <v>86.528999999999996</v>
      </c>
      <c r="D1164">
        <v>1.8140000000000001</v>
      </c>
      <c r="E1164">
        <v>27.254000000000001</v>
      </c>
      <c r="F1164">
        <v>110.922</v>
      </c>
      <c r="G1164" t="s">
        <v>995</v>
      </c>
      <c r="H1164">
        <v>287</v>
      </c>
      <c r="I1164">
        <v>37</v>
      </c>
      <c r="K1164" t="s">
        <v>23</v>
      </c>
      <c r="L1164" t="s">
        <v>22</v>
      </c>
      <c r="M1164" t="s">
        <v>28</v>
      </c>
      <c r="N1164">
        <v>0.61099999999999999</v>
      </c>
      <c r="O1164">
        <v>151</v>
      </c>
      <c r="P1164">
        <v>90</v>
      </c>
      <c r="Q1164" t="s">
        <v>38</v>
      </c>
      <c r="R1164">
        <v>220</v>
      </c>
      <c r="S1164">
        <v>18.741</v>
      </c>
      <c r="T1164" t="s">
        <v>52</v>
      </c>
    </row>
    <row r="1165" spans="1:20" x14ac:dyDescent="0.3">
      <c r="A1165" t="s">
        <v>31</v>
      </c>
      <c r="B1165">
        <v>48</v>
      </c>
      <c r="C1165">
        <v>56.454000000000001</v>
      </c>
      <c r="D1165">
        <v>1.9319999999999999</v>
      </c>
      <c r="E1165">
        <v>18.731000000000002</v>
      </c>
      <c r="G1165" t="s">
        <v>996</v>
      </c>
      <c r="H1165">
        <v>278</v>
      </c>
      <c r="I1165">
        <v>39</v>
      </c>
      <c r="K1165" t="s">
        <v>23</v>
      </c>
      <c r="L1165" t="s">
        <v>22</v>
      </c>
      <c r="M1165" t="s">
        <v>37</v>
      </c>
      <c r="N1165">
        <v>0.376</v>
      </c>
      <c r="O1165">
        <v>173</v>
      </c>
      <c r="P1165">
        <v>109</v>
      </c>
      <c r="Q1165" t="s">
        <v>38</v>
      </c>
      <c r="S1165">
        <v>17.956</v>
      </c>
      <c r="T1165" t="s">
        <v>26</v>
      </c>
    </row>
    <row r="1166" spans="1:20" x14ac:dyDescent="0.3">
      <c r="A1166" t="s">
        <v>31</v>
      </c>
      <c r="B1166">
        <v>25</v>
      </c>
      <c r="C1166">
        <v>114.988</v>
      </c>
      <c r="D1166">
        <v>1.978</v>
      </c>
      <c r="E1166">
        <v>25.492000000000001</v>
      </c>
      <c r="F1166">
        <v>119.996</v>
      </c>
      <c r="G1166" t="s">
        <v>997</v>
      </c>
      <c r="H1166">
        <v>132</v>
      </c>
      <c r="I1166">
        <v>67</v>
      </c>
      <c r="J1166">
        <v>148</v>
      </c>
      <c r="K1166" t="s">
        <v>23</v>
      </c>
      <c r="L1166" t="s">
        <v>22</v>
      </c>
      <c r="M1166" t="s">
        <v>24</v>
      </c>
      <c r="O1166">
        <v>136</v>
      </c>
      <c r="P1166">
        <v>72</v>
      </c>
      <c r="Q1166" t="s">
        <v>29</v>
      </c>
      <c r="R1166">
        <v>35</v>
      </c>
      <c r="S1166">
        <v>14.538</v>
      </c>
      <c r="T1166" t="s">
        <v>30</v>
      </c>
    </row>
    <row r="1167" spans="1:20" x14ac:dyDescent="0.3">
      <c r="A1167" t="s">
        <v>31</v>
      </c>
      <c r="B1167">
        <v>67</v>
      </c>
      <c r="C1167">
        <v>103.637</v>
      </c>
      <c r="D1167">
        <v>1.7170000000000001</v>
      </c>
      <c r="E1167">
        <v>34.828000000000003</v>
      </c>
      <c r="F1167">
        <v>99.754999999999995</v>
      </c>
      <c r="G1167" t="s">
        <v>998</v>
      </c>
      <c r="I1167">
        <v>42</v>
      </c>
      <c r="J1167">
        <v>175</v>
      </c>
      <c r="K1167" t="s">
        <v>23</v>
      </c>
      <c r="L1167" t="s">
        <v>23</v>
      </c>
      <c r="M1167" t="s">
        <v>37</v>
      </c>
      <c r="N1167">
        <v>0.58099999999999996</v>
      </c>
      <c r="O1167">
        <v>128</v>
      </c>
      <c r="P1167">
        <v>61</v>
      </c>
      <c r="Q1167" t="s">
        <v>25</v>
      </c>
      <c r="R1167">
        <v>148</v>
      </c>
      <c r="S1167">
        <v>19.765999999999998</v>
      </c>
      <c r="T1167" t="s">
        <v>30</v>
      </c>
    </row>
    <row r="1168" spans="1:20" x14ac:dyDescent="0.3">
      <c r="A1168" t="s">
        <v>20</v>
      </c>
      <c r="B1168">
        <v>29</v>
      </c>
      <c r="C1168">
        <v>115.58199999999999</v>
      </c>
      <c r="D1168">
        <v>1.972</v>
      </c>
      <c r="E1168">
        <v>25.184999999999999</v>
      </c>
      <c r="F1168">
        <v>110.35899999999999</v>
      </c>
      <c r="G1168" t="s">
        <v>999</v>
      </c>
      <c r="H1168">
        <v>122</v>
      </c>
      <c r="I1168">
        <v>44</v>
      </c>
      <c r="J1168">
        <v>137</v>
      </c>
      <c r="K1168" t="s">
        <v>23</v>
      </c>
      <c r="L1168" t="s">
        <v>23</v>
      </c>
      <c r="M1168" t="s">
        <v>28</v>
      </c>
      <c r="N1168">
        <v>0.56000000000000005</v>
      </c>
      <c r="P1168">
        <v>84</v>
      </c>
      <c r="Q1168" t="s">
        <v>29</v>
      </c>
      <c r="R1168">
        <v>48</v>
      </c>
      <c r="S1168">
        <v>17.376999999999999</v>
      </c>
      <c r="T1168" t="s">
        <v>26</v>
      </c>
    </row>
    <row r="1169" spans="1:20" x14ac:dyDescent="0.3">
      <c r="A1169" t="s">
        <v>20</v>
      </c>
      <c r="C1169">
        <v>102.002</v>
      </c>
      <c r="D1169">
        <v>1.9470000000000001</v>
      </c>
      <c r="E1169">
        <v>31.382999999999999</v>
      </c>
      <c r="F1169">
        <v>110.059</v>
      </c>
      <c r="G1169" t="s">
        <v>1000</v>
      </c>
      <c r="H1169">
        <v>161</v>
      </c>
      <c r="I1169">
        <v>76</v>
      </c>
      <c r="J1169">
        <v>100</v>
      </c>
      <c r="K1169" t="s">
        <v>22</v>
      </c>
      <c r="L1169" t="s">
        <v>22</v>
      </c>
      <c r="M1169" t="s">
        <v>24</v>
      </c>
      <c r="N1169">
        <v>0.56499999999999995</v>
      </c>
      <c r="O1169">
        <v>136</v>
      </c>
      <c r="P1169">
        <v>112</v>
      </c>
      <c r="Q1169" t="s">
        <v>29</v>
      </c>
      <c r="R1169">
        <v>55</v>
      </c>
      <c r="S1169">
        <v>16.297000000000001</v>
      </c>
      <c r="T1169" t="s">
        <v>26</v>
      </c>
    </row>
    <row r="1170" spans="1:20" x14ac:dyDescent="0.3">
      <c r="A1170" t="s">
        <v>31</v>
      </c>
      <c r="B1170">
        <v>66</v>
      </c>
      <c r="C1170">
        <v>101.774</v>
      </c>
      <c r="D1170">
        <v>1.5760000000000001</v>
      </c>
      <c r="E1170">
        <v>24.568000000000001</v>
      </c>
      <c r="F1170">
        <v>88.424999999999997</v>
      </c>
      <c r="G1170" t="s">
        <v>1001</v>
      </c>
      <c r="H1170">
        <v>254</v>
      </c>
      <c r="I1170">
        <v>58</v>
      </c>
      <c r="J1170">
        <v>150</v>
      </c>
      <c r="K1170" t="s">
        <v>22</v>
      </c>
      <c r="L1170" t="s">
        <v>23</v>
      </c>
      <c r="M1170" t="s">
        <v>37</v>
      </c>
      <c r="N1170">
        <v>0.56100000000000005</v>
      </c>
      <c r="O1170">
        <v>95</v>
      </c>
      <c r="P1170">
        <v>105</v>
      </c>
      <c r="Q1170" t="s">
        <v>38</v>
      </c>
      <c r="R1170">
        <v>166</v>
      </c>
      <c r="S1170">
        <v>16.744</v>
      </c>
      <c r="T1170" t="s">
        <v>26</v>
      </c>
    </row>
    <row r="1171" spans="1:20" x14ac:dyDescent="0.3">
      <c r="A1171" t="s">
        <v>20</v>
      </c>
      <c r="B1171">
        <v>79</v>
      </c>
      <c r="C1171">
        <v>105.30200000000001</v>
      </c>
      <c r="D1171">
        <v>1.5429999999999999</v>
      </c>
      <c r="E1171">
        <v>34.625</v>
      </c>
      <c r="F1171">
        <v>113.675</v>
      </c>
      <c r="G1171" t="s">
        <v>1002</v>
      </c>
      <c r="H1171">
        <v>272</v>
      </c>
      <c r="I1171">
        <v>55</v>
      </c>
      <c r="J1171">
        <v>117</v>
      </c>
      <c r="K1171" t="s">
        <v>22</v>
      </c>
      <c r="L1171" t="s">
        <v>22</v>
      </c>
      <c r="M1171" t="s">
        <v>37</v>
      </c>
      <c r="N1171">
        <v>0.73699999999999999</v>
      </c>
      <c r="O1171">
        <v>141</v>
      </c>
      <c r="P1171">
        <v>87</v>
      </c>
      <c r="Q1171" t="s">
        <v>29</v>
      </c>
      <c r="S1171">
        <v>19.414999999999999</v>
      </c>
      <c r="T1171" t="s">
        <v>26</v>
      </c>
    </row>
    <row r="1172" spans="1:20" x14ac:dyDescent="0.3">
      <c r="A1172" t="s">
        <v>31</v>
      </c>
      <c r="B1172">
        <v>42</v>
      </c>
      <c r="C1172">
        <v>100.479</v>
      </c>
      <c r="D1172">
        <v>1.9690000000000001</v>
      </c>
      <c r="E1172">
        <v>33.57</v>
      </c>
      <c r="F1172">
        <v>85.733999999999995</v>
      </c>
      <c r="G1172" t="s">
        <v>1003</v>
      </c>
      <c r="H1172">
        <v>293</v>
      </c>
      <c r="I1172">
        <v>89</v>
      </c>
      <c r="J1172">
        <v>95</v>
      </c>
      <c r="K1172" t="s">
        <v>23</v>
      </c>
      <c r="L1172" t="s">
        <v>23</v>
      </c>
      <c r="M1172" t="s">
        <v>28</v>
      </c>
      <c r="N1172">
        <v>0.435</v>
      </c>
      <c r="O1172">
        <v>103</v>
      </c>
      <c r="P1172">
        <v>119</v>
      </c>
      <c r="Q1172" t="s">
        <v>38</v>
      </c>
      <c r="R1172">
        <v>174</v>
      </c>
      <c r="S1172">
        <v>19.724</v>
      </c>
      <c r="T1172" t="s">
        <v>26</v>
      </c>
    </row>
    <row r="1173" spans="1:20" x14ac:dyDescent="0.3">
      <c r="A1173" t="s">
        <v>31</v>
      </c>
      <c r="B1173">
        <v>43</v>
      </c>
      <c r="C1173">
        <v>57.829000000000001</v>
      </c>
      <c r="D1173">
        <v>1.526</v>
      </c>
      <c r="E1173">
        <v>19.004999999999999</v>
      </c>
      <c r="F1173">
        <v>90.872</v>
      </c>
      <c r="G1173" t="s">
        <v>1004</v>
      </c>
      <c r="H1173">
        <v>163</v>
      </c>
      <c r="I1173">
        <v>59</v>
      </c>
      <c r="J1173">
        <v>95</v>
      </c>
      <c r="K1173" t="s">
        <v>22</v>
      </c>
      <c r="L1173" t="s">
        <v>23</v>
      </c>
      <c r="M1173" t="s">
        <v>28</v>
      </c>
      <c r="N1173">
        <v>0.59499999999999997</v>
      </c>
      <c r="O1173">
        <v>177</v>
      </c>
      <c r="P1173">
        <v>72</v>
      </c>
      <c r="Q1173" t="s">
        <v>38</v>
      </c>
      <c r="R1173">
        <v>74</v>
      </c>
      <c r="S1173">
        <v>17.911000000000001</v>
      </c>
      <c r="T1173" t="s">
        <v>52</v>
      </c>
    </row>
    <row r="1174" spans="1:20" x14ac:dyDescent="0.3">
      <c r="A1174" t="s">
        <v>31</v>
      </c>
      <c r="B1174">
        <v>79</v>
      </c>
      <c r="E1174">
        <v>38.81</v>
      </c>
      <c r="G1174" t="s">
        <v>1005</v>
      </c>
      <c r="H1174">
        <v>183</v>
      </c>
      <c r="I1174">
        <v>78</v>
      </c>
      <c r="J1174">
        <v>94</v>
      </c>
      <c r="K1174" t="s">
        <v>22</v>
      </c>
      <c r="L1174" t="s">
        <v>23</v>
      </c>
      <c r="M1174" t="s">
        <v>28</v>
      </c>
      <c r="N1174">
        <v>0.46700000000000003</v>
      </c>
      <c r="O1174">
        <v>166</v>
      </c>
      <c r="P1174">
        <v>115</v>
      </c>
      <c r="Q1174" t="s">
        <v>38</v>
      </c>
      <c r="R1174">
        <v>75</v>
      </c>
      <c r="S1174">
        <v>21.722000000000001</v>
      </c>
      <c r="T1174" t="s">
        <v>30</v>
      </c>
    </row>
    <row r="1175" spans="1:20" x14ac:dyDescent="0.3">
      <c r="A1175" t="s">
        <v>20</v>
      </c>
      <c r="B1175">
        <v>64</v>
      </c>
      <c r="C1175">
        <v>93.953999999999994</v>
      </c>
      <c r="D1175">
        <v>1.587</v>
      </c>
      <c r="E1175">
        <v>31.268999999999998</v>
      </c>
      <c r="F1175">
        <v>109.312</v>
      </c>
      <c r="G1175" t="s">
        <v>1006</v>
      </c>
      <c r="H1175">
        <v>127</v>
      </c>
      <c r="I1175">
        <v>76</v>
      </c>
      <c r="J1175">
        <v>97</v>
      </c>
      <c r="K1175" t="s">
        <v>22</v>
      </c>
      <c r="L1175" t="s">
        <v>23</v>
      </c>
      <c r="M1175" t="s">
        <v>24</v>
      </c>
      <c r="N1175">
        <v>0.68899999999999995</v>
      </c>
      <c r="O1175">
        <v>138</v>
      </c>
      <c r="P1175">
        <v>89</v>
      </c>
      <c r="Q1175" t="s">
        <v>29</v>
      </c>
      <c r="S1175">
        <v>17.693999999999999</v>
      </c>
      <c r="T1175" t="s">
        <v>52</v>
      </c>
    </row>
    <row r="1176" spans="1:20" x14ac:dyDescent="0.3">
      <c r="A1176" t="s">
        <v>31</v>
      </c>
      <c r="B1176">
        <v>33</v>
      </c>
      <c r="C1176">
        <v>69.347999999999999</v>
      </c>
      <c r="D1176">
        <v>1.621</v>
      </c>
      <c r="E1176">
        <v>23.952999999999999</v>
      </c>
      <c r="G1176" t="s">
        <v>1007</v>
      </c>
      <c r="H1176">
        <v>293</v>
      </c>
      <c r="I1176">
        <v>66</v>
      </c>
      <c r="J1176">
        <v>135</v>
      </c>
      <c r="K1176" t="s">
        <v>22</v>
      </c>
      <c r="L1176" t="s">
        <v>22</v>
      </c>
      <c r="M1176" t="s">
        <v>37</v>
      </c>
      <c r="N1176">
        <v>0.58799999999999997</v>
      </c>
      <c r="O1176">
        <v>147</v>
      </c>
      <c r="P1176">
        <v>119</v>
      </c>
      <c r="Q1176" t="s">
        <v>38</v>
      </c>
      <c r="R1176">
        <v>197</v>
      </c>
      <c r="S1176">
        <v>18.001000000000001</v>
      </c>
      <c r="T1176" t="s">
        <v>30</v>
      </c>
    </row>
    <row r="1177" spans="1:20" x14ac:dyDescent="0.3">
      <c r="A1177" t="s">
        <v>20</v>
      </c>
      <c r="B1177">
        <v>51</v>
      </c>
      <c r="C1177">
        <v>82.313000000000002</v>
      </c>
      <c r="D1177">
        <v>1.518</v>
      </c>
      <c r="E1177">
        <v>35.055</v>
      </c>
      <c r="F1177">
        <v>95.308000000000007</v>
      </c>
      <c r="G1177" t="s">
        <v>1008</v>
      </c>
      <c r="H1177">
        <v>156</v>
      </c>
      <c r="I1177">
        <v>35</v>
      </c>
      <c r="J1177">
        <v>139</v>
      </c>
      <c r="K1177" t="s">
        <v>22</v>
      </c>
      <c r="L1177" t="s">
        <v>23</v>
      </c>
      <c r="M1177" t="s">
        <v>24</v>
      </c>
      <c r="N1177">
        <v>0.628</v>
      </c>
      <c r="O1177">
        <v>144</v>
      </c>
      <c r="P1177">
        <v>90</v>
      </c>
      <c r="Q1177" t="s">
        <v>38</v>
      </c>
      <c r="R1177">
        <v>91</v>
      </c>
      <c r="S1177">
        <v>19.331</v>
      </c>
      <c r="T1177" t="s">
        <v>30</v>
      </c>
    </row>
    <row r="1178" spans="1:20" x14ac:dyDescent="0.3">
      <c r="A1178" t="s">
        <v>20</v>
      </c>
      <c r="B1178">
        <v>43</v>
      </c>
      <c r="C1178">
        <v>89.83</v>
      </c>
      <c r="D1178">
        <v>1.857</v>
      </c>
      <c r="E1178">
        <v>28.135000000000002</v>
      </c>
      <c r="F1178">
        <v>117.79600000000001</v>
      </c>
      <c r="G1178" t="s">
        <v>716</v>
      </c>
      <c r="H1178">
        <v>250</v>
      </c>
      <c r="I1178">
        <v>33</v>
      </c>
      <c r="J1178">
        <v>92</v>
      </c>
      <c r="K1178" t="s">
        <v>23</v>
      </c>
      <c r="L1178" t="s">
        <v>23</v>
      </c>
      <c r="M1178" t="s">
        <v>37</v>
      </c>
      <c r="N1178">
        <v>0.63400000000000001</v>
      </c>
      <c r="O1178">
        <v>110</v>
      </c>
      <c r="P1178">
        <v>64</v>
      </c>
      <c r="Q1178" t="s">
        <v>33</v>
      </c>
      <c r="R1178">
        <v>187</v>
      </c>
      <c r="S1178">
        <v>18.126999999999999</v>
      </c>
      <c r="T1178" t="s">
        <v>26</v>
      </c>
    </row>
    <row r="1179" spans="1:20" x14ac:dyDescent="0.3">
      <c r="A1179" t="s">
        <v>20</v>
      </c>
      <c r="B1179">
        <v>54</v>
      </c>
      <c r="C1179">
        <v>83.558000000000007</v>
      </c>
      <c r="D1179">
        <v>1.784</v>
      </c>
      <c r="E1179">
        <v>26.809000000000001</v>
      </c>
      <c r="F1179">
        <v>103.006</v>
      </c>
      <c r="G1179" t="s">
        <v>1009</v>
      </c>
      <c r="H1179">
        <v>137</v>
      </c>
      <c r="I1179">
        <v>72</v>
      </c>
      <c r="J1179">
        <v>147</v>
      </c>
      <c r="K1179" t="s">
        <v>23</v>
      </c>
      <c r="L1179" t="s">
        <v>23</v>
      </c>
      <c r="M1179" t="s">
        <v>28</v>
      </c>
      <c r="N1179">
        <v>0.57799999999999996</v>
      </c>
      <c r="O1179">
        <v>168</v>
      </c>
      <c r="P1179">
        <v>110</v>
      </c>
      <c r="Q1179" t="s">
        <v>38</v>
      </c>
      <c r="R1179">
        <v>35</v>
      </c>
      <c r="S1179">
        <v>18.501999999999999</v>
      </c>
      <c r="T1179" t="s">
        <v>30</v>
      </c>
    </row>
    <row r="1180" spans="1:20" x14ac:dyDescent="0.3">
      <c r="A1180" t="s">
        <v>31</v>
      </c>
      <c r="B1180">
        <v>49</v>
      </c>
      <c r="C1180">
        <v>70.563000000000002</v>
      </c>
      <c r="D1180">
        <v>1.901</v>
      </c>
      <c r="E1180">
        <v>31.814</v>
      </c>
      <c r="F1180">
        <v>102.616</v>
      </c>
      <c r="G1180" t="s">
        <v>1010</v>
      </c>
      <c r="H1180">
        <v>197</v>
      </c>
      <c r="I1180">
        <v>68</v>
      </c>
      <c r="K1180" t="s">
        <v>23</v>
      </c>
      <c r="L1180" t="s">
        <v>22</v>
      </c>
      <c r="M1180" t="s">
        <v>28</v>
      </c>
      <c r="N1180">
        <v>0.54</v>
      </c>
      <c r="O1180">
        <v>123</v>
      </c>
      <c r="P1180">
        <v>91</v>
      </c>
      <c r="Q1180" t="s">
        <v>38</v>
      </c>
      <c r="R1180">
        <v>99</v>
      </c>
      <c r="S1180">
        <v>16.452999999999999</v>
      </c>
      <c r="T1180" t="s">
        <v>52</v>
      </c>
    </row>
    <row r="1181" spans="1:20" x14ac:dyDescent="0.3">
      <c r="A1181" t="s">
        <v>20</v>
      </c>
      <c r="B1181">
        <v>72</v>
      </c>
      <c r="C1181">
        <v>92.602000000000004</v>
      </c>
      <c r="D1181">
        <v>1.9359999999999999</v>
      </c>
      <c r="E1181">
        <v>31.960999999999999</v>
      </c>
      <c r="F1181">
        <v>108.304</v>
      </c>
      <c r="G1181" t="s">
        <v>1011</v>
      </c>
      <c r="H1181">
        <v>298</v>
      </c>
      <c r="I1181">
        <v>69</v>
      </c>
      <c r="J1181">
        <v>107</v>
      </c>
      <c r="K1181" t="s">
        <v>22</v>
      </c>
      <c r="L1181" t="s">
        <v>22</v>
      </c>
      <c r="M1181" t="s">
        <v>37</v>
      </c>
      <c r="N1181">
        <v>0.55900000000000005</v>
      </c>
      <c r="O1181">
        <v>91</v>
      </c>
      <c r="P1181">
        <v>105</v>
      </c>
      <c r="Q1181" t="s">
        <v>38</v>
      </c>
      <c r="R1181">
        <v>199</v>
      </c>
      <c r="S1181">
        <v>16.902000000000001</v>
      </c>
      <c r="T1181" t="s">
        <v>26</v>
      </c>
    </row>
    <row r="1182" spans="1:20" x14ac:dyDescent="0.3">
      <c r="A1182" t="s">
        <v>31</v>
      </c>
      <c r="B1182">
        <v>39</v>
      </c>
      <c r="C1182">
        <v>88.135000000000005</v>
      </c>
      <c r="D1182">
        <v>1.984</v>
      </c>
      <c r="E1182">
        <v>37.984000000000002</v>
      </c>
      <c r="F1182">
        <v>92.120999999999995</v>
      </c>
      <c r="G1182" t="s">
        <v>1012</v>
      </c>
      <c r="I1182">
        <v>72</v>
      </c>
      <c r="J1182">
        <v>195</v>
      </c>
      <c r="K1182" t="s">
        <v>23</v>
      </c>
      <c r="L1182" t="s">
        <v>22</v>
      </c>
      <c r="M1182" t="s">
        <v>24</v>
      </c>
      <c r="N1182">
        <v>0.46400000000000002</v>
      </c>
      <c r="O1182">
        <v>154</v>
      </c>
      <c r="P1182">
        <v>71</v>
      </c>
      <c r="Q1182" t="s">
        <v>38</v>
      </c>
      <c r="R1182">
        <v>60</v>
      </c>
      <c r="S1182">
        <v>18.536999999999999</v>
      </c>
      <c r="T1182" t="s">
        <v>52</v>
      </c>
    </row>
    <row r="1183" spans="1:20" x14ac:dyDescent="0.3">
      <c r="A1183" t="s">
        <v>31</v>
      </c>
      <c r="B1183">
        <v>32</v>
      </c>
      <c r="C1183">
        <v>97.001999999999995</v>
      </c>
      <c r="D1183">
        <v>1.6419999999999999</v>
      </c>
      <c r="E1183">
        <v>25.102</v>
      </c>
      <c r="F1183">
        <v>109.869</v>
      </c>
      <c r="G1183" t="s">
        <v>613</v>
      </c>
      <c r="H1183">
        <v>160</v>
      </c>
      <c r="I1183">
        <v>44</v>
      </c>
      <c r="J1183">
        <v>86</v>
      </c>
      <c r="K1183" t="s">
        <v>22</v>
      </c>
      <c r="L1183" t="s">
        <v>23</v>
      </c>
      <c r="M1183" t="s">
        <v>37</v>
      </c>
      <c r="N1183">
        <v>0.66900000000000004</v>
      </c>
      <c r="O1183">
        <v>105</v>
      </c>
      <c r="P1183">
        <v>72</v>
      </c>
      <c r="Q1183" t="s">
        <v>33</v>
      </c>
      <c r="R1183">
        <v>86</v>
      </c>
      <c r="S1183">
        <v>15.47</v>
      </c>
      <c r="T1183" t="s">
        <v>52</v>
      </c>
    </row>
    <row r="1184" spans="1:20" x14ac:dyDescent="0.3">
      <c r="A1184" t="s">
        <v>20</v>
      </c>
      <c r="B1184">
        <v>31</v>
      </c>
      <c r="C1184">
        <v>90.448999999999998</v>
      </c>
      <c r="D1184">
        <v>1.9810000000000001</v>
      </c>
      <c r="E1184">
        <v>26.614000000000001</v>
      </c>
      <c r="F1184">
        <v>87.471999999999994</v>
      </c>
      <c r="G1184" t="s">
        <v>1013</v>
      </c>
      <c r="H1184">
        <v>208</v>
      </c>
      <c r="I1184">
        <v>43</v>
      </c>
      <c r="J1184">
        <v>73</v>
      </c>
      <c r="K1184" t="s">
        <v>23</v>
      </c>
      <c r="L1184" t="s">
        <v>22</v>
      </c>
      <c r="M1184" t="s">
        <v>24</v>
      </c>
      <c r="N1184">
        <v>0.441</v>
      </c>
      <c r="O1184">
        <v>164</v>
      </c>
      <c r="P1184">
        <v>63</v>
      </c>
      <c r="Q1184" t="s">
        <v>38</v>
      </c>
      <c r="R1184">
        <v>135</v>
      </c>
      <c r="S1184">
        <v>17.683</v>
      </c>
      <c r="T1184" t="s">
        <v>26</v>
      </c>
    </row>
    <row r="1185" spans="1:20" x14ac:dyDescent="0.3">
      <c r="A1185" t="s">
        <v>31</v>
      </c>
      <c r="B1185">
        <v>31</v>
      </c>
      <c r="D1185">
        <v>1.58</v>
      </c>
      <c r="E1185">
        <v>20.565999999999999</v>
      </c>
      <c r="F1185">
        <v>86.876000000000005</v>
      </c>
      <c r="G1185" t="s">
        <v>1014</v>
      </c>
      <c r="H1185">
        <v>213</v>
      </c>
      <c r="I1185">
        <v>76</v>
      </c>
      <c r="J1185">
        <v>182</v>
      </c>
      <c r="K1185" t="s">
        <v>23</v>
      </c>
      <c r="L1185" t="s">
        <v>22</v>
      </c>
      <c r="M1185" t="s">
        <v>28</v>
      </c>
      <c r="N1185">
        <v>0.55000000000000004</v>
      </c>
      <c r="O1185">
        <v>142</v>
      </c>
      <c r="P1185">
        <v>74</v>
      </c>
      <c r="Q1185" t="s">
        <v>38</v>
      </c>
      <c r="R1185">
        <v>107</v>
      </c>
      <c r="S1185">
        <v>15.473000000000001</v>
      </c>
      <c r="T1185" t="s">
        <v>30</v>
      </c>
    </row>
    <row r="1186" spans="1:20" x14ac:dyDescent="0.3">
      <c r="A1186" t="s">
        <v>31</v>
      </c>
      <c r="B1186">
        <v>64</v>
      </c>
      <c r="C1186">
        <v>105.461</v>
      </c>
      <c r="D1186">
        <v>1.5620000000000001</v>
      </c>
      <c r="E1186">
        <v>26.538</v>
      </c>
      <c r="F1186">
        <v>109.05</v>
      </c>
      <c r="G1186" t="s">
        <v>1015</v>
      </c>
      <c r="H1186">
        <v>295</v>
      </c>
      <c r="I1186">
        <v>73</v>
      </c>
      <c r="J1186">
        <v>157</v>
      </c>
      <c r="K1186" t="s">
        <v>23</v>
      </c>
      <c r="L1186" t="s">
        <v>23</v>
      </c>
      <c r="M1186" t="s">
        <v>28</v>
      </c>
      <c r="N1186">
        <v>0.69799999999999995</v>
      </c>
      <c r="O1186">
        <v>147</v>
      </c>
      <c r="P1186">
        <v>73</v>
      </c>
      <c r="Q1186" t="s">
        <v>38</v>
      </c>
      <c r="R1186">
        <v>192</v>
      </c>
      <c r="S1186">
        <v>20.558</v>
      </c>
      <c r="T1186" t="s">
        <v>26</v>
      </c>
    </row>
    <row r="1187" spans="1:20" x14ac:dyDescent="0.3">
      <c r="A1187" t="s">
        <v>20</v>
      </c>
      <c r="B1187">
        <v>33</v>
      </c>
      <c r="C1187">
        <v>112.497</v>
      </c>
      <c r="D1187">
        <v>1.657</v>
      </c>
      <c r="E1187">
        <v>34.683</v>
      </c>
      <c r="F1187">
        <v>77.507999999999996</v>
      </c>
      <c r="G1187" t="s">
        <v>1016</v>
      </c>
      <c r="H1187">
        <v>130</v>
      </c>
      <c r="I1187">
        <v>87</v>
      </c>
      <c r="J1187">
        <v>81</v>
      </c>
      <c r="K1187" t="s">
        <v>23</v>
      </c>
      <c r="L1187" t="s">
        <v>23</v>
      </c>
      <c r="M1187" t="s">
        <v>37</v>
      </c>
      <c r="N1187">
        <v>0.46800000000000003</v>
      </c>
      <c r="O1187">
        <v>121</v>
      </c>
      <c r="Q1187" t="s">
        <v>25</v>
      </c>
      <c r="R1187">
        <v>13</v>
      </c>
      <c r="S1187">
        <v>17.587</v>
      </c>
      <c r="T1187" t="s">
        <v>52</v>
      </c>
    </row>
    <row r="1188" spans="1:20" x14ac:dyDescent="0.3">
      <c r="A1188" t="s">
        <v>20</v>
      </c>
      <c r="B1188">
        <v>70</v>
      </c>
      <c r="C1188">
        <v>99.48</v>
      </c>
      <c r="D1188">
        <v>1.9750000000000001</v>
      </c>
      <c r="E1188">
        <v>38.491</v>
      </c>
      <c r="F1188">
        <v>71.545000000000002</v>
      </c>
      <c r="G1188" t="s">
        <v>1017</v>
      </c>
      <c r="H1188">
        <v>161</v>
      </c>
      <c r="I1188">
        <v>76</v>
      </c>
      <c r="J1188">
        <v>130</v>
      </c>
      <c r="K1188" t="s">
        <v>22</v>
      </c>
      <c r="L1188" t="s">
        <v>22</v>
      </c>
      <c r="M1188" t="s">
        <v>37</v>
      </c>
      <c r="N1188">
        <v>0.36199999999999999</v>
      </c>
      <c r="O1188">
        <v>129</v>
      </c>
      <c r="P1188">
        <v>65</v>
      </c>
      <c r="Q1188" t="s">
        <v>25</v>
      </c>
      <c r="R1188">
        <v>55</v>
      </c>
      <c r="S1188">
        <v>17.367999999999999</v>
      </c>
      <c r="T1188" t="s">
        <v>30</v>
      </c>
    </row>
    <row r="1189" spans="1:20" x14ac:dyDescent="0.3">
      <c r="A1189" t="s">
        <v>20</v>
      </c>
      <c r="B1189">
        <v>75</v>
      </c>
      <c r="C1189">
        <v>59.262999999999998</v>
      </c>
      <c r="D1189">
        <v>1.583</v>
      </c>
      <c r="E1189">
        <v>31.780999999999999</v>
      </c>
      <c r="F1189">
        <v>104.872</v>
      </c>
      <c r="G1189" t="s">
        <v>1018</v>
      </c>
      <c r="H1189">
        <v>219</v>
      </c>
      <c r="I1189">
        <v>70</v>
      </c>
      <c r="J1189">
        <v>105</v>
      </c>
      <c r="K1189" t="s">
        <v>22</v>
      </c>
      <c r="L1189" t="s">
        <v>23</v>
      </c>
      <c r="M1189" t="s">
        <v>24</v>
      </c>
      <c r="N1189">
        <v>0.66300000000000003</v>
      </c>
      <c r="P1189">
        <v>86</v>
      </c>
      <c r="Q1189" t="s">
        <v>29</v>
      </c>
      <c r="R1189">
        <v>119</v>
      </c>
      <c r="S1189">
        <v>17.335999999999999</v>
      </c>
      <c r="T1189" t="s">
        <v>30</v>
      </c>
    </row>
    <row r="1190" spans="1:20" x14ac:dyDescent="0.3">
      <c r="A1190" t="s">
        <v>31</v>
      </c>
      <c r="B1190">
        <v>64</v>
      </c>
      <c r="C1190">
        <v>73.349000000000004</v>
      </c>
      <c r="D1190">
        <v>1.966</v>
      </c>
      <c r="E1190">
        <v>31.843</v>
      </c>
      <c r="F1190">
        <v>104.876</v>
      </c>
      <c r="G1190" t="s">
        <v>1019</v>
      </c>
      <c r="H1190">
        <v>299</v>
      </c>
      <c r="I1190">
        <v>86</v>
      </c>
      <c r="J1190">
        <v>139</v>
      </c>
      <c r="K1190" t="s">
        <v>23</v>
      </c>
      <c r="L1190" t="s">
        <v>23</v>
      </c>
      <c r="M1190" t="s">
        <v>28</v>
      </c>
      <c r="N1190">
        <v>0.53400000000000003</v>
      </c>
      <c r="O1190">
        <v>116</v>
      </c>
      <c r="P1190">
        <v>82</v>
      </c>
      <c r="Q1190" t="s">
        <v>29</v>
      </c>
      <c r="R1190">
        <v>183</v>
      </c>
      <c r="S1190">
        <v>20.149000000000001</v>
      </c>
      <c r="T1190" t="s">
        <v>30</v>
      </c>
    </row>
    <row r="1191" spans="1:20" x14ac:dyDescent="0.3">
      <c r="A1191" t="s">
        <v>31</v>
      </c>
      <c r="B1191">
        <v>36</v>
      </c>
      <c r="C1191">
        <v>89.56</v>
      </c>
      <c r="D1191">
        <v>1.5960000000000001</v>
      </c>
      <c r="E1191">
        <v>31.536999999999999</v>
      </c>
      <c r="F1191">
        <v>84.117999999999995</v>
      </c>
      <c r="G1191" t="s">
        <v>1020</v>
      </c>
      <c r="H1191">
        <v>289</v>
      </c>
      <c r="I1191">
        <v>72</v>
      </c>
      <c r="J1191">
        <v>70</v>
      </c>
      <c r="K1191" t="s">
        <v>22</v>
      </c>
      <c r="L1191" t="s">
        <v>22</v>
      </c>
      <c r="M1191" t="s">
        <v>37</v>
      </c>
      <c r="N1191">
        <v>0.52700000000000002</v>
      </c>
      <c r="O1191">
        <v>91</v>
      </c>
      <c r="P1191">
        <v>92</v>
      </c>
      <c r="Q1191" t="s">
        <v>38</v>
      </c>
      <c r="R1191">
        <v>187</v>
      </c>
      <c r="S1191">
        <v>16.637</v>
      </c>
      <c r="T1191" t="s">
        <v>52</v>
      </c>
    </row>
    <row r="1192" spans="1:20" x14ac:dyDescent="0.3">
      <c r="A1192" t="s">
        <v>31</v>
      </c>
      <c r="B1192">
        <v>73</v>
      </c>
      <c r="C1192">
        <v>118.88800000000001</v>
      </c>
      <c r="E1192">
        <v>35.128999999999998</v>
      </c>
      <c r="F1192">
        <v>97.39</v>
      </c>
      <c r="G1192" t="s">
        <v>1021</v>
      </c>
      <c r="H1192">
        <v>147</v>
      </c>
      <c r="I1192">
        <v>43</v>
      </c>
      <c r="J1192">
        <v>135</v>
      </c>
      <c r="K1192" t="s">
        <v>23</v>
      </c>
      <c r="L1192" t="s">
        <v>23</v>
      </c>
      <c r="M1192" t="s">
        <v>37</v>
      </c>
      <c r="N1192">
        <v>0.54300000000000004</v>
      </c>
      <c r="O1192">
        <v>101</v>
      </c>
      <c r="P1192">
        <v>95</v>
      </c>
      <c r="Q1192" t="s">
        <v>38</v>
      </c>
      <c r="R1192">
        <v>74</v>
      </c>
      <c r="S1192">
        <v>17.015999999999998</v>
      </c>
      <c r="T1192" t="s">
        <v>52</v>
      </c>
    </row>
    <row r="1193" spans="1:20" x14ac:dyDescent="0.3">
      <c r="A1193" t="s">
        <v>20</v>
      </c>
      <c r="B1193">
        <v>59</v>
      </c>
      <c r="C1193">
        <v>117.124</v>
      </c>
      <c r="D1193">
        <v>1.8029999999999999</v>
      </c>
      <c r="E1193">
        <v>31.814</v>
      </c>
      <c r="F1193">
        <v>116.892</v>
      </c>
      <c r="G1193" t="s">
        <v>1022</v>
      </c>
      <c r="H1193">
        <v>207</v>
      </c>
      <c r="I1193">
        <v>64</v>
      </c>
      <c r="J1193">
        <v>127</v>
      </c>
      <c r="K1193" t="s">
        <v>23</v>
      </c>
      <c r="L1193" t="s">
        <v>23</v>
      </c>
      <c r="M1193" t="s">
        <v>28</v>
      </c>
      <c r="N1193">
        <v>0.64800000000000002</v>
      </c>
      <c r="O1193">
        <v>161</v>
      </c>
      <c r="P1193">
        <v>99</v>
      </c>
      <c r="Q1193" t="s">
        <v>38</v>
      </c>
      <c r="R1193">
        <v>113</v>
      </c>
      <c r="S1193">
        <v>20.553000000000001</v>
      </c>
      <c r="T1193" t="s">
        <v>52</v>
      </c>
    </row>
    <row r="1194" spans="1:20" x14ac:dyDescent="0.3">
      <c r="A1194" t="s">
        <v>31</v>
      </c>
      <c r="B1194">
        <v>75</v>
      </c>
      <c r="C1194">
        <v>54.893000000000001</v>
      </c>
      <c r="D1194">
        <v>1.9139999999999999</v>
      </c>
      <c r="E1194">
        <v>30.824999999999999</v>
      </c>
      <c r="F1194">
        <v>78.863</v>
      </c>
      <c r="G1194" t="s">
        <v>129</v>
      </c>
      <c r="H1194">
        <v>211</v>
      </c>
      <c r="I1194">
        <v>64</v>
      </c>
      <c r="K1194" t="s">
        <v>22</v>
      </c>
      <c r="L1194" t="s">
        <v>22</v>
      </c>
      <c r="M1194" t="s">
        <v>28</v>
      </c>
      <c r="O1194">
        <v>124</v>
      </c>
      <c r="P1194">
        <v>72</v>
      </c>
      <c r="Q1194" t="s">
        <v>25</v>
      </c>
      <c r="R1194">
        <v>117</v>
      </c>
      <c r="S1194">
        <v>16.585000000000001</v>
      </c>
      <c r="T1194" t="s">
        <v>30</v>
      </c>
    </row>
    <row r="1195" spans="1:20" x14ac:dyDescent="0.3">
      <c r="A1195" t="s">
        <v>31</v>
      </c>
      <c r="B1195">
        <v>39</v>
      </c>
      <c r="C1195">
        <v>111.4</v>
      </c>
      <c r="D1195">
        <v>1.8620000000000001</v>
      </c>
      <c r="E1195">
        <v>24.745000000000001</v>
      </c>
      <c r="F1195">
        <v>93.126999999999995</v>
      </c>
      <c r="G1195" t="s">
        <v>1023</v>
      </c>
      <c r="H1195">
        <v>181</v>
      </c>
      <c r="I1195">
        <v>61</v>
      </c>
      <c r="J1195">
        <v>123</v>
      </c>
      <c r="K1195" t="s">
        <v>22</v>
      </c>
      <c r="L1195" t="s">
        <v>23</v>
      </c>
      <c r="M1195" t="s">
        <v>28</v>
      </c>
      <c r="N1195">
        <v>0.5</v>
      </c>
      <c r="O1195">
        <v>157</v>
      </c>
      <c r="P1195">
        <v>109</v>
      </c>
      <c r="Q1195" t="s">
        <v>38</v>
      </c>
      <c r="R1195">
        <v>90</v>
      </c>
      <c r="S1195">
        <v>18.419</v>
      </c>
      <c r="T1195" t="s">
        <v>26</v>
      </c>
    </row>
    <row r="1196" spans="1:20" x14ac:dyDescent="0.3">
      <c r="A1196" t="s">
        <v>31</v>
      </c>
      <c r="B1196">
        <v>55</v>
      </c>
      <c r="C1196">
        <v>63.582999999999998</v>
      </c>
      <c r="D1196">
        <v>1.9810000000000001</v>
      </c>
      <c r="E1196">
        <v>30.974</v>
      </c>
      <c r="F1196">
        <v>82.141999999999996</v>
      </c>
      <c r="G1196" t="s">
        <v>1024</v>
      </c>
      <c r="H1196">
        <v>194</v>
      </c>
      <c r="I1196">
        <v>75</v>
      </c>
      <c r="J1196">
        <v>150</v>
      </c>
      <c r="K1196" t="s">
        <v>23</v>
      </c>
      <c r="L1196" t="s">
        <v>22</v>
      </c>
      <c r="M1196" t="s">
        <v>37</v>
      </c>
      <c r="N1196">
        <v>0.41499999999999998</v>
      </c>
      <c r="O1196">
        <v>172</v>
      </c>
      <c r="P1196">
        <v>79</v>
      </c>
      <c r="Q1196" t="s">
        <v>38</v>
      </c>
      <c r="R1196">
        <v>89</v>
      </c>
      <c r="S1196">
        <v>18.675000000000001</v>
      </c>
      <c r="T1196" t="s">
        <v>52</v>
      </c>
    </row>
    <row r="1197" spans="1:20" x14ac:dyDescent="0.3">
      <c r="A1197" t="s">
        <v>20</v>
      </c>
      <c r="B1197">
        <v>30</v>
      </c>
      <c r="C1197">
        <v>71.600999999999999</v>
      </c>
      <c r="D1197">
        <v>1.782</v>
      </c>
      <c r="E1197">
        <v>19.030999999999999</v>
      </c>
      <c r="F1197">
        <v>72.418999999999997</v>
      </c>
      <c r="G1197" t="s">
        <v>1025</v>
      </c>
      <c r="H1197">
        <v>264</v>
      </c>
      <c r="I1197">
        <v>44</v>
      </c>
      <c r="J1197">
        <v>189</v>
      </c>
      <c r="K1197" t="s">
        <v>23</v>
      </c>
      <c r="L1197" t="s">
        <v>22</v>
      </c>
      <c r="M1197" t="s">
        <v>24</v>
      </c>
      <c r="N1197">
        <v>0.40600000000000003</v>
      </c>
      <c r="O1197">
        <v>126</v>
      </c>
      <c r="P1197">
        <v>106</v>
      </c>
      <c r="Q1197" t="s">
        <v>38</v>
      </c>
      <c r="R1197">
        <v>190</v>
      </c>
      <c r="S1197">
        <v>15.385999999999999</v>
      </c>
      <c r="T1197" t="s">
        <v>52</v>
      </c>
    </row>
    <row r="1198" spans="1:20" x14ac:dyDescent="0.3">
      <c r="A1198" t="s">
        <v>20</v>
      </c>
      <c r="B1198">
        <v>37</v>
      </c>
      <c r="C1198">
        <v>113.34099999999999</v>
      </c>
      <c r="D1198">
        <v>1.7869999999999999</v>
      </c>
      <c r="E1198">
        <v>29.344999999999999</v>
      </c>
      <c r="F1198">
        <v>80.006</v>
      </c>
      <c r="G1198" t="s">
        <v>317</v>
      </c>
      <c r="H1198">
        <v>266</v>
      </c>
      <c r="I1198">
        <v>85</v>
      </c>
      <c r="J1198">
        <v>185</v>
      </c>
      <c r="K1198" t="s">
        <v>23</v>
      </c>
      <c r="L1198" t="s">
        <v>23</v>
      </c>
      <c r="M1198" t="s">
        <v>28</v>
      </c>
      <c r="N1198">
        <v>0.44800000000000001</v>
      </c>
      <c r="O1198">
        <v>129</v>
      </c>
      <c r="P1198">
        <v>63</v>
      </c>
      <c r="Q1198" t="s">
        <v>25</v>
      </c>
      <c r="R1198">
        <v>151</v>
      </c>
      <c r="S1198">
        <v>19.638999999999999</v>
      </c>
      <c r="T1198" t="s">
        <v>30</v>
      </c>
    </row>
    <row r="1199" spans="1:20" x14ac:dyDescent="0.3">
      <c r="A1199" t="s">
        <v>20</v>
      </c>
      <c r="B1199">
        <v>68</v>
      </c>
      <c r="C1199">
        <v>78.561000000000007</v>
      </c>
      <c r="E1199">
        <v>32.466000000000001</v>
      </c>
      <c r="F1199">
        <v>77.183999999999997</v>
      </c>
      <c r="G1199" t="s">
        <v>434</v>
      </c>
      <c r="H1199">
        <v>178</v>
      </c>
      <c r="I1199">
        <v>73</v>
      </c>
      <c r="J1199">
        <v>143</v>
      </c>
      <c r="K1199" t="s">
        <v>23</v>
      </c>
      <c r="L1199" t="s">
        <v>23</v>
      </c>
      <c r="M1199" t="s">
        <v>28</v>
      </c>
      <c r="N1199">
        <v>0.45200000000000001</v>
      </c>
      <c r="O1199">
        <v>141</v>
      </c>
      <c r="P1199">
        <v>76</v>
      </c>
      <c r="Q1199" t="s">
        <v>38</v>
      </c>
      <c r="R1199">
        <v>75</v>
      </c>
      <c r="S1199">
        <v>19.103000000000002</v>
      </c>
      <c r="T1199" t="s">
        <v>30</v>
      </c>
    </row>
    <row r="1200" spans="1:20" x14ac:dyDescent="0.3">
      <c r="A1200" t="s">
        <v>31</v>
      </c>
      <c r="B1200">
        <v>39</v>
      </c>
      <c r="C1200">
        <v>54.08</v>
      </c>
      <c r="D1200">
        <v>1.56</v>
      </c>
      <c r="E1200">
        <v>19.771999999999998</v>
      </c>
      <c r="F1200">
        <v>107.995</v>
      </c>
      <c r="G1200" t="s">
        <v>1026</v>
      </c>
      <c r="H1200">
        <v>287</v>
      </c>
      <c r="I1200">
        <v>56</v>
      </c>
      <c r="J1200">
        <v>176</v>
      </c>
      <c r="K1200" t="s">
        <v>23</v>
      </c>
      <c r="L1200" t="s">
        <v>23</v>
      </c>
      <c r="M1200" t="s">
        <v>37</v>
      </c>
      <c r="N1200">
        <v>0.69199999999999995</v>
      </c>
      <c r="P1200">
        <v>71</v>
      </c>
      <c r="Q1200" t="s">
        <v>33</v>
      </c>
      <c r="R1200">
        <v>201</v>
      </c>
      <c r="S1200">
        <v>17.494</v>
      </c>
      <c r="T1200" t="s">
        <v>26</v>
      </c>
    </row>
    <row r="1201" spans="1:20" x14ac:dyDescent="0.3">
      <c r="A1201" t="s">
        <v>31</v>
      </c>
      <c r="B1201">
        <v>38</v>
      </c>
      <c r="C1201">
        <v>60.436</v>
      </c>
      <c r="D1201">
        <v>1.506</v>
      </c>
      <c r="E1201">
        <v>20.268999999999998</v>
      </c>
      <c r="F1201">
        <v>79.7</v>
      </c>
      <c r="G1201" t="s">
        <v>1027</v>
      </c>
      <c r="H1201">
        <v>119</v>
      </c>
      <c r="I1201">
        <v>46</v>
      </c>
      <c r="J1201">
        <v>190</v>
      </c>
      <c r="K1201" t="s">
        <v>22</v>
      </c>
      <c r="L1201" t="s">
        <v>22</v>
      </c>
      <c r="M1201" t="s">
        <v>28</v>
      </c>
      <c r="N1201">
        <v>0.52900000000000003</v>
      </c>
      <c r="O1201">
        <v>168</v>
      </c>
      <c r="P1201">
        <v>63</v>
      </c>
      <c r="Q1201" t="s">
        <v>38</v>
      </c>
      <c r="R1201">
        <v>43</v>
      </c>
      <c r="S1201">
        <v>14.834</v>
      </c>
      <c r="T1201" t="s">
        <v>30</v>
      </c>
    </row>
    <row r="1202" spans="1:20" x14ac:dyDescent="0.3">
      <c r="A1202" t="s">
        <v>31</v>
      </c>
      <c r="B1202">
        <v>53</v>
      </c>
      <c r="C1202">
        <v>108.15900000000001</v>
      </c>
      <c r="D1202">
        <v>1.925</v>
      </c>
      <c r="E1202">
        <v>24.081</v>
      </c>
      <c r="G1202" t="s">
        <v>1028</v>
      </c>
      <c r="H1202">
        <v>141</v>
      </c>
      <c r="J1202">
        <v>178</v>
      </c>
      <c r="K1202" t="s">
        <v>23</v>
      </c>
      <c r="L1202" t="s">
        <v>23</v>
      </c>
      <c r="M1202" t="s">
        <v>37</v>
      </c>
      <c r="N1202">
        <v>0.41099999999999998</v>
      </c>
      <c r="O1202">
        <v>162</v>
      </c>
      <c r="P1202">
        <v>94</v>
      </c>
      <c r="Q1202" t="s">
        <v>38</v>
      </c>
      <c r="R1202">
        <v>63</v>
      </c>
      <c r="S1202">
        <v>17.736000000000001</v>
      </c>
      <c r="T1202" t="s">
        <v>30</v>
      </c>
    </row>
    <row r="1203" spans="1:20" x14ac:dyDescent="0.3">
      <c r="A1203" t="s">
        <v>31</v>
      </c>
      <c r="C1203">
        <v>119.806</v>
      </c>
      <c r="D1203">
        <v>1.6080000000000001</v>
      </c>
      <c r="E1203">
        <v>31.884</v>
      </c>
      <c r="F1203">
        <v>80.539000000000001</v>
      </c>
      <c r="G1203" t="s">
        <v>1029</v>
      </c>
      <c r="H1203">
        <v>242</v>
      </c>
      <c r="I1203">
        <v>78</v>
      </c>
      <c r="J1203">
        <v>116</v>
      </c>
      <c r="K1203" t="s">
        <v>23</v>
      </c>
      <c r="L1203" t="s">
        <v>22</v>
      </c>
      <c r="M1203" t="s">
        <v>37</v>
      </c>
      <c r="N1203">
        <v>0.501</v>
      </c>
      <c r="O1203">
        <v>124</v>
      </c>
      <c r="P1203">
        <v>100</v>
      </c>
      <c r="Q1203" t="s">
        <v>38</v>
      </c>
      <c r="R1203">
        <v>134</v>
      </c>
      <c r="T1203" t="s">
        <v>30</v>
      </c>
    </row>
    <row r="1204" spans="1:20" x14ac:dyDescent="0.3">
      <c r="A1204" t="s">
        <v>20</v>
      </c>
      <c r="B1204">
        <v>46</v>
      </c>
      <c r="C1204">
        <v>103.504</v>
      </c>
      <c r="D1204">
        <v>1.5389999999999999</v>
      </c>
      <c r="E1204">
        <v>27.606000000000002</v>
      </c>
      <c r="F1204">
        <v>93.716999999999999</v>
      </c>
      <c r="G1204" t="s">
        <v>1030</v>
      </c>
      <c r="H1204">
        <v>238</v>
      </c>
      <c r="I1204">
        <v>87</v>
      </c>
      <c r="K1204" t="s">
        <v>22</v>
      </c>
      <c r="L1204" t="s">
        <v>22</v>
      </c>
      <c r="M1204" t="s">
        <v>28</v>
      </c>
      <c r="N1204">
        <v>0.60899999999999999</v>
      </c>
      <c r="O1204">
        <v>156</v>
      </c>
      <c r="P1204">
        <v>103</v>
      </c>
      <c r="Q1204" t="s">
        <v>38</v>
      </c>
      <c r="R1204">
        <v>121</v>
      </c>
      <c r="S1204">
        <v>18.081</v>
      </c>
      <c r="T1204" t="s">
        <v>26</v>
      </c>
    </row>
    <row r="1205" spans="1:20" x14ac:dyDescent="0.3">
      <c r="A1205" t="s">
        <v>31</v>
      </c>
      <c r="B1205">
        <v>33</v>
      </c>
      <c r="C1205">
        <v>74.183999999999997</v>
      </c>
      <c r="D1205">
        <v>1.966</v>
      </c>
      <c r="E1205">
        <v>32.116</v>
      </c>
      <c r="F1205">
        <v>88.628</v>
      </c>
      <c r="G1205" t="s">
        <v>1031</v>
      </c>
      <c r="H1205">
        <v>242</v>
      </c>
      <c r="I1205">
        <v>77</v>
      </c>
      <c r="J1205">
        <v>112</v>
      </c>
      <c r="K1205" t="s">
        <v>23</v>
      </c>
      <c r="L1205" t="s">
        <v>23</v>
      </c>
      <c r="M1205" t="s">
        <v>24</v>
      </c>
      <c r="N1205">
        <v>0.45100000000000001</v>
      </c>
      <c r="O1205">
        <v>171</v>
      </c>
      <c r="P1205">
        <v>76</v>
      </c>
      <c r="Q1205" t="s">
        <v>38</v>
      </c>
      <c r="R1205">
        <v>135</v>
      </c>
      <c r="S1205">
        <v>21.812999999999999</v>
      </c>
      <c r="T1205" t="s">
        <v>30</v>
      </c>
    </row>
    <row r="1206" spans="1:20" x14ac:dyDescent="0.3">
      <c r="A1206" t="s">
        <v>20</v>
      </c>
      <c r="B1206">
        <v>55</v>
      </c>
      <c r="C1206">
        <v>63.18</v>
      </c>
      <c r="D1206">
        <v>1.954</v>
      </c>
      <c r="F1206">
        <v>74.63</v>
      </c>
      <c r="G1206" t="s">
        <v>1032</v>
      </c>
      <c r="H1206">
        <v>246</v>
      </c>
      <c r="I1206">
        <v>73</v>
      </c>
      <c r="J1206">
        <v>122</v>
      </c>
      <c r="K1206" t="s">
        <v>22</v>
      </c>
      <c r="L1206" t="s">
        <v>23</v>
      </c>
      <c r="M1206" t="s">
        <v>24</v>
      </c>
      <c r="O1206">
        <v>152</v>
      </c>
      <c r="P1206">
        <v>61</v>
      </c>
      <c r="Q1206" t="s">
        <v>38</v>
      </c>
      <c r="R1206">
        <v>143</v>
      </c>
      <c r="S1206">
        <v>19.07</v>
      </c>
      <c r="T1206" t="s">
        <v>26</v>
      </c>
    </row>
    <row r="1207" spans="1:20" x14ac:dyDescent="0.3">
      <c r="A1207" t="s">
        <v>20</v>
      </c>
      <c r="B1207">
        <v>51</v>
      </c>
      <c r="C1207">
        <v>81.921999999999997</v>
      </c>
      <c r="D1207">
        <v>1.5660000000000001</v>
      </c>
      <c r="E1207">
        <v>29.849</v>
      </c>
      <c r="F1207">
        <v>89.554000000000002</v>
      </c>
      <c r="G1207" t="s">
        <v>1033</v>
      </c>
      <c r="H1207">
        <v>195</v>
      </c>
      <c r="I1207">
        <v>87</v>
      </c>
      <c r="J1207">
        <v>112</v>
      </c>
      <c r="K1207" t="s">
        <v>22</v>
      </c>
      <c r="L1207" t="s">
        <v>23</v>
      </c>
      <c r="M1207" t="s">
        <v>37</v>
      </c>
      <c r="N1207">
        <v>0.57199999999999995</v>
      </c>
      <c r="O1207">
        <v>95</v>
      </c>
      <c r="P1207">
        <v>115</v>
      </c>
      <c r="Q1207" t="s">
        <v>38</v>
      </c>
      <c r="R1207">
        <v>78</v>
      </c>
      <c r="T1207" t="s">
        <v>52</v>
      </c>
    </row>
    <row r="1208" spans="1:20" x14ac:dyDescent="0.3">
      <c r="A1208" t="s">
        <v>31</v>
      </c>
      <c r="C1208">
        <v>59.493000000000002</v>
      </c>
      <c r="D1208">
        <v>1.8959999999999999</v>
      </c>
      <c r="E1208">
        <v>25.012</v>
      </c>
      <c r="F1208">
        <v>83.275999999999996</v>
      </c>
      <c r="G1208" t="s">
        <v>1034</v>
      </c>
      <c r="H1208">
        <v>226</v>
      </c>
      <c r="I1208">
        <v>83</v>
      </c>
      <c r="J1208">
        <v>174</v>
      </c>
      <c r="K1208" t="s">
        <v>23</v>
      </c>
      <c r="L1208" t="s">
        <v>22</v>
      </c>
      <c r="M1208" t="s">
        <v>37</v>
      </c>
      <c r="N1208">
        <v>0.439</v>
      </c>
      <c r="O1208">
        <v>120</v>
      </c>
      <c r="P1208">
        <v>61</v>
      </c>
      <c r="Q1208" t="s">
        <v>25</v>
      </c>
      <c r="R1208">
        <v>113</v>
      </c>
      <c r="S1208">
        <v>15.522</v>
      </c>
      <c r="T1208" t="s">
        <v>52</v>
      </c>
    </row>
    <row r="1209" spans="1:20" x14ac:dyDescent="0.3">
      <c r="A1209" t="s">
        <v>31</v>
      </c>
      <c r="B1209">
        <v>73</v>
      </c>
      <c r="C1209">
        <v>117.136</v>
      </c>
      <c r="D1209">
        <v>1.637</v>
      </c>
      <c r="E1209">
        <v>30.518000000000001</v>
      </c>
      <c r="F1209">
        <v>105.836</v>
      </c>
      <c r="G1209" t="s">
        <v>1035</v>
      </c>
      <c r="I1209">
        <v>83</v>
      </c>
      <c r="J1209">
        <v>106</v>
      </c>
      <c r="K1209" t="s">
        <v>22</v>
      </c>
      <c r="L1209" t="s">
        <v>23</v>
      </c>
      <c r="M1209" t="s">
        <v>24</v>
      </c>
      <c r="N1209">
        <v>0.64700000000000002</v>
      </c>
      <c r="O1209">
        <v>168</v>
      </c>
      <c r="P1209">
        <v>61</v>
      </c>
      <c r="Q1209" t="s">
        <v>38</v>
      </c>
      <c r="R1209">
        <v>99</v>
      </c>
      <c r="S1209">
        <v>20.744</v>
      </c>
      <c r="T1209" t="s">
        <v>30</v>
      </c>
    </row>
    <row r="1210" spans="1:20" x14ac:dyDescent="0.3">
      <c r="A1210" t="s">
        <v>20</v>
      </c>
      <c r="B1210">
        <v>28</v>
      </c>
      <c r="C1210">
        <v>116.072</v>
      </c>
      <c r="D1210">
        <v>1.508</v>
      </c>
      <c r="E1210">
        <v>19.613</v>
      </c>
      <c r="F1210">
        <v>94.575999999999993</v>
      </c>
      <c r="G1210" t="s">
        <v>1036</v>
      </c>
      <c r="H1210">
        <v>143</v>
      </c>
      <c r="I1210">
        <v>50</v>
      </c>
      <c r="J1210">
        <v>120</v>
      </c>
      <c r="K1210" t="s">
        <v>22</v>
      </c>
      <c r="L1210" t="s">
        <v>22</v>
      </c>
      <c r="M1210" t="s">
        <v>24</v>
      </c>
      <c r="N1210">
        <v>0.627</v>
      </c>
      <c r="O1210">
        <v>97</v>
      </c>
      <c r="P1210">
        <v>101</v>
      </c>
      <c r="Q1210" t="s">
        <v>38</v>
      </c>
      <c r="R1210">
        <v>63</v>
      </c>
      <c r="S1210">
        <v>11.632999999999999</v>
      </c>
      <c r="T1210" t="s">
        <v>52</v>
      </c>
    </row>
    <row r="1211" spans="1:20" x14ac:dyDescent="0.3">
      <c r="A1211" t="s">
        <v>20</v>
      </c>
      <c r="B1211">
        <v>66</v>
      </c>
      <c r="C1211">
        <v>99.887</v>
      </c>
      <c r="D1211">
        <v>1.738</v>
      </c>
      <c r="E1211">
        <v>29.832999999999998</v>
      </c>
      <c r="F1211">
        <v>83.744</v>
      </c>
      <c r="G1211" t="s">
        <v>1037</v>
      </c>
      <c r="H1211">
        <v>283</v>
      </c>
      <c r="I1211">
        <v>82</v>
      </c>
      <c r="J1211">
        <v>122</v>
      </c>
      <c r="K1211" t="s">
        <v>23</v>
      </c>
      <c r="L1211" t="s">
        <v>23</v>
      </c>
      <c r="M1211" t="s">
        <v>24</v>
      </c>
      <c r="N1211">
        <v>0.48199999999999998</v>
      </c>
      <c r="O1211">
        <v>144</v>
      </c>
      <c r="P1211">
        <v>105</v>
      </c>
      <c r="Q1211" t="s">
        <v>38</v>
      </c>
      <c r="R1211">
        <v>171</v>
      </c>
      <c r="S1211">
        <v>20.827000000000002</v>
      </c>
      <c r="T1211" t="s">
        <v>26</v>
      </c>
    </row>
    <row r="1212" spans="1:20" x14ac:dyDescent="0.3">
      <c r="A1212" t="s">
        <v>20</v>
      </c>
      <c r="B1212">
        <v>74</v>
      </c>
      <c r="C1212">
        <v>68.647999999999996</v>
      </c>
      <c r="D1212">
        <v>1.665</v>
      </c>
      <c r="G1212" t="s">
        <v>1038</v>
      </c>
      <c r="H1212">
        <v>111</v>
      </c>
      <c r="I1212">
        <v>64</v>
      </c>
      <c r="J1212">
        <v>198</v>
      </c>
      <c r="K1212" t="s">
        <v>22</v>
      </c>
      <c r="L1212" t="s">
        <v>23</v>
      </c>
      <c r="M1212" t="s">
        <v>24</v>
      </c>
      <c r="N1212">
        <v>0.66800000000000004</v>
      </c>
      <c r="P1212">
        <v>108</v>
      </c>
      <c r="Q1212" t="s">
        <v>38</v>
      </c>
      <c r="R1212">
        <v>17</v>
      </c>
      <c r="S1212">
        <v>17.794</v>
      </c>
      <c r="T1212" t="s">
        <v>52</v>
      </c>
    </row>
    <row r="1213" spans="1:20" x14ac:dyDescent="0.3">
      <c r="A1213" t="s">
        <v>31</v>
      </c>
      <c r="B1213">
        <v>44</v>
      </c>
      <c r="C1213">
        <v>106.965</v>
      </c>
      <c r="D1213">
        <v>1.8680000000000001</v>
      </c>
      <c r="E1213">
        <v>37.476999999999997</v>
      </c>
      <c r="F1213">
        <v>113.002</v>
      </c>
      <c r="G1213" t="s">
        <v>1039</v>
      </c>
      <c r="H1213">
        <v>295</v>
      </c>
      <c r="I1213">
        <v>88</v>
      </c>
      <c r="J1213">
        <v>151</v>
      </c>
      <c r="K1213" t="s">
        <v>23</v>
      </c>
      <c r="L1213" t="s">
        <v>23</v>
      </c>
      <c r="M1213" t="s">
        <v>24</v>
      </c>
      <c r="N1213">
        <v>0.60499999999999998</v>
      </c>
      <c r="O1213">
        <v>156</v>
      </c>
      <c r="P1213">
        <v>68</v>
      </c>
      <c r="Q1213" t="s">
        <v>38</v>
      </c>
      <c r="R1213">
        <v>177</v>
      </c>
      <c r="S1213">
        <v>23.195</v>
      </c>
      <c r="T1213" t="s">
        <v>30</v>
      </c>
    </row>
    <row r="1214" spans="1:20" x14ac:dyDescent="0.3">
      <c r="A1214" t="s">
        <v>20</v>
      </c>
      <c r="B1214">
        <v>61</v>
      </c>
      <c r="C1214">
        <v>57.841000000000001</v>
      </c>
      <c r="D1214">
        <v>1.7889999999999999</v>
      </c>
      <c r="E1214">
        <v>27.015000000000001</v>
      </c>
      <c r="F1214">
        <v>70.902000000000001</v>
      </c>
      <c r="G1214" t="s">
        <v>1012</v>
      </c>
      <c r="H1214">
        <v>280</v>
      </c>
      <c r="I1214">
        <v>77</v>
      </c>
      <c r="J1214">
        <v>187</v>
      </c>
      <c r="K1214" t="s">
        <v>23</v>
      </c>
      <c r="L1214" t="s">
        <v>22</v>
      </c>
      <c r="M1214" t="s">
        <v>24</v>
      </c>
      <c r="O1214">
        <v>154</v>
      </c>
      <c r="P1214">
        <v>71</v>
      </c>
      <c r="Q1214" t="s">
        <v>38</v>
      </c>
      <c r="R1214">
        <v>173</v>
      </c>
      <c r="S1214">
        <v>18.702999999999999</v>
      </c>
      <c r="T1214" t="s">
        <v>30</v>
      </c>
    </row>
    <row r="1215" spans="1:20" x14ac:dyDescent="0.3">
      <c r="A1215" t="s">
        <v>31</v>
      </c>
      <c r="B1215">
        <v>32</v>
      </c>
      <c r="C1215">
        <v>51.237000000000002</v>
      </c>
      <c r="D1215">
        <v>1.544</v>
      </c>
      <c r="E1215">
        <v>21.132999999999999</v>
      </c>
      <c r="F1215">
        <v>72.805999999999997</v>
      </c>
      <c r="G1215" t="s">
        <v>1040</v>
      </c>
      <c r="H1215">
        <v>122</v>
      </c>
      <c r="I1215">
        <v>47</v>
      </c>
      <c r="J1215">
        <v>176</v>
      </c>
      <c r="K1215" t="s">
        <v>22</v>
      </c>
      <c r="L1215" t="s">
        <v>23</v>
      </c>
      <c r="M1215" t="s">
        <v>24</v>
      </c>
      <c r="N1215">
        <v>0.47099999999999997</v>
      </c>
      <c r="O1215">
        <v>146</v>
      </c>
      <c r="P1215">
        <v>118</v>
      </c>
      <c r="Q1215" t="s">
        <v>38</v>
      </c>
      <c r="R1215">
        <v>45</v>
      </c>
      <c r="S1215">
        <v>15.967000000000001</v>
      </c>
      <c r="T1215" t="s">
        <v>52</v>
      </c>
    </row>
    <row r="1216" spans="1:20" x14ac:dyDescent="0.3">
      <c r="A1216" t="s">
        <v>31</v>
      </c>
      <c r="B1216">
        <v>79</v>
      </c>
      <c r="C1216">
        <v>84.51</v>
      </c>
      <c r="D1216">
        <v>1.6839999999999999</v>
      </c>
      <c r="E1216">
        <v>19.545999999999999</v>
      </c>
      <c r="F1216">
        <v>97.86</v>
      </c>
      <c r="G1216" t="s">
        <v>1041</v>
      </c>
      <c r="H1216">
        <v>115</v>
      </c>
      <c r="I1216">
        <v>63</v>
      </c>
      <c r="J1216">
        <v>120</v>
      </c>
      <c r="K1216" t="s">
        <v>22</v>
      </c>
      <c r="L1216" t="s">
        <v>22</v>
      </c>
      <c r="M1216" t="s">
        <v>37</v>
      </c>
      <c r="N1216">
        <v>0.58099999999999996</v>
      </c>
      <c r="O1216">
        <v>157</v>
      </c>
      <c r="P1216">
        <v>65</v>
      </c>
      <c r="Q1216" t="s">
        <v>38</v>
      </c>
      <c r="R1216">
        <v>22</v>
      </c>
      <c r="S1216">
        <v>14.058999999999999</v>
      </c>
      <c r="T1216" t="s">
        <v>26</v>
      </c>
    </row>
    <row r="1217" spans="1:20" x14ac:dyDescent="0.3">
      <c r="A1217" t="s">
        <v>20</v>
      </c>
      <c r="B1217">
        <v>29</v>
      </c>
      <c r="D1217">
        <v>1.6719999999999999</v>
      </c>
      <c r="E1217">
        <v>39.011000000000003</v>
      </c>
      <c r="F1217">
        <v>114.98099999999999</v>
      </c>
      <c r="G1217" t="s">
        <v>1042</v>
      </c>
      <c r="H1217">
        <v>175</v>
      </c>
      <c r="I1217">
        <v>34</v>
      </c>
      <c r="J1217">
        <v>178</v>
      </c>
      <c r="K1217" t="s">
        <v>23</v>
      </c>
      <c r="L1217" t="s">
        <v>22</v>
      </c>
      <c r="M1217" t="s">
        <v>28</v>
      </c>
      <c r="N1217">
        <v>0.68799999999999994</v>
      </c>
      <c r="O1217">
        <v>123</v>
      </c>
      <c r="P1217">
        <v>114</v>
      </c>
      <c r="Q1217" t="s">
        <v>38</v>
      </c>
      <c r="R1217">
        <v>111</v>
      </c>
      <c r="T1217" t="s">
        <v>52</v>
      </c>
    </row>
    <row r="1218" spans="1:20" x14ac:dyDescent="0.3">
      <c r="A1218" t="s">
        <v>20</v>
      </c>
      <c r="B1218">
        <v>75</v>
      </c>
      <c r="C1218">
        <v>119.42100000000001</v>
      </c>
      <c r="D1218">
        <v>1.6140000000000001</v>
      </c>
      <c r="E1218">
        <v>20.669</v>
      </c>
      <c r="F1218">
        <v>100.03</v>
      </c>
      <c r="G1218" t="s">
        <v>1043</v>
      </c>
      <c r="H1218">
        <v>163</v>
      </c>
      <c r="I1218">
        <v>42</v>
      </c>
      <c r="K1218" t="s">
        <v>22</v>
      </c>
      <c r="L1218" t="s">
        <v>22</v>
      </c>
      <c r="M1218" t="s">
        <v>24</v>
      </c>
      <c r="N1218">
        <v>0.62</v>
      </c>
      <c r="O1218">
        <v>111</v>
      </c>
      <c r="P1218">
        <v>82</v>
      </c>
      <c r="Q1218" t="s">
        <v>29</v>
      </c>
      <c r="R1218">
        <v>91</v>
      </c>
      <c r="S1218">
        <v>12.944000000000001</v>
      </c>
      <c r="T1218" t="s">
        <v>52</v>
      </c>
    </row>
    <row r="1219" spans="1:20" x14ac:dyDescent="0.3">
      <c r="A1219" t="s">
        <v>31</v>
      </c>
      <c r="B1219">
        <v>39</v>
      </c>
      <c r="C1219">
        <v>89.867999999999995</v>
      </c>
      <c r="D1219">
        <v>1.8640000000000001</v>
      </c>
      <c r="E1219">
        <v>38.767000000000003</v>
      </c>
      <c r="F1219">
        <v>97.74</v>
      </c>
      <c r="G1219" t="s">
        <v>1044</v>
      </c>
      <c r="H1219">
        <v>169</v>
      </c>
      <c r="I1219">
        <v>38</v>
      </c>
      <c r="J1219">
        <v>154</v>
      </c>
      <c r="K1219" t="s">
        <v>22</v>
      </c>
      <c r="L1219" t="s">
        <v>23</v>
      </c>
      <c r="M1219" t="s">
        <v>24</v>
      </c>
      <c r="N1219">
        <v>0.52400000000000002</v>
      </c>
      <c r="O1219">
        <v>178</v>
      </c>
      <c r="P1219">
        <v>111</v>
      </c>
      <c r="Q1219" t="s">
        <v>38</v>
      </c>
      <c r="R1219">
        <v>101</v>
      </c>
      <c r="S1219">
        <v>22.033000000000001</v>
      </c>
      <c r="T1219" t="s">
        <v>52</v>
      </c>
    </row>
    <row r="1220" spans="1:20" x14ac:dyDescent="0.3">
      <c r="A1220" t="s">
        <v>20</v>
      </c>
      <c r="B1220">
        <v>49</v>
      </c>
      <c r="C1220">
        <v>99.522000000000006</v>
      </c>
      <c r="D1220">
        <v>1.9690000000000001</v>
      </c>
      <c r="F1220">
        <v>85.954999999999998</v>
      </c>
      <c r="G1220" t="s">
        <v>130</v>
      </c>
      <c r="H1220">
        <v>135</v>
      </c>
      <c r="I1220">
        <v>55</v>
      </c>
      <c r="J1220">
        <v>120</v>
      </c>
      <c r="K1220" t="s">
        <v>22</v>
      </c>
      <c r="L1220" t="s">
        <v>23</v>
      </c>
      <c r="M1220" t="s">
        <v>28</v>
      </c>
      <c r="N1220">
        <v>0.437</v>
      </c>
      <c r="O1220">
        <v>127</v>
      </c>
      <c r="P1220">
        <v>98</v>
      </c>
      <c r="Q1220" t="s">
        <v>38</v>
      </c>
      <c r="R1220">
        <v>50</v>
      </c>
      <c r="S1220">
        <v>15.167999999999999</v>
      </c>
      <c r="T1220" t="s">
        <v>26</v>
      </c>
    </row>
    <row r="1221" spans="1:20" x14ac:dyDescent="0.3">
      <c r="A1221" t="s">
        <v>20</v>
      </c>
      <c r="B1221">
        <v>47</v>
      </c>
      <c r="C1221">
        <v>72.641000000000005</v>
      </c>
      <c r="D1221">
        <v>1.9370000000000001</v>
      </c>
      <c r="E1221">
        <v>22.629000000000001</v>
      </c>
      <c r="F1221">
        <v>95.209000000000003</v>
      </c>
      <c r="G1221" t="s">
        <v>1045</v>
      </c>
      <c r="H1221">
        <v>133</v>
      </c>
      <c r="I1221">
        <v>34</v>
      </c>
      <c r="J1221">
        <v>120</v>
      </c>
      <c r="K1221" t="s">
        <v>23</v>
      </c>
      <c r="L1221" t="s">
        <v>22</v>
      </c>
      <c r="M1221" t="s">
        <v>24</v>
      </c>
      <c r="N1221">
        <v>0.49199999999999999</v>
      </c>
      <c r="O1221">
        <v>139</v>
      </c>
      <c r="P1221">
        <v>108</v>
      </c>
      <c r="Q1221" t="s">
        <v>29</v>
      </c>
      <c r="R1221">
        <v>69</v>
      </c>
      <c r="S1221">
        <v>14.135999999999999</v>
      </c>
      <c r="T1221" t="s">
        <v>26</v>
      </c>
    </row>
    <row r="1222" spans="1:20" x14ac:dyDescent="0.3">
      <c r="A1222" t="s">
        <v>20</v>
      </c>
      <c r="B1222">
        <v>44</v>
      </c>
      <c r="C1222">
        <v>84.462999999999994</v>
      </c>
      <c r="D1222">
        <v>1.84</v>
      </c>
      <c r="F1222">
        <v>72.656999999999996</v>
      </c>
      <c r="G1222" t="s">
        <v>1046</v>
      </c>
      <c r="H1222">
        <v>110</v>
      </c>
      <c r="I1222">
        <v>53</v>
      </c>
      <c r="K1222" t="s">
        <v>23</v>
      </c>
      <c r="L1222" t="s">
        <v>23</v>
      </c>
      <c r="M1222" t="s">
        <v>28</v>
      </c>
      <c r="N1222">
        <v>0.39500000000000002</v>
      </c>
      <c r="O1222">
        <v>93</v>
      </c>
      <c r="P1222">
        <v>96</v>
      </c>
      <c r="Q1222" t="s">
        <v>38</v>
      </c>
      <c r="R1222">
        <v>27</v>
      </c>
      <c r="S1222">
        <v>16.047000000000001</v>
      </c>
      <c r="T1222" t="s">
        <v>26</v>
      </c>
    </row>
    <row r="1223" spans="1:20" x14ac:dyDescent="0.3">
      <c r="A1223" t="s">
        <v>31</v>
      </c>
      <c r="B1223">
        <v>45</v>
      </c>
      <c r="C1223">
        <v>94.435000000000002</v>
      </c>
      <c r="D1223">
        <v>1.528</v>
      </c>
      <c r="E1223">
        <v>39.621000000000002</v>
      </c>
      <c r="G1223" t="s">
        <v>1047</v>
      </c>
      <c r="H1223">
        <v>284</v>
      </c>
      <c r="I1223">
        <v>86</v>
      </c>
      <c r="J1223">
        <v>144</v>
      </c>
      <c r="K1223" t="s">
        <v>23</v>
      </c>
      <c r="L1223" t="s">
        <v>22</v>
      </c>
      <c r="M1223" t="s">
        <v>24</v>
      </c>
      <c r="N1223">
        <v>0.59499999999999997</v>
      </c>
      <c r="O1223">
        <v>167</v>
      </c>
      <c r="P1223">
        <v>90</v>
      </c>
      <c r="Q1223" t="s">
        <v>38</v>
      </c>
      <c r="R1223">
        <v>168</v>
      </c>
      <c r="S1223">
        <v>21.954000000000001</v>
      </c>
      <c r="T1223" t="s">
        <v>52</v>
      </c>
    </row>
    <row r="1224" spans="1:20" x14ac:dyDescent="0.3">
      <c r="A1224" t="s">
        <v>20</v>
      </c>
      <c r="B1224">
        <v>30</v>
      </c>
      <c r="C1224">
        <v>51.725999999999999</v>
      </c>
      <c r="D1224">
        <v>1.619</v>
      </c>
      <c r="E1224">
        <v>28.905999999999999</v>
      </c>
      <c r="F1224">
        <v>98.12</v>
      </c>
      <c r="G1224" t="s">
        <v>1048</v>
      </c>
      <c r="H1224">
        <v>113</v>
      </c>
      <c r="I1224">
        <v>43</v>
      </c>
      <c r="J1224">
        <v>91</v>
      </c>
      <c r="K1224" t="s">
        <v>23</v>
      </c>
      <c r="L1224" t="s">
        <v>22</v>
      </c>
      <c r="M1224" t="s">
        <v>37</v>
      </c>
      <c r="N1224">
        <v>0.60599999999999998</v>
      </c>
      <c r="O1224">
        <v>173</v>
      </c>
      <c r="P1224">
        <v>102</v>
      </c>
      <c r="Q1224" t="s">
        <v>38</v>
      </c>
      <c r="R1224">
        <v>40</v>
      </c>
      <c r="S1224">
        <v>16.690999999999999</v>
      </c>
      <c r="T1224" t="s">
        <v>30</v>
      </c>
    </row>
    <row r="1225" spans="1:20" x14ac:dyDescent="0.3">
      <c r="A1225" t="s">
        <v>31</v>
      </c>
      <c r="B1225">
        <v>39</v>
      </c>
      <c r="C1225">
        <v>51.042999999999999</v>
      </c>
      <c r="D1225">
        <v>1.625</v>
      </c>
      <c r="E1225">
        <v>19.056000000000001</v>
      </c>
      <c r="F1225">
        <v>90.965000000000003</v>
      </c>
      <c r="G1225" t="s">
        <v>1049</v>
      </c>
      <c r="H1225">
        <v>179</v>
      </c>
      <c r="J1225">
        <v>131</v>
      </c>
      <c r="K1225" t="s">
        <v>22</v>
      </c>
      <c r="L1225" t="s">
        <v>23</v>
      </c>
      <c r="M1225" t="s">
        <v>37</v>
      </c>
      <c r="N1225">
        <v>0.56000000000000005</v>
      </c>
      <c r="O1225">
        <v>119</v>
      </c>
      <c r="P1225">
        <v>100</v>
      </c>
      <c r="Q1225" t="s">
        <v>38</v>
      </c>
      <c r="R1225">
        <v>61</v>
      </c>
      <c r="S1225">
        <v>15.340999999999999</v>
      </c>
      <c r="T1225" t="s">
        <v>52</v>
      </c>
    </row>
    <row r="1226" spans="1:20" x14ac:dyDescent="0.3">
      <c r="A1226" t="s">
        <v>20</v>
      </c>
      <c r="B1226">
        <v>38</v>
      </c>
      <c r="C1226">
        <v>50.625999999999998</v>
      </c>
      <c r="D1226">
        <v>1.9279999999999999</v>
      </c>
      <c r="E1226">
        <v>28.959</v>
      </c>
      <c r="F1226">
        <v>113.04</v>
      </c>
      <c r="G1226" t="s">
        <v>1050</v>
      </c>
      <c r="H1226">
        <v>117</v>
      </c>
      <c r="I1226">
        <v>59</v>
      </c>
      <c r="K1226" t="s">
        <v>22</v>
      </c>
      <c r="L1226" t="s">
        <v>22</v>
      </c>
      <c r="M1226" t="s">
        <v>24</v>
      </c>
      <c r="N1226">
        <v>0.58599999999999997</v>
      </c>
      <c r="O1226">
        <v>179</v>
      </c>
      <c r="P1226">
        <v>94</v>
      </c>
      <c r="Q1226" t="s">
        <v>38</v>
      </c>
      <c r="R1226">
        <v>28</v>
      </c>
      <c r="S1226">
        <v>17.082000000000001</v>
      </c>
      <c r="T1226" t="s">
        <v>26</v>
      </c>
    </row>
    <row r="1227" spans="1:20" x14ac:dyDescent="0.3">
      <c r="A1227" t="s">
        <v>20</v>
      </c>
      <c r="B1227">
        <v>72</v>
      </c>
      <c r="C1227">
        <v>63.320999999999998</v>
      </c>
      <c r="D1227">
        <v>1.722</v>
      </c>
      <c r="E1227">
        <v>28.718</v>
      </c>
      <c r="F1227">
        <v>90.281999999999996</v>
      </c>
      <c r="G1227" t="s">
        <v>741</v>
      </c>
      <c r="H1227">
        <v>158</v>
      </c>
      <c r="I1227">
        <v>34</v>
      </c>
      <c r="J1227">
        <v>175</v>
      </c>
      <c r="K1227" t="s">
        <v>23</v>
      </c>
      <c r="L1227" t="s">
        <v>22</v>
      </c>
      <c r="M1227" t="s">
        <v>37</v>
      </c>
      <c r="N1227">
        <v>0.52400000000000002</v>
      </c>
      <c r="O1227">
        <v>132</v>
      </c>
      <c r="P1227">
        <v>76</v>
      </c>
      <c r="Q1227" t="s">
        <v>29</v>
      </c>
      <c r="R1227">
        <v>94</v>
      </c>
      <c r="S1227">
        <v>15.504</v>
      </c>
      <c r="T1227" t="s">
        <v>30</v>
      </c>
    </row>
    <row r="1228" spans="1:20" x14ac:dyDescent="0.3">
      <c r="A1228" t="s">
        <v>20</v>
      </c>
      <c r="B1228">
        <v>40</v>
      </c>
      <c r="C1228">
        <v>58.029000000000003</v>
      </c>
      <c r="D1228">
        <v>1.8440000000000001</v>
      </c>
      <c r="E1228">
        <v>29.207000000000001</v>
      </c>
      <c r="F1228">
        <v>92.4</v>
      </c>
      <c r="G1228" t="s">
        <v>1051</v>
      </c>
      <c r="H1228">
        <v>273</v>
      </c>
      <c r="I1228">
        <v>42</v>
      </c>
      <c r="J1228">
        <v>103</v>
      </c>
      <c r="K1228" t="s">
        <v>23</v>
      </c>
      <c r="L1228" t="s">
        <v>22</v>
      </c>
      <c r="M1228" t="s">
        <v>28</v>
      </c>
      <c r="N1228">
        <v>0.501</v>
      </c>
      <c r="O1228">
        <v>140</v>
      </c>
      <c r="P1228">
        <v>105</v>
      </c>
      <c r="Q1228" t="s">
        <v>38</v>
      </c>
      <c r="R1228">
        <v>201</v>
      </c>
      <c r="S1228">
        <v>18.300999999999998</v>
      </c>
      <c r="T1228" t="s">
        <v>52</v>
      </c>
    </row>
    <row r="1229" spans="1:20" x14ac:dyDescent="0.3">
      <c r="A1229" t="s">
        <v>31</v>
      </c>
      <c r="B1229">
        <v>38</v>
      </c>
      <c r="C1229">
        <v>85.623000000000005</v>
      </c>
      <c r="D1229">
        <v>1.6719999999999999</v>
      </c>
      <c r="E1229">
        <v>30.795000000000002</v>
      </c>
      <c r="F1229">
        <v>94.795000000000002</v>
      </c>
      <c r="G1229" t="s">
        <v>1052</v>
      </c>
      <c r="H1229">
        <v>148</v>
      </c>
      <c r="I1229">
        <v>40</v>
      </c>
      <c r="J1229">
        <v>178</v>
      </c>
      <c r="K1229" t="s">
        <v>22</v>
      </c>
      <c r="L1229" t="s">
        <v>22</v>
      </c>
      <c r="M1229" t="s">
        <v>37</v>
      </c>
      <c r="N1229">
        <v>0.56699999999999995</v>
      </c>
      <c r="P1229">
        <v>87</v>
      </c>
      <c r="Q1229" t="s">
        <v>29</v>
      </c>
      <c r="R1229">
        <v>78</v>
      </c>
      <c r="S1229">
        <v>16.119</v>
      </c>
      <c r="T1229" t="s">
        <v>26</v>
      </c>
    </row>
    <row r="1230" spans="1:20" x14ac:dyDescent="0.3">
      <c r="A1230" t="s">
        <v>31</v>
      </c>
      <c r="B1230">
        <v>30</v>
      </c>
      <c r="C1230">
        <v>72.192999999999998</v>
      </c>
      <c r="D1230">
        <v>1.5960000000000001</v>
      </c>
      <c r="E1230">
        <v>31.677</v>
      </c>
      <c r="F1230">
        <v>105.31699999999999</v>
      </c>
      <c r="G1230" t="s">
        <v>751</v>
      </c>
      <c r="H1230">
        <v>246</v>
      </c>
      <c r="I1230">
        <v>79</v>
      </c>
      <c r="J1230">
        <v>72</v>
      </c>
      <c r="K1230" t="s">
        <v>23</v>
      </c>
      <c r="L1230" t="s">
        <v>22</v>
      </c>
      <c r="M1230" t="s">
        <v>24</v>
      </c>
      <c r="N1230">
        <v>0.66</v>
      </c>
      <c r="O1230">
        <v>116</v>
      </c>
      <c r="P1230">
        <v>85</v>
      </c>
      <c r="Q1230" t="s">
        <v>29</v>
      </c>
      <c r="R1230">
        <v>137</v>
      </c>
      <c r="S1230">
        <v>17.055</v>
      </c>
      <c r="T1230" t="s">
        <v>30</v>
      </c>
    </row>
    <row r="1231" spans="1:20" x14ac:dyDescent="0.3">
      <c r="A1231" t="s">
        <v>31</v>
      </c>
      <c r="B1231">
        <v>32</v>
      </c>
      <c r="C1231">
        <v>73.239000000000004</v>
      </c>
      <c r="D1231">
        <v>1.988</v>
      </c>
      <c r="E1231">
        <v>30.581</v>
      </c>
      <c r="F1231">
        <v>118.324</v>
      </c>
      <c r="G1231" t="s">
        <v>714</v>
      </c>
      <c r="H1231">
        <v>188</v>
      </c>
      <c r="I1231">
        <v>30</v>
      </c>
      <c r="J1231">
        <v>137</v>
      </c>
      <c r="K1231" t="s">
        <v>22</v>
      </c>
      <c r="L1231" t="s">
        <v>22</v>
      </c>
      <c r="M1231" t="s">
        <v>24</v>
      </c>
      <c r="N1231">
        <v>0.59499999999999997</v>
      </c>
      <c r="O1231">
        <v>142</v>
      </c>
      <c r="P1231">
        <v>88</v>
      </c>
      <c r="Q1231" t="s">
        <v>29</v>
      </c>
      <c r="R1231">
        <v>128</v>
      </c>
      <c r="S1231">
        <v>16.975999999999999</v>
      </c>
      <c r="T1231" t="s">
        <v>26</v>
      </c>
    </row>
    <row r="1232" spans="1:20" x14ac:dyDescent="0.3">
      <c r="A1232" t="s">
        <v>31</v>
      </c>
      <c r="B1232">
        <v>69</v>
      </c>
      <c r="C1232">
        <v>87.713999999999999</v>
      </c>
      <c r="D1232">
        <v>1.7230000000000001</v>
      </c>
      <c r="E1232">
        <v>39.732999999999997</v>
      </c>
      <c r="F1232">
        <v>111.803</v>
      </c>
      <c r="G1232" t="s">
        <v>1053</v>
      </c>
      <c r="H1232">
        <v>108</v>
      </c>
      <c r="I1232">
        <v>41</v>
      </c>
      <c r="J1232">
        <v>93</v>
      </c>
      <c r="K1232" t="s">
        <v>23</v>
      </c>
      <c r="L1232" t="s">
        <v>22</v>
      </c>
      <c r="M1232" t="s">
        <v>37</v>
      </c>
      <c r="N1232">
        <v>0.64900000000000002</v>
      </c>
      <c r="O1232">
        <v>132</v>
      </c>
      <c r="P1232">
        <v>101</v>
      </c>
      <c r="Q1232" t="s">
        <v>29</v>
      </c>
      <c r="R1232">
        <v>37</v>
      </c>
      <c r="S1232">
        <v>16.707000000000001</v>
      </c>
      <c r="T1232" t="s">
        <v>30</v>
      </c>
    </row>
    <row r="1233" spans="1:20" x14ac:dyDescent="0.3">
      <c r="A1233" t="s">
        <v>31</v>
      </c>
      <c r="B1233">
        <v>31</v>
      </c>
      <c r="C1233">
        <v>99.921000000000006</v>
      </c>
      <c r="D1233">
        <v>1.5880000000000001</v>
      </c>
      <c r="E1233">
        <v>21.277000000000001</v>
      </c>
      <c r="F1233">
        <v>105.875</v>
      </c>
      <c r="G1233" t="s">
        <v>878</v>
      </c>
      <c r="H1233">
        <v>287</v>
      </c>
      <c r="I1233">
        <v>75</v>
      </c>
      <c r="J1233">
        <v>92</v>
      </c>
      <c r="K1233" t="s">
        <v>23</v>
      </c>
      <c r="L1233" t="s">
        <v>22</v>
      </c>
      <c r="M1233" t="s">
        <v>28</v>
      </c>
      <c r="N1233">
        <v>0.66700000000000004</v>
      </c>
      <c r="O1233">
        <v>121</v>
      </c>
      <c r="P1233">
        <v>115</v>
      </c>
      <c r="Q1233" t="s">
        <v>38</v>
      </c>
      <c r="S1233">
        <v>16.045000000000002</v>
      </c>
      <c r="T1233" t="s">
        <v>26</v>
      </c>
    </row>
    <row r="1234" spans="1:20" x14ac:dyDescent="0.3">
      <c r="A1234" t="s">
        <v>31</v>
      </c>
      <c r="B1234">
        <v>25</v>
      </c>
      <c r="C1234">
        <v>94.281999999999996</v>
      </c>
      <c r="E1234">
        <v>39.57</v>
      </c>
      <c r="F1234">
        <v>88.016999999999996</v>
      </c>
      <c r="G1234" t="s">
        <v>209</v>
      </c>
      <c r="H1234">
        <v>245</v>
      </c>
      <c r="I1234">
        <v>49</v>
      </c>
      <c r="J1234">
        <v>145</v>
      </c>
      <c r="K1234" t="s">
        <v>22</v>
      </c>
      <c r="L1234" t="s">
        <v>22</v>
      </c>
      <c r="M1234" t="s">
        <v>37</v>
      </c>
      <c r="N1234">
        <v>0.58599999999999997</v>
      </c>
      <c r="O1234">
        <v>102</v>
      </c>
      <c r="P1234">
        <v>60</v>
      </c>
      <c r="Q1234" t="s">
        <v>33</v>
      </c>
      <c r="S1234">
        <v>17.914000000000001</v>
      </c>
      <c r="T1234" t="s">
        <v>30</v>
      </c>
    </row>
    <row r="1235" spans="1:20" x14ac:dyDescent="0.3">
      <c r="A1235" t="s">
        <v>31</v>
      </c>
      <c r="B1235">
        <v>38</v>
      </c>
      <c r="C1235">
        <v>80.879000000000005</v>
      </c>
      <c r="D1235">
        <v>1.6419999999999999</v>
      </c>
      <c r="E1235">
        <v>32.671999999999997</v>
      </c>
      <c r="F1235">
        <v>87.366</v>
      </c>
      <c r="G1235" t="s">
        <v>1054</v>
      </c>
      <c r="H1235">
        <v>138</v>
      </c>
      <c r="I1235">
        <v>75</v>
      </c>
      <c r="J1235">
        <v>128</v>
      </c>
      <c r="K1235" t="s">
        <v>22</v>
      </c>
      <c r="L1235" t="s">
        <v>22</v>
      </c>
      <c r="M1235" t="s">
        <v>24</v>
      </c>
      <c r="N1235">
        <v>0.53200000000000003</v>
      </c>
      <c r="O1235">
        <v>106</v>
      </c>
      <c r="Q1235" t="s">
        <v>29</v>
      </c>
      <c r="R1235">
        <v>33</v>
      </c>
      <c r="S1235">
        <v>14.593999999999999</v>
      </c>
      <c r="T1235" t="s">
        <v>26</v>
      </c>
    </row>
    <row r="1236" spans="1:20" x14ac:dyDescent="0.3">
      <c r="A1236" t="s">
        <v>20</v>
      </c>
      <c r="B1236">
        <v>43</v>
      </c>
      <c r="C1236">
        <v>56.215000000000003</v>
      </c>
      <c r="D1236">
        <v>1.9450000000000001</v>
      </c>
      <c r="E1236">
        <v>30.687000000000001</v>
      </c>
      <c r="F1236">
        <v>104.30800000000001</v>
      </c>
      <c r="G1236" t="s">
        <v>1055</v>
      </c>
      <c r="H1236">
        <v>194</v>
      </c>
      <c r="I1236">
        <v>50</v>
      </c>
      <c r="J1236">
        <v>97</v>
      </c>
      <c r="K1236" t="s">
        <v>22</v>
      </c>
      <c r="L1236" t="s">
        <v>23</v>
      </c>
      <c r="M1236" t="s">
        <v>24</v>
      </c>
      <c r="N1236">
        <v>0.53600000000000003</v>
      </c>
      <c r="O1236">
        <v>159</v>
      </c>
      <c r="P1236">
        <v>82</v>
      </c>
      <c r="Q1236" t="s">
        <v>29</v>
      </c>
      <c r="R1236">
        <v>114</v>
      </c>
      <c r="T1236" t="s">
        <v>30</v>
      </c>
    </row>
    <row r="1237" spans="1:20" x14ac:dyDescent="0.3">
      <c r="A1237" t="s">
        <v>31</v>
      </c>
      <c r="B1237">
        <v>55</v>
      </c>
      <c r="C1237">
        <v>77.948999999999998</v>
      </c>
      <c r="D1237">
        <v>1.7470000000000001</v>
      </c>
      <c r="E1237">
        <v>20.678999999999998</v>
      </c>
      <c r="F1237">
        <v>89.384</v>
      </c>
      <c r="G1237" t="s">
        <v>982</v>
      </c>
      <c r="H1237">
        <v>254</v>
      </c>
      <c r="I1237">
        <v>35</v>
      </c>
      <c r="J1237">
        <v>180</v>
      </c>
      <c r="K1237" t="s">
        <v>23</v>
      </c>
      <c r="L1237" t="s">
        <v>23</v>
      </c>
      <c r="M1237" t="s">
        <v>24</v>
      </c>
      <c r="N1237">
        <v>0.51200000000000001</v>
      </c>
      <c r="O1237">
        <v>164</v>
      </c>
      <c r="P1237">
        <v>90</v>
      </c>
      <c r="Q1237" t="s">
        <v>38</v>
      </c>
      <c r="R1237">
        <v>189</v>
      </c>
      <c r="S1237">
        <v>19.416</v>
      </c>
      <c r="T1237" t="s">
        <v>52</v>
      </c>
    </row>
    <row r="1238" spans="1:20" x14ac:dyDescent="0.3">
      <c r="A1238" t="s">
        <v>20</v>
      </c>
      <c r="B1238">
        <v>41</v>
      </c>
      <c r="C1238">
        <v>111.047</v>
      </c>
      <c r="D1238">
        <v>1.5069999999999999</v>
      </c>
      <c r="E1238">
        <v>24.111999999999998</v>
      </c>
      <c r="F1238">
        <v>85.741</v>
      </c>
      <c r="G1238" t="s">
        <v>1056</v>
      </c>
      <c r="H1238">
        <v>172</v>
      </c>
      <c r="I1238">
        <v>45</v>
      </c>
      <c r="J1238">
        <v>129</v>
      </c>
      <c r="K1238" t="s">
        <v>22</v>
      </c>
      <c r="L1238" t="s">
        <v>23</v>
      </c>
      <c r="M1238" t="s">
        <v>24</v>
      </c>
      <c r="N1238">
        <v>0.56899999999999995</v>
      </c>
      <c r="O1238">
        <v>125</v>
      </c>
      <c r="P1238">
        <v>78</v>
      </c>
      <c r="Q1238" t="s">
        <v>25</v>
      </c>
      <c r="R1238">
        <v>97</v>
      </c>
      <c r="S1238">
        <v>16.512</v>
      </c>
      <c r="T1238" t="s">
        <v>26</v>
      </c>
    </row>
    <row r="1239" spans="1:20" x14ac:dyDescent="0.3">
      <c r="A1239" t="s">
        <v>20</v>
      </c>
      <c r="B1239">
        <v>62</v>
      </c>
      <c r="C1239">
        <v>103.39</v>
      </c>
      <c r="D1239">
        <v>1.917</v>
      </c>
      <c r="E1239">
        <v>21.050999999999998</v>
      </c>
      <c r="F1239">
        <v>88.534000000000006</v>
      </c>
      <c r="G1239" t="s">
        <v>1057</v>
      </c>
      <c r="H1239">
        <v>134</v>
      </c>
      <c r="I1239">
        <v>74</v>
      </c>
      <c r="J1239">
        <v>152</v>
      </c>
      <c r="K1239" t="s">
        <v>22</v>
      </c>
      <c r="L1239" t="s">
        <v>22</v>
      </c>
      <c r="M1239" t="s">
        <v>28</v>
      </c>
      <c r="N1239">
        <v>0.46200000000000002</v>
      </c>
      <c r="O1239">
        <v>125</v>
      </c>
      <c r="P1239">
        <v>85</v>
      </c>
      <c r="Q1239" t="s">
        <v>29</v>
      </c>
      <c r="R1239">
        <v>30</v>
      </c>
      <c r="S1239">
        <v>13.14</v>
      </c>
      <c r="T1239" t="s">
        <v>30</v>
      </c>
    </row>
    <row r="1240" spans="1:20" x14ac:dyDescent="0.3">
      <c r="A1240" t="s">
        <v>31</v>
      </c>
      <c r="B1240">
        <v>74</v>
      </c>
      <c r="C1240">
        <v>117.717</v>
      </c>
      <c r="D1240">
        <v>1.984</v>
      </c>
      <c r="E1240">
        <v>27.812999999999999</v>
      </c>
      <c r="F1240">
        <v>107.255</v>
      </c>
      <c r="G1240" t="s">
        <v>1058</v>
      </c>
      <c r="H1240">
        <v>244</v>
      </c>
      <c r="I1240">
        <v>68</v>
      </c>
      <c r="J1240">
        <v>85</v>
      </c>
      <c r="K1240" t="s">
        <v>23</v>
      </c>
      <c r="L1240" t="s">
        <v>22</v>
      </c>
      <c r="M1240" t="s">
        <v>37</v>
      </c>
      <c r="N1240">
        <v>0.54100000000000004</v>
      </c>
      <c r="O1240">
        <v>144</v>
      </c>
      <c r="P1240">
        <v>95</v>
      </c>
      <c r="Q1240" t="s">
        <v>38</v>
      </c>
      <c r="R1240">
        <v>146</v>
      </c>
      <c r="S1240">
        <v>17.643000000000001</v>
      </c>
      <c r="T1240" t="s">
        <v>26</v>
      </c>
    </row>
    <row r="1241" spans="1:20" x14ac:dyDescent="0.3">
      <c r="A1241" t="s">
        <v>31</v>
      </c>
      <c r="B1241">
        <v>61</v>
      </c>
      <c r="C1241">
        <v>108.873</v>
      </c>
      <c r="D1241">
        <v>1.9690000000000001</v>
      </c>
      <c r="E1241">
        <v>18.678999999999998</v>
      </c>
      <c r="F1241">
        <v>94.512</v>
      </c>
      <c r="G1241" t="s">
        <v>1059</v>
      </c>
      <c r="H1241">
        <v>295</v>
      </c>
      <c r="I1241">
        <v>83</v>
      </c>
      <c r="J1241">
        <v>119</v>
      </c>
      <c r="K1241" t="s">
        <v>23</v>
      </c>
      <c r="L1241" t="s">
        <v>22</v>
      </c>
      <c r="M1241" t="s">
        <v>24</v>
      </c>
      <c r="N1241">
        <v>0.48</v>
      </c>
      <c r="O1241">
        <v>109</v>
      </c>
      <c r="P1241">
        <v>82</v>
      </c>
      <c r="Q1241" t="s">
        <v>29</v>
      </c>
      <c r="R1241">
        <v>182</v>
      </c>
      <c r="S1241">
        <v>15.086</v>
      </c>
      <c r="T1241" t="s">
        <v>30</v>
      </c>
    </row>
    <row r="1242" spans="1:20" x14ac:dyDescent="0.3">
      <c r="A1242" t="s">
        <v>31</v>
      </c>
      <c r="C1242">
        <v>112.068</v>
      </c>
      <c r="D1242">
        <v>1.9450000000000001</v>
      </c>
      <c r="E1242">
        <v>32.357999999999997</v>
      </c>
      <c r="F1242">
        <v>106.46</v>
      </c>
      <c r="G1242" t="s">
        <v>1060</v>
      </c>
      <c r="H1242">
        <v>280</v>
      </c>
      <c r="I1242">
        <v>34</v>
      </c>
      <c r="J1242">
        <v>158</v>
      </c>
      <c r="K1242" t="s">
        <v>23</v>
      </c>
      <c r="L1242" t="s">
        <v>22</v>
      </c>
      <c r="M1242" t="s">
        <v>37</v>
      </c>
      <c r="N1242">
        <v>0.54700000000000004</v>
      </c>
      <c r="O1242">
        <v>102</v>
      </c>
      <c r="Q1242" t="s">
        <v>29</v>
      </c>
      <c r="R1242">
        <v>216</v>
      </c>
      <c r="S1242">
        <v>17.172000000000001</v>
      </c>
      <c r="T1242" t="s">
        <v>52</v>
      </c>
    </row>
    <row r="1243" spans="1:20" x14ac:dyDescent="0.3">
      <c r="A1243" t="s">
        <v>20</v>
      </c>
      <c r="B1243">
        <v>50</v>
      </c>
      <c r="D1243">
        <v>1.7150000000000001</v>
      </c>
      <c r="E1243">
        <v>18.687000000000001</v>
      </c>
      <c r="F1243">
        <v>117.9</v>
      </c>
      <c r="G1243" t="s">
        <v>1061</v>
      </c>
      <c r="H1243">
        <v>208</v>
      </c>
      <c r="I1243">
        <v>43</v>
      </c>
      <c r="J1243">
        <v>155</v>
      </c>
      <c r="K1243" t="s">
        <v>23</v>
      </c>
      <c r="L1243" t="s">
        <v>23</v>
      </c>
      <c r="M1243" t="s">
        <v>28</v>
      </c>
      <c r="N1243">
        <v>0.68799999999999994</v>
      </c>
      <c r="O1243">
        <v>164</v>
      </c>
      <c r="P1243">
        <v>81</v>
      </c>
      <c r="Q1243" t="s">
        <v>29</v>
      </c>
      <c r="S1243">
        <v>18.097000000000001</v>
      </c>
      <c r="T1243" t="s">
        <v>52</v>
      </c>
    </row>
    <row r="1244" spans="1:20" x14ac:dyDescent="0.3">
      <c r="A1244" t="s">
        <v>20</v>
      </c>
      <c r="B1244">
        <v>44</v>
      </c>
      <c r="C1244">
        <v>106.675</v>
      </c>
      <c r="D1244">
        <v>1.7989999999999999</v>
      </c>
      <c r="E1244">
        <v>20.375</v>
      </c>
      <c r="F1244">
        <v>83.194000000000003</v>
      </c>
      <c r="G1244" t="s">
        <v>1062</v>
      </c>
      <c r="H1244">
        <v>131</v>
      </c>
      <c r="I1244">
        <v>66</v>
      </c>
      <c r="J1244">
        <v>166</v>
      </c>
      <c r="K1244" t="s">
        <v>22</v>
      </c>
      <c r="L1244" t="s">
        <v>22</v>
      </c>
      <c r="M1244" t="s">
        <v>28</v>
      </c>
      <c r="N1244">
        <v>0.46200000000000002</v>
      </c>
      <c r="O1244">
        <v>106</v>
      </c>
      <c r="P1244">
        <v>105</v>
      </c>
      <c r="Q1244" t="s">
        <v>38</v>
      </c>
      <c r="R1244">
        <v>35</v>
      </c>
      <c r="S1244">
        <v>11.994999999999999</v>
      </c>
      <c r="T1244" t="s">
        <v>30</v>
      </c>
    </row>
    <row r="1245" spans="1:20" x14ac:dyDescent="0.3">
      <c r="A1245" t="s">
        <v>20</v>
      </c>
      <c r="B1245">
        <v>52</v>
      </c>
      <c r="C1245">
        <v>78.588999999999999</v>
      </c>
      <c r="D1245">
        <v>1.9319999999999999</v>
      </c>
      <c r="E1245">
        <v>27.216999999999999</v>
      </c>
      <c r="F1245">
        <v>112.51</v>
      </c>
      <c r="G1245" t="s">
        <v>1063</v>
      </c>
      <c r="H1245">
        <v>123</v>
      </c>
      <c r="J1245">
        <v>103</v>
      </c>
      <c r="K1245" t="s">
        <v>22</v>
      </c>
      <c r="L1245" t="s">
        <v>22</v>
      </c>
      <c r="M1245" t="s">
        <v>28</v>
      </c>
      <c r="N1245">
        <v>0.58199999999999996</v>
      </c>
      <c r="O1245">
        <v>129</v>
      </c>
      <c r="P1245">
        <v>99</v>
      </c>
      <c r="Q1245" t="s">
        <v>38</v>
      </c>
      <c r="R1245">
        <v>60</v>
      </c>
      <c r="S1245">
        <v>14.353</v>
      </c>
      <c r="T1245" t="s">
        <v>26</v>
      </c>
    </row>
    <row r="1246" spans="1:20" x14ac:dyDescent="0.3">
      <c r="A1246" t="s">
        <v>20</v>
      </c>
      <c r="C1246">
        <v>111.474</v>
      </c>
      <c r="D1246">
        <v>1.542</v>
      </c>
      <c r="E1246">
        <v>24.814</v>
      </c>
      <c r="F1246">
        <v>77.655000000000001</v>
      </c>
      <c r="G1246" t="s">
        <v>1064</v>
      </c>
      <c r="H1246">
        <v>260</v>
      </c>
      <c r="I1246">
        <v>46</v>
      </c>
      <c r="J1246">
        <v>95</v>
      </c>
      <c r="K1246" t="s">
        <v>22</v>
      </c>
      <c r="L1246" t="s">
        <v>22</v>
      </c>
      <c r="M1246" t="s">
        <v>24</v>
      </c>
      <c r="N1246">
        <v>0.504</v>
      </c>
      <c r="O1246">
        <v>164</v>
      </c>
      <c r="P1246">
        <v>100</v>
      </c>
      <c r="Q1246" t="s">
        <v>38</v>
      </c>
      <c r="R1246">
        <v>184</v>
      </c>
      <c r="S1246">
        <v>18.363</v>
      </c>
      <c r="T1246" t="s">
        <v>26</v>
      </c>
    </row>
    <row r="1247" spans="1:20" x14ac:dyDescent="0.3">
      <c r="A1247" t="s">
        <v>20</v>
      </c>
      <c r="C1247">
        <v>89.647000000000006</v>
      </c>
      <c r="D1247">
        <v>1.8069999999999999</v>
      </c>
      <c r="E1247">
        <v>24.763000000000002</v>
      </c>
      <c r="F1247">
        <v>77.941999999999993</v>
      </c>
      <c r="G1247" t="s">
        <v>1035</v>
      </c>
      <c r="H1247">
        <v>227</v>
      </c>
      <c r="I1247">
        <v>40</v>
      </c>
      <c r="J1247">
        <v>175</v>
      </c>
      <c r="K1247" t="s">
        <v>23</v>
      </c>
      <c r="L1247" t="s">
        <v>22</v>
      </c>
      <c r="M1247" t="s">
        <v>28</v>
      </c>
      <c r="N1247">
        <v>0.43099999999999999</v>
      </c>
      <c r="O1247">
        <v>168</v>
      </c>
      <c r="P1247">
        <v>61</v>
      </c>
      <c r="Q1247" t="s">
        <v>38</v>
      </c>
      <c r="R1247">
        <v>157</v>
      </c>
      <c r="S1247">
        <v>17.893000000000001</v>
      </c>
      <c r="T1247" t="s">
        <v>52</v>
      </c>
    </row>
    <row r="1248" spans="1:20" x14ac:dyDescent="0.3">
      <c r="A1248" t="s">
        <v>20</v>
      </c>
      <c r="B1248">
        <v>77</v>
      </c>
      <c r="C1248">
        <v>60.106999999999999</v>
      </c>
      <c r="D1248">
        <v>1.728</v>
      </c>
      <c r="E1248">
        <v>22.247</v>
      </c>
      <c r="F1248">
        <v>89.010999999999996</v>
      </c>
      <c r="G1248" t="s">
        <v>1065</v>
      </c>
      <c r="H1248">
        <v>108</v>
      </c>
      <c r="I1248">
        <v>37</v>
      </c>
      <c r="J1248">
        <v>179</v>
      </c>
      <c r="K1248" t="s">
        <v>23</v>
      </c>
      <c r="L1248" t="s">
        <v>22</v>
      </c>
      <c r="M1248" t="s">
        <v>24</v>
      </c>
      <c r="O1248">
        <v>166</v>
      </c>
      <c r="P1248">
        <v>116</v>
      </c>
      <c r="Q1248" t="s">
        <v>38</v>
      </c>
      <c r="S1248">
        <v>14.909000000000001</v>
      </c>
      <c r="T1248" t="s">
        <v>30</v>
      </c>
    </row>
    <row r="1249" spans="1:20" x14ac:dyDescent="0.3">
      <c r="A1249" t="s">
        <v>20</v>
      </c>
      <c r="B1249">
        <v>42</v>
      </c>
      <c r="C1249">
        <v>52.707999999999998</v>
      </c>
      <c r="D1249">
        <v>1.587</v>
      </c>
      <c r="F1249">
        <v>110.821</v>
      </c>
      <c r="G1249" t="s">
        <v>1066</v>
      </c>
      <c r="H1249">
        <v>137</v>
      </c>
      <c r="I1249">
        <v>45</v>
      </c>
      <c r="J1249">
        <v>120</v>
      </c>
      <c r="K1249" t="s">
        <v>22</v>
      </c>
      <c r="L1249" t="s">
        <v>22</v>
      </c>
      <c r="M1249" t="s">
        <v>37</v>
      </c>
      <c r="N1249">
        <v>0.69799999999999995</v>
      </c>
      <c r="O1249">
        <v>117</v>
      </c>
      <c r="P1249">
        <v>113</v>
      </c>
      <c r="Q1249" t="s">
        <v>38</v>
      </c>
      <c r="R1249">
        <v>62</v>
      </c>
      <c r="S1249">
        <v>13.826000000000001</v>
      </c>
      <c r="T1249" t="s">
        <v>30</v>
      </c>
    </row>
    <row r="1250" spans="1:20" x14ac:dyDescent="0.3">
      <c r="A1250" t="s">
        <v>20</v>
      </c>
      <c r="B1250">
        <v>30</v>
      </c>
      <c r="C1250">
        <v>86.364000000000004</v>
      </c>
      <c r="D1250">
        <v>1.7050000000000001</v>
      </c>
      <c r="E1250">
        <v>35.158999999999999</v>
      </c>
      <c r="F1250">
        <v>72.730999999999995</v>
      </c>
      <c r="G1250" t="s">
        <v>1067</v>
      </c>
      <c r="H1250">
        <v>198</v>
      </c>
      <c r="I1250">
        <v>71</v>
      </c>
      <c r="J1250">
        <v>130</v>
      </c>
      <c r="K1250" t="s">
        <v>23</v>
      </c>
      <c r="L1250" t="s">
        <v>22</v>
      </c>
      <c r="M1250" t="s">
        <v>28</v>
      </c>
      <c r="N1250">
        <v>0.42699999999999999</v>
      </c>
      <c r="O1250">
        <v>95</v>
      </c>
      <c r="P1250">
        <v>87</v>
      </c>
      <c r="Q1250" t="s">
        <v>29</v>
      </c>
      <c r="R1250">
        <v>97</v>
      </c>
      <c r="T1250" t="s">
        <v>26</v>
      </c>
    </row>
    <row r="1251" spans="1:20" x14ac:dyDescent="0.3">
      <c r="A1251" t="s">
        <v>31</v>
      </c>
      <c r="B1251">
        <v>35</v>
      </c>
      <c r="C1251">
        <v>117.19</v>
      </c>
      <c r="D1251">
        <v>1.702</v>
      </c>
      <c r="E1251">
        <v>24.965</v>
      </c>
      <c r="F1251">
        <v>103.38200000000001</v>
      </c>
      <c r="G1251" t="s">
        <v>1068</v>
      </c>
      <c r="H1251">
        <v>180</v>
      </c>
      <c r="I1251">
        <v>89</v>
      </c>
      <c r="J1251">
        <v>99</v>
      </c>
      <c r="K1251" t="s">
        <v>23</v>
      </c>
      <c r="L1251" t="s">
        <v>23</v>
      </c>
      <c r="M1251" t="s">
        <v>24</v>
      </c>
      <c r="N1251">
        <v>0.60699999999999998</v>
      </c>
      <c r="O1251">
        <v>102</v>
      </c>
      <c r="Q1251" t="s">
        <v>33</v>
      </c>
      <c r="R1251">
        <v>61</v>
      </c>
      <c r="S1251">
        <v>15.693</v>
      </c>
      <c r="T1251" t="s">
        <v>30</v>
      </c>
    </row>
    <row r="1252" spans="1:20" x14ac:dyDescent="0.3">
      <c r="A1252" t="s">
        <v>31</v>
      </c>
      <c r="C1252">
        <v>87.055000000000007</v>
      </c>
      <c r="D1252">
        <v>1.5269999999999999</v>
      </c>
      <c r="E1252">
        <v>23.245000000000001</v>
      </c>
      <c r="F1252">
        <v>96.492999999999995</v>
      </c>
      <c r="G1252" t="s">
        <v>1069</v>
      </c>
      <c r="H1252">
        <v>132</v>
      </c>
      <c r="I1252">
        <v>80</v>
      </c>
      <c r="J1252">
        <v>188</v>
      </c>
      <c r="K1252" t="s">
        <v>23</v>
      </c>
      <c r="L1252" t="s">
        <v>22</v>
      </c>
      <c r="M1252" t="s">
        <v>24</v>
      </c>
      <c r="N1252">
        <v>0.63200000000000001</v>
      </c>
      <c r="O1252">
        <v>103</v>
      </c>
      <c r="P1252">
        <v>72</v>
      </c>
      <c r="Q1252" t="s">
        <v>33</v>
      </c>
      <c r="R1252">
        <v>22</v>
      </c>
      <c r="S1252">
        <v>12.439</v>
      </c>
      <c r="T1252" t="s">
        <v>26</v>
      </c>
    </row>
    <row r="1253" spans="1:20" x14ac:dyDescent="0.3">
      <c r="A1253" t="s">
        <v>31</v>
      </c>
      <c r="B1253">
        <v>25</v>
      </c>
      <c r="C1253">
        <v>102.449</v>
      </c>
      <c r="D1253">
        <v>1.6890000000000001</v>
      </c>
      <c r="E1253">
        <v>21.762</v>
      </c>
      <c r="F1253">
        <v>91.188999999999993</v>
      </c>
      <c r="G1253" t="s">
        <v>1070</v>
      </c>
      <c r="H1253">
        <v>257</v>
      </c>
      <c r="I1253">
        <v>79</v>
      </c>
      <c r="J1253">
        <v>164</v>
      </c>
      <c r="K1253" t="s">
        <v>22</v>
      </c>
      <c r="L1253" t="s">
        <v>22</v>
      </c>
      <c r="M1253" t="s">
        <v>37</v>
      </c>
      <c r="O1253">
        <v>112</v>
      </c>
      <c r="P1253">
        <v>117</v>
      </c>
      <c r="Q1253" t="s">
        <v>38</v>
      </c>
      <c r="R1253">
        <v>148</v>
      </c>
      <c r="S1253">
        <v>15.092000000000001</v>
      </c>
      <c r="T1253" t="s">
        <v>30</v>
      </c>
    </row>
    <row r="1254" spans="1:20" x14ac:dyDescent="0.3">
      <c r="A1254" t="s">
        <v>20</v>
      </c>
      <c r="B1254">
        <v>32</v>
      </c>
      <c r="C1254">
        <v>57.814</v>
      </c>
      <c r="D1254">
        <v>1.5960000000000001</v>
      </c>
      <c r="E1254">
        <v>20.405000000000001</v>
      </c>
      <c r="F1254">
        <v>98.225999999999999</v>
      </c>
      <c r="G1254" t="s">
        <v>1071</v>
      </c>
      <c r="H1254">
        <v>285</v>
      </c>
      <c r="I1254">
        <v>58</v>
      </c>
      <c r="J1254">
        <v>107</v>
      </c>
      <c r="K1254" t="s">
        <v>22</v>
      </c>
      <c r="L1254" t="s">
        <v>23</v>
      </c>
      <c r="M1254" t="s">
        <v>37</v>
      </c>
      <c r="N1254">
        <v>0.61499999999999999</v>
      </c>
      <c r="O1254">
        <v>130</v>
      </c>
      <c r="P1254">
        <v>70</v>
      </c>
      <c r="Q1254" t="s">
        <v>29</v>
      </c>
      <c r="R1254">
        <v>197</v>
      </c>
      <c r="S1254">
        <v>18.280999999999999</v>
      </c>
      <c r="T1254" t="s">
        <v>52</v>
      </c>
    </row>
    <row r="1255" spans="1:20" x14ac:dyDescent="0.3">
      <c r="A1255" t="s">
        <v>31</v>
      </c>
      <c r="B1255">
        <v>47</v>
      </c>
      <c r="C1255">
        <v>86.468000000000004</v>
      </c>
      <c r="D1255">
        <v>1.5509999999999999</v>
      </c>
      <c r="E1255">
        <v>24.102</v>
      </c>
      <c r="F1255">
        <v>90.585999999999999</v>
      </c>
      <c r="G1255" t="s">
        <v>1072</v>
      </c>
      <c r="H1255">
        <v>149</v>
      </c>
      <c r="I1255">
        <v>38</v>
      </c>
      <c r="K1255" t="s">
        <v>22</v>
      </c>
      <c r="L1255" t="s">
        <v>22</v>
      </c>
      <c r="M1255" t="s">
        <v>24</v>
      </c>
      <c r="N1255">
        <v>0.58399999999999996</v>
      </c>
      <c r="O1255">
        <v>90</v>
      </c>
      <c r="P1255">
        <v>66</v>
      </c>
      <c r="Q1255" t="s">
        <v>33</v>
      </c>
      <c r="R1255">
        <v>81</v>
      </c>
      <c r="S1255">
        <v>12.3</v>
      </c>
      <c r="T1255" t="s">
        <v>26</v>
      </c>
    </row>
    <row r="1256" spans="1:20" x14ac:dyDescent="0.3">
      <c r="A1256" t="s">
        <v>20</v>
      </c>
      <c r="B1256">
        <v>29</v>
      </c>
      <c r="C1256">
        <v>97.284999999999997</v>
      </c>
      <c r="D1256">
        <v>1.863</v>
      </c>
      <c r="E1256">
        <v>31.457000000000001</v>
      </c>
      <c r="F1256">
        <v>108.324</v>
      </c>
      <c r="G1256" t="s">
        <v>1073</v>
      </c>
      <c r="H1256">
        <v>295</v>
      </c>
      <c r="I1256">
        <v>72</v>
      </c>
      <c r="J1256">
        <v>143</v>
      </c>
      <c r="K1256" t="s">
        <v>23</v>
      </c>
      <c r="L1256" t="s">
        <v>23</v>
      </c>
      <c r="M1256" t="s">
        <v>37</v>
      </c>
      <c r="N1256">
        <v>0.58099999999999996</v>
      </c>
      <c r="O1256">
        <v>111</v>
      </c>
      <c r="P1256">
        <v>108</v>
      </c>
      <c r="Q1256" t="s">
        <v>38</v>
      </c>
      <c r="R1256">
        <v>193</v>
      </c>
      <c r="S1256">
        <v>19.741</v>
      </c>
      <c r="T1256" t="s">
        <v>30</v>
      </c>
    </row>
    <row r="1257" spans="1:20" x14ac:dyDescent="0.3">
      <c r="A1257" t="s">
        <v>20</v>
      </c>
      <c r="B1257">
        <v>33</v>
      </c>
      <c r="C1257">
        <v>88.7</v>
      </c>
      <c r="D1257">
        <v>1.5860000000000001</v>
      </c>
      <c r="E1257">
        <v>21.158000000000001</v>
      </c>
      <c r="F1257">
        <v>75.322000000000003</v>
      </c>
      <c r="G1257" t="s">
        <v>1074</v>
      </c>
      <c r="H1257">
        <v>233</v>
      </c>
      <c r="I1257">
        <v>51</v>
      </c>
      <c r="J1257">
        <v>135</v>
      </c>
      <c r="K1257" t="s">
        <v>23</v>
      </c>
      <c r="L1257" t="s">
        <v>23</v>
      </c>
      <c r="M1257" t="s">
        <v>24</v>
      </c>
      <c r="N1257">
        <v>0.47499999999999998</v>
      </c>
      <c r="O1257">
        <v>145</v>
      </c>
      <c r="P1257">
        <v>110</v>
      </c>
      <c r="Q1257" t="s">
        <v>38</v>
      </c>
      <c r="R1257">
        <v>152</v>
      </c>
      <c r="S1257">
        <v>18.141999999999999</v>
      </c>
      <c r="T1257" t="s">
        <v>52</v>
      </c>
    </row>
    <row r="1258" spans="1:20" x14ac:dyDescent="0.3">
      <c r="A1258" t="s">
        <v>31</v>
      </c>
      <c r="B1258">
        <v>38</v>
      </c>
      <c r="C1258">
        <v>53.383000000000003</v>
      </c>
      <c r="D1258">
        <v>1.736</v>
      </c>
      <c r="E1258">
        <v>30.614000000000001</v>
      </c>
      <c r="F1258">
        <v>78.617999999999995</v>
      </c>
      <c r="G1258" t="s">
        <v>1075</v>
      </c>
      <c r="H1258">
        <v>162</v>
      </c>
      <c r="I1258">
        <v>46</v>
      </c>
      <c r="J1258">
        <v>105</v>
      </c>
      <c r="K1258" t="s">
        <v>22</v>
      </c>
      <c r="L1258" t="s">
        <v>23</v>
      </c>
      <c r="M1258" t="s">
        <v>37</v>
      </c>
      <c r="N1258">
        <v>0.45300000000000001</v>
      </c>
      <c r="O1258">
        <v>102</v>
      </c>
      <c r="P1258">
        <v>97</v>
      </c>
      <c r="Q1258" t="s">
        <v>38</v>
      </c>
      <c r="R1258">
        <v>86</v>
      </c>
      <c r="T1258" t="s">
        <v>26</v>
      </c>
    </row>
    <row r="1259" spans="1:20" x14ac:dyDescent="0.3">
      <c r="A1259" t="s">
        <v>20</v>
      </c>
      <c r="B1259">
        <v>79</v>
      </c>
      <c r="C1259">
        <v>110.631</v>
      </c>
      <c r="E1259">
        <v>19.288</v>
      </c>
      <c r="F1259">
        <v>102.27200000000001</v>
      </c>
      <c r="G1259" t="s">
        <v>1076</v>
      </c>
      <c r="H1259">
        <v>261</v>
      </c>
      <c r="I1259">
        <v>56</v>
      </c>
      <c r="J1259">
        <v>75</v>
      </c>
      <c r="K1259" t="s">
        <v>23</v>
      </c>
      <c r="L1259" t="s">
        <v>23</v>
      </c>
      <c r="M1259" t="s">
        <v>28</v>
      </c>
      <c r="N1259">
        <v>0.58699999999999997</v>
      </c>
      <c r="Q1259" t="s">
        <v>29</v>
      </c>
      <c r="R1259">
        <v>175</v>
      </c>
      <c r="S1259">
        <v>19.878</v>
      </c>
      <c r="T1259" t="s">
        <v>52</v>
      </c>
    </row>
    <row r="1260" spans="1:20" x14ac:dyDescent="0.3">
      <c r="A1260" t="s">
        <v>20</v>
      </c>
      <c r="B1260">
        <v>56</v>
      </c>
      <c r="D1260">
        <v>1.585</v>
      </c>
      <c r="E1260">
        <v>19.716000000000001</v>
      </c>
      <c r="F1260">
        <v>74.037999999999997</v>
      </c>
      <c r="G1260" t="s">
        <v>1077</v>
      </c>
      <c r="H1260">
        <v>111</v>
      </c>
      <c r="I1260">
        <v>76</v>
      </c>
      <c r="K1260" t="s">
        <v>22</v>
      </c>
      <c r="L1260" t="s">
        <v>22</v>
      </c>
      <c r="M1260" t="s">
        <v>37</v>
      </c>
      <c r="O1260">
        <v>126</v>
      </c>
      <c r="P1260">
        <v>113</v>
      </c>
      <c r="Q1260" t="s">
        <v>38</v>
      </c>
      <c r="R1260">
        <v>5</v>
      </c>
      <c r="S1260">
        <v>12.462999999999999</v>
      </c>
      <c r="T1260" t="s">
        <v>30</v>
      </c>
    </row>
    <row r="1261" spans="1:20" x14ac:dyDescent="0.3">
      <c r="A1261" t="s">
        <v>20</v>
      </c>
      <c r="B1261">
        <v>50</v>
      </c>
      <c r="C1261">
        <v>107.755</v>
      </c>
      <c r="D1261">
        <v>1.5780000000000001</v>
      </c>
      <c r="E1261">
        <v>33.746000000000002</v>
      </c>
      <c r="F1261">
        <v>73.831000000000003</v>
      </c>
      <c r="G1261" t="s">
        <v>1078</v>
      </c>
      <c r="H1261">
        <v>264</v>
      </c>
      <c r="I1261">
        <v>78</v>
      </c>
      <c r="J1261">
        <v>119</v>
      </c>
      <c r="K1261" t="s">
        <v>23</v>
      </c>
      <c r="L1261" t="s">
        <v>23</v>
      </c>
      <c r="M1261" t="s">
        <v>24</v>
      </c>
      <c r="N1261">
        <v>0.46800000000000003</v>
      </c>
      <c r="O1261">
        <v>160</v>
      </c>
      <c r="P1261">
        <v>71</v>
      </c>
      <c r="Q1261" t="s">
        <v>38</v>
      </c>
      <c r="R1261">
        <v>156</v>
      </c>
      <c r="S1261">
        <v>22.029</v>
      </c>
      <c r="T1261" t="s">
        <v>30</v>
      </c>
    </row>
    <row r="1262" spans="1:20" x14ac:dyDescent="0.3">
      <c r="A1262" t="s">
        <v>31</v>
      </c>
      <c r="B1262">
        <v>73</v>
      </c>
      <c r="C1262">
        <v>98.596000000000004</v>
      </c>
      <c r="D1262">
        <v>1.9890000000000001</v>
      </c>
      <c r="E1262">
        <v>30.504000000000001</v>
      </c>
      <c r="F1262">
        <v>93.863</v>
      </c>
      <c r="G1262" t="s">
        <v>1079</v>
      </c>
      <c r="H1262">
        <v>221</v>
      </c>
      <c r="I1262">
        <v>32</v>
      </c>
      <c r="J1262">
        <v>120</v>
      </c>
      <c r="K1262" t="s">
        <v>23</v>
      </c>
      <c r="L1262" t="s">
        <v>23</v>
      </c>
      <c r="M1262" t="s">
        <v>24</v>
      </c>
      <c r="O1262">
        <v>100</v>
      </c>
      <c r="P1262">
        <v>75</v>
      </c>
      <c r="Q1262" t="s">
        <v>33</v>
      </c>
      <c r="R1262">
        <v>159</v>
      </c>
      <c r="S1262">
        <v>17.521000000000001</v>
      </c>
      <c r="T1262" t="s">
        <v>30</v>
      </c>
    </row>
    <row r="1263" spans="1:20" x14ac:dyDescent="0.3">
      <c r="A1263" t="s">
        <v>20</v>
      </c>
      <c r="B1263">
        <v>68</v>
      </c>
      <c r="C1263">
        <v>63.100999999999999</v>
      </c>
      <c r="D1263">
        <v>1.66</v>
      </c>
      <c r="E1263">
        <v>35.878</v>
      </c>
      <c r="G1263" t="s">
        <v>1080</v>
      </c>
      <c r="H1263">
        <v>186</v>
      </c>
      <c r="I1263">
        <v>47</v>
      </c>
      <c r="J1263">
        <v>158</v>
      </c>
      <c r="K1263" t="s">
        <v>22</v>
      </c>
      <c r="L1263" t="s">
        <v>23</v>
      </c>
      <c r="M1263" t="s">
        <v>28</v>
      </c>
      <c r="N1263">
        <v>0.71699999999999997</v>
      </c>
      <c r="O1263">
        <v>146</v>
      </c>
      <c r="P1263">
        <v>69</v>
      </c>
      <c r="Q1263" t="s">
        <v>38</v>
      </c>
      <c r="R1263">
        <v>109</v>
      </c>
      <c r="S1263">
        <v>20.196000000000002</v>
      </c>
      <c r="T1263" t="s">
        <v>26</v>
      </c>
    </row>
    <row r="1264" spans="1:20" x14ac:dyDescent="0.3">
      <c r="A1264" t="s">
        <v>31</v>
      </c>
      <c r="B1264">
        <v>51</v>
      </c>
      <c r="E1264">
        <v>21.454999999999998</v>
      </c>
      <c r="F1264">
        <v>93.064999999999998</v>
      </c>
      <c r="G1264" t="s">
        <v>1081</v>
      </c>
      <c r="H1264">
        <v>296</v>
      </c>
      <c r="I1264">
        <v>45</v>
      </c>
      <c r="J1264">
        <v>75</v>
      </c>
      <c r="K1264" t="s">
        <v>22</v>
      </c>
      <c r="L1264" t="s">
        <v>22</v>
      </c>
      <c r="M1264" t="s">
        <v>28</v>
      </c>
      <c r="O1264">
        <v>144</v>
      </c>
      <c r="P1264">
        <v>115</v>
      </c>
      <c r="Q1264" t="s">
        <v>38</v>
      </c>
      <c r="R1264">
        <v>221</v>
      </c>
      <c r="S1264">
        <v>17.411000000000001</v>
      </c>
      <c r="T1264" t="s">
        <v>26</v>
      </c>
    </row>
    <row r="1265" spans="1:20" x14ac:dyDescent="0.3">
      <c r="A1265" t="s">
        <v>20</v>
      </c>
      <c r="B1265">
        <v>46</v>
      </c>
      <c r="C1265">
        <v>117.717</v>
      </c>
      <c r="D1265">
        <v>1.633</v>
      </c>
      <c r="E1265">
        <v>24.689</v>
      </c>
      <c r="F1265">
        <v>119.49299999999999</v>
      </c>
      <c r="G1265" t="s">
        <v>1082</v>
      </c>
      <c r="H1265">
        <v>140</v>
      </c>
      <c r="I1265">
        <v>46</v>
      </c>
      <c r="J1265">
        <v>156</v>
      </c>
      <c r="K1265" t="s">
        <v>22</v>
      </c>
      <c r="L1265" t="s">
        <v>23</v>
      </c>
      <c r="M1265" t="s">
        <v>24</v>
      </c>
      <c r="N1265">
        <v>0.73199999999999998</v>
      </c>
      <c r="O1265">
        <v>93</v>
      </c>
      <c r="P1265">
        <v>105</v>
      </c>
      <c r="Q1265" t="s">
        <v>38</v>
      </c>
      <c r="R1265">
        <v>64</v>
      </c>
      <c r="S1265">
        <v>14.388</v>
      </c>
      <c r="T1265" t="s">
        <v>26</v>
      </c>
    </row>
    <row r="1266" spans="1:20" x14ac:dyDescent="0.3">
      <c r="A1266" t="s">
        <v>31</v>
      </c>
      <c r="B1266">
        <v>46</v>
      </c>
      <c r="C1266">
        <v>110.214</v>
      </c>
      <c r="D1266">
        <v>1.784</v>
      </c>
      <c r="E1266">
        <v>36.942999999999998</v>
      </c>
      <c r="F1266">
        <v>78.817999999999998</v>
      </c>
      <c r="G1266" t="s">
        <v>1083</v>
      </c>
      <c r="H1266">
        <v>169</v>
      </c>
      <c r="I1266">
        <v>75</v>
      </c>
      <c r="J1266">
        <v>114</v>
      </c>
      <c r="K1266" t="s">
        <v>22</v>
      </c>
      <c r="L1266" t="s">
        <v>22</v>
      </c>
      <c r="M1266" t="s">
        <v>24</v>
      </c>
      <c r="N1266">
        <v>0.442</v>
      </c>
      <c r="O1266">
        <v>178</v>
      </c>
      <c r="P1266">
        <v>109</v>
      </c>
      <c r="Q1266" t="s">
        <v>38</v>
      </c>
      <c r="R1266">
        <v>64</v>
      </c>
      <c r="S1266">
        <v>19.669</v>
      </c>
      <c r="T1266" t="s">
        <v>52</v>
      </c>
    </row>
    <row r="1267" spans="1:20" x14ac:dyDescent="0.3">
      <c r="A1267" t="s">
        <v>20</v>
      </c>
      <c r="B1267">
        <v>70</v>
      </c>
      <c r="C1267">
        <v>58.35</v>
      </c>
      <c r="D1267">
        <v>1.542</v>
      </c>
      <c r="E1267">
        <v>23.760999999999999</v>
      </c>
      <c r="F1267">
        <v>100.617</v>
      </c>
      <c r="G1267" t="s">
        <v>1084</v>
      </c>
      <c r="I1267">
        <v>37</v>
      </c>
      <c r="J1267">
        <v>119</v>
      </c>
      <c r="K1267" t="s">
        <v>23</v>
      </c>
      <c r="L1267" t="s">
        <v>22</v>
      </c>
      <c r="M1267" t="s">
        <v>37</v>
      </c>
      <c r="O1267">
        <v>95</v>
      </c>
      <c r="P1267">
        <v>110</v>
      </c>
      <c r="Q1267" t="s">
        <v>38</v>
      </c>
      <c r="R1267">
        <v>64</v>
      </c>
      <c r="S1267">
        <v>12.122</v>
      </c>
      <c r="T1267" t="s">
        <v>26</v>
      </c>
    </row>
    <row r="1268" spans="1:20" x14ac:dyDescent="0.3">
      <c r="A1268" t="s">
        <v>20</v>
      </c>
      <c r="B1268">
        <v>35</v>
      </c>
      <c r="C1268">
        <v>64.837000000000003</v>
      </c>
      <c r="D1268">
        <v>1.958</v>
      </c>
      <c r="E1268">
        <v>33.180999999999997</v>
      </c>
      <c r="F1268">
        <v>88.896000000000001</v>
      </c>
      <c r="G1268" t="s">
        <v>1085</v>
      </c>
      <c r="H1268">
        <v>152</v>
      </c>
      <c r="I1268">
        <v>59</v>
      </c>
      <c r="J1268">
        <v>150</v>
      </c>
      <c r="K1268" t="s">
        <v>22</v>
      </c>
      <c r="L1268" t="s">
        <v>22</v>
      </c>
      <c r="M1268" t="s">
        <v>28</v>
      </c>
      <c r="N1268">
        <v>0.45400000000000001</v>
      </c>
      <c r="O1268">
        <v>160</v>
      </c>
      <c r="P1268">
        <v>78</v>
      </c>
      <c r="Q1268" t="s">
        <v>38</v>
      </c>
      <c r="R1268">
        <v>63</v>
      </c>
      <c r="S1268">
        <v>17.675999999999998</v>
      </c>
      <c r="T1268" t="s">
        <v>30</v>
      </c>
    </row>
    <row r="1269" spans="1:20" x14ac:dyDescent="0.3">
      <c r="A1269" t="s">
        <v>20</v>
      </c>
      <c r="B1269">
        <v>68</v>
      </c>
      <c r="C1269">
        <v>102.432</v>
      </c>
      <c r="D1269">
        <v>1.849</v>
      </c>
      <c r="E1269">
        <v>34.941000000000003</v>
      </c>
      <c r="F1269">
        <v>90.284000000000006</v>
      </c>
      <c r="G1269" t="s">
        <v>1086</v>
      </c>
      <c r="H1269">
        <v>202</v>
      </c>
      <c r="I1269">
        <v>52</v>
      </c>
      <c r="J1269">
        <v>135</v>
      </c>
      <c r="K1269" t="s">
        <v>23</v>
      </c>
      <c r="L1269" t="s">
        <v>22</v>
      </c>
      <c r="M1269" t="s">
        <v>24</v>
      </c>
      <c r="N1269">
        <v>0.48799999999999999</v>
      </c>
      <c r="O1269">
        <v>155</v>
      </c>
      <c r="P1269">
        <v>68</v>
      </c>
      <c r="Q1269" t="s">
        <v>38</v>
      </c>
      <c r="R1269">
        <v>120</v>
      </c>
      <c r="S1269">
        <v>18.777999999999999</v>
      </c>
      <c r="T1269" t="s">
        <v>30</v>
      </c>
    </row>
    <row r="1270" spans="1:20" x14ac:dyDescent="0.3">
      <c r="A1270" t="s">
        <v>31</v>
      </c>
      <c r="B1270">
        <v>47</v>
      </c>
      <c r="C1270">
        <v>50.343000000000004</v>
      </c>
      <c r="E1270">
        <v>35.191000000000003</v>
      </c>
      <c r="F1270">
        <v>103.605</v>
      </c>
      <c r="G1270" t="s">
        <v>1087</v>
      </c>
      <c r="H1270">
        <v>205</v>
      </c>
      <c r="I1270">
        <v>42</v>
      </c>
      <c r="J1270">
        <v>176</v>
      </c>
      <c r="K1270" t="s">
        <v>23</v>
      </c>
      <c r="L1270" t="s">
        <v>22</v>
      </c>
      <c r="M1270" t="s">
        <v>24</v>
      </c>
      <c r="N1270">
        <v>0.61299999999999999</v>
      </c>
      <c r="O1270">
        <v>173</v>
      </c>
      <c r="P1270">
        <v>114</v>
      </c>
      <c r="Q1270" t="s">
        <v>38</v>
      </c>
      <c r="R1270">
        <v>133</v>
      </c>
      <c r="S1270">
        <v>19.788</v>
      </c>
      <c r="T1270" t="s">
        <v>30</v>
      </c>
    </row>
    <row r="1271" spans="1:20" x14ac:dyDescent="0.3">
      <c r="A1271" t="s">
        <v>31</v>
      </c>
      <c r="B1271">
        <v>29</v>
      </c>
      <c r="C1271">
        <v>80.427999999999997</v>
      </c>
      <c r="D1271">
        <v>1.865</v>
      </c>
      <c r="E1271">
        <v>38.709000000000003</v>
      </c>
      <c r="F1271">
        <v>82.287000000000006</v>
      </c>
      <c r="G1271" t="s">
        <v>1088</v>
      </c>
      <c r="H1271">
        <v>108</v>
      </c>
      <c r="I1271">
        <v>59</v>
      </c>
      <c r="J1271">
        <v>121</v>
      </c>
      <c r="K1271" t="s">
        <v>23</v>
      </c>
      <c r="L1271" t="s">
        <v>22</v>
      </c>
      <c r="M1271" t="s">
        <v>37</v>
      </c>
      <c r="N1271">
        <v>0.441</v>
      </c>
      <c r="O1271">
        <v>151</v>
      </c>
      <c r="P1271">
        <v>93</v>
      </c>
      <c r="Q1271" t="s">
        <v>38</v>
      </c>
      <c r="R1271">
        <v>19</v>
      </c>
      <c r="S1271">
        <v>17.452000000000002</v>
      </c>
      <c r="T1271" t="s">
        <v>30</v>
      </c>
    </row>
    <row r="1272" spans="1:20" x14ac:dyDescent="0.3">
      <c r="A1272" t="s">
        <v>20</v>
      </c>
      <c r="B1272">
        <v>65</v>
      </c>
      <c r="C1272">
        <v>112.07599999999999</v>
      </c>
      <c r="D1272">
        <v>1.883</v>
      </c>
      <c r="E1272">
        <v>37.783999999999999</v>
      </c>
      <c r="F1272">
        <v>83.951999999999998</v>
      </c>
      <c r="G1272" t="s">
        <v>488</v>
      </c>
      <c r="H1272">
        <v>107</v>
      </c>
      <c r="I1272">
        <v>80</v>
      </c>
      <c r="J1272">
        <v>161</v>
      </c>
      <c r="K1272" t="s">
        <v>23</v>
      </c>
      <c r="L1272" t="s">
        <v>22</v>
      </c>
      <c r="M1272" t="s">
        <v>28</v>
      </c>
      <c r="N1272">
        <v>0.44600000000000001</v>
      </c>
      <c r="O1272">
        <v>141</v>
      </c>
      <c r="P1272">
        <v>81</v>
      </c>
      <c r="Q1272" t="s">
        <v>29</v>
      </c>
      <c r="R1272">
        <v>-3</v>
      </c>
      <c r="S1272">
        <v>16.747</v>
      </c>
      <c r="T1272" t="s">
        <v>30</v>
      </c>
    </row>
    <row r="1273" spans="1:20" x14ac:dyDescent="0.3">
      <c r="A1273" t="s">
        <v>31</v>
      </c>
      <c r="B1273">
        <v>61</v>
      </c>
      <c r="C1273">
        <v>108.642</v>
      </c>
      <c r="D1273">
        <v>1.7549999999999999</v>
      </c>
      <c r="E1273">
        <v>39.877000000000002</v>
      </c>
      <c r="F1273">
        <v>87.74</v>
      </c>
      <c r="G1273" t="s">
        <v>1089</v>
      </c>
      <c r="H1273">
        <v>179</v>
      </c>
      <c r="I1273">
        <v>75</v>
      </c>
      <c r="J1273">
        <v>160</v>
      </c>
      <c r="K1273" t="s">
        <v>23</v>
      </c>
      <c r="L1273" t="s">
        <v>22</v>
      </c>
      <c r="M1273" t="s">
        <v>28</v>
      </c>
      <c r="N1273">
        <v>0.5</v>
      </c>
      <c r="O1273">
        <v>156</v>
      </c>
      <c r="P1273">
        <v>66</v>
      </c>
      <c r="Q1273" t="s">
        <v>38</v>
      </c>
      <c r="R1273">
        <v>74</v>
      </c>
      <c r="S1273">
        <v>19.355</v>
      </c>
      <c r="T1273" t="s">
        <v>30</v>
      </c>
    </row>
    <row r="1274" spans="1:20" x14ac:dyDescent="0.3">
      <c r="A1274" t="s">
        <v>31</v>
      </c>
      <c r="B1274">
        <v>39</v>
      </c>
      <c r="C1274">
        <v>86.426000000000002</v>
      </c>
      <c r="D1274">
        <v>1.8240000000000001</v>
      </c>
      <c r="E1274">
        <v>27.754999999999999</v>
      </c>
      <c r="F1274">
        <v>102.672</v>
      </c>
      <c r="G1274" t="s">
        <v>764</v>
      </c>
      <c r="H1274">
        <v>267</v>
      </c>
      <c r="K1274" t="s">
        <v>23</v>
      </c>
      <c r="L1274" t="s">
        <v>23</v>
      </c>
      <c r="M1274" t="s">
        <v>28</v>
      </c>
      <c r="N1274">
        <v>0.56299999999999994</v>
      </c>
      <c r="O1274">
        <v>132</v>
      </c>
      <c r="P1274">
        <v>77</v>
      </c>
      <c r="Q1274" t="s">
        <v>29</v>
      </c>
      <c r="R1274">
        <v>172</v>
      </c>
      <c r="S1274">
        <v>19.491</v>
      </c>
      <c r="T1274" t="s">
        <v>30</v>
      </c>
    </row>
    <row r="1275" spans="1:20" x14ac:dyDescent="0.3">
      <c r="A1275" t="s">
        <v>20</v>
      </c>
      <c r="B1275">
        <v>41</v>
      </c>
      <c r="C1275">
        <v>98.17</v>
      </c>
      <c r="D1275">
        <v>1.964</v>
      </c>
      <c r="E1275">
        <v>34.151000000000003</v>
      </c>
      <c r="F1275">
        <v>86.302999999999997</v>
      </c>
      <c r="G1275" t="s">
        <v>1090</v>
      </c>
      <c r="H1275">
        <v>227</v>
      </c>
      <c r="I1275">
        <v>89</v>
      </c>
      <c r="J1275">
        <v>88</v>
      </c>
      <c r="K1275" t="s">
        <v>23</v>
      </c>
      <c r="L1275" t="s">
        <v>23</v>
      </c>
      <c r="M1275" t="s">
        <v>28</v>
      </c>
      <c r="N1275">
        <v>0.439</v>
      </c>
      <c r="O1275">
        <v>172</v>
      </c>
      <c r="P1275">
        <v>68</v>
      </c>
      <c r="Q1275" t="s">
        <v>38</v>
      </c>
      <c r="R1275">
        <v>108</v>
      </c>
      <c r="S1275">
        <v>21.97</v>
      </c>
      <c r="T1275" t="s">
        <v>52</v>
      </c>
    </row>
    <row r="1276" spans="1:20" x14ac:dyDescent="0.3">
      <c r="A1276" t="s">
        <v>20</v>
      </c>
      <c r="B1276">
        <v>26</v>
      </c>
      <c r="C1276">
        <v>97.701999999999998</v>
      </c>
      <c r="D1276">
        <v>1.8009999999999999</v>
      </c>
      <c r="E1276">
        <v>32.79</v>
      </c>
      <c r="F1276">
        <v>108.242</v>
      </c>
      <c r="G1276" t="s">
        <v>1091</v>
      </c>
      <c r="I1276">
        <v>79</v>
      </c>
      <c r="J1276">
        <v>185</v>
      </c>
      <c r="K1276" t="s">
        <v>22</v>
      </c>
      <c r="L1276" t="s">
        <v>22</v>
      </c>
      <c r="M1276" t="s">
        <v>28</v>
      </c>
      <c r="N1276">
        <v>0.60099999999999998</v>
      </c>
      <c r="O1276">
        <v>108</v>
      </c>
      <c r="P1276">
        <v>117</v>
      </c>
      <c r="Q1276" t="s">
        <v>38</v>
      </c>
      <c r="R1276">
        <v>153</v>
      </c>
      <c r="S1276">
        <v>17.198</v>
      </c>
      <c r="T1276" t="s">
        <v>30</v>
      </c>
    </row>
    <row r="1277" spans="1:20" x14ac:dyDescent="0.3">
      <c r="A1277" t="s">
        <v>20</v>
      </c>
      <c r="B1277">
        <v>26</v>
      </c>
      <c r="C1277">
        <v>66.394000000000005</v>
      </c>
      <c r="D1277">
        <v>1.86</v>
      </c>
      <c r="E1277">
        <v>27.704000000000001</v>
      </c>
      <c r="F1277">
        <v>91.594999999999999</v>
      </c>
      <c r="G1277" t="s">
        <v>1092</v>
      </c>
      <c r="H1277">
        <v>106</v>
      </c>
      <c r="I1277">
        <v>78</v>
      </c>
      <c r="J1277">
        <v>103</v>
      </c>
      <c r="K1277" t="s">
        <v>22</v>
      </c>
      <c r="L1277" t="s">
        <v>23</v>
      </c>
      <c r="M1277" t="s">
        <v>28</v>
      </c>
      <c r="N1277">
        <v>0.49299999999999999</v>
      </c>
      <c r="O1277">
        <v>165</v>
      </c>
      <c r="P1277">
        <v>101</v>
      </c>
      <c r="Q1277" t="s">
        <v>38</v>
      </c>
      <c r="R1277">
        <v>-2</v>
      </c>
      <c r="T1277" t="s">
        <v>52</v>
      </c>
    </row>
    <row r="1278" spans="1:20" x14ac:dyDescent="0.3">
      <c r="A1278" t="s">
        <v>20</v>
      </c>
      <c r="B1278">
        <v>68</v>
      </c>
      <c r="D1278">
        <v>1.9950000000000001</v>
      </c>
      <c r="E1278">
        <v>29.507000000000001</v>
      </c>
      <c r="F1278">
        <v>103.497</v>
      </c>
      <c r="G1278" t="s">
        <v>318</v>
      </c>
      <c r="H1278">
        <v>134</v>
      </c>
      <c r="I1278">
        <v>45</v>
      </c>
      <c r="J1278">
        <v>175</v>
      </c>
      <c r="K1278" t="s">
        <v>23</v>
      </c>
      <c r="L1278" t="s">
        <v>22</v>
      </c>
      <c r="M1278" t="s">
        <v>24</v>
      </c>
      <c r="N1278">
        <v>0.51900000000000002</v>
      </c>
      <c r="O1278">
        <v>128</v>
      </c>
      <c r="P1278">
        <v>88</v>
      </c>
      <c r="Q1278" t="s">
        <v>29</v>
      </c>
      <c r="R1278">
        <v>59</v>
      </c>
      <c r="S1278">
        <v>14.981</v>
      </c>
      <c r="T1278" t="s">
        <v>30</v>
      </c>
    </row>
    <row r="1279" spans="1:20" x14ac:dyDescent="0.3">
      <c r="A1279" t="s">
        <v>31</v>
      </c>
      <c r="B1279">
        <v>33</v>
      </c>
      <c r="C1279">
        <v>104.748</v>
      </c>
      <c r="D1279">
        <v>1.9830000000000001</v>
      </c>
      <c r="E1279">
        <v>18.852</v>
      </c>
      <c r="F1279">
        <v>104.754</v>
      </c>
      <c r="G1279" t="s">
        <v>1093</v>
      </c>
      <c r="H1279">
        <v>176</v>
      </c>
      <c r="I1279">
        <v>81</v>
      </c>
      <c r="J1279">
        <v>161</v>
      </c>
      <c r="K1279" t="s">
        <v>22</v>
      </c>
      <c r="L1279" t="s">
        <v>22</v>
      </c>
      <c r="M1279" t="s">
        <v>37</v>
      </c>
      <c r="N1279">
        <v>0.52800000000000002</v>
      </c>
      <c r="O1279">
        <v>178</v>
      </c>
      <c r="P1279">
        <v>65</v>
      </c>
      <c r="Q1279" t="s">
        <v>38</v>
      </c>
      <c r="R1279">
        <v>65</v>
      </c>
      <c r="S1279">
        <v>16.190000000000001</v>
      </c>
      <c r="T1279" t="s">
        <v>30</v>
      </c>
    </row>
    <row r="1280" spans="1:20" x14ac:dyDescent="0.3">
      <c r="A1280" t="s">
        <v>20</v>
      </c>
      <c r="B1280">
        <v>75</v>
      </c>
      <c r="C1280">
        <v>113.605</v>
      </c>
      <c r="D1280">
        <v>1.8640000000000001</v>
      </c>
      <c r="E1280">
        <v>22.713999999999999</v>
      </c>
      <c r="F1280">
        <v>88.545000000000002</v>
      </c>
      <c r="G1280" t="s">
        <v>1094</v>
      </c>
      <c r="H1280">
        <v>151</v>
      </c>
      <c r="I1280">
        <v>63</v>
      </c>
      <c r="J1280">
        <v>105</v>
      </c>
      <c r="K1280" t="s">
        <v>22</v>
      </c>
      <c r="L1280" t="s">
        <v>23</v>
      </c>
      <c r="M1280" t="s">
        <v>24</v>
      </c>
      <c r="N1280">
        <v>0.47499999999999998</v>
      </c>
      <c r="O1280">
        <v>159</v>
      </c>
      <c r="P1280">
        <v>100</v>
      </c>
      <c r="Q1280" t="s">
        <v>38</v>
      </c>
      <c r="R1280">
        <v>58</v>
      </c>
      <c r="S1280">
        <v>17.513000000000002</v>
      </c>
      <c r="T1280" t="s">
        <v>52</v>
      </c>
    </row>
    <row r="1281" spans="1:20" x14ac:dyDescent="0.3">
      <c r="A1281" t="s">
        <v>31</v>
      </c>
      <c r="B1281">
        <v>75</v>
      </c>
      <c r="D1281">
        <v>1.9830000000000001</v>
      </c>
      <c r="E1281">
        <v>31.626999999999999</v>
      </c>
      <c r="G1281" t="s">
        <v>1095</v>
      </c>
      <c r="H1281">
        <v>179</v>
      </c>
      <c r="I1281">
        <v>46</v>
      </c>
      <c r="J1281">
        <v>138</v>
      </c>
      <c r="K1281" t="s">
        <v>22</v>
      </c>
      <c r="L1281" t="s">
        <v>22</v>
      </c>
      <c r="M1281" t="s">
        <v>28</v>
      </c>
      <c r="N1281">
        <v>0.56299999999999994</v>
      </c>
      <c r="O1281">
        <v>159</v>
      </c>
      <c r="P1281">
        <v>101</v>
      </c>
      <c r="Q1281" t="s">
        <v>38</v>
      </c>
      <c r="R1281">
        <v>103</v>
      </c>
      <c r="S1281">
        <v>17.855</v>
      </c>
      <c r="T1281" t="s">
        <v>26</v>
      </c>
    </row>
    <row r="1282" spans="1:20" x14ac:dyDescent="0.3">
      <c r="A1282" t="s">
        <v>31</v>
      </c>
      <c r="B1282">
        <v>63</v>
      </c>
      <c r="C1282">
        <v>55.338999999999999</v>
      </c>
      <c r="E1282">
        <v>24.893000000000001</v>
      </c>
      <c r="F1282">
        <v>103.179</v>
      </c>
      <c r="G1282" t="s">
        <v>656</v>
      </c>
      <c r="H1282">
        <v>252</v>
      </c>
      <c r="I1282">
        <v>42</v>
      </c>
      <c r="J1282">
        <v>147</v>
      </c>
      <c r="K1282" t="s">
        <v>22</v>
      </c>
      <c r="L1282" t="s">
        <v>22</v>
      </c>
      <c r="M1282" t="s">
        <v>24</v>
      </c>
      <c r="N1282">
        <v>0.59199999999999997</v>
      </c>
      <c r="O1282">
        <v>101</v>
      </c>
      <c r="P1282">
        <v>77</v>
      </c>
      <c r="Q1282" t="s">
        <v>33</v>
      </c>
      <c r="R1282">
        <v>180</v>
      </c>
      <c r="S1282">
        <v>15.069000000000001</v>
      </c>
      <c r="T1282" t="s">
        <v>26</v>
      </c>
    </row>
    <row r="1283" spans="1:20" x14ac:dyDescent="0.3">
      <c r="A1283" t="s">
        <v>20</v>
      </c>
      <c r="B1283">
        <v>38</v>
      </c>
      <c r="C1283">
        <v>107.316</v>
      </c>
      <c r="D1283">
        <v>1.9890000000000001</v>
      </c>
      <c r="E1283">
        <v>20.888000000000002</v>
      </c>
      <c r="F1283">
        <v>113.22</v>
      </c>
      <c r="G1283" t="s">
        <v>1096</v>
      </c>
      <c r="H1283">
        <v>218</v>
      </c>
      <c r="I1283">
        <v>52</v>
      </c>
      <c r="J1283">
        <v>72</v>
      </c>
      <c r="K1283" t="s">
        <v>22</v>
      </c>
      <c r="L1283" t="s">
        <v>22</v>
      </c>
      <c r="M1283" t="s">
        <v>24</v>
      </c>
      <c r="N1283">
        <v>0.56899999999999995</v>
      </c>
      <c r="O1283">
        <v>103</v>
      </c>
      <c r="P1283">
        <v>71</v>
      </c>
      <c r="Q1283" t="s">
        <v>33</v>
      </c>
      <c r="R1283">
        <v>136</v>
      </c>
      <c r="S1283">
        <v>13.688000000000001</v>
      </c>
      <c r="T1283" t="s">
        <v>30</v>
      </c>
    </row>
    <row r="1284" spans="1:20" x14ac:dyDescent="0.3">
      <c r="A1284" t="s">
        <v>20</v>
      </c>
      <c r="B1284">
        <v>76</v>
      </c>
      <c r="C1284">
        <v>119.517</v>
      </c>
      <c r="D1284">
        <v>1.895</v>
      </c>
      <c r="E1284">
        <v>22.664999999999999</v>
      </c>
      <c r="F1284">
        <v>104.21</v>
      </c>
      <c r="G1284" t="s">
        <v>1097</v>
      </c>
      <c r="H1284">
        <v>230</v>
      </c>
      <c r="I1284">
        <v>41</v>
      </c>
      <c r="J1284">
        <v>198</v>
      </c>
      <c r="K1284" t="s">
        <v>22</v>
      </c>
      <c r="L1284" t="s">
        <v>23</v>
      </c>
      <c r="M1284" t="s">
        <v>28</v>
      </c>
      <c r="N1284">
        <v>0.55000000000000004</v>
      </c>
      <c r="O1284">
        <v>157</v>
      </c>
      <c r="P1284">
        <v>67</v>
      </c>
      <c r="Q1284" t="s">
        <v>38</v>
      </c>
      <c r="R1284">
        <v>159</v>
      </c>
      <c r="S1284">
        <v>18.983000000000001</v>
      </c>
      <c r="T1284" t="s">
        <v>30</v>
      </c>
    </row>
    <row r="1285" spans="1:20" x14ac:dyDescent="0.3">
      <c r="A1285" t="s">
        <v>20</v>
      </c>
      <c r="B1285">
        <v>39</v>
      </c>
      <c r="C1285">
        <v>86.203999999999994</v>
      </c>
      <c r="D1285">
        <v>1.909</v>
      </c>
      <c r="F1285">
        <v>112.36</v>
      </c>
      <c r="G1285" t="s">
        <v>1098</v>
      </c>
      <c r="H1285">
        <v>127</v>
      </c>
      <c r="I1285">
        <v>38</v>
      </c>
      <c r="J1285">
        <v>85</v>
      </c>
      <c r="K1285" t="s">
        <v>22</v>
      </c>
      <c r="L1285" t="s">
        <v>22</v>
      </c>
      <c r="M1285" t="s">
        <v>24</v>
      </c>
      <c r="N1285">
        <v>0.58899999999999997</v>
      </c>
      <c r="O1285">
        <v>141</v>
      </c>
      <c r="P1285">
        <v>118</v>
      </c>
      <c r="Q1285" t="s">
        <v>38</v>
      </c>
      <c r="R1285">
        <v>59</v>
      </c>
      <c r="S1285">
        <v>16.785</v>
      </c>
      <c r="T1285" t="s">
        <v>30</v>
      </c>
    </row>
    <row r="1286" spans="1:20" x14ac:dyDescent="0.3">
      <c r="A1286" t="s">
        <v>20</v>
      </c>
      <c r="B1286">
        <v>42</v>
      </c>
      <c r="C1286">
        <v>101.874</v>
      </c>
      <c r="E1286">
        <v>18.507999999999999</v>
      </c>
      <c r="F1286">
        <v>93.102999999999994</v>
      </c>
      <c r="G1286" t="s">
        <v>1099</v>
      </c>
      <c r="H1286">
        <v>138</v>
      </c>
      <c r="I1286">
        <v>51</v>
      </c>
      <c r="J1286">
        <v>180</v>
      </c>
      <c r="K1286" t="s">
        <v>23</v>
      </c>
      <c r="L1286" t="s">
        <v>23</v>
      </c>
      <c r="M1286" t="s">
        <v>28</v>
      </c>
      <c r="N1286">
        <v>0.496</v>
      </c>
      <c r="P1286">
        <v>67</v>
      </c>
      <c r="Q1286" t="s">
        <v>33</v>
      </c>
      <c r="R1286">
        <v>57</v>
      </c>
      <c r="S1286">
        <v>13.162000000000001</v>
      </c>
      <c r="T1286" t="s">
        <v>26</v>
      </c>
    </row>
    <row r="1287" spans="1:20" x14ac:dyDescent="0.3">
      <c r="A1287" t="s">
        <v>20</v>
      </c>
      <c r="B1287">
        <v>26</v>
      </c>
      <c r="C1287">
        <v>85.659000000000006</v>
      </c>
      <c r="D1287">
        <v>1.8029999999999999</v>
      </c>
      <c r="E1287">
        <v>32.454000000000001</v>
      </c>
      <c r="F1287">
        <v>107.746</v>
      </c>
      <c r="G1287" t="s">
        <v>1100</v>
      </c>
      <c r="H1287">
        <v>213</v>
      </c>
      <c r="I1287">
        <v>66</v>
      </c>
      <c r="J1287">
        <v>133</v>
      </c>
      <c r="K1287" t="s">
        <v>22</v>
      </c>
      <c r="L1287" t="s">
        <v>23</v>
      </c>
      <c r="M1287" t="s">
        <v>24</v>
      </c>
      <c r="N1287">
        <v>0.59799999999999998</v>
      </c>
      <c r="O1287">
        <v>156</v>
      </c>
      <c r="P1287">
        <v>118</v>
      </c>
      <c r="Q1287" t="s">
        <v>38</v>
      </c>
      <c r="R1287">
        <v>117</v>
      </c>
      <c r="S1287">
        <v>20.550999999999998</v>
      </c>
      <c r="T1287" t="s">
        <v>26</v>
      </c>
    </row>
    <row r="1288" spans="1:20" x14ac:dyDescent="0.3">
      <c r="A1288" t="s">
        <v>31</v>
      </c>
      <c r="B1288">
        <v>26</v>
      </c>
      <c r="C1288">
        <v>114.55500000000001</v>
      </c>
      <c r="D1288">
        <v>1.8759999999999999</v>
      </c>
      <c r="E1288">
        <v>35.426000000000002</v>
      </c>
      <c r="F1288">
        <v>97.783000000000001</v>
      </c>
      <c r="G1288" t="s">
        <v>1101</v>
      </c>
      <c r="H1288">
        <v>224</v>
      </c>
      <c r="I1288">
        <v>54</v>
      </c>
      <c r="J1288">
        <v>125</v>
      </c>
      <c r="K1288" t="s">
        <v>22</v>
      </c>
      <c r="L1288" t="s">
        <v>23</v>
      </c>
      <c r="M1288" t="s">
        <v>37</v>
      </c>
      <c r="N1288">
        <v>0.52100000000000002</v>
      </c>
      <c r="O1288">
        <v>101</v>
      </c>
      <c r="P1288">
        <v>60</v>
      </c>
      <c r="Q1288" t="s">
        <v>33</v>
      </c>
      <c r="S1288">
        <v>18.614999999999998</v>
      </c>
      <c r="T1288" t="s">
        <v>26</v>
      </c>
    </row>
    <row r="1289" spans="1:20" x14ac:dyDescent="0.3">
      <c r="A1289" t="s">
        <v>20</v>
      </c>
      <c r="B1289">
        <v>57</v>
      </c>
      <c r="C1289">
        <v>94.534000000000006</v>
      </c>
      <c r="D1289">
        <v>1.5129999999999999</v>
      </c>
      <c r="E1289">
        <v>25.206</v>
      </c>
      <c r="F1289">
        <v>93.727000000000004</v>
      </c>
      <c r="G1289" t="s">
        <v>1102</v>
      </c>
      <c r="H1289">
        <v>127</v>
      </c>
      <c r="I1289">
        <v>88</v>
      </c>
      <c r="J1289">
        <v>112</v>
      </c>
      <c r="K1289" t="s">
        <v>22</v>
      </c>
      <c r="L1289" t="s">
        <v>22</v>
      </c>
      <c r="M1289" t="s">
        <v>37</v>
      </c>
      <c r="N1289">
        <v>0.61899999999999999</v>
      </c>
      <c r="O1289">
        <v>138</v>
      </c>
      <c r="P1289">
        <v>65</v>
      </c>
      <c r="Q1289" t="s">
        <v>29</v>
      </c>
      <c r="R1289">
        <v>9</v>
      </c>
      <c r="S1289">
        <v>14.481</v>
      </c>
      <c r="T1289" t="s">
        <v>26</v>
      </c>
    </row>
    <row r="1290" spans="1:20" x14ac:dyDescent="0.3">
      <c r="A1290" t="s">
        <v>20</v>
      </c>
      <c r="B1290">
        <v>52</v>
      </c>
      <c r="C1290">
        <v>88.475999999999999</v>
      </c>
      <c r="D1290">
        <v>1.9430000000000001</v>
      </c>
      <c r="E1290">
        <v>30.212</v>
      </c>
      <c r="F1290">
        <v>81.132000000000005</v>
      </c>
      <c r="G1290" t="s">
        <v>70</v>
      </c>
      <c r="H1290">
        <v>257</v>
      </c>
      <c r="I1290">
        <v>58</v>
      </c>
      <c r="J1290">
        <v>103</v>
      </c>
      <c r="K1290" t="s">
        <v>22</v>
      </c>
      <c r="L1290" t="s">
        <v>23</v>
      </c>
      <c r="M1290" t="s">
        <v>37</v>
      </c>
      <c r="N1290">
        <v>0.41799999999999998</v>
      </c>
      <c r="O1290">
        <v>99</v>
      </c>
      <c r="P1290">
        <v>99</v>
      </c>
      <c r="Q1290" t="s">
        <v>38</v>
      </c>
      <c r="R1290">
        <v>169</v>
      </c>
      <c r="S1290">
        <v>18.132000000000001</v>
      </c>
      <c r="T1290" t="s">
        <v>52</v>
      </c>
    </row>
    <row r="1291" spans="1:20" x14ac:dyDescent="0.3">
      <c r="A1291" t="s">
        <v>31</v>
      </c>
      <c r="B1291">
        <v>65</v>
      </c>
      <c r="C1291">
        <v>73.667000000000002</v>
      </c>
      <c r="D1291">
        <v>1.946</v>
      </c>
      <c r="E1291">
        <v>29.553999999999998</v>
      </c>
      <c r="F1291">
        <v>100.702</v>
      </c>
      <c r="G1291" t="s">
        <v>1103</v>
      </c>
      <c r="H1291">
        <v>132</v>
      </c>
      <c r="I1291">
        <v>38</v>
      </c>
      <c r="J1291">
        <v>148</v>
      </c>
      <c r="K1291" t="s">
        <v>23</v>
      </c>
      <c r="L1291" t="s">
        <v>23</v>
      </c>
      <c r="M1291" t="s">
        <v>28</v>
      </c>
      <c r="N1291">
        <v>0.51800000000000002</v>
      </c>
      <c r="O1291">
        <v>136</v>
      </c>
      <c r="P1291">
        <v>74</v>
      </c>
      <c r="Q1291" t="s">
        <v>29</v>
      </c>
      <c r="R1291">
        <v>64</v>
      </c>
      <c r="S1291">
        <v>17.350999999999999</v>
      </c>
      <c r="T1291" t="s">
        <v>26</v>
      </c>
    </row>
    <row r="1292" spans="1:20" x14ac:dyDescent="0.3">
      <c r="A1292" t="s">
        <v>31</v>
      </c>
      <c r="B1292">
        <v>58</v>
      </c>
      <c r="C1292">
        <v>68.584000000000003</v>
      </c>
      <c r="D1292">
        <v>1.7849999999999999</v>
      </c>
      <c r="E1292">
        <v>23.355</v>
      </c>
      <c r="F1292">
        <v>88.625</v>
      </c>
      <c r="G1292" t="s">
        <v>1104</v>
      </c>
      <c r="H1292">
        <v>127</v>
      </c>
      <c r="I1292">
        <v>57</v>
      </c>
      <c r="J1292">
        <v>113</v>
      </c>
      <c r="K1292" t="s">
        <v>23</v>
      </c>
      <c r="L1292" t="s">
        <v>23</v>
      </c>
      <c r="M1292" t="s">
        <v>24</v>
      </c>
      <c r="N1292">
        <v>0.497</v>
      </c>
      <c r="O1292">
        <v>143</v>
      </c>
      <c r="P1292">
        <v>65</v>
      </c>
      <c r="Q1292" t="s">
        <v>38</v>
      </c>
      <c r="R1292">
        <v>40</v>
      </c>
      <c r="S1292">
        <v>16.361000000000001</v>
      </c>
      <c r="T1292" t="s">
        <v>26</v>
      </c>
    </row>
    <row r="1293" spans="1:20" x14ac:dyDescent="0.3">
      <c r="A1293" t="s">
        <v>31</v>
      </c>
      <c r="C1293">
        <v>112.30200000000001</v>
      </c>
      <c r="D1293">
        <v>1.8220000000000001</v>
      </c>
      <c r="E1293">
        <v>26.527999999999999</v>
      </c>
      <c r="F1293">
        <v>79.536000000000001</v>
      </c>
      <c r="G1293" t="s">
        <v>1105</v>
      </c>
      <c r="I1293">
        <v>75</v>
      </c>
      <c r="J1293">
        <v>76</v>
      </c>
      <c r="K1293" t="s">
        <v>22</v>
      </c>
      <c r="L1293" t="s">
        <v>22</v>
      </c>
      <c r="M1293" t="s">
        <v>37</v>
      </c>
      <c r="N1293">
        <v>0.436</v>
      </c>
      <c r="O1293">
        <v>150</v>
      </c>
      <c r="P1293">
        <v>100</v>
      </c>
      <c r="Q1293" t="s">
        <v>38</v>
      </c>
      <c r="R1293">
        <v>187</v>
      </c>
      <c r="S1293">
        <v>18.646000000000001</v>
      </c>
      <c r="T1293" t="s">
        <v>52</v>
      </c>
    </row>
    <row r="1294" spans="1:20" x14ac:dyDescent="0.3">
      <c r="A1294" t="s">
        <v>20</v>
      </c>
      <c r="C1294">
        <v>54.496000000000002</v>
      </c>
      <c r="D1294">
        <v>1.8360000000000001</v>
      </c>
      <c r="E1294">
        <v>30.847000000000001</v>
      </c>
      <c r="F1294">
        <v>118.374</v>
      </c>
      <c r="G1294" t="s">
        <v>787</v>
      </c>
      <c r="H1294">
        <v>185</v>
      </c>
      <c r="I1294">
        <v>79</v>
      </c>
      <c r="K1294" t="s">
        <v>22</v>
      </c>
      <c r="L1294" t="s">
        <v>22</v>
      </c>
      <c r="M1294" t="s">
        <v>37</v>
      </c>
      <c r="N1294">
        <v>0.64500000000000002</v>
      </c>
      <c r="O1294">
        <v>92</v>
      </c>
      <c r="P1294">
        <v>100</v>
      </c>
      <c r="Q1294" t="s">
        <v>38</v>
      </c>
      <c r="R1294">
        <v>76</v>
      </c>
      <c r="S1294">
        <v>14.468999999999999</v>
      </c>
      <c r="T1294" t="s">
        <v>26</v>
      </c>
    </row>
    <row r="1295" spans="1:20" x14ac:dyDescent="0.3">
      <c r="A1295" t="s">
        <v>31</v>
      </c>
      <c r="B1295">
        <v>40</v>
      </c>
      <c r="C1295">
        <v>63.656999999999996</v>
      </c>
      <c r="D1295">
        <v>1.9790000000000001</v>
      </c>
      <c r="E1295">
        <v>38.796999999999997</v>
      </c>
      <c r="F1295">
        <v>105.43300000000001</v>
      </c>
      <c r="G1295" t="s">
        <v>1106</v>
      </c>
      <c r="H1295">
        <v>213</v>
      </c>
      <c r="I1295">
        <v>34</v>
      </c>
      <c r="J1295">
        <v>138</v>
      </c>
      <c r="K1295" t="s">
        <v>22</v>
      </c>
      <c r="L1295" t="s">
        <v>23</v>
      </c>
      <c r="M1295" t="s">
        <v>37</v>
      </c>
      <c r="N1295">
        <v>0.53300000000000003</v>
      </c>
      <c r="O1295">
        <v>147</v>
      </c>
      <c r="P1295">
        <v>90</v>
      </c>
      <c r="Q1295" t="s">
        <v>38</v>
      </c>
      <c r="R1295">
        <v>149</v>
      </c>
      <c r="T1295" t="s">
        <v>52</v>
      </c>
    </row>
    <row r="1296" spans="1:20" x14ac:dyDescent="0.3">
      <c r="A1296" t="s">
        <v>20</v>
      </c>
      <c r="B1296">
        <v>30</v>
      </c>
      <c r="C1296">
        <v>55.924999999999997</v>
      </c>
      <c r="D1296">
        <v>1.506</v>
      </c>
      <c r="E1296">
        <v>20.962</v>
      </c>
      <c r="F1296">
        <v>109.86199999999999</v>
      </c>
      <c r="G1296" t="s">
        <v>1107</v>
      </c>
      <c r="H1296">
        <v>117</v>
      </c>
      <c r="I1296">
        <v>44</v>
      </c>
      <c r="J1296">
        <v>77</v>
      </c>
      <c r="K1296" t="s">
        <v>23</v>
      </c>
      <c r="L1296" t="s">
        <v>23</v>
      </c>
      <c r="M1296" t="s">
        <v>28</v>
      </c>
      <c r="N1296">
        <v>0.72899999999999998</v>
      </c>
      <c r="P1296">
        <v>101</v>
      </c>
      <c r="Q1296" t="s">
        <v>38</v>
      </c>
      <c r="R1296">
        <v>43</v>
      </c>
      <c r="S1296">
        <v>14.932</v>
      </c>
      <c r="T1296" t="s">
        <v>26</v>
      </c>
    </row>
    <row r="1297" spans="1:20" x14ac:dyDescent="0.3">
      <c r="A1297" t="s">
        <v>20</v>
      </c>
      <c r="B1297">
        <v>25</v>
      </c>
      <c r="C1297">
        <v>65.882999999999996</v>
      </c>
      <c r="D1297">
        <v>1.7410000000000001</v>
      </c>
      <c r="E1297">
        <v>37.06</v>
      </c>
      <c r="F1297">
        <v>107.392</v>
      </c>
      <c r="G1297" t="s">
        <v>1108</v>
      </c>
      <c r="H1297">
        <v>229</v>
      </c>
      <c r="I1297">
        <v>34</v>
      </c>
      <c r="J1297">
        <v>89</v>
      </c>
      <c r="K1297" t="s">
        <v>23</v>
      </c>
      <c r="L1297" t="s">
        <v>23</v>
      </c>
      <c r="M1297" t="s">
        <v>28</v>
      </c>
      <c r="N1297">
        <v>0.61699999999999999</v>
      </c>
      <c r="O1297">
        <v>163</v>
      </c>
      <c r="P1297">
        <v>61</v>
      </c>
      <c r="Q1297" t="s">
        <v>38</v>
      </c>
      <c r="R1297">
        <v>165</v>
      </c>
      <c r="S1297">
        <v>22.141999999999999</v>
      </c>
      <c r="T1297" t="s">
        <v>30</v>
      </c>
    </row>
    <row r="1298" spans="1:20" x14ac:dyDescent="0.3">
      <c r="A1298" t="s">
        <v>31</v>
      </c>
      <c r="C1298">
        <v>70.34</v>
      </c>
      <c r="D1298">
        <v>1.6990000000000001</v>
      </c>
      <c r="E1298">
        <v>35.125999999999998</v>
      </c>
      <c r="F1298">
        <v>78.756</v>
      </c>
      <c r="G1298" t="s">
        <v>1109</v>
      </c>
      <c r="H1298">
        <v>264</v>
      </c>
      <c r="I1298">
        <v>87</v>
      </c>
      <c r="J1298">
        <v>159</v>
      </c>
      <c r="K1298" t="s">
        <v>22</v>
      </c>
      <c r="L1298" t="s">
        <v>23</v>
      </c>
      <c r="M1298" t="s">
        <v>24</v>
      </c>
      <c r="N1298">
        <v>0.46400000000000002</v>
      </c>
      <c r="O1298">
        <v>150</v>
      </c>
      <c r="P1298">
        <v>108</v>
      </c>
      <c r="Q1298" t="s">
        <v>38</v>
      </c>
      <c r="R1298">
        <v>147</v>
      </c>
      <c r="S1298">
        <v>21.805</v>
      </c>
      <c r="T1298" t="s">
        <v>26</v>
      </c>
    </row>
    <row r="1299" spans="1:20" x14ac:dyDescent="0.3">
      <c r="A1299" t="s">
        <v>20</v>
      </c>
      <c r="B1299">
        <v>25</v>
      </c>
      <c r="C1299">
        <v>94.236999999999995</v>
      </c>
      <c r="D1299">
        <v>1.837</v>
      </c>
      <c r="E1299">
        <v>19.024000000000001</v>
      </c>
      <c r="F1299">
        <v>118.386</v>
      </c>
      <c r="G1299" t="s">
        <v>1110</v>
      </c>
      <c r="H1299">
        <v>290</v>
      </c>
      <c r="I1299">
        <v>66</v>
      </c>
      <c r="J1299">
        <v>155</v>
      </c>
      <c r="K1299" t="s">
        <v>22</v>
      </c>
      <c r="L1299" t="s">
        <v>22</v>
      </c>
      <c r="M1299" t="s">
        <v>37</v>
      </c>
      <c r="N1299">
        <v>0.64500000000000002</v>
      </c>
      <c r="O1299">
        <v>175</v>
      </c>
      <c r="P1299">
        <v>105</v>
      </c>
      <c r="Q1299" t="s">
        <v>38</v>
      </c>
      <c r="R1299">
        <v>194</v>
      </c>
      <c r="S1299">
        <v>18.355</v>
      </c>
      <c r="T1299" t="s">
        <v>26</v>
      </c>
    </row>
    <row r="1300" spans="1:20" x14ac:dyDescent="0.3">
      <c r="A1300" t="s">
        <v>20</v>
      </c>
      <c r="B1300">
        <v>68</v>
      </c>
      <c r="C1300">
        <v>73.73</v>
      </c>
      <c r="D1300">
        <v>1.6910000000000001</v>
      </c>
      <c r="E1300">
        <v>22.972000000000001</v>
      </c>
      <c r="F1300">
        <v>116.24299999999999</v>
      </c>
      <c r="G1300" t="s">
        <v>116</v>
      </c>
      <c r="H1300">
        <v>285</v>
      </c>
      <c r="I1300">
        <v>76</v>
      </c>
      <c r="J1300">
        <v>131</v>
      </c>
      <c r="K1300" t="s">
        <v>22</v>
      </c>
      <c r="L1300" t="s">
        <v>22</v>
      </c>
      <c r="M1300" t="s">
        <v>24</v>
      </c>
      <c r="N1300">
        <v>0.68799999999999994</v>
      </c>
      <c r="O1300">
        <v>114</v>
      </c>
      <c r="P1300">
        <v>63</v>
      </c>
      <c r="Q1300" t="s">
        <v>33</v>
      </c>
      <c r="R1300">
        <v>179</v>
      </c>
      <c r="S1300">
        <v>15.994</v>
      </c>
      <c r="T1300" t="s">
        <v>26</v>
      </c>
    </row>
    <row r="1301" spans="1:20" x14ac:dyDescent="0.3">
      <c r="A1301" t="s">
        <v>31</v>
      </c>
      <c r="B1301">
        <v>55</v>
      </c>
      <c r="E1301">
        <v>27.923999999999999</v>
      </c>
      <c r="F1301">
        <v>88.421000000000006</v>
      </c>
      <c r="G1301" t="s">
        <v>1111</v>
      </c>
      <c r="I1301">
        <v>63</v>
      </c>
      <c r="J1301">
        <v>172</v>
      </c>
      <c r="K1301" t="s">
        <v>22</v>
      </c>
      <c r="L1301" t="s">
        <v>23</v>
      </c>
      <c r="M1301" t="s">
        <v>28</v>
      </c>
      <c r="N1301">
        <v>0.495</v>
      </c>
      <c r="O1301">
        <v>164</v>
      </c>
      <c r="Q1301" t="s">
        <v>38</v>
      </c>
      <c r="R1301">
        <v>157</v>
      </c>
      <c r="S1301">
        <v>20.785</v>
      </c>
      <c r="T1301" t="s">
        <v>30</v>
      </c>
    </row>
    <row r="1302" spans="1:20" x14ac:dyDescent="0.3">
      <c r="A1302" t="s">
        <v>31</v>
      </c>
      <c r="B1302">
        <v>76</v>
      </c>
      <c r="C1302">
        <v>58.82</v>
      </c>
      <c r="D1302">
        <v>1.92</v>
      </c>
      <c r="E1302">
        <v>21.324000000000002</v>
      </c>
      <c r="F1302">
        <v>86.471000000000004</v>
      </c>
      <c r="G1302" t="s">
        <v>1112</v>
      </c>
      <c r="H1302">
        <v>193</v>
      </c>
      <c r="I1302">
        <v>83</v>
      </c>
      <c r="J1302">
        <v>172</v>
      </c>
      <c r="K1302" t="s">
        <v>22</v>
      </c>
      <c r="L1302" t="s">
        <v>23</v>
      </c>
      <c r="M1302" t="s">
        <v>24</v>
      </c>
      <c r="N1302">
        <v>0.45</v>
      </c>
      <c r="O1302">
        <v>94</v>
      </c>
      <c r="P1302">
        <v>77</v>
      </c>
      <c r="Q1302" t="s">
        <v>33</v>
      </c>
      <c r="R1302">
        <v>80</v>
      </c>
      <c r="S1302">
        <v>14.824999999999999</v>
      </c>
      <c r="T1302" t="s">
        <v>26</v>
      </c>
    </row>
    <row r="1303" spans="1:20" x14ac:dyDescent="0.3">
      <c r="A1303" t="s">
        <v>20</v>
      </c>
      <c r="B1303">
        <v>28</v>
      </c>
      <c r="C1303">
        <v>88.953999999999994</v>
      </c>
      <c r="D1303">
        <v>1.877</v>
      </c>
      <c r="E1303">
        <v>32.024999999999999</v>
      </c>
      <c r="F1303">
        <v>74.763999999999996</v>
      </c>
      <c r="G1303" t="s">
        <v>588</v>
      </c>
      <c r="H1303">
        <v>268</v>
      </c>
      <c r="I1303">
        <v>54</v>
      </c>
      <c r="J1303">
        <v>96</v>
      </c>
      <c r="K1303" t="s">
        <v>22</v>
      </c>
      <c r="L1303" t="s">
        <v>22</v>
      </c>
      <c r="M1303" t="s">
        <v>28</v>
      </c>
      <c r="O1303">
        <v>139</v>
      </c>
      <c r="Q1303" t="s">
        <v>29</v>
      </c>
      <c r="R1303">
        <v>184</v>
      </c>
      <c r="S1303">
        <v>18.715</v>
      </c>
      <c r="T1303" t="s">
        <v>30</v>
      </c>
    </row>
    <row r="1304" spans="1:20" x14ac:dyDescent="0.3">
      <c r="A1304" t="s">
        <v>20</v>
      </c>
      <c r="B1304">
        <v>64</v>
      </c>
      <c r="C1304">
        <v>87.152000000000001</v>
      </c>
      <c r="E1304">
        <v>26.512</v>
      </c>
      <c r="F1304">
        <v>80.593000000000004</v>
      </c>
      <c r="G1304" t="s">
        <v>1113</v>
      </c>
      <c r="H1304">
        <v>247</v>
      </c>
      <c r="I1304">
        <v>62</v>
      </c>
      <c r="J1304">
        <v>96</v>
      </c>
      <c r="K1304" t="s">
        <v>23</v>
      </c>
      <c r="L1304" t="s">
        <v>23</v>
      </c>
      <c r="M1304" t="s">
        <v>28</v>
      </c>
      <c r="N1304">
        <v>0.45200000000000001</v>
      </c>
      <c r="O1304">
        <v>99</v>
      </c>
      <c r="P1304">
        <v>77</v>
      </c>
      <c r="Q1304" t="s">
        <v>33</v>
      </c>
      <c r="R1304">
        <v>155</v>
      </c>
      <c r="S1304">
        <v>17.192</v>
      </c>
      <c r="T1304" t="s">
        <v>26</v>
      </c>
    </row>
    <row r="1305" spans="1:20" x14ac:dyDescent="0.3">
      <c r="A1305" t="s">
        <v>31</v>
      </c>
      <c r="B1305">
        <v>31</v>
      </c>
      <c r="D1305">
        <v>1.5629999999999999</v>
      </c>
      <c r="E1305">
        <v>19.096</v>
      </c>
      <c r="G1305" t="s">
        <v>1114</v>
      </c>
      <c r="H1305">
        <v>265</v>
      </c>
      <c r="I1305">
        <v>39</v>
      </c>
      <c r="J1305">
        <v>171</v>
      </c>
      <c r="K1305" t="s">
        <v>23</v>
      </c>
      <c r="L1305" t="s">
        <v>23</v>
      </c>
      <c r="M1305" t="s">
        <v>28</v>
      </c>
      <c r="N1305">
        <v>0.60299999999999998</v>
      </c>
      <c r="O1305">
        <v>126</v>
      </c>
      <c r="P1305">
        <v>84</v>
      </c>
      <c r="Q1305" t="s">
        <v>29</v>
      </c>
      <c r="R1305">
        <v>196</v>
      </c>
      <c r="S1305">
        <v>17.419</v>
      </c>
      <c r="T1305" t="s">
        <v>52</v>
      </c>
    </row>
    <row r="1306" spans="1:20" x14ac:dyDescent="0.3">
      <c r="A1306" t="s">
        <v>31</v>
      </c>
      <c r="B1306">
        <v>77</v>
      </c>
      <c r="C1306">
        <v>71.846999999999994</v>
      </c>
      <c r="D1306">
        <v>1.9359999999999999</v>
      </c>
      <c r="E1306">
        <v>19.053000000000001</v>
      </c>
      <c r="F1306">
        <v>117.693</v>
      </c>
      <c r="G1306" t="s">
        <v>1115</v>
      </c>
      <c r="H1306">
        <v>201</v>
      </c>
      <c r="I1306">
        <v>65</v>
      </c>
      <c r="J1306">
        <v>142</v>
      </c>
      <c r="K1306" t="s">
        <v>23</v>
      </c>
      <c r="L1306" t="s">
        <v>22</v>
      </c>
      <c r="M1306" t="s">
        <v>24</v>
      </c>
      <c r="O1306">
        <v>178</v>
      </c>
      <c r="P1306">
        <v>63</v>
      </c>
      <c r="Q1306" t="s">
        <v>38</v>
      </c>
      <c r="R1306">
        <v>106</v>
      </c>
      <c r="S1306">
        <v>16.731000000000002</v>
      </c>
      <c r="T1306" t="s">
        <v>52</v>
      </c>
    </row>
    <row r="1307" spans="1:20" x14ac:dyDescent="0.3">
      <c r="A1307" t="s">
        <v>20</v>
      </c>
      <c r="B1307">
        <v>54</v>
      </c>
      <c r="C1307">
        <v>98.480999999999995</v>
      </c>
      <c r="D1307">
        <v>1.798</v>
      </c>
      <c r="E1307">
        <v>25.846</v>
      </c>
      <c r="F1307">
        <v>77.537000000000006</v>
      </c>
      <c r="G1307" t="s">
        <v>590</v>
      </c>
      <c r="H1307">
        <v>126</v>
      </c>
      <c r="I1307">
        <v>81</v>
      </c>
      <c r="J1307">
        <v>86</v>
      </c>
      <c r="K1307" t="s">
        <v>23</v>
      </c>
      <c r="L1307" t="s">
        <v>23</v>
      </c>
      <c r="M1307" t="s">
        <v>24</v>
      </c>
      <c r="N1307">
        <v>0.43099999999999999</v>
      </c>
      <c r="O1307">
        <v>125</v>
      </c>
      <c r="P1307">
        <v>88</v>
      </c>
      <c r="Q1307" t="s">
        <v>29</v>
      </c>
      <c r="R1307">
        <v>15</v>
      </c>
      <c r="S1307">
        <v>15.939</v>
      </c>
      <c r="T1307" t="s">
        <v>52</v>
      </c>
    </row>
    <row r="1308" spans="1:20" x14ac:dyDescent="0.3">
      <c r="A1308" t="s">
        <v>20</v>
      </c>
      <c r="B1308">
        <v>36</v>
      </c>
      <c r="C1308">
        <v>106.83199999999999</v>
      </c>
      <c r="D1308">
        <v>1.583</v>
      </c>
      <c r="E1308">
        <v>31.925999999999998</v>
      </c>
      <c r="F1308">
        <v>111.33199999999999</v>
      </c>
      <c r="G1308" t="s">
        <v>1116</v>
      </c>
      <c r="H1308">
        <v>247</v>
      </c>
      <c r="I1308">
        <v>53</v>
      </c>
      <c r="J1308">
        <v>129</v>
      </c>
      <c r="K1308" t="s">
        <v>23</v>
      </c>
      <c r="L1308" t="s">
        <v>22</v>
      </c>
      <c r="M1308" t="s">
        <v>24</v>
      </c>
      <c r="N1308">
        <v>0.70299999999999996</v>
      </c>
      <c r="O1308">
        <v>170</v>
      </c>
      <c r="P1308">
        <v>116</v>
      </c>
      <c r="Q1308" t="s">
        <v>38</v>
      </c>
      <c r="R1308">
        <v>164</v>
      </c>
      <c r="T1308" t="s">
        <v>26</v>
      </c>
    </row>
    <row r="1309" spans="1:20" x14ac:dyDescent="0.3">
      <c r="A1309" t="s">
        <v>20</v>
      </c>
      <c r="B1309">
        <v>27</v>
      </c>
      <c r="C1309">
        <v>115.14400000000001</v>
      </c>
      <c r="D1309">
        <v>1.5269999999999999</v>
      </c>
      <c r="E1309">
        <v>24.876999999999999</v>
      </c>
      <c r="F1309">
        <v>119.495</v>
      </c>
      <c r="G1309" t="s">
        <v>1106</v>
      </c>
      <c r="H1309">
        <v>249</v>
      </c>
      <c r="I1309">
        <v>82</v>
      </c>
      <c r="J1309">
        <v>177</v>
      </c>
      <c r="K1309" t="s">
        <v>22</v>
      </c>
      <c r="L1309" t="s">
        <v>23</v>
      </c>
      <c r="M1309" t="s">
        <v>24</v>
      </c>
      <c r="N1309">
        <v>0.78200000000000003</v>
      </c>
      <c r="O1309">
        <v>147</v>
      </c>
      <c r="P1309">
        <v>90</v>
      </c>
      <c r="Q1309" t="s">
        <v>38</v>
      </c>
      <c r="R1309">
        <v>137</v>
      </c>
      <c r="S1309">
        <v>19.305</v>
      </c>
      <c r="T1309" t="s">
        <v>26</v>
      </c>
    </row>
    <row r="1310" spans="1:20" x14ac:dyDescent="0.3">
      <c r="A1310" t="s">
        <v>20</v>
      </c>
      <c r="B1310">
        <v>79</v>
      </c>
      <c r="C1310">
        <v>89.738</v>
      </c>
      <c r="D1310">
        <v>1.8720000000000001</v>
      </c>
      <c r="E1310">
        <v>25.768999999999998</v>
      </c>
      <c r="F1310">
        <v>110.836</v>
      </c>
      <c r="G1310" t="s">
        <v>1117</v>
      </c>
      <c r="H1310">
        <v>216</v>
      </c>
      <c r="I1310">
        <v>63</v>
      </c>
      <c r="J1310">
        <v>108</v>
      </c>
      <c r="K1310" t="s">
        <v>22</v>
      </c>
      <c r="L1310" t="s">
        <v>22</v>
      </c>
      <c r="M1310" t="s">
        <v>37</v>
      </c>
      <c r="N1310">
        <v>0.59199999999999997</v>
      </c>
      <c r="O1310">
        <v>147</v>
      </c>
      <c r="P1310">
        <v>108</v>
      </c>
      <c r="Q1310" t="s">
        <v>38</v>
      </c>
      <c r="R1310">
        <v>123</v>
      </c>
      <c r="S1310">
        <v>16.824000000000002</v>
      </c>
      <c r="T1310" t="s">
        <v>52</v>
      </c>
    </row>
    <row r="1311" spans="1:20" x14ac:dyDescent="0.3">
      <c r="A1311" t="s">
        <v>20</v>
      </c>
      <c r="B1311">
        <v>29</v>
      </c>
      <c r="C1311">
        <v>53.847000000000001</v>
      </c>
      <c r="D1311">
        <v>1.8</v>
      </c>
      <c r="E1311">
        <v>30.696000000000002</v>
      </c>
      <c r="F1311">
        <v>103.182</v>
      </c>
      <c r="G1311" t="s">
        <v>1118</v>
      </c>
      <c r="H1311">
        <v>252</v>
      </c>
      <c r="J1311">
        <v>98</v>
      </c>
      <c r="K1311" t="s">
        <v>23</v>
      </c>
      <c r="L1311" t="s">
        <v>23</v>
      </c>
      <c r="M1311" t="s">
        <v>37</v>
      </c>
      <c r="N1311">
        <v>0.57299999999999995</v>
      </c>
      <c r="O1311">
        <v>141</v>
      </c>
      <c r="P1311">
        <v>108</v>
      </c>
      <c r="Q1311" t="s">
        <v>38</v>
      </c>
      <c r="R1311">
        <v>167</v>
      </c>
      <c r="S1311">
        <v>20.228999999999999</v>
      </c>
      <c r="T1311" t="s">
        <v>30</v>
      </c>
    </row>
    <row r="1312" spans="1:20" x14ac:dyDescent="0.3">
      <c r="A1312" t="s">
        <v>20</v>
      </c>
      <c r="B1312">
        <v>71</v>
      </c>
      <c r="C1312">
        <v>81.444999999999993</v>
      </c>
      <c r="D1312">
        <v>1.958</v>
      </c>
      <c r="E1312">
        <v>25.209</v>
      </c>
      <c r="F1312">
        <v>87.242000000000004</v>
      </c>
      <c r="G1312" t="s">
        <v>408</v>
      </c>
      <c r="H1312">
        <v>295</v>
      </c>
      <c r="I1312">
        <v>34</v>
      </c>
      <c r="K1312" t="s">
        <v>22</v>
      </c>
      <c r="L1312" t="s">
        <v>22</v>
      </c>
      <c r="M1312" t="s">
        <v>37</v>
      </c>
      <c r="N1312">
        <v>0.44600000000000001</v>
      </c>
      <c r="O1312">
        <v>149</v>
      </c>
      <c r="P1312">
        <v>78</v>
      </c>
      <c r="Q1312" t="s">
        <v>38</v>
      </c>
      <c r="S1312">
        <v>18.391999999999999</v>
      </c>
      <c r="T1312" t="s">
        <v>52</v>
      </c>
    </row>
    <row r="1313" spans="1:20" x14ac:dyDescent="0.3">
      <c r="A1313" t="s">
        <v>31</v>
      </c>
      <c r="C1313">
        <v>83.971000000000004</v>
      </c>
      <c r="D1313">
        <v>1.925</v>
      </c>
      <c r="E1313">
        <v>27.524999999999999</v>
      </c>
      <c r="F1313">
        <v>91.305000000000007</v>
      </c>
      <c r="G1313" t="s">
        <v>612</v>
      </c>
      <c r="H1313">
        <v>150</v>
      </c>
      <c r="I1313">
        <v>62</v>
      </c>
      <c r="J1313">
        <v>173</v>
      </c>
      <c r="K1313" t="s">
        <v>22</v>
      </c>
      <c r="L1313" t="s">
        <v>23</v>
      </c>
      <c r="M1313" t="s">
        <v>28</v>
      </c>
      <c r="N1313">
        <v>0.47399999999999998</v>
      </c>
      <c r="O1313">
        <v>91</v>
      </c>
      <c r="P1313">
        <v>98</v>
      </c>
      <c r="Q1313" t="s">
        <v>38</v>
      </c>
      <c r="R1313">
        <v>58</v>
      </c>
      <c r="S1313">
        <v>15.055</v>
      </c>
      <c r="T1313" t="s">
        <v>30</v>
      </c>
    </row>
    <row r="1314" spans="1:20" x14ac:dyDescent="0.3">
      <c r="A1314" t="s">
        <v>20</v>
      </c>
      <c r="B1314">
        <v>30</v>
      </c>
      <c r="C1314">
        <v>115.794</v>
      </c>
      <c r="D1314">
        <v>1.641</v>
      </c>
      <c r="E1314">
        <v>20.564</v>
      </c>
      <c r="G1314" t="s">
        <v>1119</v>
      </c>
      <c r="H1314">
        <v>219</v>
      </c>
      <c r="J1314">
        <v>115</v>
      </c>
      <c r="K1314" t="s">
        <v>23</v>
      </c>
      <c r="L1314" t="s">
        <v>22</v>
      </c>
      <c r="M1314" t="s">
        <v>24</v>
      </c>
      <c r="N1314">
        <v>0.63800000000000001</v>
      </c>
      <c r="O1314">
        <v>99</v>
      </c>
      <c r="P1314">
        <v>73</v>
      </c>
      <c r="Q1314" t="s">
        <v>33</v>
      </c>
      <c r="R1314">
        <v>152</v>
      </c>
      <c r="S1314">
        <v>13.443</v>
      </c>
      <c r="T1314" t="s">
        <v>26</v>
      </c>
    </row>
    <row r="1315" spans="1:20" x14ac:dyDescent="0.3">
      <c r="A1315" t="s">
        <v>31</v>
      </c>
      <c r="B1315">
        <v>41</v>
      </c>
      <c r="C1315">
        <v>116.024</v>
      </c>
      <c r="D1315">
        <v>1.5389999999999999</v>
      </c>
      <c r="E1315">
        <v>23.917000000000002</v>
      </c>
      <c r="F1315">
        <v>72.846999999999994</v>
      </c>
      <c r="G1315" t="s">
        <v>1120</v>
      </c>
      <c r="H1315">
        <v>208</v>
      </c>
      <c r="I1315">
        <v>69</v>
      </c>
      <c r="J1315">
        <v>84</v>
      </c>
      <c r="K1315" t="s">
        <v>22</v>
      </c>
      <c r="L1315" t="s">
        <v>23</v>
      </c>
      <c r="M1315" t="s">
        <v>37</v>
      </c>
      <c r="N1315">
        <v>0.47299999999999998</v>
      </c>
      <c r="O1315">
        <v>161</v>
      </c>
      <c r="P1315">
        <v>92</v>
      </c>
      <c r="Q1315" t="s">
        <v>38</v>
      </c>
      <c r="R1315">
        <v>109</v>
      </c>
      <c r="S1315">
        <v>18.992999999999999</v>
      </c>
      <c r="T1315" t="s">
        <v>26</v>
      </c>
    </row>
    <row r="1316" spans="1:20" x14ac:dyDescent="0.3">
      <c r="A1316" t="s">
        <v>31</v>
      </c>
      <c r="B1316">
        <v>67</v>
      </c>
      <c r="D1316">
        <v>1.722</v>
      </c>
      <c r="E1316">
        <v>27.672000000000001</v>
      </c>
      <c r="F1316">
        <v>85.176000000000002</v>
      </c>
      <c r="G1316" t="s">
        <v>1121</v>
      </c>
      <c r="H1316">
        <v>232</v>
      </c>
      <c r="I1316">
        <v>34</v>
      </c>
      <c r="J1316">
        <v>192</v>
      </c>
      <c r="K1316" t="s">
        <v>22</v>
      </c>
      <c r="L1316" t="s">
        <v>22</v>
      </c>
      <c r="M1316" t="s">
        <v>37</v>
      </c>
      <c r="N1316">
        <v>0.495</v>
      </c>
      <c r="O1316">
        <v>162</v>
      </c>
      <c r="P1316">
        <v>79</v>
      </c>
      <c r="Q1316" t="s">
        <v>38</v>
      </c>
      <c r="R1316">
        <v>168</v>
      </c>
      <c r="S1316">
        <v>18.274000000000001</v>
      </c>
      <c r="T1316" t="s">
        <v>30</v>
      </c>
    </row>
    <row r="1317" spans="1:20" x14ac:dyDescent="0.3">
      <c r="A1317" t="s">
        <v>20</v>
      </c>
      <c r="B1317">
        <v>60</v>
      </c>
      <c r="C1317">
        <v>107.84099999999999</v>
      </c>
      <c r="D1317">
        <v>1.7030000000000001</v>
      </c>
      <c r="E1317">
        <v>37.747</v>
      </c>
      <c r="F1317">
        <v>88.787000000000006</v>
      </c>
      <c r="G1317" t="s">
        <v>1122</v>
      </c>
      <c r="H1317">
        <v>214</v>
      </c>
      <c r="I1317">
        <v>73</v>
      </c>
      <c r="J1317">
        <v>118</v>
      </c>
      <c r="K1317" t="s">
        <v>23</v>
      </c>
      <c r="L1317" t="s">
        <v>22</v>
      </c>
      <c r="M1317" t="s">
        <v>37</v>
      </c>
      <c r="N1317">
        <v>0.52100000000000002</v>
      </c>
      <c r="O1317">
        <v>132</v>
      </c>
      <c r="Q1317" t="s">
        <v>29</v>
      </c>
      <c r="R1317">
        <v>111</v>
      </c>
      <c r="T1317" t="s">
        <v>52</v>
      </c>
    </row>
    <row r="1318" spans="1:20" x14ac:dyDescent="0.3">
      <c r="A1318" t="s">
        <v>31</v>
      </c>
      <c r="B1318">
        <v>63</v>
      </c>
      <c r="C1318">
        <v>96.870999999999995</v>
      </c>
      <c r="D1318">
        <v>1.673</v>
      </c>
      <c r="E1318">
        <v>31.201000000000001</v>
      </c>
      <c r="F1318">
        <v>103.46299999999999</v>
      </c>
      <c r="G1318" t="s">
        <v>1123</v>
      </c>
      <c r="H1318">
        <v>289</v>
      </c>
      <c r="I1318">
        <v>62</v>
      </c>
      <c r="K1318" t="s">
        <v>22</v>
      </c>
      <c r="L1318" t="s">
        <v>22</v>
      </c>
      <c r="M1318" t="s">
        <v>24</v>
      </c>
      <c r="N1318">
        <v>0.61799999999999999</v>
      </c>
      <c r="O1318">
        <v>107</v>
      </c>
      <c r="P1318">
        <v>65</v>
      </c>
      <c r="Q1318" t="s">
        <v>33</v>
      </c>
      <c r="R1318">
        <v>197</v>
      </c>
      <c r="S1318">
        <v>17.37</v>
      </c>
      <c r="T1318" t="s">
        <v>26</v>
      </c>
    </row>
    <row r="1319" spans="1:20" x14ac:dyDescent="0.3">
      <c r="A1319" t="s">
        <v>31</v>
      </c>
      <c r="B1319">
        <v>64</v>
      </c>
      <c r="C1319">
        <v>109.962</v>
      </c>
      <c r="D1319">
        <v>1.865</v>
      </c>
      <c r="E1319">
        <v>31.501999999999999</v>
      </c>
      <c r="F1319">
        <v>83.17</v>
      </c>
      <c r="G1319" t="s">
        <v>1124</v>
      </c>
      <c r="H1319">
        <v>160</v>
      </c>
      <c r="I1319">
        <v>75</v>
      </c>
      <c r="J1319">
        <v>134</v>
      </c>
      <c r="K1319" t="s">
        <v>23</v>
      </c>
      <c r="L1319" t="s">
        <v>22</v>
      </c>
      <c r="M1319" t="s">
        <v>37</v>
      </c>
      <c r="N1319">
        <v>0.44600000000000001</v>
      </c>
      <c r="O1319">
        <v>163</v>
      </c>
      <c r="P1319">
        <v>78</v>
      </c>
      <c r="Q1319" t="s">
        <v>38</v>
      </c>
      <c r="R1319">
        <v>55</v>
      </c>
      <c r="S1319">
        <v>17.649999999999999</v>
      </c>
      <c r="T1319" t="s">
        <v>30</v>
      </c>
    </row>
    <row r="1320" spans="1:20" x14ac:dyDescent="0.3">
      <c r="A1320" t="s">
        <v>20</v>
      </c>
      <c r="C1320">
        <v>112.52</v>
      </c>
      <c r="D1320">
        <v>1.52</v>
      </c>
      <c r="E1320">
        <v>21.988</v>
      </c>
      <c r="F1320">
        <v>106.12</v>
      </c>
      <c r="G1320" t="s">
        <v>1125</v>
      </c>
      <c r="H1320">
        <v>228</v>
      </c>
      <c r="I1320">
        <v>40</v>
      </c>
      <c r="J1320">
        <v>91</v>
      </c>
      <c r="K1320" t="s">
        <v>22</v>
      </c>
      <c r="L1320" t="s">
        <v>23</v>
      </c>
      <c r="M1320" t="s">
        <v>24</v>
      </c>
      <c r="N1320">
        <v>0.69799999999999995</v>
      </c>
      <c r="O1320">
        <v>117</v>
      </c>
      <c r="P1320">
        <v>96</v>
      </c>
      <c r="Q1320" t="s">
        <v>38</v>
      </c>
      <c r="R1320">
        <v>158</v>
      </c>
      <c r="S1320">
        <v>16.808</v>
      </c>
      <c r="T1320" t="s">
        <v>52</v>
      </c>
    </row>
    <row r="1321" spans="1:20" x14ac:dyDescent="0.3">
      <c r="A1321" t="s">
        <v>31</v>
      </c>
      <c r="B1321">
        <v>49</v>
      </c>
      <c r="C1321">
        <v>66.072999999999993</v>
      </c>
      <c r="D1321">
        <v>1.94</v>
      </c>
      <c r="E1321">
        <v>32.301000000000002</v>
      </c>
      <c r="F1321">
        <v>90.433000000000007</v>
      </c>
      <c r="G1321" t="s">
        <v>790</v>
      </c>
      <c r="H1321">
        <v>240</v>
      </c>
      <c r="I1321">
        <v>37</v>
      </c>
      <c r="J1321">
        <v>157</v>
      </c>
      <c r="K1321" t="s">
        <v>22</v>
      </c>
      <c r="L1321" t="s">
        <v>23</v>
      </c>
      <c r="M1321" t="s">
        <v>37</v>
      </c>
      <c r="N1321">
        <v>0.46600000000000003</v>
      </c>
      <c r="O1321">
        <v>122</v>
      </c>
      <c r="P1321">
        <v>97</v>
      </c>
      <c r="Q1321" t="s">
        <v>38</v>
      </c>
      <c r="R1321">
        <v>173</v>
      </c>
      <c r="S1321">
        <v>19.36</v>
      </c>
      <c r="T1321" t="s">
        <v>30</v>
      </c>
    </row>
    <row r="1322" spans="1:20" x14ac:dyDescent="0.3">
      <c r="A1322" t="s">
        <v>20</v>
      </c>
      <c r="B1322">
        <v>66</v>
      </c>
      <c r="C1322">
        <v>56.363</v>
      </c>
      <c r="D1322">
        <v>1.6659999999999999</v>
      </c>
      <c r="E1322">
        <v>27.126999999999999</v>
      </c>
      <c r="F1322">
        <v>75.180999999999997</v>
      </c>
      <c r="G1322" t="s">
        <v>1126</v>
      </c>
      <c r="H1322">
        <v>179</v>
      </c>
      <c r="I1322">
        <v>34</v>
      </c>
      <c r="J1322">
        <v>148</v>
      </c>
      <c r="K1322" t="s">
        <v>22</v>
      </c>
      <c r="L1322" t="s">
        <v>22</v>
      </c>
      <c r="M1322" t="s">
        <v>24</v>
      </c>
      <c r="N1322">
        <v>0.45100000000000001</v>
      </c>
      <c r="O1322">
        <v>101</v>
      </c>
      <c r="P1322">
        <v>91</v>
      </c>
      <c r="Q1322" t="s">
        <v>38</v>
      </c>
      <c r="R1322">
        <v>115</v>
      </c>
      <c r="S1322">
        <v>14.055</v>
      </c>
      <c r="T1322" t="s">
        <v>26</v>
      </c>
    </row>
    <row r="1323" spans="1:20" x14ac:dyDescent="0.3">
      <c r="A1323" t="s">
        <v>20</v>
      </c>
      <c r="B1323">
        <v>31</v>
      </c>
      <c r="C1323">
        <v>61.393000000000001</v>
      </c>
      <c r="D1323">
        <v>1.63</v>
      </c>
      <c r="E1323">
        <v>22.696000000000002</v>
      </c>
      <c r="F1323">
        <v>111.024</v>
      </c>
      <c r="G1323" t="s">
        <v>1127</v>
      </c>
      <c r="H1323">
        <v>164</v>
      </c>
      <c r="I1323">
        <v>85</v>
      </c>
      <c r="J1323">
        <v>195</v>
      </c>
      <c r="K1323" t="s">
        <v>23</v>
      </c>
      <c r="L1323" t="s">
        <v>22</v>
      </c>
      <c r="M1323" t="s">
        <v>37</v>
      </c>
      <c r="N1323">
        <v>0.68100000000000005</v>
      </c>
      <c r="O1323">
        <v>154</v>
      </c>
      <c r="P1323">
        <v>112</v>
      </c>
      <c r="Q1323" t="s">
        <v>38</v>
      </c>
      <c r="R1323">
        <v>49</v>
      </c>
      <c r="S1323">
        <v>15.519</v>
      </c>
      <c r="T1323" t="s">
        <v>30</v>
      </c>
    </row>
    <row r="1324" spans="1:20" x14ac:dyDescent="0.3">
      <c r="A1324" t="s">
        <v>20</v>
      </c>
      <c r="B1324">
        <v>64</v>
      </c>
      <c r="C1324">
        <v>62.584000000000003</v>
      </c>
      <c r="D1324">
        <v>1.627</v>
      </c>
      <c r="E1324">
        <v>38.851999999999997</v>
      </c>
      <c r="F1324">
        <v>92.159000000000006</v>
      </c>
      <c r="G1324" t="s">
        <v>1128</v>
      </c>
      <c r="H1324">
        <v>241</v>
      </c>
      <c r="I1324">
        <v>58</v>
      </c>
      <c r="J1324">
        <v>166</v>
      </c>
      <c r="K1324" t="s">
        <v>23</v>
      </c>
      <c r="L1324" t="s">
        <v>23</v>
      </c>
      <c r="M1324" t="s">
        <v>28</v>
      </c>
      <c r="N1324">
        <v>0.56699999999999995</v>
      </c>
      <c r="O1324">
        <v>143</v>
      </c>
      <c r="P1324">
        <v>84</v>
      </c>
      <c r="Q1324" t="s">
        <v>29</v>
      </c>
      <c r="R1324">
        <v>153</v>
      </c>
      <c r="S1324">
        <v>21.74</v>
      </c>
      <c r="T1324" t="s">
        <v>30</v>
      </c>
    </row>
    <row r="1325" spans="1:20" x14ac:dyDescent="0.3">
      <c r="A1325" t="s">
        <v>31</v>
      </c>
      <c r="B1325">
        <v>45</v>
      </c>
      <c r="C1325">
        <v>119.054</v>
      </c>
      <c r="D1325">
        <v>1.5309999999999999</v>
      </c>
      <c r="E1325">
        <v>25.117000000000001</v>
      </c>
      <c r="F1325">
        <v>98.700999999999993</v>
      </c>
      <c r="G1325" t="s">
        <v>44</v>
      </c>
      <c r="H1325">
        <v>225</v>
      </c>
      <c r="I1325">
        <v>53</v>
      </c>
      <c r="J1325">
        <v>126</v>
      </c>
      <c r="K1325" t="s">
        <v>23</v>
      </c>
      <c r="L1325" t="s">
        <v>23</v>
      </c>
      <c r="M1325" t="s">
        <v>37</v>
      </c>
      <c r="N1325">
        <v>0.64500000000000002</v>
      </c>
      <c r="P1325">
        <v>91</v>
      </c>
      <c r="Q1325" t="s">
        <v>29</v>
      </c>
      <c r="R1325">
        <v>142</v>
      </c>
      <c r="S1325">
        <v>18.222999999999999</v>
      </c>
      <c r="T1325" t="s">
        <v>52</v>
      </c>
    </row>
    <row r="1326" spans="1:20" x14ac:dyDescent="0.3">
      <c r="A1326" t="s">
        <v>31</v>
      </c>
      <c r="B1326">
        <v>61</v>
      </c>
      <c r="C1326">
        <v>108.191</v>
      </c>
      <c r="D1326">
        <v>1.8129999999999999</v>
      </c>
      <c r="E1326">
        <v>37.866</v>
      </c>
      <c r="F1326">
        <v>112.492</v>
      </c>
      <c r="G1326" t="s">
        <v>1129</v>
      </c>
      <c r="H1326">
        <v>182</v>
      </c>
      <c r="I1326">
        <v>71</v>
      </c>
      <c r="J1326">
        <v>72</v>
      </c>
      <c r="K1326" t="s">
        <v>23</v>
      </c>
      <c r="L1326" t="s">
        <v>22</v>
      </c>
      <c r="M1326" t="s">
        <v>37</v>
      </c>
      <c r="N1326">
        <v>0.621</v>
      </c>
      <c r="O1326">
        <v>173</v>
      </c>
      <c r="P1326">
        <v>68</v>
      </c>
      <c r="Q1326" t="s">
        <v>38</v>
      </c>
      <c r="R1326">
        <v>81</v>
      </c>
      <c r="S1326">
        <v>19.863</v>
      </c>
      <c r="T1326" t="s">
        <v>30</v>
      </c>
    </row>
    <row r="1327" spans="1:20" x14ac:dyDescent="0.3">
      <c r="A1327" t="s">
        <v>20</v>
      </c>
      <c r="B1327">
        <v>59</v>
      </c>
      <c r="C1327">
        <v>101.614</v>
      </c>
      <c r="D1327">
        <v>1.5760000000000001</v>
      </c>
      <c r="E1327">
        <v>34.651000000000003</v>
      </c>
      <c r="F1327">
        <v>95.959000000000003</v>
      </c>
      <c r="G1327" t="s">
        <v>1130</v>
      </c>
      <c r="H1327">
        <v>164</v>
      </c>
      <c r="I1327">
        <v>54</v>
      </c>
      <c r="J1327">
        <v>165</v>
      </c>
      <c r="K1327" t="s">
        <v>22</v>
      </c>
      <c r="L1327" t="s">
        <v>23</v>
      </c>
      <c r="M1327" t="s">
        <v>28</v>
      </c>
      <c r="N1327">
        <v>0.60899999999999999</v>
      </c>
      <c r="O1327">
        <v>178</v>
      </c>
      <c r="P1327">
        <v>108</v>
      </c>
      <c r="Q1327" t="s">
        <v>38</v>
      </c>
      <c r="R1327">
        <v>80</v>
      </c>
      <c r="S1327">
        <v>21.11</v>
      </c>
      <c r="T1327" t="s">
        <v>52</v>
      </c>
    </row>
    <row r="1328" spans="1:20" x14ac:dyDescent="0.3">
      <c r="A1328" t="s">
        <v>20</v>
      </c>
      <c r="B1328">
        <v>59</v>
      </c>
      <c r="C1328">
        <v>94.435000000000002</v>
      </c>
      <c r="F1328">
        <v>98.32</v>
      </c>
      <c r="G1328" t="s">
        <v>1131</v>
      </c>
      <c r="H1328">
        <v>292</v>
      </c>
      <c r="I1328">
        <v>37</v>
      </c>
      <c r="K1328" t="s">
        <v>22</v>
      </c>
      <c r="L1328" t="s">
        <v>22</v>
      </c>
      <c r="M1328" t="s">
        <v>28</v>
      </c>
      <c r="N1328">
        <v>0.58899999999999997</v>
      </c>
      <c r="P1328">
        <v>64</v>
      </c>
      <c r="Q1328" t="s">
        <v>33</v>
      </c>
      <c r="R1328">
        <v>225</v>
      </c>
      <c r="S1328">
        <v>16.779</v>
      </c>
      <c r="T1328" t="s">
        <v>30</v>
      </c>
    </row>
    <row r="1329" spans="1:20" x14ac:dyDescent="0.3">
      <c r="A1329" t="s">
        <v>20</v>
      </c>
      <c r="B1329">
        <v>73</v>
      </c>
      <c r="C1329">
        <v>56.05</v>
      </c>
      <c r="D1329">
        <v>1.704</v>
      </c>
      <c r="E1329">
        <v>35.158999999999999</v>
      </c>
      <c r="F1329">
        <v>97.144999999999996</v>
      </c>
      <c r="G1329" t="s">
        <v>1132</v>
      </c>
      <c r="H1329">
        <v>206</v>
      </c>
      <c r="I1329">
        <v>31</v>
      </c>
      <c r="J1329">
        <v>80</v>
      </c>
      <c r="K1329" t="s">
        <v>23</v>
      </c>
      <c r="L1329" t="s">
        <v>22</v>
      </c>
      <c r="M1329" t="s">
        <v>24</v>
      </c>
      <c r="N1329">
        <v>0.56999999999999995</v>
      </c>
      <c r="O1329">
        <v>134</v>
      </c>
      <c r="P1329">
        <v>76</v>
      </c>
      <c r="Q1329" t="s">
        <v>29</v>
      </c>
      <c r="R1329">
        <v>145</v>
      </c>
      <c r="S1329">
        <v>17.852</v>
      </c>
      <c r="T1329" t="s">
        <v>26</v>
      </c>
    </row>
    <row r="1330" spans="1:20" x14ac:dyDescent="0.3">
      <c r="A1330" t="s">
        <v>20</v>
      </c>
      <c r="C1330">
        <v>72.75</v>
      </c>
      <c r="D1330">
        <v>1.861</v>
      </c>
      <c r="E1330">
        <v>18.565000000000001</v>
      </c>
      <c r="F1330">
        <v>75.935000000000002</v>
      </c>
      <c r="G1330" t="s">
        <v>1133</v>
      </c>
      <c r="H1330">
        <v>106</v>
      </c>
      <c r="I1330">
        <v>74</v>
      </c>
      <c r="J1330">
        <v>121</v>
      </c>
      <c r="K1330" t="s">
        <v>23</v>
      </c>
      <c r="L1330" t="s">
        <v>22</v>
      </c>
      <c r="M1330" t="s">
        <v>24</v>
      </c>
      <c r="N1330">
        <v>0.40799999999999997</v>
      </c>
      <c r="O1330">
        <v>130</v>
      </c>
      <c r="P1330">
        <v>78</v>
      </c>
      <c r="Q1330" t="s">
        <v>29</v>
      </c>
      <c r="R1330">
        <v>2</v>
      </c>
      <c r="S1330">
        <v>12.333</v>
      </c>
      <c r="T1330" t="s">
        <v>52</v>
      </c>
    </row>
    <row r="1331" spans="1:20" x14ac:dyDescent="0.3">
      <c r="A1331" t="s">
        <v>31</v>
      </c>
      <c r="B1331">
        <v>56</v>
      </c>
      <c r="C1331">
        <v>87.994</v>
      </c>
      <c r="D1331">
        <v>1.583</v>
      </c>
      <c r="E1331">
        <v>18.669</v>
      </c>
      <c r="F1331">
        <v>116.67100000000001</v>
      </c>
      <c r="G1331" t="s">
        <v>1134</v>
      </c>
      <c r="H1331">
        <v>280</v>
      </c>
      <c r="I1331">
        <v>46</v>
      </c>
      <c r="K1331" t="s">
        <v>23</v>
      </c>
      <c r="L1331" t="s">
        <v>23</v>
      </c>
      <c r="M1331" t="s">
        <v>37</v>
      </c>
      <c r="N1331">
        <v>0.73699999999999999</v>
      </c>
      <c r="O1331">
        <v>159</v>
      </c>
      <c r="P1331">
        <v>60</v>
      </c>
      <c r="Q1331" t="s">
        <v>38</v>
      </c>
      <c r="R1331">
        <v>204</v>
      </c>
      <c r="S1331">
        <v>19.283999999999999</v>
      </c>
      <c r="T1331" t="s">
        <v>52</v>
      </c>
    </row>
    <row r="1332" spans="1:20" x14ac:dyDescent="0.3">
      <c r="A1332" t="s">
        <v>20</v>
      </c>
      <c r="B1332">
        <v>35</v>
      </c>
      <c r="C1332">
        <v>92.004999999999995</v>
      </c>
      <c r="D1332">
        <v>1.726</v>
      </c>
      <c r="F1332">
        <v>98.691999999999993</v>
      </c>
      <c r="G1332" t="s">
        <v>1135</v>
      </c>
      <c r="H1332">
        <v>156</v>
      </c>
      <c r="I1332">
        <v>80</v>
      </c>
      <c r="J1332">
        <v>80</v>
      </c>
      <c r="K1332" t="s">
        <v>22</v>
      </c>
      <c r="L1332" t="s">
        <v>23</v>
      </c>
      <c r="M1332" t="s">
        <v>28</v>
      </c>
      <c r="N1332">
        <v>0.57199999999999995</v>
      </c>
      <c r="O1332">
        <v>95</v>
      </c>
      <c r="P1332">
        <v>111</v>
      </c>
      <c r="Q1332" t="s">
        <v>38</v>
      </c>
      <c r="R1332">
        <v>46</v>
      </c>
      <c r="S1332">
        <v>14.316000000000001</v>
      </c>
      <c r="T1332" t="s">
        <v>52</v>
      </c>
    </row>
    <row r="1333" spans="1:20" x14ac:dyDescent="0.3">
      <c r="A1333" t="s">
        <v>20</v>
      </c>
      <c r="B1333">
        <v>35</v>
      </c>
      <c r="C1333">
        <v>66.656999999999996</v>
      </c>
      <c r="D1333">
        <v>1.9359999999999999</v>
      </c>
      <c r="E1333">
        <v>31.658000000000001</v>
      </c>
      <c r="F1333">
        <v>77.477000000000004</v>
      </c>
      <c r="G1333" t="s">
        <v>1136</v>
      </c>
      <c r="H1333">
        <v>251</v>
      </c>
      <c r="I1333">
        <v>48</v>
      </c>
      <c r="J1333">
        <v>144</v>
      </c>
      <c r="K1333" t="s">
        <v>22</v>
      </c>
      <c r="L1333" t="s">
        <v>22</v>
      </c>
      <c r="M1333" t="s">
        <v>37</v>
      </c>
      <c r="N1333">
        <v>0.4</v>
      </c>
      <c r="O1333">
        <v>148</v>
      </c>
      <c r="P1333">
        <v>93</v>
      </c>
      <c r="Q1333" t="s">
        <v>38</v>
      </c>
      <c r="R1333">
        <v>173</v>
      </c>
      <c r="S1333">
        <v>18.751999999999999</v>
      </c>
      <c r="T1333" t="s">
        <v>30</v>
      </c>
    </row>
    <row r="1334" spans="1:20" x14ac:dyDescent="0.3">
      <c r="A1334" t="s">
        <v>20</v>
      </c>
      <c r="B1334">
        <v>72</v>
      </c>
      <c r="C1334">
        <v>113.375</v>
      </c>
      <c r="D1334">
        <v>1.8420000000000001</v>
      </c>
      <c r="E1334">
        <v>28.870999999999999</v>
      </c>
      <c r="F1334">
        <v>81.93</v>
      </c>
      <c r="G1334" t="s">
        <v>1137</v>
      </c>
      <c r="H1334">
        <v>255</v>
      </c>
      <c r="I1334">
        <v>76</v>
      </c>
      <c r="J1334">
        <v>94</v>
      </c>
      <c r="K1334" t="s">
        <v>23</v>
      </c>
      <c r="L1334" t="s">
        <v>22</v>
      </c>
      <c r="M1334" t="s">
        <v>24</v>
      </c>
      <c r="N1334">
        <v>0.44500000000000001</v>
      </c>
      <c r="O1334">
        <v>177</v>
      </c>
      <c r="P1334">
        <v>67</v>
      </c>
      <c r="Q1334" t="s">
        <v>38</v>
      </c>
      <c r="R1334">
        <v>149</v>
      </c>
      <c r="S1334">
        <v>19.724</v>
      </c>
      <c r="T1334" t="s">
        <v>30</v>
      </c>
    </row>
    <row r="1335" spans="1:20" x14ac:dyDescent="0.3">
      <c r="A1335" t="s">
        <v>20</v>
      </c>
      <c r="B1335">
        <v>72</v>
      </c>
      <c r="C1335">
        <v>114.687</v>
      </c>
      <c r="D1335">
        <v>1.611</v>
      </c>
      <c r="E1335">
        <v>39.601999999999997</v>
      </c>
      <c r="F1335">
        <v>73.828999999999994</v>
      </c>
      <c r="G1335" t="s">
        <v>1138</v>
      </c>
      <c r="H1335">
        <v>137</v>
      </c>
      <c r="I1335">
        <v>48</v>
      </c>
      <c r="J1335">
        <v>123</v>
      </c>
      <c r="K1335" t="s">
        <v>23</v>
      </c>
      <c r="L1335" t="s">
        <v>22</v>
      </c>
      <c r="M1335" t="s">
        <v>24</v>
      </c>
      <c r="N1335">
        <v>0.45800000000000002</v>
      </c>
      <c r="O1335">
        <v>143</v>
      </c>
      <c r="P1335">
        <v>62</v>
      </c>
      <c r="Q1335" t="s">
        <v>38</v>
      </c>
      <c r="R1335">
        <v>59</v>
      </c>
      <c r="S1335">
        <v>17.809999999999999</v>
      </c>
      <c r="T1335" t="s">
        <v>30</v>
      </c>
    </row>
    <row r="1336" spans="1:20" x14ac:dyDescent="0.3">
      <c r="A1336" t="s">
        <v>31</v>
      </c>
      <c r="B1336">
        <v>25</v>
      </c>
      <c r="C1336">
        <v>59.59</v>
      </c>
      <c r="D1336">
        <v>1.5780000000000001</v>
      </c>
      <c r="E1336">
        <v>25.876999999999999</v>
      </c>
      <c r="F1336">
        <v>90.146000000000001</v>
      </c>
      <c r="G1336" t="s">
        <v>1139</v>
      </c>
      <c r="H1336">
        <v>239</v>
      </c>
      <c r="I1336">
        <v>78</v>
      </c>
      <c r="J1336">
        <v>70</v>
      </c>
      <c r="K1336" t="s">
        <v>22</v>
      </c>
      <c r="L1336" t="s">
        <v>22</v>
      </c>
      <c r="M1336" t="s">
        <v>37</v>
      </c>
      <c r="N1336">
        <v>0.57099999999999995</v>
      </c>
      <c r="O1336">
        <v>93</v>
      </c>
      <c r="P1336">
        <v>79</v>
      </c>
      <c r="Q1336" t="s">
        <v>33</v>
      </c>
      <c r="R1336">
        <v>131</v>
      </c>
      <c r="S1336">
        <v>14.605</v>
      </c>
      <c r="T1336" t="s">
        <v>52</v>
      </c>
    </row>
    <row r="1337" spans="1:20" x14ac:dyDescent="0.3">
      <c r="A1337" t="s">
        <v>20</v>
      </c>
      <c r="B1337">
        <v>79</v>
      </c>
      <c r="C1337">
        <v>118.551</v>
      </c>
      <c r="D1337">
        <v>1.8740000000000001</v>
      </c>
      <c r="E1337">
        <v>34.009</v>
      </c>
      <c r="F1337">
        <v>95.67</v>
      </c>
      <c r="G1337" t="s">
        <v>1140</v>
      </c>
      <c r="H1337">
        <v>116</v>
      </c>
      <c r="J1337">
        <v>138</v>
      </c>
      <c r="K1337" t="s">
        <v>23</v>
      </c>
      <c r="L1337" t="s">
        <v>23</v>
      </c>
      <c r="M1337" t="s">
        <v>24</v>
      </c>
      <c r="N1337">
        <v>0.51</v>
      </c>
      <c r="O1337">
        <v>133</v>
      </c>
      <c r="Q1337" t="s">
        <v>29</v>
      </c>
      <c r="R1337">
        <v>37</v>
      </c>
      <c r="S1337">
        <v>17.771999999999998</v>
      </c>
      <c r="T1337" t="s">
        <v>52</v>
      </c>
    </row>
    <row r="1338" spans="1:20" x14ac:dyDescent="0.3">
      <c r="A1338" t="s">
        <v>20</v>
      </c>
      <c r="B1338">
        <v>59</v>
      </c>
      <c r="C1338">
        <v>113.852</v>
      </c>
      <c r="D1338">
        <v>1.8979999999999999</v>
      </c>
      <c r="E1338">
        <v>27.341999999999999</v>
      </c>
      <c r="F1338">
        <v>98.588999999999999</v>
      </c>
      <c r="G1338" t="s">
        <v>1141</v>
      </c>
      <c r="H1338">
        <v>228</v>
      </c>
      <c r="I1338">
        <v>83</v>
      </c>
      <c r="J1338">
        <v>189</v>
      </c>
      <c r="K1338" t="s">
        <v>23</v>
      </c>
      <c r="L1338" t="s">
        <v>23</v>
      </c>
      <c r="M1338" t="s">
        <v>28</v>
      </c>
      <c r="N1338">
        <v>0.51900000000000002</v>
      </c>
      <c r="O1338">
        <v>139</v>
      </c>
      <c r="P1338">
        <v>72</v>
      </c>
      <c r="Q1338" t="s">
        <v>29</v>
      </c>
      <c r="R1338">
        <v>115</v>
      </c>
      <c r="S1338">
        <v>18.978000000000002</v>
      </c>
      <c r="T1338" t="s">
        <v>52</v>
      </c>
    </row>
    <row r="1339" spans="1:20" x14ac:dyDescent="0.3">
      <c r="A1339" t="s">
        <v>20</v>
      </c>
      <c r="B1339">
        <v>39</v>
      </c>
      <c r="C1339">
        <v>80.778000000000006</v>
      </c>
      <c r="D1339">
        <v>1.514</v>
      </c>
      <c r="E1339">
        <v>39.4</v>
      </c>
      <c r="F1339">
        <v>83.332999999999998</v>
      </c>
      <c r="G1339" t="s">
        <v>1142</v>
      </c>
      <c r="H1339">
        <v>202</v>
      </c>
      <c r="I1339">
        <v>48</v>
      </c>
      <c r="J1339">
        <v>119</v>
      </c>
      <c r="K1339" t="s">
        <v>23</v>
      </c>
      <c r="L1339" t="s">
        <v>23</v>
      </c>
      <c r="M1339" t="s">
        <v>24</v>
      </c>
      <c r="N1339">
        <v>0.55100000000000005</v>
      </c>
      <c r="O1339">
        <v>147</v>
      </c>
      <c r="P1339">
        <v>107</v>
      </c>
      <c r="Q1339" t="s">
        <v>38</v>
      </c>
      <c r="R1339">
        <v>124</v>
      </c>
      <c r="S1339">
        <v>21.27</v>
      </c>
      <c r="T1339" t="s">
        <v>30</v>
      </c>
    </row>
    <row r="1340" spans="1:20" x14ac:dyDescent="0.3">
      <c r="A1340" t="s">
        <v>20</v>
      </c>
      <c r="B1340">
        <v>70</v>
      </c>
      <c r="C1340">
        <v>80.209999999999994</v>
      </c>
      <c r="D1340">
        <v>1.5169999999999999</v>
      </c>
      <c r="E1340">
        <v>39.329000000000001</v>
      </c>
      <c r="F1340">
        <v>84.858999999999995</v>
      </c>
      <c r="G1340" t="s">
        <v>1143</v>
      </c>
      <c r="H1340">
        <v>132</v>
      </c>
      <c r="J1340">
        <v>194</v>
      </c>
      <c r="K1340" t="s">
        <v>22</v>
      </c>
      <c r="L1340" t="s">
        <v>23</v>
      </c>
      <c r="M1340" t="s">
        <v>28</v>
      </c>
      <c r="N1340">
        <v>0.55900000000000005</v>
      </c>
      <c r="O1340">
        <v>90</v>
      </c>
      <c r="P1340">
        <v>109</v>
      </c>
      <c r="Q1340" t="s">
        <v>38</v>
      </c>
      <c r="R1340">
        <v>62</v>
      </c>
      <c r="S1340">
        <v>17.006</v>
      </c>
      <c r="T1340" t="s">
        <v>30</v>
      </c>
    </row>
    <row r="1341" spans="1:20" x14ac:dyDescent="0.3">
      <c r="A1341" t="s">
        <v>20</v>
      </c>
      <c r="B1341">
        <v>29</v>
      </c>
      <c r="C1341">
        <v>99.355000000000004</v>
      </c>
      <c r="E1341">
        <v>38.600999999999999</v>
      </c>
      <c r="F1341">
        <v>106.727</v>
      </c>
      <c r="G1341" t="s">
        <v>1144</v>
      </c>
      <c r="H1341">
        <v>261</v>
      </c>
      <c r="I1341">
        <v>43</v>
      </c>
      <c r="J1341">
        <v>169</v>
      </c>
      <c r="K1341" t="s">
        <v>23</v>
      </c>
      <c r="L1341" t="s">
        <v>22</v>
      </c>
      <c r="M1341" t="s">
        <v>37</v>
      </c>
      <c r="N1341">
        <v>0.58899999999999997</v>
      </c>
      <c r="O1341">
        <v>169</v>
      </c>
      <c r="P1341">
        <v>119</v>
      </c>
      <c r="Q1341" t="s">
        <v>38</v>
      </c>
      <c r="R1341">
        <v>188</v>
      </c>
      <c r="S1341">
        <v>21.39</v>
      </c>
      <c r="T1341" t="s">
        <v>30</v>
      </c>
    </row>
    <row r="1342" spans="1:20" x14ac:dyDescent="0.3">
      <c r="A1342" t="s">
        <v>20</v>
      </c>
      <c r="B1342">
        <v>39</v>
      </c>
      <c r="C1342">
        <v>64.724000000000004</v>
      </c>
      <c r="D1342">
        <v>1.8440000000000001</v>
      </c>
      <c r="E1342">
        <v>25.879000000000001</v>
      </c>
      <c r="F1342">
        <v>87.762</v>
      </c>
      <c r="G1342" t="s">
        <v>1145</v>
      </c>
      <c r="H1342">
        <v>108</v>
      </c>
      <c r="I1342">
        <v>50</v>
      </c>
      <c r="J1342">
        <v>92</v>
      </c>
      <c r="K1342" t="s">
        <v>23</v>
      </c>
      <c r="L1342" t="s">
        <v>22</v>
      </c>
      <c r="M1342" t="s">
        <v>37</v>
      </c>
      <c r="N1342">
        <v>0.47599999999999998</v>
      </c>
      <c r="O1342">
        <v>149</v>
      </c>
      <c r="P1342">
        <v>82</v>
      </c>
      <c r="Q1342" t="s">
        <v>29</v>
      </c>
      <c r="R1342">
        <v>28</v>
      </c>
      <c r="S1342">
        <v>14.786</v>
      </c>
      <c r="T1342" t="s">
        <v>30</v>
      </c>
    </row>
    <row r="1343" spans="1:20" x14ac:dyDescent="0.3">
      <c r="A1343" t="s">
        <v>31</v>
      </c>
      <c r="B1343">
        <v>26</v>
      </c>
      <c r="C1343">
        <v>61.716999999999999</v>
      </c>
      <c r="D1343">
        <v>1.7010000000000001</v>
      </c>
      <c r="E1343">
        <v>26.474</v>
      </c>
      <c r="F1343">
        <v>102.253</v>
      </c>
      <c r="G1343" t="s">
        <v>1139</v>
      </c>
      <c r="H1343">
        <v>284</v>
      </c>
      <c r="I1343">
        <v>82</v>
      </c>
      <c r="J1343">
        <v>95</v>
      </c>
      <c r="K1343" t="s">
        <v>22</v>
      </c>
      <c r="L1343" t="s">
        <v>23</v>
      </c>
      <c r="M1343" t="s">
        <v>37</v>
      </c>
      <c r="N1343">
        <v>0.60099999999999998</v>
      </c>
      <c r="O1343">
        <v>93</v>
      </c>
      <c r="P1343">
        <v>79</v>
      </c>
      <c r="Q1343" t="s">
        <v>33</v>
      </c>
      <c r="S1343">
        <v>17.625</v>
      </c>
      <c r="T1343" t="s">
        <v>52</v>
      </c>
    </row>
    <row r="1344" spans="1:20" x14ac:dyDescent="0.3">
      <c r="A1344" t="s">
        <v>20</v>
      </c>
      <c r="B1344">
        <v>41</v>
      </c>
      <c r="C1344">
        <v>110.67100000000001</v>
      </c>
      <c r="D1344">
        <v>1.853</v>
      </c>
      <c r="E1344">
        <v>33.140999999999998</v>
      </c>
      <c r="F1344">
        <v>113.437</v>
      </c>
      <c r="G1344" t="s">
        <v>86</v>
      </c>
      <c r="H1344">
        <v>136</v>
      </c>
      <c r="I1344">
        <v>62</v>
      </c>
      <c r="J1344">
        <v>181</v>
      </c>
      <c r="K1344" t="s">
        <v>22</v>
      </c>
      <c r="L1344" t="s">
        <v>22</v>
      </c>
      <c r="M1344" t="s">
        <v>24</v>
      </c>
      <c r="N1344">
        <v>0.61199999999999999</v>
      </c>
      <c r="O1344">
        <v>102</v>
      </c>
      <c r="P1344">
        <v>71</v>
      </c>
      <c r="Q1344" t="s">
        <v>33</v>
      </c>
      <c r="R1344">
        <v>44</v>
      </c>
      <c r="S1344">
        <v>14.448</v>
      </c>
      <c r="T1344" t="s">
        <v>26</v>
      </c>
    </row>
    <row r="1345" spans="1:20" x14ac:dyDescent="0.3">
      <c r="A1345" t="s">
        <v>20</v>
      </c>
      <c r="B1345">
        <v>63</v>
      </c>
      <c r="C1345">
        <v>102.85899999999999</v>
      </c>
      <c r="D1345">
        <v>1.593</v>
      </c>
      <c r="E1345">
        <v>38.125</v>
      </c>
      <c r="F1345">
        <v>73.057000000000002</v>
      </c>
      <c r="G1345" t="s">
        <v>1146</v>
      </c>
      <c r="H1345">
        <v>126</v>
      </c>
      <c r="I1345">
        <v>33</v>
      </c>
      <c r="J1345">
        <v>102</v>
      </c>
      <c r="K1345" t="s">
        <v>23</v>
      </c>
      <c r="L1345" t="s">
        <v>22</v>
      </c>
      <c r="M1345" t="s">
        <v>28</v>
      </c>
      <c r="N1345">
        <v>0.45900000000000002</v>
      </c>
      <c r="O1345">
        <v>125</v>
      </c>
      <c r="P1345">
        <v>94</v>
      </c>
      <c r="Q1345" t="s">
        <v>38</v>
      </c>
      <c r="R1345">
        <v>63</v>
      </c>
      <c r="S1345">
        <v>16.395</v>
      </c>
      <c r="T1345" t="s">
        <v>30</v>
      </c>
    </row>
    <row r="1346" spans="1:20" x14ac:dyDescent="0.3">
      <c r="A1346" t="s">
        <v>31</v>
      </c>
      <c r="C1346">
        <v>61.262</v>
      </c>
      <c r="D1346">
        <v>1.712</v>
      </c>
      <c r="E1346">
        <v>23.332999999999998</v>
      </c>
      <c r="F1346">
        <v>98.600999999999999</v>
      </c>
      <c r="G1346" t="s">
        <v>1147</v>
      </c>
      <c r="H1346">
        <v>103</v>
      </c>
      <c r="I1346">
        <v>83</v>
      </c>
      <c r="J1346">
        <v>127</v>
      </c>
      <c r="K1346" t="s">
        <v>22</v>
      </c>
      <c r="L1346" t="s">
        <v>23</v>
      </c>
      <c r="M1346" t="s">
        <v>37</v>
      </c>
      <c r="N1346">
        <v>0.57599999999999996</v>
      </c>
      <c r="O1346">
        <v>129</v>
      </c>
      <c r="P1346">
        <v>85</v>
      </c>
      <c r="Q1346" t="s">
        <v>29</v>
      </c>
      <c r="R1346">
        <v>-10</v>
      </c>
      <c r="S1346">
        <v>15.177</v>
      </c>
      <c r="T1346" t="s">
        <v>30</v>
      </c>
    </row>
    <row r="1347" spans="1:20" x14ac:dyDescent="0.3">
      <c r="A1347" t="s">
        <v>31</v>
      </c>
      <c r="B1347">
        <v>66</v>
      </c>
      <c r="C1347">
        <v>97.128</v>
      </c>
      <c r="D1347">
        <v>1.6619999999999999</v>
      </c>
      <c r="E1347">
        <v>20.533000000000001</v>
      </c>
      <c r="F1347">
        <v>99.930999999999997</v>
      </c>
      <c r="G1347" t="s">
        <v>1148</v>
      </c>
      <c r="H1347">
        <v>260</v>
      </c>
      <c r="I1347">
        <v>60</v>
      </c>
      <c r="J1347">
        <v>105</v>
      </c>
      <c r="K1347" t="s">
        <v>22</v>
      </c>
      <c r="L1347" t="s">
        <v>22</v>
      </c>
      <c r="M1347" t="s">
        <v>24</v>
      </c>
      <c r="N1347">
        <v>0.60099999999999998</v>
      </c>
      <c r="O1347">
        <v>143</v>
      </c>
      <c r="P1347">
        <v>91</v>
      </c>
      <c r="Q1347" t="s">
        <v>38</v>
      </c>
      <c r="R1347">
        <v>170</v>
      </c>
      <c r="S1347">
        <v>16.457000000000001</v>
      </c>
      <c r="T1347" t="s">
        <v>52</v>
      </c>
    </row>
    <row r="1348" spans="1:20" x14ac:dyDescent="0.3">
      <c r="A1348" t="s">
        <v>20</v>
      </c>
      <c r="B1348">
        <v>26</v>
      </c>
      <c r="C1348">
        <v>75.631</v>
      </c>
      <c r="D1348">
        <v>1.7749999999999999</v>
      </c>
      <c r="E1348">
        <v>31.672000000000001</v>
      </c>
      <c r="F1348">
        <v>113.36199999999999</v>
      </c>
      <c r="G1348" t="s">
        <v>1149</v>
      </c>
      <c r="H1348">
        <v>278</v>
      </c>
      <c r="I1348">
        <v>89</v>
      </c>
      <c r="J1348">
        <v>191</v>
      </c>
      <c r="K1348" t="s">
        <v>23</v>
      </c>
      <c r="L1348" t="s">
        <v>23</v>
      </c>
      <c r="M1348" t="s">
        <v>28</v>
      </c>
      <c r="N1348">
        <v>0.63900000000000001</v>
      </c>
      <c r="O1348">
        <v>104</v>
      </c>
      <c r="P1348">
        <v>113</v>
      </c>
      <c r="Q1348" t="s">
        <v>38</v>
      </c>
      <c r="R1348">
        <v>159</v>
      </c>
      <c r="S1348">
        <v>19.094000000000001</v>
      </c>
      <c r="T1348" t="s">
        <v>52</v>
      </c>
    </row>
    <row r="1349" spans="1:20" x14ac:dyDescent="0.3">
      <c r="A1349" t="s">
        <v>20</v>
      </c>
      <c r="B1349">
        <v>58</v>
      </c>
      <c r="C1349">
        <v>76.506</v>
      </c>
      <c r="D1349">
        <v>1.5129999999999999</v>
      </c>
      <c r="E1349">
        <v>24.196999999999999</v>
      </c>
      <c r="F1349">
        <v>118.583</v>
      </c>
      <c r="G1349" t="s">
        <v>1150</v>
      </c>
      <c r="I1349">
        <v>63</v>
      </c>
      <c r="J1349">
        <v>120</v>
      </c>
      <c r="K1349" t="s">
        <v>23</v>
      </c>
      <c r="L1349" t="s">
        <v>22</v>
      </c>
      <c r="M1349" t="s">
        <v>37</v>
      </c>
      <c r="N1349">
        <v>0.78400000000000003</v>
      </c>
      <c r="O1349">
        <v>115</v>
      </c>
      <c r="Q1349" t="s">
        <v>38</v>
      </c>
      <c r="R1349">
        <v>41</v>
      </c>
      <c r="S1349">
        <v>13.269</v>
      </c>
      <c r="T1349" t="s">
        <v>26</v>
      </c>
    </row>
    <row r="1350" spans="1:20" x14ac:dyDescent="0.3">
      <c r="A1350" t="s">
        <v>20</v>
      </c>
      <c r="B1350">
        <v>57</v>
      </c>
      <c r="C1350">
        <v>92.923000000000002</v>
      </c>
      <c r="D1350">
        <v>1.8420000000000001</v>
      </c>
      <c r="E1350">
        <v>33.116</v>
      </c>
      <c r="F1350">
        <v>106.315</v>
      </c>
      <c r="G1350" t="s">
        <v>1126</v>
      </c>
      <c r="H1350">
        <v>158</v>
      </c>
      <c r="I1350">
        <v>71</v>
      </c>
      <c r="J1350">
        <v>76</v>
      </c>
      <c r="K1350" t="s">
        <v>22</v>
      </c>
      <c r="L1350" t="s">
        <v>23</v>
      </c>
      <c r="M1350" t="s">
        <v>28</v>
      </c>
      <c r="N1350">
        <v>0.57699999999999996</v>
      </c>
      <c r="O1350">
        <v>101</v>
      </c>
      <c r="P1350">
        <v>91</v>
      </c>
      <c r="Q1350" t="s">
        <v>38</v>
      </c>
      <c r="R1350">
        <v>57</v>
      </c>
      <c r="S1350">
        <v>16.832999999999998</v>
      </c>
      <c r="T1350" t="s">
        <v>26</v>
      </c>
    </row>
    <row r="1351" spans="1:20" x14ac:dyDescent="0.3">
      <c r="A1351" t="s">
        <v>20</v>
      </c>
      <c r="B1351">
        <v>72</v>
      </c>
      <c r="C1351">
        <v>97.58</v>
      </c>
      <c r="D1351">
        <v>1.5049999999999999</v>
      </c>
      <c r="E1351">
        <v>24.2</v>
      </c>
      <c r="F1351">
        <v>95.757999999999996</v>
      </c>
      <c r="G1351" t="s">
        <v>981</v>
      </c>
      <c r="H1351">
        <v>245</v>
      </c>
      <c r="I1351">
        <v>58</v>
      </c>
      <c r="J1351">
        <v>194</v>
      </c>
      <c r="K1351" t="s">
        <v>23</v>
      </c>
      <c r="L1351" t="s">
        <v>22</v>
      </c>
      <c r="M1351" t="s">
        <v>28</v>
      </c>
      <c r="N1351">
        <v>0.63600000000000001</v>
      </c>
      <c r="O1351">
        <v>162</v>
      </c>
      <c r="Q1351" t="s">
        <v>38</v>
      </c>
      <c r="R1351">
        <v>157</v>
      </c>
      <c r="S1351">
        <v>17.84</v>
      </c>
      <c r="T1351" t="s">
        <v>26</v>
      </c>
    </row>
    <row r="1352" spans="1:20" x14ac:dyDescent="0.3">
      <c r="A1352" t="s">
        <v>31</v>
      </c>
      <c r="B1352">
        <v>71</v>
      </c>
      <c r="C1352">
        <v>73.605999999999995</v>
      </c>
      <c r="D1352">
        <v>1.72</v>
      </c>
      <c r="E1352">
        <v>31.202999999999999</v>
      </c>
      <c r="F1352">
        <v>91.233999999999995</v>
      </c>
      <c r="G1352" t="s">
        <v>1151</v>
      </c>
      <c r="H1352">
        <v>235</v>
      </c>
      <c r="I1352">
        <v>32</v>
      </c>
      <c r="J1352">
        <v>174</v>
      </c>
      <c r="K1352" t="s">
        <v>22</v>
      </c>
      <c r="L1352" t="s">
        <v>23</v>
      </c>
      <c r="M1352" t="s">
        <v>37</v>
      </c>
      <c r="N1352">
        <v>0.53</v>
      </c>
      <c r="O1352">
        <v>105</v>
      </c>
      <c r="P1352">
        <v>107</v>
      </c>
      <c r="Q1352" t="s">
        <v>38</v>
      </c>
      <c r="R1352">
        <v>173</v>
      </c>
      <c r="S1352">
        <v>18.190999999999999</v>
      </c>
      <c r="T1352" t="s">
        <v>30</v>
      </c>
    </row>
    <row r="1353" spans="1:20" x14ac:dyDescent="0.3">
      <c r="A1353" t="s">
        <v>31</v>
      </c>
      <c r="B1353">
        <v>68</v>
      </c>
      <c r="D1353">
        <v>1.851</v>
      </c>
      <c r="E1353">
        <v>20.474</v>
      </c>
      <c r="F1353">
        <v>97.393000000000001</v>
      </c>
      <c r="G1353" t="s">
        <v>1152</v>
      </c>
      <c r="H1353">
        <v>279</v>
      </c>
      <c r="I1353">
        <v>47</v>
      </c>
      <c r="J1353">
        <v>88</v>
      </c>
      <c r="K1353" t="s">
        <v>23</v>
      </c>
      <c r="L1353" t="s">
        <v>22</v>
      </c>
      <c r="M1353" t="s">
        <v>28</v>
      </c>
      <c r="N1353">
        <v>0.52600000000000002</v>
      </c>
      <c r="O1353">
        <v>160</v>
      </c>
      <c r="P1353">
        <v>99</v>
      </c>
      <c r="Q1353" t="s">
        <v>38</v>
      </c>
      <c r="S1353">
        <v>17.675000000000001</v>
      </c>
      <c r="T1353" t="s">
        <v>26</v>
      </c>
    </row>
    <row r="1354" spans="1:20" x14ac:dyDescent="0.3">
      <c r="A1354" t="s">
        <v>31</v>
      </c>
      <c r="C1354">
        <v>69.944999999999993</v>
      </c>
      <c r="D1354">
        <v>1.6479999999999999</v>
      </c>
      <c r="E1354">
        <v>38.807000000000002</v>
      </c>
      <c r="F1354">
        <v>79.69</v>
      </c>
      <c r="G1354" t="s">
        <v>388</v>
      </c>
      <c r="H1354">
        <v>123</v>
      </c>
      <c r="I1354">
        <v>42</v>
      </c>
      <c r="J1354">
        <v>92</v>
      </c>
      <c r="K1354" t="s">
        <v>23</v>
      </c>
      <c r="L1354" t="s">
        <v>23</v>
      </c>
      <c r="M1354" t="s">
        <v>24</v>
      </c>
      <c r="N1354">
        <v>0.48399999999999999</v>
      </c>
      <c r="O1354">
        <v>139</v>
      </c>
      <c r="P1354">
        <v>79</v>
      </c>
      <c r="Q1354" t="s">
        <v>29</v>
      </c>
      <c r="R1354">
        <v>51</v>
      </c>
      <c r="S1354">
        <v>19.170999999999999</v>
      </c>
      <c r="T1354" t="s">
        <v>30</v>
      </c>
    </row>
    <row r="1355" spans="1:20" x14ac:dyDescent="0.3">
      <c r="A1355" t="s">
        <v>20</v>
      </c>
      <c r="B1355">
        <v>60</v>
      </c>
      <c r="C1355">
        <v>55.317999999999998</v>
      </c>
      <c r="D1355">
        <v>1.99</v>
      </c>
      <c r="E1355">
        <v>27.309000000000001</v>
      </c>
      <c r="F1355">
        <v>75.926000000000002</v>
      </c>
      <c r="G1355" t="s">
        <v>1153</v>
      </c>
      <c r="H1355">
        <v>243</v>
      </c>
      <c r="I1355">
        <v>63</v>
      </c>
      <c r="J1355">
        <v>143</v>
      </c>
      <c r="K1355" t="s">
        <v>22</v>
      </c>
      <c r="L1355" t="s">
        <v>23</v>
      </c>
      <c r="M1355" t="s">
        <v>24</v>
      </c>
      <c r="N1355">
        <v>0.38200000000000001</v>
      </c>
      <c r="O1355">
        <v>170</v>
      </c>
      <c r="P1355">
        <v>100</v>
      </c>
      <c r="Q1355" t="s">
        <v>38</v>
      </c>
      <c r="R1355">
        <v>150</v>
      </c>
      <c r="S1355">
        <v>20.821999999999999</v>
      </c>
      <c r="T1355" t="s">
        <v>30</v>
      </c>
    </row>
    <row r="1356" spans="1:20" x14ac:dyDescent="0.3">
      <c r="A1356" t="s">
        <v>20</v>
      </c>
      <c r="B1356">
        <v>26</v>
      </c>
      <c r="C1356">
        <v>100.47499999999999</v>
      </c>
      <c r="D1356">
        <v>1.881</v>
      </c>
      <c r="E1356">
        <v>23.193999999999999</v>
      </c>
      <c r="F1356">
        <v>113.065</v>
      </c>
      <c r="G1356" t="s">
        <v>1154</v>
      </c>
      <c r="I1356">
        <v>68</v>
      </c>
      <c r="J1356">
        <v>92</v>
      </c>
      <c r="K1356" t="s">
        <v>22</v>
      </c>
      <c r="L1356" t="s">
        <v>23</v>
      </c>
      <c r="M1356" t="s">
        <v>28</v>
      </c>
      <c r="N1356">
        <v>0.60099999999999998</v>
      </c>
      <c r="P1356">
        <v>92</v>
      </c>
      <c r="Q1356" t="s">
        <v>38</v>
      </c>
      <c r="R1356">
        <v>141</v>
      </c>
      <c r="S1356">
        <v>17.018999999999998</v>
      </c>
      <c r="T1356" t="s">
        <v>52</v>
      </c>
    </row>
    <row r="1357" spans="1:20" x14ac:dyDescent="0.3">
      <c r="A1357" t="s">
        <v>31</v>
      </c>
      <c r="B1357">
        <v>42</v>
      </c>
      <c r="C1357">
        <v>87.025000000000006</v>
      </c>
      <c r="D1357">
        <v>1.9550000000000001</v>
      </c>
      <c r="E1357">
        <v>27.308</v>
      </c>
      <c r="F1357">
        <v>86.331000000000003</v>
      </c>
      <c r="G1357" t="s">
        <v>779</v>
      </c>
      <c r="H1357">
        <v>251</v>
      </c>
      <c r="I1357">
        <v>61</v>
      </c>
      <c r="J1357">
        <v>177</v>
      </c>
      <c r="K1357" t="s">
        <v>22</v>
      </c>
      <c r="L1357" t="s">
        <v>22</v>
      </c>
      <c r="M1357" t="s">
        <v>28</v>
      </c>
      <c r="N1357">
        <v>0.441</v>
      </c>
      <c r="O1357">
        <v>104</v>
      </c>
      <c r="P1357">
        <v>95</v>
      </c>
      <c r="Q1357" t="s">
        <v>38</v>
      </c>
      <c r="R1357">
        <v>160</v>
      </c>
      <c r="S1357">
        <v>15.682</v>
      </c>
      <c r="T1357" t="s">
        <v>26</v>
      </c>
    </row>
    <row r="1358" spans="1:20" x14ac:dyDescent="0.3">
      <c r="A1358" t="s">
        <v>31</v>
      </c>
      <c r="B1358">
        <v>30</v>
      </c>
      <c r="C1358">
        <v>89.924000000000007</v>
      </c>
      <c r="D1358">
        <v>1.5029999999999999</v>
      </c>
      <c r="E1358">
        <v>35.781999999999996</v>
      </c>
      <c r="F1358">
        <v>77.900000000000006</v>
      </c>
      <c r="G1358" t="s">
        <v>464</v>
      </c>
      <c r="H1358">
        <v>193</v>
      </c>
      <c r="I1358">
        <v>64</v>
      </c>
      <c r="J1358">
        <v>129</v>
      </c>
      <c r="K1358" t="s">
        <v>23</v>
      </c>
      <c r="L1358" t="s">
        <v>22</v>
      </c>
      <c r="M1358" t="s">
        <v>28</v>
      </c>
      <c r="N1358">
        <v>0.51800000000000002</v>
      </c>
      <c r="O1358">
        <v>92</v>
      </c>
      <c r="P1358">
        <v>66</v>
      </c>
      <c r="Q1358" t="s">
        <v>33</v>
      </c>
      <c r="R1358">
        <v>99</v>
      </c>
      <c r="S1358">
        <v>15.616</v>
      </c>
      <c r="T1358" t="s">
        <v>52</v>
      </c>
    </row>
    <row r="1359" spans="1:20" x14ac:dyDescent="0.3">
      <c r="A1359" t="s">
        <v>31</v>
      </c>
      <c r="B1359">
        <v>54</v>
      </c>
      <c r="C1359">
        <v>55.92</v>
      </c>
      <c r="D1359">
        <v>1.7330000000000001</v>
      </c>
      <c r="E1359">
        <v>19.805</v>
      </c>
      <c r="F1359">
        <v>106.169</v>
      </c>
      <c r="G1359" t="s">
        <v>1155</v>
      </c>
      <c r="H1359">
        <v>170</v>
      </c>
      <c r="I1359">
        <v>44</v>
      </c>
      <c r="J1359">
        <v>190</v>
      </c>
      <c r="K1359" t="s">
        <v>22</v>
      </c>
      <c r="L1359" t="s">
        <v>22</v>
      </c>
      <c r="M1359" t="s">
        <v>37</v>
      </c>
      <c r="N1359">
        <v>0.61299999999999999</v>
      </c>
      <c r="O1359">
        <v>159</v>
      </c>
      <c r="P1359">
        <v>75</v>
      </c>
      <c r="Q1359" t="s">
        <v>38</v>
      </c>
      <c r="R1359">
        <v>96</v>
      </c>
      <c r="S1359">
        <v>15.311</v>
      </c>
      <c r="T1359" t="s">
        <v>30</v>
      </c>
    </row>
    <row r="1360" spans="1:20" x14ac:dyDescent="0.3">
      <c r="A1360" t="s">
        <v>31</v>
      </c>
      <c r="B1360">
        <v>63</v>
      </c>
      <c r="C1360">
        <v>56.610999999999997</v>
      </c>
      <c r="E1360">
        <v>19.66</v>
      </c>
      <c r="F1360">
        <v>113.152</v>
      </c>
      <c r="G1360" t="s">
        <v>1156</v>
      </c>
      <c r="H1360">
        <v>202</v>
      </c>
      <c r="I1360">
        <v>46</v>
      </c>
      <c r="J1360">
        <v>175</v>
      </c>
      <c r="K1360" t="s">
        <v>22</v>
      </c>
      <c r="L1360" t="s">
        <v>22</v>
      </c>
      <c r="M1360" t="s">
        <v>28</v>
      </c>
      <c r="N1360">
        <v>0.7</v>
      </c>
      <c r="O1360">
        <v>115</v>
      </c>
      <c r="P1360">
        <v>70</v>
      </c>
      <c r="Q1360" t="s">
        <v>33</v>
      </c>
      <c r="R1360">
        <v>126</v>
      </c>
      <c r="S1360">
        <v>13.722</v>
      </c>
      <c r="T1360" t="s">
        <v>52</v>
      </c>
    </row>
    <row r="1361" spans="1:20" x14ac:dyDescent="0.3">
      <c r="A1361" t="s">
        <v>31</v>
      </c>
      <c r="B1361">
        <v>60</v>
      </c>
      <c r="C1361">
        <v>81.135999999999996</v>
      </c>
      <c r="D1361">
        <v>1.67</v>
      </c>
      <c r="E1361">
        <v>34.347000000000001</v>
      </c>
      <c r="F1361">
        <v>104.875</v>
      </c>
      <c r="G1361" t="s">
        <v>1157</v>
      </c>
      <c r="H1361">
        <v>246</v>
      </c>
      <c r="I1361">
        <v>49</v>
      </c>
      <c r="J1361">
        <v>144</v>
      </c>
      <c r="K1361" t="s">
        <v>23</v>
      </c>
      <c r="L1361" t="s">
        <v>23</v>
      </c>
      <c r="M1361" t="s">
        <v>24</v>
      </c>
      <c r="N1361">
        <v>0.628</v>
      </c>
      <c r="O1361">
        <v>166</v>
      </c>
      <c r="P1361">
        <v>80</v>
      </c>
      <c r="Q1361" t="s">
        <v>29</v>
      </c>
      <c r="R1361">
        <v>167</v>
      </c>
      <c r="S1361">
        <v>22.088999999999999</v>
      </c>
      <c r="T1361" t="s">
        <v>30</v>
      </c>
    </row>
    <row r="1362" spans="1:20" x14ac:dyDescent="0.3">
      <c r="A1362" t="s">
        <v>20</v>
      </c>
      <c r="B1362">
        <v>46</v>
      </c>
      <c r="C1362">
        <v>63.779000000000003</v>
      </c>
      <c r="D1362">
        <v>1.502</v>
      </c>
      <c r="E1362">
        <v>34.183999999999997</v>
      </c>
      <c r="F1362">
        <v>113.836</v>
      </c>
      <c r="G1362" t="s">
        <v>1158</v>
      </c>
      <c r="H1362">
        <v>241</v>
      </c>
      <c r="I1362">
        <v>33</v>
      </c>
      <c r="J1362">
        <v>71</v>
      </c>
      <c r="K1362" t="s">
        <v>23</v>
      </c>
      <c r="L1362" t="s">
        <v>23</v>
      </c>
      <c r="M1362" t="s">
        <v>37</v>
      </c>
      <c r="N1362">
        <v>0.75800000000000001</v>
      </c>
      <c r="O1362">
        <v>173</v>
      </c>
      <c r="P1362">
        <v>73</v>
      </c>
      <c r="Q1362" t="s">
        <v>38</v>
      </c>
      <c r="S1362">
        <v>22.306999999999999</v>
      </c>
      <c r="T1362" t="s">
        <v>30</v>
      </c>
    </row>
    <row r="1363" spans="1:20" x14ac:dyDescent="0.3">
      <c r="A1363" t="s">
        <v>31</v>
      </c>
      <c r="B1363">
        <v>33</v>
      </c>
      <c r="C1363">
        <v>78.203999999999994</v>
      </c>
      <c r="D1363">
        <v>1.5940000000000001</v>
      </c>
      <c r="E1363">
        <v>37.316000000000003</v>
      </c>
      <c r="F1363">
        <v>85.284000000000006</v>
      </c>
      <c r="G1363" t="s">
        <v>1159</v>
      </c>
      <c r="H1363">
        <v>273</v>
      </c>
      <c r="I1363">
        <v>35</v>
      </c>
      <c r="J1363">
        <v>114</v>
      </c>
      <c r="K1363" t="s">
        <v>23</v>
      </c>
      <c r="L1363" t="s">
        <v>22</v>
      </c>
      <c r="M1363" t="s">
        <v>37</v>
      </c>
      <c r="N1363">
        <v>0.53500000000000003</v>
      </c>
      <c r="O1363">
        <v>101</v>
      </c>
      <c r="P1363">
        <v>83</v>
      </c>
      <c r="Q1363" t="s">
        <v>29</v>
      </c>
      <c r="R1363">
        <v>208</v>
      </c>
      <c r="S1363">
        <v>17.972999999999999</v>
      </c>
      <c r="T1363" t="s">
        <v>52</v>
      </c>
    </row>
    <row r="1364" spans="1:20" x14ac:dyDescent="0.3">
      <c r="A1364" t="s">
        <v>20</v>
      </c>
      <c r="B1364">
        <v>39</v>
      </c>
      <c r="C1364">
        <v>83.658000000000001</v>
      </c>
      <c r="E1364">
        <v>37.006999999999998</v>
      </c>
      <c r="F1364">
        <v>75.284999999999997</v>
      </c>
      <c r="G1364" t="s">
        <v>1160</v>
      </c>
      <c r="H1364">
        <v>110</v>
      </c>
      <c r="I1364">
        <v>83</v>
      </c>
      <c r="J1364">
        <v>117</v>
      </c>
      <c r="K1364" t="s">
        <v>22</v>
      </c>
      <c r="L1364" t="s">
        <v>22</v>
      </c>
      <c r="M1364" t="s">
        <v>28</v>
      </c>
      <c r="N1364">
        <v>0.47399999999999998</v>
      </c>
      <c r="O1364">
        <v>147</v>
      </c>
      <c r="P1364">
        <v>110</v>
      </c>
      <c r="Q1364" t="s">
        <v>38</v>
      </c>
      <c r="R1364">
        <v>-3</v>
      </c>
      <c r="S1364">
        <v>16.951000000000001</v>
      </c>
      <c r="T1364" t="s">
        <v>26</v>
      </c>
    </row>
    <row r="1365" spans="1:20" x14ac:dyDescent="0.3">
      <c r="A1365" t="s">
        <v>31</v>
      </c>
      <c r="C1365">
        <v>107.13500000000001</v>
      </c>
      <c r="D1365">
        <v>1.7210000000000001</v>
      </c>
      <c r="E1365">
        <v>25.052</v>
      </c>
      <c r="F1365">
        <v>95.3</v>
      </c>
      <c r="G1365" t="s">
        <v>1161</v>
      </c>
      <c r="H1365">
        <v>235</v>
      </c>
      <c r="I1365">
        <v>74</v>
      </c>
      <c r="J1365">
        <v>77</v>
      </c>
      <c r="K1365" t="s">
        <v>22</v>
      </c>
      <c r="L1365" t="s">
        <v>23</v>
      </c>
      <c r="M1365" t="s">
        <v>37</v>
      </c>
      <c r="N1365">
        <v>0.55400000000000005</v>
      </c>
      <c r="P1365">
        <v>97</v>
      </c>
      <c r="Q1365" t="s">
        <v>38</v>
      </c>
      <c r="R1365">
        <v>131</v>
      </c>
      <c r="S1365">
        <v>17.41</v>
      </c>
      <c r="T1365" t="s">
        <v>26</v>
      </c>
    </row>
    <row r="1366" spans="1:20" x14ac:dyDescent="0.3">
      <c r="A1366" t="s">
        <v>20</v>
      </c>
      <c r="B1366">
        <v>46</v>
      </c>
      <c r="C1366">
        <v>118.98</v>
      </c>
      <c r="D1366">
        <v>1.82</v>
      </c>
      <c r="E1366">
        <v>34.694000000000003</v>
      </c>
      <c r="F1366">
        <v>104.985</v>
      </c>
      <c r="G1366" t="s">
        <v>1162</v>
      </c>
      <c r="H1366">
        <v>100</v>
      </c>
      <c r="I1366">
        <v>34</v>
      </c>
      <c r="J1366">
        <v>80</v>
      </c>
      <c r="K1366" t="s">
        <v>23</v>
      </c>
      <c r="L1366" t="s">
        <v>22</v>
      </c>
      <c r="M1366" t="s">
        <v>24</v>
      </c>
      <c r="N1366">
        <v>0.57699999999999996</v>
      </c>
      <c r="O1366">
        <v>156</v>
      </c>
      <c r="P1366">
        <v>99</v>
      </c>
      <c r="Q1366" t="s">
        <v>38</v>
      </c>
      <c r="R1366">
        <v>36</v>
      </c>
      <c r="S1366">
        <v>16.739000000000001</v>
      </c>
      <c r="T1366" t="s">
        <v>52</v>
      </c>
    </row>
    <row r="1367" spans="1:20" x14ac:dyDescent="0.3">
      <c r="A1367" t="s">
        <v>20</v>
      </c>
      <c r="B1367">
        <v>54</v>
      </c>
      <c r="D1367">
        <v>1.58</v>
      </c>
      <c r="E1367">
        <v>21.617999999999999</v>
      </c>
      <c r="F1367">
        <v>104.07599999999999</v>
      </c>
      <c r="G1367" t="s">
        <v>1163</v>
      </c>
      <c r="H1367">
        <v>117</v>
      </c>
      <c r="I1367">
        <v>51</v>
      </c>
      <c r="J1367">
        <v>97</v>
      </c>
      <c r="K1367" t="s">
        <v>23</v>
      </c>
      <c r="L1367" t="s">
        <v>22</v>
      </c>
      <c r="M1367" t="s">
        <v>37</v>
      </c>
      <c r="N1367">
        <v>0.65900000000000003</v>
      </c>
      <c r="O1367">
        <v>122</v>
      </c>
      <c r="P1367">
        <v>115</v>
      </c>
      <c r="Q1367" t="s">
        <v>38</v>
      </c>
      <c r="R1367">
        <v>36</v>
      </c>
      <c r="S1367">
        <v>12.763999999999999</v>
      </c>
      <c r="T1367" t="s">
        <v>26</v>
      </c>
    </row>
    <row r="1368" spans="1:20" x14ac:dyDescent="0.3">
      <c r="A1368" t="s">
        <v>31</v>
      </c>
      <c r="B1368">
        <v>27</v>
      </c>
      <c r="C1368">
        <v>84.010999999999996</v>
      </c>
      <c r="D1368">
        <v>1.74</v>
      </c>
      <c r="E1368">
        <v>26.893999999999998</v>
      </c>
      <c r="F1368">
        <v>78.637</v>
      </c>
      <c r="G1368" t="s">
        <v>1164</v>
      </c>
      <c r="H1368">
        <v>152</v>
      </c>
      <c r="I1368">
        <v>37</v>
      </c>
      <c r="J1368">
        <v>133</v>
      </c>
      <c r="K1368" t="s">
        <v>22</v>
      </c>
      <c r="L1368" t="s">
        <v>23</v>
      </c>
      <c r="M1368" t="s">
        <v>37</v>
      </c>
      <c r="N1368">
        <v>0.45200000000000001</v>
      </c>
      <c r="O1368">
        <v>97</v>
      </c>
      <c r="P1368">
        <v>113</v>
      </c>
      <c r="Q1368" t="s">
        <v>38</v>
      </c>
      <c r="R1368">
        <v>85</v>
      </c>
      <c r="S1368">
        <v>15.269</v>
      </c>
      <c r="T1368" t="s">
        <v>26</v>
      </c>
    </row>
    <row r="1369" spans="1:20" x14ac:dyDescent="0.3">
      <c r="A1369" t="s">
        <v>31</v>
      </c>
      <c r="B1369">
        <v>31</v>
      </c>
      <c r="D1369">
        <v>1.7769999999999999</v>
      </c>
      <c r="E1369">
        <v>38.959000000000003</v>
      </c>
      <c r="F1369">
        <v>98.105000000000004</v>
      </c>
      <c r="G1369" t="s">
        <v>1165</v>
      </c>
      <c r="H1369">
        <v>134</v>
      </c>
      <c r="J1369">
        <v>177</v>
      </c>
      <c r="K1369" t="s">
        <v>22</v>
      </c>
      <c r="L1369" t="s">
        <v>22</v>
      </c>
      <c r="M1369" t="s">
        <v>28</v>
      </c>
      <c r="N1369">
        <v>0.55200000000000005</v>
      </c>
      <c r="O1369">
        <v>91</v>
      </c>
      <c r="P1369">
        <v>107</v>
      </c>
      <c r="Q1369" t="s">
        <v>38</v>
      </c>
      <c r="R1369">
        <v>23</v>
      </c>
      <c r="S1369">
        <v>15.022</v>
      </c>
      <c r="T1369" t="s">
        <v>26</v>
      </c>
    </row>
    <row r="1370" spans="1:20" x14ac:dyDescent="0.3">
      <c r="A1370" t="s">
        <v>20</v>
      </c>
      <c r="B1370">
        <v>46</v>
      </c>
      <c r="C1370">
        <v>61.011000000000003</v>
      </c>
      <c r="D1370">
        <v>1.613</v>
      </c>
      <c r="E1370">
        <v>21.335999999999999</v>
      </c>
      <c r="F1370">
        <v>83.373000000000005</v>
      </c>
      <c r="G1370" t="s">
        <v>1166</v>
      </c>
      <c r="H1370">
        <v>147</v>
      </c>
      <c r="I1370">
        <v>46</v>
      </c>
      <c r="J1370">
        <v>127</v>
      </c>
      <c r="K1370" t="s">
        <v>22</v>
      </c>
      <c r="L1370" t="s">
        <v>23</v>
      </c>
      <c r="M1370" t="s">
        <v>28</v>
      </c>
      <c r="N1370">
        <v>0.51700000000000002</v>
      </c>
      <c r="O1370">
        <v>176</v>
      </c>
      <c r="P1370">
        <v>100</v>
      </c>
      <c r="Q1370" t="s">
        <v>38</v>
      </c>
      <c r="R1370">
        <v>71</v>
      </c>
      <c r="S1370">
        <v>18.007000000000001</v>
      </c>
      <c r="T1370" t="s">
        <v>26</v>
      </c>
    </row>
    <row r="1371" spans="1:20" x14ac:dyDescent="0.3">
      <c r="A1371" t="s">
        <v>20</v>
      </c>
      <c r="B1371">
        <v>70</v>
      </c>
      <c r="D1371">
        <v>1.8939999999999999</v>
      </c>
      <c r="E1371">
        <v>27.587</v>
      </c>
      <c r="F1371">
        <v>93.554000000000002</v>
      </c>
      <c r="G1371" t="s">
        <v>1167</v>
      </c>
      <c r="H1371">
        <v>179</v>
      </c>
      <c r="I1371">
        <v>40</v>
      </c>
      <c r="J1371">
        <v>70</v>
      </c>
      <c r="K1371" t="s">
        <v>22</v>
      </c>
      <c r="L1371" t="s">
        <v>22</v>
      </c>
      <c r="M1371" t="s">
        <v>28</v>
      </c>
      <c r="N1371">
        <v>0.49399999999999999</v>
      </c>
      <c r="O1371">
        <v>127</v>
      </c>
      <c r="P1371">
        <v>66</v>
      </c>
      <c r="Q1371" t="s">
        <v>25</v>
      </c>
      <c r="R1371">
        <v>109</v>
      </c>
      <c r="S1371">
        <v>15.446999999999999</v>
      </c>
      <c r="T1371" t="s">
        <v>52</v>
      </c>
    </row>
    <row r="1372" spans="1:20" x14ac:dyDescent="0.3">
      <c r="A1372" t="s">
        <v>20</v>
      </c>
      <c r="B1372">
        <v>69</v>
      </c>
      <c r="C1372">
        <v>108.428</v>
      </c>
      <c r="D1372">
        <v>1.579</v>
      </c>
      <c r="E1372">
        <v>30.689</v>
      </c>
      <c r="F1372">
        <v>75.798000000000002</v>
      </c>
      <c r="G1372" t="s">
        <v>1168</v>
      </c>
      <c r="H1372">
        <v>159</v>
      </c>
      <c r="I1372">
        <v>89</v>
      </c>
      <c r="J1372">
        <v>137</v>
      </c>
      <c r="K1372" t="s">
        <v>22</v>
      </c>
      <c r="L1372" t="s">
        <v>23</v>
      </c>
      <c r="M1372" t="s">
        <v>37</v>
      </c>
      <c r="N1372">
        <v>0.48</v>
      </c>
      <c r="O1372">
        <v>122</v>
      </c>
      <c r="P1372">
        <v>112</v>
      </c>
      <c r="Q1372" t="s">
        <v>38</v>
      </c>
      <c r="R1372">
        <v>40</v>
      </c>
      <c r="S1372">
        <v>17.417999999999999</v>
      </c>
      <c r="T1372" t="s">
        <v>30</v>
      </c>
    </row>
    <row r="1373" spans="1:20" x14ac:dyDescent="0.3">
      <c r="A1373" t="s">
        <v>20</v>
      </c>
      <c r="B1373">
        <v>54</v>
      </c>
      <c r="C1373">
        <v>119.571</v>
      </c>
      <c r="D1373">
        <v>1.764</v>
      </c>
      <c r="E1373">
        <v>29.949000000000002</v>
      </c>
      <c r="F1373">
        <v>97.328999999999994</v>
      </c>
      <c r="G1373" t="s">
        <v>1169</v>
      </c>
      <c r="H1373">
        <v>244</v>
      </c>
      <c r="I1373">
        <v>46</v>
      </c>
      <c r="J1373">
        <v>155</v>
      </c>
      <c r="K1373" t="s">
        <v>23</v>
      </c>
      <c r="L1373" t="s">
        <v>23</v>
      </c>
      <c r="M1373" t="s">
        <v>37</v>
      </c>
      <c r="N1373">
        <v>0.55200000000000005</v>
      </c>
      <c r="O1373">
        <v>161</v>
      </c>
      <c r="P1373">
        <v>85</v>
      </c>
      <c r="Q1373" t="s">
        <v>29</v>
      </c>
      <c r="R1373">
        <v>168</v>
      </c>
      <c r="S1373">
        <v>20.92</v>
      </c>
      <c r="T1373" t="s">
        <v>26</v>
      </c>
    </row>
    <row r="1374" spans="1:20" x14ac:dyDescent="0.3">
      <c r="A1374" t="s">
        <v>31</v>
      </c>
      <c r="B1374">
        <v>52</v>
      </c>
      <c r="C1374">
        <v>101.49299999999999</v>
      </c>
      <c r="D1374">
        <v>1.8340000000000001</v>
      </c>
      <c r="E1374">
        <v>30.829000000000001</v>
      </c>
      <c r="F1374">
        <v>119.43600000000001</v>
      </c>
      <c r="G1374" t="s">
        <v>1170</v>
      </c>
      <c r="H1374">
        <v>261</v>
      </c>
      <c r="I1374">
        <v>84</v>
      </c>
      <c r="J1374">
        <v>151</v>
      </c>
      <c r="K1374" t="s">
        <v>23</v>
      </c>
      <c r="L1374" t="s">
        <v>23</v>
      </c>
      <c r="M1374" t="s">
        <v>37</v>
      </c>
      <c r="N1374">
        <v>0.65100000000000002</v>
      </c>
      <c r="O1374">
        <v>101</v>
      </c>
      <c r="P1374">
        <v>63</v>
      </c>
      <c r="Q1374" t="s">
        <v>33</v>
      </c>
      <c r="R1374">
        <v>147</v>
      </c>
      <c r="S1374">
        <v>18.436</v>
      </c>
      <c r="T1374" t="s">
        <v>30</v>
      </c>
    </row>
    <row r="1375" spans="1:20" x14ac:dyDescent="0.3">
      <c r="A1375" t="s">
        <v>20</v>
      </c>
      <c r="B1375">
        <v>56</v>
      </c>
      <c r="C1375">
        <v>85.436000000000007</v>
      </c>
      <c r="D1375">
        <v>1.8089999999999999</v>
      </c>
      <c r="E1375">
        <v>29.928000000000001</v>
      </c>
      <c r="F1375">
        <v>72.209999999999994</v>
      </c>
      <c r="G1375" t="s">
        <v>1171</v>
      </c>
      <c r="H1375">
        <v>105</v>
      </c>
      <c r="I1375">
        <v>49</v>
      </c>
      <c r="J1375">
        <v>93</v>
      </c>
      <c r="K1375" t="s">
        <v>23</v>
      </c>
      <c r="L1375" t="s">
        <v>23</v>
      </c>
      <c r="M1375" t="s">
        <v>37</v>
      </c>
      <c r="N1375">
        <v>0.39900000000000002</v>
      </c>
      <c r="O1375">
        <v>124</v>
      </c>
      <c r="P1375">
        <v>60</v>
      </c>
      <c r="Q1375" t="s">
        <v>25</v>
      </c>
      <c r="R1375">
        <v>26</v>
      </c>
      <c r="S1375">
        <v>16.286000000000001</v>
      </c>
      <c r="T1375" t="s">
        <v>52</v>
      </c>
    </row>
    <row r="1376" spans="1:20" x14ac:dyDescent="0.3">
      <c r="A1376" t="s">
        <v>31</v>
      </c>
      <c r="B1376">
        <v>75</v>
      </c>
      <c r="C1376">
        <v>71.018000000000001</v>
      </c>
      <c r="D1376">
        <v>1.8660000000000001</v>
      </c>
      <c r="E1376">
        <v>29.228999999999999</v>
      </c>
      <c r="F1376">
        <v>81.180999999999997</v>
      </c>
      <c r="G1376" t="s">
        <v>1172</v>
      </c>
      <c r="H1376">
        <v>281</v>
      </c>
      <c r="I1376">
        <v>58</v>
      </c>
      <c r="J1376">
        <v>111</v>
      </c>
      <c r="K1376" t="s">
        <v>22</v>
      </c>
      <c r="L1376" t="s">
        <v>22</v>
      </c>
      <c r="M1376" t="s">
        <v>24</v>
      </c>
      <c r="N1376">
        <v>0.435</v>
      </c>
      <c r="O1376">
        <v>119</v>
      </c>
      <c r="P1376">
        <v>86</v>
      </c>
      <c r="Q1376" t="s">
        <v>29</v>
      </c>
      <c r="R1376">
        <v>193</v>
      </c>
      <c r="S1376">
        <v>17.416</v>
      </c>
      <c r="T1376" t="s">
        <v>30</v>
      </c>
    </row>
    <row r="1377" spans="1:20" x14ac:dyDescent="0.3">
      <c r="A1377" t="s">
        <v>31</v>
      </c>
      <c r="B1377">
        <v>76</v>
      </c>
      <c r="C1377">
        <v>88.176000000000002</v>
      </c>
      <c r="D1377">
        <v>1.73</v>
      </c>
      <c r="E1377">
        <v>32.064</v>
      </c>
      <c r="F1377">
        <v>108.771</v>
      </c>
      <c r="G1377" t="s">
        <v>1041</v>
      </c>
      <c r="H1377">
        <v>253</v>
      </c>
      <c r="I1377">
        <v>79</v>
      </c>
      <c r="J1377">
        <v>168</v>
      </c>
      <c r="K1377" t="s">
        <v>23</v>
      </c>
      <c r="L1377" t="s">
        <v>23</v>
      </c>
      <c r="M1377" t="s">
        <v>24</v>
      </c>
      <c r="N1377">
        <v>0.629</v>
      </c>
      <c r="O1377">
        <v>157</v>
      </c>
      <c r="P1377">
        <v>65</v>
      </c>
      <c r="Q1377" t="s">
        <v>38</v>
      </c>
      <c r="R1377">
        <v>144</v>
      </c>
      <c r="S1377">
        <v>21.323</v>
      </c>
      <c r="T1377" t="s">
        <v>26</v>
      </c>
    </row>
    <row r="1378" spans="1:20" x14ac:dyDescent="0.3">
      <c r="A1378" t="s">
        <v>20</v>
      </c>
      <c r="B1378">
        <v>25</v>
      </c>
      <c r="C1378">
        <v>89.625</v>
      </c>
      <c r="D1378">
        <v>1.6180000000000001</v>
      </c>
      <c r="E1378">
        <v>39.646000000000001</v>
      </c>
      <c r="F1378">
        <v>112.02500000000001</v>
      </c>
      <c r="G1378" t="s">
        <v>1173</v>
      </c>
      <c r="H1378">
        <v>137</v>
      </c>
      <c r="I1378">
        <v>52</v>
      </c>
      <c r="J1378">
        <v>77</v>
      </c>
      <c r="K1378" t="s">
        <v>23</v>
      </c>
      <c r="L1378" t="s">
        <v>23</v>
      </c>
      <c r="M1378" t="s">
        <v>28</v>
      </c>
      <c r="N1378">
        <v>0.69199999999999995</v>
      </c>
      <c r="O1378">
        <v>166</v>
      </c>
      <c r="P1378">
        <v>96</v>
      </c>
      <c r="Q1378" t="s">
        <v>38</v>
      </c>
      <c r="R1378">
        <v>55</v>
      </c>
      <c r="S1378">
        <v>20.969000000000001</v>
      </c>
      <c r="T1378" t="s">
        <v>52</v>
      </c>
    </row>
    <row r="1379" spans="1:20" x14ac:dyDescent="0.3">
      <c r="A1379" t="s">
        <v>20</v>
      </c>
      <c r="B1379">
        <v>49</v>
      </c>
      <c r="C1379">
        <v>72.513999999999996</v>
      </c>
      <c r="D1379">
        <v>1.8089999999999999</v>
      </c>
      <c r="E1379">
        <v>25.928000000000001</v>
      </c>
      <c r="F1379">
        <v>90.137</v>
      </c>
      <c r="G1379" t="s">
        <v>1174</v>
      </c>
      <c r="H1379">
        <v>251</v>
      </c>
      <c r="I1379">
        <v>88</v>
      </c>
      <c r="J1379">
        <v>125</v>
      </c>
      <c r="K1379" t="s">
        <v>23</v>
      </c>
      <c r="L1379" t="s">
        <v>23</v>
      </c>
      <c r="M1379" t="s">
        <v>28</v>
      </c>
      <c r="N1379">
        <v>0.498</v>
      </c>
      <c r="O1379">
        <v>176</v>
      </c>
      <c r="P1379">
        <v>92</v>
      </c>
      <c r="Q1379" t="s">
        <v>38</v>
      </c>
      <c r="R1379">
        <v>133</v>
      </c>
      <c r="S1379">
        <v>21.006</v>
      </c>
      <c r="T1379" t="s">
        <v>26</v>
      </c>
    </row>
    <row r="1380" spans="1:20" x14ac:dyDescent="0.3">
      <c r="A1380" t="s">
        <v>31</v>
      </c>
      <c r="B1380">
        <v>63</v>
      </c>
      <c r="C1380">
        <v>59.067999999999998</v>
      </c>
      <c r="D1380">
        <v>1.556</v>
      </c>
      <c r="E1380">
        <v>29.125</v>
      </c>
      <c r="F1380">
        <v>71.025999999999996</v>
      </c>
      <c r="G1380" t="s">
        <v>1175</v>
      </c>
      <c r="H1380">
        <v>238</v>
      </c>
      <c r="J1380">
        <v>119</v>
      </c>
      <c r="K1380" t="s">
        <v>23</v>
      </c>
      <c r="L1380" t="s">
        <v>22</v>
      </c>
      <c r="M1380" t="s">
        <v>28</v>
      </c>
      <c r="N1380">
        <v>0.45600000000000002</v>
      </c>
      <c r="O1380">
        <v>162</v>
      </c>
      <c r="P1380">
        <v>80</v>
      </c>
      <c r="Q1380" t="s">
        <v>29</v>
      </c>
      <c r="S1380">
        <v>18.684999999999999</v>
      </c>
      <c r="T1380" t="s">
        <v>52</v>
      </c>
    </row>
    <row r="1381" spans="1:20" x14ac:dyDescent="0.3">
      <c r="A1381" t="s">
        <v>20</v>
      </c>
      <c r="B1381">
        <v>26</v>
      </c>
      <c r="C1381">
        <v>83.855999999999995</v>
      </c>
      <c r="D1381">
        <v>1.95</v>
      </c>
      <c r="E1381">
        <v>36.851999999999997</v>
      </c>
      <c r="F1381">
        <v>77.156999999999996</v>
      </c>
      <c r="G1381" t="s">
        <v>1176</v>
      </c>
      <c r="H1381">
        <v>140</v>
      </c>
      <c r="I1381">
        <v>32</v>
      </c>
      <c r="J1381">
        <v>174</v>
      </c>
      <c r="K1381" t="s">
        <v>23</v>
      </c>
      <c r="L1381" t="s">
        <v>23</v>
      </c>
      <c r="M1381" t="s">
        <v>24</v>
      </c>
      <c r="N1381">
        <v>0.39600000000000002</v>
      </c>
      <c r="O1381">
        <v>96</v>
      </c>
      <c r="P1381">
        <v>68</v>
      </c>
      <c r="Q1381" t="s">
        <v>33</v>
      </c>
      <c r="R1381">
        <v>78</v>
      </c>
      <c r="S1381">
        <v>16.97</v>
      </c>
      <c r="T1381" t="s">
        <v>30</v>
      </c>
    </row>
    <row r="1382" spans="1:20" x14ac:dyDescent="0.3">
      <c r="A1382" t="s">
        <v>31</v>
      </c>
      <c r="B1382">
        <v>28</v>
      </c>
      <c r="C1382">
        <v>88.733999999999995</v>
      </c>
      <c r="D1382">
        <v>1.863</v>
      </c>
      <c r="E1382">
        <v>22.917999999999999</v>
      </c>
      <c r="F1382">
        <v>75.188000000000002</v>
      </c>
      <c r="G1382" t="s">
        <v>1177</v>
      </c>
      <c r="H1382">
        <v>120</v>
      </c>
      <c r="I1382">
        <v>62</v>
      </c>
      <c r="J1382">
        <v>141</v>
      </c>
      <c r="K1382" t="s">
        <v>23</v>
      </c>
      <c r="L1382" t="s">
        <v>23</v>
      </c>
      <c r="M1382" t="s">
        <v>28</v>
      </c>
      <c r="N1382">
        <v>0.40400000000000003</v>
      </c>
      <c r="O1382">
        <v>148</v>
      </c>
      <c r="P1382">
        <v>84</v>
      </c>
      <c r="Q1382" t="s">
        <v>29</v>
      </c>
      <c r="R1382">
        <v>28</v>
      </c>
      <c r="S1382">
        <v>16.384</v>
      </c>
      <c r="T1382" t="s">
        <v>52</v>
      </c>
    </row>
    <row r="1383" spans="1:20" x14ac:dyDescent="0.3">
      <c r="A1383" t="s">
        <v>20</v>
      </c>
      <c r="B1383">
        <v>52</v>
      </c>
      <c r="C1383">
        <v>99.356999999999999</v>
      </c>
      <c r="D1383">
        <v>1.8979999999999999</v>
      </c>
      <c r="E1383">
        <v>31.597000000000001</v>
      </c>
      <c r="F1383">
        <v>92.525999999999996</v>
      </c>
      <c r="G1383" t="s">
        <v>1178</v>
      </c>
      <c r="H1383">
        <v>240</v>
      </c>
      <c r="I1383">
        <v>49</v>
      </c>
      <c r="J1383">
        <v>164</v>
      </c>
      <c r="K1383" t="s">
        <v>23</v>
      </c>
      <c r="L1383" t="s">
        <v>22</v>
      </c>
      <c r="M1383" t="s">
        <v>28</v>
      </c>
      <c r="N1383">
        <v>0.48799999999999999</v>
      </c>
      <c r="O1383">
        <v>142</v>
      </c>
      <c r="P1383">
        <v>95</v>
      </c>
      <c r="Q1383" t="s">
        <v>38</v>
      </c>
      <c r="R1383">
        <v>161</v>
      </c>
      <c r="S1383">
        <v>18.219000000000001</v>
      </c>
      <c r="T1383" t="s">
        <v>52</v>
      </c>
    </row>
    <row r="1384" spans="1:20" x14ac:dyDescent="0.3">
      <c r="A1384" t="s">
        <v>31</v>
      </c>
      <c r="B1384">
        <v>64</v>
      </c>
      <c r="C1384">
        <v>100.94</v>
      </c>
      <c r="D1384">
        <v>1.7509999999999999</v>
      </c>
      <c r="E1384">
        <v>22.696999999999999</v>
      </c>
      <c r="F1384">
        <v>71.652000000000001</v>
      </c>
      <c r="G1384" t="s">
        <v>1179</v>
      </c>
      <c r="H1384">
        <v>128</v>
      </c>
      <c r="I1384">
        <v>81</v>
      </c>
      <c r="J1384">
        <v>103</v>
      </c>
      <c r="K1384" t="s">
        <v>23</v>
      </c>
      <c r="L1384" t="s">
        <v>23</v>
      </c>
      <c r="M1384" t="s">
        <v>28</v>
      </c>
      <c r="O1384">
        <v>115</v>
      </c>
      <c r="P1384">
        <v>113</v>
      </c>
      <c r="Q1384" t="s">
        <v>38</v>
      </c>
      <c r="R1384">
        <v>17</v>
      </c>
      <c r="S1384">
        <v>14.849</v>
      </c>
      <c r="T1384" t="s">
        <v>26</v>
      </c>
    </row>
    <row r="1385" spans="1:20" x14ac:dyDescent="0.3">
      <c r="A1385" t="s">
        <v>31</v>
      </c>
      <c r="B1385">
        <v>31</v>
      </c>
      <c r="C1385">
        <v>61.213000000000001</v>
      </c>
      <c r="D1385">
        <v>1.829</v>
      </c>
      <c r="E1385">
        <v>19.643999999999998</v>
      </c>
      <c r="F1385">
        <v>84.102000000000004</v>
      </c>
      <c r="G1385" t="s">
        <v>384</v>
      </c>
      <c r="H1385">
        <v>145</v>
      </c>
      <c r="I1385">
        <v>70</v>
      </c>
      <c r="J1385">
        <v>168</v>
      </c>
      <c r="K1385" t="s">
        <v>22</v>
      </c>
      <c r="L1385" t="s">
        <v>22</v>
      </c>
      <c r="M1385" t="s">
        <v>28</v>
      </c>
      <c r="N1385">
        <v>0.46</v>
      </c>
      <c r="O1385">
        <v>108</v>
      </c>
      <c r="P1385">
        <v>61</v>
      </c>
      <c r="Q1385" t="s">
        <v>33</v>
      </c>
      <c r="R1385">
        <v>45</v>
      </c>
      <c r="S1385">
        <v>12.228999999999999</v>
      </c>
      <c r="T1385" t="s">
        <v>26</v>
      </c>
    </row>
    <row r="1386" spans="1:20" x14ac:dyDescent="0.3">
      <c r="A1386" t="s">
        <v>31</v>
      </c>
      <c r="B1386">
        <v>62</v>
      </c>
      <c r="C1386">
        <v>76.988</v>
      </c>
      <c r="D1386">
        <v>1.792</v>
      </c>
      <c r="E1386">
        <v>21.911999999999999</v>
      </c>
      <c r="F1386">
        <v>116.937</v>
      </c>
      <c r="G1386" t="s">
        <v>1180</v>
      </c>
      <c r="H1386">
        <v>218</v>
      </c>
      <c r="I1386">
        <v>71</v>
      </c>
      <c r="J1386">
        <v>88</v>
      </c>
      <c r="K1386" t="s">
        <v>22</v>
      </c>
      <c r="L1386" t="s">
        <v>22</v>
      </c>
      <c r="M1386" t="s">
        <v>24</v>
      </c>
      <c r="N1386">
        <v>0.65300000000000002</v>
      </c>
      <c r="O1386">
        <v>103</v>
      </c>
      <c r="P1386">
        <v>93</v>
      </c>
      <c r="Q1386" t="s">
        <v>38</v>
      </c>
      <c r="R1386">
        <v>117</v>
      </c>
      <c r="S1386">
        <v>13.891999999999999</v>
      </c>
      <c r="T1386" t="s">
        <v>52</v>
      </c>
    </row>
    <row r="1387" spans="1:20" x14ac:dyDescent="0.3">
      <c r="A1387" t="s">
        <v>20</v>
      </c>
      <c r="B1387">
        <v>64</v>
      </c>
      <c r="C1387">
        <v>57.871000000000002</v>
      </c>
      <c r="D1387">
        <v>1.752</v>
      </c>
      <c r="E1387">
        <v>18.510000000000002</v>
      </c>
      <c r="F1387">
        <v>108.94199999999999</v>
      </c>
      <c r="G1387" t="s">
        <v>1181</v>
      </c>
      <c r="H1387">
        <v>213</v>
      </c>
      <c r="I1387">
        <v>58</v>
      </c>
      <c r="J1387">
        <v>84</v>
      </c>
      <c r="K1387" t="s">
        <v>23</v>
      </c>
      <c r="L1387" t="s">
        <v>23</v>
      </c>
      <c r="M1387" t="s">
        <v>37</v>
      </c>
      <c r="N1387">
        <v>0.622</v>
      </c>
      <c r="O1387">
        <v>175</v>
      </c>
      <c r="P1387">
        <v>69</v>
      </c>
      <c r="Q1387" t="s">
        <v>38</v>
      </c>
      <c r="R1387">
        <v>125</v>
      </c>
      <c r="T1387" t="s">
        <v>52</v>
      </c>
    </row>
    <row r="1388" spans="1:20" x14ac:dyDescent="0.3">
      <c r="A1388" t="s">
        <v>31</v>
      </c>
      <c r="B1388">
        <v>27</v>
      </c>
      <c r="C1388">
        <v>116.52500000000001</v>
      </c>
      <c r="D1388">
        <v>1.9379999999999999</v>
      </c>
      <c r="E1388">
        <v>33.296999999999997</v>
      </c>
      <c r="F1388">
        <v>117.983</v>
      </c>
      <c r="G1388" t="s">
        <v>1182</v>
      </c>
      <c r="H1388">
        <v>133</v>
      </c>
      <c r="K1388" t="s">
        <v>23</v>
      </c>
      <c r="L1388" t="s">
        <v>22</v>
      </c>
      <c r="M1388" t="s">
        <v>37</v>
      </c>
      <c r="N1388">
        <v>0.60899999999999999</v>
      </c>
      <c r="O1388">
        <v>107</v>
      </c>
      <c r="Q1388" t="s">
        <v>38</v>
      </c>
      <c r="R1388">
        <v>17</v>
      </c>
      <c r="S1388">
        <v>14.669</v>
      </c>
      <c r="T1388" t="s">
        <v>26</v>
      </c>
    </row>
    <row r="1389" spans="1:20" x14ac:dyDescent="0.3">
      <c r="A1389" t="s">
        <v>20</v>
      </c>
      <c r="B1389">
        <v>49</v>
      </c>
      <c r="C1389">
        <v>117.84699999999999</v>
      </c>
      <c r="D1389">
        <v>1.68</v>
      </c>
      <c r="E1389">
        <v>36.276000000000003</v>
      </c>
      <c r="F1389">
        <v>81.599000000000004</v>
      </c>
      <c r="G1389" t="s">
        <v>1183</v>
      </c>
      <c r="H1389">
        <v>254</v>
      </c>
      <c r="I1389">
        <v>66</v>
      </c>
      <c r="J1389">
        <v>131</v>
      </c>
      <c r="K1389" t="s">
        <v>23</v>
      </c>
      <c r="L1389" t="s">
        <v>23</v>
      </c>
      <c r="M1389" t="s">
        <v>37</v>
      </c>
      <c r="N1389">
        <v>0.48599999999999999</v>
      </c>
      <c r="O1389">
        <v>118</v>
      </c>
      <c r="P1389">
        <v>119</v>
      </c>
      <c r="Q1389" t="s">
        <v>38</v>
      </c>
      <c r="R1389">
        <v>158</v>
      </c>
      <c r="S1389">
        <v>20.234999999999999</v>
      </c>
      <c r="T1389" t="s">
        <v>52</v>
      </c>
    </row>
    <row r="1390" spans="1:20" x14ac:dyDescent="0.3">
      <c r="A1390" t="s">
        <v>31</v>
      </c>
      <c r="B1390">
        <v>56</v>
      </c>
      <c r="C1390">
        <v>80.566999999999993</v>
      </c>
      <c r="D1390">
        <v>1.597</v>
      </c>
      <c r="E1390">
        <v>22.382999999999999</v>
      </c>
      <c r="F1390">
        <v>86.290999999999997</v>
      </c>
      <c r="G1390" t="s">
        <v>1184</v>
      </c>
      <c r="H1390">
        <v>249</v>
      </c>
      <c r="I1390">
        <v>63</v>
      </c>
      <c r="J1390">
        <v>186</v>
      </c>
      <c r="K1390" t="s">
        <v>23</v>
      </c>
      <c r="L1390" t="s">
        <v>22</v>
      </c>
      <c r="M1390" t="s">
        <v>24</v>
      </c>
      <c r="N1390">
        <v>0.54</v>
      </c>
      <c r="O1390">
        <v>108</v>
      </c>
      <c r="P1390">
        <v>101</v>
      </c>
      <c r="Q1390" t="s">
        <v>38</v>
      </c>
      <c r="R1390">
        <v>156</v>
      </c>
      <c r="S1390">
        <v>14.856999999999999</v>
      </c>
      <c r="T1390" t="s">
        <v>26</v>
      </c>
    </row>
    <row r="1391" spans="1:20" x14ac:dyDescent="0.3">
      <c r="A1391" t="s">
        <v>31</v>
      </c>
      <c r="B1391">
        <v>60</v>
      </c>
      <c r="C1391">
        <v>67.97</v>
      </c>
      <c r="D1391">
        <v>1.841</v>
      </c>
      <c r="E1391">
        <v>34.814999999999998</v>
      </c>
      <c r="F1391">
        <v>112.65900000000001</v>
      </c>
      <c r="G1391" t="s">
        <v>1185</v>
      </c>
      <c r="H1391">
        <v>262</v>
      </c>
      <c r="I1391">
        <v>80</v>
      </c>
      <c r="J1391">
        <v>198</v>
      </c>
      <c r="K1391" t="s">
        <v>22</v>
      </c>
      <c r="L1391" t="s">
        <v>23</v>
      </c>
      <c r="M1391" t="s">
        <v>24</v>
      </c>
      <c r="N1391">
        <v>0.61199999999999999</v>
      </c>
      <c r="P1391">
        <v>103</v>
      </c>
      <c r="Q1391" t="s">
        <v>38</v>
      </c>
      <c r="R1391">
        <v>152</v>
      </c>
      <c r="S1391">
        <v>21.853000000000002</v>
      </c>
      <c r="T1391" t="s">
        <v>30</v>
      </c>
    </row>
    <row r="1392" spans="1:20" x14ac:dyDescent="0.3">
      <c r="A1392" t="s">
        <v>20</v>
      </c>
      <c r="B1392">
        <v>25</v>
      </c>
      <c r="C1392">
        <v>65.816000000000003</v>
      </c>
      <c r="D1392">
        <v>1.8939999999999999</v>
      </c>
      <c r="E1392">
        <v>24.122</v>
      </c>
      <c r="F1392">
        <v>112.145</v>
      </c>
      <c r="G1392" t="s">
        <v>71</v>
      </c>
      <c r="H1392">
        <v>245</v>
      </c>
      <c r="I1392">
        <v>55</v>
      </c>
      <c r="J1392">
        <v>88</v>
      </c>
      <c r="K1392" t="s">
        <v>23</v>
      </c>
      <c r="L1392" t="s">
        <v>22</v>
      </c>
      <c r="M1392" t="s">
        <v>24</v>
      </c>
      <c r="O1392">
        <v>144</v>
      </c>
      <c r="P1392">
        <v>73</v>
      </c>
      <c r="Q1392" t="s">
        <v>38</v>
      </c>
      <c r="R1392">
        <v>160</v>
      </c>
      <c r="S1392">
        <v>16.923999999999999</v>
      </c>
      <c r="T1392" t="s">
        <v>52</v>
      </c>
    </row>
    <row r="1393" spans="1:20" x14ac:dyDescent="0.3">
      <c r="A1393" t="s">
        <v>20</v>
      </c>
      <c r="B1393">
        <v>36</v>
      </c>
      <c r="D1393">
        <v>1.7969999999999999</v>
      </c>
      <c r="E1393">
        <v>26.577999999999999</v>
      </c>
      <c r="F1393">
        <v>104.59</v>
      </c>
      <c r="G1393" t="s">
        <v>1186</v>
      </c>
      <c r="H1393">
        <v>145</v>
      </c>
      <c r="I1393">
        <v>51</v>
      </c>
      <c r="J1393">
        <v>89</v>
      </c>
      <c r="K1393" t="s">
        <v>23</v>
      </c>
      <c r="L1393" t="s">
        <v>22</v>
      </c>
      <c r="M1393" t="s">
        <v>37</v>
      </c>
      <c r="N1393">
        <v>0.58199999999999996</v>
      </c>
      <c r="O1393">
        <v>116</v>
      </c>
      <c r="P1393">
        <v>68</v>
      </c>
      <c r="Q1393" t="s">
        <v>33</v>
      </c>
      <c r="R1393">
        <v>64</v>
      </c>
      <c r="S1393">
        <v>14.016</v>
      </c>
      <c r="T1393" t="s">
        <v>52</v>
      </c>
    </row>
    <row r="1394" spans="1:20" x14ac:dyDescent="0.3">
      <c r="A1394" t="s">
        <v>20</v>
      </c>
      <c r="B1394">
        <v>26</v>
      </c>
      <c r="C1394">
        <v>57.25</v>
      </c>
      <c r="D1394">
        <v>1.859</v>
      </c>
      <c r="E1394">
        <v>29.971</v>
      </c>
      <c r="F1394">
        <v>81.215000000000003</v>
      </c>
      <c r="G1394" t="s">
        <v>347</v>
      </c>
      <c r="H1394">
        <v>147</v>
      </c>
      <c r="K1394" t="s">
        <v>23</v>
      </c>
      <c r="L1394" t="s">
        <v>23</v>
      </c>
      <c r="M1394" t="s">
        <v>28</v>
      </c>
      <c r="N1394">
        <v>0.437</v>
      </c>
      <c r="O1394">
        <v>111</v>
      </c>
      <c r="P1394">
        <v>76</v>
      </c>
      <c r="Q1394" t="s">
        <v>33</v>
      </c>
      <c r="R1394">
        <v>60</v>
      </c>
      <c r="S1394">
        <v>16.484000000000002</v>
      </c>
      <c r="T1394" t="s">
        <v>30</v>
      </c>
    </row>
    <row r="1395" spans="1:20" x14ac:dyDescent="0.3">
      <c r="A1395" t="s">
        <v>31</v>
      </c>
      <c r="B1395">
        <v>78</v>
      </c>
      <c r="C1395">
        <v>118.83</v>
      </c>
      <c r="D1395">
        <v>1.827</v>
      </c>
      <c r="E1395">
        <v>34.781999999999996</v>
      </c>
      <c r="F1395">
        <v>113.748</v>
      </c>
      <c r="G1395" t="s">
        <v>1187</v>
      </c>
      <c r="H1395">
        <v>217</v>
      </c>
      <c r="I1395">
        <v>65</v>
      </c>
      <c r="K1395" t="s">
        <v>22</v>
      </c>
      <c r="L1395" t="s">
        <v>22</v>
      </c>
      <c r="M1395" t="s">
        <v>37</v>
      </c>
      <c r="N1395">
        <v>0.623</v>
      </c>
      <c r="O1395">
        <v>160</v>
      </c>
      <c r="P1395">
        <v>82</v>
      </c>
      <c r="Q1395" t="s">
        <v>29</v>
      </c>
      <c r="R1395">
        <v>122</v>
      </c>
      <c r="S1395">
        <v>19.295999999999999</v>
      </c>
      <c r="T1395" t="s">
        <v>26</v>
      </c>
    </row>
    <row r="1396" spans="1:20" x14ac:dyDescent="0.3">
      <c r="A1396" t="s">
        <v>20</v>
      </c>
      <c r="B1396">
        <v>41</v>
      </c>
      <c r="C1396">
        <v>108.949</v>
      </c>
      <c r="D1396">
        <v>1.5169999999999999</v>
      </c>
      <c r="E1396">
        <v>30.24</v>
      </c>
      <c r="F1396">
        <v>101.419</v>
      </c>
      <c r="G1396" t="s">
        <v>317</v>
      </c>
      <c r="H1396">
        <v>220</v>
      </c>
      <c r="I1396">
        <v>38</v>
      </c>
      <c r="J1396">
        <v>120</v>
      </c>
      <c r="K1396" t="s">
        <v>23</v>
      </c>
      <c r="L1396" t="s">
        <v>22</v>
      </c>
      <c r="M1396" t="s">
        <v>28</v>
      </c>
      <c r="N1396">
        <v>0.66900000000000004</v>
      </c>
      <c r="O1396">
        <v>129</v>
      </c>
      <c r="P1396">
        <v>63</v>
      </c>
      <c r="Q1396" t="s">
        <v>25</v>
      </c>
      <c r="S1396">
        <v>16.898</v>
      </c>
      <c r="T1396" t="s">
        <v>26</v>
      </c>
    </row>
    <row r="1397" spans="1:20" x14ac:dyDescent="0.3">
      <c r="A1397" t="s">
        <v>31</v>
      </c>
      <c r="B1397">
        <v>60</v>
      </c>
      <c r="C1397">
        <v>102.474</v>
      </c>
      <c r="D1397">
        <v>1.94</v>
      </c>
      <c r="E1397">
        <v>26.036000000000001</v>
      </c>
      <c r="F1397">
        <v>76.486999999999995</v>
      </c>
      <c r="G1397" t="s">
        <v>1188</v>
      </c>
      <c r="H1397">
        <v>148</v>
      </c>
      <c r="I1397">
        <v>48</v>
      </c>
      <c r="K1397" t="s">
        <v>23</v>
      </c>
      <c r="L1397" t="s">
        <v>22</v>
      </c>
      <c r="M1397" t="s">
        <v>37</v>
      </c>
      <c r="N1397">
        <v>0.39400000000000002</v>
      </c>
      <c r="O1397">
        <v>162</v>
      </c>
      <c r="P1397">
        <v>110</v>
      </c>
      <c r="Q1397" t="s">
        <v>38</v>
      </c>
      <c r="R1397">
        <v>70</v>
      </c>
      <c r="S1397">
        <v>16.266999999999999</v>
      </c>
      <c r="T1397" t="s">
        <v>26</v>
      </c>
    </row>
    <row r="1398" spans="1:20" x14ac:dyDescent="0.3">
      <c r="A1398" t="s">
        <v>31</v>
      </c>
      <c r="B1398">
        <v>52</v>
      </c>
      <c r="C1398">
        <v>102.224</v>
      </c>
      <c r="D1398">
        <v>1.81</v>
      </c>
      <c r="E1398">
        <v>27.765999999999998</v>
      </c>
      <c r="F1398">
        <v>83.057000000000002</v>
      </c>
      <c r="G1398" t="s">
        <v>1189</v>
      </c>
      <c r="H1398">
        <v>286</v>
      </c>
      <c r="I1398">
        <v>72</v>
      </c>
      <c r="J1398">
        <v>150</v>
      </c>
      <c r="K1398" t="s">
        <v>22</v>
      </c>
      <c r="L1398" t="s">
        <v>23</v>
      </c>
      <c r="M1398" t="s">
        <v>24</v>
      </c>
      <c r="N1398">
        <v>0.45900000000000002</v>
      </c>
      <c r="O1398">
        <v>97</v>
      </c>
      <c r="P1398">
        <v>92</v>
      </c>
      <c r="Q1398" t="s">
        <v>38</v>
      </c>
      <c r="R1398">
        <v>184</v>
      </c>
      <c r="S1398">
        <v>18.123000000000001</v>
      </c>
      <c r="T1398" t="s">
        <v>52</v>
      </c>
    </row>
    <row r="1399" spans="1:20" x14ac:dyDescent="0.3">
      <c r="A1399" t="s">
        <v>31</v>
      </c>
      <c r="B1399">
        <v>38</v>
      </c>
      <c r="C1399">
        <v>116.742</v>
      </c>
      <c r="D1399">
        <v>1.6970000000000001</v>
      </c>
      <c r="E1399">
        <v>34.604999999999997</v>
      </c>
      <c r="F1399">
        <v>118.754</v>
      </c>
      <c r="G1399" t="s">
        <v>1190</v>
      </c>
      <c r="H1399">
        <v>279</v>
      </c>
      <c r="I1399">
        <v>56</v>
      </c>
      <c r="K1399" t="s">
        <v>23</v>
      </c>
      <c r="L1399" t="s">
        <v>23</v>
      </c>
      <c r="M1399" t="s">
        <v>37</v>
      </c>
      <c r="O1399">
        <v>177</v>
      </c>
      <c r="P1399">
        <v>76</v>
      </c>
      <c r="Q1399" t="s">
        <v>38</v>
      </c>
      <c r="R1399">
        <v>193</v>
      </c>
      <c r="S1399">
        <v>23.350999999999999</v>
      </c>
      <c r="T1399" t="s">
        <v>30</v>
      </c>
    </row>
    <row r="1400" spans="1:20" x14ac:dyDescent="0.3">
      <c r="A1400" t="s">
        <v>20</v>
      </c>
      <c r="B1400">
        <v>27</v>
      </c>
      <c r="C1400">
        <v>69.138999999999996</v>
      </c>
      <c r="D1400">
        <v>1.734</v>
      </c>
      <c r="E1400">
        <v>21.824999999999999</v>
      </c>
      <c r="F1400">
        <v>95.866</v>
      </c>
      <c r="G1400" t="s">
        <v>1191</v>
      </c>
      <c r="H1400">
        <v>176</v>
      </c>
      <c r="I1400">
        <v>84</v>
      </c>
      <c r="J1400">
        <v>87</v>
      </c>
      <c r="K1400" t="s">
        <v>22</v>
      </c>
      <c r="L1400" t="s">
        <v>23</v>
      </c>
      <c r="M1400" t="s">
        <v>37</v>
      </c>
      <c r="N1400">
        <v>0.55300000000000005</v>
      </c>
      <c r="O1400">
        <v>139</v>
      </c>
      <c r="P1400">
        <v>113</v>
      </c>
      <c r="Q1400" t="s">
        <v>29</v>
      </c>
      <c r="R1400">
        <v>62</v>
      </c>
      <c r="S1400">
        <v>16.835000000000001</v>
      </c>
      <c r="T1400" t="s">
        <v>30</v>
      </c>
    </row>
    <row r="1401" spans="1:20" x14ac:dyDescent="0.3">
      <c r="A1401" t="s">
        <v>20</v>
      </c>
      <c r="B1401">
        <v>40</v>
      </c>
      <c r="C1401">
        <v>99.555000000000007</v>
      </c>
      <c r="D1401">
        <v>1.5740000000000001</v>
      </c>
      <c r="E1401">
        <v>39.323</v>
      </c>
      <c r="F1401">
        <v>88.724999999999994</v>
      </c>
      <c r="G1401" t="s">
        <v>1192</v>
      </c>
      <c r="H1401">
        <v>268</v>
      </c>
      <c r="I1401">
        <v>48</v>
      </c>
      <c r="J1401">
        <v>115</v>
      </c>
      <c r="K1401" t="s">
        <v>22</v>
      </c>
      <c r="L1401" t="s">
        <v>23</v>
      </c>
      <c r="M1401" t="s">
        <v>24</v>
      </c>
      <c r="N1401">
        <v>0.56399999999999995</v>
      </c>
      <c r="O1401">
        <v>115</v>
      </c>
      <c r="P1401">
        <v>114</v>
      </c>
      <c r="Q1401" t="s">
        <v>38</v>
      </c>
      <c r="R1401">
        <v>190</v>
      </c>
      <c r="S1401">
        <v>20.975000000000001</v>
      </c>
      <c r="T1401" t="s">
        <v>52</v>
      </c>
    </row>
    <row r="1402" spans="1:20" x14ac:dyDescent="0.3">
      <c r="A1402" t="s">
        <v>31</v>
      </c>
      <c r="C1402">
        <v>75.358000000000004</v>
      </c>
      <c r="D1402">
        <v>1.9039999999999999</v>
      </c>
      <c r="E1402">
        <v>32.084000000000003</v>
      </c>
      <c r="F1402">
        <v>91.513000000000005</v>
      </c>
      <c r="G1402" t="s">
        <v>1193</v>
      </c>
      <c r="H1402">
        <v>234</v>
      </c>
      <c r="I1402">
        <v>84</v>
      </c>
      <c r="J1402">
        <v>141</v>
      </c>
      <c r="K1402" t="s">
        <v>23</v>
      </c>
      <c r="L1402" t="s">
        <v>22</v>
      </c>
      <c r="M1402" t="s">
        <v>37</v>
      </c>
      <c r="N1402">
        <v>0.48099999999999998</v>
      </c>
      <c r="O1402">
        <v>145</v>
      </c>
      <c r="P1402">
        <v>68</v>
      </c>
      <c r="Q1402" t="s">
        <v>38</v>
      </c>
      <c r="R1402">
        <v>120</v>
      </c>
      <c r="S1402">
        <v>18.347000000000001</v>
      </c>
      <c r="T1402" t="s">
        <v>26</v>
      </c>
    </row>
    <row r="1403" spans="1:20" x14ac:dyDescent="0.3">
      <c r="A1403" t="s">
        <v>31</v>
      </c>
      <c r="B1403">
        <v>68</v>
      </c>
      <c r="C1403">
        <v>107.491</v>
      </c>
      <c r="D1403">
        <v>1.976</v>
      </c>
      <c r="E1403">
        <v>29.614000000000001</v>
      </c>
      <c r="F1403">
        <v>93.15</v>
      </c>
      <c r="G1403" t="s">
        <v>1194</v>
      </c>
      <c r="H1403">
        <v>206</v>
      </c>
      <c r="I1403">
        <v>86</v>
      </c>
      <c r="J1403">
        <v>165</v>
      </c>
      <c r="K1403" t="s">
        <v>23</v>
      </c>
      <c r="L1403" t="s">
        <v>22</v>
      </c>
      <c r="M1403" t="s">
        <v>24</v>
      </c>
      <c r="N1403">
        <v>0.47099999999999997</v>
      </c>
      <c r="O1403">
        <v>136</v>
      </c>
      <c r="P1403">
        <v>115</v>
      </c>
      <c r="Q1403" t="s">
        <v>29</v>
      </c>
      <c r="R1403">
        <v>90</v>
      </c>
      <c r="S1403">
        <v>16.843</v>
      </c>
      <c r="T1403" t="s">
        <v>52</v>
      </c>
    </row>
    <row r="1404" spans="1:20" x14ac:dyDescent="0.3">
      <c r="A1404" t="s">
        <v>20</v>
      </c>
      <c r="B1404">
        <v>30</v>
      </c>
      <c r="C1404">
        <v>71.926000000000002</v>
      </c>
      <c r="D1404">
        <v>1.831</v>
      </c>
      <c r="E1404">
        <v>38.911999999999999</v>
      </c>
      <c r="F1404">
        <v>88.626999999999995</v>
      </c>
      <c r="G1404" t="s">
        <v>1195</v>
      </c>
      <c r="H1404">
        <v>218</v>
      </c>
      <c r="I1404">
        <v>64</v>
      </c>
      <c r="J1404">
        <v>83</v>
      </c>
      <c r="K1404" t="s">
        <v>23</v>
      </c>
      <c r="L1404" t="s">
        <v>23</v>
      </c>
      <c r="M1404" t="s">
        <v>28</v>
      </c>
      <c r="N1404">
        <v>0.48399999999999999</v>
      </c>
      <c r="O1404">
        <v>134</v>
      </c>
      <c r="P1404">
        <v>98</v>
      </c>
      <c r="Q1404" t="s">
        <v>29</v>
      </c>
      <c r="R1404">
        <v>124</v>
      </c>
      <c r="S1404">
        <v>20.841999999999999</v>
      </c>
      <c r="T1404" t="s">
        <v>26</v>
      </c>
    </row>
    <row r="1405" spans="1:20" x14ac:dyDescent="0.3">
      <c r="A1405" t="s">
        <v>20</v>
      </c>
      <c r="B1405">
        <v>59</v>
      </c>
      <c r="C1405">
        <v>59.642000000000003</v>
      </c>
      <c r="D1405">
        <v>1.6539999999999999</v>
      </c>
      <c r="F1405">
        <v>89.134</v>
      </c>
      <c r="G1405" t="s">
        <v>1196</v>
      </c>
      <c r="H1405">
        <v>191</v>
      </c>
      <c r="I1405">
        <v>35</v>
      </c>
      <c r="J1405">
        <v>112</v>
      </c>
      <c r="K1405" t="s">
        <v>22</v>
      </c>
      <c r="L1405" t="s">
        <v>23</v>
      </c>
      <c r="M1405" t="s">
        <v>24</v>
      </c>
      <c r="N1405">
        <v>0.53900000000000003</v>
      </c>
      <c r="O1405">
        <v>110</v>
      </c>
      <c r="P1405">
        <v>116</v>
      </c>
      <c r="Q1405" t="s">
        <v>38</v>
      </c>
      <c r="R1405">
        <v>126</v>
      </c>
      <c r="S1405">
        <v>17.045999999999999</v>
      </c>
      <c r="T1405" t="s">
        <v>30</v>
      </c>
    </row>
    <row r="1406" spans="1:20" x14ac:dyDescent="0.3">
      <c r="A1406" t="s">
        <v>31</v>
      </c>
      <c r="B1406">
        <v>40</v>
      </c>
      <c r="C1406">
        <v>71.555999999999997</v>
      </c>
      <c r="D1406">
        <v>1.7050000000000001</v>
      </c>
      <c r="E1406">
        <v>38.381</v>
      </c>
      <c r="F1406">
        <v>73.153999999999996</v>
      </c>
      <c r="G1406" t="s">
        <v>1197</v>
      </c>
      <c r="H1406">
        <v>246</v>
      </c>
      <c r="I1406">
        <v>56</v>
      </c>
      <c r="J1406">
        <v>88</v>
      </c>
      <c r="K1406" t="s">
        <v>22</v>
      </c>
      <c r="L1406" t="s">
        <v>22</v>
      </c>
      <c r="M1406" t="s">
        <v>24</v>
      </c>
      <c r="N1406">
        <v>0.42899999999999999</v>
      </c>
      <c r="O1406">
        <v>125</v>
      </c>
      <c r="P1406">
        <v>112</v>
      </c>
      <c r="Q1406" t="s">
        <v>38</v>
      </c>
      <c r="R1406">
        <v>160</v>
      </c>
      <c r="S1406">
        <v>18.846</v>
      </c>
      <c r="T1406" t="s">
        <v>26</v>
      </c>
    </row>
    <row r="1407" spans="1:20" x14ac:dyDescent="0.3">
      <c r="A1407" t="s">
        <v>31</v>
      </c>
      <c r="B1407">
        <v>55</v>
      </c>
      <c r="C1407">
        <v>88.834000000000003</v>
      </c>
      <c r="D1407">
        <v>1.665</v>
      </c>
      <c r="E1407">
        <v>27.856000000000002</v>
      </c>
      <c r="F1407">
        <v>91.37</v>
      </c>
      <c r="G1407" t="s">
        <v>1198</v>
      </c>
      <c r="H1407">
        <v>106</v>
      </c>
      <c r="J1407">
        <v>87</v>
      </c>
      <c r="K1407" t="s">
        <v>23</v>
      </c>
      <c r="L1407" t="s">
        <v>22</v>
      </c>
      <c r="M1407" t="s">
        <v>24</v>
      </c>
      <c r="O1407">
        <v>120</v>
      </c>
      <c r="P1407">
        <v>75</v>
      </c>
      <c r="Q1407" t="s">
        <v>25</v>
      </c>
      <c r="R1407">
        <v>39</v>
      </c>
      <c r="S1407">
        <v>13.691000000000001</v>
      </c>
      <c r="T1407" t="s">
        <v>26</v>
      </c>
    </row>
    <row r="1408" spans="1:20" x14ac:dyDescent="0.3">
      <c r="A1408" t="s">
        <v>31</v>
      </c>
      <c r="C1408">
        <v>74.671000000000006</v>
      </c>
      <c r="D1408">
        <v>1.982</v>
      </c>
      <c r="E1408">
        <v>26.564</v>
      </c>
      <c r="F1408">
        <v>102.538</v>
      </c>
      <c r="G1408" t="s">
        <v>491</v>
      </c>
      <c r="H1408">
        <v>160</v>
      </c>
      <c r="I1408">
        <v>88</v>
      </c>
      <c r="J1408">
        <v>126</v>
      </c>
      <c r="K1408" t="s">
        <v>22</v>
      </c>
      <c r="L1408" t="s">
        <v>22</v>
      </c>
      <c r="M1408" t="s">
        <v>28</v>
      </c>
      <c r="N1408">
        <v>0.51700000000000002</v>
      </c>
      <c r="O1408">
        <v>135</v>
      </c>
      <c r="P1408">
        <v>87</v>
      </c>
      <c r="Q1408" t="s">
        <v>29</v>
      </c>
      <c r="R1408">
        <v>42</v>
      </c>
      <c r="S1408">
        <v>15.263</v>
      </c>
      <c r="T1408" t="s">
        <v>52</v>
      </c>
    </row>
    <row r="1409" spans="1:20" x14ac:dyDescent="0.3">
      <c r="A1409" t="s">
        <v>20</v>
      </c>
      <c r="B1409">
        <v>67</v>
      </c>
      <c r="C1409">
        <v>99.519000000000005</v>
      </c>
      <c r="D1409">
        <v>1.609</v>
      </c>
      <c r="E1409">
        <v>22.722000000000001</v>
      </c>
      <c r="F1409">
        <v>111.179</v>
      </c>
      <c r="G1409" t="s">
        <v>1199</v>
      </c>
      <c r="H1409">
        <v>235</v>
      </c>
      <c r="I1409">
        <v>54</v>
      </c>
      <c r="J1409">
        <v>85</v>
      </c>
      <c r="K1409" t="s">
        <v>23</v>
      </c>
      <c r="L1409" t="s">
        <v>22</v>
      </c>
      <c r="M1409" t="s">
        <v>24</v>
      </c>
      <c r="N1409">
        <v>0.69099999999999995</v>
      </c>
      <c r="O1409">
        <v>178</v>
      </c>
      <c r="P1409">
        <v>100</v>
      </c>
      <c r="Q1409" t="s">
        <v>38</v>
      </c>
      <c r="R1409">
        <v>151</v>
      </c>
      <c r="S1409">
        <v>18.143999999999998</v>
      </c>
      <c r="T1409" t="s">
        <v>52</v>
      </c>
    </row>
    <row r="1410" spans="1:20" x14ac:dyDescent="0.3">
      <c r="A1410" t="s">
        <v>20</v>
      </c>
      <c r="B1410">
        <v>67</v>
      </c>
      <c r="C1410">
        <v>70.894999999999996</v>
      </c>
      <c r="D1410">
        <v>1.6759999999999999</v>
      </c>
      <c r="E1410">
        <v>28.332000000000001</v>
      </c>
      <c r="F1410">
        <v>114.88500000000001</v>
      </c>
      <c r="G1410" t="s">
        <v>1200</v>
      </c>
      <c r="H1410">
        <v>165</v>
      </c>
      <c r="I1410">
        <v>88</v>
      </c>
      <c r="J1410">
        <v>198</v>
      </c>
      <c r="K1410" t="s">
        <v>22</v>
      </c>
      <c r="L1410" t="s">
        <v>22</v>
      </c>
      <c r="M1410" t="s">
        <v>37</v>
      </c>
      <c r="N1410">
        <v>0.68500000000000005</v>
      </c>
      <c r="O1410">
        <v>176</v>
      </c>
      <c r="P1410">
        <v>103</v>
      </c>
      <c r="Q1410" t="s">
        <v>38</v>
      </c>
      <c r="R1410">
        <v>47</v>
      </c>
      <c r="S1410">
        <v>17.765999999999998</v>
      </c>
      <c r="T1410" t="s">
        <v>30</v>
      </c>
    </row>
    <row r="1411" spans="1:20" x14ac:dyDescent="0.3">
      <c r="A1411" t="s">
        <v>20</v>
      </c>
      <c r="C1411">
        <v>92.667000000000002</v>
      </c>
      <c r="D1411">
        <v>1.7210000000000001</v>
      </c>
      <c r="E1411">
        <v>24.405000000000001</v>
      </c>
      <c r="F1411">
        <v>95.191999999999993</v>
      </c>
      <c r="G1411" t="s">
        <v>1201</v>
      </c>
      <c r="H1411">
        <v>133</v>
      </c>
      <c r="I1411">
        <v>84</v>
      </c>
      <c r="J1411">
        <v>111</v>
      </c>
      <c r="K1411" t="s">
        <v>23</v>
      </c>
      <c r="L1411" t="s">
        <v>22</v>
      </c>
      <c r="M1411" t="s">
        <v>24</v>
      </c>
      <c r="N1411">
        <v>0.55300000000000005</v>
      </c>
      <c r="O1411">
        <v>137</v>
      </c>
      <c r="P1411">
        <v>84</v>
      </c>
      <c r="Q1411" t="s">
        <v>29</v>
      </c>
      <c r="R1411">
        <v>19</v>
      </c>
      <c r="T1411" t="s">
        <v>30</v>
      </c>
    </row>
    <row r="1412" spans="1:20" x14ac:dyDescent="0.3">
      <c r="A1412" t="s">
        <v>31</v>
      </c>
      <c r="B1412">
        <v>75</v>
      </c>
      <c r="C1412">
        <v>107.53400000000001</v>
      </c>
      <c r="D1412">
        <v>1.65</v>
      </c>
      <c r="E1412">
        <v>31.065999999999999</v>
      </c>
      <c r="F1412">
        <v>89.564999999999998</v>
      </c>
      <c r="G1412" t="s">
        <v>1086</v>
      </c>
      <c r="H1412">
        <v>118</v>
      </c>
      <c r="I1412">
        <v>50</v>
      </c>
      <c r="J1412">
        <v>131</v>
      </c>
      <c r="K1412" t="s">
        <v>23</v>
      </c>
      <c r="L1412" t="s">
        <v>22</v>
      </c>
      <c r="M1412" t="s">
        <v>37</v>
      </c>
      <c r="N1412">
        <v>0.54300000000000004</v>
      </c>
      <c r="O1412">
        <v>155</v>
      </c>
      <c r="P1412">
        <v>68</v>
      </c>
      <c r="Q1412" t="s">
        <v>38</v>
      </c>
      <c r="R1412">
        <v>38</v>
      </c>
      <c r="S1412">
        <v>16.323</v>
      </c>
      <c r="T1412" t="s">
        <v>26</v>
      </c>
    </row>
    <row r="1413" spans="1:20" x14ac:dyDescent="0.3">
      <c r="A1413" t="s">
        <v>20</v>
      </c>
      <c r="B1413">
        <v>44</v>
      </c>
      <c r="C1413">
        <v>112.97799999999999</v>
      </c>
      <c r="D1413">
        <v>1.5069999999999999</v>
      </c>
      <c r="E1413">
        <v>36.380000000000003</v>
      </c>
      <c r="F1413">
        <v>118.586</v>
      </c>
      <c r="G1413" t="s">
        <v>1202</v>
      </c>
      <c r="H1413">
        <v>168</v>
      </c>
      <c r="I1413">
        <v>61</v>
      </c>
      <c r="J1413">
        <v>170</v>
      </c>
      <c r="K1413" t="s">
        <v>22</v>
      </c>
      <c r="L1413" t="s">
        <v>22</v>
      </c>
      <c r="M1413" t="s">
        <v>37</v>
      </c>
      <c r="N1413">
        <v>0.78700000000000003</v>
      </c>
      <c r="O1413">
        <v>142</v>
      </c>
      <c r="P1413">
        <v>101</v>
      </c>
      <c r="Q1413" t="s">
        <v>38</v>
      </c>
      <c r="R1413">
        <v>77</v>
      </c>
      <c r="S1413">
        <v>17.736000000000001</v>
      </c>
      <c r="T1413" t="s">
        <v>30</v>
      </c>
    </row>
    <row r="1414" spans="1:20" x14ac:dyDescent="0.3">
      <c r="A1414" t="s">
        <v>20</v>
      </c>
      <c r="B1414">
        <v>62</v>
      </c>
      <c r="C1414">
        <v>112.81399999999999</v>
      </c>
      <c r="D1414">
        <v>1.7270000000000001</v>
      </c>
      <c r="E1414">
        <v>35.835000000000001</v>
      </c>
      <c r="F1414">
        <v>70.332999999999998</v>
      </c>
      <c r="G1414" t="s">
        <v>1203</v>
      </c>
      <c r="H1414">
        <v>225</v>
      </c>
      <c r="I1414">
        <v>87</v>
      </c>
      <c r="K1414" t="s">
        <v>22</v>
      </c>
      <c r="L1414" t="s">
        <v>22</v>
      </c>
      <c r="M1414" t="s">
        <v>24</v>
      </c>
      <c r="N1414">
        <v>0.40699999999999997</v>
      </c>
      <c r="O1414">
        <v>178</v>
      </c>
      <c r="P1414">
        <v>73</v>
      </c>
      <c r="Q1414" t="s">
        <v>38</v>
      </c>
      <c r="R1414">
        <v>108</v>
      </c>
      <c r="S1414">
        <v>20.567</v>
      </c>
      <c r="T1414" t="s">
        <v>30</v>
      </c>
    </row>
    <row r="1415" spans="1:20" x14ac:dyDescent="0.3">
      <c r="A1415" t="s">
        <v>20</v>
      </c>
      <c r="B1415">
        <v>45</v>
      </c>
      <c r="D1415">
        <v>1.6160000000000001</v>
      </c>
      <c r="E1415">
        <v>39.633000000000003</v>
      </c>
      <c r="F1415">
        <v>109.352</v>
      </c>
      <c r="G1415" t="s">
        <v>987</v>
      </c>
      <c r="H1415">
        <v>256</v>
      </c>
      <c r="I1415">
        <v>75</v>
      </c>
      <c r="J1415">
        <v>160</v>
      </c>
      <c r="K1415" t="s">
        <v>22</v>
      </c>
      <c r="L1415" t="s">
        <v>23</v>
      </c>
      <c r="M1415" t="s">
        <v>28</v>
      </c>
      <c r="N1415">
        <v>0.67700000000000005</v>
      </c>
      <c r="O1415">
        <v>175</v>
      </c>
      <c r="P1415">
        <v>98</v>
      </c>
      <c r="Q1415" t="s">
        <v>38</v>
      </c>
      <c r="R1415">
        <v>151</v>
      </c>
      <c r="S1415">
        <v>23.797000000000001</v>
      </c>
      <c r="T1415" t="s">
        <v>52</v>
      </c>
    </row>
    <row r="1416" spans="1:20" x14ac:dyDescent="0.3">
      <c r="A1416" t="s">
        <v>31</v>
      </c>
      <c r="B1416">
        <v>50</v>
      </c>
      <c r="C1416">
        <v>71.126999999999995</v>
      </c>
      <c r="D1416">
        <v>1.754</v>
      </c>
      <c r="E1416">
        <v>31.042000000000002</v>
      </c>
      <c r="F1416">
        <v>112.11199999999999</v>
      </c>
      <c r="G1416" t="s">
        <v>1204</v>
      </c>
      <c r="H1416">
        <v>170</v>
      </c>
      <c r="I1416">
        <v>89</v>
      </c>
      <c r="J1416">
        <v>175</v>
      </c>
      <c r="K1416" t="s">
        <v>23</v>
      </c>
      <c r="L1416" t="s">
        <v>22</v>
      </c>
      <c r="M1416" t="s">
        <v>24</v>
      </c>
      <c r="N1416">
        <v>0.63900000000000001</v>
      </c>
      <c r="O1416">
        <v>154</v>
      </c>
      <c r="P1416">
        <v>99</v>
      </c>
      <c r="Q1416" t="s">
        <v>38</v>
      </c>
      <c r="R1416">
        <v>51</v>
      </c>
      <c r="S1416">
        <v>17.308</v>
      </c>
      <c r="T1416" t="s">
        <v>52</v>
      </c>
    </row>
    <row r="1417" spans="1:20" x14ac:dyDescent="0.3">
      <c r="A1417" t="s">
        <v>31</v>
      </c>
      <c r="B1417">
        <v>43</v>
      </c>
      <c r="C1417">
        <v>107.21899999999999</v>
      </c>
      <c r="D1417">
        <v>1.5760000000000001</v>
      </c>
      <c r="E1417">
        <v>22.565000000000001</v>
      </c>
      <c r="F1417">
        <v>107.586</v>
      </c>
      <c r="G1417" t="s">
        <v>448</v>
      </c>
      <c r="H1417">
        <v>210</v>
      </c>
      <c r="I1417">
        <v>70</v>
      </c>
      <c r="J1417">
        <v>81</v>
      </c>
      <c r="K1417" t="s">
        <v>23</v>
      </c>
      <c r="L1417" t="s">
        <v>22</v>
      </c>
      <c r="M1417" t="s">
        <v>28</v>
      </c>
      <c r="N1417">
        <v>0.68300000000000005</v>
      </c>
      <c r="O1417">
        <v>112</v>
      </c>
      <c r="P1417">
        <v>71</v>
      </c>
      <c r="Q1417" t="s">
        <v>33</v>
      </c>
      <c r="R1417">
        <v>110</v>
      </c>
      <c r="S1417">
        <v>14.313000000000001</v>
      </c>
      <c r="T1417" t="s">
        <v>52</v>
      </c>
    </row>
    <row r="1418" spans="1:20" x14ac:dyDescent="0.3">
      <c r="A1418" t="s">
        <v>31</v>
      </c>
      <c r="B1418">
        <v>47</v>
      </c>
      <c r="C1418">
        <v>62.204000000000001</v>
      </c>
      <c r="D1418">
        <v>1.887</v>
      </c>
      <c r="E1418">
        <v>38.322000000000003</v>
      </c>
      <c r="F1418">
        <v>108.822</v>
      </c>
      <c r="G1418" t="s">
        <v>459</v>
      </c>
      <c r="H1418">
        <v>164</v>
      </c>
      <c r="I1418">
        <v>76</v>
      </c>
      <c r="J1418">
        <v>148</v>
      </c>
      <c r="K1418" t="s">
        <v>22</v>
      </c>
      <c r="L1418" t="s">
        <v>22</v>
      </c>
      <c r="M1418" t="s">
        <v>24</v>
      </c>
      <c r="N1418">
        <v>0.57699999999999996</v>
      </c>
      <c r="O1418">
        <v>113</v>
      </c>
      <c r="P1418">
        <v>79</v>
      </c>
      <c r="Q1418" t="s">
        <v>33</v>
      </c>
      <c r="R1418">
        <v>58</v>
      </c>
      <c r="S1418">
        <v>16.594000000000001</v>
      </c>
      <c r="T1418" t="s">
        <v>26</v>
      </c>
    </row>
    <row r="1419" spans="1:20" x14ac:dyDescent="0.3">
      <c r="A1419" t="s">
        <v>31</v>
      </c>
      <c r="B1419">
        <v>57</v>
      </c>
      <c r="C1419">
        <v>116.77200000000001</v>
      </c>
      <c r="D1419">
        <v>1.569</v>
      </c>
      <c r="E1419">
        <v>34.125999999999998</v>
      </c>
      <c r="F1419">
        <v>90.736999999999995</v>
      </c>
      <c r="G1419" t="s">
        <v>984</v>
      </c>
      <c r="H1419">
        <v>254</v>
      </c>
      <c r="I1419">
        <v>60</v>
      </c>
      <c r="J1419">
        <v>177</v>
      </c>
      <c r="K1419" t="s">
        <v>22</v>
      </c>
      <c r="L1419" t="s">
        <v>22</v>
      </c>
      <c r="M1419" t="s">
        <v>24</v>
      </c>
      <c r="N1419">
        <v>0.57799999999999996</v>
      </c>
      <c r="O1419">
        <v>117</v>
      </c>
      <c r="P1419">
        <v>116</v>
      </c>
      <c r="Q1419" t="s">
        <v>38</v>
      </c>
      <c r="R1419">
        <v>164</v>
      </c>
      <c r="S1419">
        <v>17.754999999999999</v>
      </c>
      <c r="T1419" t="s">
        <v>30</v>
      </c>
    </row>
    <row r="1420" spans="1:20" x14ac:dyDescent="0.3">
      <c r="A1420" t="s">
        <v>20</v>
      </c>
      <c r="C1420">
        <v>80.421000000000006</v>
      </c>
      <c r="D1420">
        <v>1.53</v>
      </c>
      <c r="E1420">
        <v>26.79</v>
      </c>
      <c r="F1420">
        <v>73.218000000000004</v>
      </c>
      <c r="G1420" t="s">
        <v>607</v>
      </c>
      <c r="H1420">
        <v>239</v>
      </c>
      <c r="I1420">
        <v>73</v>
      </c>
      <c r="J1420">
        <v>96</v>
      </c>
      <c r="K1420" t="s">
        <v>23</v>
      </c>
      <c r="L1420" t="s">
        <v>23</v>
      </c>
      <c r="M1420" t="s">
        <v>28</v>
      </c>
      <c r="N1420">
        <v>0.47899999999999998</v>
      </c>
      <c r="O1420">
        <v>113</v>
      </c>
      <c r="P1420">
        <v>77</v>
      </c>
      <c r="Q1420" t="s">
        <v>33</v>
      </c>
      <c r="R1420">
        <v>136</v>
      </c>
      <c r="S1420">
        <v>17.788</v>
      </c>
      <c r="T1420" t="s">
        <v>52</v>
      </c>
    </row>
    <row r="1421" spans="1:20" x14ac:dyDescent="0.3">
      <c r="A1421" t="s">
        <v>20</v>
      </c>
      <c r="B1421">
        <v>30</v>
      </c>
      <c r="C1421">
        <v>60.472000000000001</v>
      </c>
      <c r="D1421">
        <v>1.601</v>
      </c>
      <c r="E1421">
        <v>31.989000000000001</v>
      </c>
      <c r="F1421">
        <v>93.816999999999993</v>
      </c>
      <c r="G1421" t="s">
        <v>1205</v>
      </c>
      <c r="H1421">
        <v>293</v>
      </c>
      <c r="I1421">
        <v>88</v>
      </c>
      <c r="J1421">
        <v>104</v>
      </c>
      <c r="K1421" t="s">
        <v>23</v>
      </c>
      <c r="L1421" t="s">
        <v>23</v>
      </c>
      <c r="M1421" t="s">
        <v>28</v>
      </c>
      <c r="N1421">
        <v>0.58599999999999997</v>
      </c>
      <c r="O1421">
        <v>151</v>
      </c>
      <c r="P1421">
        <v>101</v>
      </c>
      <c r="Q1421" t="s">
        <v>38</v>
      </c>
      <c r="R1421">
        <v>175</v>
      </c>
      <c r="S1421">
        <v>21.808</v>
      </c>
      <c r="T1421" t="s">
        <v>30</v>
      </c>
    </row>
    <row r="1422" spans="1:20" x14ac:dyDescent="0.3">
      <c r="A1422" t="s">
        <v>31</v>
      </c>
      <c r="B1422">
        <v>79</v>
      </c>
      <c r="C1422">
        <v>118.544</v>
      </c>
      <c r="D1422">
        <v>1.591</v>
      </c>
      <c r="E1422">
        <v>27.881</v>
      </c>
      <c r="F1422">
        <v>91.388000000000005</v>
      </c>
      <c r="G1422" t="s">
        <v>1206</v>
      </c>
      <c r="H1422">
        <v>215</v>
      </c>
      <c r="I1422">
        <v>36</v>
      </c>
      <c r="J1422">
        <v>115</v>
      </c>
      <c r="K1422" t="s">
        <v>23</v>
      </c>
      <c r="L1422" t="s">
        <v>23</v>
      </c>
      <c r="M1422" t="s">
        <v>37</v>
      </c>
      <c r="N1422">
        <v>0.57399999999999995</v>
      </c>
      <c r="O1422">
        <v>179</v>
      </c>
      <c r="P1422">
        <v>74</v>
      </c>
      <c r="Q1422" t="s">
        <v>38</v>
      </c>
      <c r="R1422">
        <v>149</v>
      </c>
      <c r="S1422">
        <v>20.826000000000001</v>
      </c>
      <c r="T1422" t="s">
        <v>52</v>
      </c>
    </row>
    <row r="1423" spans="1:20" x14ac:dyDescent="0.3">
      <c r="A1423" t="s">
        <v>31</v>
      </c>
      <c r="B1423">
        <v>55</v>
      </c>
      <c r="C1423">
        <v>60.109000000000002</v>
      </c>
      <c r="D1423">
        <v>1.9330000000000001</v>
      </c>
      <c r="E1423">
        <v>26.309000000000001</v>
      </c>
      <c r="F1423">
        <v>72.233999999999995</v>
      </c>
      <c r="G1423" t="s">
        <v>1207</v>
      </c>
      <c r="H1423">
        <v>110</v>
      </c>
      <c r="I1423">
        <v>72</v>
      </c>
      <c r="J1423">
        <v>150</v>
      </c>
      <c r="K1423" t="s">
        <v>23</v>
      </c>
      <c r="L1423" t="s">
        <v>22</v>
      </c>
      <c r="M1423" t="s">
        <v>37</v>
      </c>
      <c r="O1423">
        <v>177</v>
      </c>
      <c r="P1423">
        <v>107</v>
      </c>
      <c r="Q1423" t="s">
        <v>38</v>
      </c>
      <c r="R1423">
        <v>8</v>
      </c>
      <c r="S1423">
        <v>16.312000000000001</v>
      </c>
      <c r="T1423" t="s">
        <v>26</v>
      </c>
    </row>
    <row r="1424" spans="1:20" x14ac:dyDescent="0.3">
      <c r="A1424" t="s">
        <v>31</v>
      </c>
      <c r="B1424">
        <v>28</v>
      </c>
      <c r="C1424">
        <v>60.411000000000001</v>
      </c>
      <c r="D1424">
        <v>1.762</v>
      </c>
      <c r="E1424">
        <v>19.332999999999998</v>
      </c>
      <c r="F1424">
        <v>77.022000000000006</v>
      </c>
      <c r="G1424" t="s">
        <v>1208</v>
      </c>
      <c r="H1424">
        <v>132</v>
      </c>
      <c r="I1424">
        <v>55</v>
      </c>
      <c r="J1424">
        <v>168</v>
      </c>
      <c r="K1424" t="s">
        <v>23</v>
      </c>
      <c r="L1424" t="s">
        <v>22</v>
      </c>
      <c r="M1424" t="s">
        <v>24</v>
      </c>
      <c r="N1424">
        <v>0.437</v>
      </c>
      <c r="O1424">
        <v>128</v>
      </c>
      <c r="P1424">
        <v>110</v>
      </c>
      <c r="Q1424" t="s">
        <v>38</v>
      </c>
      <c r="R1424">
        <v>47</v>
      </c>
      <c r="S1424">
        <v>12.907</v>
      </c>
      <c r="T1424" t="s">
        <v>30</v>
      </c>
    </row>
    <row r="1425" spans="1:20" x14ac:dyDescent="0.3">
      <c r="A1425" t="s">
        <v>20</v>
      </c>
      <c r="B1425">
        <v>75</v>
      </c>
      <c r="C1425">
        <v>73.453000000000003</v>
      </c>
      <c r="D1425">
        <v>1.8959999999999999</v>
      </c>
      <c r="E1425">
        <v>23.978999999999999</v>
      </c>
      <c r="F1425">
        <v>93.376999999999995</v>
      </c>
      <c r="G1425" t="s">
        <v>1209</v>
      </c>
      <c r="H1425">
        <v>275</v>
      </c>
      <c r="J1425">
        <v>74</v>
      </c>
      <c r="K1425" t="s">
        <v>22</v>
      </c>
      <c r="L1425" t="s">
        <v>22</v>
      </c>
      <c r="M1425" t="s">
        <v>37</v>
      </c>
      <c r="N1425">
        <v>0.49299999999999999</v>
      </c>
      <c r="O1425">
        <v>166</v>
      </c>
      <c r="P1425">
        <v>111</v>
      </c>
      <c r="Q1425" t="s">
        <v>38</v>
      </c>
      <c r="R1425">
        <v>208</v>
      </c>
      <c r="S1425">
        <v>18.596</v>
      </c>
      <c r="T1425" t="s">
        <v>30</v>
      </c>
    </row>
    <row r="1426" spans="1:20" x14ac:dyDescent="0.3">
      <c r="A1426" t="s">
        <v>20</v>
      </c>
      <c r="B1426">
        <v>26</v>
      </c>
      <c r="C1426">
        <v>50.716999999999999</v>
      </c>
      <c r="D1426">
        <v>1.8360000000000001</v>
      </c>
      <c r="E1426">
        <v>35.741999999999997</v>
      </c>
      <c r="G1426" t="s">
        <v>1210</v>
      </c>
      <c r="H1426">
        <v>260</v>
      </c>
      <c r="I1426">
        <v>82</v>
      </c>
      <c r="J1426">
        <v>124</v>
      </c>
      <c r="K1426" t="s">
        <v>23</v>
      </c>
      <c r="L1426" t="s">
        <v>22</v>
      </c>
      <c r="M1426" t="s">
        <v>28</v>
      </c>
      <c r="N1426">
        <v>0.64600000000000002</v>
      </c>
      <c r="O1426">
        <v>159</v>
      </c>
      <c r="P1426">
        <v>81</v>
      </c>
      <c r="Q1426" t="s">
        <v>29</v>
      </c>
      <c r="R1426">
        <v>148</v>
      </c>
      <c r="S1426">
        <v>20.297999999999998</v>
      </c>
      <c r="T1426" t="s">
        <v>30</v>
      </c>
    </row>
    <row r="1427" spans="1:20" x14ac:dyDescent="0.3">
      <c r="A1427" t="s">
        <v>20</v>
      </c>
      <c r="B1427">
        <v>47</v>
      </c>
      <c r="C1427">
        <v>115.197</v>
      </c>
      <c r="E1427">
        <v>18.724</v>
      </c>
      <c r="F1427">
        <v>116.8</v>
      </c>
      <c r="G1427" t="s">
        <v>538</v>
      </c>
      <c r="H1427">
        <v>203</v>
      </c>
      <c r="I1427">
        <v>45</v>
      </c>
      <c r="J1427">
        <v>123</v>
      </c>
      <c r="K1427" t="s">
        <v>22</v>
      </c>
      <c r="L1427" t="s">
        <v>23</v>
      </c>
      <c r="M1427" t="s">
        <v>37</v>
      </c>
      <c r="N1427">
        <v>0.63500000000000001</v>
      </c>
      <c r="O1427">
        <v>102</v>
      </c>
      <c r="Q1427" t="s">
        <v>29</v>
      </c>
      <c r="R1427">
        <v>128</v>
      </c>
      <c r="S1427">
        <v>14.904999999999999</v>
      </c>
      <c r="T1427" t="s">
        <v>52</v>
      </c>
    </row>
    <row r="1428" spans="1:20" x14ac:dyDescent="0.3">
      <c r="A1428" t="s">
        <v>20</v>
      </c>
      <c r="B1428">
        <v>62</v>
      </c>
      <c r="C1428">
        <v>103.37</v>
      </c>
      <c r="D1428">
        <v>1.571</v>
      </c>
      <c r="E1428">
        <v>37.728000000000002</v>
      </c>
      <c r="F1428">
        <v>94.123999999999995</v>
      </c>
      <c r="G1428" t="s">
        <v>1211</v>
      </c>
      <c r="H1428">
        <v>273</v>
      </c>
      <c r="I1428">
        <v>38</v>
      </c>
      <c r="J1428">
        <v>177</v>
      </c>
      <c r="K1428" t="s">
        <v>23</v>
      </c>
      <c r="L1428" t="s">
        <v>23</v>
      </c>
      <c r="M1428" t="s">
        <v>37</v>
      </c>
      <c r="N1428">
        <v>0.59899999999999998</v>
      </c>
      <c r="O1428">
        <v>134</v>
      </c>
      <c r="P1428">
        <v>110</v>
      </c>
      <c r="Q1428" t="s">
        <v>29</v>
      </c>
      <c r="R1428">
        <v>205</v>
      </c>
      <c r="S1428">
        <v>21.706</v>
      </c>
      <c r="T1428" t="s">
        <v>52</v>
      </c>
    </row>
    <row r="1429" spans="1:20" x14ac:dyDescent="0.3">
      <c r="A1429" t="s">
        <v>31</v>
      </c>
      <c r="B1429">
        <v>64</v>
      </c>
      <c r="D1429">
        <v>1.899</v>
      </c>
      <c r="E1429">
        <v>20.602</v>
      </c>
      <c r="F1429">
        <v>80.350999999999999</v>
      </c>
      <c r="G1429" t="s">
        <v>1212</v>
      </c>
      <c r="H1429">
        <v>296</v>
      </c>
      <c r="I1429">
        <v>83</v>
      </c>
      <c r="J1429">
        <v>139</v>
      </c>
      <c r="K1429" t="s">
        <v>23</v>
      </c>
      <c r="L1429" t="s">
        <v>22</v>
      </c>
      <c r="M1429" t="s">
        <v>37</v>
      </c>
      <c r="N1429">
        <v>0.42299999999999999</v>
      </c>
      <c r="O1429">
        <v>144</v>
      </c>
      <c r="P1429">
        <v>77</v>
      </c>
      <c r="Q1429" t="s">
        <v>38</v>
      </c>
      <c r="R1429">
        <v>183</v>
      </c>
      <c r="S1429">
        <v>17.239999999999998</v>
      </c>
      <c r="T1429" t="s">
        <v>26</v>
      </c>
    </row>
    <row r="1430" spans="1:20" x14ac:dyDescent="0.3">
      <c r="A1430" t="s">
        <v>31</v>
      </c>
      <c r="B1430">
        <v>50</v>
      </c>
      <c r="C1430">
        <v>50.427999999999997</v>
      </c>
      <c r="D1430">
        <v>1.7629999999999999</v>
      </c>
      <c r="E1430">
        <v>36.606999999999999</v>
      </c>
      <c r="F1430">
        <v>74.566999999999993</v>
      </c>
      <c r="G1430" t="s">
        <v>1213</v>
      </c>
      <c r="H1430">
        <v>255</v>
      </c>
      <c r="I1430">
        <v>35</v>
      </c>
      <c r="J1430">
        <v>107</v>
      </c>
      <c r="K1430" t="s">
        <v>22</v>
      </c>
      <c r="L1430" t="s">
        <v>22</v>
      </c>
      <c r="M1430" t="s">
        <v>37</v>
      </c>
      <c r="N1430">
        <v>0.42299999999999999</v>
      </c>
      <c r="O1430">
        <v>172</v>
      </c>
      <c r="P1430">
        <v>111</v>
      </c>
      <c r="Q1430" t="s">
        <v>38</v>
      </c>
      <c r="R1430">
        <v>190</v>
      </c>
      <c r="S1430">
        <v>21.021000000000001</v>
      </c>
      <c r="T1430" t="s">
        <v>52</v>
      </c>
    </row>
    <row r="1431" spans="1:20" x14ac:dyDescent="0.3">
      <c r="A1431" t="s">
        <v>31</v>
      </c>
      <c r="B1431">
        <v>67</v>
      </c>
      <c r="C1431">
        <v>70.423000000000002</v>
      </c>
      <c r="D1431">
        <v>1.7829999999999999</v>
      </c>
      <c r="E1431">
        <v>19.995000000000001</v>
      </c>
      <c r="F1431">
        <v>95.591999999999999</v>
      </c>
      <c r="G1431" t="s">
        <v>1214</v>
      </c>
      <c r="H1431">
        <v>226</v>
      </c>
      <c r="I1431">
        <v>72</v>
      </c>
      <c r="J1431">
        <v>136</v>
      </c>
      <c r="K1431" t="s">
        <v>23</v>
      </c>
      <c r="L1431" t="s">
        <v>23</v>
      </c>
      <c r="M1431" t="s">
        <v>37</v>
      </c>
      <c r="N1431">
        <v>0.53600000000000003</v>
      </c>
      <c r="O1431">
        <v>175</v>
      </c>
      <c r="P1431">
        <v>107</v>
      </c>
      <c r="Q1431" t="s">
        <v>38</v>
      </c>
      <c r="R1431">
        <v>124</v>
      </c>
      <c r="S1431">
        <v>19.268999999999998</v>
      </c>
      <c r="T1431" t="s">
        <v>52</v>
      </c>
    </row>
    <row r="1432" spans="1:20" x14ac:dyDescent="0.3">
      <c r="A1432" t="s">
        <v>31</v>
      </c>
      <c r="B1432">
        <v>57</v>
      </c>
      <c r="C1432">
        <v>51.844999999999999</v>
      </c>
      <c r="D1432">
        <v>1.7549999999999999</v>
      </c>
      <c r="E1432">
        <v>23.094000000000001</v>
      </c>
      <c r="F1432">
        <v>112.218</v>
      </c>
      <c r="G1432" t="s">
        <v>1215</v>
      </c>
      <c r="H1432">
        <v>211</v>
      </c>
      <c r="I1432">
        <v>30</v>
      </c>
      <c r="J1432">
        <v>79</v>
      </c>
      <c r="K1432" t="s">
        <v>23</v>
      </c>
      <c r="L1432" t="s">
        <v>23</v>
      </c>
      <c r="M1432" t="s">
        <v>28</v>
      </c>
      <c r="N1432">
        <v>0.63900000000000001</v>
      </c>
      <c r="O1432">
        <v>164</v>
      </c>
      <c r="P1432">
        <v>78</v>
      </c>
      <c r="Q1432" t="s">
        <v>38</v>
      </c>
      <c r="R1432">
        <v>151</v>
      </c>
      <c r="S1432">
        <v>19.039000000000001</v>
      </c>
      <c r="T1432" t="s">
        <v>26</v>
      </c>
    </row>
    <row r="1433" spans="1:20" x14ac:dyDescent="0.3">
      <c r="A1433" t="s">
        <v>31</v>
      </c>
      <c r="B1433">
        <v>77</v>
      </c>
      <c r="C1433">
        <v>79.807000000000002</v>
      </c>
      <c r="D1433">
        <v>1.5449999999999999</v>
      </c>
      <c r="E1433">
        <v>38.128</v>
      </c>
      <c r="G1433" t="s">
        <v>152</v>
      </c>
      <c r="H1433">
        <v>201</v>
      </c>
      <c r="I1433">
        <v>44</v>
      </c>
      <c r="J1433">
        <v>147</v>
      </c>
      <c r="K1433" t="s">
        <v>22</v>
      </c>
      <c r="L1433" t="s">
        <v>23</v>
      </c>
      <c r="M1433" t="s">
        <v>28</v>
      </c>
      <c r="N1433">
        <v>0.47199999999999998</v>
      </c>
      <c r="O1433">
        <v>128</v>
      </c>
      <c r="P1433">
        <v>91</v>
      </c>
      <c r="Q1433" t="s">
        <v>38</v>
      </c>
      <c r="R1433">
        <v>127</v>
      </c>
      <c r="T1433" t="s">
        <v>52</v>
      </c>
    </row>
    <row r="1434" spans="1:20" x14ac:dyDescent="0.3">
      <c r="A1434" t="s">
        <v>31</v>
      </c>
      <c r="B1434">
        <v>69</v>
      </c>
      <c r="C1434">
        <v>59.683999999999997</v>
      </c>
      <c r="D1434">
        <v>1.94</v>
      </c>
      <c r="E1434">
        <v>23.914000000000001</v>
      </c>
      <c r="F1434">
        <v>117.986</v>
      </c>
      <c r="G1434" t="s">
        <v>1216</v>
      </c>
      <c r="H1434">
        <v>206</v>
      </c>
      <c r="I1434">
        <v>42</v>
      </c>
      <c r="J1434">
        <v>140</v>
      </c>
      <c r="K1434" t="s">
        <v>23</v>
      </c>
      <c r="L1434" t="s">
        <v>23</v>
      </c>
      <c r="M1434" t="s">
        <v>28</v>
      </c>
      <c r="N1434">
        <v>0.60799999999999998</v>
      </c>
      <c r="O1434">
        <v>106</v>
      </c>
      <c r="P1434">
        <v>115</v>
      </c>
      <c r="Q1434" t="s">
        <v>38</v>
      </c>
      <c r="R1434">
        <v>134</v>
      </c>
      <c r="S1434">
        <v>16.202999999999999</v>
      </c>
      <c r="T1434" t="s">
        <v>30</v>
      </c>
    </row>
    <row r="1435" spans="1:20" x14ac:dyDescent="0.3">
      <c r="A1435" t="s">
        <v>31</v>
      </c>
      <c r="C1435">
        <v>69.769000000000005</v>
      </c>
      <c r="D1435">
        <v>1.696</v>
      </c>
      <c r="E1435">
        <v>22.06</v>
      </c>
      <c r="F1435">
        <v>74.183999999999997</v>
      </c>
      <c r="G1435" t="s">
        <v>1217</v>
      </c>
      <c r="H1435">
        <v>197</v>
      </c>
      <c r="I1435">
        <v>65</v>
      </c>
      <c r="J1435">
        <v>151</v>
      </c>
      <c r="K1435" t="s">
        <v>23</v>
      </c>
      <c r="L1435" t="s">
        <v>22</v>
      </c>
      <c r="M1435" t="s">
        <v>24</v>
      </c>
      <c r="N1435">
        <v>0.438</v>
      </c>
      <c r="O1435">
        <v>120</v>
      </c>
      <c r="P1435">
        <v>76</v>
      </c>
      <c r="Q1435" t="s">
        <v>25</v>
      </c>
      <c r="S1435">
        <v>14.352</v>
      </c>
      <c r="T1435" t="s">
        <v>26</v>
      </c>
    </row>
    <row r="1436" spans="1:20" x14ac:dyDescent="0.3">
      <c r="A1436" t="s">
        <v>31</v>
      </c>
      <c r="B1436">
        <v>51</v>
      </c>
      <c r="D1436">
        <v>1.917</v>
      </c>
      <c r="E1436">
        <v>26.257000000000001</v>
      </c>
      <c r="F1436">
        <v>99.63</v>
      </c>
      <c r="G1436" t="s">
        <v>1218</v>
      </c>
      <c r="H1436">
        <v>157</v>
      </c>
      <c r="I1436">
        <v>62</v>
      </c>
      <c r="J1436">
        <v>168</v>
      </c>
      <c r="K1436" t="s">
        <v>22</v>
      </c>
      <c r="L1436" t="s">
        <v>23</v>
      </c>
      <c r="M1436" t="s">
        <v>24</v>
      </c>
      <c r="N1436">
        <v>0.52</v>
      </c>
      <c r="O1436">
        <v>173</v>
      </c>
      <c r="P1436">
        <v>70</v>
      </c>
      <c r="Q1436" t="s">
        <v>38</v>
      </c>
      <c r="R1436">
        <v>65</v>
      </c>
      <c r="S1436">
        <v>19.041</v>
      </c>
      <c r="T1436" t="s">
        <v>26</v>
      </c>
    </row>
    <row r="1437" spans="1:20" x14ac:dyDescent="0.3">
      <c r="A1437" t="s">
        <v>20</v>
      </c>
      <c r="B1437">
        <v>31</v>
      </c>
      <c r="C1437">
        <v>95.747</v>
      </c>
      <c r="D1437">
        <v>1.758</v>
      </c>
      <c r="E1437">
        <v>26.721</v>
      </c>
      <c r="F1437">
        <v>74.381</v>
      </c>
      <c r="G1437" t="s">
        <v>1219</v>
      </c>
      <c r="H1437">
        <v>161</v>
      </c>
      <c r="I1437">
        <v>74</v>
      </c>
      <c r="J1437">
        <v>187</v>
      </c>
      <c r="K1437" t="s">
        <v>23</v>
      </c>
      <c r="L1437" t="s">
        <v>23</v>
      </c>
      <c r="M1437" t="s">
        <v>28</v>
      </c>
      <c r="N1437">
        <v>0.42299999999999999</v>
      </c>
      <c r="O1437">
        <v>121</v>
      </c>
      <c r="P1437">
        <v>96</v>
      </c>
      <c r="Q1437" t="s">
        <v>38</v>
      </c>
      <c r="R1437">
        <v>57</v>
      </c>
      <c r="S1437">
        <v>16.614000000000001</v>
      </c>
      <c r="T1437" t="s">
        <v>26</v>
      </c>
    </row>
    <row r="1438" spans="1:20" x14ac:dyDescent="0.3">
      <c r="A1438" t="s">
        <v>31</v>
      </c>
      <c r="B1438">
        <v>62</v>
      </c>
      <c r="C1438">
        <v>89.04</v>
      </c>
      <c r="D1438">
        <v>1.57</v>
      </c>
      <c r="E1438">
        <v>37.698999999999998</v>
      </c>
      <c r="F1438">
        <v>72.102000000000004</v>
      </c>
      <c r="G1438" t="s">
        <v>1220</v>
      </c>
      <c r="H1438">
        <v>214</v>
      </c>
      <c r="I1438">
        <v>81</v>
      </c>
      <c r="J1438">
        <v>73</v>
      </c>
      <c r="K1438" t="s">
        <v>23</v>
      </c>
      <c r="L1438" t="s">
        <v>23</v>
      </c>
      <c r="M1438" t="s">
        <v>28</v>
      </c>
      <c r="N1438">
        <v>0.45900000000000002</v>
      </c>
      <c r="O1438">
        <v>124</v>
      </c>
      <c r="P1438">
        <v>102</v>
      </c>
      <c r="Q1438" t="s">
        <v>38</v>
      </c>
      <c r="S1438">
        <v>20.02</v>
      </c>
      <c r="T1438" t="s">
        <v>30</v>
      </c>
    </row>
    <row r="1439" spans="1:20" x14ac:dyDescent="0.3">
      <c r="A1439" t="s">
        <v>31</v>
      </c>
      <c r="B1439">
        <v>62</v>
      </c>
      <c r="C1439">
        <v>71.14</v>
      </c>
      <c r="D1439">
        <v>1.9650000000000001</v>
      </c>
      <c r="E1439">
        <v>36.601999999999997</v>
      </c>
      <c r="F1439">
        <v>107.11</v>
      </c>
      <c r="G1439" t="s">
        <v>1221</v>
      </c>
      <c r="H1439">
        <v>209</v>
      </c>
      <c r="I1439">
        <v>39</v>
      </c>
      <c r="J1439">
        <v>113</v>
      </c>
      <c r="K1439" t="s">
        <v>22</v>
      </c>
      <c r="L1439" t="s">
        <v>22</v>
      </c>
      <c r="M1439" t="s">
        <v>28</v>
      </c>
      <c r="N1439">
        <v>0.54500000000000004</v>
      </c>
      <c r="O1439">
        <v>178</v>
      </c>
      <c r="P1439">
        <v>81</v>
      </c>
      <c r="Q1439" t="s">
        <v>29</v>
      </c>
      <c r="R1439">
        <v>140</v>
      </c>
      <c r="S1439">
        <v>20.399999999999999</v>
      </c>
      <c r="T1439" t="s">
        <v>26</v>
      </c>
    </row>
    <row r="1440" spans="1:20" x14ac:dyDescent="0.3">
      <c r="A1440" t="s">
        <v>31</v>
      </c>
      <c r="B1440">
        <v>55</v>
      </c>
      <c r="C1440">
        <v>73.143000000000001</v>
      </c>
      <c r="D1440">
        <v>1.9259999999999999</v>
      </c>
      <c r="E1440">
        <v>23.826000000000001</v>
      </c>
      <c r="F1440">
        <v>105.997</v>
      </c>
      <c r="G1440" t="s">
        <v>49</v>
      </c>
      <c r="H1440">
        <v>298</v>
      </c>
      <c r="I1440">
        <v>65</v>
      </c>
      <c r="J1440">
        <v>133</v>
      </c>
      <c r="K1440" t="s">
        <v>22</v>
      </c>
      <c r="L1440" t="s">
        <v>23</v>
      </c>
      <c r="M1440" t="s">
        <v>28</v>
      </c>
      <c r="N1440">
        <v>0.55000000000000004</v>
      </c>
      <c r="O1440">
        <v>138</v>
      </c>
      <c r="Q1440" t="s">
        <v>29</v>
      </c>
      <c r="R1440">
        <v>203</v>
      </c>
      <c r="S1440">
        <v>19.625</v>
      </c>
      <c r="T1440" t="s">
        <v>52</v>
      </c>
    </row>
    <row r="1441" spans="1:20" x14ac:dyDescent="0.3">
      <c r="A1441" t="s">
        <v>31</v>
      </c>
      <c r="B1441">
        <v>47</v>
      </c>
      <c r="C1441">
        <v>110.756</v>
      </c>
      <c r="D1441">
        <v>1.7230000000000001</v>
      </c>
      <c r="E1441">
        <v>34.107999999999997</v>
      </c>
      <c r="F1441">
        <v>97.134</v>
      </c>
      <c r="G1441" t="s">
        <v>1127</v>
      </c>
      <c r="H1441">
        <v>192</v>
      </c>
      <c r="I1441">
        <v>87</v>
      </c>
      <c r="J1441">
        <v>133</v>
      </c>
      <c r="K1441" t="s">
        <v>22</v>
      </c>
      <c r="L1441" t="s">
        <v>23</v>
      </c>
      <c r="M1441" t="s">
        <v>28</v>
      </c>
      <c r="N1441">
        <v>0.56399999999999995</v>
      </c>
      <c r="O1441">
        <v>154</v>
      </c>
      <c r="P1441">
        <v>112</v>
      </c>
      <c r="Q1441" t="s">
        <v>38</v>
      </c>
      <c r="R1441">
        <v>75</v>
      </c>
      <c r="S1441">
        <v>20.361999999999998</v>
      </c>
      <c r="T1441" t="s">
        <v>52</v>
      </c>
    </row>
    <row r="1442" spans="1:20" x14ac:dyDescent="0.3">
      <c r="A1442" t="s">
        <v>31</v>
      </c>
      <c r="B1442">
        <v>26</v>
      </c>
      <c r="C1442">
        <v>66.629000000000005</v>
      </c>
      <c r="D1442">
        <v>1.8420000000000001</v>
      </c>
      <c r="E1442">
        <v>37.856999999999999</v>
      </c>
      <c r="F1442">
        <v>112.39100000000001</v>
      </c>
      <c r="G1442" t="s">
        <v>1222</v>
      </c>
      <c r="H1442">
        <v>154</v>
      </c>
      <c r="I1442">
        <v>35</v>
      </c>
      <c r="J1442">
        <v>113</v>
      </c>
      <c r="K1442" t="s">
        <v>22</v>
      </c>
      <c r="L1442" t="s">
        <v>23</v>
      </c>
      <c r="M1442" t="s">
        <v>24</v>
      </c>
      <c r="O1442">
        <v>108</v>
      </c>
      <c r="P1442">
        <v>88</v>
      </c>
      <c r="Q1442" t="s">
        <v>29</v>
      </c>
      <c r="R1442">
        <v>89</v>
      </c>
      <c r="S1442">
        <v>18.050999999999998</v>
      </c>
      <c r="T1442" t="s">
        <v>30</v>
      </c>
    </row>
    <row r="1443" spans="1:20" x14ac:dyDescent="0.3">
      <c r="A1443" t="s">
        <v>31</v>
      </c>
      <c r="B1443">
        <v>46</v>
      </c>
      <c r="C1443">
        <v>107.048</v>
      </c>
      <c r="D1443">
        <v>1.595</v>
      </c>
      <c r="E1443">
        <v>22.024999999999999</v>
      </c>
      <c r="F1443">
        <v>81.302999999999997</v>
      </c>
      <c r="G1443" t="s">
        <v>1223</v>
      </c>
      <c r="H1443">
        <v>173</v>
      </c>
      <c r="J1443">
        <v>181</v>
      </c>
      <c r="K1443" t="s">
        <v>22</v>
      </c>
      <c r="L1443" t="s">
        <v>23</v>
      </c>
      <c r="M1443" t="s">
        <v>28</v>
      </c>
      <c r="N1443">
        <v>0.51</v>
      </c>
      <c r="O1443">
        <v>178</v>
      </c>
      <c r="P1443">
        <v>77</v>
      </c>
      <c r="Q1443" t="s">
        <v>38</v>
      </c>
      <c r="R1443">
        <v>109</v>
      </c>
      <c r="S1443">
        <v>18.765000000000001</v>
      </c>
      <c r="T1443" t="s">
        <v>52</v>
      </c>
    </row>
    <row r="1444" spans="1:20" x14ac:dyDescent="0.3">
      <c r="A1444" t="s">
        <v>20</v>
      </c>
      <c r="B1444">
        <v>67</v>
      </c>
      <c r="C1444">
        <v>69.983999999999995</v>
      </c>
      <c r="D1444">
        <v>1.6719999999999999</v>
      </c>
      <c r="E1444">
        <v>25.939</v>
      </c>
      <c r="F1444">
        <v>91.655000000000001</v>
      </c>
      <c r="G1444" t="s">
        <v>911</v>
      </c>
      <c r="H1444">
        <v>136</v>
      </c>
      <c r="I1444">
        <v>71</v>
      </c>
      <c r="J1444">
        <v>127</v>
      </c>
      <c r="K1444" t="s">
        <v>23</v>
      </c>
      <c r="L1444" t="s">
        <v>23</v>
      </c>
      <c r="M1444" t="s">
        <v>24</v>
      </c>
      <c r="N1444">
        <v>0.54800000000000004</v>
      </c>
      <c r="O1444">
        <v>129</v>
      </c>
      <c r="P1444">
        <v>113</v>
      </c>
      <c r="Q1444" t="s">
        <v>38</v>
      </c>
      <c r="R1444">
        <v>35</v>
      </c>
      <c r="S1444">
        <v>16.358000000000001</v>
      </c>
      <c r="T1444" t="s">
        <v>30</v>
      </c>
    </row>
    <row r="1445" spans="1:20" x14ac:dyDescent="0.3">
      <c r="A1445" t="s">
        <v>31</v>
      </c>
      <c r="B1445">
        <v>49</v>
      </c>
      <c r="C1445">
        <v>62.814</v>
      </c>
      <c r="D1445">
        <v>1.8360000000000001</v>
      </c>
      <c r="E1445">
        <v>23.748999999999999</v>
      </c>
      <c r="F1445">
        <v>98.415000000000006</v>
      </c>
      <c r="G1445" t="s">
        <v>693</v>
      </c>
      <c r="H1445">
        <v>254</v>
      </c>
      <c r="I1445">
        <v>44</v>
      </c>
      <c r="J1445">
        <v>143</v>
      </c>
      <c r="K1445" t="s">
        <v>23</v>
      </c>
      <c r="L1445" t="s">
        <v>23</v>
      </c>
      <c r="M1445" t="s">
        <v>24</v>
      </c>
      <c r="N1445">
        <v>0.53600000000000003</v>
      </c>
      <c r="O1445">
        <v>150</v>
      </c>
      <c r="P1445">
        <v>81</v>
      </c>
      <c r="Q1445" t="s">
        <v>29</v>
      </c>
      <c r="R1445">
        <v>180</v>
      </c>
      <c r="S1445">
        <v>19.329999999999998</v>
      </c>
      <c r="T1445" t="s">
        <v>30</v>
      </c>
    </row>
    <row r="1446" spans="1:20" x14ac:dyDescent="0.3">
      <c r="A1446" t="s">
        <v>20</v>
      </c>
      <c r="B1446">
        <v>67</v>
      </c>
      <c r="C1446">
        <v>75.801000000000002</v>
      </c>
      <c r="D1446">
        <v>1.988</v>
      </c>
      <c r="E1446">
        <v>26.556000000000001</v>
      </c>
      <c r="F1446">
        <v>102.511</v>
      </c>
      <c r="G1446" t="s">
        <v>1224</v>
      </c>
      <c r="H1446">
        <v>108</v>
      </c>
      <c r="I1446">
        <v>72</v>
      </c>
      <c r="J1446">
        <v>184</v>
      </c>
      <c r="K1446" t="s">
        <v>22</v>
      </c>
      <c r="L1446" t="s">
        <v>22</v>
      </c>
      <c r="M1446" t="s">
        <v>28</v>
      </c>
      <c r="N1446">
        <v>0.51600000000000001</v>
      </c>
      <c r="O1446">
        <v>147</v>
      </c>
      <c r="P1446">
        <v>116</v>
      </c>
      <c r="Q1446" t="s">
        <v>38</v>
      </c>
      <c r="R1446">
        <v>6</v>
      </c>
      <c r="S1446">
        <v>14.821</v>
      </c>
      <c r="T1446" t="s">
        <v>26</v>
      </c>
    </row>
    <row r="1447" spans="1:20" x14ac:dyDescent="0.3">
      <c r="A1447" t="s">
        <v>31</v>
      </c>
      <c r="B1447">
        <v>49</v>
      </c>
      <c r="C1447">
        <v>93.019000000000005</v>
      </c>
      <c r="D1447">
        <v>1.6459999999999999</v>
      </c>
      <c r="E1447">
        <v>31.42</v>
      </c>
      <c r="F1447">
        <v>91.486999999999995</v>
      </c>
      <c r="G1447" t="s">
        <v>1225</v>
      </c>
      <c r="H1447">
        <v>238</v>
      </c>
      <c r="I1447">
        <v>59</v>
      </c>
      <c r="J1447">
        <v>126</v>
      </c>
      <c r="K1447" t="s">
        <v>23</v>
      </c>
      <c r="L1447" t="s">
        <v>22</v>
      </c>
      <c r="M1447" t="s">
        <v>37</v>
      </c>
      <c r="N1447">
        <v>0.55600000000000005</v>
      </c>
      <c r="O1447">
        <v>105</v>
      </c>
      <c r="P1447">
        <v>104</v>
      </c>
      <c r="Q1447" t="s">
        <v>38</v>
      </c>
      <c r="R1447">
        <v>149</v>
      </c>
      <c r="S1447">
        <v>16.294</v>
      </c>
      <c r="T1447" t="s">
        <v>30</v>
      </c>
    </row>
    <row r="1448" spans="1:20" x14ac:dyDescent="0.3">
      <c r="A1448" t="s">
        <v>20</v>
      </c>
      <c r="B1448">
        <v>75</v>
      </c>
      <c r="C1448">
        <v>55.365000000000002</v>
      </c>
      <c r="D1448">
        <v>1.5369999999999999</v>
      </c>
      <c r="E1448">
        <v>36.322000000000003</v>
      </c>
      <c r="F1448">
        <v>116.04900000000001</v>
      </c>
      <c r="G1448" t="s">
        <v>1226</v>
      </c>
      <c r="H1448">
        <v>286</v>
      </c>
      <c r="I1448">
        <v>78</v>
      </c>
      <c r="J1448">
        <v>125</v>
      </c>
      <c r="K1448" t="s">
        <v>22</v>
      </c>
      <c r="L1448" t="s">
        <v>22</v>
      </c>
      <c r="M1448" t="s">
        <v>28</v>
      </c>
      <c r="N1448">
        <v>0.755</v>
      </c>
      <c r="O1448">
        <v>139</v>
      </c>
      <c r="P1448">
        <v>90</v>
      </c>
      <c r="Q1448" t="s">
        <v>29</v>
      </c>
      <c r="R1448">
        <v>178</v>
      </c>
      <c r="S1448">
        <v>19.934000000000001</v>
      </c>
      <c r="T1448" t="s">
        <v>30</v>
      </c>
    </row>
    <row r="1449" spans="1:20" x14ac:dyDescent="0.3">
      <c r="A1449" t="s">
        <v>20</v>
      </c>
      <c r="B1449">
        <v>58</v>
      </c>
      <c r="C1449">
        <v>94.09</v>
      </c>
      <c r="D1449">
        <v>1.6679999999999999</v>
      </c>
      <c r="E1449">
        <v>35.261000000000003</v>
      </c>
      <c r="F1449">
        <v>119.874</v>
      </c>
      <c r="G1449" t="s">
        <v>1227</v>
      </c>
      <c r="H1449">
        <v>294</v>
      </c>
      <c r="I1449">
        <v>39</v>
      </c>
      <c r="J1449">
        <v>94</v>
      </c>
      <c r="K1449" t="s">
        <v>22</v>
      </c>
      <c r="L1449" t="s">
        <v>23</v>
      </c>
      <c r="M1449" t="s">
        <v>24</v>
      </c>
      <c r="N1449">
        <v>0.71799999999999997</v>
      </c>
      <c r="O1449">
        <v>172</v>
      </c>
      <c r="P1449">
        <v>63</v>
      </c>
      <c r="Q1449" t="s">
        <v>38</v>
      </c>
      <c r="R1449">
        <v>225</v>
      </c>
      <c r="S1449">
        <v>23.532</v>
      </c>
      <c r="T1449" t="s">
        <v>30</v>
      </c>
    </row>
    <row r="1450" spans="1:20" x14ac:dyDescent="0.3">
      <c r="A1450" t="s">
        <v>20</v>
      </c>
      <c r="B1450">
        <v>37</v>
      </c>
      <c r="C1450">
        <v>76.597999999999999</v>
      </c>
      <c r="D1450">
        <v>1.891</v>
      </c>
      <c r="E1450">
        <v>27.643000000000001</v>
      </c>
      <c r="F1450">
        <v>103.955</v>
      </c>
      <c r="G1450" t="s">
        <v>1228</v>
      </c>
      <c r="H1450">
        <v>231</v>
      </c>
      <c r="I1450">
        <v>53</v>
      </c>
      <c r="J1450">
        <v>138</v>
      </c>
      <c r="K1450" t="s">
        <v>22</v>
      </c>
      <c r="L1450" t="s">
        <v>22</v>
      </c>
      <c r="M1450" t="s">
        <v>24</v>
      </c>
      <c r="N1450">
        <v>0.55000000000000004</v>
      </c>
      <c r="O1450">
        <v>91</v>
      </c>
      <c r="P1450">
        <v>108</v>
      </c>
      <c r="Q1450" t="s">
        <v>38</v>
      </c>
      <c r="R1450">
        <v>148</v>
      </c>
      <c r="S1450">
        <v>14.699</v>
      </c>
      <c r="T1450" t="s">
        <v>30</v>
      </c>
    </row>
    <row r="1451" spans="1:20" x14ac:dyDescent="0.3">
      <c r="A1451" t="s">
        <v>31</v>
      </c>
      <c r="B1451">
        <v>71</v>
      </c>
      <c r="D1451">
        <v>1.911</v>
      </c>
      <c r="E1451">
        <v>21.324999999999999</v>
      </c>
      <c r="F1451">
        <v>114.265</v>
      </c>
      <c r="G1451" t="s">
        <v>785</v>
      </c>
      <c r="H1451">
        <v>160</v>
      </c>
      <c r="I1451">
        <v>76</v>
      </c>
      <c r="K1451" t="s">
        <v>23</v>
      </c>
      <c r="L1451" t="s">
        <v>23</v>
      </c>
      <c r="M1451" t="s">
        <v>28</v>
      </c>
      <c r="N1451">
        <v>0.59799999999999998</v>
      </c>
      <c r="O1451">
        <v>140</v>
      </c>
      <c r="P1451">
        <v>67</v>
      </c>
      <c r="Q1451" t="s">
        <v>38</v>
      </c>
      <c r="R1451">
        <v>54</v>
      </c>
      <c r="S1451">
        <v>16.465</v>
      </c>
      <c r="T1451" t="s">
        <v>26</v>
      </c>
    </row>
    <row r="1452" spans="1:20" x14ac:dyDescent="0.3">
      <c r="A1452" t="s">
        <v>31</v>
      </c>
      <c r="B1452">
        <v>41</v>
      </c>
      <c r="C1452">
        <v>112.22</v>
      </c>
      <c r="D1452">
        <v>1.968</v>
      </c>
      <c r="E1452">
        <v>27.899000000000001</v>
      </c>
      <c r="F1452">
        <v>108.46899999999999</v>
      </c>
      <c r="G1452" t="s">
        <v>169</v>
      </c>
      <c r="H1452">
        <v>203</v>
      </c>
      <c r="I1452">
        <v>80</v>
      </c>
      <c r="J1452">
        <v>165</v>
      </c>
      <c r="K1452" t="s">
        <v>23</v>
      </c>
      <c r="L1452" t="s">
        <v>22</v>
      </c>
      <c r="M1452" t="s">
        <v>37</v>
      </c>
      <c r="N1452">
        <v>0.55100000000000005</v>
      </c>
      <c r="O1452">
        <v>126</v>
      </c>
      <c r="P1452">
        <v>64</v>
      </c>
      <c r="Q1452" t="s">
        <v>25</v>
      </c>
      <c r="R1452">
        <v>93</v>
      </c>
      <c r="T1452" t="s">
        <v>30</v>
      </c>
    </row>
    <row r="1453" spans="1:20" x14ac:dyDescent="0.3">
      <c r="A1453" t="s">
        <v>20</v>
      </c>
      <c r="B1453">
        <v>67</v>
      </c>
      <c r="C1453">
        <v>96.234999999999999</v>
      </c>
      <c r="D1453">
        <v>1.661</v>
      </c>
      <c r="E1453">
        <v>28.343</v>
      </c>
      <c r="F1453">
        <v>118.402</v>
      </c>
      <c r="G1453" t="s">
        <v>1229</v>
      </c>
      <c r="H1453">
        <v>179</v>
      </c>
      <c r="I1453">
        <v>46</v>
      </c>
      <c r="J1453">
        <v>112</v>
      </c>
      <c r="K1453" t="s">
        <v>23</v>
      </c>
      <c r="L1453" t="s">
        <v>22</v>
      </c>
      <c r="M1453" t="s">
        <v>37</v>
      </c>
      <c r="N1453">
        <v>0.71299999999999997</v>
      </c>
      <c r="O1453">
        <v>92</v>
      </c>
      <c r="P1453">
        <v>107</v>
      </c>
      <c r="Q1453" t="s">
        <v>38</v>
      </c>
      <c r="R1453">
        <v>103</v>
      </c>
      <c r="S1453">
        <v>13.849</v>
      </c>
      <c r="T1453" t="s">
        <v>30</v>
      </c>
    </row>
    <row r="1454" spans="1:20" x14ac:dyDescent="0.3">
      <c r="A1454" t="s">
        <v>20</v>
      </c>
      <c r="B1454">
        <v>44</v>
      </c>
      <c r="C1454">
        <v>56.978000000000002</v>
      </c>
      <c r="D1454">
        <v>1.629</v>
      </c>
      <c r="E1454">
        <v>29.390999999999998</v>
      </c>
      <c r="F1454">
        <v>96.63</v>
      </c>
      <c r="G1454" t="s">
        <v>1230</v>
      </c>
      <c r="H1454">
        <v>178</v>
      </c>
      <c r="J1454">
        <v>167</v>
      </c>
      <c r="K1454" t="s">
        <v>22</v>
      </c>
      <c r="L1454" t="s">
        <v>23</v>
      </c>
      <c r="M1454" t="s">
        <v>28</v>
      </c>
      <c r="N1454">
        <v>0.59299999999999997</v>
      </c>
      <c r="O1454">
        <v>148</v>
      </c>
      <c r="P1454">
        <v>71</v>
      </c>
      <c r="Q1454" t="s">
        <v>38</v>
      </c>
      <c r="R1454">
        <v>103</v>
      </c>
      <c r="S1454">
        <v>18.838000000000001</v>
      </c>
      <c r="T1454" t="s">
        <v>30</v>
      </c>
    </row>
    <row r="1455" spans="1:20" x14ac:dyDescent="0.3">
      <c r="A1455" t="s">
        <v>20</v>
      </c>
      <c r="B1455">
        <v>73</v>
      </c>
      <c r="C1455">
        <v>66.073999999999998</v>
      </c>
      <c r="E1455">
        <v>27.460999999999999</v>
      </c>
      <c r="F1455">
        <v>76.599000000000004</v>
      </c>
      <c r="G1455" t="s">
        <v>1231</v>
      </c>
      <c r="H1455">
        <v>197</v>
      </c>
      <c r="I1455">
        <v>55</v>
      </c>
      <c r="J1455">
        <v>131</v>
      </c>
      <c r="K1455" t="s">
        <v>22</v>
      </c>
      <c r="L1455" t="s">
        <v>22</v>
      </c>
      <c r="M1455" t="s">
        <v>24</v>
      </c>
      <c r="N1455">
        <v>0.39100000000000001</v>
      </c>
      <c r="O1455">
        <v>112</v>
      </c>
      <c r="P1455">
        <v>106</v>
      </c>
      <c r="Q1455" t="s">
        <v>38</v>
      </c>
      <c r="R1455">
        <v>112</v>
      </c>
      <c r="T1455" t="s">
        <v>26</v>
      </c>
    </row>
    <row r="1456" spans="1:20" x14ac:dyDescent="0.3">
      <c r="A1456" t="s">
        <v>31</v>
      </c>
      <c r="B1456">
        <v>39</v>
      </c>
      <c r="C1456">
        <v>52.640999999999998</v>
      </c>
      <c r="D1456">
        <v>1.8979999999999999</v>
      </c>
      <c r="E1456">
        <v>33.1</v>
      </c>
      <c r="F1456">
        <v>73.69</v>
      </c>
      <c r="G1456" t="s">
        <v>1232</v>
      </c>
      <c r="H1456">
        <v>228</v>
      </c>
      <c r="I1456">
        <v>38</v>
      </c>
      <c r="J1456">
        <v>112</v>
      </c>
      <c r="K1456" t="s">
        <v>23</v>
      </c>
      <c r="L1456" t="s">
        <v>23</v>
      </c>
      <c r="M1456" t="s">
        <v>37</v>
      </c>
      <c r="N1456">
        <v>0.38800000000000001</v>
      </c>
      <c r="O1456">
        <v>120</v>
      </c>
      <c r="Q1456" t="s">
        <v>25</v>
      </c>
      <c r="R1456">
        <v>160</v>
      </c>
      <c r="S1456">
        <v>19.18</v>
      </c>
      <c r="T1456" t="s">
        <v>26</v>
      </c>
    </row>
    <row r="1457" spans="1:20" x14ac:dyDescent="0.3">
      <c r="A1457" t="s">
        <v>31</v>
      </c>
      <c r="B1457">
        <v>29</v>
      </c>
      <c r="C1457">
        <v>88.179000000000002</v>
      </c>
      <c r="D1457">
        <v>1.802</v>
      </c>
      <c r="E1457">
        <v>28.2</v>
      </c>
      <c r="F1457">
        <v>96.090999999999994</v>
      </c>
      <c r="G1457" t="s">
        <v>1233</v>
      </c>
      <c r="H1457">
        <v>171</v>
      </c>
      <c r="I1457">
        <v>56</v>
      </c>
      <c r="J1457">
        <v>144</v>
      </c>
      <c r="K1457" t="s">
        <v>23</v>
      </c>
      <c r="L1457" t="s">
        <v>22</v>
      </c>
      <c r="M1457" t="s">
        <v>24</v>
      </c>
      <c r="N1457">
        <v>0.53300000000000003</v>
      </c>
      <c r="O1457">
        <v>165</v>
      </c>
      <c r="P1457">
        <v>72</v>
      </c>
      <c r="Q1457" t="s">
        <v>38</v>
      </c>
      <c r="R1457">
        <v>85</v>
      </c>
      <c r="S1457">
        <v>17.309999999999999</v>
      </c>
      <c r="T1457" t="s">
        <v>26</v>
      </c>
    </row>
    <row r="1458" spans="1:20" x14ac:dyDescent="0.3">
      <c r="A1458" t="s">
        <v>31</v>
      </c>
      <c r="B1458">
        <v>55</v>
      </c>
      <c r="C1458">
        <v>74.451999999999998</v>
      </c>
      <c r="D1458">
        <v>1.643</v>
      </c>
      <c r="E1458">
        <v>37.512</v>
      </c>
      <c r="F1458">
        <v>79.587999999999994</v>
      </c>
      <c r="G1458" t="s">
        <v>1234</v>
      </c>
      <c r="H1458">
        <v>160</v>
      </c>
      <c r="I1458">
        <v>48</v>
      </c>
      <c r="J1458">
        <v>161</v>
      </c>
      <c r="K1458" t="s">
        <v>23</v>
      </c>
      <c r="L1458" t="s">
        <v>22</v>
      </c>
      <c r="M1458" t="s">
        <v>37</v>
      </c>
      <c r="N1458">
        <v>0.48399999999999999</v>
      </c>
      <c r="O1458">
        <v>102</v>
      </c>
      <c r="P1458">
        <v>90</v>
      </c>
      <c r="Q1458" t="s">
        <v>38</v>
      </c>
      <c r="R1458">
        <v>82</v>
      </c>
      <c r="T1458" t="s">
        <v>52</v>
      </c>
    </row>
    <row r="1459" spans="1:20" x14ac:dyDescent="0.3">
      <c r="A1459" t="s">
        <v>31</v>
      </c>
      <c r="B1459">
        <v>46</v>
      </c>
      <c r="C1459">
        <v>61.985999999999997</v>
      </c>
      <c r="D1459">
        <v>1.841</v>
      </c>
      <c r="F1459">
        <v>118.99</v>
      </c>
      <c r="G1459" t="s">
        <v>1235</v>
      </c>
      <c r="I1459">
        <v>61</v>
      </c>
      <c r="J1459">
        <v>155</v>
      </c>
      <c r="K1459" t="s">
        <v>23</v>
      </c>
      <c r="L1459" t="s">
        <v>22</v>
      </c>
      <c r="M1459" t="s">
        <v>24</v>
      </c>
      <c r="N1459">
        <v>0.64600000000000002</v>
      </c>
      <c r="O1459">
        <v>169</v>
      </c>
      <c r="P1459">
        <v>87</v>
      </c>
      <c r="Q1459" t="s">
        <v>29</v>
      </c>
      <c r="R1459">
        <v>31</v>
      </c>
      <c r="S1459">
        <v>16.75</v>
      </c>
      <c r="T1459" t="s">
        <v>30</v>
      </c>
    </row>
    <row r="1460" spans="1:20" x14ac:dyDescent="0.3">
      <c r="A1460" t="s">
        <v>20</v>
      </c>
      <c r="B1460">
        <v>46</v>
      </c>
      <c r="C1460">
        <v>98.034999999999997</v>
      </c>
      <c r="D1460">
        <v>1.86</v>
      </c>
      <c r="E1460">
        <v>24.27</v>
      </c>
      <c r="F1460">
        <v>89.5</v>
      </c>
      <c r="G1460" t="s">
        <v>1236</v>
      </c>
      <c r="H1460">
        <v>150</v>
      </c>
      <c r="J1460">
        <v>174</v>
      </c>
      <c r="K1460" t="s">
        <v>22</v>
      </c>
      <c r="L1460" t="s">
        <v>22</v>
      </c>
      <c r="M1460" t="s">
        <v>28</v>
      </c>
      <c r="N1460">
        <v>0.48099999999999998</v>
      </c>
      <c r="O1460">
        <v>117</v>
      </c>
      <c r="P1460">
        <v>77</v>
      </c>
      <c r="Q1460" t="s">
        <v>33</v>
      </c>
      <c r="R1460">
        <v>77</v>
      </c>
      <c r="S1460">
        <v>13.704000000000001</v>
      </c>
      <c r="T1460" t="s">
        <v>30</v>
      </c>
    </row>
    <row r="1461" spans="1:20" x14ac:dyDescent="0.3">
      <c r="A1461" t="s">
        <v>20</v>
      </c>
      <c r="B1461">
        <v>76</v>
      </c>
      <c r="C1461">
        <v>114.22799999999999</v>
      </c>
      <c r="D1461">
        <v>1.6180000000000001</v>
      </c>
      <c r="F1461">
        <v>77.89</v>
      </c>
      <c r="G1461" t="s">
        <v>1237</v>
      </c>
      <c r="H1461">
        <v>137</v>
      </c>
      <c r="I1461">
        <v>70</v>
      </c>
      <c r="J1461">
        <v>90</v>
      </c>
      <c r="K1461" t="s">
        <v>22</v>
      </c>
      <c r="L1461" t="s">
        <v>23</v>
      </c>
      <c r="M1461" t="s">
        <v>37</v>
      </c>
      <c r="N1461">
        <v>0.48199999999999998</v>
      </c>
      <c r="O1461">
        <v>163</v>
      </c>
      <c r="P1461">
        <v>82</v>
      </c>
      <c r="Q1461" t="s">
        <v>29</v>
      </c>
      <c r="R1461">
        <v>37</v>
      </c>
      <c r="S1461">
        <v>19.716000000000001</v>
      </c>
      <c r="T1461" t="s">
        <v>30</v>
      </c>
    </row>
    <row r="1462" spans="1:20" x14ac:dyDescent="0.3">
      <c r="A1462" t="s">
        <v>20</v>
      </c>
      <c r="B1462">
        <v>75</v>
      </c>
      <c r="C1462">
        <v>103.54300000000001</v>
      </c>
      <c r="D1462">
        <v>1.8520000000000001</v>
      </c>
      <c r="E1462">
        <v>29.792999999999999</v>
      </c>
      <c r="F1462">
        <v>110.663</v>
      </c>
      <c r="G1462" t="s">
        <v>1238</v>
      </c>
      <c r="H1462">
        <v>249</v>
      </c>
      <c r="I1462">
        <v>49</v>
      </c>
      <c r="J1462">
        <v>191</v>
      </c>
      <c r="K1462" t="s">
        <v>23</v>
      </c>
      <c r="L1462" t="s">
        <v>23</v>
      </c>
      <c r="M1462" t="s">
        <v>28</v>
      </c>
      <c r="N1462">
        <v>0.59699999999999998</v>
      </c>
      <c r="O1462">
        <v>96</v>
      </c>
      <c r="P1462">
        <v>89</v>
      </c>
      <c r="Q1462" t="s">
        <v>29</v>
      </c>
      <c r="R1462">
        <v>170</v>
      </c>
      <c r="S1462">
        <v>17.739000000000001</v>
      </c>
      <c r="T1462" t="s">
        <v>52</v>
      </c>
    </row>
    <row r="1463" spans="1:20" x14ac:dyDescent="0.3">
      <c r="A1463" t="s">
        <v>20</v>
      </c>
      <c r="B1463">
        <v>41</v>
      </c>
      <c r="C1463">
        <v>114.34699999999999</v>
      </c>
      <c r="D1463">
        <v>1.8720000000000001</v>
      </c>
      <c r="E1463">
        <v>27.49</v>
      </c>
      <c r="F1463">
        <v>103.441</v>
      </c>
      <c r="G1463" t="s">
        <v>1239</v>
      </c>
      <c r="H1463">
        <v>299</v>
      </c>
      <c r="I1463">
        <v>42</v>
      </c>
      <c r="J1463">
        <v>134</v>
      </c>
      <c r="K1463" t="s">
        <v>22</v>
      </c>
      <c r="L1463" t="s">
        <v>23</v>
      </c>
      <c r="M1463" t="s">
        <v>28</v>
      </c>
      <c r="N1463">
        <v>0.55200000000000005</v>
      </c>
      <c r="O1463">
        <v>107</v>
      </c>
      <c r="P1463">
        <v>91</v>
      </c>
      <c r="Q1463" t="s">
        <v>38</v>
      </c>
      <c r="R1463">
        <v>227</v>
      </c>
      <c r="S1463">
        <v>18.827999999999999</v>
      </c>
      <c r="T1463" t="s">
        <v>26</v>
      </c>
    </row>
    <row r="1464" spans="1:20" x14ac:dyDescent="0.3">
      <c r="A1464" t="s">
        <v>31</v>
      </c>
      <c r="B1464">
        <v>69</v>
      </c>
      <c r="C1464">
        <v>85.474000000000004</v>
      </c>
      <c r="D1464">
        <v>1.879</v>
      </c>
      <c r="E1464">
        <v>36.134999999999998</v>
      </c>
      <c r="F1464">
        <v>101.905</v>
      </c>
      <c r="G1464" t="s">
        <v>1240</v>
      </c>
      <c r="H1464">
        <v>205</v>
      </c>
      <c r="I1464">
        <v>89</v>
      </c>
      <c r="J1464">
        <v>171</v>
      </c>
      <c r="K1464" t="s">
        <v>23</v>
      </c>
      <c r="L1464" t="s">
        <v>23</v>
      </c>
      <c r="M1464" t="s">
        <v>24</v>
      </c>
      <c r="N1464">
        <v>0.54200000000000004</v>
      </c>
      <c r="O1464">
        <v>131</v>
      </c>
      <c r="P1464">
        <v>98</v>
      </c>
      <c r="Q1464" t="s">
        <v>29</v>
      </c>
      <c r="R1464">
        <v>86</v>
      </c>
      <c r="S1464">
        <v>19.876999999999999</v>
      </c>
      <c r="T1464" t="s">
        <v>52</v>
      </c>
    </row>
    <row r="1465" spans="1:20" x14ac:dyDescent="0.3">
      <c r="A1465" t="s">
        <v>20</v>
      </c>
      <c r="B1465">
        <v>62</v>
      </c>
      <c r="C1465">
        <v>66.498000000000005</v>
      </c>
      <c r="D1465">
        <v>1.6439999999999999</v>
      </c>
      <c r="E1465">
        <v>33.527999999999999</v>
      </c>
      <c r="F1465">
        <v>116.551</v>
      </c>
      <c r="G1465" t="s">
        <v>1241</v>
      </c>
      <c r="I1465">
        <v>53</v>
      </c>
      <c r="J1465">
        <v>193</v>
      </c>
      <c r="K1465" t="s">
        <v>23</v>
      </c>
      <c r="L1465" t="s">
        <v>22</v>
      </c>
      <c r="M1465" t="s">
        <v>37</v>
      </c>
      <c r="N1465">
        <v>0.70899999999999996</v>
      </c>
      <c r="O1465">
        <v>179</v>
      </c>
      <c r="P1465">
        <v>91</v>
      </c>
      <c r="Q1465" t="s">
        <v>38</v>
      </c>
      <c r="R1465">
        <v>134</v>
      </c>
      <c r="S1465">
        <v>19.995999999999999</v>
      </c>
      <c r="T1465" t="s">
        <v>52</v>
      </c>
    </row>
    <row r="1466" spans="1:20" x14ac:dyDescent="0.3">
      <c r="A1466" t="s">
        <v>31</v>
      </c>
      <c r="C1466">
        <v>104.80200000000001</v>
      </c>
      <c r="D1466">
        <v>1.927</v>
      </c>
      <c r="E1466">
        <v>36.368000000000002</v>
      </c>
      <c r="F1466">
        <v>70.411000000000001</v>
      </c>
      <c r="G1466" t="s">
        <v>1242</v>
      </c>
      <c r="H1466">
        <v>104</v>
      </c>
      <c r="I1466">
        <v>31</v>
      </c>
      <c r="J1466">
        <v>78</v>
      </c>
      <c r="K1466" t="s">
        <v>22</v>
      </c>
      <c r="L1466" t="s">
        <v>23</v>
      </c>
      <c r="M1466" t="s">
        <v>24</v>
      </c>
      <c r="N1466">
        <v>0.36499999999999999</v>
      </c>
      <c r="O1466">
        <v>90</v>
      </c>
      <c r="P1466">
        <v>111</v>
      </c>
      <c r="Q1466" t="s">
        <v>38</v>
      </c>
      <c r="R1466">
        <v>43</v>
      </c>
      <c r="S1466">
        <v>15.853999999999999</v>
      </c>
      <c r="T1466" t="s">
        <v>30</v>
      </c>
    </row>
    <row r="1467" spans="1:20" x14ac:dyDescent="0.3">
      <c r="A1467" t="s">
        <v>31</v>
      </c>
      <c r="B1467">
        <v>35</v>
      </c>
      <c r="C1467">
        <v>117.825</v>
      </c>
      <c r="D1467">
        <v>1.5509999999999999</v>
      </c>
      <c r="E1467">
        <v>21.128</v>
      </c>
      <c r="F1467">
        <v>74.558999999999997</v>
      </c>
      <c r="G1467" t="s">
        <v>1243</v>
      </c>
      <c r="H1467">
        <v>288</v>
      </c>
      <c r="I1467">
        <v>49</v>
      </c>
      <c r="K1467" t="s">
        <v>23</v>
      </c>
      <c r="L1467" t="s">
        <v>23</v>
      </c>
      <c r="M1467" t="s">
        <v>24</v>
      </c>
      <c r="N1467">
        <v>0.48099999999999998</v>
      </c>
      <c r="O1467">
        <v>110</v>
      </c>
      <c r="P1467">
        <v>112</v>
      </c>
      <c r="Q1467" t="s">
        <v>38</v>
      </c>
      <c r="R1467">
        <v>209</v>
      </c>
      <c r="S1467">
        <v>17.486000000000001</v>
      </c>
      <c r="T1467" t="s">
        <v>26</v>
      </c>
    </row>
    <row r="1468" spans="1:20" x14ac:dyDescent="0.3">
      <c r="A1468" t="s">
        <v>20</v>
      </c>
      <c r="B1468">
        <v>70</v>
      </c>
      <c r="C1468">
        <v>56.381</v>
      </c>
      <c r="D1468">
        <v>1.9</v>
      </c>
      <c r="E1468">
        <v>33.984000000000002</v>
      </c>
      <c r="F1468">
        <v>78.763999999999996</v>
      </c>
      <c r="G1468" t="s">
        <v>1244</v>
      </c>
      <c r="H1468">
        <v>215</v>
      </c>
      <c r="I1468">
        <v>52</v>
      </c>
      <c r="J1468">
        <v>166</v>
      </c>
      <c r="K1468" t="s">
        <v>22</v>
      </c>
      <c r="L1468" t="s">
        <v>23</v>
      </c>
      <c r="M1468" t="s">
        <v>28</v>
      </c>
      <c r="N1468">
        <v>0.41399999999999998</v>
      </c>
      <c r="O1468">
        <v>176</v>
      </c>
      <c r="P1468">
        <v>95</v>
      </c>
      <c r="Q1468" t="s">
        <v>38</v>
      </c>
      <c r="R1468">
        <v>133</v>
      </c>
      <c r="S1468">
        <v>21.896999999999998</v>
      </c>
      <c r="T1468" t="s">
        <v>26</v>
      </c>
    </row>
    <row r="1469" spans="1:20" x14ac:dyDescent="0.3">
      <c r="A1469" t="s">
        <v>20</v>
      </c>
      <c r="B1469">
        <v>33</v>
      </c>
      <c r="C1469">
        <v>65.016999999999996</v>
      </c>
      <c r="D1469">
        <v>1.5780000000000001</v>
      </c>
      <c r="E1469">
        <v>21.577000000000002</v>
      </c>
      <c r="F1469">
        <v>110.809</v>
      </c>
      <c r="G1469" t="s">
        <v>662</v>
      </c>
      <c r="H1469">
        <v>121</v>
      </c>
      <c r="I1469">
        <v>48</v>
      </c>
      <c r="J1469">
        <v>148</v>
      </c>
      <c r="K1469" t="s">
        <v>22</v>
      </c>
      <c r="L1469" t="s">
        <v>22</v>
      </c>
      <c r="M1469" t="s">
        <v>24</v>
      </c>
      <c r="N1469">
        <v>0.70199999999999996</v>
      </c>
      <c r="O1469">
        <v>102</v>
      </c>
      <c r="P1469">
        <v>73</v>
      </c>
      <c r="Q1469" t="s">
        <v>33</v>
      </c>
      <c r="R1469">
        <v>43</v>
      </c>
      <c r="S1469">
        <v>11.835000000000001</v>
      </c>
      <c r="T1469" t="s">
        <v>26</v>
      </c>
    </row>
    <row r="1470" spans="1:20" x14ac:dyDescent="0.3">
      <c r="A1470" t="s">
        <v>31</v>
      </c>
      <c r="B1470">
        <v>41</v>
      </c>
      <c r="C1470">
        <v>111.548</v>
      </c>
      <c r="D1470">
        <v>1.9119999999999999</v>
      </c>
      <c r="F1470">
        <v>88.150999999999996</v>
      </c>
      <c r="G1470" t="s">
        <v>207</v>
      </c>
      <c r="H1470">
        <v>102</v>
      </c>
      <c r="I1470">
        <v>46</v>
      </c>
      <c r="J1470">
        <v>90</v>
      </c>
      <c r="K1470" t="s">
        <v>23</v>
      </c>
      <c r="L1470" t="s">
        <v>23</v>
      </c>
      <c r="M1470" t="s">
        <v>24</v>
      </c>
      <c r="N1470">
        <v>0.46100000000000002</v>
      </c>
      <c r="O1470">
        <v>130</v>
      </c>
      <c r="P1470">
        <v>71</v>
      </c>
      <c r="Q1470" t="s">
        <v>29</v>
      </c>
      <c r="R1470">
        <v>26</v>
      </c>
      <c r="S1470">
        <v>16.672999999999998</v>
      </c>
      <c r="T1470" t="s">
        <v>26</v>
      </c>
    </row>
    <row r="1471" spans="1:20" x14ac:dyDescent="0.3">
      <c r="A1471" t="s">
        <v>20</v>
      </c>
      <c r="B1471">
        <v>28</v>
      </c>
      <c r="C1471">
        <v>92.683000000000007</v>
      </c>
      <c r="D1471">
        <v>1.839</v>
      </c>
      <c r="E1471">
        <v>31.26</v>
      </c>
      <c r="F1471">
        <v>76.347999999999999</v>
      </c>
      <c r="G1471" t="s">
        <v>1245</v>
      </c>
      <c r="H1471">
        <v>297</v>
      </c>
      <c r="I1471">
        <v>81</v>
      </c>
      <c r="J1471">
        <v>147</v>
      </c>
      <c r="K1471" t="s">
        <v>22</v>
      </c>
      <c r="L1471" t="s">
        <v>23</v>
      </c>
      <c r="M1471" t="s">
        <v>28</v>
      </c>
      <c r="N1471">
        <v>0.41499999999999998</v>
      </c>
      <c r="O1471">
        <v>169</v>
      </c>
      <c r="P1471">
        <v>95</v>
      </c>
      <c r="Q1471" t="s">
        <v>38</v>
      </c>
      <c r="R1471">
        <v>186</v>
      </c>
      <c r="S1471">
        <v>22.641999999999999</v>
      </c>
      <c r="T1471" t="s">
        <v>52</v>
      </c>
    </row>
    <row r="1472" spans="1:20" x14ac:dyDescent="0.3">
      <c r="A1472" t="s">
        <v>20</v>
      </c>
      <c r="B1472">
        <v>75</v>
      </c>
      <c r="C1472">
        <v>109.986</v>
      </c>
      <c r="D1472">
        <v>1.5740000000000001</v>
      </c>
      <c r="E1472">
        <v>35.325000000000003</v>
      </c>
      <c r="F1472">
        <v>109.006</v>
      </c>
      <c r="G1472" t="s">
        <v>511</v>
      </c>
      <c r="H1472">
        <v>295</v>
      </c>
      <c r="I1472">
        <v>77</v>
      </c>
      <c r="J1472">
        <v>134</v>
      </c>
      <c r="K1472" t="s">
        <v>22</v>
      </c>
      <c r="L1472" t="s">
        <v>22</v>
      </c>
      <c r="M1472" t="s">
        <v>37</v>
      </c>
      <c r="N1472">
        <v>0.69199999999999995</v>
      </c>
      <c r="O1472">
        <v>119</v>
      </c>
      <c r="P1472">
        <v>88</v>
      </c>
      <c r="Q1472" t="s">
        <v>29</v>
      </c>
      <c r="R1472">
        <v>188</v>
      </c>
      <c r="S1472">
        <v>18.914999999999999</v>
      </c>
      <c r="T1472" t="s">
        <v>30</v>
      </c>
    </row>
    <row r="1473" spans="1:20" x14ac:dyDescent="0.3">
      <c r="A1473" t="s">
        <v>31</v>
      </c>
      <c r="B1473">
        <v>51</v>
      </c>
      <c r="C1473">
        <v>62.890999999999998</v>
      </c>
      <c r="D1473">
        <v>1.639</v>
      </c>
      <c r="E1473">
        <v>39.597000000000001</v>
      </c>
      <c r="F1473">
        <v>91.942999999999998</v>
      </c>
      <c r="G1473" t="s">
        <v>315</v>
      </c>
      <c r="H1473">
        <v>157</v>
      </c>
      <c r="I1473">
        <v>55</v>
      </c>
      <c r="J1473">
        <v>128</v>
      </c>
      <c r="K1473" t="s">
        <v>22</v>
      </c>
      <c r="L1473" t="s">
        <v>22</v>
      </c>
      <c r="M1473" t="s">
        <v>24</v>
      </c>
      <c r="N1473">
        <v>0.56100000000000005</v>
      </c>
      <c r="O1473">
        <v>100</v>
      </c>
      <c r="P1473">
        <v>90</v>
      </c>
      <c r="Q1473" t="s">
        <v>38</v>
      </c>
      <c r="R1473">
        <v>72</v>
      </c>
      <c r="S1473">
        <v>16.059000000000001</v>
      </c>
      <c r="T1473" t="s">
        <v>26</v>
      </c>
    </row>
    <row r="1474" spans="1:20" x14ac:dyDescent="0.3">
      <c r="A1474" t="s">
        <v>31</v>
      </c>
      <c r="B1474">
        <v>64</v>
      </c>
      <c r="C1474">
        <v>58.137999999999998</v>
      </c>
      <c r="D1474">
        <v>1.8640000000000001</v>
      </c>
      <c r="E1474">
        <v>31.123000000000001</v>
      </c>
      <c r="F1474">
        <v>85.182000000000002</v>
      </c>
      <c r="G1474" t="s">
        <v>1246</v>
      </c>
      <c r="H1474">
        <v>259</v>
      </c>
      <c r="I1474">
        <v>78</v>
      </c>
      <c r="J1474">
        <v>147</v>
      </c>
      <c r="K1474" t="s">
        <v>23</v>
      </c>
      <c r="L1474" t="s">
        <v>23</v>
      </c>
      <c r="M1474" t="s">
        <v>24</v>
      </c>
      <c r="N1474">
        <v>0.45700000000000002</v>
      </c>
      <c r="O1474">
        <v>149</v>
      </c>
      <c r="P1474">
        <v>71</v>
      </c>
      <c r="Q1474" t="s">
        <v>38</v>
      </c>
      <c r="R1474">
        <v>151</v>
      </c>
      <c r="S1474">
        <v>20.855</v>
      </c>
      <c r="T1474" t="s">
        <v>30</v>
      </c>
    </row>
    <row r="1475" spans="1:20" x14ac:dyDescent="0.3">
      <c r="A1475" t="s">
        <v>31</v>
      </c>
      <c r="B1475">
        <v>66</v>
      </c>
      <c r="C1475">
        <v>105.196</v>
      </c>
      <c r="E1475">
        <v>26.420999999999999</v>
      </c>
      <c r="F1475">
        <v>92.346999999999994</v>
      </c>
      <c r="G1475" t="s">
        <v>1247</v>
      </c>
      <c r="H1475">
        <v>275</v>
      </c>
      <c r="I1475">
        <v>87</v>
      </c>
      <c r="J1475">
        <v>93</v>
      </c>
      <c r="K1475" t="s">
        <v>22</v>
      </c>
      <c r="L1475" t="s">
        <v>23</v>
      </c>
      <c r="M1475" t="s">
        <v>28</v>
      </c>
      <c r="N1475">
        <v>0.54700000000000004</v>
      </c>
      <c r="O1475">
        <v>91</v>
      </c>
      <c r="P1475">
        <v>97</v>
      </c>
      <c r="Q1475" t="s">
        <v>38</v>
      </c>
      <c r="R1475">
        <v>158</v>
      </c>
      <c r="S1475">
        <v>17.334</v>
      </c>
      <c r="T1475" t="s">
        <v>26</v>
      </c>
    </row>
    <row r="1476" spans="1:20" x14ac:dyDescent="0.3">
      <c r="A1476" t="s">
        <v>20</v>
      </c>
      <c r="B1476">
        <v>64</v>
      </c>
      <c r="D1476">
        <v>1.7490000000000001</v>
      </c>
      <c r="E1476">
        <v>35.573999999999998</v>
      </c>
      <c r="F1476">
        <v>75.444999999999993</v>
      </c>
      <c r="G1476" t="s">
        <v>1248</v>
      </c>
      <c r="H1476">
        <v>169</v>
      </c>
      <c r="I1476">
        <v>79</v>
      </c>
      <c r="J1476">
        <v>192</v>
      </c>
      <c r="K1476" t="s">
        <v>23</v>
      </c>
      <c r="L1476" t="s">
        <v>23</v>
      </c>
      <c r="M1476" t="s">
        <v>37</v>
      </c>
      <c r="N1476">
        <v>0.43099999999999999</v>
      </c>
      <c r="O1476">
        <v>147</v>
      </c>
      <c r="P1476">
        <v>105</v>
      </c>
      <c r="Q1476" t="s">
        <v>38</v>
      </c>
      <c r="R1476">
        <v>60</v>
      </c>
      <c r="S1476">
        <v>19.844999999999999</v>
      </c>
      <c r="T1476" t="s">
        <v>30</v>
      </c>
    </row>
    <row r="1477" spans="1:20" x14ac:dyDescent="0.3">
      <c r="A1477" t="s">
        <v>31</v>
      </c>
      <c r="B1477">
        <v>57</v>
      </c>
      <c r="C1477">
        <v>111.959</v>
      </c>
      <c r="D1477">
        <v>1.772</v>
      </c>
      <c r="E1477">
        <v>32.305999999999997</v>
      </c>
      <c r="F1477">
        <v>102.645</v>
      </c>
      <c r="G1477" t="s">
        <v>1249</v>
      </c>
      <c r="H1477">
        <v>155</v>
      </c>
      <c r="I1477">
        <v>36</v>
      </c>
      <c r="J1477">
        <v>130</v>
      </c>
      <c r="K1477" t="s">
        <v>23</v>
      </c>
      <c r="L1477" t="s">
        <v>23</v>
      </c>
      <c r="M1477" t="s">
        <v>37</v>
      </c>
      <c r="N1477">
        <v>0.57899999999999996</v>
      </c>
      <c r="O1477">
        <v>171</v>
      </c>
      <c r="Q1477" t="s">
        <v>38</v>
      </c>
      <c r="R1477">
        <v>89</v>
      </c>
      <c r="S1477">
        <v>20.111000000000001</v>
      </c>
      <c r="T1477" t="s">
        <v>30</v>
      </c>
    </row>
    <row r="1478" spans="1:20" x14ac:dyDescent="0.3">
      <c r="A1478" t="s">
        <v>20</v>
      </c>
      <c r="B1478">
        <v>54</v>
      </c>
      <c r="C1478">
        <v>74.241</v>
      </c>
      <c r="D1478">
        <v>1.5549999999999999</v>
      </c>
      <c r="E1478">
        <v>24.553999999999998</v>
      </c>
      <c r="F1478">
        <v>116.941</v>
      </c>
      <c r="G1478" t="s">
        <v>1250</v>
      </c>
      <c r="H1478">
        <v>105</v>
      </c>
      <c r="I1478">
        <v>85</v>
      </c>
      <c r="J1478">
        <v>122</v>
      </c>
      <c r="K1478" t="s">
        <v>22</v>
      </c>
      <c r="L1478" t="s">
        <v>22</v>
      </c>
      <c r="M1478" t="s">
        <v>37</v>
      </c>
      <c r="N1478">
        <v>0.752</v>
      </c>
      <c r="O1478">
        <v>104</v>
      </c>
      <c r="P1478">
        <v>107</v>
      </c>
      <c r="Q1478" t="s">
        <v>38</v>
      </c>
      <c r="R1478">
        <v>-10</v>
      </c>
      <c r="S1478">
        <v>12.211</v>
      </c>
      <c r="T1478" t="s">
        <v>30</v>
      </c>
    </row>
    <row r="1479" spans="1:20" x14ac:dyDescent="0.3">
      <c r="A1479" t="s">
        <v>20</v>
      </c>
      <c r="C1479">
        <v>62.551000000000002</v>
      </c>
      <c r="D1479">
        <v>1.8460000000000001</v>
      </c>
      <c r="E1479">
        <v>36.387</v>
      </c>
      <c r="F1479">
        <v>105.20699999999999</v>
      </c>
      <c r="G1479" t="s">
        <v>1251</v>
      </c>
      <c r="H1479">
        <v>251</v>
      </c>
      <c r="I1479">
        <v>77</v>
      </c>
      <c r="J1479">
        <v>191</v>
      </c>
      <c r="K1479" t="s">
        <v>23</v>
      </c>
      <c r="L1479" t="s">
        <v>22</v>
      </c>
      <c r="M1479" t="s">
        <v>37</v>
      </c>
      <c r="N1479">
        <v>0.56999999999999995</v>
      </c>
      <c r="O1479">
        <v>177</v>
      </c>
      <c r="P1479">
        <v>62</v>
      </c>
      <c r="Q1479" t="s">
        <v>38</v>
      </c>
      <c r="R1479">
        <v>144</v>
      </c>
      <c r="S1479">
        <v>21.146999999999998</v>
      </c>
      <c r="T1479" t="s">
        <v>26</v>
      </c>
    </row>
    <row r="1480" spans="1:20" x14ac:dyDescent="0.3">
      <c r="A1480" t="s">
        <v>20</v>
      </c>
      <c r="B1480">
        <v>29</v>
      </c>
      <c r="C1480">
        <v>113.154</v>
      </c>
      <c r="D1480">
        <v>1.6579999999999999</v>
      </c>
      <c r="E1480">
        <v>23.254000000000001</v>
      </c>
      <c r="F1480">
        <v>100.246</v>
      </c>
      <c r="G1480" t="s">
        <v>1252</v>
      </c>
      <c r="H1480">
        <v>250</v>
      </c>
      <c r="I1480">
        <v>34</v>
      </c>
      <c r="J1480">
        <v>150</v>
      </c>
      <c r="K1480" t="s">
        <v>22</v>
      </c>
      <c r="L1480" t="s">
        <v>23</v>
      </c>
      <c r="M1480" t="s">
        <v>28</v>
      </c>
      <c r="N1480">
        <v>0.60499999999999998</v>
      </c>
      <c r="O1480">
        <v>148</v>
      </c>
      <c r="P1480">
        <v>81</v>
      </c>
      <c r="Q1480" t="s">
        <v>29</v>
      </c>
      <c r="R1480">
        <v>186</v>
      </c>
      <c r="S1480">
        <v>19.050999999999998</v>
      </c>
      <c r="T1480" t="s">
        <v>26</v>
      </c>
    </row>
    <row r="1481" spans="1:20" x14ac:dyDescent="0.3">
      <c r="A1481" t="s">
        <v>31</v>
      </c>
      <c r="B1481">
        <v>52</v>
      </c>
      <c r="C1481">
        <v>80.463999999999999</v>
      </c>
      <c r="E1481">
        <v>34.707999999999998</v>
      </c>
      <c r="F1481">
        <v>115.123</v>
      </c>
      <c r="G1481" t="s">
        <v>1253</v>
      </c>
      <c r="H1481">
        <v>281</v>
      </c>
      <c r="I1481">
        <v>61</v>
      </c>
      <c r="J1481">
        <v>93</v>
      </c>
      <c r="K1481" t="s">
        <v>22</v>
      </c>
      <c r="L1481" t="s">
        <v>23</v>
      </c>
      <c r="M1481" t="s">
        <v>37</v>
      </c>
      <c r="N1481">
        <v>0.624</v>
      </c>
      <c r="O1481">
        <v>142</v>
      </c>
      <c r="P1481">
        <v>107</v>
      </c>
      <c r="Q1481" t="s">
        <v>38</v>
      </c>
      <c r="R1481">
        <v>190</v>
      </c>
      <c r="S1481">
        <v>21.661999999999999</v>
      </c>
      <c r="T1481" t="s">
        <v>52</v>
      </c>
    </row>
    <row r="1482" spans="1:20" x14ac:dyDescent="0.3">
      <c r="A1482" t="s">
        <v>20</v>
      </c>
      <c r="B1482">
        <v>72</v>
      </c>
      <c r="C1482">
        <v>63.569000000000003</v>
      </c>
      <c r="D1482">
        <v>1.6160000000000001</v>
      </c>
      <c r="E1482">
        <v>21.219000000000001</v>
      </c>
      <c r="F1482">
        <v>80.661000000000001</v>
      </c>
      <c r="G1482" t="s">
        <v>618</v>
      </c>
      <c r="H1482">
        <v>166</v>
      </c>
      <c r="I1482">
        <v>79</v>
      </c>
      <c r="J1482">
        <v>181</v>
      </c>
      <c r="K1482" t="s">
        <v>22</v>
      </c>
      <c r="L1482" t="s">
        <v>23</v>
      </c>
      <c r="M1482" t="s">
        <v>24</v>
      </c>
      <c r="N1482">
        <v>0.499</v>
      </c>
      <c r="O1482">
        <v>148</v>
      </c>
      <c r="Q1482" t="s">
        <v>38</v>
      </c>
      <c r="R1482">
        <v>57</v>
      </c>
      <c r="S1482">
        <v>16.963999999999999</v>
      </c>
      <c r="T1482" t="s">
        <v>30</v>
      </c>
    </row>
    <row r="1483" spans="1:20" x14ac:dyDescent="0.3">
      <c r="A1483" t="s">
        <v>31</v>
      </c>
      <c r="B1483">
        <v>65</v>
      </c>
      <c r="C1483">
        <v>63.04</v>
      </c>
      <c r="D1483">
        <v>1.524</v>
      </c>
      <c r="E1483">
        <v>18.866</v>
      </c>
      <c r="F1483">
        <v>72.418999999999997</v>
      </c>
      <c r="G1483" t="s">
        <v>507</v>
      </c>
      <c r="H1483">
        <v>187</v>
      </c>
      <c r="I1483">
        <v>77</v>
      </c>
      <c r="J1483">
        <v>146</v>
      </c>
      <c r="K1483" t="s">
        <v>22</v>
      </c>
      <c r="L1483" t="s">
        <v>22</v>
      </c>
      <c r="M1483" t="s">
        <v>28</v>
      </c>
      <c r="O1483">
        <v>111</v>
      </c>
      <c r="P1483">
        <v>83</v>
      </c>
      <c r="Q1483" t="s">
        <v>29</v>
      </c>
      <c r="R1483">
        <v>80</v>
      </c>
      <c r="S1483">
        <v>13.063000000000001</v>
      </c>
      <c r="T1483" t="s">
        <v>30</v>
      </c>
    </row>
    <row r="1484" spans="1:20" x14ac:dyDescent="0.3">
      <c r="A1484" t="s">
        <v>20</v>
      </c>
      <c r="B1484">
        <v>25</v>
      </c>
      <c r="C1484">
        <v>55.975000000000001</v>
      </c>
      <c r="D1484">
        <v>1.8320000000000001</v>
      </c>
      <c r="E1484">
        <v>24.033999999999999</v>
      </c>
      <c r="F1484">
        <v>115.905</v>
      </c>
      <c r="G1484" t="s">
        <v>1254</v>
      </c>
      <c r="H1484">
        <v>270</v>
      </c>
      <c r="I1484">
        <v>57</v>
      </c>
      <c r="J1484">
        <v>146</v>
      </c>
      <c r="K1484" t="s">
        <v>23</v>
      </c>
      <c r="L1484" t="s">
        <v>23</v>
      </c>
      <c r="M1484" t="s">
        <v>37</v>
      </c>
      <c r="N1484">
        <v>0.63300000000000001</v>
      </c>
      <c r="O1484">
        <v>128</v>
      </c>
      <c r="P1484">
        <v>99</v>
      </c>
      <c r="Q1484" t="s">
        <v>38</v>
      </c>
      <c r="S1484">
        <v>18.606999999999999</v>
      </c>
      <c r="T1484" t="s">
        <v>30</v>
      </c>
    </row>
    <row r="1485" spans="1:20" x14ac:dyDescent="0.3">
      <c r="A1485" t="s">
        <v>31</v>
      </c>
      <c r="C1485">
        <v>56.551000000000002</v>
      </c>
      <c r="D1485">
        <v>1.9159999999999999</v>
      </c>
      <c r="E1485">
        <v>23.640999999999998</v>
      </c>
      <c r="F1485">
        <v>88.822000000000003</v>
      </c>
      <c r="G1485" t="s">
        <v>1255</v>
      </c>
      <c r="I1485">
        <v>73</v>
      </c>
      <c r="J1485">
        <v>169</v>
      </c>
      <c r="K1485" t="s">
        <v>23</v>
      </c>
      <c r="L1485" t="s">
        <v>23</v>
      </c>
      <c r="M1485" t="s">
        <v>24</v>
      </c>
      <c r="O1485">
        <v>106</v>
      </c>
      <c r="P1485">
        <v>79</v>
      </c>
      <c r="Q1485" t="s">
        <v>33</v>
      </c>
      <c r="R1485">
        <v>179</v>
      </c>
      <c r="S1485">
        <v>17.667999999999999</v>
      </c>
      <c r="T1485" t="s">
        <v>52</v>
      </c>
    </row>
    <row r="1486" spans="1:20" x14ac:dyDescent="0.3">
      <c r="A1486" t="s">
        <v>31</v>
      </c>
      <c r="B1486">
        <v>71</v>
      </c>
      <c r="C1486">
        <v>86.263999999999996</v>
      </c>
      <c r="D1486">
        <v>1.694</v>
      </c>
      <c r="E1486">
        <v>29.422999999999998</v>
      </c>
      <c r="F1486">
        <v>119.233</v>
      </c>
      <c r="G1486" t="s">
        <v>1256</v>
      </c>
      <c r="H1486">
        <v>204</v>
      </c>
      <c r="I1486">
        <v>65</v>
      </c>
      <c r="J1486">
        <v>82</v>
      </c>
      <c r="K1486" t="s">
        <v>22</v>
      </c>
      <c r="L1486" t="s">
        <v>22</v>
      </c>
      <c r="M1486" t="s">
        <v>28</v>
      </c>
      <c r="N1486">
        <v>0.70399999999999996</v>
      </c>
      <c r="O1486">
        <v>170</v>
      </c>
      <c r="Q1486" t="s">
        <v>38</v>
      </c>
      <c r="R1486">
        <v>109</v>
      </c>
      <c r="S1486">
        <v>18.465</v>
      </c>
      <c r="T1486" t="s">
        <v>26</v>
      </c>
    </row>
    <row r="1487" spans="1:20" x14ac:dyDescent="0.3">
      <c r="A1487" t="s">
        <v>31</v>
      </c>
      <c r="B1487">
        <v>50</v>
      </c>
      <c r="C1487">
        <v>72.364000000000004</v>
      </c>
      <c r="D1487">
        <v>1.9279999999999999</v>
      </c>
      <c r="E1487">
        <v>35.698999999999998</v>
      </c>
      <c r="F1487">
        <v>108.85299999999999</v>
      </c>
      <c r="G1487" t="s">
        <v>1257</v>
      </c>
      <c r="H1487">
        <v>199</v>
      </c>
      <c r="I1487">
        <v>38</v>
      </c>
      <c r="J1487">
        <v>168</v>
      </c>
      <c r="K1487" t="s">
        <v>23</v>
      </c>
      <c r="L1487" t="s">
        <v>23</v>
      </c>
      <c r="M1487" t="s">
        <v>37</v>
      </c>
      <c r="N1487">
        <v>0.56499999999999995</v>
      </c>
      <c r="O1487">
        <v>115</v>
      </c>
      <c r="P1487">
        <v>115</v>
      </c>
      <c r="Q1487" t="s">
        <v>38</v>
      </c>
      <c r="R1487">
        <v>131</v>
      </c>
      <c r="S1487">
        <v>18.87</v>
      </c>
      <c r="T1487" t="s">
        <v>52</v>
      </c>
    </row>
    <row r="1488" spans="1:20" x14ac:dyDescent="0.3">
      <c r="A1488" t="s">
        <v>31</v>
      </c>
      <c r="B1488">
        <v>50</v>
      </c>
      <c r="C1488">
        <v>62.459000000000003</v>
      </c>
      <c r="D1488">
        <v>1.579</v>
      </c>
      <c r="E1488">
        <v>20.474</v>
      </c>
      <c r="G1488" t="s">
        <v>1258</v>
      </c>
      <c r="H1488">
        <v>181</v>
      </c>
      <c r="I1488">
        <v>36</v>
      </c>
      <c r="J1488">
        <v>74</v>
      </c>
      <c r="K1488" t="s">
        <v>23</v>
      </c>
      <c r="L1488" t="s">
        <v>22</v>
      </c>
      <c r="M1488" t="s">
        <v>28</v>
      </c>
      <c r="N1488">
        <v>0.64800000000000002</v>
      </c>
      <c r="O1488">
        <v>177</v>
      </c>
      <c r="P1488">
        <v>81</v>
      </c>
      <c r="Q1488" t="s">
        <v>29</v>
      </c>
      <c r="R1488">
        <v>115</v>
      </c>
      <c r="S1488">
        <v>16.565000000000001</v>
      </c>
      <c r="T1488" t="s">
        <v>30</v>
      </c>
    </row>
    <row r="1489" spans="1:20" x14ac:dyDescent="0.3">
      <c r="A1489" t="s">
        <v>20</v>
      </c>
      <c r="B1489">
        <v>57</v>
      </c>
      <c r="C1489">
        <v>89.650999999999996</v>
      </c>
      <c r="D1489">
        <v>1.603</v>
      </c>
      <c r="E1489">
        <v>27.783000000000001</v>
      </c>
      <c r="F1489">
        <v>70.403000000000006</v>
      </c>
      <c r="G1489" t="s">
        <v>1259</v>
      </c>
      <c r="I1489">
        <v>52</v>
      </c>
      <c r="J1489">
        <v>151</v>
      </c>
      <c r="K1489" t="s">
        <v>23</v>
      </c>
      <c r="L1489" t="s">
        <v>22</v>
      </c>
      <c r="M1489" t="s">
        <v>37</v>
      </c>
      <c r="N1489">
        <v>0.439</v>
      </c>
      <c r="O1489">
        <v>129</v>
      </c>
      <c r="P1489">
        <v>108</v>
      </c>
      <c r="Q1489" t="s">
        <v>38</v>
      </c>
      <c r="R1489">
        <v>112</v>
      </c>
      <c r="T1489" t="s">
        <v>26</v>
      </c>
    </row>
    <row r="1490" spans="1:20" x14ac:dyDescent="0.3">
      <c r="A1490" t="s">
        <v>20</v>
      </c>
      <c r="B1490">
        <v>31</v>
      </c>
      <c r="C1490">
        <v>62.347000000000001</v>
      </c>
      <c r="D1490">
        <v>1.5349999999999999</v>
      </c>
      <c r="E1490">
        <v>32.843000000000004</v>
      </c>
      <c r="F1490">
        <v>89.638000000000005</v>
      </c>
      <c r="G1490" t="s">
        <v>1260</v>
      </c>
      <c r="H1490">
        <v>177</v>
      </c>
      <c r="J1490">
        <v>87</v>
      </c>
      <c r="K1490" t="s">
        <v>23</v>
      </c>
      <c r="L1490" t="s">
        <v>23</v>
      </c>
      <c r="M1490" t="s">
        <v>24</v>
      </c>
      <c r="N1490">
        <v>0.58399999999999996</v>
      </c>
      <c r="O1490">
        <v>125</v>
      </c>
      <c r="P1490">
        <v>86</v>
      </c>
      <c r="Q1490" t="s">
        <v>29</v>
      </c>
      <c r="R1490">
        <v>90</v>
      </c>
      <c r="S1490">
        <v>18.359000000000002</v>
      </c>
      <c r="T1490" t="s">
        <v>30</v>
      </c>
    </row>
    <row r="1491" spans="1:20" x14ac:dyDescent="0.3">
      <c r="A1491" t="s">
        <v>20</v>
      </c>
      <c r="B1491">
        <v>74</v>
      </c>
      <c r="C1491">
        <v>64.405000000000001</v>
      </c>
      <c r="D1491">
        <v>1.601</v>
      </c>
      <c r="E1491">
        <v>35.043999999999997</v>
      </c>
      <c r="F1491">
        <v>109.708</v>
      </c>
      <c r="G1491" t="s">
        <v>1261</v>
      </c>
      <c r="H1491">
        <v>171</v>
      </c>
      <c r="I1491">
        <v>79</v>
      </c>
      <c r="J1491">
        <v>136</v>
      </c>
      <c r="K1491" t="s">
        <v>22</v>
      </c>
      <c r="L1491" t="s">
        <v>23</v>
      </c>
      <c r="M1491" t="s">
        <v>37</v>
      </c>
      <c r="N1491">
        <v>0.68500000000000005</v>
      </c>
      <c r="O1491">
        <v>122</v>
      </c>
      <c r="P1491">
        <v>85</v>
      </c>
      <c r="Q1491" t="s">
        <v>29</v>
      </c>
      <c r="R1491">
        <v>62</v>
      </c>
      <c r="S1491">
        <v>18.529</v>
      </c>
      <c r="T1491" t="s">
        <v>52</v>
      </c>
    </row>
    <row r="1492" spans="1:20" x14ac:dyDescent="0.3">
      <c r="A1492" t="s">
        <v>20</v>
      </c>
      <c r="B1492">
        <v>32</v>
      </c>
      <c r="D1492">
        <v>1.8979999999999999</v>
      </c>
      <c r="E1492">
        <v>36.837000000000003</v>
      </c>
      <c r="F1492">
        <v>72.41</v>
      </c>
      <c r="G1492" t="s">
        <v>1262</v>
      </c>
      <c r="H1492">
        <v>233</v>
      </c>
      <c r="I1492">
        <v>52</v>
      </c>
      <c r="J1492">
        <v>84</v>
      </c>
      <c r="K1492" t="s">
        <v>22</v>
      </c>
      <c r="L1492" t="s">
        <v>22</v>
      </c>
      <c r="M1492" t="s">
        <v>28</v>
      </c>
      <c r="N1492">
        <v>0.38100000000000001</v>
      </c>
      <c r="O1492">
        <v>125</v>
      </c>
      <c r="Q1492" t="s">
        <v>38</v>
      </c>
      <c r="R1492">
        <v>151</v>
      </c>
      <c r="S1492">
        <v>18.277000000000001</v>
      </c>
      <c r="T1492" t="s">
        <v>26</v>
      </c>
    </row>
    <row r="1493" spans="1:20" x14ac:dyDescent="0.3">
      <c r="A1493" t="s">
        <v>31</v>
      </c>
      <c r="B1493">
        <v>40</v>
      </c>
      <c r="C1493">
        <v>114.426</v>
      </c>
      <c r="D1493">
        <v>1.823</v>
      </c>
      <c r="E1493">
        <v>38.582000000000001</v>
      </c>
      <c r="F1493">
        <v>105.06699999999999</v>
      </c>
      <c r="G1493" t="s">
        <v>1263</v>
      </c>
      <c r="H1493">
        <v>140</v>
      </c>
      <c r="I1493">
        <v>54</v>
      </c>
      <c r="J1493">
        <v>116</v>
      </c>
      <c r="K1493" t="s">
        <v>23</v>
      </c>
      <c r="L1493" t="s">
        <v>23</v>
      </c>
      <c r="M1493" t="s">
        <v>28</v>
      </c>
      <c r="N1493">
        <v>0.57599999999999996</v>
      </c>
      <c r="O1493">
        <v>171</v>
      </c>
      <c r="P1493">
        <v>86</v>
      </c>
      <c r="Q1493" t="s">
        <v>29</v>
      </c>
      <c r="R1493">
        <v>56</v>
      </c>
      <c r="S1493">
        <v>21.065999999999999</v>
      </c>
      <c r="T1493" t="s">
        <v>30</v>
      </c>
    </row>
    <row r="1494" spans="1:20" x14ac:dyDescent="0.3">
      <c r="A1494" t="s">
        <v>31</v>
      </c>
      <c r="B1494">
        <v>67</v>
      </c>
      <c r="C1494">
        <v>87.046000000000006</v>
      </c>
      <c r="D1494">
        <v>1.5249999999999999</v>
      </c>
      <c r="E1494">
        <v>23.282</v>
      </c>
      <c r="F1494">
        <v>112.155</v>
      </c>
      <c r="G1494" t="s">
        <v>1264</v>
      </c>
      <c r="H1494">
        <v>209</v>
      </c>
      <c r="I1494">
        <v>41</v>
      </c>
      <c r="J1494">
        <v>137</v>
      </c>
      <c r="K1494" t="s">
        <v>22</v>
      </c>
      <c r="L1494" t="s">
        <v>22</v>
      </c>
      <c r="M1494" t="s">
        <v>28</v>
      </c>
      <c r="N1494">
        <v>0.73499999999999999</v>
      </c>
      <c r="O1494">
        <v>128</v>
      </c>
      <c r="P1494">
        <v>84</v>
      </c>
      <c r="Q1494" t="s">
        <v>29</v>
      </c>
      <c r="R1494">
        <v>138</v>
      </c>
      <c r="S1494">
        <v>15.236000000000001</v>
      </c>
      <c r="T1494" t="s">
        <v>30</v>
      </c>
    </row>
    <row r="1495" spans="1:20" x14ac:dyDescent="0.3">
      <c r="A1495" t="s">
        <v>20</v>
      </c>
      <c r="B1495">
        <v>30</v>
      </c>
      <c r="C1495">
        <v>89.635999999999996</v>
      </c>
      <c r="D1495">
        <v>1.752</v>
      </c>
      <c r="E1495">
        <v>23.7</v>
      </c>
      <c r="F1495">
        <v>78.406000000000006</v>
      </c>
      <c r="G1495" t="s">
        <v>1265</v>
      </c>
      <c r="H1495">
        <v>292</v>
      </c>
      <c r="J1495">
        <v>154</v>
      </c>
      <c r="K1495" t="s">
        <v>22</v>
      </c>
      <c r="L1495" t="s">
        <v>22</v>
      </c>
      <c r="M1495" t="s">
        <v>24</v>
      </c>
      <c r="N1495">
        <v>0.44700000000000001</v>
      </c>
      <c r="O1495">
        <v>148</v>
      </c>
      <c r="P1495">
        <v>63</v>
      </c>
      <c r="Q1495" t="s">
        <v>38</v>
      </c>
      <c r="R1495">
        <v>223</v>
      </c>
      <c r="S1495">
        <v>17.98</v>
      </c>
      <c r="T1495" t="s">
        <v>30</v>
      </c>
    </row>
    <row r="1496" spans="1:20" x14ac:dyDescent="0.3">
      <c r="A1496" t="s">
        <v>31</v>
      </c>
      <c r="B1496">
        <v>79</v>
      </c>
      <c r="C1496">
        <v>71.016000000000005</v>
      </c>
      <c r="D1496">
        <v>1.7689999999999999</v>
      </c>
      <c r="E1496">
        <v>29.196999999999999</v>
      </c>
      <c r="F1496">
        <v>85.153999999999996</v>
      </c>
      <c r="G1496" t="s">
        <v>256</v>
      </c>
      <c r="H1496">
        <v>173</v>
      </c>
      <c r="I1496">
        <v>81</v>
      </c>
      <c r="J1496">
        <v>139</v>
      </c>
      <c r="K1496" t="s">
        <v>22</v>
      </c>
      <c r="L1496" t="s">
        <v>22</v>
      </c>
      <c r="M1496" t="s">
        <v>24</v>
      </c>
      <c r="N1496">
        <v>0.48099999999999998</v>
      </c>
      <c r="O1496">
        <v>127</v>
      </c>
      <c r="P1496">
        <v>84</v>
      </c>
      <c r="Q1496" t="s">
        <v>29</v>
      </c>
      <c r="R1496">
        <v>62</v>
      </c>
      <c r="T1496" t="s">
        <v>52</v>
      </c>
    </row>
    <row r="1497" spans="1:20" x14ac:dyDescent="0.3">
      <c r="A1497" t="s">
        <v>20</v>
      </c>
      <c r="B1497">
        <v>62</v>
      </c>
      <c r="C1497">
        <v>114.762</v>
      </c>
      <c r="D1497">
        <v>1.9079999999999999</v>
      </c>
      <c r="E1497">
        <v>29.827000000000002</v>
      </c>
      <c r="F1497">
        <v>75.754000000000005</v>
      </c>
      <c r="G1497" t="s">
        <v>1266</v>
      </c>
      <c r="H1497">
        <v>270</v>
      </c>
      <c r="I1497">
        <v>53</v>
      </c>
      <c r="J1497">
        <v>189</v>
      </c>
      <c r="K1497" t="s">
        <v>23</v>
      </c>
      <c r="L1497" t="s">
        <v>22</v>
      </c>
      <c r="M1497" t="s">
        <v>24</v>
      </c>
      <c r="N1497">
        <v>0.39700000000000002</v>
      </c>
      <c r="O1497">
        <v>105</v>
      </c>
      <c r="P1497">
        <v>102</v>
      </c>
      <c r="Q1497" t="s">
        <v>38</v>
      </c>
      <c r="R1497">
        <v>187</v>
      </c>
      <c r="S1497">
        <v>16.614999999999998</v>
      </c>
      <c r="T1497" t="s">
        <v>26</v>
      </c>
    </row>
    <row r="1498" spans="1:20" x14ac:dyDescent="0.3">
      <c r="A1498" t="s">
        <v>31</v>
      </c>
      <c r="B1498">
        <v>47</v>
      </c>
      <c r="C1498">
        <v>85.018000000000001</v>
      </c>
      <c r="D1498">
        <v>1.913</v>
      </c>
      <c r="F1498">
        <v>115.545</v>
      </c>
      <c r="G1498" t="s">
        <v>1249</v>
      </c>
      <c r="H1498">
        <v>243</v>
      </c>
      <c r="I1498">
        <v>82</v>
      </c>
      <c r="J1498">
        <v>157</v>
      </c>
      <c r="K1498" t="s">
        <v>23</v>
      </c>
      <c r="L1498" t="s">
        <v>22</v>
      </c>
      <c r="M1498" t="s">
        <v>37</v>
      </c>
      <c r="N1498">
        <v>0.60399999999999998</v>
      </c>
      <c r="O1498">
        <v>171</v>
      </c>
      <c r="P1498">
        <v>75</v>
      </c>
      <c r="Q1498" t="s">
        <v>38</v>
      </c>
      <c r="S1498">
        <v>17.579000000000001</v>
      </c>
      <c r="T1498" t="s">
        <v>26</v>
      </c>
    </row>
    <row r="1499" spans="1:20" x14ac:dyDescent="0.3">
      <c r="A1499" t="s">
        <v>20</v>
      </c>
      <c r="B1499">
        <v>33</v>
      </c>
      <c r="C1499">
        <v>117.861</v>
      </c>
      <c r="D1499">
        <v>1.708</v>
      </c>
      <c r="E1499">
        <v>29.817</v>
      </c>
      <c r="F1499">
        <v>79.664000000000001</v>
      </c>
      <c r="G1499" t="s">
        <v>1267</v>
      </c>
      <c r="H1499">
        <v>154</v>
      </c>
      <c r="I1499">
        <v>66</v>
      </c>
      <c r="J1499">
        <v>96</v>
      </c>
      <c r="K1499" t="s">
        <v>22</v>
      </c>
      <c r="L1499" t="s">
        <v>22</v>
      </c>
      <c r="M1499" t="s">
        <v>37</v>
      </c>
      <c r="N1499">
        <v>0.46600000000000003</v>
      </c>
      <c r="O1499">
        <v>105</v>
      </c>
      <c r="P1499">
        <v>118</v>
      </c>
      <c r="Q1499" t="s">
        <v>38</v>
      </c>
      <c r="R1499">
        <v>58</v>
      </c>
      <c r="S1499">
        <v>14.292999999999999</v>
      </c>
      <c r="T1499" t="s">
        <v>26</v>
      </c>
    </row>
    <row r="1500" spans="1:20" x14ac:dyDescent="0.3">
      <c r="A1500" t="s">
        <v>20</v>
      </c>
      <c r="B1500">
        <v>27</v>
      </c>
      <c r="C1500">
        <v>107.306</v>
      </c>
      <c r="D1500">
        <v>1.516</v>
      </c>
      <c r="E1500">
        <v>33.795999999999999</v>
      </c>
      <c r="F1500">
        <v>97.468999999999994</v>
      </c>
      <c r="G1500" t="s">
        <v>505</v>
      </c>
      <c r="H1500">
        <v>234</v>
      </c>
      <c r="I1500">
        <v>55</v>
      </c>
      <c r="J1500">
        <v>160</v>
      </c>
      <c r="K1500" t="s">
        <v>23</v>
      </c>
      <c r="L1500" t="s">
        <v>23</v>
      </c>
      <c r="M1500" t="s">
        <v>37</v>
      </c>
      <c r="N1500">
        <v>0.64300000000000002</v>
      </c>
      <c r="O1500">
        <v>144</v>
      </c>
      <c r="P1500">
        <v>86</v>
      </c>
      <c r="Q1500" t="s">
        <v>29</v>
      </c>
      <c r="R1500">
        <v>149</v>
      </c>
      <c r="T1500" t="s">
        <v>52</v>
      </c>
    </row>
    <row r="1501" spans="1:20" x14ac:dyDescent="0.3">
      <c r="A1501" t="s">
        <v>20</v>
      </c>
      <c r="B1501">
        <v>59</v>
      </c>
      <c r="C1501">
        <v>91.667000000000002</v>
      </c>
      <c r="D1501">
        <v>1.5109999999999999</v>
      </c>
      <c r="E1501">
        <v>21.881</v>
      </c>
      <c r="F1501">
        <v>80.91</v>
      </c>
      <c r="G1501" t="s">
        <v>1268</v>
      </c>
      <c r="H1501">
        <v>231</v>
      </c>
      <c r="I1501">
        <v>76</v>
      </c>
      <c r="J1501">
        <v>183</v>
      </c>
      <c r="K1501" t="s">
        <v>22</v>
      </c>
      <c r="L1501" t="s">
        <v>22</v>
      </c>
      <c r="M1501" t="s">
        <v>24</v>
      </c>
      <c r="N1501">
        <v>0.53500000000000003</v>
      </c>
      <c r="O1501">
        <v>144</v>
      </c>
      <c r="P1501">
        <v>64</v>
      </c>
      <c r="Q1501" t="s">
        <v>38</v>
      </c>
      <c r="R1501">
        <v>125</v>
      </c>
      <c r="S1501">
        <v>16.196000000000002</v>
      </c>
      <c r="T1501" t="s">
        <v>30</v>
      </c>
    </row>
    <row r="1502" spans="1:20" x14ac:dyDescent="0.3">
      <c r="A1502" t="s">
        <v>31</v>
      </c>
      <c r="B1502">
        <v>25</v>
      </c>
      <c r="C1502">
        <v>65.382999999999996</v>
      </c>
      <c r="D1502">
        <v>1.504</v>
      </c>
      <c r="E1502">
        <v>28.513000000000002</v>
      </c>
      <c r="F1502">
        <v>73.721999999999994</v>
      </c>
      <c r="G1502" t="s">
        <v>637</v>
      </c>
      <c r="H1502">
        <v>123</v>
      </c>
      <c r="I1502">
        <v>48</v>
      </c>
      <c r="J1502">
        <v>137</v>
      </c>
      <c r="K1502" t="s">
        <v>23</v>
      </c>
      <c r="L1502" t="s">
        <v>23</v>
      </c>
      <c r="M1502" t="s">
        <v>28</v>
      </c>
      <c r="N1502">
        <v>0.49</v>
      </c>
      <c r="O1502">
        <v>98</v>
      </c>
      <c r="P1502">
        <v>85</v>
      </c>
      <c r="Q1502" t="s">
        <v>29</v>
      </c>
      <c r="R1502">
        <v>45</v>
      </c>
      <c r="S1502">
        <v>15.063000000000001</v>
      </c>
      <c r="T1502" t="s">
        <v>30</v>
      </c>
    </row>
    <row r="1503" spans="1:20" x14ac:dyDescent="0.3">
      <c r="A1503" t="s">
        <v>31</v>
      </c>
      <c r="B1503">
        <v>68</v>
      </c>
      <c r="C1503">
        <v>113.78700000000001</v>
      </c>
      <c r="D1503">
        <v>1.9730000000000001</v>
      </c>
      <c r="E1503">
        <v>38.463999999999999</v>
      </c>
      <c r="F1503">
        <v>71.033000000000001</v>
      </c>
      <c r="G1503" t="s">
        <v>1173</v>
      </c>
      <c r="H1503">
        <v>236</v>
      </c>
      <c r="I1503">
        <v>77</v>
      </c>
      <c r="J1503">
        <v>71</v>
      </c>
      <c r="K1503" t="s">
        <v>23</v>
      </c>
      <c r="L1503" t="s">
        <v>22</v>
      </c>
      <c r="M1503" t="s">
        <v>37</v>
      </c>
      <c r="N1503">
        <v>0.36</v>
      </c>
      <c r="O1503">
        <v>166</v>
      </c>
      <c r="P1503">
        <v>96</v>
      </c>
      <c r="Q1503" t="s">
        <v>38</v>
      </c>
      <c r="R1503">
        <v>129</v>
      </c>
      <c r="S1503">
        <v>20.713000000000001</v>
      </c>
      <c r="T1503" t="s">
        <v>52</v>
      </c>
    </row>
    <row r="1504" spans="1:20" x14ac:dyDescent="0.3">
      <c r="A1504" t="s">
        <v>20</v>
      </c>
      <c r="B1504">
        <v>52</v>
      </c>
      <c r="C1504">
        <v>80.429000000000002</v>
      </c>
      <c r="D1504">
        <v>1.7430000000000001</v>
      </c>
      <c r="E1504">
        <v>28.158999999999999</v>
      </c>
      <c r="F1504">
        <v>82.548000000000002</v>
      </c>
      <c r="G1504" t="s">
        <v>1269</v>
      </c>
      <c r="H1504">
        <v>191</v>
      </c>
      <c r="I1504">
        <v>44</v>
      </c>
      <c r="J1504">
        <v>165</v>
      </c>
      <c r="K1504" t="s">
        <v>22</v>
      </c>
      <c r="L1504" t="s">
        <v>23</v>
      </c>
      <c r="M1504" t="s">
        <v>24</v>
      </c>
      <c r="N1504">
        <v>0.47399999999999998</v>
      </c>
      <c r="O1504">
        <v>146</v>
      </c>
      <c r="Q1504" t="s">
        <v>38</v>
      </c>
      <c r="R1504">
        <v>117</v>
      </c>
      <c r="S1504">
        <v>18.751999999999999</v>
      </c>
      <c r="T1504" t="s">
        <v>30</v>
      </c>
    </row>
    <row r="1505" spans="1:20" x14ac:dyDescent="0.3">
      <c r="A1505" t="s">
        <v>31</v>
      </c>
      <c r="B1505">
        <v>63</v>
      </c>
      <c r="C1505">
        <v>110.797</v>
      </c>
      <c r="D1505">
        <v>1.768</v>
      </c>
      <c r="E1505">
        <v>32.759</v>
      </c>
      <c r="F1505">
        <v>84.932000000000002</v>
      </c>
      <c r="G1505" t="s">
        <v>1270</v>
      </c>
      <c r="H1505">
        <v>192</v>
      </c>
      <c r="I1505">
        <v>69</v>
      </c>
      <c r="J1505">
        <v>146</v>
      </c>
      <c r="K1505" t="s">
        <v>23</v>
      </c>
      <c r="L1505" t="s">
        <v>23</v>
      </c>
      <c r="M1505" t="s">
        <v>24</v>
      </c>
      <c r="N1505">
        <v>0.48</v>
      </c>
      <c r="O1505">
        <v>149</v>
      </c>
      <c r="P1505">
        <v>80</v>
      </c>
      <c r="Q1505" t="s">
        <v>29</v>
      </c>
      <c r="R1505">
        <v>93</v>
      </c>
      <c r="S1505">
        <v>19.841999999999999</v>
      </c>
      <c r="T1505" t="s">
        <v>26</v>
      </c>
    </row>
    <row r="1506" spans="1:20" x14ac:dyDescent="0.3">
      <c r="A1506" t="s">
        <v>20</v>
      </c>
      <c r="B1506">
        <v>65</v>
      </c>
      <c r="C1506">
        <v>85.447999999999993</v>
      </c>
      <c r="D1506">
        <v>1.548</v>
      </c>
      <c r="E1506">
        <v>29.422999999999998</v>
      </c>
      <c r="F1506">
        <v>105.4</v>
      </c>
      <c r="G1506" t="s">
        <v>1271</v>
      </c>
      <c r="H1506">
        <v>289</v>
      </c>
      <c r="I1506">
        <v>76</v>
      </c>
      <c r="J1506">
        <v>158</v>
      </c>
      <c r="K1506" t="s">
        <v>23</v>
      </c>
      <c r="L1506" t="s">
        <v>22</v>
      </c>
      <c r="M1506" t="s">
        <v>37</v>
      </c>
      <c r="N1506">
        <v>0.68100000000000005</v>
      </c>
      <c r="O1506">
        <v>165</v>
      </c>
      <c r="P1506">
        <v>86</v>
      </c>
      <c r="Q1506" t="s">
        <v>29</v>
      </c>
      <c r="R1506">
        <v>183</v>
      </c>
      <c r="S1506">
        <v>19.914999999999999</v>
      </c>
      <c r="T1506" t="s">
        <v>26</v>
      </c>
    </row>
    <row r="1507" spans="1:20" x14ac:dyDescent="0.3">
      <c r="A1507" t="s">
        <v>20</v>
      </c>
      <c r="B1507">
        <v>62</v>
      </c>
      <c r="C1507">
        <v>67.028999999999996</v>
      </c>
      <c r="D1507">
        <v>1.6240000000000001</v>
      </c>
      <c r="E1507">
        <v>21.408000000000001</v>
      </c>
      <c r="F1507">
        <v>114.26900000000001</v>
      </c>
      <c r="G1507" t="s">
        <v>1272</v>
      </c>
      <c r="H1507">
        <v>290</v>
      </c>
      <c r="I1507">
        <v>49</v>
      </c>
      <c r="J1507">
        <v>187</v>
      </c>
      <c r="K1507" t="s">
        <v>22</v>
      </c>
      <c r="L1507" t="s">
        <v>23</v>
      </c>
      <c r="M1507" t="s">
        <v>24</v>
      </c>
      <c r="N1507">
        <v>0.70399999999999996</v>
      </c>
      <c r="O1507">
        <v>124</v>
      </c>
      <c r="P1507">
        <v>86</v>
      </c>
      <c r="Q1507" t="s">
        <v>29</v>
      </c>
      <c r="R1507">
        <v>211</v>
      </c>
      <c r="T1507" t="s">
        <v>52</v>
      </c>
    </row>
    <row r="1508" spans="1:20" x14ac:dyDescent="0.3">
      <c r="A1508" t="s">
        <v>20</v>
      </c>
      <c r="B1508">
        <v>30</v>
      </c>
      <c r="C1508">
        <v>61.326000000000001</v>
      </c>
      <c r="D1508">
        <v>1.651</v>
      </c>
      <c r="E1508">
        <v>33.648000000000003</v>
      </c>
      <c r="F1508">
        <v>90.445999999999998</v>
      </c>
      <c r="G1508" t="s">
        <v>1273</v>
      </c>
      <c r="H1508">
        <v>116</v>
      </c>
      <c r="I1508">
        <v>89</v>
      </c>
      <c r="J1508">
        <v>139</v>
      </c>
      <c r="K1508" t="s">
        <v>23</v>
      </c>
      <c r="L1508" t="s">
        <v>23</v>
      </c>
      <c r="M1508" t="s">
        <v>37</v>
      </c>
      <c r="N1508">
        <v>0.54800000000000004</v>
      </c>
      <c r="O1508">
        <v>142</v>
      </c>
      <c r="P1508">
        <v>114</v>
      </c>
      <c r="Q1508" t="s">
        <v>38</v>
      </c>
      <c r="R1508">
        <v>-3</v>
      </c>
      <c r="S1508">
        <v>18.149999999999999</v>
      </c>
      <c r="T1508" t="s">
        <v>26</v>
      </c>
    </row>
    <row r="1509" spans="1:20" x14ac:dyDescent="0.3">
      <c r="A1509" t="s">
        <v>20</v>
      </c>
      <c r="B1509">
        <v>44</v>
      </c>
      <c r="C1509">
        <v>52.875999999999998</v>
      </c>
      <c r="D1509">
        <v>1.728</v>
      </c>
      <c r="E1509">
        <v>27.186</v>
      </c>
      <c r="F1509">
        <v>77.87</v>
      </c>
      <c r="G1509" t="s">
        <v>1274</v>
      </c>
      <c r="H1509">
        <v>242</v>
      </c>
      <c r="I1509">
        <v>77</v>
      </c>
      <c r="J1509">
        <v>164</v>
      </c>
      <c r="K1509" t="s">
        <v>23</v>
      </c>
      <c r="L1509" t="s">
        <v>22</v>
      </c>
      <c r="M1509" t="s">
        <v>37</v>
      </c>
      <c r="N1509">
        <v>0.45100000000000001</v>
      </c>
      <c r="O1509">
        <v>95</v>
      </c>
      <c r="P1509">
        <v>65</v>
      </c>
      <c r="Q1509" t="s">
        <v>33</v>
      </c>
      <c r="R1509">
        <v>135</v>
      </c>
      <c r="T1509" t="s">
        <v>52</v>
      </c>
    </row>
    <row r="1510" spans="1:20" x14ac:dyDescent="0.3">
      <c r="A1510" t="s">
        <v>20</v>
      </c>
      <c r="B1510">
        <v>43</v>
      </c>
      <c r="C1510">
        <v>68.89</v>
      </c>
      <c r="D1510">
        <v>1.6870000000000001</v>
      </c>
      <c r="E1510">
        <v>37.372</v>
      </c>
      <c r="F1510">
        <v>98.302000000000007</v>
      </c>
      <c r="G1510" t="s">
        <v>1275</v>
      </c>
      <c r="H1510">
        <v>276</v>
      </c>
      <c r="I1510">
        <v>63</v>
      </c>
      <c r="J1510">
        <v>115</v>
      </c>
      <c r="K1510" t="s">
        <v>23</v>
      </c>
      <c r="L1510" t="s">
        <v>23</v>
      </c>
      <c r="M1510" t="s">
        <v>37</v>
      </c>
      <c r="N1510">
        <v>0.58299999999999996</v>
      </c>
      <c r="O1510">
        <v>164</v>
      </c>
      <c r="P1510">
        <v>101</v>
      </c>
      <c r="Q1510" t="s">
        <v>38</v>
      </c>
      <c r="R1510">
        <v>183</v>
      </c>
      <c r="S1510">
        <v>23.193999999999999</v>
      </c>
      <c r="T1510" t="s">
        <v>26</v>
      </c>
    </row>
    <row r="1511" spans="1:20" x14ac:dyDescent="0.3">
      <c r="A1511" t="s">
        <v>20</v>
      </c>
      <c r="B1511">
        <v>48</v>
      </c>
      <c r="C1511">
        <v>117.474</v>
      </c>
      <c r="D1511">
        <v>1.587</v>
      </c>
      <c r="E1511">
        <v>25.332999999999998</v>
      </c>
      <c r="F1511">
        <v>99.730999999999995</v>
      </c>
      <c r="G1511" t="s">
        <v>1276</v>
      </c>
      <c r="H1511">
        <v>176</v>
      </c>
      <c r="I1511">
        <v>51</v>
      </c>
      <c r="J1511">
        <v>139</v>
      </c>
      <c r="K1511" t="s">
        <v>22</v>
      </c>
      <c r="L1511" t="s">
        <v>22</v>
      </c>
      <c r="M1511" t="s">
        <v>37</v>
      </c>
      <c r="N1511">
        <v>0.628</v>
      </c>
      <c r="P1511">
        <v>101</v>
      </c>
      <c r="Q1511" t="s">
        <v>38</v>
      </c>
      <c r="R1511">
        <v>95</v>
      </c>
      <c r="S1511">
        <v>15.037000000000001</v>
      </c>
      <c r="T1511" t="s">
        <v>26</v>
      </c>
    </row>
    <row r="1512" spans="1:20" x14ac:dyDescent="0.3">
      <c r="A1512" t="s">
        <v>31</v>
      </c>
      <c r="B1512">
        <v>46</v>
      </c>
      <c r="C1512">
        <v>90.748000000000005</v>
      </c>
      <c r="D1512">
        <v>1.7050000000000001</v>
      </c>
      <c r="E1512">
        <v>30.866</v>
      </c>
      <c r="F1512">
        <v>108.768</v>
      </c>
      <c r="G1512" t="s">
        <v>1277</v>
      </c>
      <c r="H1512">
        <v>198</v>
      </c>
      <c r="I1512">
        <v>51</v>
      </c>
      <c r="J1512">
        <v>157</v>
      </c>
      <c r="K1512" t="s">
        <v>22</v>
      </c>
      <c r="L1512" t="s">
        <v>22</v>
      </c>
      <c r="M1512" t="s">
        <v>37</v>
      </c>
      <c r="N1512">
        <v>0.63800000000000001</v>
      </c>
      <c r="O1512">
        <v>105</v>
      </c>
      <c r="P1512">
        <v>113</v>
      </c>
      <c r="Q1512" t="s">
        <v>38</v>
      </c>
      <c r="R1512">
        <v>117</v>
      </c>
      <c r="S1512">
        <v>15.382999999999999</v>
      </c>
      <c r="T1512" t="s">
        <v>26</v>
      </c>
    </row>
    <row r="1513" spans="1:20" x14ac:dyDescent="0.3">
      <c r="A1513" t="s">
        <v>31</v>
      </c>
      <c r="B1513">
        <v>47</v>
      </c>
      <c r="C1513">
        <v>89.86</v>
      </c>
      <c r="D1513">
        <v>1.65</v>
      </c>
      <c r="F1513">
        <v>98.950999999999993</v>
      </c>
      <c r="G1513" t="s">
        <v>1278</v>
      </c>
      <c r="I1513">
        <v>33</v>
      </c>
      <c r="J1513">
        <v>186</v>
      </c>
      <c r="K1513" t="s">
        <v>22</v>
      </c>
      <c r="L1513" t="s">
        <v>23</v>
      </c>
      <c r="M1513" t="s">
        <v>24</v>
      </c>
      <c r="N1513">
        <v>0.6</v>
      </c>
      <c r="O1513">
        <v>142</v>
      </c>
      <c r="P1513">
        <v>118</v>
      </c>
      <c r="Q1513" t="s">
        <v>38</v>
      </c>
      <c r="R1513">
        <v>209</v>
      </c>
      <c r="S1513">
        <v>18.942</v>
      </c>
      <c r="T1513" t="s">
        <v>30</v>
      </c>
    </row>
    <row r="1514" spans="1:20" x14ac:dyDescent="0.3">
      <c r="A1514" t="s">
        <v>31</v>
      </c>
      <c r="B1514">
        <v>32</v>
      </c>
      <c r="C1514">
        <v>59.01</v>
      </c>
      <c r="D1514">
        <v>1.51</v>
      </c>
      <c r="E1514">
        <v>32.725000000000001</v>
      </c>
      <c r="F1514">
        <v>111.55500000000001</v>
      </c>
      <c r="G1514" t="s">
        <v>1279</v>
      </c>
      <c r="H1514">
        <v>298</v>
      </c>
      <c r="I1514">
        <v>49</v>
      </c>
      <c r="J1514">
        <v>96</v>
      </c>
      <c r="K1514" t="s">
        <v>22</v>
      </c>
      <c r="L1514" t="s">
        <v>23</v>
      </c>
      <c r="M1514" t="s">
        <v>28</v>
      </c>
      <c r="N1514">
        <v>0.73899999999999999</v>
      </c>
      <c r="O1514">
        <v>169</v>
      </c>
      <c r="P1514">
        <v>65</v>
      </c>
      <c r="Q1514" t="s">
        <v>38</v>
      </c>
      <c r="R1514">
        <v>219</v>
      </c>
      <c r="S1514">
        <v>22.954999999999998</v>
      </c>
      <c r="T1514" t="s">
        <v>26</v>
      </c>
    </row>
    <row r="1515" spans="1:20" x14ac:dyDescent="0.3">
      <c r="A1515" t="s">
        <v>20</v>
      </c>
      <c r="B1515">
        <v>48</v>
      </c>
      <c r="C1515">
        <v>99.706999999999994</v>
      </c>
      <c r="D1515">
        <v>1.968</v>
      </c>
      <c r="E1515">
        <v>30.760999999999999</v>
      </c>
      <c r="G1515" t="s">
        <v>1280</v>
      </c>
      <c r="H1515">
        <v>224</v>
      </c>
      <c r="I1515">
        <v>46</v>
      </c>
      <c r="J1515">
        <v>177</v>
      </c>
      <c r="K1515" t="s">
        <v>22</v>
      </c>
      <c r="L1515" t="s">
        <v>22</v>
      </c>
      <c r="M1515" t="s">
        <v>37</v>
      </c>
      <c r="N1515">
        <v>0.44600000000000001</v>
      </c>
      <c r="O1515">
        <v>154</v>
      </c>
      <c r="P1515">
        <v>87</v>
      </c>
      <c r="Q1515" t="s">
        <v>29</v>
      </c>
      <c r="R1515">
        <v>148</v>
      </c>
      <c r="S1515">
        <v>18.332000000000001</v>
      </c>
      <c r="T1515" t="s">
        <v>26</v>
      </c>
    </row>
    <row r="1516" spans="1:20" x14ac:dyDescent="0.3">
      <c r="A1516" t="s">
        <v>20</v>
      </c>
      <c r="B1516">
        <v>49</v>
      </c>
      <c r="C1516">
        <v>100.23399999999999</v>
      </c>
      <c r="D1516">
        <v>1.52</v>
      </c>
      <c r="E1516">
        <v>30.731999999999999</v>
      </c>
      <c r="F1516">
        <v>115.40900000000001</v>
      </c>
      <c r="G1516" t="s">
        <v>1281</v>
      </c>
      <c r="H1516">
        <v>127</v>
      </c>
      <c r="I1516">
        <v>61</v>
      </c>
      <c r="J1516">
        <v>164</v>
      </c>
      <c r="K1516" t="s">
        <v>22</v>
      </c>
      <c r="L1516" t="s">
        <v>22</v>
      </c>
      <c r="M1516" t="s">
        <v>37</v>
      </c>
      <c r="N1516">
        <v>0.75900000000000001</v>
      </c>
      <c r="O1516">
        <v>97</v>
      </c>
      <c r="P1516">
        <v>96</v>
      </c>
      <c r="Q1516" t="s">
        <v>38</v>
      </c>
      <c r="R1516">
        <v>36</v>
      </c>
      <c r="S1516">
        <v>13.536</v>
      </c>
      <c r="T1516" t="s">
        <v>30</v>
      </c>
    </row>
    <row r="1517" spans="1:20" x14ac:dyDescent="0.3">
      <c r="A1517" t="s">
        <v>31</v>
      </c>
      <c r="B1517">
        <v>30</v>
      </c>
      <c r="C1517">
        <v>88.03</v>
      </c>
      <c r="D1517">
        <v>1.9870000000000001</v>
      </c>
      <c r="E1517">
        <v>22.225000000000001</v>
      </c>
      <c r="F1517">
        <v>107.69</v>
      </c>
      <c r="G1517" t="s">
        <v>1282</v>
      </c>
      <c r="H1517">
        <v>204</v>
      </c>
      <c r="I1517">
        <v>50</v>
      </c>
      <c r="J1517">
        <v>119</v>
      </c>
      <c r="K1517" t="s">
        <v>23</v>
      </c>
      <c r="L1517" t="s">
        <v>23</v>
      </c>
      <c r="M1517" t="s">
        <v>37</v>
      </c>
      <c r="O1517">
        <v>174</v>
      </c>
      <c r="Q1517" t="s">
        <v>29</v>
      </c>
      <c r="R1517">
        <v>124</v>
      </c>
      <c r="S1517">
        <v>19.225000000000001</v>
      </c>
      <c r="T1517" t="s">
        <v>30</v>
      </c>
    </row>
    <row r="1518" spans="1:20" x14ac:dyDescent="0.3">
      <c r="A1518" t="s">
        <v>20</v>
      </c>
      <c r="B1518">
        <v>50</v>
      </c>
      <c r="C1518">
        <v>95.67</v>
      </c>
      <c r="D1518">
        <v>1.631</v>
      </c>
      <c r="E1518">
        <v>37.857999999999997</v>
      </c>
      <c r="F1518">
        <v>70.183999999999997</v>
      </c>
      <c r="G1518" t="s">
        <v>345</v>
      </c>
      <c r="H1518">
        <v>166</v>
      </c>
      <c r="I1518">
        <v>44</v>
      </c>
      <c r="J1518">
        <v>77</v>
      </c>
      <c r="K1518" t="s">
        <v>22</v>
      </c>
      <c r="L1518" t="s">
        <v>22</v>
      </c>
      <c r="M1518" t="s">
        <v>28</v>
      </c>
      <c r="N1518">
        <v>0.43</v>
      </c>
      <c r="O1518">
        <v>116</v>
      </c>
      <c r="P1518">
        <v>72</v>
      </c>
      <c r="Q1518" t="s">
        <v>33</v>
      </c>
      <c r="R1518">
        <v>92</v>
      </c>
      <c r="S1518">
        <v>16.692</v>
      </c>
      <c r="T1518" t="s">
        <v>52</v>
      </c>
    </row>
    <row r="1519" spans="1:20" x14ac:dyDescent="0.3">
      <c r="A1519" t="s">
        <v>20</v>
      </c>
      <c r="B1519">
        <v>69</v>
      </c>
      <c r="C1519">
        <v>104.387</v>
      </c>
      <c r="E1519">
        <v>23.105</v>
      </c>
      <c r="F1519">
        <v>114.05</v>
      </c>
      <c r="G1519" t="s">
        <v>605</v>
      </c>
      <c r="H1519">
        <v>167</v>
      </c>
      <c r="I1519">
        <v>47</v>
      </c>
      <c r="J1519">
        <v>188</v>
      </c>
      <c r="K1519" t="s">
        <v>22</v>
      </c>
      <c r="L1519" t="s">
        <v>22</v>
      </c>
      <c r="M1519" t="s">
        <v>24</v>
      </c>
      <c r="N1519">
        <v>0.66100000000000003</v>
      </c>
      <c r="O1519">
        <v>91</v>
      </c>
      <c r="P1519">
        <v>69</v>
      </c>
      <c r="Q1519" t="s">
        <v>33</v>
      </c>
      <c r="R1519">
        <v>90</v>
      </c>
      <c r="S1519">
        <v>12.510999999999999</v>
      </c>
      <c r="T1519" t="s">
        <v>30</v>
      </c>
    </row>
    <row r="1520" spans="1:20" x14ac:dyDescent="0.3">
      <c r="A1520" t="s">
        <v>31</v>
      </c>
      <c r="B1520">
        <v>54</v>
      </c>
      <c r="C1520">
        <v>105.97499999999999</v>
      </c>
      <c r="E1520">
        <v>22.39</v>
      </c>
      <c r="F1520">
        <v>87.486999999999995</v>
      </c>
      <c r="G1520" t="s">
        <v>1283</v>
      </c>
      <c r="H1520">
        <v>254</v>
      </c>
      <c r="I1520">
        <v>75</v>
      </c>
      <c r="J1520">
        <v>78</v>
      </c>
      <c r="K1520" t="s">
        <v>22</v>
      </c>
      <c r="L1520" t="s">
        <v>22</v>
      </c>
      <c r="M1520" t="s">
        <v>37</v>
      </c>
      <c r="N1520">
        <v>0.443</v>
      </c>
      <c r="O1520">
        <v>175</v>
      </c>
      <c r="P1520">
        <v>80</v>
      </c>
      <c r="Q1520" t="s">
        <v>29</v>
      </c>
      <c r="R1520">
        <v>149</v>
      </c>
      <c r="S1520">
        <v>18.308</v>
      </c>
      <c r="T1520" t="s">
        <v>30</v>
      </c>
    </row>
    <row r="1521" spans="1:20" x14ac:dyDescent="0.3">
      <c r="A1521" t="s">
        <v>20</v>
      </c>
      <c r="B1521">
        <v>53</v>
      </c>
      <c r="C1521">
        <v>101.53</v>
      </c>
      <c r="D1521">
        <v>1.7270000000000001</v>
      </c>
      <c r="E1521">
        <v>35.423000000000002</v>
      </c>
      <c r="F1521">
        <v>110.121</v>
      </c>
      <c r="G1521" t="s">
        <v>245</v>
      </c>
      <c r="H1521">
        <v>174</v>
      </c>
      <c r="I1521">
        <v>38</v>
      </c>
      <c r="J1521">
        <v>161</v>
      </c>
      <c r="K1521" t="s">
        <v>23</v>
      </c>
      <c r="L1521" t="s">
        <v>23</v>
      </c>
      <c r="M1521" t="s">
        <v>28</v>
      </c>
      <c r="N1521">
        <v>0.63800000000000001</v>
      </c>
      <c r="O1521">
        <v>143</v>
      </c>
      <c r="P1521">
        <v>67</v>
      </c>
      <c r="Q1521" t="s">
        <v>38</v>
      </c>
      <c r="R1521">
        <v>106</v>
      </c>
      <c r="S1521">
        <v>19.715</v>
      </c>
      <c r="T1521" t="s">
        <v>30</v>
      </c>
    </row>
    <row r="1522" spans="1:20" x14ac:dyDescent="0.3">
      <c r="A1522" t="s">
        <v>31</v>
      </c>
      <c r="B1522">
        <v>29</v>
      </c>
      <c r="C1522">
        <v>89.388000000000005</v>
      </c>
      <c r="D1522">
        <v>1.716</v>
      </c>
      <c r="E1522">
        <v>26.207999999999998</v>
      </c>
      <c r="F1522">
        <v>78.400000000000006</v>
      </c>
      <c r="G1522" t="s">
        <v>1233</v>
      </c>
      <c r="H1522">
        <v>223</v>
      </c>
      <c r="I1522">
        <v>49</v>
      </c>
      <c r="J1522">
        <v>94</v>
      </c>
      <c r="K1522" t="s">
        <v>22</v>
      </c>
      <c r="L1522" t="s">
        <v>23</v>
      </c>
      <c r="M1522" t="s">
        <v>24</v>
      </c>
      <c r="N1522">
        <v>0.45700000000000002</v>
      </c>
      <c r="O1522">
        <v>165</v>
      </c>
      <c r="P1522">
        <v>72</v>
      </c>
      <c r="Q1522" t="s">
        <v>38</v>
      </c>
      <c r="R1522">
        <v>144</v>
      </c>
      <c r="S1522">
        <v>19.952000000000002</v>
      </c>
      <c r="T1522" t="s">
        <v>52</v>
      </c>
    </row>
    <row r="1523" spans="1:20" x14ac:dyDescent="0.3">
      <c r="A1523" t="s">
        <v>20</v>
      </c>
      <c r="B1523">
        <v>48</v>
      </c>
      <c r="C1523">
        <v>116.29900000000001</v>
      </c>
      <c r="D1523">
        <v>1.665</v>
      </c>
      <c r="E1523">
        <v>23.504000000000001</v>
      </c>
      <c r="F1523">
        <v>107.21899999999999</v>
      </c>
      <c r="G1523" t="s">
        <v>199</v>
      </c>
      <c r="H1523">
        <v>216</v>
      </c>
      <c r="I1523">
        <v>82</v>
      </c>
      <c r="J1523">
        <v>168</v>
      </c>
      <c r="K1523" t="s">
        <v>23</v>
      </c>
      <c r="L1523" t="s">
        <v>23</v>
      </c>
      <c r="M1523" t="s">
        <v>37</v>
      </c>
      <c r="N1523">
        <v>0.64400000000000002</v>
      </c>
      <c r="O1523">
        <v>97</v>
      </c>
      <c r="P1523">
        <v>74</v>
      </c>
      <c r="Q1523" t="s">
        <v>33</v>
      </c>
      <c r="R1523">
        <v>104</v>
      </c>
      <c r="S1523">
        <v>15.871</v>
      </c>
      <c r="T1523" t="s">
        <v>52</v>
      </c>
    </row>
    <row r="1524" spans="1:20" x14ac:dyDescent="0.3">
      <c r="A1524" t="s">
        <v>20</v>
      </c>
      <c r="B1524">
        <v>41</v>
      </c>
      <c r="C1524">
        <v>117.36499999999999</v>
      </c>
      <c r="D1524">
        <v>1.748</v>
      </c>
      <c r="E1524">
        <v>38.31</v>
      </c>
      <c r="F1524">
        <v>118.246</v>
      </c>
      <c r="G1524" t="s">
        <v>1284</v>
      </c>
      <c r="H1524">
        <v>200</v>
      </c>
      <c r="I1524">
        <v>35</v>
      </c>
      <c r="J1524">
        <v>87</v>
      </c>
      <c r="K1524" t="s">
        <v>23</v>
      </c>
      <c r="L1524" t="s">
        <v>23</v>
      </c>
      <c r="M1524" t="s">
        <v>28</v>
      </c>
      <c r="N1524">
        <v>0.67600000000000005</v>
      </c>
      <c r="O1524">
        <v>105</v>
      </c>
      <c r="P1524">
        <v>87</v>
      </c>
      <c r="Q1524" t="s">
        <v>29</v>
      </c>
      <c r="R1524">
        <v>135</v>
      </c>
      <c r="S1524">
        <v>18.911999999999999</v>
      </c>
      <c r="T1524" t="s">
        <v>26</v>
      </c>
    </row>
    <row r="1525" spans="1:20" x14ac:dyDescent="0.3">
      <c r="A1525" t="s">
        <v>31</v>
      </c>
      <c r="B1525">
        <v>63</v>
      </c>
      <c r="C1525">
        <v>91.625</v>
      </c>
      <c r="D1525">
        <v>1.702</v>
      </c>
      <c r="E1525">
        <v>35.277999999999999</v>
      </c>
      <c r="G1525" t="s">
        <v>1285</v>
      </c>
      <c r="H1525">
        <v>189</v>
      </c>
      <c r="I1525">
        <v>76</v>
      </c>
      <c r="J1525">
        <v>153</v>
      </c>
      <c r="K1525" t="s">
        <v>22</v>
      </c>
      <c r="L1525" t="s">
        <v>23</v>
      </c>
      <c r="M1525" t="s">
        <v>37</v>
      </c>
      <c r="N1525">
        <v>0.60099999999999998</v>
      </c>
      <c r="O1525">
        <v>162</v>
      </c>
      <c r="P1525">
        <v>60</v>
      </c>
      <c r="Q1525" t="s">
        <v>38</v>
      </c>
      <c r="R1525">
        <v>83</v>
      </c>
      <c r="S1525">
        <v>20.936</v>
      </c>
      <c r="T1525" t="s">
        <v>26</v>
      </c>
    </row>
    <row r="1526" spans="1:20" x14ac:dyDescent="0.3">
      <c r="A1526" t="s">
        <v>20</v>
      </c>
      <c r="B1526">
        <v>40</v>
      </c>
      <c r="C1526">
        <v>72.069999999999993</v>
      </c>
      <c r="D1526">
        <v>1.889</v>
      </c>
      <c r="F1526">
        <v>95.325999999999993</v>
      </c>
      <c r="G1526" t="s">
        <v>673</v>
      </c>
      <c r="H1526">
        <v>157</v>
      </c>
      <c r="I1526">
        <v>60</v>
      </c>
      <c r="J1526">
        <v>93</v>
      </c>
      <c r="K1526" t="s">
        <v>22</v>
      </c>
      <c r="L1526" t="s">
        <v>22</v>
      </c>
      <c r="M1526" t="s">
        <v>37</v>
      </c>
      <c r="N1526">
        <v>0.505</v>
      </c>
      <c r="O1526">
        <v>119</v>
      </c>
      <c r="P1526">
        <v>66</v>
      </c>
      <c r="Q1526" t="s">
        <v>33</v>
      </c>
      <c r="R1526">
        <v>67</v>
      </c>
      <c r="S1526">
        <v>14.3</v>
      </c>
      <c r="T1526" t="s">
        <v>52</v>
      </c>
    </row>
    <row r="1527" spans="1:20" x14ac:dyDescent="0.3">
      <c r="A1527" t="s">
        <v>20</v>
      </c>
      <c r="B1527">
        <v>78</v>
      </c>
      <c r="C1527">
        <v>85.876999999999995</v>
      </c>
      <c r="D1527">
        <v>1.825</v>
      </c>
      <c r="E1527">
        <v>24.425999999999998</v>
      </c>
      <c r="F1527">
        <v>112.34</v>
      </c>
      <c r="G1527" t="s">
        <v>1286</v>
      </c>
      <c r="H1527">
        <v>241</v>
      </c>
      <c r="I1527">
        <v>84</v>
      </c>
      <c r="K1527" t="s">
        <v>23</v>
      </c>
      <c r="L1527" t="s">
        <v>22</v>
      </c>
      <c r="M1527" t="s">
        <v>24</v>
      </c>
      <c r="N1527">
        <v>0.61599999999999999</v>
      </c>
      <c r="O1527">
        <v>102</v>
      </c>
      <c r="P1527">
        <v>115</v>
      </c>
      <c r="Q1527" t="s">
        <v>38</v>
      </c>
      <c r="R1527">
        <v>127</v>
      </c>
      <c r="S1527">
        <v>14.805</v>
      </c>
      <c r="T1527" t="s">
        <v>26</v>
      </c>
    </row>
    <row r="1528" spans="1:20" x14ac:dyDescent="0.3">
      <c r="A1528" t="s">
        <v>31</v>
      </c>
      <c r="B1528">
        <v>39</v>
      </c>
      <c r="C1528">
        <v>98.626000000000005</v>
      </c>
      <c r="D1528">
        <v>1.5209999999999999</v>
      </c>
      <c r="E1528">
        <v>20.055</v>
      </c>
      <c r="F1528">
        <v>77.192999999999998</v>
      </c>
      <c r="G1528" t="s">
        <v>1287</v>
      </c>
      <c r="H1528">
        <v>237</v>
      </c>
      <c r="I1528">
        <v>82</v>
      </c>
      <c r="J1528">
        <v>147</v>
      </c>
      <c r="K1528" t="s">
        <v>22</v>
      </c>
      <c r="L1528" t="s">
        <v>23</v>
      </c>
      <c r="M1528" t="s">
        <v>28</v>
      </c>
      <c r="N1528">
        <v>0.50700000000000001</v>
      </c>
      <c r="O1528">
        <v>150</v>
      </c>
      <c r="P1528">
        <v>90</v>
      </c>
      <c r="Q1528" t="s">
        <v>38</v>
      </c>
      <c r="R1528">
        <v>125</v>
      </c>
      <c r="S1528">
        <v>18.251000000000001</v>
      </c>
      <c r="T1528" t="s">
        <v>26</v>
      </c>
    </row>
    <row r="1529" spans="1:20" x14ac:dyDescent="0.3">
      <c r="A1529" t="s">
        <v>31</v>
      </c>
      <c r="B1529">
        <v>71</v>
      </c>
      <c r="C1529">
        <v>116.163</v>
      </c>
      <c r="D1529">
        <v>1.841</v>
      </c>
      <c r="E1529">
        <v>29.279</v>
      </c>
      <c r="F1529">
        <v>114.197</v>
      </c>
      <c r="G1529" t="s">
        <v>548</v>
      </c>
      <c r="H1529">
        <v>193</v>
      </c>
      <c r="I1529">
        <v>84</v>
      </c>
      <c r="J1529">
        <v>123</v>
      </c>
      <c r="K1529" t="s">
        <v>22</v>
      </c>
      <c r="L1529" t="s">
        <v>22</v>
      </c>
      <c r="M1529" t="s">
        <v>28</v>
      </c>
      <c r="N1529">
        <v>0.62</v>
      </c>
      <c r="O1529">
        <v>112</v>
      </c>
      <c r="P1529">
        <v>63</v>
      </c>
      <c r="Q1529" t="s">
        <v>33</v>
      </c>
      <c r="R1529">
        <v>79</v>
      </c>
      <c r="S1529">
        <v>15.316000000000001</v>
      </c>
      <c r="T1529" t="s">
        <v>26</v>
      </c>
    </row>
    <row r="1530" spans="1:20" x14ac:dyDescent="0.3">
      <c r="A1530" t="s">
        <v>20</v>
      </c>
      <c r="B1530">
        <v>78</v>
      </c>
      <c r="C1530">
        <v>111.627</v>
      </c>
      <c r="D1530">
        <v>1.867</v>
      </c>
      <c r="E1530">
        <v>22.016999999999999</v>
      </c>
      <c r="F1530">
        <v>97.691999999999993</v>
      </c>
      <c r="G1530" t="s">
        <v>441</v>
      </c>
      <c r="H1530">
        <v>218</v>
      </c>
      <c r="I1530">
        <v>68</v>
      </c>
      <c r="J1530">
        <v>166</v>
      </c>
      <c r="K1530" t="s">
        <v>22</v>
      </c>
      <c r="L1530" t="s">
        <v>22</v>
      </c>
      <c r="M1530" t="s">
        <v>28</v>
      </c>
      <c r="N1530">
        <v>0.52300000000000002</v>
      </c>
      <c r="O1530">
        <v>134</v>
      </c>
      <c r="P1530">
        <v>67</v>
      </c>
      <c r="Q1530" t="s">
        <v>29</v>
      </c>
      <c r="R1530">
        <v>120</v>
      </c>
      <c r="S1530">
        <v>15.462999999999999</v>
      </c>
      <c r="T153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F48E-C57A-41D2-8F0A-F9C829131A5B}">
  <dimension ref="A1:AK1530"/>
  <sheetViews>
    <sheetView topLeftCell="AA1" zoomScaleNormal="100" workbookViewId="0">
      <selection activeCell="AD5" sqref="AD5"/>
    </sheetView>
  </sheetViews>
  <sheetFormatPr defaultRowHeight="14.4" x14ac:dyDescent="0.3"/>
  <cols>
    <col min="1" max="1" width="9.88671875" customWidth="1"/>
    <col min="2" max="2" width="10.33203125" customWidth="1"/>
    <col min="3" max="3" width="11.6640625" customWidth="1"/>
    <col min="4" max="4" width="16.44140625" style="5" customWidth="1"/>
    <col min="5" max="5" width="16.21875" style="8" customWidth="1"/>
    <col min="6" max="6" width="14.21875" bestFit="1" customWidth="1"/>
    <col min="7" max="7" width="14.21875" style="3" customWidth="1"/>
    <col min="8" max="8" width="11.21875" customWidth="1"/>
    <col min="9" max="9" width="14.88671875" style="5" customWidth="1"/>
    <col min="10" max="10" width="13.21875" style="16" bestFit="1" customWidth="1"/>
    <col min="11" max="11" width="32" bestFit="1" customWidth="1"/>
    <col min="12" max="12" width="23.5546875" bestFit="1" customWidth="1"/>
    <col min="13" max="13" width="24.5546875" bestFit="1" customWidth="1"/>
    <col min="14" max="14" width="32" style="5" customWidth="1"/>
    <col min="15" max="15" width="26.6640625" bestFit="1" customWidth="1"/>
    <col min="16" max="16" width="15.77734375" bestFit="1" customWidth="1"/>
    <col min="17" max="17" width="16.77734375" style="8" bestFit="1" customWidth="1"/>
    <col min="18" max="18" width="24.44140625" style="8" bestFit="1" customWidth="1"/>
    <col min="19" max="19" width="24.44140625" style="8" customWidth="1"/>
    <col min="20" max="20" width="21.44140625" style="8" customWidth="1"/>
    <col min="21" max="21" width="26.33203125" style="8" bestFit="1" customWidth="1"/>
    <col min="22" max="22" width="28.77734375" bestFit="1" customWidth="1"/>
    <col min="23" max="23" width="29.88671875" bestFit="1" customWidth="1"/>
    <col min="24" max="24" width="29.88671875" customWidth="1"/>
    <col min="25" max="25" width="18.44140625" bestFit="1" customWidth="1"/>
    <col min="26" max="26" width="18.6640625" bestFit="1" customWidth="1"/>
    <col min="27" max="27" width="24" bestFit="1" customWidth="1"/>
    <col min="28" max="28" width="26.33203125" style="3" bestFit="1" customWidth="1"/>
    <col min="29" max="29" width="14.6640625" bestFit="1" customWidth="1"/>
    <col min="30" max="30" width="15.6640625" style="3" bestFit="1" customWidth="1"/>
    <col min="31" max="31" width="15.44140625" bestFit="1" customWidth="1"/>
    <col min="32" max="32" width="16.44140625" style="3" bestFit="1" customWidth="1"/>
    <col min="33" max="33" width="25.77734375" bestFit="1" customWidth="1"/>
    <col min="34" max="34" width="18.109375" style="3" bestFit="1" customWidth="1"/>
    <col min="35" max="35" width="19.109375" style="3" bestFit="1" customWidth="1"/>
    <col min="36" max="36" width="17.6640625" bestFit="1" customWidth="1"/>
    <col min="37" max="37" width="18.6640625" bestFit="1" customWidth="1"/>
  </cols>
  <sheetData>
    <row r="1" spans="1:37" s="1" customFormat="1" x14ac:dyDescent="0.3">
      <c r="A1" s="1" t="s">
        <v>0</v>
      </c>
      <c r="B1" s="1" t="s">
        <v>1</v>
      </c>
      <c r="C1" s="2" t="s">
        <v>1292</v>
      </c>
      <c r="D1" s="4" t="s">
        <v>2</v>
      </c>
      <c r="E1" s="21" t="s">
        <v>1290</v>
      </c>
      <c r="F1" s="1" t="s">
        <v>3</v>
      </c>
      <c r="G1" s="6" t="s">
        <v>1291</v>
      </c>
      <c r="H1" s="1" t="s">
        <v>4</v>
      </c>
      <c r="I1" s="7" t="s">
        <v>1289</v>
      </c>
      <c r="J1" s="19" t="s">
        <v>1301</v>
      </c>
      <c r="K1" s="1" t="s">
        <v>5</v>
      </c>
      <c r="L1" s="1" t="s">
        <v>13</v>
      </c>
      <c r="M1" s="2" t="s">
        <v>1293</v>
      </c>
      <c r="N1" s="7" t="s">
        <v>1294</v>
      </c>
      <c r="O1" s="1" t="s">
        <v>7</v>
      </c>
      <c r="P1" s="1" t="s">
        <v>8</v>
      </c>
      <c r="Q1" s="21" t="s">
        <v>1298</v>
      </c>
      <c r="R1" s="13" t="s">
        <v>17</v>
      </c>
      <c r="S1" s="21" t="s">
        <v>1297</v>
      </c>
      <c r="T1" s="21" t="s">
        <v>1295</v>
      </c>
      <c r="U1" s="21" t="s">
        <v>1296</v>
      </c>
      <c r="V1" s="1" t="s">
        <v>9</v>
      </c>
      <c r="W1" s="2" t="s">
        <v>1299</v>
      </c>
      <c r="X1" s="2" t="s">
        <v>1305</v>
      </c>
      <c r="Y1" s="7" t="s">
        <v>10</v>
      </c>
      <c r="Z1" s="7" t="s">
        <v>11</v>
      </c>
      <c r="AA1" s="7" t="s">
        <v>12</v>
      </c>
      <c r="AB1" s="6" t="s">
        <v>6</v>
      </c>
      <c r="AC1" s="1" t="s">
        <v>14</v>
      </c>
      <c r="AD1" s="6" t="s">
        <v>1308</v>
      </c>
      <c r="AE1" s="1" t="s">
        <v>15</v>
      </c>
      <c r="AF1" s="6" t="s">
        <v>1309</v>
      </c>
      <c r="AG1" s="7" t="s">
        <v>16</v>
      </c>
      <c r="AH1" s="12" t="s">
        <v>18</v>
      </c>
      <c r="AI1" s="6" t="s">
        <v>1300</v>
      </c>
      <c r="AJ1" s="9" t="s">
        <v>19</v>
      </c>
      <c r="AK1" s="2" t="s">
        <v>1288</v>
      </c>
    </row>
    <row r="2" spans="1:37" x14ac:dyDescent="0.3">
      <c r="A2" t="s">
        <v>20</v>
      </c>
      <c r="B2">
        <v>32</v>
      </c>
      <c r="C2" s="8">
        <f>IF(B2="",AVERAGE($B$2:$B$1530),B2)</f>
        <v>32</v>
      </c>
      <c r="D2" s="5">
        <v>69.099999999999994</v>
      </c>
      <c r="E2" s="8">
        <f>IF(D2="", H2*(F2^2),D2)</f>
        <v>69.099999999999994</v>
      </c>
      <c r="F2">
        <v>1.71</v>
      </c>
      <c r="G2" s="3">
        <f>IF(F2="", SQRT(E2 / H2),F2)</f>
        <v>1.71</v>
      </c>
      <c r="H2">
        <v>23.6</v>
      </c>
      <c r="I2" s="5">
        <f t="shared" ref="I2:I65" si="0" xml:space="preserve"> IF(H2="",E2 / (G2^2),H2)</f>
        <v>23.6</v>
      </c>
      <c r="J2" s="16" t="str">
        <f>IF(I2&lt;18.5,"Underweight",IF(I2&lt;25,"Normal",IF(I2&lt;30,"Overweight","Obese")))</f>
        <v>Normal</v>
      </c>
      <c r="K2">
        <v>86.2</v>
      </c>
      <c r="L2">
        <v>0.504</v>
      </c>
      <c r="M2" s="11">
        <f t="shared" ref="M2:M65" si="1">IF(L2="",K2/(G2*100),L2)</f>
        <v>0.504</v>
      </c>
      <c r="N2" s="5">
        <f>IF(K2="",M2*(G2*100),K2)</f>
        <v>86.2</v>
      </c>
      <c r="O2">
        <v>248</v>
      </c>
      <c r="P2">
        <v>78</v>
      </c>
      <c r="Q2" s="8">
        <f>IF(P2="",AVERAGE($P$2:$P$1530),P2)</f>
        <v>78</v>
      </c>
      <c r="R2" s="8">
        <v>140</v>
      </c>
      <c r="S2" s="8">
        <f>IF(R2&lt;=0,MEDIAN($R$2:$R$1530),R2)</f>
        <v>140</v>
      </c>
      <c r="T2" s="8">
        <f>(Table1[[#This Row],[Total Cholesterol (mg/dL)]]+Table1[[#This Row],[HDL (mg/dL)2]]+Table1[[#This Row],[Estimated LDL (mg/dL)2]])*5</f>
        <v>2330</v>
      </c>
      <c r="U2" s="8">
        <f>IF(O2="",Table1[[#This Row],[Estimated LDL (mg/dL)2]]+Table1[[#This Row],[HDL (mg/dL)2]]+(Table1[[#This Row],[Triglycerides]]/5),O2)</f>
        <v>248</v>
      </c>
      <c r="V2">
        <v>111</v>
      </c>
      <c r="W2" s="8">
        <f>IF(V2="",AVERAGE($V$2:$V$1530),V2)</f>
        <v>111</v>
      </c>
      <c r="X2" t="str">
        <f>IF(W2&lt;100,"Normal",IF(W2&lt;126,"Prediabetes","Diabetes"))</f>
        <v>Prediabetes</v>
      </c>
      <c r="Y2" t="s">
        <v>22</v>
      </c>
      <c r="Z2" t="s">
        <v>23</v>
      </c>
      <c r="AA2" t="s">
        <v>24</v>
      </c>
      <c r="AB2" s="3" t="s">
        <v>21</v>
      </c>
      <c r="AC2">
        <v>125</v>
      </c>
      <c r="AD2" s="3" t="str">
        <f>LEFT(AB2,FIND("/",AB2)-1)</f>
        <v>125</v>
      </c>
      <c r="AE2">
        <v>79</v>
      </c>
      <c r="AF2" s="3" t="str">
        <f>RIGHT(AB2,LEN(AB2)-FIND("/",AB2))</f>
        <v>79</v>
      </c>
      <c r="AG2" t="s">
        <v>25</v>
      </c>
      <c r="AH2" s="3">
        <v>17.93</v>
      </c>
      <c r="AI2" s="3">
        <f>IF(AH2="",AVERAGE($AH$2:$AH$1530),AH2)</f>
        <v>17.93</v>
      </c>
      <c r="AJ2" t="s">
        <v>26</v>
      </c>
      <c r="AK2" t="str">
        <f>PROPER(Table1[[#This Row],[CVD Risk Level]])</f>
        <v>Intermediary</v>
      </c>
    </row>
    <row r="3" spans="1:37" x14ac:dyDescent="0.3">
      <c r="A3" t="s">
        <v>20</v>
      </c>
      <c r="B3">
        <v>55</v>
      </c>
      <c r="C3" s="8">
        <f t="shared" ref="C3:C66" si="2">IF(B3="",AVERAGE($B$2:$B$1530),B3)</f>
        <v>55</v>
      </c>
      <c r="D3" s="5">
        <v>118.7</v>
      </c>
      <c r="E3" s="8">
        <f t="shared" ref="E3:E66" si="3">IF(D3="", H3*(F3^2),D3)</f>
        <v>118.7</v>
      </c>
      <c r="F3">
        <v>1.69</v>
      </c>
      <c r="G3" s="3">
        <f t="shared" ref="G3:G66" si="4">IF(F3="", SQRT(E3 / H3),F3)</f>
        <v>1.69</v>
      </c>
      <c r="H3">
        <v>41.6</v>
      </c>
      <c r="I3" s="5">
        <f t="shared" si="0"/>
        <v>41.6</v>
      </c>
      <c r="J3" s="16" t="str">
        <f t="shared" ref="J3:J66" si="5">IF(I3&lt;18.5,"Underweight",IF(I3&lt;25,"Normal",IF(I3&lt;30,"Overweight","Obese")))</f>
        <v>Obese</v>
      </c>
      <c r="K3">
        <v>82.5</v>
      </c>
      <c r="L3">
        <v>0.48799999999999999</v>
      </c>
      <c r="M3" s="11">
        <f t="shared" si="1"/>
        <v>0.48799999999999999</v>
      </c>
      <c r="N3" s="5">
        <f t="shared" ref="N3:N66" si="6">IF(K3="",M3*(G3*100),K3)</f>
        <v>82.5</v>
      </c>
      <c r="O3">
        <v>162</v>
      </c>
      <c r="P3">
        <v>50</v>
      </c>
      <c r="Q3" s="8">
        <f t="shared" ref="Q3:Q66" si="7">IF(P3="",AVERAGE($P$2:$P$1530),P3)</f>
        <v>50</v>
      </c>
      <c r="R3" s="8">
        <v>82</v>
      </c>
      <c r="S3" s="8">
        <f t="shared" ref="S3:S66" si="8">IF(R3&lt;=0,MEDIAN($R$2:$R$1530),R3)</f>
        <v>82</v>
      </c>
      <c r="T3" s="8">
        <f>(Table1[[#This Row],[Total Cholesterol (mg/dL)]]+Table1[[#This Row],[HDL (mg/dL)2]]+Table1[[#This Row],[Estimated LDL (mg/dL)2]])*5</f>
        <v>1470</v>
      </c>
      <c r="U3" s="8">
        <f>IF(O3="",Table1[[#This Row],[Estimated LDL (mg/dL)2]]+Table1[[#This Row],[HDL (mg/dL)2]]+(Table1[[#This Row],[Triglycerides]]/5),O3)</f>
        <v>162</v>
      </c>
      <c r="V3">
        <v>135</v>
      </c>
      <c r="W3" s="8">
        <f t="shared" ref="W3:W66" si="9">IF(V3="",AVERAGE($V$2:$V$1530),V3)</f>
        <v>135</v>
      </c>
      <c r="X3" t="str">
        <f t="shared" ref="X3:X66" si="10">IF(W3&lt;100,"Normal",IF(W3&lt;126,"Prediabetes","Diabetes"))</f>
        <v>Diabetes</v>
      </c>
      <c r="Y3" t="s">
        <v>23</v>
      </c>
      <c r="Z3" t="s">
        <v>23</v>
      </c>
      <c r="AA3" t="s">
        <v>28</v>
      </c>
      <c r="AB3" s="3" t="s">
        <v>27</v>
      </c>
      <c r="AC3">
        <v>139</v>
      </c>
      <c r="AD3" s="3" t="str">
        <f t="shared" ref="AD3:AD66" si="11">LEFT(AB3,FIND("/",AB3)-1)</f>
        <v>139</v>
      </c>
      <c r="AE3">
        <v>70</v>
      </c>
      <c r="AF3" s="3" t="str">
        <f t="shared" ref="AF3:AF66" si="12">RIGHT(AB3,LEN(AB3)-FIND("/",AB3))</f>
        <v>70</v>
      </c>
      <c r="AG3" t="s">
        <v>29</v>
      </c>
      <c r="AH3" s="3">
        <v>20.51</v>
      </c>
      <c r="AI3" s="3">
        <f t="shared" ref="AI3:AI66" si="13">IF(AH3="",AVERAGE($AH$2:$AH$1530),AH3)</f>
        <v>20.51</v>
      </c>
      <c r="AJ3" t="s">
        <v>30</v>
      </c>
      <c r="AK3" t="str">
        <f>PROPER(Table1[[#This Row],[CVD Risk Level]])</f>
        <v>High</v>
      </c>
    </row>
    <row r="4" spans="1:37" x14ac:dyDescent="0.3">
      <c r="A4" t="s">
        <v>31</v>
      </c>
      <c r="C4" s="8">
        <f t="shared" si="2"/>
        <v>47.025499655410059</v>
      </c>
      <c r="E4" s="8">
        <f t="shared" si="3"/>
        <v>90.08541000000001</v>
      </c>
      <c r="F4">
        <v>1.83</v>
      </c>
      <c r="G4" s="3">
        <f t="shared" si="4"/>
        <v>1.83</v>
      </c>
      <c r="H4">
        <v>26.9</v>
      </c>
      <c r="I4" s="5">
        <f t="shared" si="0"/>
        <v>26.9</v>
      </c>
      <c r="J4" s="16" t="str">
        <f t="shared" si="5"/>
        <v>Overweight</v>
      </c>
      <c r="K4">
        <v>106.7</v>
      </c>
      <c r="L4">
        <v>0.58299999999999996</v>
      </c>
      <c r="M4" s="11">
        <f t="shared" si="1"/>
        <v>0.58299999999999996</v>
      </c>
      <c r="N4" s="5">
        <f t="shared" si="6"/>
        <v>106.7</v>
      </c>
      <c r="O4">
        <v>103</v>
      </c>
      <c r="P4">
        <v>73</v>
      </c>
      <c r="Q4" s="8">
        <f t="shared" si="7"/>
        <v>73</v>
      </c>
      <c r="R4" s="8">
        <v>0</v>
      </c>
      <c r="S4" s="8">
        <f t="shared" si="8"/>
        <v>109</v>
      </c>
      <c r="T4" s="8">
        <f>(Table1[[#This Row],[Total Cholesterol (mg/dL)]]+Table1[[#This Row],[HDL (mg/dL)2]]+Table1[[#This Row],[Estimated LDL (mg/dL)2]])*5</f>
        <v>1425</v>
      </c>
      <c r="U4" s="8">
        <f>IF(O4="",Table1[[#This Row],[Estimated LDL (mg/dL)2]]+Table1[[#This Row],[HDL (mg/dL)2]]+(Table1[[#This Row],[Triglycerides]]/5),O4)</f>
        <v>103</v>
      </c>
      <c r="V4">
        <v>114</v>
      </c>
      <c r="W4" s="8">
        <f t="shared" si="9"/>
        <v>114</v>
      </c>
      <c r="X4" t="str">
        <f t="shared" si="10"/>
        <v>Prediabetes</v>
      </c>
      <c r="Y4" t="s">
        <v>22</v>
      </c>
      <c r="Z4" t="s">
        <v>22</v>
      </c>
      <c r="AA4" t="s">
        <v>28</v>
      </c>
      <c r="AB4" s="3" t="s">
        <v>32</v>
      </c>
      <c r="AC4">
        <v>104</v>
      </c>
      <c r="AD4" s="3" t="str">
        <f t="shared" si="11"/>
        <v>104</v>
      </c>
      <c r="AE4">
        <v>77</v>
      </c>
      <c r="AF4" s="3" t="str">
        <f t="shared" si="12"/>
        <v>77</v>
      </c>
      <c r="AG4" t="s">
        <v>33</v>
      </c>
      <c r="AH4" s="3">
        <v>12.64</v>
      </c>
      <c r="AI4" s="3">
        <f t="shared" si="13"/>
        <v>12.64</v>
      </c>
      <c r="AJ4" t="s">
        <v>26</v>
      </c>
      <c r="AK4" t="str">
        <f>PROPER(Table1[[#This Row],[CVD Risk Level]])</f>
        <v>Intermediary</v>
      </c>
    </row>
    <row r="5" spans="1:37" x14ac:dyDescent="0.3">
      <c r="A5" t="s">
        <v>31</v>
      </c>
      <c r="B5">
        <v>44</v>
      </c>
      <c r="C5" s="8">
        <f t="shared" si="2"/>
        <v>44</v>
      </c>
      <c r="D5" s="5">
        <v>108.3</v>
      </c>
      <c r="E5" s="8">
        <f t="shared" si="3"/>
        <v>108.3</v>
      </c>
      <c r="F5">
        <v>1.8</v>
      </c>
      <c r="G5" s="3">
        <f t="shared" si="4"/>
        <v>1.8</v>
      </c>
      <c r="H5">
        <v>33.4</v>
      </c>
      <c r="I5" s="5">
        <f t="shared" si="0"/>
        <v>33.4</v>
      </c>
      <c r="J5" s="16" t="str">
        <f t="shared" si="5"/>
        <v>Obese</v>
      </c>
      <c r="K5">
        <v>96.6</v>
      </c>
      <c r="L5">
        <v>0.53700000000000003</v>
      </c>
      <c r="M5" s="11">
        <f t="shared" si="1"/>
        <v>0.53700000000000003</v>
      </c>
      <c r="N5" s="5">
        <f t="shared" si="6"/>
        <v>96.6</v>
      </c>
      <c r="O5">
        <v>134</v>
      </c>
      <c r="P5">
        <v>46</v>
      </c>
      <c r="Q5" s="8">
        <f t="shared" si="7"/>
        <v>46</v>
      </c>
      <c r="R5" s="8">
        <v>58</v>
      </c>
      <c r="S5" s="8">
        <f t="shared" si="8"/>
        <v>58</v>
      </c>
      <c r="T5" s="8">
        <f>(Table1[[#This Row],[Total Cholesterol (mg/dL)]]+Table1[[#This Row],[HDL (mg/dL)2]]+Table1[[#This Row],[Estimated LDL (mg/dL)2]])*5</f>
        <v>1190</v>
      </c>
      <c r="U5" s="8">
        <f>IF(O5="",Table1[[#This Row],[Estimated LDL (mg/dL)2]]+Table1[[#This Row],[HDL (mg/dL)2]]+(Table1[[#This Row],[Triglycerides]]/5),O5)</f>
        <v>134</v>
      </c>
      <c r="V5">
        <v>91</v>
      </c>
      <c r="W5" s="8">
        <f t="shared" si="9"/>
        <v>91</v>
      </c>
      <c r="X5" t="str">
        <f t="shared" si="10"/>
        <v>Normal</v>
      </c>
      <c r="Y5" t="s">
        <v>22</v>
      </c>
      <c r="Z5" t="s">
        <v>22</v>
      </c>
      <c r="AA5" t="s">
        <v>28</v>
      </c>
      <c r="AB5" s="3" t="s">
        <v>34</v>
      </c>
      <c r="AC5">
        <v>140</v>
      </c>
      <c r="AD5" s="3" t="str">
        <f t="shared" si="11"/>
        <v>140</v>
      </c>
      <c r="AE5">
        <v>83</v>
      </c>
      <c r="AF5" s="3" t="str">
        <f t="shared" si="12"/>
        <v>83</v>
      </c>
      <c r="AG5" t="s">
        <v>29</v>
      </c>
      <c r="AH5" s="3">
        <v>16.36</v>
      </c>
      <c r="AI5" s="3">
        <f t="shared" si="13"/>
        <v>16.36</v>
      </c>
      <c r="AJ5" t="s">
        <v>26</v>
      </c>
      <c r="AK5" t="str">
        <f>PROPER(Table1[[#This Row],[CVD Risk Level]])</f>
        <v>Intermediary</v>
      </c>
    </row>
    <row r="6" spans="1:37" x14ac:dyDescent="0.3">
      <c r="A6" t="s">
        <v>20</v>
      </c>
      <c r="B6">
        <v>32</v>
      </c>
      <c r="C6" s="8">
        <f t="shared" si="2"/>
        <v>32</v>
      </c>
      <c r="D6" s="5">
        <v>99.5</v>
      </c>
      <c r="E6" s="8">
        <f t="shared" si="3"/>
        <v>99.5</v>
      </c>
      <c r="F6">
        <v>1.86</v>
      </c>
      <c r="G6" s="3">
        <f t="shared" si="4"/>
        <v>1.86</v>
      </c>
      <c r="H6">
        <v>28.8</v>
      </c>
      <c r="I6" s="5">
        <f t="shared" si="0"/>
        <v>28.8</v>
      </c>
      <c r="J6" s="16" t="str">
        <f t="shared" si="5"/>
        <v>Overweight</v>
      </c>
      <c r="K6">
        <v>102.7</v>
      </c>
      <c r="L6">
        <v>0.55200000000000005</v>
      </c>
      <c r="M6" s="11">
        <f t="shared" si="1"/>
        <v>0.55200000000000005</v>
      </c>
      <c r="N6" s="5">
        <f t="shared" si="6"/>
        <v>102.7</v>
      </c>
      <c r="O6">
        <v>146</v>
      </c>
      <c r="P6">
        <v>64</v>
      </c>
      <c r="Q6" s="8">
        <f t="shared" si="7"/>
        <v>64</v>
      </c>
      <c r="R6" s="8">
        <v>52</v>
      </c>
      <c r="S6" s="8">
        <f t="shared" si="8"/>
        <v>52</v>
      </c>
      <c r="T6" s="8">
        <f>(Table1[[#This Row],[Total Cholesterol (mg/dL)]]+Table1[[#This Row],[HDL (mg/dL)2]]+Table1[[#This Row],[Estimated LDL (mg/dL)2]])*5</f>
        <v>1310</v>
      </c>
      <c r="U6" s="8">
        <f>IF(O6="",Table1[[#This Row],[Estimated LDL (mg/dL)2]]+Table1[[#This Row],[HDL (mg/dL)2]]+(Table1[[#This Row],[Triglycerides]]/5),O6)</f>
        <v>146</v>
      </c>
      <c r="V6">
        <v>141</v>
      </c>
      <c r="W6" s="8">
        <f t="shared" si="9"/>
        <v>141</v>
      </c>
      <c r="X6" t="str">
        <f t="shared" si="10"/>
        <v>Diabetes</v>
      </c>
      <c r="Y6" t="s">
        <v>23</v>
      </c>
      <c r="Z6" t="s">
        <v>23</v>
      </c>
      <c r="AA6" t="s">
        <v>28</v>
      </c>
      <c r="AB6" s="3" t="s">
        <v>35</v>
      </c>
      <c r="AC6">
        <v>144</v>
      </c>
      <c r="AD6" s="3" t="str">
        <f t="shared" si="11"/>
        <v>144</v>
      </c>
      <c r="AE6">
        <v>83</v>
      </c>
      <c r="AF6" s="3" t="str">
        <f t="shared" si="12"/>
        <v>83</v>
      </c>
      <c r="AG6" t="s">
        <v>29</v>
      </c>
      <c r="AH6" s="3">
        <v>17.88</v>
      </c>
      <c r="AI6" s="3">
        <f t="shared" si="13"/>
        <v>17.88</v>
      </c>
      <c r="AJ6" t="s">
        <v>26</v>
      </c>
      <c r="AK6" t="str">
        <f>PROPER(Table1[[#This Row],[CVD Risk Level]])</f>
        <v>Intermediary</v>
      </c>
    </row>
    <row r="7" spans="1:37" x14ac:dyDescent="0.3">
      <c r="A7" t="s">
        <v>20</v>
      </c>
      <c r="B7">
        <v>58</v>
      </c>
      <c r="C7" s="8">
        <f t="shared" si="2"/>
        <v>58</v>
      </c>
      <c r="D7" s="5">
        <v>117.9</v>
      </c>
      <c r="E7" s="8">
        <f t="shared" si="3"/>
        <v>117.9</v>
      </c>
      <c r="F7">
        <v>1.87</v>
      </c>
      <c r="G7" s="3">
        <f t="shared" si="4"/>
        <v>1.87</v>
      </c>
      <c r="H7">
        <v>33.700000000000003</v>
      </c>
      <c r="I7" s="5">
        <f t="shared" si="0"/>
        <v>33.700000000000003</v>
      </c>
      <c r="J7" s="16" t="str">
        <f t="shared" si="5"/>
        <v>Obese</v>
      </c>
      <c r="K7">
        <v>81.400000000000006</v>
      </c>
      <c r="L7">
        <v>0.435</v>
      </c>
      <c r="M7" s="11">
        <f t="shared" si="1"/>
        <v>0.435</v>
      </c>
      <c r="N7" s="5">
        <f t="shared" si="6"/>
        <v>81.400000000000006</v>
      </c>
      <c r="O7">
        <v>156</v>
      </c>
      <c r="P7">
        <v>67</v>
      </c>
      <c r="Q7" s="8">
        <f t="shared" si="7"/>
        <v>67</v>
      </c>
      <c r="R7" s="8">
        <v>59</v>
      </c>
      <c r="S7" s="8">
        <f>IF(R7&lt;=0,MEDIAN($R$2:$R$1530),R7)</f>
        <v>59</v>
      </c>
      <c r="T7" s="8">
        <f>(Table1[[#This Row],[Total Cholesterol (mg/dL)]]+Table1[[#This Row],[HDL (mg/dL)2]]+Table1[[#This Row],[Estimated LDL (mg/dL)2]])*5</f>
        <v>1410</v>
      </c>
      <c r="U7" s="8">
        <f>IF(O7="",Table1[[#This Row],[Estimated LDL (mg/dL)2]]+Table1[[#This Row],[HDL (mg/dL)2]]+(Table1[[#This Row],[Triglycerides]]/5),O7)</f>
        <v>156</v>
      </c>
      <c r="V7">
        <v>82</v>
      </c>
      <c r="W7" s="8">
        <f t="shared" si="9"/>
        <v>82</v>
      </c>
      <c r="X7" t="str">
        <f t="shared" si="10"/>
        <v>Normal</v>
      </c>
      <c r="Y7" t="s">
        <v>23</v>
      </c>
      <c r="Z7" t="s">
        <v>22</v>
      </c>
      <c r="AA7" t="s">
        <v>37</v>
      </c>
      <c r="AB7" s="3" t="s">
        <v>36</v>
      </c>
      <c r="AC7">
        <v>142</v>
      </c>
      <c r="AD7" s="3" t="str">
        <f t="shared" si="11"/>
        <v>142</v>
      </c>
      <c r="AE7">
        <v>90</v>
      </c>
      <c r="AF7" s="3" t="str">
        <f t="shared" si="12"/>
        <v>90</v>
      </c>
      <c r="AG7" t="s">
        <v>38</v>
      </c>
      <c r="AH7" s="3">
        <v>16.96</v>
      </c>
      <c r="AI7" s="3">
        <f t="shared" si="13"/>
        <v>16.96</v>
      </c>
      <c r="AJ7" t="s">
        <v>30</v>
      </c>
      <c r="AK7" t="str">
        <f>PROPER(Table1[[#This Row],[CVD Risk Level]])</f>
        <v>High</v>
      </c>
    </row>
    <row r="8" spans="1:37" x14ac:dyDescent="0.3">
      <c r="A8" t="s">
        <v>31</v>
      </c>
      <c r="B8">
        <v>33</v>
      </c>
      <c r="C8" s="8">
        <f t="shared" si="2"/>
        <v>33</v>
      </c>
      <c r="D8" s="5">
        <v>117.9</v>
      </c>
      <c r="E8" s="8">
        <f t="shared" si="3"/>
        <v>117.9</v>
      </c>
      <c r="F8">
        <v>1.82</v>
      </c>
      <c r="G8" s="3">
        <f t="shared" si="4"/>
        <v>1.82</v>
      </c>
      <c r="H8">
        <v>35.6</v>
      </c>
      <c r="I8" s="5">
        <f t="shared" si="0"/>
        <v>35.6</v>
      </c>
      <c r="J8" s="16" t="str">
        <f t="shared" si="5"/>
        <v>Obese</v>
      </c>
      <c r="K8">
        <v>74.8</v>
      </c>
      <c r="L8">
        <v>0.41099999999999998</v>
      </c>
      <c r="M8" s="11">
        <f t="shared" si="1"/>
        <v>0.41099999999999998</v>
      </c>
      <c r="N8" s="5">
        <f t="shared" si="6"/>
        <v>74.8</v>
      </c>
      <c r="O8">
        <v>184</v>
      </c>
      <c r="P8">
        <v>66</v>
      </c>
      <c r="Q8" s="8">
        <f t="shared" si="7"/>
        <v>66</v>
      </c>
      <c r="R8" s="8">
        <v>88</v>
      </c>
      <c r="S8" s="8">
        <f t="shared" si="8"/>
        <v>88</v>
      </c>
      <c r="T8" s="8">
        <f>(Table1[[#This Row],[Total Cholesterol (mg/dL)]]+Table1[[#This Row],[HDL (mg/dL)2]]+Table1[[#This Row],[Estimated LDL (mg/dL)2]])*5</f>
        <v>1690</v>
      </c>
      <c r="U8" s="8">
        <f>IF(O8="",Table1[[#This Row],[Estimated LDL (mg/dL)2]]+Table1[[#This Row],[HDL (mg/dL)2]]+(Table1[[#This Row],[Triglycerides]]/5),O8)</f>
        <v>184</v>
      </c>
      <c r="V8">
        <v>87</v>
      </c>
      <c r="W8" s="8">
        <f t="shared" si="9"/>
        <v>87</v>
      </c>
      <c r="X8" t="str">
        <f t="shared" si="10"/>
        <v>Normal</v>
      </c>
      <c r="Y8" t="s">
        <v>22</v>
      </c>
      <c r="Z8" t="s">
        <v>23</v>
      </c>
      <c r="AA8" t="s">
        <v>24</v>
      </c>
      <c r="AB8" s="3" t="s">
        <v>39</v>
      </c>
      <c r="AC8">
        <v>96</v>
      </c>
      <c r="AD8" s="3" t="str">
        <f t="shared" si="11"/>
        <v>96</v>
      </c>
      <c r="AE8">
        <v>63</v>
      </c>
      <c r="AF8" s="3" t="str">
        <f t="shared" si="12"/>
        <v>63</v>
      </c>
      <c r="AG8" t="s">
        <v>33</v>
      </c>
      <c r="AH8" s="3">
        <v>17.600000000000001</v>
      </c>
      <c r="AI8" s="3">
        <f t="shared" si="13"/>
        <v>17.600000000000001</v>
      </c>
      <c r="AJ8" t="s">
        <v>26</v>
      </c>
      <c r="AK8" t="str">
        <f>PROPER(Table1[[#This Row],[CVD Risk Level]])</f>
        <v>Intermediary</v>
      </c>
    </row>
    <row r="9" spans="1:37" x14ac:dyDescent="0.3">
      <c r="A9" t="s">
        <v>31</v>
      </c>
      <c r="B9">
        <v>55</v>
      </c>
      <c r="C9" s="8">
        <f t="shared" si="2"/>
        <v>55</v>
      </c>
      <c r="D9" s="5">
        <v>100.1</v>
      </c>
      <c r="E9" s="8">
        <f t="shared" si="3"/>
        <v>100.1</v>
      </c>
      <c r="F9">
        <v>1.74</v>
      </c>
      <c r="G9" s="3">
        <f t="shared" si="4"/>
        <v>1.74</v>
      </c>
      <c r="H9">
        <v>33.1</v>
      </c>
      <c r="I9" s="5">
        <f t="shared" si="0"/>
        <v>33.1</v>
      </c>
      <c r="J9" s="16" t="str">
        <f t="shared" si="5"/>
        <v>Obese</v>
      </c>
      <c r="K9">
        <v>96.6</v>
      </c>
      <c r="L9">
        <v>0.55500000000000005</v>
      </c>
      <c r="M9" s="11">
        <f t="shared" si="1"/>
        <v>0.55500000000000005</v>
      </c>
      <c r="N9" s="5">
        <f t="shared" si="6"/>
        <v>96.6</v>
      </c>
      <c r="O9">
        <v>287</v>
      </c>
      <c r="P9">
        <v>40</v>
      </c>
      <c r="Q9" s="8">
        <f t="shared" si="7"/>
        <v>40</v>
      </c>
      <c r="R9" s="8">
        <v>217</v>
      </c>
      <c r="S9" s="8">
        <f t="shared" si="8"/>
        <v>217</v>
      </c>
      <c r="T9" s="8">
        <f>(Table1[[#This Row],[Total Cholesterol (mg/dL)]]+Table1[[#This Row],[HDL (mg/dL)2]]+Table1[[#This Row],[Estimated LDL (mg/dL)2]])*5</f>
        <v>2720</v>
      </c>
      <c r="U9" s="8">
        <f>IF(O9="",Table1[[#This Row],[Estimated LDL (mg/dL)2]]+Table1[[#This Row],[HDL (mg/dL)2]]+(Table1[[#This Row],[Triglycerides]]/5),O9)</f>
        <v>287</v>
      </c>
      <c r="V9">
        <v>96</v>
      </c>
      <c r="W9" s="8">
        <f t="shared" si="9"/>
        <v>96</v>
      </c>
      <c r="X9" t="str">
        <f t="shared" si="10"/>
        <v>Normal</v>
      </c>
      <c r="Y9" t="s">
        <v>23</v>
      </c>
      <c r="Z9" t="s">
        <v>22</v>
      </c>
      <c r="AA9" t="s">
        <v>37</v>
      </c>
      <c r="AB9" s="3" t="s">
        <v>40</v>
      </c>
      <c r="AC9">
        <v>115</v>
      </c>
      <c r="AD9" s="3" t="str">
        <f t="shared" si="11"/>
        <v>115</v>
      </c>
      <c r="AE9">
        <v>73</v>
      </c>
      <c r="AF9" s="3" t="str">
        <f t="shared" si="12"/>
        <v>73</v>
      </c>
      <c r="AG9" t="s">
        <v>33</v>
      </c>
      <c r="AH9" s="3">
        <v>18.11</v>
      </c>
      <c r="AI9" s="3">
        <f t="shared" si="13"/>
        <v>18.11</v>
      </c>
      <c r="AJ9" t="s">
        <v>30</v>
      </c>
      <c r="AK9" t="str">
        <f>PROPER(Table1[[#This Row],[CVD Risk Level]])</f>
        <v>High</v>
      </c>
    </row>
    <row r="10" spans="1:37" x14ac:dyDescent="0.3">
      <c r="A10" t="s">
        <v>20</v>
      </c>
      <c r="B10">
        <v>37</v>
      </c>
      <c r="C10" s="8">
        <f t="shared" si="2"/>
        <v>37</v>
      </c>
      <c r="D10" s="5">
        <v>110.1</v>
      </c>
      <c r="E10" s="8">
        <f t="shared" si="3"/>
        <v>110.1</v>
      </c>
      <c r="F10">
        <v>1.86</v>
      </c>
      <c r="G10" s="3">
        <f t="shared" si="4"/>
        <v>1.86</v>
      </c>
      <c r="H10">
        <v>31.8</v>
      </c>
      <c r="I10" s="5">
        <f t="shared" si="0"/>
        <v>31.8</v>
      </c>
      <c r="J10" s="16" t="str">
        <f t="shared" si="5"/>
        <v>Obese</v>
      </c>
      <c r="K10">
        <v>92.4</v>
      </c>
      <c r="L10">
        <v>0.497</v>
      </c>
      <c r="M10" s="11">
        <f t="shared" si="1"/>
        <v>0.497</v>
      </c>
      <c r="N10" s="5">
        <f t="shared" si="6"/>
        <v>92.4</v>
      </c>
      <c r="O10">
        <v>177</v>
      </c>
      <c r="P10">
        <v>68</v>
      </c>
      <c r="Q10" s="8">
        <f t="shared" si="7"/>
        <v>68</v>
      </c>
      <c r="R10" s="8">
        <v>79</v>
      </c>
      <c r="S10" s="8">
        <f t="shared" si="8"/>
        <v>79</v>
      </c>
      <c r="T10" s="8">
        <f>(Table1[[#This Row],[Total Cholesterol (mg/dL)]]+Table1[[#This Row],[HDL (mg/dL)2]]+Table1[[#This Row],[Estimated LDL (mg/dL)2]])*5</f>
        <v>1620</v>
      </c>
      <c r="U10" s="8">
        <f>IF(O10="",Table1[[#This Row],[Estimated LDL (mg/dL)2]]+Table1[[#This Row],[HDL (mg/dL)2]]+(Table1[[#This Row],[Triglycerides]]/5),O10)</f>
        <v>177</v>
      </c>
      <c r="V10">
        <v>70</v>
      </c>
      <c r="W10" s="8">
        <f t="shared" si="9"/>
        <v>70</v>
      </c>
      <c r="X10" t="str">
        <f t="shared" si="10"/>
        <v>Normal</v>
      </c>
      <c r="Y10" t="s">
        <v>23</v>
      </c>
      <c r="Z10" t="s">
        <v>22</v>
      </c>
      <c r="AA10" t="s">
        <v>28</v>
      </c>
      <c r="AB10" s="3" t="s">
        <v>41</v>
      </c>
      <c r="AD10" s="3" t="str">
        <f t="shared" si="11"/>
        <v>107</v>
      </c>
      <c r="AE10">
        <v>95</v>
      </c>
      <c r="AF10" s="3" t="str">
        <f t="shared" si="12"/>
        <v>95</v>
      </c>
      <c r="AG10" t="s">
        <v>38</v>
      </c>
      <c r="AH10" s="3">
        <v>15.25</v>
      </c>
      <c r="AI10" s="3">
        <f t="shared" si="13"/>
        <v>15.25</v>
      </c>
      <c r="AJ10" t="s">
        <v>26</v>
      </c>
      <c r="AK10" t="str">
        <f>PROPER(Table1[[#This Row],[CVD Risk Level]])</f>
        <v>Intermediary</v>
      </c>
    </row>
    <row r="11" spans="1:37" x14ac:dyDescent="0.3">
      <c r="A11" t="s">
        <v>20</v>
      </c>
      <c r="B11">
        <v>58</v>
      </c>
      <c r="C11" s="8">
        <f t="shared" si="2"/>
        <v>58</v>
      </c>
      <c r="D11" s="5">
        <v>97.6</v>
      </c>
      <c r="E11" s="8">
        <f t="shared" si="3"/>
        <v>97.6</v>
      </c>
      <c r="F11">
        <v>1.86</v>
      </c>
      <c r="G11" s="3">
        <f t="shared" si="4"/>
        <v>1.86</v>
      </c>
      <c r="H11">
        <v>28.2</v>
      </c>
      <c r="I11" s="5">
        <f t="shared" si="0"/>
        <v>28.2</v>
      </c>
      <c r="J11" s="16" t="str">
        <f t="shared" si="5"/>
        <v>Overweight</v>
      </c>
      <c r="K11">
        <v>74.599999999999994</v>
      </c>
      <c r="L11">
        <v>0.40100000000000002</v>
      </c>
      <c r="M11" s="11">
        <f t="shared" si="1"/>
        <v>0.40100000000000002</v>
      </c>
      <c r="N11" s="5">
        <f t="shared" si="6"/>
        <v>74.599999999999994</v>
      </c>
      <c r="O11">
        <v>281</v>
      </c>
      <c r="P11">
        <v>68</v>
      </c>
      <c r="Q11" s="8">
        <f t="shared" si="7"/>
        <v>68</v>
      </c>
      <c r="R11" s="8">
        <v>183</v>
      </c>
      <c r="S11" s="8">
        <f t="shared" si="8"/>
        <v>183</v>
      </c>
      <c r="T11" s="8">
        <f>(Table1[[#This Row],[Total Cholesterol (mg/dL)]]+Table1[[#This Row],[HDL (mg/dL)2]]+Table1[[#This Row],[Estimated LDL (mg/dL)2]])*5</f>
        <v>2660</v>
      </c>
      <c r="U11" s="8">
        <f>IF(O11="",Table1[[#This Row],[Estimated LDL (mg/dL)2]]+Table1[[#This Row],[HDL (mg/dL)2]]+(Table1[[#This Row],[Triglycerides]]/5),O11)</f>
        <v>281</v>
      </c>
      <c r="V11">
        <v>126</v>
      </c>
      <c r="W11" s="8">
        <f t="shared" si="9"/>
        <v>126</v>
      </c>
      <c r="X11" t="str">
        <f t="shared" si="10"/>
        <v>Diabetes</v>
      </c>
      <c r="Y11" t="s">
        <v>22</v>
      </c>
      <c r="Z11" t="s">
        <v>22</v>
      </c>
      <c r="AA11" t="s">
        <v>37</v>
      </c>
      <c r="AB11" s="3" t="s">
        <v>42</v>
      </c>
      <c r="AC11">
        <v>133</v>
      </c>
      <c r="AD11" s="3" t="str">
        <f t="shared" si="11"/>
        <v>133</v>
      </c>
      <c r="AE11">
        <v>83</v>
      </c>
      <c r="AF11" s="3" t="str">
        <f t="shared" si="12"/>
        <v>83</v>
      </c>
      <c r="AG11" t="s">
        <v>29</v>
      </c>
      <c r="AH11" s="3">
        <v>17.91</v>
      </c>
      <c r="AI11" s="3">
        <f t="shared" si="13"/>
        <v>17.91</v>
      </c>
      <c r="AJ11" t="s">
        <v>26</v>
      </c>
      <c r="AK11" t="str">
        <f>PROPER(Table1[[#This Row],[CVD Risk Level]])</f>
        <v>Intermediary</v>
      </c>
    </row>
    <row r="12" spans="1:37" x14ac:dyDescent="0.3">
      <c r="A12" t="s">
        <v>20</v>
      </c>
      <c r="B12">
        <v>38</v>
      </c>
      <c r="C12" s="8">
        <f t="shared" si="2"/>
        <v>38</v>
      </c>
      <c r="D12" s="5">
        <v>75.599999999999994</v>
      </c>
      <c r="E12" s="8">
        <f t="shared" si="3"/>
        <v>75.599999999999994</v>
      </c>
      <c r="F12">
        <v>1.6</v>
      </c>
      <c r="G12" s="3">
        <f t="shared" si="4"/>
        <v>1.6</v>
      </c>
      <c r="H12">
        <v>29.5</v>
      </c>
      <c r="I12" s="5">
        <f t="shared" si="0"/>
        <v>29.5</v>
      </c>
      <c r="J12" s="16" t="str">
        <f t="shared" si="5"/>
        <v>Overweight</v>
      </c>
      <c r="K12">
        <v>72.3</v>
      </c>
      <c r="L12">
        <v>0.45200000000000001</v>
      </c>
      <c r="M12" s="11">
        <f t="shared" si="1"/>
        <v>0.45200000000000001</v>
      </c>
      <c r="N12" s="5">
        <f t="shared" si="6"/>
        <v>72.3</v>
      </c>
      <c r="O12">
        <v>269</v>
      </c>
      <c r="P12">
        <v>61</v>
      </c>
      <c r="Q12" s="8">
        <f t="shared" si="7"/>
        <v>61</v>
      </c>
      <c r="R12" s="8">
        <v>178</v>
      </c>
      <c r="S12" s="8">
        <f t="shared" si="8"/>
        <v>178</v>
      </c>
      <c r="T12" s="8">
        <f>(Table1[[#This Row],[Total Cholesterol (mg/dL)]]+Table1[[#This Row],[HDL (mg/dL)2]]+Table1[[#This Row],[Estimated LDL (mg/dL)2]])*5</f>
        <v>2540</v>
      </c>
      <c r="U12" s="8">
        <f>IF(O12="",Table1[[#This Row],[Estimated LDL (mg/dL)2]]+Table1[[#This Row],[HDL (mg/dL)2]]+(Table1[[#This Row],[Triglycerides]]/5),O12)</f>
        <v>269</v>
      </c>
      <c r="V12">
        <v>74</v>
      </c>
      <c r="W12" s="8">
        <f t="shared" si="9"/>
        <v>74</v>
      </c>
      <c r="X12" t="str">
        <f t="shared" si="10"/>
        <v>Normal</v>
      </c>
      <c r="Y12" t="s">
        <v>23</v>
      </c>
      <c r="Z12" t="s">
        <v>23</v>
      </c>
      <c r="AA12" t="s">
        <v>24</v>
      </c>
      <c r="AB12" s="3" t="s">
        <v>43</v>
      </c>
      <c r="AC12">
        <v>129</v>
      </c>
      <c r="AD12" s="3" t="str">
        <f t="shared" si="11"/>
        <v>129</v>
      </c>
      <c r="AE12">
        <v>87</v>
      </c>
      <c r="AF12" s="3" t="str">
        <f t="shared" si="12"/>
        <v>87</v>
      </c>
      <c r="AG12" t="s">
        <v>29</v>
      </c>
      <c r="AH12" s="3">
        <v>19.73</v>
      </c>
      <c r="AI12" s="3">
        <f t="shared" si="13"/>
        <v>19.73</v>
      </c>
      <c r="AJ12" t="s">
        <v>30</v>
      </c>
      <c r="AK12" t="str">
        <f>PROPER(Table1[[#This Row],[CVD Risk Level]])</f>
        <v>High</v>
      </c>
    </row>
    <row r="13" spans="1:37" x14ac:dyDescent="0.3">
      <c r="A13" t="s">
        <v>20</v>
      </c>
      <c r="B13">
        <v>32</v>
      </c>
      <c r="C13" s="8">
        <f t="shared" si="2"/>
        <v>32</v>
      </c>
      <c r="D13" s="5">
        <v>90.2</v>
      </c>
      <c r="E13" s="8">
        <f t="shared" si="3"/>
        <v>90.2</v>
      </c>
      <c r="F13">
        <v>1.85</v>
      </c>
      <c r="G13" s="3">
        <f t="shared" si="4"/>
        <v>1.85</v>
      </c>
      <c r="H13">
        <v>26.4</v>
      </c>
      <c r="I13" s="5">
        <f t="shared" si="0"/>
        <v>26.4</v>
      </c>
      <c r="J13" s="16" t="str">
        <f t="shared" si="5"/>
        <v>Overweight</v>
      </c>
      <c r="K13">
        <v>71.8</v>
      </c>
      <c r="L13">
        <v>0.38800000000000001</v>
      </c>
      <c r="M13" s="11">
        <f t="shared" si="1"/>
        <v>0.38800000000000001</v>
      </c>
      <c r="N13" s="5">
        <f t="shared" si="6"/>
        <v>71.8</v>
      </c>
      <c r="O13">
        <v>231</v>
      </c>
      <c r="P13">
        <v>53</v>
      </c>
      <c r="Q13" s="8">
        <f t="shared" si="7"/>
        <v>53</v>
      </c>
      <c r="R13" s="8">
        <v>148</v>
      </c>
      <c r="S13" s="8">
        <f t="shared" si="8"/>
        <v>148</v>
      </c>
      <c r="T13" s="8">
        <f>(Table1[[#This Row],[Total Cholesterol (mg/dL)]]+Table1[[#This Row],[HDL (mg/dL)2]]+Table1[[#This Row],[Estimated LDL (mg/dL)2]])*5</f>
        <v>2160</v>
      </c>
      <c r="U13" s="8">
        <f>IF(O13="",Table1[[#This Row],[Estimated LDL (mg/dL)2]]+Table1[[#This Row],[HDL (mg/dL)2]]+(Table1[[#This Row],[Triglycerides]]/5),O13)</f>
        <v>231</v>
      </c>
      <c r="V13">
        <v>121</v>
      </c>
      <c r="W13" s="8">
        <f t="shared" si="9"/>
        <v>121</v>
      </c>
      <c r="X13" t="str">
        <f t="shared" si="10"/>
        <v>Prediabetes</v>
      </c>
      <c r="Y13" t="s">
        <v>22</v>
      </c>
      <c r="Z13" t="s">
        <v>23</v>
      </c>
      <c r="AA13" t="s">
        <v>37</v>
      </c>
      <c r="AB13" s="3" t="s">
        <v>44</v>
      </c>
      <c r="AC13">
        <v>134</v>
      </c>
      <c r="AD13" s="3" t="str">
        <f t="shared" si="11"/>
        <v>134</v>
      </c>
      <c r="AE13">
        <v>91</v>
      </c>
      <c r="AF13" s="3" t="str">
        <f t="shared" si="12"/>
        <v>91</v>
      </c>
      <c r="AG13" t="s">
        <v>29</v>
      </c>
      <c r="AH13" s="3">
        <v>18.600000000000001</v>
      </c>
      <c r="AI13" s="3">
        <f t="shared" si="13"/>
        <v>18.600000000000001</v>
      </c>
      <c r="AJ13" t="s">
        <v>26</v>
      </c>
      <c r="AK13" t="str">
        <f>PROPER(Table1[[#This Row],[CVD Risk Level]])</f>
        <v>Intermediary</v>
      </c>
    </row>
    <row r="14" spans="1:37" x14ac:dyDescent="0.3">
      <c r="A14" t="s">
        <v>31</v>
      </c>
      <c r="B14">
        <v>48</v>
      </c>
      <c r="C14" s="8">
        <f t="shared" si="2"/>
        <v>48</v>
      </c>
      <c r="E14" s="8">
        <f t="shared" si="3"/>
        <v>88.2</v>
      </c>
      <c r="F14">
        <v>1.75</v>
      </c>
      <c r="G14" s="3">
        <f t="shared" si="4"/>
        <v>1.75</v>
      </c>
      <c r="H14">
        <v>28.8</v>
      </c>
      <c r="I14" s="5">
        <f t="shared" si="0"/>
        <v>28.8</v>
      </c>
      <c r="J14" s="16" t="str">
        <f t="shared" si="5"/>
        <v>Overweight</v>
      </c>
      <c r="K14">
        <v>79.7</v>
      </c>
      <c r="L14">
        <v>0.44800000000000001</v>
      </c>
      <c r="M14" s="11">
        <f t="shared" si="1"/>
        <v>0.44800000000000001</v>
      </c>
      <c r="N14" s="5">
        <f t="shared" si="6"/>
        <v>79.7</v>
      </c>
      <c r="O14">
        <v>245</v>
      </c>
      <c r="P14">
        <v>72</v>
      </c>
      <c r="Q14" s="8">
        <f t="shared" si="7"/>
        <v>72</v>
      </c>
      <c r="R14" s="8">
        <v>143</v>
      </c>
      <c r="S14" s="8">
        <f>IF(R14&lt;=0,MEDIAN($R$2:$R$1530),R14)</f>
        <v>143</v>
      </c>
      <c r="T14" s="8">
        <f>(Table1[[#This Row],[Total Cholesterol (mg/dL)]]+Table1[[#This Row],[HDL (mg/dL)2]]+Table1[[#This Row],[Estimated LDL (mg/dL)2]])*5</f>
        <v>2300</v>
      </c>
      <c r="U14" s="8">
        <f>IF(O14="",Table1[[#This Row],[Estimated LDL (mg/dL)2]]+Table1[[#This Row],[HDL (mg/dL)2]]+(Table1[[#This Row],[Triglycerides]]/5),O14)</f>
        <v>245</v>
      </c>
      <c r="V14">
        <v>97</v>
      </c>
      <c r="W14" s="8">
        <f t="shared" si="9"/>
        <v>97</v>
      </c>
      <c r="X14" t="str">
        <f t="shared" si="10"/>
        <v>Normal</v>
      </c>
      <c r="Y14" t="s">
        <v>23</v>
      </c>
      <c r="Z14" t="s">
        <v>22</v>
      </c>
      <c r="AA14" t="s">
        <v>24</v>
      </c>
      <c r="AB14" s="3" t="s">
        <v>45</v>
      </c>
      <c r="AC14">
        <v>102</v>
      </c>
      <c r="AD14" s="3" t="str">
        <f t="shared" si="11"/>
        <v>102</v>
      </c>
      <c r="AE14">
        <v>63</v>
      </c>
      <c r="AF14" s="3" t="str">
        <f t="shared" si="12"/>
        <v>63</v>
      </c>
      <c r="AG14" t="s">
        <v>33</v>
      </c>
      <c r="AH14" s="3">
        <v>15.76</v>
      </c>
      <c r="AI14" s="3">
        <f t="shared" si="13"/>
        <v>15.76</v>
      </c>
      <c r="AJ14" t="s">
        <v>30</v>
      </c>
      <c r="AK14" t="str">
        <f>PROPER(Table1[[#This Row],[CVD Risk Level]])</f>
        <v>High</v>
      </c>
    </row>
    <row r="15" spans="1:37" x14ac:dyDescent="0.3">
      <c r="A15" t="s">
        <v>31</v>
      </c>
      <c r="B15">
        <v>38</v>
      </c>
      <c r="C15" s="8">
        <f t="shared" si="2"/>
        <v>38</v>
      </c>
      <c r="D15" s="5">
        <v>117</v>
      </c>
      <c r="E15" s="8">
        <f t="shared" si="3"/>
        <v>117</v>
      </c>
      <c r="F15">
        <v>1.81</v>
      </c>
      <c r="G15" s="3">
        <f t="shared" si="4"/>
        <v>1.81</v>
      </c>
      <c r="H15">
        <v>35.700000000000003</v>
      </c>
      <c r="I15" s="5">
        <f t="shared" si="0"/>
        <v>35.700000000000003</v>
      </c>
      <c r="J15" s="16" t="str">
        <f t="shared" si="5"/>
        <v>Obese</v>
      </c>
      <c r="K15">
        <v>79.3</v>
      </c>
      <c r="L15">
        <v>0.438</v>
      </c>
      <c r="M15" s="11">
        <f t="shared" si="1"/>
        <v>0.438</v>
      </c>
      <c r="N15" s="5">
        <f t="shared" si="6"/>
        <v>79.3</v>
      </c>
      <c r="O15">
        <v>206</v>
      </c>
      <c r="P15">
        <v>51</v>
      </c>
      <c r="Q15" s="8">
        <f t="shared" si="7"/>
        <v>51</v>
      </c>
      <c r="R15" s="8">
        <v>125</v>
      </c>
      <c r="S15" s="8">
        <f t="shared" si="8"/>
        <v>125</v>
      </c>
      <c r="T15" s="8">
        <f>(Table1[[#This Row],[Total Cholesterol (mg/dL)]]+Table1[[#This Row],[HDL (mg/dL)2]]+Table1[[#This Row],[Estimated LDL (mg/dL)2]])*5</f>
        <v>1910</v>
      </c>
      <c r="U15" s="8">
        <f>IF(O15="",Table1[[#This Row],[Estimated LDL (mg/dL)2]]+Table1[[#This Row],[HDL (mg/dL)2]]+(Table1[[#This Row],[Triglycerides]]/5),O15)</f>
        <v>206</v>
      </c>
      <c r="V15">
        <v>122</v>
      </c>
      <c r="W15" s="8">
        <f t="shared" si="9"/>
        <v>122</v>
      </c>
      <c r="X15" t="str">
        <f t="shared" si="10"/>
        <v>Prediabetes</v>
      </c>
      <c r="Y15" t="s">
        <v>23</v>
      </c>
      <c r="Z15" t="s">
        <v>23</v>
      </c>
      <c r="AA15" t="s">
        <v>28</v>
      </c>
      <c r="AB15" s="3" t="s">
        <v>46</v>
      </c>
      <c r="AC15">
        <v>142</v>
      </c>
      <c r="AD15" s="3" t="str">
        <f t="shared" si="11"/>
        <v>142</v>
      </c>
      <c r="AE15">
        <v>92</v>
      </c>
      <c r="AF15" s="3" t="str">
        <f t="shared" si="12"/>
        <v>92</v>
      </c>
      <c r="AG15" t="s">
        <v>38</v>
      </c>
      <c r="AH15" s="3">
        <v>20.36</v>
      </c>
      <c r="AI15" s="3">
        <f t="shared" si="13"/>
        <v>20.36</v>
      </c>
      <c r="AJ15" t="s">
        <v>30</v>
      </c>
      <c r="AK15" t="str">
        <f>PROPER(Table1[[#This Row],[CVD Risk Level]])</f>
        <v>High</v>
      </c>
    </row>
    <row r="16" spans="1:37" x14ac:dyDescent="0.3">
      <c r="A16" t="s">
        <v>31</v>
      </c>
      <c r="B16">
        <v>58</v>
      </c>
      <c r="C16" s="8">
        <f t="shared" si="2"/>
        <v>58</v>
      </c>
      <c r="D16" s="5">
        <v>104.2</v>
      </c>
      <c r="E16" s="8">
        <f t="shared" si="3"/>
        <v>104.2</v>
      </c>
      <c r="F16">
        <v>1.73</v>
      </c>
      <c r="G16" s="3">
        <f t="shared" si="4"/>
        <v>1.73</v>
      </c>
      <c r="H16">
        <v>34.799999999999997</v>
      </c>
      <c r="I16" s="5">
        <f t="shared" si="0"/>
        <v>34.799999999999997</v>
      </c>
      <c r="J16" s="16" t="str">
        <f t="shared" si="5"/>
        <v>Obese</v>
      </c>
      <c r="K16">
        <v>108.4</v>
      </c>
      <c r="L16">
        <v>0.627</v>
      </c>
      <c r="M16" s="11">
        <f t="shared" si="1"/>
        <v>0.627</v>
      </c>
      <c r="N16" s="5">
        <f t="shared" si="6"/>
        <v>108.4</v>
      </c>
      <c r="P16">
        <v>68</v>
      </c>
      <c r="Q16" s="8">
        <f t="shared" si="7"/>
        <v>68</v>
      </c>
      <c r="R16" s="8">
        <v>190</v>
      </c>
      <c r="S16" s="8">
        <f t="shared" si="8"/>
        <v>190</v>
      </c>
      <c r="T16" s="8">
        <f>(Table1[[#This Row],[Total Cholesterol (mg/dL)]]+Table1[[#This Row],[HDL (mg/dL)2]]+Table1[[#This Row],[Estimated LDL (mg/dL)2]])*5</f>
        <v>1290</v>
      </c>
      <c r="U16" s="8">
        <f>IF(O16="",Table1[[#This Row],[Estimated LDL (mg/dL)2]]+Table1[[#This Row],[HDL (mg/dL)2]]+(Table1[[#This Row],[Triglycerides]]/5),O16)</f>
        <v>516</v>
      </c>
      <c r="V16">
        <v>142</v>
      </c>
      <c r="W16" s="8">
        <f t="shared" si="9"/>
        <v>142</v>
      </c>
      <c r="X16" t="str">
        <f t="shared" si="10"/>
        <v>Diabetes</v>
      </c>
      <c r="Y16" t="s">
        <v>23</v>
      </c>
      <c r="Z16" t="s">
        <v>23</v>
      </c>
      <c r="AA16" t="s">
        <v>24</v>
      </c>
      <c r="AB16" s="3" t="s">
        <v>47</v>
      </c>
      <c r="AC16">
        <v>101</v>
      </c>
      <c r="AD16" s="3" t="str">
        <f t="shared" si="11"/>
        <v>101</v>
      </c>
      <c r="AE16">
        <v>64</v>
      </c>
      <c r="AF16" s="3" t="str">
        <f t="shared" si="12"/>
        <v>64</v>
      </c>
      <c r="AG16" t="s">
        <v>33</v>
      </c>
      <c r="AI16" s="3">
        <f t="shared" si="13"/>
        <v>16.960925291295425</v>
      </c>
      <c r="AJ16" t="s">
        <v>30</v>
      </c>
      <c r="AK16" t="str">
        <f>PROPER(Table1[[#This Row],[CVD Risk Level]])</f>
        <v>High</v>
      </c>
    </row>
    <row r="17" spans="1:37" x14ac:dyDescent="0.3">
      <c r="A17" t="s">
        <v>31</v>
      </c>
      <c r="B17">
        <v>38</v>
      </c>
      <c r="C17" s="8">
        <f t="shared" si="2"/>
        <v>38</v>
      </c>
      <c r="D17" s="5">
        <v>116.5</v>
      </c>
      <c r="E17" s="8">
        <f t="shared" si="3"/>
        <v>116.5</v>
      </c>
      <c r="F17">
        <v>1.64</v>
      </c>
      <c r="G17" s="3">
        <f t="shared" si="4"/>
        <v>1.64</v>
      </c>
      <c r="H17">
        <v>43.3</v>
      </c>
      <c r="I17" s="5">
        <f t="shared" si="0"/>
        <v>43.3</v>
      </c>
      <c r="J17" s="16" t="str">
        <f t="shared" si="5"/>
        <v>Obese</v>
      </c>
      <c r="K17">
        <v>76.7</v>
      </c>
      <c r="L17">
        <v>0.46800000000000003</v>
      </c>
      <c r="M17" s="11">
        <f t="shared" si="1"/>
        <v>0.46800000000000003</v>
      </c>
      <c r="N17" s="5">
        <f t="shared" si="6"/>
        <v>76.7</v>
      </c>
      <c r="O17">
        <v>115</v>
      </c>
      <c r="P17">
        <v>41</v>
      </c>
      <c r="Q17" s="8">
        <f t="shared" si="7"/>
        <v>41</v>
      </c>
      <c r="R17" s="8">
        <v>44</v>
      </c>
      <c r="S17" s="8">
        <f t="shared" si="8"/>
        <v>44</v>
      </c>
      <c r="T17" s="8">
        <f>(Table1[[#This Row],[Total Cholesterol (mg/dL)]]+Table1[[#This Row],[HDL (mg/dL)2]]+Table1[[#This Row],[Estimated LDL (mg/dL)2]])*5</f>
        <v>1000</v>
      </c>
      <c r="U17" s="8">
        <f>IF(O17="",Table1[[#This Row],[Estimated LDL (mg/dL)2]]+Table1[[#This Row],[HDL (mg/dL)2]]+(Table1[[#This Row],[Triglycerides]]/5),O17)</f>
        <v>115</v>
      </c>
      <c r="V17">
        <v>111</v>
      </c>
      <c r="W17" s="8">
        <f t="shared" si="9"/>
        <v>111</v>
      </c>
      <c r="X17" t="str">
        <f t="shared" si="10"/>
        <v>Prediabetes</v>
      </c>
      <c r="Y17" t="s">
        <v>22</v>
      </c>
      <c r="Z17" t="s">
        <v>22</v>
      </c>
      <c r="AA17" t="s">
        <v>24</v>
      </c>
      <c r="AB17" s="3" t="s">
        <v>48</v>
      </c>
      <c r="AC17">
        <v>101</v>
      </c>
      <c r="AD17" s="3" t="str">
        <f t="shared" si="11"/>
        <v>101</v>
      </c>
      <c r="AE17">
        <v>67</v>
      </c>
      <c r="AF17" s="3" t="str">
        <f t="shared" si="12"/>
        <v>67</v>
      </c>
      <c r="AG17" t="s">
        <v>33</v>
      </c>
      <c r="AH17" s="3">
        <v>16.010000000000002</v>
      </c>
      <c r="AI17" s="3">
        <f t="shared" si="13"/>
        <v>16.010000000000002</v>
      </c>
      <c r="AJ17" t="s">
        <v>26</v>
      </c>
      <c r="AK17" t="str">
        <f>PROPER(Table1[[#This Row],[CVD Risk Level]])</f>
        <v>Intermediary</v>
      </c>
    </row>
    <row r="18" spans="1:37" x14ac:dyDescent="0.3">
      <c r="A18" t="s">
        <v>20</v>
      </c>
      <c r="B18">
        <v>41</v>
      </c>
      <c r="C18" s="8">
        <f t="shared" si="2"/>
        <v>41</v>
      </c>
      <c r="D18" s="5">
        <v>60.8</v>
      </c>
      <c r="E18" s="8">
        <f t="shared" si="3"/>
        <v>60.8</v>
      </c>
      <c r="F18">
        <v>1.68</v>
      </c>
      <c r="G18" s="3">
        <f t="shared" si="4"/>
        <v>1.68</v>
      </c>
      <c r="H18">
        <v>21.5</v>
      </c>
      <c r="I18" s="5">
        <f t="shared" si="0"/>
        <v>21.5</v>
      </c>
      <c r="J18" s="16" t="str">
        <f t="shared" si="5"/>
        <v>Normal</v>
      </c>
      <c r="K18">
        <v>77.099999999999994</v>
      </c>
      <c r="M18" s="11">
        <f t="shared" si="1"/>
        <v>0.45892857142857141</v>
      </c>
      <c r="N18" s="5">
        <f t="shared" si="6"/>
        <v>77.099999999999994</v>
      </c>
      <c r="P18">
        <v>60</v>
      </c>
      <c r="Q18" s="8">
        <f t="shared" si="7"/>
        <v>60</v>
      </c>
      <c r="R18" s="8">
        <v>138</v>
      </c>
      <c r="S18" s="8">
        <f t="shared" si="8"/>
        <v>138</v>
      </c>
      <c r="T18" s="8">
        <f>(Table1[[#This Row],[Total Cholesterol (mg/dL)]]+Table1[[#This Row],[HDL (mg/dL)2]]+Table1[[#This Row],[Estimated LDL (mg/dL)2]])*5</f>
        <v>990</v>
      </c>
      <c r="U18" s="8">
        <f>IF(O18="",Table1[[#This Row],[Estimated LDL (mg/dL)2]]+Table1[[#This Row],[HDL (mg/dL)2]]+(Table1[[#This Row],[Triglycerides]]/5),O18)</f>
        <v>396</v>
      </c>
      <c r="W18" s="8">
        <f t="shared" si="9"/>
        <v>117.48563611491107</v>
      </c>
      <c r="X18" t="str">
        <f t="shared" si="10"/>
        <v>Prediabetes</v>
      </c>
      <c r="Y18" t="s">
        <v>23</v>
      </c>
      <c r="Z18" t="s">
        <v>23</v>
      </c>
      <c r="AA18" t="s">
        <v>24</v>
      </c>
      <c r="AB18" s="3" t="s">
        <v>49</v>
      </c>
      <c r="AC18">
        <v>138</v>
      </c>
      <c r="AD18" s="3" t="str">
        <f t="shared" si="11"/>
        <v>138</v>
      </c>
      <c r="AE18">
        <v>99</v>
      </c>
      <c r="AF18" s="3" t="str">
        <f t="shared" si="12"/>
        <v>99</v>
      </c>
      <c r="AG18" t="s">
        <v>29</v>
      </c>
      <c r="AH18" s="3">
        <v>17.760000000000002</v>
      </c>
      <c r="AI18" s="3">
        <f t="shared" si="13"/>
        <v>17.760000000000002</v>
      </c>
      <c r="AJ18" t="s">
        <v>30</v>
      </c>
      <c r="AK18" t="str">
        <f>PROPER(Table1[[#This Row],[CVD Risk Level]])</f>
        <v>High</v>
      </c>
    </row>
    <row r="19" spans="1:37" x14ac:dyDescent="0.3">
      <c r="A19" t="s">
        <v>31</v>
      </c>
      <c r="B19">
        <v>57</v>
      </c>
      <c r="C19" s="8">
        <f t="shared" si="2"/>
        <v>57</v>
      </c>
      <c r="D19" s="5">
        <v>94.5</v>
      </c>
      <c r="E19" s="8">
        <f t="shared" si="3"/>
        <v>94.5</v>
      </c>
      <c r="F19">
        <v>1.8</v>
      </c>
      <c r="G19" s="3">
        <f t="shared" si="4"/>
        <v>1.8</v>
      </c>
      <c r="H19">
        <v>29.2</v>
      </c>
      <c r="I19" s="5">
        <f t="shared" si="0"/>
        <v>29.2</v>
      </c>
      <c r="J19" s="16" t="str">
        <f t="shared" si="5"/>
        <v>Overweight</v>
      </c>
      <c r="K19">
        <v>89.9</v>
      </c>
      <c r="L19">
        <v>0.499</v>
      </c>
      <c r="M19" s="11">
        <f t="shared" si="1"/>
        <v>0.499</v>
      </c>
      <c r="N19" s="5">
        <f t="shared" si="6"/>
        <v>89.9</v>
      </c>
      <c r="P19">
        <v>64</v>
      </c>
      <c r="Q19" s="8">
        <f t="shared" si="7"/>
        <v>64</v>
      </c>
      <c r="R19" s="8">
        <v>78</v>
      </c>
      <c r="S19" s="8">
        <f t="shared" si="8"/>
        <v>78</v>
      </c>
      <c r="T19" s="8">
        <f>(Table1[[#This Row],[Total Cholesterol (mg/dL)]]+Table1[[#This Row],[HDL (mg/dL)2]]+Table1[[#This Row],[Estimated LDL (mg/dL)2]])*5</f>
        <v>710</v>
      </c>
      <c r="U19" s="8">
        <f>IF(O19="",Table1[[#This Row],[Estimated LDL (mg/dL)2]]+Table1[[#This Row],[HDL (mg/dL)2]]+(Table1[[#This Row],[Triglycerides]]/5),O19)</f>
        <v>284</v>
      </c>
      <c r="V19">
        <v>109</v>
      </c>
      <c r="W19" s="8">
        <f t="shared" si="9"/>
        <v>109</v>
      </c>
      <c r="X19" t="str">
        <f t="shared" si="10"/>
        <v>Prediabetes</v>
      </c>
      <c r="Y19" t="s">
        <v>22</v>
      </c>
      <c r="Z19" t="s">
        <v>23</v>
      </c>
      <c r="AA19" t="s">
        <v>37</v>
      </c>
      <c r="AB19" s="3" t="s">
        <v>50</v>
      </c>
      <c r="AC19">
        <v>129</v>
      </c>
      <c r="AD19" s="3" t="str">
        <f t="shared" si="11"/>
        <v>129</v>
      </c>
      <c r="AE19">
        <v>100</v>
      </c>
      <c r="AF19" s="3" t="str">
        <f t="shared" si="12"/>
        <v>100</v>
      </c>
      <c r="AG19" t="s">
        <v>38</v>
      </c>
      <c r="AH19" s="3">
        <v>17.73</v>
      </c>
      <c r="AI19" s="3">
        <f t="shared" si="13"/>
        <v>17.73</v>
      </c>
      <c r="AJ19" t="s">
        <v>26</v>
      </c>
      <c r="AK19" t="str">
        <f>PROPER(Table1[[#This Row],[CVD Risk Level]])</f>
        <v>Intermediary</v>
      </c>
    </row>
    <row r="20" spans="1:37" x14ac:dyDescent="0.3">
      <c r="A20" t="s">
        <v>20</v>
      </c>
      <c r="B20">
        <v>41</v>
      </c>
      <c r="C20" s="8">
        <f t="shared" si="2"/>
        <v>41</v>
      </c>
      <c r="D20" s="5">
        <v>58.3</v>
      </c>
      <c r="E20" s="8">
        <f t="shared" si="3"/>
        <v>58.3</v>
      </c>
      <c r="F20">
        <v>1.85</v>
      </c>
      <c r="G20" s="3">
        <f t="shared" si="4"/>
        <v>1.85</v>
      </c>
      <c r="H20">
        <v>17</v>
      </c>
      <c r="I20" s="5">
        <f t="shared" si="0"/>
        <v>17</v>
      </c>
      <c r="J20" s="16" t="str">
        <f t="shared" si="5"/>
        <v>Underweight</v>
      </c>
      <c r="K20">
        <v>100.6</v>
      </c>
      <c r="M20" s="11">
        <f t="shared" si="1"/>
        <v>0.54378378378378378</v>
      </c>
      <c r="N20" s="5">
        <f t="shared" si="6"/>
        <v>100.6</v>
      </c>
      <c r="O20">
        <v>167</v>
      </c>
      <c r="P20">
        <v>51</v>
      </c>
      <c r="Q20" s="8">
        <f t="shared" si="7"/>
        <v>51</v>
      </c>
      <c r="R20" s="8">
        <v>86</v>
      </c>
      <c r="S20" s="8">
        <f t="shared" si="8"/>
        <v>86</v>
      </c>
      <c r="T20" s="8">
        <f>(Table1[[#This Row],[Total Cholesterol (mg/dL)]]+Table1[[#This Row],[HDL (mg/dL)2]]+Table1[[#This Row],[Estimated LDL (mg/dL)2]])*5</f>
        <v>1520</v>
      </c>
      <c r="U20" s="8">
        <f>IF(O20="",Table1[[#This Row],[Estimated LDL (mg/dL)2]]+Table1[[#This Row],[HDL (mg/dL)2]]+(Table1[[#This Row],[Triglycerides]]/5),O20)</f>
        <v>167</v>
      </c>
      <c r="V20">
        <v>135</v>
      </c>
      <c r="W20" s="8">
        <f t="shared" si="9"/>
        <v>135</v>
      </c>
      <c r="X20" t="str">
        <f t="shared" si="10"/>
        <v>Diabetes</v>
      </c>
      <c r="Y20" t="s">
        <v>22</v>
      </c>
      <c r="Z20" t="s">
        <v>22</v>
      </c>
      <c r="AA20" t="s">
        <v>37</v>
      </c>
      <c r="AB20" s="3" t="s">
        <v>51</v>
      </c>
      <c r="AC20">
        <v>138</v>
      </c>
      <c r="AD20" s="3" t="str">
        <f t="shared" si="11"/>
        <v>138</v>
      </c>
      <c r="AE20">
        <v>96</v>
      </c>
      <c r="AF20" s="3" t="str">
        <f t="shared" si="12"/>
        <v>96</v>
      </c>
      <c r="AG20" t="s">
        <v>29</v>
      </c>
      <c r="AH20" s="3">
        <v>13.64</v>
      </c>
      <c r="AI20" s="3">
        <f t="shared" si="13"/>
        <v>13.64</v>
      </c>
      <c r="AJ20" t="s">
        <v>52</v>
      </c>
      <c r="AK20" t="str">
        <f>PROPER(Table1[[#This Row],[CVD Risk Level]])</f>
        <v>Low</v>
      </c>
    </row>
    <row r="21" spans="1:37" x14ac:dyDescent="0.3">
      <c r="A21" t="s">
        <v>20</v>
      </c>
      <c r="B21">
        <v>48</v>
      </c>
      <c r="C21" s="8">
        <f t="shared" si="2"/>
        <v>48</v>
      </c>
      <c r="D21" s="5">
        <v>50.6</v>
      </c>
      <c r="E21" s="8">
        <f t="shared" si="3"/>
        <v>50.6</v>
      </c>
      <c r="F21">
        <v>1.7</v>
      </c>
      <c r="G21" s="3">
        <f t="shared" si="4"/>
        <v>1.7</v>
      </c>
      <c r="H21">
        <v>17.5</v>
      </c>
      <c r="I21" s="5">
        <f t="shared" si="0"/>
        <v>17.5</v>
      </c>
      <c r="J21" s="16" t="str">
        <f t="shared" si="5"/>
        <v>Underweight</v>
      </c>
      <c r="L21">
        <v>0.64600000000000002</v>
      </c>
      <c r="M21" s="11">
        <f t="shared" si="1"/>
        <v>0.64600000000000002</v>
      </c>
      <c r="N21" s="5">
        <f t="shared" si="6"/>
        <v>109.82000000000001</v>
      </c>
      <c r="O21">
        <v>185</v>
      </c>
      <c r="P21">
        <v>68</v>
      </c>
      <c r="Q21" s="8">
        <f t="shared" si="7"/>
        <v>68</v>
      </c>
      <c r="R21" s="8">
        <v>87</v>
      </c>
      <c r="S21" s="8">
        <f t="shared" si="8"/>
        <v>87</v>
      </c>
      <c r="T21" s="8">
        <f>(Table1[[#This Row],[Total Cholesterol (mg/dL)]]+Table1[[#This Row],[HDL (mg/dL)2]]+Table1[[#This Row],[Estimated LDL (mg/dL)2]])*5</f>
        <v>1700</v>
      </c>
      <c r="U21" s="8">
        <f>IF(O21="",Table1[[#This Row],[Estimated LDL (mg/dL)2]]+Table1[[#This Row],[HDL (mg/dL)2]]+(Table1[[#This Row],[Triglycerides]]/5),O21)</f>
        <v>185</v>
      </c>
      <c r="V21">
        <v>116</v>
      </c>
      <c r="W21" s="8">
        <f t="shared" si="9"/>
        <v>116</v>
      </c>
      <c r="X21" t="str">
        <f t="shared" si="10"/>
        <v>Prediabetes</v>
      </c>
      <c r="Y21" t="s">
        <v>23</v>
      </c>
      <c r="Z21" t="s">
        <v>22</v>
      </c>
      <c r="AA21" t="s">
        <v>24</v>
      </c>
      <c r="AB21" s="3" t="s">
        <v>53</v>
      </c>
      <c r="AC21">
        <v>95</v>
      </c>
      <c r="AD21" s="3" t="str">
        <f t="shared" si="11"/>
        <v>95</v>
      </c>
      <c r="AE21">
        <v>92</v>
      </c>
      <c r="AF21" s="3" t="str">
        <f t="shared" si="12"/>
        <v>92</v>
      </c>
      <c r="AG21" t="s">
        <v>38</v>
      </c>
      <c r="AH21" s="3">
        <v>11.95</v>
      </c>
      <c r="AI21" s="3">
        <f t="shared" si="13"/>
        <v>11.95</v>
      </c>
      <c r="AJ21" t="s">
        <v>30</v>
      </c>
      <c r="AK21" t="str">
        <f>PROPER(Table1[[#This Row],[CVD Risk Level]])</f>
        <v>High</v>
      </c>
    </row>
    <row r="22" spans="1:37" x14ac:dyDescent="0.3">
      <c r="A22" t="s">
        <v>20</v>
      </c>
      <c r="B22">
        <v>40</v>
      </c>
      <c r="C22" s="8">
        <f t="shared" si="2"/>
        <v>40</v>
      </c>
      <c r="D22" s="5">
        <v>85.6</v>
      </c>
      <c r="E22" s="8">
        <f t="shared" si="3"/>
        <v>85.6</v>
      </c>
      <c r="F22">
        <v>1.77</v>
      </c>
      <c r="G22" s="3">
        <f t="shared" si="4"/>
        <v>1.77</v>
      </c>
      <c r="H22">
        <v>27.3</v>
      </c>
      <c r="I22" s="5">
        <f t="shared" si="0"/>
        <v>27.3</v>
      </c>
      <c r="J22" s="16" t="str">
        <f t="shared" si="5"/>
        <v>Overweight</v>
      </c>
      <c r="K22">
        <v>98.7</v>
      </c>
      <c r="L22">
        <v>0.55800000000000005</v>
      </c>
      <c r="M22" s="11">
        <f t="shared" si="1"/>
        <v>0.55800000000000005</v>
      </c>
      <c r="N22" s="5">
        <f t="shared" si="6"/>
        <v>98.7</v>
      </c>
      <c r="O22">
        <v>282</v>
      </c>
      <c r="P22">
        <v>80</v>
      </c>
      <c r="Q22" s="8">
        <f t="shared" si="7"/>
        <v>80</v>
      </c>
      <c r="R22" s="8">
        <v>172</v>
      </c>
      <c r="S22" s="8">
        <f t="shared" si="8"/>
        <v>172</v>
      </c>
      <c r="T22" s="8">
        <f>(Table1[[#This Row],[Total Cholesterol (mg/dL)]]+Table1[[#This Row],[HDL (mg/dL)2]]+Table1[[#This Row],[Estimated LDL (mg/dL)2]])*5</f>
        <v>2670</v>
      </c>
      <c r="U22" s="8">
        <f>IF(O22="",Table1[[#This Row],[Estimated LDL (mg/dL)2]]+Table1[[#This Row],[HDL (mg/dL)2]]+(Table1[[#This Row],[Triglycerides]]/5),O22)</f>
        <v>282</v>
      </c>
      <c r="V22">
        <v>112</v>
      </c>
      <c r="W22" s="8">
        <f t="shared" si="9"/>
        <v>112</v>
      </c>
      <c r="X22" t="str">
        <f t="shared" si="10"/>
        <v>Prediabetes</v>
      </c>
      <c r="Y22" t="s">
        <v>23</v>
      </c>
      <c r="Z22" t="s">
        <v>23</v>
      </c>
      <c r="AA22" t="s">
        <v>24</v>
      </c>
      <c r="AB22" s="3" t="s">
        <v>54</v>
      </c>
      <c r="AC22">
        <v>132</v>
      </c>
      <c r="AD22" s="3" t="str">
        <f t="shared" si="11"/>
        <v>132</v>
      </c>
      <c r="AE22">
        <v>92</v>
      </c>
      <c r="AF22" s="3" t="str">
        <f t="shared" si="12"/>
        <v>92</v>
      </c>
      <c r="AG22" t="s">
        <v>29</v>
      </c>
      <c r="AH22" s="3">
        <v>19.7</v>
      </c>
      <c r="AI22" s="3">
        <f t="shared" si="13"/>
        <v>19.7</v>
      </c>
      <c r="AJ22" t="s">
        <v>30</v>
      </c>
      <c r="AK22" t="str">
        <f>PROPER(Table1[[#This Row],[CVD Risk Level]])</f>
        <v>High</v>
      </c>
    </row>
    <row r="23" spans="1:37" x14ac:dyDescent="0.3">
      <c r="A23" t="s">
        <v>20</v>
      </c>
      <c r="B23">
        <v>39</v>
      </c>
      <c r="C23" s="8">
        <f t="shared" si="2"/>
        <v>39</v>
      </c>
      <c r="D23" s="5">
        <v>92.7</v>
      </c>
      <c r="E23" s="8">
        <f t="shared" si="3"/>
        <v>92.7</v>
      </c>
      <c r="F23">
        <v>1.61</v>
      </c>
      <c r="G23" s="3">
        <f t="shared" si="4"/>
        <v>1.61</v>
      </c>
      <c r="H23">
        <v>35.799999999999997</v>
      </c>
      <c r="I23" s="5">
        <f t="shared" si="0"/>
        <v>35.799999999999997</v>
      </c>
      <c r="J23" s="16" t="str">
        <f t="shared" si="5"/>
        <v>Obese</v>
      </c>
      <c r="K23">
        <v>105.6</v>
      </c>
      <c r="L23">
        <v>0.65600000000000003</v>
      </c>
      <c r="M23" s="11">
        <f t="shared" si="1"/>
        <v>0.65600000000000003</v>
      </c>
      <c r="N23" s="5">
        <f t="shared" si="6"/>
        <v>105.6</v>
      </c>
      <c r="O23">
        <v>176</v>
      </c>
      <c r="P23">
        <v>71</v>
      </c>
      <c r="Q23" s="8">
        <f t="shared" si="7"/>
        <v>71</v>
      </c>
      <c r="R23" s="8">
        <v>75</v>
      </c>
      <c r="S23" s="8">
        <f>IF(R23&lt;=0,MEDIAN($R$2:$R$1530),R23)</f>
        <v>75</v>
      </c>
      <c r="T23" s="8">
        <f>(Table1[[#This Row],[Total Cholesterol (mg/dL)]]+Table1[[#This Row],[HDL (mg/dL)2]]+Table1[[#This Row],[Estimated LDL (mg/dL)2]])*5</f>
        <v>1610</v>
      </c>
      <c r="U23" s="8">
        <f>IF(O23="",Table1[[#This Row],[Estimated LDL (mg/dL)2]]+Table1[[#This Row],[HDL (mg/dL)2]]+(Table1[[#This Row],[Triglycerides]]/5),O23)</f>
        <v>176</v>
      </c>
      <c r="V23">
        <v>85</v>
      </c>
      <c r="W23" s="8">
        <f t="shared" si="9"/>
        <v>85</v>
      </c>
      <c r="X23" t="str">
        <f t="shared" si="10"/>
        <v>Normal</v>
      </c>
      <c r="Y23" t="s">
        <v>23</v>
      </c>
      <c r="Z23" t="s">
        <v>22</v>
      </c>
      <c r="AA23" t="s">
        <v>24</v>
      </c>
      <c r="AB23" s="3" t="s">
        <v>55</v>
      </c>
      <c r="AC23">
        <v>120</v>
      </c>
      <c r="AD23" s="3" t="str">
        <f t="shared" si="11"/>
        <v>120</v>
      </c>
      <c r="AE23">
        <v>89</v>
      </c>
      <c r="AF23" s="3" t="str">
        <f t="shared" si="12"/>
        <v>89</v>
      </c>
      <c r="AG23" t="s">
        <v>29</v>
      </c>
      <c r="AH23" s="3">
        <v>16.68</v>
      </c>
      <c r="AI23" s="3">
        <f t="shared" si="13"/>
        <v>16.68</v>
      </c>
      <c r="AJ23" t="s">
        <v>30</v>
      </c>
      <c r="AK23" t="str">
        <f>PROPER(Table1[[#This Row],[CVD Risk Level]])</f>
        <v>High</v>
      </c>
    </row>
    <row r="24" spans="1:37" x14ac:dyDescent="0.3">
      <c r="A24" t="s">
        <v>20</v>
      </c>
      <c r="B24">
        <v>34</v>
      </c>
      <c r="C24" s="8">
        <f t="shared" si="2"/>
        <v>34</v>
      </c>
      <c r="D24" s="5">
        <v>90.4</v>
      </c>
      <c r="E24" s="8">
        <f t="shared" si="3"/>
        <v>90.4</v>
      </c>
      <c r="G24" s="3">
        <f t="shared" si="4"/>
        <v>1.901578291840754</v>
      </c>
      <c r="H24">
        <v>25</v>
      </c>
      <c r="I24" s="5">
        <f t="shared" si="0"/>
        <v>25</v>
      </c>
      <c r="J24" s="16" t="str">
        <f t="shared" si="5"/>
        <v>Overweight</v>
      </c>
      <c r="K24">
        <v>71.400000000000006</v>
      </c>
      <c r="L24">
        <v>0.376</v>
      </c>
      <c r="M24" s="11">
        <f t="shared" si="1"/>
        <v>0.376</v>
      </c>
      <c r="N24" s="5">
        <f t="shared" si="6"/>
        <v>71.400000000000006</v>
      </c>
      <c r="O24">
        <v>149</v>
      </c>
      <c r="P24">
        <v>76</v>
      </c>
      <c r="Q24" s="8">
        <f t="shared" si="7"/>
        <v>76</v>
      </c>
      <c r="R24" s="8">
        <v>43</v>
      </c>
      <c r="S24" s="8">
        <f t="shared" si="8"/>
        <v>43</v>
      </c>
      <c r="T24" s="8">
        <f>(Table1[[#This Row],[Total Cholesterol (mg/dL)]]+Table1[[#This Row],[HDL (mg/dL)2]]+Table1[[#This Row],[Estimated LDL (mg/dL)2]])*5</f>
        <v>1340</v>
      </c>
      <c r="U24" s="8">
        <f>IF(O24="",Table1[[#This Row],[Estimated LDL (mg/dL)2]]+Table1[[#This Row],[HDL (mg/dL)2]]+(Table1[[#This Row],[Triglycerides]]/5),O24)</f>
        <v>149</v>
      </c>
      <c r="V24">
        <v>114</v>
      </c>
      <c r="W24" s="8">
        <f t="shared" si="9"/>
        <v>114</v>
      </c>
      <c r="X24" t="str">
        <f t="shared" si="10"/>
        <v>Prediabetes</v>
      </c>
      <c r="Y24" t="s">
        <v>22</v>
      </c>
      <c r="Z24" t="s">
        <v>23</v>
      </c>
      <c r="AA24" t="s">
        <v>24</v>
      </c>
      <c r="AB24" s="3" t="s">
        <v>56</v>
      </c>
      <c r="AD24" s="3" t="str">
        <f t="shared" si="11"/>
        <v>121</v>
      </c>
      <c r="AF24" s="3" t="str">
        <f t="shared" si="12"/>
        <v>79</v>
      </c>
      <c r="AG24" t="s">
        <v>25</v>
      </c>
      <c r="AH24" s="3">
        <v>16.03</v>
      </c>
      <c r="AI24" s="3">
        <f t="shared" si="13"/>
        <v>16.03</v>
      </c>
      <c r="AJ24" t="s">
        <v>30</v>
      </c>
      <c r="AK24" t="str">
        <f>PROPER(Table1[[#This Row],[CVD Risk Level]])</f>
        <v>High</v>
      </c>
    </row>
    <row r="25" spans="1:37" x14ac:dyDescent="0.3">
      <c r="A25" t="s">
        <v>20</v>
      </c>
      <c r="B25">
        <v>35</v>
      </c>
      <c r="C25" s="8">
        <f t="shared" si="2"/>
        <v>35</v>
      </c>
      <c r="D25" s="5">
        <v>60.1</v>
      </c>
      <c r="E25" s="8">
        <f t="shared" si="3"/>
        <v>60.1</v>
      </c>
      <c r="F25">
        <v>1.76</v>
      </c>
      <c r="G25" s="3">
        <f t="shared" si="4"/>
        <v>1.76</v>
      </c>
      <c r="H25">
        <v>19.399999999999999</v>
      </c>
      <c r="I25" s="5">
        <f t="shared" si="0"/>
        <v>19.399999999999999</v>
      </c>
      <c r="J25" s="16" t="str">
        <f t="shared" si="5"/>
        <v>Normal</v>
      </c>
      <c r="K25">
        <v>86.9</v>
      </c>
      <c r="L25">
        <v>0.49399999999999999</v>
      </c>
      <c r="M25" s="11">
        <f t="shared" si="1"/>
        <v>0.49399999999999999</v>
      </c>
      <c r="N25" s="5">
        <f t="shared" si="6"/>
        <v>86.9</v>
      </c>
      <c r="O25">
        <v>191</v>
      </c>
      <c r="P25">
        <v>65</v>
      </c>
      <c r="Q25" s="8">
        <f t="shared" si="7"/>
        <v>65</v>
      </c>
      <c r="R25" s="8">
        <v>96</v>
      </c>
      <c r="S25" s="8">
        <f t="shared" si="8"/>
        <v>96</v>
      </c>
      <c r="T25" s="8">
        <f>(Table1[[#This Row],[Total Cholesterol (mg/dL)]]+Table1[[#This Row],[HDL (mg/dL)2]]+Table1[[#This Row],[Estimated LDL (mg/dL)2]])*5</f>
        <v>1760</v>
      </c>
      <c r="U25" s="8">
        <f>IF(O25="",Table1[[#This Row],[Estimated LDL (mg/dL)2]]+Table1[[#This Row],[HDL (mg/dL)2]]+(Table1[[#This Row],[Triglycerides]]/5),O25)</f>
        <v>191</v>
      </c>
      <c r="V25">
        <v>86</v>
      </c>
      <c r="W25" s="8">
        <f t="shared" si="9"/>
        <v>86</v>
      </c>
      <c r="X25" t="str">
        <f t="shared" si="10"/>
        <v>Normal</v>
      </c>
      <c r="Y25" t="s">
        <v>22</v>
      </c>
      <c r="Z25" t="s">
        <v>22</v>
      </c>
      <c r="AA25" t="s">
        <v>37</v>
      </c>
      <c r="AB25" s="3" t="s">
        <v>57</v>
      </c>
      <c r="AC25">
        <v>102</v>
      </c>
      <c r="AD25" s="3" t="str">
        <f t="shared" si="11"/>
        <v>102</v>
      </c>
      <c r="AE25">
        <v>74</v>
      </c>
      <c r="AF25" s="3" t="str">
        <f t="shared" si="12"/>
        <v>74</v>
      </c>
      <c r="AG25" t="s">
        <v>33</v>
      </c>
      <c r="AH25" s="3">
        <v>12.8</v>
      </c>
      <c r="AI25" s="3">
        <f t="shared" si="13"/>
        <v>12.8</v>
      </c>
      <c r="AJ25" t="s">
        <v>52</v>
      </c>
      <c r="AK25" t="str">
        <f>PROPER(Table1[[#This Row],[CVD Risk Level]])</f>
        <v>Low</v>
      </c>
    </row>
    <row r="26" spans="1:37" x14ac:dyDescent="0.3">
      <c r="A26" t="s">
        <v>31</v>
      </c>
      <c r="B26">
        <v>36</v>
      </c>
      <c r="C26" s="8">
        <f t="shared" si="2"/>
        <v>36</v>
      </c>
      <c r="D26" s="5">
        <v>96</v>
      </c>
      <c r="E26" s="8">
        <f t="shared" si="3"/>
        <v>96</v>
      </c>
      <c r="F26">
        <v>1.63</v>
      </c>
      <c r="G26" s="3">
        <f t="shared" si="4"/>
        <v>1.63</v>
      </c>
      <c r="H26">
        <v>36.1</v>
      </c>
      <c r="I26" s="5">
        <f t="shared" si="0"/>
        <v>36.1</v>
      </c>
      <c r="J26" s="16" t="str">
        <f t="shared" si="5"/>
        <v>Obese</v>
      </c>
      <c r="K26">
        <v>78.2</v>
      </c>
      <c r="L26">
        <v>0.48</v>
      </c>
      <c r="M26" s="11">
        <f t="shared" si="1"/>
        <v>0.48</v>
      </c>
      <c r="N26" s="5">
        <f t="shared" si="6"/>
        <v>78.2</v>
      </c>
      <c r="O26">
        <v>158</v>
      </c>
      <c r="P26">
        <v>39</v>
      </c>
      <c r="Q26" s="8">
        <f t="shared" si="7"/>
        <v>39</v>
      </c>
      <c r="R26" s="8">
        <v>89</v>
      </c>
      <c r="S26" s="8">
        <f t="shared" si="8"/>
        <v>89</v>
      </c>
      <c r="T26" s="8">
        <f>(Table1[[#This Row],[Total Cholesterol (mg/dL)]]+Table1[[#This Row],[HDL (mg/dL)2]]+Table1[[#This Row],[Estimated LDL (mg/dL)2]])*5</f>
        <v>1430</v>
      </c>
      <c r="U26" s="8">
        <f>IF(O26="",Table1[[#This Row],[Estimated LDL (mg/dL)2]]+Table1[[#This Row],[HDL (mg/dL)2]]+(Table1[[#This Row],[Triglycerides]]/5),O26)</f>
        <v>158</v>
      </c>
      <c r="V26">
        <v>108</v>
      </c>
      <c r="W26" s="8">
        <f t="shared" si="9"/>
        <v>108</v>
      </c>
      <c r="X26" t="str">
        <f t="shared" si="10"/>
        <v>Prediabetes</v>
      </c>
      <c r="Y26" t="s">
        <v>23</v>
      </c>
      <c r="Z26" t="s">
        <v>23</v>
      </c>
      <c r="AA26" t="s">
        <v>24</v>
      </c>
      <c r="AB26" s="3" t="s">
        <v>58</v>
      </c>
      <c r="AC26">
        <v>98</v>
      </c>
      <c r="AD26" s="3" t="str">
        <f t="shared" si="11"/>
        <v>98</v>
      </c>
      <c r="AE26">
        <v>99</v>
      </c>
      <c r="AF26" s="3" t="str">
        <f t="shared" si="12"/>
        <v>99</v>
      </c>
      <c r="AG26" t="s">
        <v>38</v>
      </c>
      <c r="AH26" s="3">
        <v>17.28</v>
      </c>
      <c r="AI26" s="3">
        <f t="shared" si="13"/>
        <v>17.28</v>
      </c>
      <c r="AJ26" t="s">
        <v>30</v>
      </c>
      <c r="AK26" t="str">
        <f>PROPER(Table1[[#This Row],[CVD Risk Level]])</f>
        <v>High</v>
      </c>
    </row>
    <row r="27" spans="1:37" x14ac:dyDescent="0.3">
      <c r="A27" t="s">
        <v>20</v>
      </c>
      <c r="B27">
        <v>53</v>
      </c>
      <c r="C27" s="8">
        <f t="shared" si="2"/>
        <v>53</v>
      </c>
      <c r="D27" s="5">
        <v>68.900000000000006</v>
      </c>
      <c r="E27" s="8">
        <f t="shared" si="3"/>
        <v>68.900000000000006</v>
      </c>
      <c r="F27">
        <v>1.88</v>
      </c>
      <c r="G27" s="3">
        <f t="shared" si="4"/>
        <v>1.88</v>
      </c>
      <c r="H27">
        <v>19.5</v>
      </c>
      <c r="I27" s="5">
        <f t="shared" si="0"/>
        <v>19.5</v>
      </c>
      <c r="J27" s="16" t="str">
        <f t="shared" si="5"/>
        <v>Normal</v>
      </c>
      <c r="K27">
        <v>84.6</v>
      </c>
      <c r="L27">
        <v>0.45</v>
      </c>
      <c r="M27" s="11">
        <f t="shared" si="1"/>
        <v>0.45</v>
      </c>
      <c r="N27" s="5">
        <f t="shared" si="6"/>
        <v>84.6</v>
      </c>
      <c r="O27">
        <v>156</v>
      </c>
      <c r="Q27" s="8">
        <f t="shared" si="7"/>
        <v>56.197377501725327</v>
      </c>
      <c r="R27" s="8">
        <v>47</v>
      </c>
      <c r="S27" s="8">
        <f>IF(R27&lt;=0,MEDIAN($R$2:$R$1530),R27)</f>
        <v>47</v>
      </c>
      <c r="T27" s="8">
        <f>(Table1[[#This Row],[Total Cholesterol (mg/dL)]]+Table1[[#This Row],[HDL (mg/dL)2]]+Table1[[#This Row],[Estimated LDL (mg/dL)2]])*5</f>
        <v>1295.9868875086268</v>
      </c>
      <c r="U27" s="8">
        <f>IF(O27="",Table1[[#This Row],[Estimated LDL (mg/dL)2]]+Table1[[#This Row],[HDL (mg/dL)2]]+(Table1[[#This Row],[Triglycerides]]/5),O27)</f>
        <v>156</v>
      </c>
      <c r="V27">
        <v>128</v>
      </c>
      <c r="W27" s="8">
        <f t="shared" si="9"/>
        <v>128</v>
      </c>
      <c r="X27" t="str">
        <f t="shared" si="10"/>
        <v>Diabetes</v>
      </c>
      <c r="Y27" t="s">
        <v>23</v>
      </c>
      <c r="Z27" t="s">
        <v>23</v>
      </c>
      <c r="AA27" t="s">
        <v>28</v>
      </c>
      <c r="AB27" s="3" t="s">
        <v>59</v>
      </c>
      <c r="AC27">
        <v>137</v>
      </c>
      <c r="AD27" s="3" t="str">
        <f t="shared" si="11"/>
        <v>137</v>
      </c>
      <c r="AE27">
        <v>70</v>
      </c>
      <c r="AF27" s="3" t="str">
        <f t="shared" si="12"/>
        <v>70</v>
      </c>
      <c r="AG27" t="s">
        <v>29</v>
      </c>
      <c r="AH27" s="3">
        <v>15.87</v>
      </c>
      <c r="AI27" s="3">
        <f t="shared" si="13"/>
        <v>15.87</v>
      </c>
      <c r="AJ27" t="s">
        <v>30</v>
      </c>
      <c r="AK27" t="str">
        <f>PROPER(Table1[[#This Row],[CVD Risk Level]])</f>
        <v>High</v>
      </c>
    </row>
    <row r="28" spans="1:37" x14ac:dyDescent="0.3">
      <c r="A28" t="s">
        <v>20</v>
      </c>
      <c r="B28">
        <v>55</v>
      </c>
      <c r="C28" s="8">
        <f t="shared" si="2"/>
        <v>55</v>
      </c>
      <c r="D28" s="5">
        <v>96</v>
      </c>
      <c r="E28" s="8">
        <f t="shared" si="3"/>
        <v>96</v>
      </c>
      <c r="F28">
        <v>1.65</v>
      </c>
      <c r="G28" s="3">
        <f t="shared" si="4"/>
        <v>1.65</v>
      </c>
      <c r="H28">
        <v>35.299999999999997</v>
      </c>
      <c r="I28" s="5">
        <f t="shared" si="0"/>
        <v>35.299999999999997</v>
      </c>
      <c r="J28" s="16" t="str">
        <f t="shared" si="5"/>
        <v>Obese</v>
      </c>
      <c r="K28">
        <v>83.6</v>
      </c>
      <c r="L28">
        <v>0.50700000000000001</v>
      </c>
      <c r="M28" s="11">
        <f t="shared" si="1"/>
        <v>0.50700000000000001</v>
      </c>
      <c r="N28" s="5">
        <f t="shared" si="6"/>
        <v>83.6</v>
      </c>
      <c r="O28">
        <v>160</v>
      </c>
      <c r="P28">
        <v>41</v>
      </c>
      <c r="Q28" s="8">
        <f t="shared" si="7"/>
        <v>41</v>
      </c>
      <c r="R28" s="8">
        <v>89</v>
      </c>
      <c r="S28" s="8">
        <f t="shared" si="8"/>
        <v>89</v>
      </c>
      <c r="T28" s="8">
        <f>(Table1[[#This Row],[Total Cholesterol (mg/dL)]]+Table1[[#This Row],[HDL (mg/dL)2]]+Table1[[#This Row],[Estimated LDL (mg/dL)2]])*5</f>
        <v>1450</v>
      </c>
      <c r="U28" s="8">
        <f>IF(O28="",Table1[[#This Row],[Estimated LDL (mg/dL)2]]+Table1[[#This Row],[HDL (mg/dL)2]]+(Table1[[#This Row],[Triglycerides]]/5),O28)</f>
        <v>160</v>
      </c>
      <c r="W28" s="8">
        <f t="shared" si="9"/>
        <v>117.48563611491107</v>
      </c>
      <c r="X28" t="str">
        <f t="shared" si="10"/>
        <v>Prediabetes</v>
      </c>
      <c r="Y28" t="s">
        <v>22</v>
      </c>
      <c r="Z28" t="s">
        <v>22</v>
      </c>
      <c r="AA28" t="s">
        <v>24</v>
      </c>
      <c r="AB28" s="3" t="s">
        <v>60</v>
      </c>
      <c r="AC28">
        <v>148</v>
      </c>
      <c r="AD28" s="3" t="str">
        <f t="shared" si="11"/>
        <v>148</v>
      </c>
      <c r="AF28" s="3" t="str">
        <f t="shared" si="12"/>
        <v>97</v>
      </c>
      <c r="AG28" t="s">
        <v>38</v>
      </c>
      <c r="AH28" s="3">
        <v>17.66</v>
      </c>
      <c r="AI28" s="3">
        <f t="shared" si="13"/>
        <v>17.66</v>
      </c>
      <c r="AJ28" t="s">
        <v>30</v>
      </c>
      <c r="AK28" t="str">
        <f>PROPER(Table1[[#This Row],[CVD Risk Level]])</f>
        <v>High</v>
      </c>
    </row>
    <row r="29" spans="1:37" x14ac:dyDescent="0.3">
      <c r="A29" t="s">
        <v>31</v>
      </c>
      <c r="B29">
        <v>47</v>
      </c>
      <c r="C29" s="8">
        <f t="shared" si="2"/>
        <v>47</v>
      </c>
      <c r="D29" s="5">
        <v>111.6</v>
      </c>
      <c r="E29" s="8">
        <f t="shared" si="3"/>
        <v>111.6</v>
      </c>
      <c r="F29">
        <v>1.73</v>
      </c>
      <c r="G29" s="3">
        <f t="shared" si="4"/>
        <v>1.73</v>
      </c>
      <c r="I29" s="5">
        <f t="shared" si="0"/>
        <v>37.288248855624978</v>
      </c>
      <c r="J29" s="16" t="str">
        <f t="shared" si="5"/>
        <v>Obese</v>
      </c>
      <c r="K29">
        <v>75.900000000000006</v>
      </c>
      <c r="L29">
        <v>0.439</v>
      </c>
      <c r="M29" s="11">
        <f t="shared" si="1"/>
        <v>0.439</v>
      </c>
      <c r="N29" s="5">
        <f t="shared" si="6"/>
        <v>75.900000000000006</v>
      </c>
      <c r="O29">
        <v>283</v>
      </c>
      <c r="P29">
        <v>64</v>
      </c>
      <c r="Q29" s="8">
        <f t="shared" si="7"/>
        <v>64</v>
      </c>
      <c r="R29" s="8">
        <v>189</v>
      </c>
      <c r="S29" s="8">
        <f t="shared" si="8"/>
        <v>189</v>
      </c>
      <c r="T29" s="8">
        <f>(Table1[[#This Row],[Total Cholesterol (mg/dL)]]+Table1[[#This Row],[HDL (mg/dL)2]]+Table1[[#This Row],[Estimated LDL (mg/dL)2]])*5</f>
        <v>2680</v>
      </c>
      <c r="U29" s="8">
        <f>IF(O29="",Table1[[#This Row],[Estimated LDL (mg/dL)2]]+Table1[[#This Row],[HDL (mg/dL)2]]+(Table1[[#This Row],[Triglycerides]]/5),O29)</f>
        <v>283</v>
      </c>
      <c r="V29">
        <v>142</v>
      </c>
      <c r="W29" s="8">
        <f t="shared" si="9"/>
        <v>142</v>
      </c>
      <c r="X29" t="str">
        <f t="shared" si="10"/>
        <v>Diabetes</v>
      </c>
      <c r="Y29" t="s">
        <v>23</v>
      </c>
      <c r="Z29" t="s">
        <v>22</v>
      </c>
      <c r="AA29" t="s">
        <v>24</v>
      </c>
      <c r="AB29" s="3" t="s">
        <v>61</v>
      </c>
      <c r="AC29">
        <v>128</v>
      </c>
      <c r="AD29" s="3" t="str">
        <f t="shared" si="11"/>
        <v>128</v>
      </c>
      <c r="AE29">
        <v>66</v>
      </c>
      <c r="AF29" s="3" t="str">
        <f t="shared" si="12"/>
        <v>66</v>
      </c>
      <c r="AG29" t="s">
        <v>25</v>
      </c>
      <c r="AH29" s="3">
        <v>19.52</v>
      </c>
      <c r="AI29" s="3">
        <f t="shared" si="13"/>
        <v>19.52</v>
      </c>
      <c r="AJ29" t="s">
        <v>30</v>
      </c>
      <c r="AK29" t="str">
        <f>PROPER(Table1[[#This Row],[CVD Risk Level]])</f>
        <v>High</v>
      </c>
    </row>
    <row r="30" spans="1:37" x14ac:dyDescent="0.3">
      <c r="A30" t="s">
        <v>31</v>
      </c>
      <c r="B30">
        <v>55</v>
      </c>
      <c r="C30" s="8">
        <f t="shared" si="2"/>
        <v>55</v>
      </c>
      <c r="D30" s="5">
        <v>106</v>
      </c>
      <c r="E30" s="8">
        <f t="shared" si="3"/>
        <v>106</v>
      </c>
      <c r="F30">
        <v>1.82</v>
      </c>
      <c r="G30" s="3">
        <f t="shared" si="4"/>
        <v>1.82</v>
      </c>
      <c r="H30">
        <v>32</v>
      </c>
      <c r="I30" s="5">
        <f t="shared" si="0"/>
        <v>32</v>
      </c>
      <c r="J30" s="16" t="str">
        <f t="shared" si="5"/>
        <v>Obese</v>
      </c>
      <c r="K30">
        <v>109.3</v>
      </c>
      <c r="L30">
        <v>0.60099999999999998</v>
      </c>
      <c r="M30" s="11">
        <f t="shared" si="1"/>
        <v>0.60099999999999998</v>
      </c>
      <c r="N30" s="5">
        <f t="shared" si="6"/>
        <v>109.3</v>
      </c>
      <c r="O30">
        <v>287</v>
      </c>
      <c r="P30">
        <v>35</v>
      </c>
      <c r="Q30" s="8">
        <f t="shared" si="7"/>
        <v>35</v>
      </c>
      <c r="R30" s="8">
        <v>222</v>
      </c>
      <c r="S30" s="8">
        <f t="shared" si="8"/>
        <v>222</v>
      </c>
      <c r="T30" s="8">
        <f>(Table1[[#This Row],[Total Cholesterol (mg/dL)]]+Table1[[#This Row],[HDL (mg/dL)2]]+Table1[[#This Row],[Estimated LDL (mg/dL)2]])*5</f>
        <v>2720</v>
      </c>
      <c r="U30" s="8">
        <f>IF(O30="",Table1[[#This Row],[Estimated LDL (mg/dL)2]]+Table1[[#This Row],[HDL (mg/dL)2]]+(Table1[[#This Row],[Triglycerides]]/5),O30)</f>
        <v>287</v>
      </c>
      <c r="V30">
        <v>130</v>
      </c>
      <c r="W30" s="8">
        <f t="shared" si="9"/>
        <v>130</v>
      </c>
      <c r="X30" t="str">
        <f t="shared" si="10"/>
        <v>Diabetes</v>
      </c>
      <c r="Y30" t="s">
        <v>22</v>
      </c>
      <c r="Z30" t="s">
        <v>23</v>
      </c>
      <c r="AA30" t="s">
        <v>37</v>
      </c>
      <c r="AB30" s="3" t="s">
        <v>62</v>
      </c>
      <c r="AC30">
        <v>97</v>
      </c>
      <c r="AD30" s="3" t="str">
        <f t="shared" si="11"/>
        <v>97</v>
      </c>
      <c r="AE30">
        <v>63</v>
      </c>
      <c r="AF30" s="3" t="str">
        <f t="shared" si="12"/>
        <v>63</v>
      </c>
      <c r="AG30" t="s">
        <v>33</v>
      </c>
      <c r="AH30" s="3">
        <v>18.989999999999998</v>
      </c>
      <c r="AI30" s="3">
        <f t="shared" si="13"/>
        <v>18.989999999999998</v>
      </c>
      <c r="AJ30" t="s">
        <v>30</v>
      </c>
      <c r="AK30" t="str">
        <f>PROPER(Table1[[#This Row],[CVD Risk Level]])</f>
        <v>High</v>
      </c>
    </row>
    <row r="31" spans="1:37" x14ac:dyDescent="0.3">
      <c r="A31" t="s">
        <v>31</v>
      </c>
      <c r="B31">
        <v>30</v>
      </c>
      <c r="C31" s="8">
        <f t="shared" si="2"/>
        <v>30</v>
      </c>
      <c r="E31" s="8">
        <f t="shared" si="3"/>
        <v>75.685140000000018</v>
      </c>
      <c r="F31">
        <v>1.83</v>
      </c>
      <c r="G31" s="3">
        <f t="shared" si="4"/>
        <v>1.83</v>
      </c>
      <c r="H31">
        <v>22.6</v>
      </c>
      <c r="I31" s="5">
        <f t="shared" si="0"/>
        <v>22.6</v>
      </c>
      <c r="J31" s="16" t="str">
        <f t="shared" si="5"/>
        <v>Normal</v>
      </c>
      <c r="K31">
        <v>75.099999999999994</v>
      </c>
      <c r="L31">
        <v>0.41</v>
      </c>
      <c r="M31" s="11">
        <f t="shared" si="1"/>
        <v>0.41</v>
      </c>
      <c r="N31" s="5">
        <f t="shared" si="6"/>
        <v>75.099999999999994</v>
      </c>
      <c r="O31">
        <v>277</v>
      </c>
      <c r="P31">
        <v>32</v>
      </c>
      <c r="Q31" s="8">
        <f t="shared" si="7"/>
        <v>32</v>
      </c>
      <c r="R31" s="8">
        <v>215</v>
      </c>
      <c r="S31" s="8">
        <f t="shared" si="8"/>
        <v>215</v>
      </c>
      <c r="T31" s="8">
        <f>(Table1[[#This Row],[Total Cholesterol (mg/dL)]]+Table1[[#This Row],[HDL (mg/dL)2]]+Table1[[#This Row],[Estimated LDL (mg/dL)2]])*5</f>
        <v>2620</v>
      </c>
      <c r="U31" s="8">
        <f>IF(O31="",Table1[[#This Row],[Estimated LDL (mg/dL)2]]+Table1[[#This Row],[HDL (mg/dL)2]]+(Table1[[#This Row],[Triglycerides]]/5),O31)</f>
        <v>277</v>
      </c>
      <c r="V31">
        <v>73</v>
      </c>
      <c r="W31" s="8">
        <f t="shared" si="9"/>
        <v>73</v>
      </c>
      <c r="X31" t="str">
        <f t="shared" si="10"/>
        <v>Normal</v>
      </c>
      <c r="Y31" t="s">
        <v>23</v>
      </c>
      <c r="Z31" t="s">
        <v>22</v>
      </c>
      <c r="AA31" t="s">
        <v>37</v>
      </c>
      <c r="AB31" s="3" t="s">
        <v>63</v>
      </c>
      <c r="AC31">
        <v>91</v>
      </c>
      <c r="AD31" s="3" t="str">
        <f t="shared" si="11"/>
        <v>91</v>
      </c>
      <c r="AE31">
        <v>95</v>
      </c>
      <c r="AF31" s="3" t="str">
        <f t="shared" si="12"/>
        <v>95</v>
      </c>
      <c r="AG31" t="s">
        <v>38</v>
      </c>
      <c r="AH31" s="3">
        <v>14.61</v>
      </c>
      <c r="AI31" s="3">
        <f t="shared" si="13"/>
        <v>14.61</v>
      </c>
      <c r="AJ31" t="s">
        <v>30</v>
      </c>
      <c r="AK31" t="str">
        <f>PROPER(Table1[[#This Row],[CVD Risk Level]])</f>
        <v>High</v>
      </c>
    </row>
    <row r="32" spans="1:37" x14ac:dyDescent="0.3">
      <c r="A32" t="s">
        <v>20</v>
      </c>
      <c r="B32">
        <v>58</v>
      </c>
      <c r="C32" s="8">
        <f t="shared" si="2"/>
        <v>58</v>
      </c>
      <c r="D32" s="5">
        <v>64.7</v>
      </c>
      <c r="E32" s="8">
        <f t="shared" si="3"/>
        <v>64.7</v>
      </c>
      <c r="F32">
        <v>1.64</v>
      </c>
      <c r="G32" s="3">
        <f t="shared" si="4"/>
        <v>1.64</v>
      </c>
      <c r="H32">
        <v>24.1</v>
      </c>
      <c r="I32" s="5">
        <f t="shared" si="0"/>
        <v>24.1</v>
      </c>
      <c r="J32" s="16" t="str">
        <f t="shared" si="5"/>
        <v>Normal</v>
      </c>
      <c r="K32">
        <v>82.1</v>
      </c>
      <c r="M32" s="11">
        <f t="shared" si="1"/>
        <v>0.50060975609756098</v>
      </c>
      <c r="N32" s="5">
        <f t="shared" si="6"/>
        <v>82.1</v>
      </c>
      <c r="O32">
        <v>151</v>
      </c>
      <c r="P32">
        <v>40</v>
      </c>
      <c r="Q32" s="8">
        <f t="shared" si="7"/>
        <v>40</v>
      </c>
      <c r="R32" s="8">
        <v>81</v>
      </c>
      <c r="S32" s="8">
        <f t="shared" si="8"/>
        <v>81</v>
      </c>
      <c r="T32" s="8">
        <f>(Table1[[#This Row],[Total Cholesterol (mg/dL)]]+Table1[[#This Row],[HDL (mg/dL)2]]+Table1[[#This Row],[Estimated LDL (mg/dL)2]])*5</f>
        <v>1360</v>
      </c>
      <c r="U32" s="8">
        <f>IF(O32="",Table1[[#This Row],[Estimated LDL (mg/dL)2]]+Table1[[#This Row],[HDL (mg/dL)2]]+(Table1[[#This Row],[Triglycerides]]/5),O32)</f>
        <v>151</v>
      </c>
      <c r="V32">
        <v>123</v>
      </c>
      <c r="W32" s="8">
        <f t="shared" si="9"/>
        <v>123</v>
      </c>
      <c r="X32" t="str">
        <f t="shared" si="10"/>
        <v>Prediabetes</v>
      </c>
      <c r="Y32" t="s">
        <v>23</v>
      </c>
      <c r="Z32" t="s">
        <v>22</v>
      </c>
      <c r="AA32" t="s">
        <v>24</v>
      </c>
      <c r="AB32" s="3" t="s">
        <v>64</v>
      </c>
      <c r="AC32">
        <v>97</v>
      </c>
      <c r="AD32" s="3" t="str">
        <f t="shared" si="11"/>
        <v>97</v>
      </c>
      <c r="AE32">
        <v>75</v>
      </c>
      <c r="AF32" s="3" t="str">
        <f t="shared" si="12"/>
        <v>75</v>
      </c>
      <c r="AG32" t="s">
        <v>33</v>
      </c>
      <c r="AH32" s="3">
        <v>12.69</v>
      </c>
      <c r="AI32" s="3">
        <f t="shared" si="13"/>
        <v>12.69</v>
      </c>
      <c r="AJ32" t="s">
        <v>26</v>
      </c>
      <c r="AK32" t="str">
        <f>PROPER(Table1[[#This Row],[CVD Risk Level]])</f>
        <v>Intermediary</v>
      </c>
    </row>
    <row r="33" spans="1:37" x14ac:dyDescent="0.3">
      <c r="A33" t="s">
        <v>20</v>
      </c>
      <c r="B33">
        <v>31</v>
      </c>
      <c r="C33" s="8">
        <f t="shared" si="2"/>
        <v>31</v>
      </c>
      <c r="D33" s="5">
        <v>51.6</v>
      </c>
      <c r="E33" s="8">
        <f t="shared" si="3"/>
        <v>51.6</v>
      </c>
      <c r="F33">
        <v>1.71</v>
      </c>
      <c r="G33" s="3">
        <f t="shared" si="4"/>
        <v>1.71</v>
      </c>
      <c r="H33">
        <v>17.600000000000001</v>
      </c>
      <c r="I33" s="5">
        <f t="shared" si="0"/>
        <v>17.600000000000001</v>
      </c>
      <c r="J33" s="16" t="str">
        <f t="shared" si="5"/>
        <v>Underweight</v>
      </c>
      <c r="K33">
        <v>93.7</v>
      </c>
      <c r="L33">
        <v>0.54800000000000004</v>
      </c>
      <c r="M33" s="11">
        <f t="shared" si="1"/>
        <v>0.54800000000000004</v>
      </c>
      <c r="N33" s="5">
        <f t="shared" si="6"/>
        <v>93.7</v>
      </c>
      <c r="O33">
        <v>165</v>
      </c>
      <c r="P33">
        <v>79</v>
      </c>
      <c r="Q33" s="8">
        <f t="shared" si="7"/>
        <v>79</v>
      </c>
      <c r="R33" s="8">
        <v>56</v>
      </c>
      <c r="S33" s="8">
        <f t="shared" si="8"/>
        <v>56</v>
      </c>
      <c r="T33" s="8">
        <f>(Table1[[#This Row],[Total Cholesterol (mg/dL)]]+Table1[[#This Row],[HDL (mg/dL)2]]+Table1[[#This Row],[Estimated LDL (mg/dL)2]])*5</f>
        <v>1500</v>
      </c>
      <c r="U33" s="8">
        <f>IF(O33="",Table1[[#This Row],[Estimated LDL (mg/dL)2]]+Table1[[#This Row],[HDL (mg/dL)2]]+(Table1[[#This Row],[Triglycerides]]/5),O33)</f>
        <v>165</v>
      </c>
      <c r="V33">
        <v>136</v>
      </c>
      <c r="W33" s="8">
        <f t="shared" si="9"/>
        <v>136</v>
      </c>
      <c r="X33" t="str">
        <f t="shared" si="10"/>
        <v>Diabetes</v>
      </c>
      <c r="Y33" t="s">
        <v>23</v>
      </c>
      <c r="Z33" t="s">
        <v>23</v>
      </c>
      <c r="AA33" t="s">
        <v>24</v>
      </c>
      <c r="AB33" s="3" t="s">
        <v>65</v>
      </c>
      <c r="AC33">
        <v>109</v>
      </c>
      <c r="AD33" s="3" t="str">
        <f t="shared" si="11"/>
        <v>109</v>
      </c>
      <c r="AE33">
        <v>64</v>
      </c>
      <c r="AF33" s="3" t="str">
        <f t="shared" si="12"/>
        <v>64</v>
      </c>
      <c r="AG33" t="s">
        <v>33</v>
      </c>
      <c r="AH33" s="3">
        <v>14.27</v>
      </c>
      <c r="AI33" s="3">
        <f t="shared" si="13"/>
        <v>14.27</v>
      </c>
      <c r="AJ33" t="s">
        <v>26</v>
      </c>
      <c r="AK33" t="str">
        <f>PROPER(Table1[[#This Row],[CVD Risk Level]])</f>
        <v>Intermediary</v>
      </c>
    </row>
    <row r="34" spans="1:37" x14ac:dyDescent="0.3">
      <c r="A34" t="s">
        <v>31</v>
      </c>
      <c r="B34">
        <v>55</v>
      </c>
      <c r="C34" s="8">
        <f t="shared" si="2"/>
        <v>55</v>
      </c>
      <c r="D34" s="5">
        <v>112.8</v>
      </c>
      <c r="E34" s="8">
        <f t="shared" si="3"/>
        <v>112.8</v>
      </c>
      <c r="F34">
        <v>1.74</v>
      </c>
      <c r="G34" s="3">
        <f t="shared" si="4"/>
        <v>1.74</v>
      </c>
      <c r="H34">
        <v>37.299999999999997</v>
      </c>
      <c r="I34" s="5">
        <f t="shared" si="0"/>
        <v>37.299999999999997</v>
      </c>
      <c r="J34" s="16" t="str">
        <f t="shared" si="5"/>
        <v>Obese</v>
      </c>
      <c r="K34">
        <v>80.900000000000006</v>
      </c>
      <c r="L34">
        <v>0.46500000000000002</v>
      </c>
      <c r="M34" s="11">
        <f t="shared" si="1"/>
        <v>0.46500000000000002</v>
      </c>
      <c r="N34" s="5">
        <f t="shared" si="6"/>
        <v>80.900000000000006</v>
      </c>
      <c r="O34">
        <v>145</v>
      </c>
      <c r="P34">
        <v>32</v>
      </c>
      <c r="Q34" s="8">
        <f t="shared" si="7"/>
        <v>32</v>
      </c>
      <c r="R34" s="8">
        <v>83</v>
      </c>
      <c r="S34" s="8">
        <f t="shared" si="8"/>
        <v>83</v>
      </c>
      <c r="T34" s="8">
        <f>(Table1[[#This Row],[Total Cholesterol (mg/dL)]]+Table1[[#This Row],[HDL (mg/dL)2]]+Table1[[#This Row],[Estimated LDL (mg/dL)2]])*5</f>
        <v>1300</v>
      </c>
      <c r="U34" s="8">
        <f>IF(O34="",Table1[[#This Row],[Estimated LDL (mg/dL)2]]+Table1[[#This Row],[HDL (mg/dL)2]]+(Table1[[#This Row],[Triglycerides]]/5),O34)</f>
        <v>145</v>
      </c>
      <c r="V34">
        <v>150</v>
      </c>
      <c r="W34" s="8">
        <f t="shared" si="9"/>
        <v>150</v>
      </c>
      <c r="X34" t="str">
        <f t="shared" si="10"/>
        <v>Diabetes</v>
      </c>
      <c r="Y34" t="s">
        <v>23</v>
      </c>
      <c r="Z34" t="s">
        <v>23</v>
      </c>
      <c r="AA34" t="s">
        <v>28</v>
      </c>
      <c r="AB34" s="3" t="s">
        <v>66</v>
      </c>
      <c r="AC34">
        <v>106</v>
      </c>
      <c r="AD34" s="3" t="str">
        <f t="shared" si="11"/>
        <v>106</v>
      </c>
      <c r="AE34">
        <v>87</v>
      </c>
      <c r="AF34" s="3" t="str">
        <f t="shared" si="12"/>
        <v>87</v>
      </c>
      <c r="AG34" t="s">
        <v>29</v>
      </c>
      <c r="AH34" s="3">
        <v>17.66</v>
      </c>
      <c r="AI34" s="3">
        <f t="shared" si="13"/>
        <v>17.66</v>
      </c>
      <c r="AJ34" t="s">
        <v>30</v>
      </c>
      <c r="AK34" t="str">
        <f>PROPER(Table1[[#This Row],[CVD Risk Level]])</f>
        <v>High</v>
      </c>
    </row>
    <row r="35" spans="1:37" x14ac:dyDescent="0.3">
      <c r="A35" t="s">
        <v>31</v>
      </c>
      <c r="B35">
        <v>37</v>
      </c>
      <c r="C35" s="8">
        <f t="shared" si="2"/>
        <v>37</v>
      </c>
      <c r="D35" s="5">
        <v>108.4</v>
      </c>
      <c r="E35" s="8">
        <f t="shared" si="3"/>
        <v>108.4</v>
      </c>
      <c r="G35" s="3">
        <f t="shared" si="4"/>
        <v>1.7304551823498773</v>
      </c>
      <c r="H35">
        <v>36.200000000000003</v>
      </c>
      <c r="I35" s="5">
        <f t="shared" si="0"/>
        <v>36.200000000000003</v>
      </c>
      <c r="J35" s="16" t="str">
        <f t="shared" si="5"/>
        <v>Obese</v>
      </c>
      <c r="K35">
        <v>80.099999999999994</v>
      </c>
      <c r="L35">
        <v>0.46300000000000002</v>
      </c>
      <c r="M35" s="11">
        <f t="shared" si="1"/>
        <v>0.46300000000000002</v>
      </c>
      <c r="N35" s="5">
        <f t="shared" si="6"/>
        <v>80.099999999999994</v>
      </c>
      <c r="P35">
        <v>48</v>
      </c>
      <c r="Q35" s="8">
        <f t="shared" si="7"/>
        <v>48</v>
      </c>
      <c r="R35" s="8">
        <v>55</v>
      </c>
      <c r="S35" s="8">
        <f t="shared" si="8"/>
        <v>55</v>
      </c>
      <c r="T35" s="8">
        <f>(Table1[[#This Row],[Total Cholesterol (mg/dL)]]+Table1[[#This Row],[HDL (mg/dL)2]]+Table1[[#This Row],[Estimated LDL (mg/dL)2]])*5</f>
        <v>515</v>
      </c>
      <c r="U35" s="8">
        <f>IF(O35="",Table1[[#This Row],[Estimated LDL (mg/dL)2]]+Table1[[#This Row],[HDL (mg/dL)2]]+(Table1[[#This Row],[Triglycerides]]/5),O35)</f>
        <v>206</v>
      </c>
      <c r="V35">
        <v>145</v>
      </c>
      <c r="W35" s="8">
        <f t="shared" si="9"/>
        <v>145</v>
      </c>
      <c r="X35" t="str">
        <f t="shared" si="10"/>
        <v>Diabetes</v>
      </c>
      <c r="Y35" t="s">
        <v>23</v>
      </c>
      <c r="Z35" t="s">
        <v>22</v>
      </c>
      <c r="AA35" t="s">
        <v>37</v>
      </c>
      <c r="AB35" s="3" t="s">
        <v>67</v>
      </c>
      <c r="AC35">
        <v>100</v>
      </c>
      <c r="AD35" s="3" t="str">
        <f t="shared" si="11"/>
        <v>100</v>
      </c>
      <c r="AE35">
        <v>83</v>
      </c>
      <c r="AF35" s="3" t="str">
        <f t="shared" si="12"/>
        <v>83</v>
      </c>
      <c r="AG35" t="s">
        <v>29</v>
      </c>
      <c r="AH35" s="3">
        <v>14.9</v>
      </c>
      <c r="AI35" s="3">
        <f t="shared" si="13"/>
        <v>14.9</v>
      </c>
      <c r="AJ35" t="s">
        <v>26</v>
      </c>
      <c r="AK35" t="str">
        <f>PROPER(Table1[[#This Row],[CVD Risk Level]])</f>
        <v>Intermediary</v>
      </c>
    </row>
    <row r="36" spans="1:37" x14ac:dyDescent="0.3">
      <c r="A36" t="s">
        <v>31</v>
      </c>
      <c r="B36">
        <v>32</v>
      </c>
      <c r="C36" s="8">
        <f t="shared" si="2"/>
        <v>32</v>
      </c>
      <c r="E36" s="8">
        <f t="shared" si="3"/>
        <v>62.985600000000012</v>
      </c>
      <c r="F36">
        <v>1.62</v>
      </c>
      <c r="G36" s="3">
        <f t="shared" si="4"/>
        <v>1.62</v>
      </c>
      <c r="H36">
        <v>24</v>
      </c>
      <c r="I36" s="5">
        <f t="shared" si="0"/>
        <v>24</v>
      </c>
      <c r="J36" s="16" t="str">
        <f t="shared" si="5"/>
        <v>Normal</v>
      </c>
      <c r="K36">
        <v>105.5</v>
      </c>
      <c r="L36">
        <v>0.65100000000000002</v>
      </c>
      <c r="M36" s="11">
        <f t="shared" si="1"/>
        <v>0.65100000000000002</v>
      </c>
      <c r="N36" s="5">
        <f t="shared" si="6"/>
        <v>105.5</v>
      </c>
      <c r="O36">
        <v>155</v>
      </c>
      <c r="P36">
        <v>74</v>
      </c>
      <c r="Q36" s="8">
        <f t="shared" si="7"/>
        <v>74</v>
      </c>
      <c r="R36" s="8">
        <v>51</v>
      </c>
      <c r="S36" s="8">
        <f t="shared" si="8"/>
        <v>51</v>
      </c>
      <c r="T36" s="8">
        <f>(Table1[[#This Row],[Total Cholesterol (mg/dL)]]+Table1[[#This Row],[HDL (mg/dL)2]]+Table1[[#This Row],[Estimated LDL (mg/dL)2]])*5</f>
        <v>1400</v>
      </c>
      <c r="U36" s="8">
        <f>IF(O36="",Table1[[#This Row],[Estimated LDL (mg/dL)2]]+Table1[[#This Row],[HDL (mg/dL)2]]+(Table1[[#This Row],[Triglycerides]]/5),O36)</f>
        <v>155</v>
      </c>
      <c r="V36">
        <v>130</v>
      </c>
      <c r="W36" s="8">
        <f t="shared" si="9"/>
        <v>130</v>
      </c>
      <c r="X36" t="str">
        <f t="shared" si="10"/>
        <v>Diabetes</v>
      </c>
      <c r="Y36" t="s">
        <v>22</v>
      </c>
      <c r="Z36" t="s">
        <v>22</v>
      </c>
      <c r="AA36" t="s">
        <v>24</v>
      </c>
      <c r="AB36" s="3" t="s">
        <v>68</v>
      </c>
      <c r="AC36">
        <v>122</v>
      </c>
      <c r="AD36" s="3" t="str">
        <f t="shared" si="11"/>
        <v>122</v>
      </c>
      <c r="AE36">
        <v>84</v>
      </c>
      <c r="AF36" s="3" t="str">
        <f t="shared" si="12"/>
        <v>84</v>
      </c>
      <c r="AG36" t="s">
        <v>29</v>
      </c>
      <c r="AH36" s="3">
        <v>14</v>
      </c>
      <c r="AI36" s="3">
        <f t="shared" si="13"/>
        <v>14</v>
      </c>
      <c r="AJ36" t="s">
        <v>52</v>
      </c>
      <c r="AK36" t="str">
        <f>PROPER(Table1[[#This Row],[CVD Risk Level]])</f>
        <v>Low</v>
      </c>
    </row>
    <row r="37" spans="1:37" x14ac:dyDescent="0.3">
      <c r="A37" t="s">
        <v>31</v>
      </c>
      <c r="B37">
        <v>45</v>
      </c>
      <c r="C37" s="8">
        <f t="shared" si="2"/>
        <v>45</v>
      </c>
      <c r="D37" s="5">
        <v>58.7</v>
      </c>
      <c r="E37" s="8">
        <f t="shared" si="3"/>
        <v>58.7</v>
      </c>
      <c r="F37">
        <v>1.73</v>
      </c>
      <c r="G37" s="3">
        <f t="shared" si="4"/>
        <v>1.73</v>
      </c>
      <c r="H37">
        <v>19.600000000000001</v>
      </c>
      <c r="I37" s="5">
        <f t="shared" si="0"/>
        <v>19.600000000000001</v>
      </c>
      <c r="J37" s="16" t="str">
        <f t="shared" si="5"/>
        <v>Normal</v>
      </c>
      <c r="L37">
        <v>0.46</v>
      </c>
      <c r="M37" s="11">
        <f t="shared" si="1"/>
        <v>0.46</v>
      </c>
      <c r="N37" s="5">
        <f t="shared" si="6"/>
        <v>79.58</v>
      </c>
      <c r="O37">
        <v>286</v>
      </c>
      <c r="P37">
        <v>73</v>
      </c>
      <c r="Q37" s="8">
        <f t="shared" si="7"/>
        <v>73</v>
      </c>
      <c r="R37" s="8">
        <v>183</v>
      </c>
      <c r="S37" s="8">
        <f t="shared" si="8"/>
        <v>183</v>
      </c>
      <c r="T37" s="8">
        <f>(Table1[[#This Row],[Total Cholesterol (mg/dL)]]+Table1[[#This Row],[HDL (mg/dL)2]]+Table1[[#This Row],[Estimated LDL (mg/dL)2]])*5</f>
        <v>2710</v>
      </c>
      <c r="U37" s="8">
        <f>IF(O37="",Table1[[#This Row],[Estimated LDL (mg/dL)2]]+Table1[[#This Row],[HDL (mg/dL)2]]+(Table1[[#This Row],[Triglycerides]]/5),O37)</f>
        <v>286</v>
      </c>
      <c r="V37">
        <v>141</v>
      </c>
      <c r="W37" s="8">
        <f t="shared" si="9"/>
        <v>141</v>
      </c>
      <c r="X37" t="str">
        <f t="shared" si="10"/>
        <v>Diabetes</v>
      </c>
      <c r="Y37" t="s">
        <v>22</v>
      </c>
      <c r="Z37" t="s">
        <v>23</v>
      </c>
      <c r="AA37" t="s">
        <v>28</v>
      </c>
      <c r="AB37" s="3" t="s">
        <v>69</v>
      </c>
      <c r="AC37">
        <v>136</v>
      </c>
      <c r="AD37" s="3" t="str">
        <f t="shared" si="11"/>
        <v>136</v>
      </c>
      <c r="AF37" s="3" t="str">
        <f t="shared" si="12"/>
        <v>80</v>
      </c>
      <c r="AG37" t="s">
        <v>29</v>
      </c>
      <c r="AH37" s="3">
        <v>18.440000000000001</v>
      </c>
      <c r="AI37" s="3">
        <f t="shared" si="13"/>
        <v>18.440000000000001</v>
      </c>
      <c r="AJ37" t="s">
        <v>26</v>
      </c>
      <c r="AK37" t="str">
        <f>PROPER(Table1[[#This Row],[CVD Risk Level]])</f>
        <v>Intermediary</v>
      </c>
    </row>
    <row r="38" spans="1:37" x14ac:dyDescent="0.3">
      <c r="A38" t="s">
        <v>20</v>
      </c>
      <c r="B38">
        <v>32</v>
      </c>
      <c r="C38" s="8">
        <f t="shared" si="2"/>
        <v>32</v>
      </c>
      <c r="D38" s="5">
        <v>116.2</v>
      </c>
      <c r="E38" s="8">
        <f t="shared" si="3"/>
        <v>116.2</v>
      </c>
      <c r="G38" s="3">
        <f t="shared" si="4"/>
        <v>1.7793854371832836</v>
      </c>
      <c r="H38">
        <v>36.700000000000003</v>
      </c>
      <c r="I38" s="5">
        <f t="shared" si="0"/>
        <v>36.700000000000003</v>
      </c>
      <c r="J38" s="16" t="str">
        <f t="shared" si="5"/>
        <v>Obese</v>
      </c>
      <c r="K38">
        <v>89.8</v>
      </c>
      <c r="L38">
        <v>0.504</v>
      </c>
      <c r="M38" s="11">
        <f t="shared" si="1"/>
        <v>0.504</v>
      </c>
      <c r="N38" s="5">
        <f t="shared" si="6"/>
        <v>89.8</v>
      </c>
      <c r="O38">
        <v>115</v>
      </c>
      <c r="P38">
        <v>52</v>
      </c>
      <c r="Q38" s="8">
        <f t="shared" si="7"/>
        <v>52</v>
      </c>
      <c r="R38" s="8">
        <v>33</v>
      </c>
      <c r="S38" s="8">
        <f t="shared" si="8"/>
        <v>33</v>
      </c>
      <c r="T38" s="8">
        <f>(Table1[[#This Row],[Total Cholesterol (mg/dL)]]+Table1[[#This Row],[HDL (mg/dL)2]]+Table1[[#This Row],[Estimated LDL (mg/dL)2]])*5</f>
        <v>1000</v>
      </c>
      <c r="U38" s="8">
        <f>IF(O38="",Table1[[#This Row],[Estimated LDL (mg/dL)2]]+Table1[[#This Row],[HDL (mg/dL)2]]+(Table1[[#This Row],[Triglycerides]]/5),O38)</f>
        <v>115</v>
      </c>
      <c r="V38">
        <v>147</v>
      </c>
      <c r="W38" s="8">
        <f t="shared" si="9"/>
        <v>147</v>
      </c>
      <c r="X38" t="str">
        <f t="shared" si="10"/>
        <v>Diabetes</v>
      </c>
      <c r="Y38" t="s">
        <v>22</v>
      </c>
      <c r="Z38" t="s">
        <v>23</v>
      </c>
      <c r="AA38" t="s">
        <v>37</v>
      </c>
      <c r="AB38" s="3" t="s">
        <v>70</v>
      </c>
      <c r="AC38">
        <v>99</v>
      </c>
      <c r="AD38" s="3" t="str">
        <f t="shared" si="11"/>
        <v>99</v>
      </c>
      <c r="AE38">
        <v>99</v>
      </c>
      <c r="AF38" s="3" t="str">
        <f t="shared" si="12"/>
        <v>99</v>
      </c>
      <c r="AG38" t="s">
        <v>38</v>
      </c>
      <c r="AH38" s="3">
        <v>16.59</v>
      </c>
      <c r="AI38" s="3">
        <f t="shared" si="13"/>
        <v>16.59</v>
      </c>
      <c r="AJ38" t="s">
        <v>26</v>
      </c>
      <c r="AK38" t="str">
        <f>PROPER(Table1[[#This Row],[CVD Risk Level]])</f>
        <v>Intermediary</v>
      </c>
    </row>
    <row r="39" spans="1:37" x14ac:dyDescent="0.3">
      <c r="A39" t="s">
        <v>20</v>
      </c>
      <c r="B39">
        <v>42</v>
      </c>
      <c r="C39" s="8">
        <f t="shared" si="2"/>
        <v>42</v>
      </c>
      <c r="D39" s="5">
        <v>100.4</v>
      </c>
      <c r="E39" s="8">
        <f t="shared" si="3"/>
        <v>100.4</v>
      </c>
      <c r="F39">
        <v>1.77</v>
      </c>
      <c r="G39" s="3">
        <f t="shared" si="4"/>
        <v>1.77</v>
      </c>
      <c r="H39">
        <v>32</v>
      </c>
      <c r="I39" s="5">
        <f t="shared" si="0"/>
        <v>32</v>
      </c>
      <c r="J39" s="16" t="str">
        <f t="shared" si="5"/>
        <v>Obese</v>
      </c>
      <c r="K39">
        <v>82.5</v>
      </c>
      <c r="L39">
        <v>0.46600000000000003</v>
      </c>
      <c r="M39" s="11">
        <f t="shared" si="1"/>
        <v>0.46600000000000003</v>
      </c>
      <c r="N39" s="5">
        <f t="shared" si="6"/>
        <v>82.5</v>
      </c>
      <c r="O39">
        <v>164</v>
      </c>
      <c r="P39">
        <v>75</v>
      </c>
      <c r="Q39" s="8">
        <f t="shared" si="7"/>
        <v>75</v>
      </c>
      <c r="R39" s="8">
        <v>59</v>
      </c>
      <c r="S39" s="8">
        <f t="shared" si="8"/>
        <v>59</v>
      </c>
      <c r="T39" s="8">
        <f>(Table1[[#This Row],[Total Cholesterol (mg/dL)]]+Table1[[#This Row],[HDL (mg/dL)2]]+Table1[[#This Row],[Estimated LDL (mg/dL)2]])*5</f>
        <v>1490</v>
      </c>
      <c r="U39" s="8">
        <f>IF(O39="",Table1[[#This Row],[Estimated LDL (mg/dL)2]]+Table1[[#This Row],[HDL (mg/dL)2]]+(Table1[[#This Row],[Triglycerides]]/5),O39)</f>
        <v>164</v>
      </c>
      <c r="V39">
        <v>96</v>
      </c>
      <c r="W39" s="8">
        <f t="shared" si="9"/>
        <v>96</v>
      </c>
      <c r="X39" t="str">
        <f t="shared" si="10"/>
        <v>Normal</v>
      </c>
      <c r="Y39" t="s">
        <v>22</v>
      </c>
      <c r="Z39" t="s">
        <v>23</v>
      </c>
      <c r="AA39" t="s">
        <v>28</v>
      </c>
      <c r="AB39" s="3" t="s">
        <v>71</v>
      </c>
      <c r="AC39">
        <v>144</v>
      </c>
      <c r="AD39" s="3" t="str">
        <f t="shared" si="11"/>
        <v>144</v>
      </c>
      <c r="AE39">
        <v>73</v>
      </c>
      <c r="AF39" s="3" t="str">
        <f t="shared" si="12"/>
        <v>73</v>
      </c>
      <c r="AG39" t="s">
        <v>38</v>
      </c>
      <c r="AH39" s="3">
        <v>18.88</v>
      </c>
      <c r="AI39" s="3">
        <f t="shared" si="13"/>
        <v>18.88</v>
      </c>
      <c r="AJ39" t="s">
        <v>26</v>
      </c>
      <c r="AK39" t="str">
        <f>PROPER(Table1[[#This Row],[CVD Risk Level]])</f>
        <v>Intermediary</v>
      </c>
    </row>
    <row r="40" spans="1:37" x14ac:dyDescent="0.3">
      <c r="A40" t="s">
        <v>31</v>
      </c>
      <c r="B40">
        <v>33</v>
      </c>
      <c r="C40" s="8">
        <f t="shared" si="2"/>
        <v>33</v>
      </c>
      <c r="D40" s="5">
        <v>81.599999999999994</v>
      </c>
      <c r="E40" s="8">
        <f t="shared" si="3"/>
        <v>81.599999999999994</v>
      </c>
      <c r="F40">
        <v>1.87</v>
      </c>
      <c r="G40" s="3">
        <f t="shared" si="4"/>
        <v>1.87</v>
      </c>
      <c r="H40">
        <v>23.3</v>
      </c>
      <c r="I40" s="5">
        <f t="shared" si="0"/>
        <v>23.3</v>
      </c>
      <c r="J40" s="16" t="str">
        <f t="shared" si="5"/>
        <v>Normal</v>
      </c>
      <c r="K40">
        <v>70</v>
      </c>
      <c r="L40">
        <v>0.374</v>
      </c>
      <c r="M40" s="11">
        <f t="shared" si="1"/>
        <v>0.374</v>
      </c>
      <c r="N40" s="5">
        <f t="shared" si="6"/>
        <v>70</v>
      </c>
      <c r="O40">
        <v>285</v>
      </c>
      <c r="P40">
        <v>69</v>
      </c>
      <c r="Q40" s="8">
        <f t="shared" si="7"/>
        <v>69</v>
      </c>
      <c r="R40" s="8">
        <v>186</v>
      </c>
      <c r="S40" s="8">
        <f t="shared" si="8"/>
        <v>186</v>
      </c>
      <c r="T40" s="8">
        <f>(Table1[[#This Row],[Total Cholesterol (mg/dL)]]+Table1[[#This Row],[HDL (mg/dL)2]]+Table1[[#This Row],[Estimated LDL (mg/dL)2]])*5</f>
        <v>2700</v>
      </c>
      <c r="U40" s="8">
        <f>IF(O40="",Table1[[#This Row],[Estimated LDL (mg/dL)2]]+Table1[[#This Row],[HDL (mg/dL)2]]+(Table1[[#This Row],[Triglycerides]]/5),O40)</f>
        <v>285</v>
      </c>
      <c r="W40" s="8">
        <f t="shared" si="9"/>
        <v>117.48563611491107</v>
      </c>
      <c r="X40" t="str">
        <f t="shared" si="10"/>
        <v>Prediabetes</v>
      </c>
      <c r="Y40" t="s">
        <v>22</v>
      </c>
      <c r="Z40" t="s">
        <v>22</v>
      </c>
      <c r="AA40" t="s">
        <v>24</v>
      </c>
      <c r="AB40" s="3" t="s">
        <v>72</v>
      </c>
      <c r="AD40" s="3" t="str">
        <f t="shared" si="11"/>
        <v>130</v>
      </c>
      <c r="AE40">
        <v>75</v>
      </c>
      <c r="AF40" s="3" t="str">
        <f t="shared" si="12"/>
        <v>75</v>
      </c>
      <c r="AG40" t="s">
        <v>29</v>
      </c>
      <c r="AH40" s="3">
        <v>16.86</v>
      </c>
      <c r="AI40" s="3">
        <f t="shared" si="13"/>
        <v>16.86</v>
      </c>
      <c r="AJ40" t="s">
        <v>26</v>
      </c>
      <c r="AK40" t="str">
        <f>PROPER(Table1[[#This Row],[CVD Risk Level]])</f>
        <v>Intermediary</v>
      </c>
    </row>
    <row r="41" spans="1:37" x14ac:dyDescent="0.3">
      <c r="A41" t="s">
        <v>31</v>
      </c>
      <c r="B41">
        <v>46</v>
      </c>
      <c r="C41" s="8">
        <f t="shared" si="2"/>
        <v>46</v>
      </c>
      <c r="D41" s="5">
        <v>69.3</v>
      </c>
      <c r="E41" s="8">
        <f t="shared" si="3"/>
        <v>69.3</v>
      </c>
      <c r="F41">
        <v>1.63</v>
      </c>
      <c r="G41" s="3">
        <f t="shared" si="4"/>
        <v>1.63</v>
      </c>
      <c r="H41">
        <v>26.1</v>
      </c>
      <c r="I41" s="5">
        <f t="shared" si="0"/>
        <v>26.1</v>
      </c>
      <c r="J41" s="16" t="str">
        <f t="shared" si="5"/>
        <v>Overweight</v>
      </c>
      <c r="K41">
        <v>102.6</v>
      </c>
      <c r="L41">
        <v>0.629</v>
      </c>
      <c r="M41" s="11">
        <f t="shared" si="1"/>
        <v>0.629</v>
      </c>
      <c r="N41" s="5">
        <f t="shared" si="6"/>
        <v>102.6</v>
      </c>
      <c r="O41">
        <v>111</v>
      </c>
      <c r="P41">
        <v>74</v>
      </c>
      <c r="Q41" s="8">
        <f t="shared" si="7"/>
        <v>74</v>
      </c>
      <c r="R41" s="8">
        <v>7</v>
      </c>
      <c r="S41" s="8">
        <f t="shared" si="8"/>
        <v>7</v>
      </c>
      <c r="T41" s="8">
        <f>(Table1[[#This Row],[Total Cholesterol (mg/dL)]]+Table1[[#This Row],[HDL (mg/dL)2]]+Table1[[#This Row],[Estimated LDL (mg/dL)2]])*5</f>
        <v>960</v>
      </c>
      <c r="U41" s="8">
        <f>IF(O41="",Table1[[#This Row],[Estimated LDL (mg/dL)2]]+Table1[[#This Row],[HDL (mg/dL)2]]+(Table1[[#This Row],[Triglycerides]]/5),O41)</f>
        <v>111</v>
      </c>
      <c r="V41">
        <v>94</v>
      </c>
      <c r="W41" s="8">
        <f t="shared" si="9"/>
        <v>94</v>
      </c>
      <c r="X41" t="str">
        <f t="shared" si="10"/>
        <v>Normal</v>
      </c>
      <c r="Y41" t="s">
        <v>22</v>
      </c>
      <c r="Z41" t="s">
        <v>22</v>
      </c>
      <c r="AA41" t="s">
        <v>24</v>
      </c>
      <c r="AB41" s="3" t="s">
        <v>73</v>
      </c>
      <c r="AC41">
        <v>134</v>
      </c>
      <c r="AD41" s="3" t="str">
        <f t="shared" si="11"/>
        <v>134</v>
      </c>
      <c r="AE41">
        <v>64</v>
      </c>
      <c r="AF41" s="3" t="str">
        <f t="shared" si="12"/>
        <v>64</v>
      </c>
      <c r="AG41" t="s">
        <v>29</v>
      </c>
      <c r="AI41" s="3">
        <f t="shared" si="13"/>
        <v>16.960925291295425</v>
      </c>
      <c r="AJ41" t="s">
        <v>26</v>
      </c>
      <c r="AK41" t="str">
        <f>PROPER(Table1[[#This Row],[CVD Risk Level]])</f>
        <v>Intermediary</v>
      </c>
    </row>
    <row r="42" spans="1:37" x14ac:dyDescent="0.3">
      <c r="A42" t="s">
        <v>20</v>
      </c>
      <c r="C42" s="8">
        <f t="shared" si="2"/>
        <v>47.025499655410059</v>
      </c>
      <c r="D42" s="5">
        <v>109.2</v>
      </c>
      <c r="E42" s="8">
        <f t="shared" si="3"/>
        <v>109.2</v>
      </c>
      <c r="F42">
        <v>1.74</v>
      </c>
      <c r="G42" s="3">
        <f t="shared" si="4"/>
        <v>1.74</v>
      </c>
      <c r="H42">
        <v>36.1</v>
      </c>
      <c r="I42" s="5">
        <f t="shared" si="0"/>
        <v>36.1</v>
      </c>
      <c r="J42" s="16" t="str">
        <f t="shared" si="5"/>
        <v>Obese</v>
      </c>
      <c r="K42">
        <v>80.099999999999994</v>
      </c>
      <c r="L42">
        <v>0.46</v>
      </c>
      <c r="M42" s="11">
        <f t="shared" si="1"/>
        <v>0.46</v>
      </c>
      <c r="N42" s="5">
        <f t="shared" si="6"/>
        <v>80.099999999999994</v>
      </c>
      <c r="O42">
        <v>155</v>
      </c>
      <c r="P42">
        <v>65</v>
      </c>
      <c r="Q42" s="8">
        <f t="shared" si="7"/>
        <v>65</v>
      </c>
      <c r="R42" s="8">
        <v>60</v>
      </c>
      <c r="S42" s="8">
        <f t="shared" si="8"/>
        <v>60</v>
      </c>
      <c r="T42" s="8">
        <f>(Table1[[#This Row],[Total Cholesterol (mg/dL)]]+Table1[[#This Row],[HDL (mg/dL)2]]+Table1[[#This Row],[Estimated LDL (mg/dL)2]])*5</f>
        <v>1400</v>
      </c>
      <c r="U42" s="8">
        <f>IF(O42="",Table1[[#This Row],[Estimated LDL (mg/dL)2]]+Table1[[#This Row],[HDL (mg/dL)2]]+(Table1[[#This Row],[Triglycerides]]/5),O42)</f>
        <v>155</v>
      </c>
      <c r="V42">
        <v>138</v>
      </c>
      <c r="W42" s="8">
        <f t="shared" si="9"/>
        <v>138</v>
      </c>
      <c r="X42" t="str">
        <f t="shared" si="10"/>
        <v>Diabetes</v>
      </c>
      <c r="Y42" t="s">
        <v>23</v>
      </c>
      <c r="Z42" t="s">
        <v>22</v>
      </c>
      <c r="AA42" t="s">
        <v>24</v>
      </c>
      <c r="AB42" s="3" t="s">
        <v>74</v>
      </c>
      <c r="AC42">
        <v>117</v>
      </c>
      <c r="AD42" s="3" t="str">
        <f t="shared" si="11"/>
        <v>117</v>
      </c>
      <c r="AE42">
        <v>85</v>
      </c>
      <c r="AF42" s="3" t="str">
        <f t="shared" si="12"/>
        <v>85</v>
      </c>
      <c r="AG42" t="s">
        <v>29</v>
      </c>
      <c r="AH42" s="3">
        <v>16.170000000000002</v>
      </c>
      <c r="AI42" s="3">
        <f t="shared" si="13"/>
        <v>16.170000000000002</v>
      </c>
      <c r="AJ42" t="s">
        <v>30</v>
      </c>
      <c r="AK42" t="str">
        <f>PROPER(Table1[[#This Row],[CVD Risk Level]])</f>
        <v>High</v>
      </c>
    </row>
    <row r="43" spans="1:37" x14ac:dyDescent="0.3">
      <c r="A43" t="s">
        <v>20</v>
      </c>
      <c r="B43">
        <v>51</v>
      </c>
      <c r="C43" s="8">
        <f t="shared" si="2"/>
        <v>51</v>
      </c>
      <c r="D43" s="5">
        <v>102.1</v>
      </c>
      <c r="E43" s="8">
        <f t="shared" si="3"/>
        <v>102.1</v>
      </c>
      <c r="F43">
        <v>1.9</v>
      </c>
      <c r="G43" s="3">
        <f t="shared" si="4"/>
        <v>1.9</v>
      </c>
      <c r="H43">
        <v>28.3</v>
      </c>
      <c r="I43" s="5">
        <f t="shared" si="0"/>
        <v>28.3</v>
      </c>
      <c r="J43" s="16" t="str">
        <f t="shared" si="5"/>
        <v>Overweight</v>
      </c>
      <c r="K43">
        <v>94.1</v>
      </c>
      <c r="M43" s="11">
        <f t="shared" si="1"/>
        <v>0.49526315789473679</v>
      </c>
      <c r="N43" s="5">
        <f t="shared" si="6"/>
        <v>94.1</v>
      </c>
      <c r="O43">
        <v>297</v>
      </c>
      <c r="P43">
        <v>38</v>
      </c>
      <c r="Q43" s="8">
        <f t="shared" si="7"/>
        <v>38</v>
      </c>
      <c r="R43" s="8">
        <v>229</v>
      </c>
      <c r="S43" s="8">
        <f t="shared" si="8"/>
        <v>229</v>
      </c>
      <c r="T43" s="8">
        <f>(Table1[[#This Row],[Total Cholesterol (mg/dL)]]+Table1[[#This Row],[HDL (mg/dL)2]]+Table1[[#This Row],[Estimated LDL (mg/dL)2]])*5</f>
        <v>2820</v>
      </c>
      <c r="U43" s="8">
        <f>IF(O43="",Table1[[#This Row],[Estimated LDL (mg/dL)2]]+Table1[[#This Row],[HDL (mg/dL)2]]+(Table1[[#This Row],[Triglycerides]]/5),O43)</f>
        <v>297</v>
      </c>
      <c r="V43">
        <v>98</v>
      </c>
      <c r="W43" s="8">
        <f t="shared" si="9"/>
        <v>98</v>
      </c>
      <c r="X43" t="str">
        <f t="shared" si="10"/>
        <v>Normal</v>
      </c>
      <c r="Y43" t="s">
        <v>23</v>
      </c>
      <c r="Z43" t="s">
        <v>22</v>
      </c>
      <c r="AA43" t="s">
        <v>28</v>
      </c>
      <c r="AB43" s="3" t="s">
        <v>75</v>
      </c>
      <c r="AC43">
        <v>116</v>
      </c>
      <c r="AD43" s="3" t="str">
        <f t="shared" si="11"/>
        <v>116</v>
      </c>
      <c r="AE43">
        <v>61</v>
      </c>
      <c r="AF43" s="3" t="str">
        <f t="shared" si="12"/>
        <v>61</v>
      </c>
      <c r="AG43" t="s">
        <v>33</v>
      </c>
      <c r="AH43" s="3">
        <v>17.399999999999999</v>
      </c>
      <c r="AI43" s="3">
        <f t="shared" si="13"/>
        <v>17.399999999999999</v>
      </c>
      <c r="AJ43" t="s">
        <v>30</v>
      </c>
      <c r="AK43" t="str">
        <f>PROPER(Table1[[#This Row],[CVD Risk Level]])</f>
        <v>High</v>
      </c>
    </row>
    <row r="44" spans="1:37" x14ac:dyDescent="0.3">
      <c r="A44" t="s">
        <v>20</v>
      </c>
      <c r="B44">
        <v>43</v>
      </c>
      <c r="C44" s="8">
        <f t="shared" si="2"/>
        <v>43</v>
      </c>
      <c r="D44" s="5">
        <v>71.400000000000006</v>
      </c>
      <c r="E44" s="8">
        <f t="shared" si="3"/>
        <v>71.400000000000006</v>
      </c>
      <c r="F44">
        <v>1.76</v>
      </c>
      <c r="G44" s="3">
        <f t="shared" si="4"/>
        <v>1.76</v>
      </c>
      <c r="H44">
        <v>23.1</v>
      </c>
      <c r="I44" s="5">
        <f t="shared" si="0"/>
        <v>23.1</v>
      </c>
      <c r="J44" s="16" t="str">
        <f t="shared" si="5"/>
        <v>Normal</v>
      </c>
      <c r="K44">
        <v>97.7</v>
      </c>
      <c r="L44">
        <v>0.55500000000000005</v>
      </c>
      <c r="M44" s="11">
        <f t="shared" si="1"/>
        <v>0.55500000000000005</v>
      </c>
      <c r="N44" s="5">
        <f t="shared" si="6"/>
        <v>97.7</v>
      </c>
      <c r="O44">
        <v>123</v>
      </c>
      <c r="P44">
        <v>50</v>
      </c>
      <c r="Q44" s="8">
        <f t="shared" si="7"/>
        <v>50</v>
      </c>
      <c r="R44" s="8">
        <v>43</v>
      </c>
      <c r="S44" s="8">
        <f t="shared" si="8"/>
        <v>43</v>
      </c>
      <c r="T44" s="8">
        <f>(Table1[[#This Row],[Total Cholesterol (mg/dL)]]+Table1[[#This Row],[HDL (mg/dL)2]]+Table1[[#This Row],[Estimated LDL (mg/dL)2]])*5</f>
        <v>1080</v>
      </c>
      <c r="U44" s="8">
        <f>IF(O44="",Table1[[#This Row],[Estimated LDL (mg/dL)2]]+Table1[[#This Row],[HDL (mg/dL)2]]+(Table1[[#This Row],[Triglycerides]]/5),O44)</f>
        <v>123</v>
      </c>
      <c r="V44">
        <v>125</v>
      </c>
      <c r="W44" s="8">
        <f t="shared" si="9"/>
        <v>125</v>
      </c>
      <c r="X44" t="str">
        <f t="shared" si="10"/>
        <v>Prediabetes</v>
      </c>
      <c r="Y44" t="s">
        <v>23</v>
      </c>
      <c r="Z44" t="s">
        <v>22</v>
      </c>
      <c r="AA44" t="s">
        <v>28</v>
      </c>
      <c r="AB44" s="3" t="s">
        <v>76</v>
      </c>
      <c r="AC44">
        <v>105</v>
      </c>
      <c r="AD44" s="3" t="str">
        <f t="shared" si="11"/>
        <v>105</v>
      </c>
      <c r="AE44">
        <v>64</v>
      </c>
      <c r="AF44" s="3" t="str">
        <f t="shared" si="12"/>
        <v>64</v>
      </c>
      <c r="AG44" t="s">
        <v>33</v>
      </c>
      <c r="AH44" s="3">
        <v>12.33</v>
      </c>
      <c r="AI44" s="3">
        <f t="shared" si="13"/>
        <v>12.33</v>
      </c>
      <c r="AJ44" t="s">
        <v>26</v>
      </c>
      <c r="AK44" t="str">
        <f>PROPER(Table1[[#This Row],[CVD Risk Level]])</f>
        <v>Intermediary</v>
      </c>
    </row>
    <row r="45" spans="1:37" x14ac:dyDescent="0.3">
      <c r="A45" t="s">
        <v>20</v>
      </c>
      <c r="B45">
        <v>44</v>
      </c>
      <c r="C45" s="8">
        <f t="shared" si="2"/>
        <v>44</v>
      </c>
      <c r="D45" s="5">
        <v>64.400000000000006</v>
      </c>
      <c r="E45" s="8">
        <f t="shared" si="3"/>
        <v>64.400000000000006</v>
      </c>
      <c r="F45">
        <v>1.76</v>
      </c>
      <c r="G45" s="3">
        <f t="shared" si="4"/>
        <v>1.76</v>
      </c>
      <c r="H45">
        <v>20.8</v>
      </c>
      <c r="I45" s="5">
        <f t="shared" si="0"/>
        <v>20.8</v>
      </c>
      <c r="J45" s="16" t="str">
        <f t="shared" si="5"/>
        <v>Normal</v>
      </c>
      <c r="K45">
        <v>100.6</v>
      </c>
      <c r="M45" s="11">
        <f t="shared" si="1"/>
        <v>0.57159090909090904</v>
      </c>
      <c r="N45" s="5">
        <f t="shared" si="6"/>
        <v>100.6</v>
      </c>
      <c r="O45">
        <v>132</v>
      </c>
      <c r="P45">
        <v>49</v>
      </c>
      <c r="Q45" s="8">
        <f t="shared" si="7"/>
        <v>49</v>
      </c>
      <c r="R45" s="8">
        <v>53</v>
      </c>
      <c r="S45" s="8">
        <f t="shared" si="8"/>
        <v>53</v>
      </c>
      <c r="T45" s="8">
        <f>(Table1[[#This Row],[Total Cholesterol (mg/dL)]]+Table1[[#This Row],[HDL (mg/dL)2]]+Table1[[#This Row],[Estimated LDL (mg/dL)2]])*5</f>
        <v>1170</v>
      </c>
      <c r="U45" s="8">
        <f>IF(O45="",Table1[[#This Row],[Estimated LDL (mg/dL)2]]+Table1[[#This Row],[HDL (mg/dL)2]]+(Table1[[#This Row],[Triglycerides]]/5),O45)</f>
        <v>132</v>
      </c>
      <c r="V45">
        <v>145</v>
      </c>
      <c r="W45" s="8">
        <f t="shared" si="9"/>
        <v>145</v>
      </c>
      <c r="X45" t="str">
        <f t="shared" si="10"/>
        <v>Diabetes</v>
      </c>
      <c r="Y45" t="s">
        <v>23</v>
      </c>
      <c r="Z45" t="s">
        <v>23</v>
      </c>
      <c r="AA45" t="s">
        <v>37</v>
      </c>
      <c r="AB45" s="3" t="s">
        <v>77</v>
      </c>
      <c r="AC45">
        <v>129</v>
      </c>
      <c r="AD45" s="3" t="str">
        <f t="shared" si="11"/>
        <v>129</v>
      </c>
      <c r="AE45">
        <v>78</v>
      </c>
      <c r="AF45" s="3" t="str">
        <f t="shared" si="12"/>
        <v>78</v>
      </c>
      <c r="AG45" t="s">
        <v>25</v>
      </c>
      <c r="AH45" s="3">
        <v>15.25</v>
      </c>
      <c r="AI45" s="3">
        <f t="shared" si="13"/>
        <v>15.25</v>
      </c>
      <c r="AJ45" t="s">
        <v>26</v>
      </c>
      <c r="AK45" t="str">
        <f>PROPER(Table1[[#This Row],[CVD Risk Level]])</f>
        <v>Intermediary</v>
      </c>
    </row>
    <row r="46" spans="1:37" x14ac:dyDescent="0.3">
      <c r="A46" t="s">
        <v>20</v>
      </c>
      <c r="C46" s="8">
        <f t="shared" si="2"/>
        <v>47.025499655410059</v>
      </c>
      <c r="E46" s="8">
        <f t="shared" si="3"/>
        <v>105.16281000000001</v>
      </c>
      <c r="F46">
        <v>1.81</v>
      </c>
      <c r="G46" s="3">
        <f t="shared" si="4"/>
        <v>1.81</v>
      </c>
      <c r="H46">
        <v>32.1</v>
      </c>
      <c r="I46" s="5">
        <f t="shared" si="0"/>
        <v>32.1</v>
      </c>
      <c r="J46" s="16" t="str">
        <f t="shared" si="5"/>
        <v>Obese</v>
      </c>
      <c r="K46">
        <v>75.7</v>
      </c>
      <c r="L46">
        <v>0.41799999999999998</v>
      </c>
      <c r="M46" s="11">
        <f t="shared" si="1"/>
        <v>0.41799999999999998</v>
      </c>
      <c r="N46" s="5">
        <f t="shared" si="6"/>
        <v>75.7</v>
      </c>
      <c r="O46">
        <v>144</v>
      </c>
      <c r="P46">
        <v>69</v>
      </c>
      <c r="Q46" s="8">
        <f t="shared" si="7"/>
        <v>69</v>
      </c>
      <c r="R46" s="8">
        <v>45</v>
      </c>
      <c r="S46" s="8">
        <f t="shared" si="8"/>
        <v>45</v>
      </c>
      <c r="T46" s="8">
        <f>(Table1[[#This Row],[Total Cholesterol (mg/dL)]]+Table1[[#This Row],[HDL (mg/dL)2]]+Table1[[#This Row],[Estimated LDL (mg/dL)2]])*5</f>
        <v>1290</v>
      </c>
      <c r="U46" s="8">
        <f>IF(O46="",Table1[[#This Row],[Estimated LDL (mg/dL)2]]+Table1[[#This Row],[HDL (mg/dL)2]]+(Table1[[#This Row],[Triglycerides]]/5),O46)</f>
        <v>144</v>
      </c>
      <c r="V46">
        <v>129</v>
      </c>
      <c r="W46" s="8">
        <f t="shared" si="9"/>
        <v>129</v>
      </c>
      <c r="X46" t="str">
        <f t="shared" si="10"/>
        <v>Diabetes</v>
      </c>
      <c r="Y46" t="s">
        <v>22</v>
      </c>
      <c r="Z46" t="s">
        <v>23</v>
      </c>
      <c r="AA46" t="s">
        <v>37</v>
      </c>
      <c r="AB46" s="3" t="s">
        <v>78</v>
      </c>
      <c r="AC46">
        <v>94</v>
      </c>
      <c r="AD46" s="3" t="str">
        <f t="shared" si="11"/>
        <v>94</v>
      </c>
      <c r="AE46">
        <v>61</v>
      </c>
      <c r="AF46" s="3" t="str">
        <f t="shared" si="12"/>
        <v>61</v>
      </c>
      <c r="AG46" t="s">
        <v>33</v>
      </c>
      <c r="AH46" s="3">
        <v>16</v>
      </c>
      <c r="AI46" s="3">
        <f t="shared" si="13"/>
        <v>16</v>
      </c>
      <c r="AJ46" t="s">
        <v>26</v>
      </c>
      <c r="AK46" t="str">
        <f>PROPER(Table1[[#This Row],[CVD Risk Level]])</f>
        <v>Intermediary</v>
      </c>
    </row>
    <row r="47" spans="1:37" x14ac:dyDescent="0.3">
      <c r="A47" t="s">
        <v>20</v>
      </c>
      <c r="B47">
        <v>31</v>
      </c>
      <c r="C47" s="8">
        <f t="shared" si="2"/>
        <v>31</v>
      </c>
      <c r="D47" s="5">
        <v>115.5</v>
      </c>
      <c r="E47" s="8">
        <f t="shared" si="3"/>
        <v>115.5</v>
      </c>
      <c r="F47">
        <v>1.64</v>
      </c>
      <c r="G47" s="3">
        <f t="shared" si="4"/>
        <v>1.64</v>
      </c>
      <c r="H47">
        <v>42.9</v>
      </c>
      <c r="I47" s="5">
        <f t="shared" si="0"/>
        <v>42.9</v>
      </c>
      <c r="J47" s="16" t="str">
        <f t="shared" si="5"/>
        <v>Obese</v>
      </c>
      <c r="K47">
        <v>73.400000000000006</v>
      </c>
      <c r="L47">
        <v>0.44800000000000001</v>
      </c>
      <c r="M47" s="11">
        <f t="shared" si="1"/>
        <v>0.44800000000000001</v>
      </c>
      <c r="N47" s="5">
        <f t="shared" si="6"/>
        <v>73.400000000000006</v>
      </c>
      <c r="O47">
        <v>229</v>
      </c>
      <c r="Q47" s="8">
        <f t="shared" si="7"/>
        <v>56.197377501725327</v>
      </c>
      <c r="R47" s="8">
        <v>156</v>
      </c>
      <c r="S47" s="8">
        <f>IF(R47&lt;=0,MEDIAN($R$2:$R$1530),R47)</f>
        <v>156</v>
      </c>
      <c r="T47" s="8">
        <f>(Table1[[#This Row],[Total Cholesterol (mg/dL)]]+Table1[[#This Row],[HDL (mg/dL)2]]+Table1[[#This Row],[Estimated LDL (mg/dL)2]])*5</f>
        <v>2205.9868875086268</v>
      </c>
      <c r="U47" s="8">
        <f>IF(O47="",Table1[[#This Row],[Estimated LDL (mg/dL)2]]+Table1[[#This Row],[HDL (mg/dL)2]]+(Table1[[#This Row],[Triglycerides]]/5),O47)</f>
        <v>229</v>
      </c>
      <c r="V47">
        <v>85</v>
      </c>
      <c r="W47" s="8">
        <f t="shared" si="9"/>
        <v>85</v>
      </c>
      <c r="X47" t="str">
        <f t="shared" si="10"/>
        <v>Normal</v>
      </c>
      <c r="Y47" t="s">
        <v>22</v>
      </c>
      <c r="Z47" t="s">
        <v>23</v>
      </c>
      <c r="AA47" t="s">
        <v>28</v>
      </c>
      <c r="AB47" s="3" t="s">
        <v>79</v>
      </c>
      <c r="AC47">
        <v>129</v>
      </c>
      <c r="AD47" s="3" t="str">
        <f t="shared" si="11"/>
        <v>129</v>
      </c>
      <c r="AE47">
        <v>75</v>
      </c>
      <c r="AF47" s="3" t="str">
        <f t="shared" si="12"/>
        <v>75</v>
      </c>
      <c r="AG47" t="s">
        <v>25</v>
      </c>
      <c r="AH47" s="3">
        <v>21.61</v>
      </c>
      <c r="AI47" s="3">
        <f t="shared" si="13"/>
        <v>21.61</v>
      </c>
      <c r="AJ47" t="s">
        <v>30</v>
      </c>
      <c r="AK47" t="str">
        <f>PROPER(Table1[[#This Row],[CVD Risk Level]])</f>
        <v>High</v>
      </c>
    </row>
    <row r="48" spans="1:37" x14ac:dyDescent="0.3">
      <c r="A48" t="s">
        <v>20</v>
      </c>
      <c r="B48">
        <v>48</v>
      </c>
      <c r="C48" s="8">
        <f t="shared" si="2"/>
        <v>48</v>
      </c>
      <c r="D48" s="5">
        <v>81.8</v>
      </c>
      <c r="E48" s="8">
        <f t="shared" si="3"/>
        <v>81.8</v>
      </c>
      <c r="F48">
        <v>1.61</v>
      </c>
      <c r="G48" s="3">
        <f t="shared" si="4"/>
        <v>1.61</v>
      </c>
      <c r="H48">
        <v>31.6</v>
      </c>
      <c r="I48" s="5">
        <f t="shared" si="0"/>
        <v>31.6</v>
      </c>
      <c r="J48" s="16" t="str">
        <f t="shared" si="5"/>
        <v>Obese</v>
      </c>
      <c r="K48">
        <v>88.5</v>
      </c>
      <c r="L48">
        <v>0.55000000000000004</v>
      </c>
      <c r="M48" s="11">
        <f t="shared" si="1"/>
        <v>0.55000000000000004</v>
      </c>
      <c r="N48" s="5">
        <f t="shared" si="6"/>
        <v>88.5</v>
      </c>
      <c r="O48">
        <v>111</v>
      </c>
      <c r="P48">
        <v>31</v>
      </c>
      <c r="Q48" s="8">
        <f t="shared" si="7"/>
        <v>31</v>
      </c>
      <c r="S48" s="8">
        <f t="shared" si="8"/>
        <v>109</v>
      </c>
      <c r="T48" s="8">
        <f>(Table1[[#This Row],[Total Cholesterol (mg/dL)]]+Table1[[#This Row],[HDL (mg/dL)2]]+Table1[[#This Row],[Estimated LDL (mg/dL)2]])*5</f>
        <v>1255</v>
      </c>
      <c r="U48" s="8">
        <f>IF(O48="",Table1[[#This Row],[Estimated LDL (mg/dL)2]]+Table1[[#This Row],[HDL (mg/dL)2]]+(Table1[[#This Row],[Triglycerides]]/5),O48)</f>
        <v>111</v>
      </c>
      <c r="V48">
        <v>123</v>
      </c>
      <c r="W48" s="8">
        <f t="shared" si="9"/>
        <v>123</v>
      </c>
      <c r="X48" t="str">
        <f t="shared" si="10"/>
        <v>Prediabetes</v>
      </c>
      <c r="Y48" t="s">
        <v>22</v>
      </c>
      <c r="Z48" t="s">
        <v>23</v>
      </c>
      <c r="AA48" t="s">
        <v>37</v>
      </c>
      <c r="AB48" s="3" t="s">
        <v>80</v>
      </c>
      <c r="AC48">
        <v>110</v>
      </c>
      <c r="AD48" s="3" t="str">
        <f t="shared" si="11"/>
        <v>110</v>
      </c>
      <c r="AE48">
        <v>74</v>
      </c>
      <c r="AF48" s="3" t="str">
        <f t="shared" si="12"/>
        <v>74</v>
      </c>
      <c r="AG48" t="s">
        <v>33</v>
      </c>
      <c r="AH48" s="3">
        <v>16.04</v>
      </c>
      <c r="AI48" s="3">
        <f t="shared" si="13"/>
        <v>16.04</v>
      </c>
      <c r="AJ48" t="s">
        <v>30</v>
      </c>
      <c r="AK48" t="str">
        <f>PROPER(Table1[[#This Row],[CVD Risk Level]])</f>
        <v>High</v>
      </c>
    </row>
    <row r="49" spans="1:37" x14ac:dyDescent="0.3">
      <c r="A49" t="s">
        <v>31</v>
      </c>
      <c r="B49">
        <v>34</v>
      </c>
      <c r="C49" s="8">
        <f t="shared" si="2"/>
        <v>34</v>
      </c>
      <c r="E49" s="8">
        <f t="shared" si="3"/>
        <v>107.02206</v>
      </c>
      <c r="F49">
        <v>1.71</v>
      </c>
      <c r="G49" s="3">
        <f t="shared" si="4"/>
        <v>1.71</v>
      </c>
      <c r="H49">
        <v>36.6</v>
      </c>
      <c r="I49" s="5">
        <f t="shared" si="0"/>
        <v>36.6</v>
      </c>
      <c r="J49" s="16" t="str">
        <f t="shared" si="5"/>
        <v>Obese</v>
      </c>
      <c r="K49">
        <v>79.7</v>
      </c>
      <c r="L49">
        <v>0.46600000000000003</v>
      </c>
      <c r="M49" s="11">
        <f t="shared" si="1"/>
        <v>0.46600000000000003</v>
      </c>
      <c r="N49" s="5">
        <f t="shared" si="6"/>
        <v>79.7</v>
      </c>
      <c r="O49">
        <v>250</v>
      </c>
      <c r="P49">
        <v>60</v>
      </c>
      <c r="Q49" s="8">
        <f t="shared" si="7"/>
        <v>60</v>
      </c>
      <c r="S49" s="8">
        <f t="shared" si="8"/>
        <v>109</v>
      </c>
      <c r="T49" s="8">
        <f>(Table1[[#This Row],[Total Cholesterol (mg/dL)]]+Table1[[#This Row],[HDL (mg/dL)2]]+Table1[[#This Row],[Estimated LDL (mg/dL)2]])*5</f>
        <v>2095</v>
      </c>
      <c r="U49" s="8">
        <f>IF(O49="",Table1[[#This Row],[Estimated LDL (mg/dL)2]]+Table1[[#This Row],[HDL (mg/dL)2]]+(Table1[[#This Row],[Triglycerides]]/5),O49)</f>
        <v>250</v>
      </c>
      <c r="V49">
        <v>88</v>
      </c>
      <c r="W49" s="8">
        <f t="shared" si="9"/>
        <v>88</v>
      </c>
      <c r="X49" t="str">
        <f t="shared" si="10"/>
        <v>Normal</v>
      </c>
      <c r="Y49" t="s">
        <v>22</v>
      </c>
      <c r="Z49" t="s">
        <v>23</v>
      </c>
      <c r="AA49" t="s">
        <v>28</v>
      </c>
      <c r="AB49" s="3" t="s">
        <v>81</v>
      </c>
      <c r="AC49">
        <v>120</v>
      </c>
      <c r="AD49" s="3" t="str">
        <f t="shared" si="11"/>
        <v>120</v>
      </c>
      <c r="AE49">
        <v>77</v>
      </c>
      <c r="AF49" s="3" t="str">
        <f t="shared" si="12"/>
        <v>77</v>
      </c>
      <c r="AG49" t="s">
        <v>25</v>
      </c>
      <c r="AH49" s="3">
        <v>20.32</v>
      </c>
      <c r="AI49" s="3">
        <f t="shared" si="13"/>
        <v>20.32</v>
      </c>
      <c r="AJ49" t="s">
        <v>30</v>
      </c>
      <c r="AK49" t="str">
        <f>PROPER(Table1[[#This Row],[CVD Risk Level]])</f>
        <v>High</v>
      </c>
    </row>
    <row r="50" spans="1:37" x14ac:dyDescent="0.3">
      <c r="A50" t="s">
        <v>31</v>
      </c>
      <c r="B50">
        <v>41</v>
      </c>
      <c r="C50" s="8">
        <f t="shared" si="2"/>
        <v>41</v>
      </c>
      <c r="D50" s="5">
        <v>114.7</v>
      </c>
      <c r="E50" s="8">
        <f t="shared" si="3"/>
        <v>114.7</v>
      </c>
      <c r="F50">
        <v>1.8</v>
      </c>
      <c r="G50" s="3">
        <f t="shared" si="4"/>
        <v>1.8</v>
      </c>
      <c r="H50">
        <v>35.4</v>
      </c>
      <c r="I50" s="5">
        <f t="shared" si="0"/>
        <v>35.4</v>
      </c>
      <c r="J50" s="16" t="str">
        <f t="shared" si="5"/>
        <v>Obese</v>
      </c>
      <c r="K50">
        <v>75.099999999999994</v>
      </c>
      <c r="L50">
        <v>0.41699999999999998</v>
      </c>
      <c r="M50" s="11">
        <f t="shared" si="1"/>
        <v>0.41699999999999998</v>
      </c>
      <c r="N50" s="5">
        <f t="shared" si="6"/>
        <v>75.099999999999994</v>
      </c>
      <c r="O50">
        <v>119</v>
      </c>
      <c r="P50">
        <v>74</v>
      </c>
      <c r="Q50" s="8">
        <f t="shared" si="7"/>
        <v>74</v>
      </c>
      <c r="R50" s="8">
        <v>15</v>
      </c>
      <c r="S50" s="8">
        <f t="shared" si="8"/>
        <v>15</v>
      </c>
      <c r="T50" s="8">
        <f>(Table1[[#This Row],[Total Cholesterol (mg/dL)]]+Table1[[#This Row],[HDL (mg/dL)2]]+Table1[[#This Row],[Estimated LDL (mg/dL)2]])*5</f>
        <v>1040</v>
      </c>
      <c r="U50" s="8">
        <f>IF(O50="",Table1[[#This Row],[Estimated LDL (mg/dL)2]]+Table1[[#This Row],[HDL (mg/dL)2]]+(Table1[[#This Row],[Triglycerides]]/5),O50)</f>
        <v>119</v>
      </c>
      <c r="V50">
        <v>133</v>
      </c>
      <c r="W50" s="8">
        <f t="shared" si="9"/>
        <v>133</v>
      </c>
      <c r="X50" t="str">
        <f t="shared" si="10"/>
        <v>Diabetes</v>
      </c>
      <c r="Y50" t="s">
        <v>23</v>
      </c>
      <c r="Z50" t="s">
        <v>23</v>
      </c>
      <c r="AA50" t="s">
        <v>28</v>
      </c>
      <c r="AB50" s="3" t="s">
        <v>82</v>
      </c>
      <c r="AC50">
        <v>145</v>
      </c>
      <c r="AD50" s="3" t="str">
        <f t="shared" si="11"/>
        <v>145</v>
      </c>
      <c r="AE50">
        <v>84</v>
      </c>
      <c r="AF50" s="3" t="str">
        <f t="shared" si="12"/>
        <v>84</v>
      </c>
      <c r="AG50" t="s">
        <v>29</v>
      </c>
      <c r="AH50" s="3">
        <v>18.71</v>
      </c>
      <c r="AI50" s="3">
        <f t="shared" si="13"/>
        <v>18.71</v>
      </c>
      <c r="AJ50" t="s">
        <v>26</v>
      </c>
      <c r="AK50" t="str">
        <f>PROPER(Table1[[#This Row],[CVD Risk Level]])</f>
        <v>Intermediary</v>
      </c>
    </row>
    <row r="51" spans="1:37" x14ac:dyDescent="0.3">
      <c r="A51" t="s">
        <v>31</v>
      </c>
      <c r="B51">
        <v>56</v>
      </c>
      <c r="C51" s="8">
        <f t="shared" si="2"/>
        <v>56</v>
      </c>
      <c r="D51" s="5">
        <v>61</v>
      </c>
      <c r="E51" s="8">
        <f t="shared" si="3"/>
        <v>61</v>
      </c>
      <c r="F51">
        <v>1.82</v>
      </c>
      <c r="G51" s="3">
        <f t="shared" si="4"/>
        <v>1.82</v>
      </c>
      <c r="H51">
        <v>18.399999999999999</v>
      </c>
      <c r="I51" s="5">
        <f t="shared" si="0"/>
        <v>18.399999999999999</v>
      </c>
      <c r="J51" s="16" t="str">
        <f t="shared" si="5"/>
        <v>Underweight</v>
      </c>
      <c r="L51">
        <v>0.48099999999999998</v>
      </c>
      <c r="M51" s="11">
        <f t="shared" si="1"/>
        <v>0.48099999999999998</v>
      </c>
      <c r="N51" s="5">
        <f t="shared" si="6"/>
        <v>87.542000000000002</v>
      </c>
      <c r="O51">
        <v>260</v>
      </c>
      <c r="P51">
        <v>79</v>
      </c>
      <c r="Q51" s="8">
        <f t="shared" si="7"/>
        <v>79</v>
      </c>
      <c r="S51" s="8">
        <f t="shared" si="8"/>
        <v>109</v>
      </c>
      <c r="T51" s="8">
        <f>(Table1[[#This Row],[Total Cholesterol (mg/dL)]]+Table1[[#This Row],[HDL (mg/dL)2]]+Table1[[#This Row],[Estimated LDL (mg/dL)2]])*5</f>
        <v>2240</v>
      </c>
      <c r="U51" s="8">
        <f>IF(O51="",Table1[[#This Row],[Estimated LDL (mg/dL)2]]+Table1[[#This Row],[HDL (mg/dL)2]]+(Table1[[#This Row],[Triglycerides]]/5),O51)</f>
        <v>260</v>
      </c>
      <c r="V51">
        <v>78</v>
      </c>
      <c r="W51" s="8">
        <f t="shared" si="9"/>
        <v>78</v>
      </c>
      <c r="X51" t="str">
        <f t="shared" si="10"/>
        <v>Normal</v>
      </c>
      <c r="Y51" t="s">
        <v>22</v>
      </c>
      <c r="Z51" t="s">
        <v>22</v>
      </c>
      <c r="AA51" t="s">
        <v>37</v>
      </c>
      <c r="AB51" s="3" t="s">
        <v>83</v>
      </c>
      <c r="AC51">
        <v>97</v>
      </c>
      <c r="AD51" s="3" t="str">
        <f t="shared" si="11"/>
        <v>97</v>
      </c>
      <c r="AE51">
        <v>73</v>
      </c>
      <c r="AF51" s="3" t="str">
        <f t="shared" si="12"/>
        <v>73</v>
      </c>
      <c r="AG51" t="s">
        <v>33</v>
      </c>
      <c r="AH51" s="3">
        <v>13.73</v>
      </c>
      <c r="AI51" s="3">
        <f t="shared" si="13"/>
        <v>13.73</v>
      </c>
      <c r="AJ51" t="s">
        <v>26</v>
      </c>
      <c r="AK51" t="str">
        <f>PROPER(Table1[[#This Row],[CVD Risk Level]])</f>
        <v>Intermediary</v>
      </c>
    </row>
    <row r="52" spans="1:37" x14ac:dyDescent="0.3">
      <c r="A52" t="s">
        <v>31</v>
      </c>
      <c r="B52">
        <v>55</v>
      </c>
      <c r="C52" s="8">
        <f t="shared" si="2"/>
        <v>55</v>
      </c>
      <c r="D52" s="5">
        <v>110.3</v>
      </c>
      <c r="E52" s="8">
        <f t="shared" si="3"/>
        <v>110.3</v>
      </c>
      <c r="F52">
        <v>1.61</v>
      </c>
      <c r="G52" s="3">
        <f t="shared" si="4"/>
        <v>1.61</v>
      </c>
      <c r="H52">
        <v>42.6</v>
      </c>
      <c r="I52" s="5">
        <f t="shared" si="0"/>
        <v>42.6</v>
      </c>
      <c r="J52" s="16" t="str">
        <f t="shared" si="5"/>
        <v>Obese</v>
      </c>
      <c r="K52">
        <v>74.5</v>
      </c>
      <c r="L52">
        <v>0.46300000000000002</v>
      </c>
      <c r="M52" s="11">
        <f t="shared" si="1"/>
        <v>0.46300000000000002</v>
      </c>
      <c r="N52" s="5">
        <f t="shared" si="6"/>
        <v>74.5</v>
      </c>
      <c r="O52">
        <v>101</v>
      </c>
      <c r="P52">
        <v>43</v>
      </c>
      <c r="Q52" s="8">
        <f t="shared" si="7"/>
        <v>43</v>
      </c>
      <c r="R52" s="8">
        <v>28</v>
      </c>
      <c r="S52" s="8">
        <f t="shared" si="8"/>
        <v>28</v>
      </c>
      <c r="T52" s="8">
        <f>(Table1[[#This Row],[Total Cholesterol (mg/dL)]]+Table1[[#This Row],[HDL (mg/dL)2]]+Table1[[#This Row],[Estimated LDL (mg/dL)2]])*5</f>
        <v>860</v>
      </c>
      <c r="U52" s="8">
        <f>IF(O52="",Table1[[#This Row],[Estimated LDL (mg/dL)2]]+Table1[[#This Row],[HDL (mg/dL)2]]+(Table1[[#This Row],[Triglycerides]]/5),O52)</f>
        <v>101</v>
      </c>
      <c r="V52">
        <v>117</v>
      </c>
      <c r="W52" s="8">
        <f t="shared" si="9"/>
        <v>117</v>
      </c>
      <c r="X52" t="str">
        <f t="shared" si="10"/>
        <v>Prediabetes</v>
      </c>
      <c r="Y52" t="s">
        <v>22</v>
      </c>
      <c r="Z52" t="s">
        <v>22</v>
      </c>
      <c r="AA52" t="s">
        <v>28</v>
      </c>
      <c r="AB52" s="3" t="s">
        <v>84</v>
      </c>
      <c r="AC52">
        <v>135</v>
      </c>
      <c r="AD52" s="3" t="str">
        <f t="shared" si="11"/>
        <v>135</v>
      </c>
      <c r="AF52" s="3" t="str">
        <f t="shared" si="12"/>
        <v>96</v>
      </c>
      <c r="AG52" t="s">
        <v>29</v>
      </c>
      <c r="AI52" s="3">
        <f t="shared" si="13"/>
        <v>16.960925291295425</v>
      </c>
      <c r="AJ52" t="s">
        <v>26</v>
      </c>
      <c r="AK52" t="str">
        <f>PROPER(Table1[[#This Row],[CVD Risk Level]])</f>
        <v>Intermediary</v>
      </c>
    </row>
    <row r="53" spans="1:37" x14ac:dyDescent="0.3">
      <c r="A53" t="s">
        <v>20</v>
      </c>
      <c r="C53" s="8">
        <f t="shared" si="2"/>
        <v>47.025499655410059</v>
      </c>
      <c r="D53" s="5">
        <v>75.2</v>
      </c>
      <c r="E53" s="8">
        <f t="shared" si="3"/>
        <v>75.2</v>
      </c>
      <c r="F53">
        <v>1.7</v>
      </c>
      <c r="G53" s="3">
        <f t="shared" si="4"/>
        <v>1.7</v>
      </c>
      <c r="H53">
        <v>26</v>
      </c>
      <c r="I53" s="5">
        <f t="shared" si="0"/>
        <v>26</v>
      </c>
      <c r="J53" s="16" t="str">
        <f t="shared" si="5"/>
        <v>Overweight</v>
      </c>
      <c r="K53">
        <v>93.2</v>
      </c>
      <c r="L53">
        <v>0.54800000000000004</v>
      </c>
      <c r="M53" s="11">
        <f t="shared" si="1"/>
        <v>0.54800000000000004</v>
      </c>
      <c r="N53" s="5">
        <f t="shared" si="6"/>
        <v>93.2</v>
      </c>
      <c r="O53">
        <v>144</v>
      </c>
      <c r="P53">
        <v>49</v>
      </c>
      <c r="Q53" s="8">
        <f t="shared" si="7"/>
        <v>49</v>
      </c>
      <c r="R53" s="8">
        <v>65</v>
      </c>
      <c r="S53" s="8">
        <f t="shared" si="8"/>
        <v>65</v>
      </c>
      <c r="T53" s="8">
        <f>(Table1[[#This Row],[Total Cholesterol (mg/dL)]]+Table1[[#This Row],[HDL (mg/dL)2]]+Table1[[#This Row],[Estimated LDL (mg/dL)2]])*5</f>
        <v>1290</v>
      </c>
      <c r="U53" s="8">
        <f>IF(O53="",Table1[[#This Row],[Estimated LDL (mg/dL)2]]+Table1[[#This Row],[HDL (mg/dL)2]]+(Table1[[#This Row],[Triglycerides]]/5),O53)</f>
        <v>144</v>
      </c>
      <c r="V53">
        <v>103</v>
      </c>
      <c r="W53" s="8">
        <f t="shared" si="9"/>
        <v>103</v>
      </c>
      <c r="X53" t="str">
        <f t="shared" si="10"/>
        <v>Prediabetes</v>
      </c>
      <c r="Y53" t="s">
        <v>23</v>
      </c>
      <c r="Z53" t="s">
        <v>22</v>
      </c>
      <c r="AA53" t="s">
        <v>37</v>
      </c>
      <c r="AB53" s="3" t="s">
        <v>85</v>
      </c>
      <c r="AC53">
        <v>135</v>
      </c>
      <c r="AD53" s="3" t="str">
        <f t="shared" si="11"/>
        <v>135</v>
      </c>
      <c r="AE53">
        <v>75</v>
      </c>
      <c r="AF53" s="3" t="str">
        <f t="shared" si="12"/>
        <v>75</v>
      </c>
      <c r="AG53" t="s">
        <v>29</v>
      </c>
      <c r="AH53" s="3">
        <v>14.83</v>
      </c>
      <c r="AI53" s="3">
        <f t="shared" si="13"/>
        <v>14.83</v>
      </c>
      <c r="AJ53" t="s">
        <v>26</v>
      </c>
      <c r="AK53" t="str">
        <f>PROPER(Table1[[#This Row],[CVD Risk Level]])</f>
        <v>Intermediary</v>
      </c>
    </row>
    <row r="54" spans="1:37" x14ac:dyDescent="0.3">
      <c r="A54" t="s">
        <v>31</v>
      </c>
      <c r="B54">
        <v>59</v>
      </c>
      <c r="C54" s="8">
        <f t="shared" si="2"/>
        <v>59</v>
      </c>
      <c r="D54" s="5">
        <v>96.3</v>
      </c>
      <c r="E54" s="8">
        <f t="shared" si="3"/>
        <v>96.3</v>
      </c>
      <c r="F54">
        <v>1.75</v>
      </c>
      <c r="G54" s="3">
        <f t="shared" si="4"/>
        <v>1.75</v>
      </c>
      <c r="H54">
        <v>31.4</v>
      </c>
      <c r="I54" s="5">
        <f t="shared" si="0"/>
        <v>31.4</v>
      </c>
      <c r="J54" s="16" t="str">
        <f t="shared" si="5"/>
        <v>Obese</v>
      </c>
      <c r="K54">
        <v>90</v>
      </c>
      <c r="L54">
        <v>0.51400000000000001</v>
      </c>
      <c r="M54" s="11">
        <f t="shared" si="1"/>
        <v>0.51400000000000001</v>
      </c>
      <c r="N54" s="5">
        <f t="shared" si="6"/>
        <v>90</v>
      </c>
      <c r="O54">
        <v>115</v>
      </c>
      <c r="P54">
        <v>73</v>
      </c>
      <c r="Q54" s="8">
        <f t="shared" si="7"/>
        <v>73</v>
      </c>
      <c r="R54" s="8">
        <v>12</v>
      </c>
      <c r="S54" s="8">
        <f t="shared" si="8"/>
        <v>12</v>
      </c>
      <c r="T54" s="8">
        <f>(Table1[[#This Row],[Total Cholesterol (mg/dL)]]+Table1[[#This Row],[HDL (mg/dL)2]]+Table1[[#This Row],[Estimated LDL (mg/dL)2]])*5</f>
        <v>1000</v>
      </c>
      <c r="U54" s="8">
        <f>IF(O54="",Table1[[#This Row],[Estimated LDL (mg/dL)2]]+Table1[[#This Row],[HDL (mg/dL)2]]+(Table1[[#This Row],[Triglycerides]]/5),O54)</f>
        <v>115</v>
      </c>
      <c r="W54" s="8">
        <f t="shared" si="9"/>
        <v>117.48563611491107</v>
      </c>
      <c r="X54" t="str">
        <f t="shared" si="10"/>
        <v>Prediabetes</v>
      </c>
      <c r="Y54" t="s">
        <v>22</v>
      </c>
      <c r="Z54" t="s">
        <v>23</v>
      </c>
      <c r="AA54" t="s">
        <v>28</v>
      </c>
      <c r="AB54" s="3" t="s">
        <v>86</v>
      </c>
      <c r="AC54">
        <v>102</v>
      </c>
      <c r="AD54" s="3" t="str">
        <f t="shared" si="11"/>
        <v>102</v>
      </c>
      <c r="AF54" s="3" t="str">
        <f t="shared" si="12"/>
        <v>71</v>
      </c>
      <c r="AG54" t="s">
        <v>33</v>
      </c>
      <c r="AH54" s="3">
        <v>15.68</v>
      </c>
      <c r="AI54" s="3">
        <f t="shared" si="13"/>
        <v>15.68</v>
      </c>
      <c r="AJ54" t="s">
        <v>26</v>
      </c>
      <c r="AK54" t="str">
        <f>PROPER(Table1[[#This Row],[CVD Risk Level]])</f>
        <v>Intermediary</v>
      </c>
    </row>
    <row r="55" spans="1:37" x14ac:dyDescent="0.3">
      <c r="A55" t="s">
        <v>20</v>
      </c>
      <c r="B55">
        <v>50</v>
      </c>
      <c r="C55" s="8">
        <f t="shared" si="2"/>
        <v>50</v>
      </c>
      <c r="D55" s="5">
        <v>67.900000000000006</v>
      </c>
      <c r="E55" s="8">
        <f t="shared" si="3"/>
        <v>67.900000000000006</v>
      </c>
      <c r="F55">
        <v>1.83</v>
      </c>
      <c r="G55" s="3">
        <f t="shared" si="4"/>
        <v>1.83</v>
      </c>
      <c r="H55">
        <v>20.3</v>
      </c>
      <c r="I55" s="5">
        <f t="shared" si="0"/>
        <v>20.3</v>
      </c>
      <c r="J55" s="16" t="str">
        <f t="shared" si="5"/>
        <v>Normal</v>
      </c>
      <c r="K55">
        <v>108.2</v>
      </c>
      <c r="L55">
        <v>0.59099999999999997</v>
      </c>
      <c r="M55" s="11">
        <f t="shared" si="1"/>
        <v>0.59099999999999997</v>
      </c>
      <c r="N55" s="5">
        <f t="shared" si="6"/>
        <v>108.2</v>
      </c>
      <c r="O55">
        <v>128</v>
      </c>
      <c r="P55">
        <v>32</v>
      </c>
      <c r="Q55" s="8">
        <f t="shared" si="7"/>
        <v>32</v>
      </c>
      <c r="R55" s="8">
        <v>66</v>
      </c>
      <c r="S55" s="8">
        <f t="shared" si="8"/>
        <v>66</v>
      </c>
      <c r="T55" s="8">
        <f>(Table1[[#This Row],[Total Cholesterol (mg/dL)]]+Table1[[#This Row],[HDL (mg/dL)2]]+Table1[[#This Row],[Estimated LDL (mg/dL)2]])*5</f>
        <v>1130</v>
      </c>
      <c r="U55" s="8">
        <f>IF(O55="",Table1[[#This Row],[Estimated LDL (mg/dL)2]]+Table1[[#This Row],[HDL (mg/dL)2]]+(Table1[[#This Row],[Triglycerides]]/5),O55)</f>
        <v>128</v>
      </c>
      <c r="V55">
        <v>87</v>
      </c>
      <c r="W55" s="8">
        <f t="shared" si="9"/>
        <v>87</v>
      </c>
      <c r="X55" t="str">
        <f t="shared" si="10"/>
        <v>Normal</v>
      </c>
      <c r="Y55" t="s">
        <v>23</v>
      </c>
      <c r="Z55" t="s">
        <v>23</v>
      </c>
      <c r="AA55" t="s">
        <v>28</v>
      </c>
      <c r="AB55" s="3" t="s">
        <v>87</v>
      </c>
      <c r="AC55">
        <v>148</v>
      </c>
      <c r="AD55" s="3" t="str">
        <f t="shared" si="11"/>
        <v>148</v>
      </c>
      <c r="AE55">
        <v>92</v>
      </c>
      <c r="AF55" s="3" t="str">
        <f t="shared" si="12"/>
        <v>92</v>
      </c>
      <c r="AG55" t="s">
        <v>38</v>
      </c>
      <c r="AH55" s="3">
        <v>16.02</v>
      </c>
      <c r="AI55" s="3">
        <f t="shared" si="13"/>
        <v>16.02</v>
      </c>
      <c r="AJ55" t="s">
        <v>30</v>
      </c>
      <c r="AK55" t="str">
        <f>PROPER(Table1[[#This Row],[CVD Risk Level]])</f>
        <v>High</v>
      </c>
    </row>
    <row r="56" spans="1:37" x14ac:dyDescent="0.3">
      <c r="A56" t="s">
        <v>20</v>
      </c>
      <c r="B56">
        <v>52</v>
      </c>
      <c r="C56" s="8">
        <f t="shared" si="2"/>
        <v>52</v>
      </c>
      <c r="D56" s="5">
        <v>98.9</v>
      </c>
      <c r="E56" s="8">
        <f t="shared" si="3"/>
        <v>98.9</v>
      </c>
      <c r="F56">
        <v>1.61</v>
      </c>
      <c r="G56" s="3">
        <f t="shared" si="4"/>
        <v>1.61</v>
      </c>
      <c r="H56">
        <v>38.200000000000003</v>
      </c>
      <c r="I56" s="5">
        <f t="shared" si="0"/>
        <v>38.200000000000003</v>
      </c>
      <c r="J56" s="16" t="str">
        <f t="shared" si="5"/>
        <v>Obese</v>
      </c>
      <c r="K56">
        <v>79.900000000000006</v>
      </c>
      <c r="L56">
        <v>0.496</v>
      </c>
      <c r="M56" s="11">
        <f t="shared" si="1"/>
        <v>0.496</v>
      </c>
      <c r="N56" s="5">
        <f t="shared" si="6"/>
        <v>79.900000000000006</v>
      </c>
      <c r="O56">
        <v>175</v>
      </c>
      <c r="P56">
        <v>32</v>
      </c>
      <c r="Q56" s="8">
        <f t="shared" si="7"/>
        <v>32</v>
      </c>
      <c r="R56" s="8">
        <v>113</v>
      </c>
      <c r="S56" s="8">
        <f t="shared" si="8"/>
        <v>113</v>
      </c>
      <c r="T56" s="8">
        <f>(Table1[[#This Row],[Total Cholesterol (mg/dL)]]+Table1[[#This Row],[HDL (mg/dL)2]]+Table1[[#This Row],[Estimated LDL (mg/dL)2]])*5</f>
        <v>1600</v>
      </c>
      <c r="U56" s="8">
        <f>IF(O56="",Table1[[#This Row],[Estimated LDL (mg/dL)2]]+Table1[[#This Row],[HDL (mg/dL)2]]+(Table1[[#This Row],[Triglycerides]]/5),O56)</f>
        <v>175</v>
      </c>
      <c r="V56">
        <v>145</v>
      </c>
      <c r="W56" s="8">
        <f t="shared" si="9"/>
        <v>145</v>
      </c>
      <c r="X56" t="str">
        <f t="shared" si="10"/>
        <v>Diabetes</v>
      </c>
      <c r="Y56" t="s">
        <v>23</v>
      </c>
      <c r="Z56" t="s">
        <v>23</v>
      </c>
      <c r="AA56" t="s">
        <v>37</v>
      </c>
      <c r="AB56" s="3" t="s">
        <v>88</v>
      </c>
      <c r="AC56">
        <v>139</v>
      </c>
      <c r="AD56" s="3" t="str">
        <f t="shared" si="11"/>
        <v>139</v>
      </c>
      <c r="AE56">
        <v>66</v>
      </c>
      <c r="AF56" s="3" t="str">
        <f t="shared" si="12"/>
        <v>66</v>
      </c>
      <c r="AG56" t="s">
        <v>29</v>
      </c>
      <c r="AH56" s="3">
        <v>20.09</v>
      </c>
      <c r="AI56" s="3">
        <f t="shared" si="13"/>
        <v>20.09</v>
      </c>
      <c r="AJ56" t="s">
        <v>30</v>
      </c>
      <c r="AK56" t="str">
        <f>PROPER(Table1[[#This Row],[CVD Risk Level]])</f>
        <v>High</v>
      </c>
    </row>
    <row r="57" spans="1:37" x14ac:dyDescent="0.3">
      <c r="A57" t="s">
        <v>31</v>
      </c>
      <c r="B57">
        <v>43</v>
      </c>
      <c r="C57" s="8">
        <f t="shared" si="2"/>
        <v>43</v>
      </c>
      <c r="D57" s="5">
        <v>65.8</v>
      </c>
      <c r="E57" s="8">
        <f t="shared" si="3"/>
        <v>65.8</v>
      </c>
      <c r="F57">
        <v>1.76</v>
      </c>
      <c r="G57" s="3">
        <f t="shared" si="4"/>
        <v>1.76</v>
      </c>
      <c r="H57">
        <v>21.2</v>
      </c>
      <c r="I57" s="5">
        <f t="shared" si="0"/>
        <v>21.2</v>
      </c>
      <c r="J57" s="16" t="str">
        <f t="shared" si="5"/>
        <v>Normal</v>
      </c>
      <c r="K57">
        <v>101.1</v>
      </c>
      <c r="L57">
        <v>0.57399999999999995</v>
      </c>
      <c r="M57" s="11">
        <f t="shared" si="1"/>
        <v>0.57399999999999995</v>
      </c>
      <c r="N57" s="5">
        <f t="shared" si="6"/>
        <v>101.1</v>
      </c>
      <c r="O57">
        <v>243</v>
      </c>
      <c r="P57">
        <v>66</v>
      </c>
      <c r="Q57" s="8">
        <f t="shared" si="7"/>
        <v>66</v>
      </c>
      <c r="R57" s="8">
        <v>147</v>
      </c>
      <c r="S57" s="8">
        <f t="shared" si="8"/>
        <v>147</v>
      </c>
      <c r="T57" s="8">
        <f>(Table1[[#This Row],[Total Cholesterol (mg/dL)]]+Table1[[#This Row],[HDL (mg/dL)2]]+Table1[[#This Row],[Estimated LDL (mg/dL)2]])*5</f>
        <v>2280</v>
      </c>
      <c r="U57" s="8">
        <f>IF(O57="",Table1[[#This Row],[Estimated LDL (mg/dL)2]]+Table1[[#This Row],[HDL (mg/dL)2]]+(Table1[[#This Row],[Triglycerides]]/5),O57)</f>
        <v>243</v>
      </c>
      <c r="V57">
        <v>70</v>
      </c>
      <c r="W57" s="8">
        <f t="shared" si="9"/>
        <v>70</v>
      </c>
      <c r="X57" t="str">
        <f t="shared" si="10"/>
        <v>Normal</v>
      </c>
      <c r="Y57" t="s">
        <v>22</v>
      </c>
      <c r="Z57" t="s">
        <v>23</v>
      </c>
      <c r="AA57" t="s">
        <v>37</v>
      </c>
      <c r="AB57" s="3" t="s">
        <v>89</v>
      </c>
      <c r="AC57">
        <v>94</v>
      </c>
      <c r="AD57" s="3" t="str">
        <f t="shared" si="11"/>
        <v>94</v>
      </c>
      <c r="AE57">
        <v>81</v>
      </c>
      <c r="AF57" s="3" t="str">
        <f t="shared" si="12"/>
        <v>81</v>
      </c>
      <c r="AG57" t="s">
        <v>29</v>
      </c>
      <c r="AH57" s="3">
        <v>15.8</v>
      </c>
      <c r="AI57" s="3">
        <f t="shared" si="13"/>
        <v>15.8</v>
      </c>
      <c r="AJ57" t="s">
        <v>26</v>
      </c>
      <c r="AK57" t="str">
        <f>PROPER(Table1[[#This Row],[CVD Risk Level]])</f>
        <v>Intermediary</v>
      </c>
    </row>
    <row r="58" spans="1:37" x14ac:dyDescent="0.3">
      <c r="A58" t="s">
        <v>20</v>
      </c>
      <c r="B58">
        <v>37</v>
      </c>
      <c r="C58" s="8">
        <f t="shared" si="2"/>
        <v>37</v>
      </c>
      <c r="D58" s="5">
        <v>74.599999999999994</v>
      </c>
      <c r="E58" s="8">
        <f t="shared" si="3"/>
        <v>74.599999999999994</v>
      </c>
      <c r="F58">
        <v>1.74</v>
      </c>
      <c r="G58" s="3">
        <f t="shared" si="4"/>
        <v>1.74</v>
      </c>
      <c r="H58">
        <v>24.6</v>
      </c>
      <c r="I58" s="5">
        <f t="shared" si="0"/>
        <v>24.6</v>
      </c>
      <c r="J58" s="16" t="str">
        <f t="shared" si="5"/>
        <v>Normal</v>
      </c>
      <c r="K58">
        <v>107.8</v>
      </c>
      <c r="L58">
        <v>0.62</v>
      </c>
      <c r="M58" s="11">
        <f t="shared" si="1"/>
        <v>0.62</v>
      </c>
      <c r="N58" s="5">
        <f t="shared" si="6"/>
        <v>107.8</v>
      </c>
      <c r="O58">
        <v>124</v>
      </c>
      <c r="P58">
        <v>48</v>
      </c>
      <c r="Q58" s="8">
        <f t="shared" si="7"/>
        <v>48</v>
      </c>
      <c r="R58" s="8">
        <v>46</v>
      </c>
      <c r="S58" s="8">
        <f t="shared" si="8"/>
        <v>46</v>
      </c>
      <c r="T58" s="8">
        <f>(Table1[[#This Row],[Total Cholesterol (mg/dL)]]+Table1[[#This Row],[HDL (mg/dL)2]]+Table1[[#This Row],[Estimated LDL (mg/dL)2]])*5</f>
        <v>1090</v>
      </c>
      <c r="U58" s="8">
        <f>IF(O58="",Table1[[#This Row],[Estimated LDL (mg/dL)2]]+Table1[[#This Row],[HDL (mg/dL)2]]+(Table1[[#This Row],[Triglycerides]]/5),O58)</f>
        <v>124</v>
      </c>
      <c r="V58">
        <v>98</v>
      </c>
      <c r="W58" s="8">
        <f t="shared" si="9"/>
        <v>98</v>
      </c>
      <c r="X58" t="str">
        <f t="shared" si="10"/>
        <v>Normal</v>
      </c>
      <c r="Y58" t="s">
        <v>23</v>
      </c>
      <c r="Z58" t="s">
        <v>23</v>
      </c>
      <c r="AA58" t="s">
        <v>28</v>
      </c>
      <c r="AB58" s="3" t="s">
        <v>90</v>
      </c>
      <c r="AC58">
        <v>104</v>
      </c>
      <c r="AD58" s="3" t="str">
        <f t="shared" si="11"/>
        <v>104</v>
      </c>
      <c r="AE58">
        <v>60</v>
      </c>
      <c r="AF58" s="3" t="str">
        <f t="shared" si="12"/>
        <v>60</v>
      </c>
      <c r="AG58" t="s">
        <v>33</v>
      </c>
      <c r="AH58" s="3">
        <v>14.6</v>
      </c>
      <c r="AI58" s="3">
        <f t="shared" si="13"/>
        <v>14.6</v>
      </c>
      <c r="AJ58" t="s">
        <v>26</v>
      </c>
      <c r="AK58" t="str">
        <f>PROPER(Table1[[#This Row],[CVD Risk Level]])</f>
        <v>Intermediary</v>
      </c>
    </row>
    <row r="59" spans="1:37" x14ac:dyDescent="0.3">
      <c r="A59" t="s">
        <v>20</v>
      </c>
      <c r="B59">
        <v>51</v>
      </c>
      <c r="C59" s="8">
        <f t="shared" si="2"/>
        <v>51</v>
      </c>
      <c r="D59" s="5">
        <v>100.5</v>
      </c>
      <c r="E59" s="8">
        <f t="shared" si="3"/>
        <v>100.5</v>
      </c>
      <c r="F59">
        <v>1.82</v>
      </c>
      <c r="G59" s="3">
        <f t="shared" si="4"/>
        <v>1.82</v>
      </c>
      <c r="H59">
        <v>30.3</v>
      </c>
      <c r="I59" s="5">
        <f t="shared" si="0"/>
        <v>30.3</v>
      </c>
      <c r="J59" s="16" t="str">
        <f t="shared" si="5"/>
        <v>Obese</v>
      </c>
      <c r="K59">
        <v>106.4</v>
      </c>
      <c r="L59">
        <v>0.58499999999999996</v>
      </c>
      <c r="M59" s="11">
        <f t="shared" si="1"/>
        <v>0.58499999999999996</v>
      </c>
      <c r="N59" s="5">
        <f t="shared" si="6"/>
        <v>106.4</v>
      </c>
      <c r="O59">
        <v>257</v>
      </c>
      <c r="P59">
        <v>76</v>
      </c>
      <c r="Q59" s="8">
        <f t="shared" si="7"/>
        <v>76</v>
      </c>
      <c r="R59" s="8">
        <v>151</v>
      </c>
      <c r="S59" s="8">
        <f t="shared" si="8"/>
        <v>151</v>
      </c>
      <c r="T59" s="8">
        <f>(Table1[[#This Row],[Total Cholesterol (mg/dL)]]+Table1[[#This Row],[HDL (mg/dL)2]]+Table1[[#This Row],[Estimated LDL (mg/dL)2]])*5</f>
        <v>2420</v>
      </c>
      <c r="U59" s="8">
        <f>IF(O59="",Table1[[#This Row],[Estimated LDL (mg/dL)2]]+Table1[[#This Row],[HDL (mg/dL)2]]+(Table1[[#This Row],[Triglycerides]]/5),O59)</f>
        <v>257</v>
      </c>
      <c r="V59">
        <v>89</v>
      </c>
      <c r="W59" s="8">
        <f t="shared" si="9"/>
        <v>89</v>
      </c>
      <c r="X59" t="str">
        <f t="shared" si="10"/>
        <v>Normal</v>
      </c>
      <c r="Y59" t="s">
        <v>23</v>
      </c>
      <c r="Z59" t="s">
        <v>22</v>
      </c>
      <c r="AA59" t="s">
        <v>37</v>
      </c>
      <c r="AB59" s="3" t="s">
        <v>91</v>
      </c>
      <c r="AC59">
        <v>129</v>
      </c>
      <c r="AD59" s="3" t="str">
        <f t="shared" si="11"/>
        <v>129</v>
      </c>
      <c r="AE59">
        <v>71</v>
      </c>
      <c r="AF59" s="3" t="str">
        <f t="shared" si="12"/>
        <v>71</v>
      </c>
      <c r="AG59" t="s">
        <v>25</v>
      </c>
      <c r="AH59" s="3">
        <v>17.649999999999999</v>
      </c>
      <c r="AI59" s="3">
        <f t="shared" si="13"/>
        <v>17.649999999999999</v>
      </c>
      <c r="AJ59" t="s">
        <v>30</v>
      </c>
      <c r="AK59" t="str">
        <f>PROPER(Table1[[#This Row],[CVD Risk Level]])</f>
        <v>High</v>
      </c>
    </row>
    <row r="60" spans="1:37" x14ac:dyDescent="0.3">
      <c r="A60" t="s">
        <v>20</v>
      </c>
      <c r="B60">
        <v>44</v>
      </c>
      <c r="C60" s="8">
        <f t="shared" si="2"/>
        <v>44</v>
      </c>
      <c r="D60" s="5">
        <v>101.5</v>
      </c>
      <c r="E60" s="8">
        <f t="shared" si="3"/>
        <v>101.5</v>
      </c>
      <c r="F60">
        <v>1.69</v>
      </c>
      <c r="G60" s="3">
        <f t="shared" si="4"/>
        <v>1.69</v>
      </c>
      <c r="H60">
        <v>35.5</v>
      </c>
      <c r="I60" s="5">
        <f t="shared" si="0"/>
        <v>35.5</v>
      </c>
      <c r="J60" s="16" t="str">
        <f t="shared" si="5"/>
        <v>Obese</v>
      </c>
      <c r="K60">
        <v>91.5</v>
      </c>
      <c r="L60">
        <v>0.54100000000000004</v>
      </c>
      <c r="M60" s="11">
        <f t="shared" si="1"/>
        <v>0.54100000000000004</v>
      </c>
      <c r="N60" s="5">
        <f t="shared" si="6"/>
        <v>91.5</v>
      </c>
      <c r="O60">
        <v>103</v>
      </c>
      <c r="P60">
        <v>74</v>
      </c>
      <c r="Q60" s="8">
        <f t="shared" si="7"/>
        <v>74</v>
      </c>
      <c r="R60" s="8">
        <v>-1</v>
      </c>
      <c r="S60" s="8">
        <f t="shared" si="8"/>
        <v>109</v>
      </c>
      <c r="T60" s="8">
        <f>(Table1[[#This Row],[Total Cholesterol (mg/dL)]]+Table1[[#This Row],[HDL (mg/dL)2]]+Table1[[#This Row],[Estimated LDL (mg/dL)2]])*5</f>
        <v>1430</v>
      </c>
      <c r="U60" s="8">
        <f>IF(O60="",Table1[[#This Row],[Estimated LDL (mg/dL)2]]+Table1[[#This Row],[HDL (mg/dL)2]]+(Table1[[#This Row],[Triglycerides]]/5),O60)</f>
        <v>103</v>
      </c>
      <c r="V60">
        <v>93</v>
      </c>
      <c r="W60" s="8">
        <f t="shared" si="9"/>
        <v>93</v>
      </c>
      <c r="X60" t="str">
        <f t="shared" si="10"/>
        <v>Normal</v>
      </c>
      <c r="Y60" t="s">
        <v>22</v>
      </c>
      <c r="Z60" t="s">
        <v>22</v>
      </c>
      <c r="AA60" t="s">
        <v>37</v>
      </c>
      <c r="AB60" s="3" t="s">
        <v>92</v>
      </c>
      <c r="AC60">
        <v>98</v>
      </c>
      <c r="AD60" s="3" t="str">
        <f t="shared" si="11"/>
        <v>98</v>
      </c>
      <c r="AE60">
        <v>73</v>
      </c>
      <c r="AF60" s="3" t="str">
        <f t="shared" si="12"/>
        <v>73</v>
      </c>
      <c r="AG60" t="s">
        <v>33</v>
      </c>
      <c r="AH60" s="3">
        <v>14.06</v>
      </c>
      <c r="AI60" s="3">
        <f t="shared" si="13"/>
        <v>14.06</v>
      </c>
      <c r="AJ60" t="s">
        <v>52</v>
      </c>
      <c r="AK60" t="str">
        <f>PROPER(Table1[[#This Row],[CVD Risk Level]])</f>
        <v>Low</v>
      </c>
    </row>
    <row r="61" spans="1:37" x14ac:dyDescent="0.3">
      <c r="A61" t="s">
        <v>20</v>
      </c>
      <c r="B61">
        <v>46</v>
      </c>
      <c r="C61" s="8">
        <f t="shared" si="2"/>
        <v>46</v>
      </c>
      <c r="D61" s="5">
        <v>65.7</v>
      </c>
      <c r="E61" s="8">
        <f t="shared" si="3"/>
        <v>65.7</v>
      </c>
      <c r="F61">
        <v>1.77</v>
      </c>
      <c r="G61" s="3">
        <f t="shared" si="4"/>
        <v>1.77</v>
      </c>
      <c r="H61">
        <v>21</v>
      </c>
      <c r="I61" s="5">
        <f t="shared" si="0"/>
        <v>21</v>
      </c>
      <c r="J61" s="16" t="str">
        <f t="shared" si="5"/>
        <v>Normal</v>
      </c>
      <c r="K61">
        <v>77.099999999999994</v>
      </c>
      <c r="L61">
        <v>0.436</v>
      </c>
      <c r="M61" s="11">
        <f t="shared" si="1"/>
        <v>0.436</v>
      </c>
      <c r="N61" s="5">
        <f t="shared" si="6"/>
        <v>77.099999999999994</v>
      </c>
      <c r="O61">
        <v>232</v>
      </c>
      <c r="P61">
        <v>59</v>
      </c>
      <c r="Q61" s="8">
        <f t="shared" si="7"/>
        <v>59</v>
      </c>
      <c r="R61" s="8">
        <v>143</v>
      </c>
      <c r="S61" s="8">
        <f t="shared" si="8"/>
        <v>143</v>
      </c>
      <c r="T61" s="8">
        <f>(Table1[[#This Row],[Total Cholesterol (mg/dL)]]+Table1[[#This Row],[HDL (mg/dL)2]]+Table1[[#This Row],[Estimated LDL (mg/dL)2]])*5</f>
        <v>2170</v>
      </c>
      <c r="U61" s="8">
        <f>IF(O61="",Table1[[#This Row],[Estimated LDL (mg/dL)2]]+Table1[[#This Row],[HDL (mg/dL)2]]+(Table1[[#This Row],[Triglycerides]]/5),O61)</f>
        <v>232</v>
      </c>
      <c r="V61">
        <v>113</v>
      </c>
      <c r="W61" s="8">
        <f t="shared" si="9"/>
        <v>113</v>
      </c>
      <c r="X61" t="str">
        <f t="shared" si="10"/>
        <v>Prediabetes</v>
      </c>
      <c r="Y61" t="s">
        <v>22</v>
      </c>
      <c r="Z61" t="s">
        <v>23</v>
      </c>
      <c r="AA61" t="s">
        <v>28</v>
      </c>
      <c r="AB61" s="3" t="s">
        <v>77</v>
      </c>
      <c r="AC61">
        <v>129</v>
      </c>
      <c r="AD61" s="3" t="str">
        <f t="shared" si="11"/>
        <v>129</v>
      </c>
      <c r="AE61">
        <v>78</v>
      </c>
      <c r="AF61" s="3" t="str">
        <f t="shared" si="12"/>
        <v>78</v>
      </c>
      <c r="AG61" t="s">
        <v>25</v>
      </c>
      <c r="AH61" s="3">
        <v>17.29</v>
      </c>
      <c r="AI61" s="3">
        <f t="shared" si="13"/>
        <v>17.29</v>
      </c>
      <c r="AJ61" t="s">
        <v>26</v>
      </c>
      <c r="AK61" t="str">
        <f>PROPER(Table1[[#This Row],[CVD Risk Level]])</f>
        <v>Intermediary</v>
      </c>
    </row>
    <row r="62" spans="1:37" x14ac:dyDescent="0.3">
      <c r="A62" t="s">
        <v>20</v>
      </c>
      <c r="B62">
        <v>53</v>
      </c>
      <c r="C62" s="8">
        <f t="shared" si="2"/>
        <v>53</v>
      </c>
      <c r="D62" s="5">
        <v>103.9</v>
      </c>
      <c r="E62" s="8">
        <f t="shared" si="3"/>
        <v>103.9</v>
      </c>
      <c r="F62">
        <v>1.77</v>
      </c>
      <c r="G62" s="3">
        <f t="shared" si="4"/>
        <v>1.77</v>
      </c>
      <c r="H62">
        <v>33.200000000000003</v>
      </c>
      <c r="I62" s="5">
        <f t="shared" si="0"/>
        <v>33.200000000000003</v>
      </c>
      <c r="J62" s="16" t="str">
        <f t="shared" si="5"/>
        <v>Obese</v>
      </c>
      <c r="K62">
        <v>71.599999999999994</v>
      </c>
      <c r="L62">
        <v>0.40500000000000003</v>
      </c>
      <c r="M62" s="11">
        <f t="shared" si="1"/>
        <v>0.40500000000000003</v>
      </c>
      <c r="N62" s="5">
        <f t="shared" si="6"/>
        <v>71.599999999999994</v>
      </c>
      <c r="O62">
        <v>247</v>
      </c>
      <c r="P62">
        <v>50</v>
      </c>
      <c r="Q62" s="8">
        <f t="shared" si="7"/>
        <v>50</v>
      </c>
      <c r="R62" s="8">
        <v>167</v>
      </c>
      <c r="S62" s="8">
        <f t="shared" si="8"/>
        <v>167</v>
      </c>
      <c r="T62" s="8">
        <f>(Table1[[#This Row],[Total Cholesterol (mg/dL)]]+Table1[[#This Row],[HDL (mg/dL)2]]+Table1[[#This Row],[Estimated LDL (mg/dL)2]])*5</f>
        <v>2320</v>
      </c>
      <c r="U62" s="8">
        <f>IF(O62="",Table1[[#This Row],[Estimated LDL (mg/dL)2]]+Table1[[#This Row],[HDL (mg/dL)2]]+(Table1[[#This Row],[Triglycerides]]/5),O62)</f>
        <v>247</v>
      </c>
      <c r="V62">
        <v>130</v>
      </c>
      <c r="W62" s="8">
        <f t="shared" si="9"/>
        <v>130</v>
      </c>
      <c r="X62" t="str">
        <f t="shared" si="10"/>
        <v>Diabetes</v>
      </c>
      <c r="Y62" t="s">
        <v>22</v>
      </c>
      <c r="Z62" t="s">
        <v>23</v>
      </c>
      <c r="AA62" t="s">
        <v>37</v>
      </c>
      <c r="AB62" s="3" t="s">
        <v>93</v>
      </c>
      <c r="AC62">
        <v>149</v>
      </c>
      <c r="AD62" s="3" t="str">
        <f t="shared" si="11"/>
        <v>149</v>
      </c>
      <c r="AE62">
        <v>84</v>
      </c>
      <c r="AF62" s="3" t="str">
        <f t="shared" si="12"/>
        <v>84</v>
      </c>
      <c r="AG62" t="s">
        <v>29</v>
      </c>
      <c r="AH62" s="3">
        <v>21.03</v>
      </c>
      <c r="AI62" s="3">
        <f t="shared" si="13"/>
        <v>21.03</v>
      </c>
      <c r="AJ62" t="s">
        <v>30</v>
      </c>
      <c r="AK62" t="str">
        <f>PROPER(Table1[[#This Row],[CVD Risk Level]])</f>
        <v>High</v>
      </c>
    </row>
    <row r="63" spans="1:37" x14ac:dyDescent="0.3">
      <c r="A63" t="s">
        <v>20</v>
      </c>
      <c r="B63">
        <v>56</v>
      </c>
      <c r="C63" s="8">
        <f t="shared" si="2"/>
        <v>56</v>
      </c>
      <c r="D63" s="5">
        <v>112.1</v>
      </c>
      <c r="E63" s="8">
        <f t="shared" si="3"/>
        <v>112.1</v>
      </c>
      <c r="F63">
        <v>1.78</v>
      </c>
      <c r="G63" s="3">
        <f t="shared" si="4"/>
        <v>1.78</v>
      </c>
      <c r="H63">
        <v>35.4</v>
      </c>
      <c r="I63" s="5">
        <f t="shared" si="0"/>
        <v>35.4</v>
      </c>
      <c r="J63" s="16" t="str">
        <f t="shared" si="5"/>
        <v>Obese</v>
      </c>
      <c r="K63">
        <v>87.4</v>
      </c>
      <c r="L63">
        <v>0.49099999999999999</v>
      </c>
      <c r="M63" s="11">
        <f t="shared" si="1"/>
        <v>0.49099999999999999</v>
      </c>
      <c r="N63" s="5">
        <f t="shared" si="6"/>
        <v>87.4</v>
      </c>
      <c r="P63">
        <v>67</v>
      </c>
      <c r="Q63" s="8">
        <f t="shared" si="7"/>
        <v>67</v>
      </c>
      <c r="R63" s="8">
        <v>50</v>
      </c>
      <c r="S63" s="8">
        <f>IF(R63&lt;=0,MEDIAN($R$2:$R$1530),R63)</f>
        <v>50</v>
      </c>
      <c r="T63" s="8">
        <f>(Table1[[#This Row],[Total Cholesterol (mg/dL)]]+Table1[[#This Row],[HDL (mg/dL)2]]+Table1[[#This Row],[Estimated LDL (mg/dL)2]])*5</f>
        <v>585</v>
      </c>
      <c r="U63" s="8">
        <f>IF(O63="",Table1[[#This Row],[Estimated LDL (mg/dL)2]]+Table1[[#This Row],[HDL (mg/dL)2]]+(Table1[[#This Row],[Triglycerides]]/5),O63)</f>
        <v>234</v>
      </c>
      <c r="V63">
        <v>89</v>
      </c>
      <c r="W63" s="8">
        <f t="shared" si="9"/>
        <v>89</v>
      </c>
      <c r="X63" t="str">
        <f t="shared" si="10"/>
        <v>Normal</v>
      </c>
      <c r="Y63" t="s">
        <v>22</v>
      </c>
      <c r="Z63" t="s">
        <v>23</v>
      </c>
      <c r="AA63" t="s">
        <v>37</v>
      </c>
      <c r="AB63" s="3" t="s">
        <v>94</v>
      </c>
      <c r="AC63">
        <v>103</v>
      </c>
      <c r="AD63" s="3" t="str">
        <f t="shared" si="11"/>
        <v>103</v>
      </c>
      <c r="AE63">
        <v>98</v>
      </c>
      <c r="AF63" s="3" t="str">
        <f t="shared" si="12"/>
        <v>98</v>
      </c>
      <c r="AG63" t="s">
        <v>38</v>
      </c>
      <c r="AH63" s="3">
        <v>17.170000000000002</v>
      </c>
      <c r="AI63" s="3">
        <f t="shared" si="13"/>
        <v>17.170000000000002</v>
      </c>
      <c r="AJ63" t="s">
        <v>30</v>
      </c>
      <c r="AK63" t="str">
        <f>PROPER(Table1[[#This Row],[CVD Risk Level]])</f>
        <v>High</v>
      </c>
    </row>
    <row r="64" spans="1:37" x14ac:dyDescent="0.3">
      <c r="A64" t="s">
        <v>31</v>
      </c>
      <c r="B64">
        <v>43</v>
      </c>
      <c r="C64" s="8">
        <f t="shared" si="2"/>
        <v>43</v>
      </c>
      <c r="D64" s="5">
        <v>118</v>
      </c>
      <c r="E64" s="8">
        <f t="shared" si="3"/>
        <v>118</v>
      </c>
      <c r="F64">
        <v>1.64</v>
      </c>
      <c r="G64" s="3">
        <f t="shared" si="4"/>
        <v>1.64</v>
      </c>
      <c r="H64">
        <v>43.9</v>
      </c>
      <c r="I64" s="5">
        <f t="shared" si="0"/>
        <v>43.9</v>
      </c>
      <c r="J64" s="16" t="str">
        <f t="shared" si="5"/>
        <v>Obese</v>
      </c>
      <c r="K64">
        <v>73.599999999999994</v>
      </c>
      <c r="L64">
        <v>0.44900000000000001</v>
      </c>
      <c r="M64" s="11">
        <f t="shared" si="1"/>
        <v>0.44900000000000001</v>
      </c>
      <c r="N64" s="5">
        <f t="shared" si="6"/>
        <v>73.599999999999994</v>
      </c>
      <c r="O64">
        <v>199</v>
      </c>
      <c r="P64">
        <v>51</v>
      </c>
      <c r="Q64" s="8">
        <f t="shared" si="7"/>
        <v>51</v>
      </c>
      <c r="R64" s="8">
        <v>118</v>
      </c>
      <c r="S64" s="8">
        <f t="shared" si="8"/>
        <v>118</v>
      </c>
      <c r="T64" s="8">
        <f>(Table1[[#This Row],[Total Cholesterol (mg/dL)]]+Table1[[#This Row],[HDL (mg/dL)2]]+Table1[[#This Row],[Estimated LDL (mg/dL)2]])*5</f>
        <v>1840</v>
      </c>
      <c r="U64" s="8">
        <f>IF(O64="",Table1[[#This Row],[Estimated LDL (mg/dL)2]]+Table1[[#This Row],[HDL (mg/dL)2]]+(Table1[[#This Row],[Triglycerides]]/5),O64)</f>
        <v>199</v>
      </c>
      <c r="V64">
        <v>129</v>
      </c>
      <c r="W64" s="8">
        <f t="shared" si="9"/>
        <v>129</v>
      </c>
      <c r="X64" t="str">
        <f t="shared" si="10"/>
        <v>Diabetes</v>
      </c>
      <c r="Y64" t="s">
        <v>22</v>
      </c>
      <c r="Z64" t="s">
        <v>22</v>
      </c>
      <c r="AA64" t="s">
        <v>37</v>
      </c>
      <c r="AB64" s="3" t="s">
        <v>95</v>
      </c>
      <c r="AC64">
        <v>99</v>
      </c>
      <c r="AD64" s="3" t="str">
        <f t="shared" si="11"/>
        <v>99</v>
      </c>
      <c r="AE64">
        <v>92</v>
      </c>
      <c r="AF64" s="3" t="str">
        <f t="shared" si="12"/>
        <v>92</v>
      </c>
      <c r="AG64" t="s">
        <v>38</v>
      </c>
      <c r="AH64" s="3">
        <v>17.71</v>
      </c>
      <c r="AI64" s="3">
        <f t="shared" si="13"/>
        <v>17.71</v>
      </c>
      <c r="AJ64" t="s">
        <v>26</v>
      </c>
      <c r="AK64" t="str">
        <f>PROPER(Table1[[#This Row],[CVD Risk Level]])</f>
        <v>Intermediary</v>
      </c>
    </row>
    <row r="65" spans="1:37" x14ac:dyDescent="0.3">
      <c r="A65" t="s">
        <v>31</v>
      </c>
      <c r="B65">
        <v>40</v>
      </c>
      <c r="C65" s="8">
        <f t="shared" si="2"/>
        <v>40</v>
      </c>
      <c r="D65" s="5">
        <v>107.4</v>
      </c>
      <c r="E65" s="8">
        <f t="shared" si="3"/>
        <v>107.4</v>
      </c>
      <c r="F65">
        <v>1.6</v>
      </c>
      <c r="G65" s="3">
        <f t="shared" si="4"/>
        <v>1.6</v>
      </c>
      <c r="H65">
        <v>42</v>
      </c>
      <c r="I65" s="5">
        <f t="shared" si="0"/>
        <v>42</v>
      </c>
      <c r="J65" s="16" t="str">
        <f t="shared" si="5"/>
        <v>Obese</v>
      </c>
      <c r="L65">
        <v>0.57899999999999996</v>
      </c>
      <c r="M65" s="11">
        <f t="shared" si="1"/>
        <v>0.57899999999999996</v>
      </c>
      <c r="N65" s="5">
        <f t="shared" si="6"/>
        <v>92.639999999999986</v>
      </c>
      <c r="P65">
        <v>52</v>
      </c>
      <c r="Q65" s="8">
        <f t="shared" si="7"/>
        <v>52</v>
      </c>
      <c r="R65" s="8">
        <v>89</v>
      </c>
      <c r="S65" s="8">
        <f t="shared" si="8"/>
        <v>89</v>
      </c>
      <c r="T65" s="8">
        <f>(Table1[[#This Row],[Total Cholesterol (mg/dL)]]+Table1[[#This Row],[HDL (mg/dL)2]]+Table1[[#This Row],[Estimated LDL (mg/dL)2]])*5</f>
        <v>705</v>
      </c>
      <c r="U65" s="8">
        <f>IF(O65="",Table1[[#This Row],[Estimated LDL (mg/dL)2]]+Table1[[#This Row],[HDL (mg/dL)2]]+(Table1[[#This Row],[Triglycerides]]/5),O65)</f>
        <v>282</v>
      </c>
      <c r="V65">
        <v>89</v>
      </c>
      <c r="W65" s="8">
        <f t="shared" si="9"/>
        <v>89</v>
      </c>
      <c r="X65" t="str">
        <f t="shared" si="10"/>
        <v>Normal</v>
      </c>
      <c r="Y65" t="s">
        <v>23</v>
      </c>
      <c r="Z65" t="s">
        <v>22</v>
      </c>
      <c r="AA65" t="s">
        <v>37</v>
      </c>
      <c r="AB65" s="3" t="s">
        <v>96</v>
      </c>
      <c r="AC65">
        <v>114</v>
      </c>
      <c r="AD65" s="3" t="str">
        <f t="shared" si="11"/>
        <v>114</v>
      </c>
      <c r="AE65">
        <v>91</v>
      </c>
      <c r="AF65" s="3" t="str">
        <f t="shared" si="12"/>
        <v>91</v>
      </c>
      <c r="AG65" t="s">
        <v>38</v>
      </c>
      <c r="AH65" s="3">
        <v>17.52</v>
      </c>
      <c r="AI65" s="3">
        <f t="shared" si="13"/>
        <v>17.52</v>
      </c>
      <c r="AJ65" t="s">
        <v>26</v>
      </c>
      <c r="AK65" t="str">
        <f>PROPER(Table1[[#This Row],[CVD Risk Level]])</f>
        <v>Intermediary</v>
      </c>
    </row>
    <row r="66" spans="1:37" x14ac:dyDescent="0.3">
      <c r="A66" t="s">
        <v>20</v>
      </c>
      <c r="B66">
        <v>51</v>
      </c>
      <c r="C66" s="8">
        <f t="shared" si="2"/>
        <v>51</v>
      </c>
      <c r="D66" s="5">
        <v>60.6</v>
      </c>
      <c r="E66" s="8">
        <f t="shared" si="3"/>
        <v>60.6</v>
      </c>
      <c r="F66">
        <v>1.88</v>
      </c>
      <c r="G66" s="3">
        <f t="shared" si="4"/>
        <v>1.88</v>
      </c>
      <c r="H66">
        <v>17.100000000000001</v>
      </c>
      <c r="I66" s="5">
        <f t="shared" ref="I66:I129" si="14" xml:space="preserve"> IF(H66="",E66 / (G66^2),H66)</f>
        <v>17.100000000000001</v>
      </c>
      <c r="J66" s="16" t="str">
        <f t="shared" si="5"/>
        <v>Underweight</v>
      </c>
      <c r="K66">
        <v>75.7</v>
      </c>
      <c r="L66">
        <v>0.40300000000000002</v>
      </c>
      <c r="M66" s="11">
        <f t="shared" ref="M66:M129" si="15">IF(L66="",K66/(G66*100),L66)</f>
        <v>0.40300000000000002</v>
      </c>
      <c r="N66" s="5">
        <f t="shared" si="6"/>
        <v>75.7</v>
      </c>
      <c r="O66">
        <v>146</v>
      </c>
      <c r="P66">
        <v>50</v>
      </c>
      <c r="Q66" s="8">
        <f t="shared" si="7"/>
        <v>50</v>
      </c>
      <c r="R66" s="8">
        <v>66</v>
      </c>
      <c r="S66" s="8">
        <f t="shared" si="8"/>
        <v>66</v>
      </c>
      <c r="T66" s="8">
        <f>(Table1[[#This Row],[Total Cholesterol (mg/dL)]]+Table1[[#This Row],[HDL (mg/dL)2]]+Table1[[#This Row],[Estimated LDL (mg/dL)2]])*5</f>
        <v>1310</v>
      </c>
      <c r="U66" s="8">
        <f>IF(O66="",Table1[[#This Row],[Estimated LDL (mg/dL)2]]+Table1[[#This Row],[HDL (mg/dL)2]]+(Table1[[#This Row],[Triglycerides]]/5),O66)</f>
        <v>146</v>
      </c>
      <c r="V66">
        <v>99</v>
      </c>
      <c r="W66" s="8">
        <f t="shared" si="9"/>
        <v>99</v>
      </c>
      <c r="X66" t="str">
        <f t="shared" si="10"/>
        <v>Normal</v>
      </c>
      <c r="Y66" t="s">
        <v>22</v>
      </c>
      <c r="Z66" t="s">
        <v>23</v>
      </c>
      <c r="AA66" t="s">
        <v>24</v>
      </c>
      <c r="AB66" s="3" t="s">
        <v>97</v>
      </c>
      <c r="AC66">
        <v>116</v>
      </c>
      <c r="AD66" s="3" t="str">
        <f t="shared" si="11"/>
        <v>116</v>
      </c>
      <c r="AE66">
        <v>64</v>
      </c>
      <c r="AF66" s="3" t="str">
        <f t="shared" si="12"/>
        <v>64</v>
      </c>
      <c r="AG66" t="s">
        <v>33</v>
      </c>
      <c r="AH66" s="3">
        <v>14.14</v>
      </c>
      <c r="AI66" s="3">
        <f t="shared" si="13"/>
        <v>14.14</v>
      </c>
      <c r="AJ66" t="s">
        <v>30</v>
      </c>
      <c r="AK66" t="str">
        <f>PROPER(Table1[[#This Row],[CVD Risk Level]])</f>
        <v>High</v>
      </c>
    </row>
    <row r="67" spans="1:37" x14ac:dyDescent="0.3">
      <c r="A67" t="s">
        <v>20</v>
      </c>
      <c r="B67">
        <v>52</v>
      </c>
      <c r="C67" s="8">
        <f t="shared" ref="C67:C130" si="16">IF(B67="",AVERAGE($B$2:$B$1530),B67)</f>
        <v>52</v>
      </c>
      <c r="D67" s="5">
        <v>54.7</v>
      </c>
      <c r="E67" s="8">
        <f t="shared" ref="E67:E130" si="17">IF(D67="", H67*(F67^2),D67)</f>
        <v>54.7</v>
      </c>
      <c r="F67">
        <v>1.61</v>
      </c>
      <c r="G67" s="3">
        <f t="shared" ref="G67:G130" si="18">IF(F67="", SQRT(E67 / H67),F67)</f>
        <v>1.61</v>
      </c>
      <c r="H67">
        <v>21.1</v>
      </c>
      <c r="I67" s="5">
        <f t="shared" si="14"/>
        <v>21.1</v>
      </c>
      <c r="J67" s="16" t="str">
        <f t="shared" ref="J67:J130" si="19">IF(I67&lt;18.5,"Underweight",IF(I67&lt;25,"Normal",IF(I67&lt;30,"Overweight","Obese")))</f>
        <v>Normal</v>
      </c>
      <c r="K67">
        <v>78.099999999999994</v>
      </c>
      <c r="L67">
        <v>0.48499999999999999</v>
      </c>
      <c r="M67" s="11">
        <f t="shared" si="15"/>
        <v>0.48499999999999999</v>
      </c>
      <c r="N67" s="5">
        <f t="shared" ref="N67:N130" si="20">IF(K67="",M67*(G67*100),K67)</f>
        <v>78.099999999999994</v>
      </c>
      <c r="O67">
        <v>193</v>
      </c>
      <c r="P67">
        <v>79</v>
      </c>
      <c r="Q67" s="8">
        <f t="shared" ref="Q67:Q130" si="21">IF(P67="",AVERAGE($P$2:$P$1530),P67)</f>
        <v>79</v>
      </c>
      <c r="R67" s="8">
        <v>84</v>
      </c>
      <c r="S67" s="8">
        <f t="shared" ref="S67:S130" si="22">IF(R67&lt;=0,MEDIAN($R$2:$R$1530),R67)</f>
        <v>84</v>
      </c>
      <c r="T67" s="8">
        <f>(Table1[[#This Row],[Total Cholesterol (mg/dL)]]+Table1[[#This Row],[HDL (mg/dL)2]]+Table1[[#This Row],[Estimated LDL (mg/dL)2]])*5</f>
        <v>1780</v>
      </c>
      <c r="U67" s="8">
        <f>IF(O67="",Table1[[#This Row],[Estimated LDL (mg/dL)2]]+Table1[[#This Row],[HDL (mg/dL)2]]+(Table1[[#This Row],[Triglycerides]]/5),O67)</f>
        <v>193</v>
      </c>
      <c r="V67">
        <v>127</v>
      </c>
      <c r="W67" s="8">
        <f t="shared" ref="W67:W130" si="23">IF(V67="",AVERAGE($V$2:$V$1530),V67)</f>
        <v>127</v>
      </c>
      <c r="X67" t="str">
        <f t="shared" ref="X67:X130" si="24">IF(W67&lt;100,"Normal",IF(W67&lt;126,"Prediabetes","Diabetes"))</f>
        <v>Diabetes</v>
      </c>
      <c r="Y67" t="s">
        <v>22</v>
      </c>
      <c r="Z67" t="s">
        <v>23</v>
      </c>
      <c r="AA67" t="s">
        <v>28</v>
      </c>
      <c r="AB67" s="3" t="s">
        <v>98</v>
      </c>
      <c r="AC67">
        <v>93</v>
      </c>
      <c r="AD67" s="3" t="str">
        <f t="shared" ref="AD67:AD130" si="25">LEFT(AB67,FIND("/",AB67)-1)</f>
        <v>93</v>
      </c>
      <c r="AE67">
        <v>65</v>
      </c>
      <c r="AF67" s="3" t="str">
        <f t="shared" ref="AF67:AF130" si="26">RIGHT(AB67,LEN(AB67)-FIND("/",AB67))</f>
        <v>65</v>
      </c>
      <c r="AG67" t="s">
        <v>33</v>
      </c>
      <c r="AH67" s="3">
        <v>14.73</v>
      </c>
      <c r="AI67" s="3">
        <f t="shared" ref="AI67:AI130" si="27">IF(AH67="",AVERAGE($AH$2:$AH$1530),AH67)</f>
        <v>14.73</v>
      </c>
      <c r="AJ67" t="s">
        <v>26</v>
      </c>
      <c r="AK67" t="str">
        <f>PROPER(Table1[[#This Row],[CVD Risk Level]])</f>
        <v>Intermediary</v>
      </c>
    </row>
    <row r="68" spans="1:37" x14ac:dyDescent="0.3">
      <c r="A68" t="s">
        <v>20</v>
      </c>
      <c r="B68">
        <v>55</v>
      </c>
      <c r="C68" s="8">
        <f t="shared" si="16"/>
        <v>55</v>
      </c>
      <c r="D68" s="5">
        <v>117.2</v>
      </c>
      <c r="E68" s="8">
        <f t="shared" si="17"/>
        <v>117.2</v>
      </c>
      <c r="F68">
        <v>1.72</v>
      </c>
      <c r="G68" s="3">
        <f t="shared" si="18"/>
        <v>1.72</v>
      </c>
      <c r="H68">
        <v>39.6</v>
      </c>
      <c r="I68" s="5">
        <f t="shared" si="14"/>
        <v>39.6</v>
      </c>
      <c r="J68" s="16" t="str">
        <f t="shared" si="19"/>
        <v>Obese</v>
      </c>
      <c r="K68">
        <v>74.2</v>
      </c>
      <c r="L68">
        <v>0.43099999999999999</v>
      </c>
      <c r="M68" s="11">
        <f t="shared" si="15"/>
        <v>0.43099999999999999</v>
      </c>
      <c r="N68" s="5">
        <f t="shared" si="20"/>
        <v>74.2</v>
      </c>
      <c r="O68">
        <v>164</v>
      </c>
      <c r="P68">
        <v>57</v>
      </c>
      <c r="Q68" s="8">
        <f t="shared" si="21"/>
        <v>57</v>
      </c>
      <c r="R68" s="8">
        <v>77</v>
      </c>
      <c r="S68" s="8">
        <f t="shared" si="22"/>
        <v>77</v>
      </c>
      <c r="T68" s="8">
        <f>(Table1[[#This Row],[Total Cholesterol (mg/dL)]]+Table1[[#This Row],[HDL (mg/dL)2]]+Table1[[#This Row],[Estimated LDL (mg/dL)2]])*5</f>
        <v>1490</v>
      </c>
      <c r="U68" s="8">
        <f>IF(O68="",Table1[[#This Row],[Estimated LDL (mg/dL)2]]+Table1[[#This Row],[HDL (mg/dL)2]]+(Table1[[#This Row],[Triglycerides]]/5),O68)</f>
        <v>164</v>
      </c>
      <c r="V68">
        <v>150</v>
      </c>
      <c r="W68" s="8">
        <f t="shared" si="23"/>
        <v>150</v>
      </c>
      <c r="X68" t="str">
        <f t="shared" si="24"/>
        <v>Diabetes</v>
      </c>
      <c r="Y68" t="s">
        <v>22</v>
      </c>
      <c r="Z68" t="s">
        <v>22</v>
      </c>
      <c r="AA68" t="s">
        <v>24</v>
      </c>
      <c r="AB68" s="3" t="s">
        <v>99</v>
      </c>
      <c r="AC68">
        <v>113</v>
      </c>
      <c r="AD68" s="3" t="str">
        <f t="shared" si="25"/>
        <v>113</v>
      </c>
      <c r="AE68">
        <v>63</v>
      </c>
      <c r="AF68" s="3" t="str">
        <f t="shared" si="26"/>
        <v>63</v>
      </c>
      <c r="AG68" t="s">
        <v>33</v>
      </c>
      <c r="AH68" s="3">
        <v>16.850000000000001</v>
      </c>
      <c r="AI68" s="3">
        <f t="shared" si="27"/>
        <v>16.850000000000001</v>
      </c>
      <c r="AJ68" t="s">
        <v>26</v>
      </c>
      <c r="AK68" t="str">
        <f>PROPER(Table1[[#This Row],[CVD Risk Level]])</f>
        <v>Intermediary</v>
      </c>
    </row>
    <row r="69" spans="1:37" x14ac:dyDescent="0.3">
      <c r="A69" t="s">
        <v>20</v>
      </c>
      <c r="B69">
        <v>48</v>
      </c>
      <c r="C69" s="8">
        <f t="shared" si="16"/>
        <v>48</v>
      </c>
      <c r="D69" s="5">
        <v>56.7</v>
      </c>
      <c r="E69" s="8">
        <f t="shared" si="17"/>
        <v>56.7</v>
      </c>
      <c r="F69">
        <v>1.63</v>
      </c>
      <c r="G69" s="3">
        <f t="shared" si="18"/>
        <v>1.63</v>
      </c>
      <c r="H69">
        <v>21.3</v>
      </c>
      <c r="I69" s="5">
        <f t="shared" si="14"/>
        <v>21.3</v>
      </c>
      <c r="J69" s="16" t="str">
        <f t="shared" si="19"/>
        <v>Normal</v>
      </c>
      <c r="K69">
        <v>80.3</v>
      </c>
      <c r="M69" s="11">
        <f t="shared" si="15"/>
        <v>0.49263803680981594</v>
      </c>
      <c r="N69" s="5">
        <f t="shared" si="20"/>
        <v>80.3</v>
      </c>
      <c r="O69">
        <v>141</v>
      </c>
      <c r="P69">
        <v>62</v>
      </c>
      <c r="Q69" s="8">
        <f t="shared" si="21"/>
        <v>62</v>
      </c>
      <c r="R69" s="8">
        <v>49</v>
      </c>
      <c r="S69" s="8">
        <f t="shared" si="22"/>
        <v>49</v>
      </c>
      <c r="T69" s="8">
        <f>(Table1[[#This Row],[Total Cholesterol (mg/dL)]]+Table1[[#This Row],[HDL (mg/dL)2]]+Table1[[#This Row],[Estimated LDL (mg/dL)2]])*5</f>
        <v>1260</v>
      </c>
      <c r="U69" s="8">
        <f>IF(O69="",Table1[[#This Row],[Estimated LDL (mg/dL)2]]+Table1[[#This Row],[HDL (mg/dL)2]]+(Table1[[#This Row],[Triglycerides]]/5),O69)</f>
        <v>141</v>
      </c>
      <c r="V69">
        <v>96</v>
      </c>
      <c r="W69" s="8">
        <f t="shared" si="23"/>
        <v>96</v>
      </c>
      <c r="X69" t="str">
        <f t="shared" si="24"/>
        <v>Normal</v>
      </c>
      <c r="Y69" t="s">
        <v>22</v>
      </c>
      <c r="Z69" t="s">
        <v>22</v>
      </c>
      <c r="AA69" t="s">
        <v>37</v>
      </c>
      <c r="AB69" s="3" t="s">
        <v>100</v>
      </c>
      <c r="AD69" s="3" t="str">
        <f t="shared" si="25"/>
        <v>142</v>
      </c>
      <c r="AE69">
        <v>66</v>
      </c>
      <c r="AF69" s="3" t="str">
        <f t="shared" si="26"/>
        <v>66</v>
      </c>
      <c r="AG69" t="s">
        <v>38</v>
      </c>
      <c r="AH69" s="3">
        <v>14.18</v>
      </c>
      <c r="AI69" s="3">
        <f t="shared" si="27"/>
        <v>14.18</v>
      </c>
      <c r="AJ69" t="s">
        <v>52</v>
      </c>
      <c r="AK69" t="str">
        <f>PROPER(Table1[[#This Row],[CVD Risk Level]])</f>
        <v>Low</v>
      </c>
    </row>
    <row r="70" spans="1:37" x14ac:dyDescent="0.3">
      <c r="A70" t="s">
        <v>31</v>
      </c>
      <c r="B70">
        <v>58</v>
      </c>
      <c r="C70" s="8">
        <f t="shared" si="16"/>
        <v>58</v>
      </c>
      <c r="D70" s="5">
        <v>77</v>
      </c>
      <c r="E70" s="8">
        <f t="shared" si="17"/>
        <v>77</v>
      </c>
      <c r="G70" s="3">
        <f t="shared" si="18"/>
        <v>1.8793908831701613</v>
      </c>
      <c r="H70">
        <v>21.8</v>
      </c>
      <c r="I70" s="5">
        <f t="shared" si="14"/>
        <v>21.8</v>
      </c>
      <c r="J70" s="16" t="str">
        <f t="shared" si="19"/>
        <v>Normal</v>
      </c>
      <c r="K70">
        <v>97.3</v>
      </c>
      <c r="L70">
        <v>0.51800000000000002</v>
      </c>
      <c r="M70" s="11">
        <f t="shared" si="15"/>
        <v>0.51800000000000002</v>
      </c>
      <c r="N70" s="5">
        <f t="shared" si="20"/>
        <v>97.3</v>
      </c>
      <c r="O70">
        <v>125</v>
      </c>
      <c r="P70">
        <v>80</v>
      </c>
      <c r="Q70" s="8">
        <f t="shared" si="21"/>
        <v>80</v>
      </c>
      <c r="R70" s="8">
        <v>15</v>
      </c>
      <c r="S70" s="8">
        <f t="shared" si="22"/>
        <v>15</v>
      </c>
      <c r="T70" s="8">
        <f>(Table1[[#This Row],[Total Cholesterol (mg/dL)]]+Table1[[#This Row],[HDL (mg/dL)2]]+Table1[[#This Row],[Estimated LDL (mg/dL)2]])*5</f>
        <v>1100</v>
      </c>
      <c r="U70" s="8">
        <f>IF(O70="",Table1[[#This Row],[Estimated LDL (mg/dL)2]]+Table1[[#This Row],[HDL (mg/dL)2]]+(Table1[[#This Row],[Triglycerides]]/5),O70)</f>
        <v>125</v>
      </c>
      <c r="V70">
        <v>96</v>
      </c>
      <c r="W70" s="8">
        <f t="shared" si="23"/>
        <v>96</v>
      </c>
      <c r="X70" t="str">
        <f t="shared" si="24"/>
        <v>Normal</v>
      </c>
      <c r="Y70" t="s">
        <v>22</v>
      </c>
      <c r="Z70" t="s">
        <v>22</v>
      </c>
      <c r="AA70" t="s">
        <v>37</v>
      </c>
      <c r="AB70" s="3" t="s">
        <v>101</v>
      </c>
      <c r="AC70">
        <v>142</v>
      </c>
      <c r="AD70" s="3" t="str">
        <f t="shared" si="25"/>
        <v>142</v>
      </c>
      <c r="AE70">
        <v>69</v>
      </c>
      <c r="AF70" s="3" t="str">
        <f t="shared" si="26"/>
        <v>69</v>
      </c>
      <c r="AG70" t="s">
        <v>38</v>
      </c>
      <c r="AH70" s="3">
        <v>13.96</v>
      </c>
      <c r="AI70" s="3">
        <f t="shared" si="27"/>
        <v>13.96</v>
      </c>
      <c r="AJ70" t="s">
        <v>26</v>
      </c>
      <c r="AK70" t="str">
        <f>PROPER(Table1[[#This Row],[CVD Risk Level]])</f>
        <v>Intermediary</v>
      </c>
    </row>
    <row r="71" spans="1:37" x14ac:dyDescent="0.3">
      <c r="A71" t="s">
        <v>20</v>
      </c>
      <c r="B71">
        <v>37</v>
      </c>
      <c r="C71" s="8">
        <f t="shared" si="16"/>
        <v>37</v>
      </c>
      <c r="D71" s="5">
        <v>116.8</v>
      </c>
      <c r="E71" s="8">
        <f t="shared" si="17"/>
        <v>116.8</v>
      </c>
      <c r="F71">
        <v>1.77</v>
      </c>
      <c r="G71" s="3">
        <f t="shared" si="18"/>
        <v>1.77</v>
      </c>
      <c r="H71">
        <v>37.299999999999997</v>
      </c>
      <c r="I71" s="5">
        <f t="shared" si="14"/>
        <v>37.299999999999997</v>
      </c>
      <c r="J71" s="16" t="str">
        <f t="shared" si="19"/>
        <v>Obese</v>
      </c>
      <c r="K71">
        <v>92.9</v>
      </c>
      <c r="L71">
        <v>0.52500000000000002</v>
      </c>
      <c r="M71" s="11">
        <f t="shared" si="15"/>
        <v>0.52500000000000002</v>
      </c>
      <c r="N71" s="5">
        <f t="shared" si="20"/>
        <v>92.9</v>
      </c>
      <c r="O71">
        <v>244</v>
      </c>
      <c r="P71">
        <v>76</v>
      </c>
      <c r="Q71" s="8">
        <f t="shared" si="21"/>
        <v>76</v>
      </c>
      <c r="R71" s="8">
        <v>138</v>
      </c>
      <c r="S71" s="8">
        <f t="shared" si="22"/>
        <v>138</v>
      </c>
      <c r="T71" s="8">
        <f>(Table1[[#This Row],[Total Cholesterol (mg/dL)]]+Table1[[#This Row],[HDL (mg/dL)2]]+Table1[[#This Row],[Estimated LDL (mg/dL)2]])*5</f>
        <v>2290</v>
      </c>
      <c r="U71" s="8">
        <f>IF(O71="",Table1[[#This Row],[Estimated LDL (mg/dL)2]]+Table1[[#This Row],[HDL (mg/dL)2]]+(Table1[[#This Row],[Triglycerides]]/5),O71)</f>
        <v>244</v>
      </c>
      <c r="V71">
        <v>96</v>
      </c>
      <c r="W71" s="8">
        <f t="shared" si="23"/>
        <v>96</v>
      </c>
      <c r="X71" t="str">
        <f t="shared" si="24"/>
        <v>Normal</v>
      </c>
      <c r="Y71" t="s">
        <v>22</v>
      </c>
      <c r="Z71" t="s">
        <v>23</v>
      </c>
      <c r="AA71" t="s">
        <v>28</v>
      </c>
      <c r="AB71" s="3" t="s">
        <v>102</v>
      </c>
      <c r="AC71">
        <v>140</v>
      </c>
      <c r="AD71" s="3" t="str">
        <f t="shared" si="25"/>
        <v>140</v>
      </c>
      <c r="AE71">
        <v>68</v>
      </c>
      <c r="AF71" s="3" t="str">
        <f t="shared" si="26"/>
        <v>68</v>
      </c>
      <c r="AG71" t="s">
        <v>38</v>
      </c>
      <c r="AH71" s="3">
        <v>21.34</v>
      </c>
      <c r="AI71" s="3">
        <f t="shared" si="27"/>
        <v>21.34</v>
      </c>
      <c r="AJ71" t="s">
        <v>26</v>
      </c>
      <c r="AK71" t="str">
        <f>PROPER(Table1[[#This Row],[CVD Risk Level]])</f>
        <v>Intermediary</v>
      </c>
    </row>
    <row r="72" spans="1:37" x14ac:dyDescent="0.3">
      <c r="A72" t="s">
        <v>31</v>
      </c>
      <c r="B72">
        <v>55</v>
      </c>
      <c r="C72" s="8">
        <f t="shared" si="16"/>
        <v>55</v>
      </c>
      <c r="D72" s="5">
        <v>51.4</v>
      </c>
      <c r="E72" s="8">
        <f t="shared" si="17"/>
        <v>51.4</v>
      </c>
      <c r="F72">
        <v>1.75</v>
      </c>
      <c r="G72" s="3">
        <f t="shared" si="18"/>
        <v>1.75</v>
      </c>
      <c r="I72" s="5">
        <f t="shared" si="14"/>
        <v>16.783673469387754</v>
      </c>
      <c r="J72" s="16" t="str">
        <f t="shared" si="19"/>
        <v>Underweight</v>
      </c>
      <c r="K72">
        <v>79.8</v>
      </c>
      <c r="L72">
        <v>0.47499999999999998</v>
      </c>
      <c r="M72" s="11">
        <f t="shared" si="15"/>
        <v>0.47499999999999998</v>
      </c>
      <c r="N72" s="5">
        <f t="shared" si="20"/>
        <v>79.8</v>
      </c>
      <c r="O72">
        <v>170</v>
      </c>
      <c r="P72">
        <v>36</v>
      </c>
      <c r="Q72" s="8">
        <f t="shared" si="21"/>
        <v>36</v>
      </c>
      <c r="R72" s="8">
        <v>104</v>
      </c>
      <c r="S72" s="8">
        <f t="shared" si="22"/>
        <v>104</v>
      </c>
      <c r="T72" s="8">
        <f>(Table1[[#This Row],[Total Cholesterol (mg/dL)]]+Table1[[#This Row],[HDL (mg/dL)2]]+Table1[[#This Row],[Estimated LDL (mg/dL)2]])*5</f>
        <v>1550</v>
      </c>
      <c r="U72" s="8">
        <f>IF(O72="",Table1[[#This Row],[Estimated LDL (mg/dL)2]]+Table1[[#This Row],[HDL (mg/dL)2]]+(Table1[[#This Row],[Triglycerides]]/5),O72)</f>
        <v>170</v>
      </c>
      <c r="V72">
        <v>138</v>
      </c>
      <c r="W72" s="8">
        <f t="shared" si="23"/>
        <v>138</v>
      </c>
      <c r="X72" t="str">
        <f t="shared" si="24"/>
        <v>Diabetes</v>
      </c>
      <c r="Y72" t="s">
        <v>22</v>
      </c>
      <c r="Z72" t="s">
        <v>22</v>
      </c>
      <c r="AA72" t="s">
        <v>28</v>
      </c>
      <c r="AB72" s="3" t="s">
        <v>103</v>
      </c>
      <c r="AC72">
        <v>102</v>
      </c>
      <c r="AD72" s="3" t="str">
        <f t="shared" si="25"/>
        <v>102</v>
      </c>
      <c r="AE72">
        <v>79</v>
      </c>
      <c r="AF72" s="3" t="str">
        <f t="shared" si="26"/>
        <v>79</v>
      </c>
      <c r="AG72" t="s">
        <v>33</v>
      </c>
      <c r="AH72" s="3">
        <v>12.14</v>
      </c>
      <c r="AI72" s="3">
        <f t="shared" si="27"/>
        <v>12.14</v>
      </c>
      <c r="AJ72" t="s">
        <v>26</v>
      </c>
      <c r="AK72" t="str">
        <f>PROPER(Table1[[#This Row],[CVD Risk Level]])</f>
        <v>Intermediary</v>
      </c>
    </row>
    <row r="73" spans="1:37" x14ac:dyDescent="0.3">
      <c r="A73" t="s">
        <v>31</v>
      </c>
      <c r="B73">
        <v>51</v>
      </c>
      <c r="C73" s="8">
        <f t="shared" si="16"/>
        <v>51</v>
      </c>
      <c r="D73" s="5">
        <v>107.6</v>
      </c>
      <c r="E73" s="8">
        <f t="shared" si="17"/>
        <v>107.6</v>
      </c>
      <c r="F73">
        <v>1.66</v>
      </c>
      <c r="G73" s="3">
        <f t="shared" si="18"/>
        <v>1.66</v>
      </c>
      <c r="H73">
        <v>39</v>
      </c>
      <c r="I73" s="5">
        <f t="shared" si="14"/>
        <v>39</v>
      </c>
      <c r="J73" s="16" t="str">
        <f t="shared" si="19"/>
        <v>Obese</v>
      </c>
      <c r="K73">
        <v>100.8</v>
      </c>
      <c r="L73">
        <v>0.60699999999999998</v>
      </c>
      <c r="M73" s="11">
        <f t="shared" si="15"/>
        <v>0.60699999999999998</v>
      </c>
      <c r="N73" s="5">
        <f t="shared" si="20"/>
        <v>100.8</v>
      </c>
      <c r="O73">
        <v>135</v>
      </c>
      <c r="P73">
        <v>57</v>
      </c>
      <c r="Q73" s="8">
        <f t="shared" si="21"/>
        <v>57</v>
      </c>
      <c r="R73" s="8">
        <v>48</v>
      </c>
      <c r="S73" s="8">
        <f t="shared" si="22"/>
        <v>48</v>
      </c>
      <c r="T73" s="8">
        <f>(Table1[[#This Row],[Total Cholesterol (mg/dL)]]+Table1[[#This Row],[HDL (mg/dL)2]]+Table1[[#This Row],[Estimated LDL (mg/dL)2]])*5</f>
        <v>1200</v>
      </c>
      <c r="U73" s="8">
        <f>IF(O73="",Table1[[#This Row],[Estimated LDL (mg/dL)2]]+Table1[[#This Row],[HDL (mg/dL)2]]+(Table1[[#This Row],[Triglycerides]]/5),O73)</f>
        <v>135</v>
      </c>
      <c r="V73">
        <v>129</v>
      </c>
      <c r="W73" s="8">
        <f t="shared" si="23"/>
        <v>129</v>
      </c>
      <c r="X73" t="str">
        <f t="shared" si="24"/>
        <v>Diabetes</v>
      </c>
      <c r="Y73" t="s">
        <v>22</v>
      </c>
      <c r="Z73" t="s">
        <v>22</v>
      </c>
      <c r="AA73" t="s">
        <v>28</v>
      </c>
      <c r="AB73" s="3" t="s">
        <v>104</v>
      </c>
      <c r="AC73">
        <v>96</v>
      </c>
      <c r="AD73" s="3" t="str">
        <f t="shared" si="25"/>
        <v>96</v>
      </c>
      <c r="AE73">
        <v>65</v>
      </c>
      <c r="AF73" s="3" t="str">
        <f t="shared" si="26"/>
        <v>65</v>
      </c>
      <c r="AG73" t="s">
        <v>33</v>
      </c>
      <c r="AH73" s="3">
        <v>15.3</v>
      </c>
      <c r="AI73" s="3">
        <f t="shared" si="27"/>
        <v>15.3</v>
      </c>
      <c r="AJ73" t="s">
        <v>26</v>
      </c>
      <c r="AK73" t="str">
        <f>PROPER(Table1[[#This Row],[CVD Risk Level]])</f>
        <v>Intermediary</v>
      </c>
    </row>
    <row r="74" spans="1:37" x14ac:dyDescent="0.3">
      <c r="A74" t="s">
        <v>20</v>
      </c>
      <c r="B74">
        <v>57</v>
      </c>
      <c r="C74" s="8">
        <f t="shared" si="16"/>
        <v>57</v>
      </c>
      <c r="D74" s="5">
        <v>82.5</v>
      </c>
      <c r="E74" s="8">
        <f t="shared" si="17"/>
        <v>82.5</v>
      </c>
      <c r="F74">
        <v>1.76</v>
      </c>
      <c r="G74" s="3">
        <f t="shared" si="18"/>
        <v>1.76</v>
      </c>
      <c r="H74">
        <v>26.6</v>
      </c>
      <c r="I74" s="5">
        <f t="shared" si="14"/>
        <v>26.6</v>
      </c>
      <c r="J74" s="16" t="str">
        <f t="shared" si="19"/>
        <v>Overweight</v>
      </c>
      <c r="K74">
        <v>92.8</v>
      </c>
      <c r="L74">
        <v>0.52700000000000002</v>
      </c>
      <c r="M74" s="11">
        <f t="shared" si="15"/>
        <v>0.52700000000000002</v>
      </c>
      <c r="N74" s="5">
        <f t="shared" si="20"/>
        <v>92.8</v>
      </c>
      <c r="O74">
        <v>300</v>
      </c>
      <c r="P74">
        <v>38</v>
      </c>
      <c r="Q74" s="8">
        <f t="shared" si="21"/>
        <v>38</v>
      </c>
      <c r="R74" s="8">
        <v>232</v>
      </c>
      <c r="S74" s="8">
        <f t="shared" si="22"/>
        <v>232</v>
      </c>
      <c r="T74" s="8">
        <f>(Table1[[#This Row],[Total Cholesterol (mg/dL)]]+Table1[[#This Row],[HDL (mg/dL)2]]+Table1[[#This Row],[Estimated LDL (mg/dL)2]])*5</f>
        <v>2850</v>
      </c>
      <c r="U74" s="8">
        <f>IF(O74="",Table1[[#This Row],[Estimated LDL (mg/dL)2]]+Table1[[#This Row],[HDL (mg/dL)2]]+(Table1[[#This Row],[Triglycerides]]/5),O74)</f>
        <v>300</v>
      </c>
      <c r="V74">
        <v>98</v>
      </c>
      <c r="W74" s="8">
        <f t="shared" si="23"/>
        <v>98</v>
      </c>
      <c r="X74" t="str">
        <f t="shared" si="24"/>
        <v>Normal</v>
      </c>
      <c r="Y74" t="s">
        <v>22</v>
      </c>
      <c r="Z74" t="s">
        <v>23</v>
      </c>
      <c r="AA74" t="s">
        <v>28</v>
      </c>
      <c r="AB74" s="3" t="s">
        <v>105</v>
      </c>
      <c r="AC74">
        <v>101</v>
      </c>
      <c r="AD74" s="3" t="str">
        <f t="shared" si="25"/>
        <v>101</v>
      </c>
      <c r="AE74">
        <v>81</v>
      </c>
      <c r="AF74" s="3" t="str">
        <f t="shared" si="26"/>
        <v>81</v>
      </c>
      <c r="AG74" t="s">
        <v>29</v>
      </c>
      <c r="AH74" s="3">
        <v>18.37</v>
      </c>
      <c r="AI74" s="3">
        <f t="shared" si="27"/>
        <v>18.37</v>
      </c>
      <c r="AJ74" t="s">
        <v>30</v>
      </c>
      <c r="AK74" t="str">
        <f>PROPER(Table1[[#This Row],[CVD Risk Level]])</f>
        <v>High</v>
      </c>
    </row>
    <row r="75" spans="1:37" x14ac:dyDescent="0.3">
      <c r="A75" t="s">
        <v>31</v>
      </c>
      <c r="B75">
        <v>44</v>
      </c>
      <c r="C75" s="8">
        <f t="shared" si="16"/>
        <v>44</v>
      </c>
      <c r="D75" s="5">
        <v>114.3</v>
      </c>
      <c r="E75" s="8">
        <f t="shared" si="17"/>
        <v>114.3</v>
      </c>
      <c r="F75">
        <v>1.72</v>
      </c>
      <c r="G75" s="3">
        <f t="shared" si="18"/>
        <v>1.72</v>
      </c>
      <c r="H75">
        <v>38.6</v>
      </c>
      <c r="I75" s="5">
        <f t="shared" si="14"/>
        <v>38.6</v>
      </c>
      <c r="J75" s="16" t="str">
        <f t="shared" si="19"/>
        <v>Obese</v>
      </c>
      <c r="K75">
        <v>100</v>
      </c>
      <c r="L75">
        <v>0.58099999999999996</v>
      </c>
      <c r="M75" s="11">
        <f t="shared" si="15"/>
        <v>0.58099999999999996</v>
      </c>
      <c r="N75" s="5">
        <f t="shared" si="20"/>
        <v>100</v>
      </c>
      <c r="O75">
        <v>228</v>
      </c>
      <c r="P75">
        <v>77</v>
      </c>
      <c r="Q75" s="8">
        <f t="shared" si="21"/>
        <v>77</v>
      </c>
      <c r="R75" s="8">
        <v>121</v>
      </c>
      <c r="S75" s="8">
        <f t="shared" si="22"/>
        <v>121</v>
      </c>
      <c r="T75" s="8">
        <f>(Table1[[#This Row],[Total Cholesterol (mg/dL)]]+Table1[[#This Row],[HDL (mg/dL)2]]+Table1[[#This Row],[Estimated LDL (mg/dL)2]])*5</f>
        <v>2130</v>
      </c>
      <c r="U75" s="8">
        <f>IF(O75="",Table1[[#This Row],[Estimated LDL (mg/dL)2]]+Table1[[#This Row],[HDL (mg/dL)2]]+(Table1[[#This Row],[Triglycerides]]/5),O75)</f>
        <v>228</v>
      </c>
      <c r="V75">
        <v>91</v>
      </c>
      <c r="W75" s="8">
        <f t="shared" si="23"/>
        <v>91</v>
      </c>
      <c r="X75" t="str">
        <f t="shared" si="24"/>
        <v>Normal</v>
      </c>
      <c r="Y75" t="s">
        <v>23</v>
      </c>
      <c r="Z75" t="s">
        <v>23</v>
      </c>
      <c r="AA75" t="s">
        <v>28</v>
      </c>
      <c r="AB75" s="3" t="s">
        <v>106</v>
      </c>
      <c r="AC75">
        <v>112</v>
      </c>
      <c r="AD75" s="3" t="str">
        <f t="shared" si="25"/>
        <v>112</v>
      </c>
      <c r="AE75">
        <v>83</v>
      </c>
      <c r="AF75" s="3" t="str">
        <f t="shared" si="26"/>
        <v>83</v>
      </c>
      <c r="AG75" t="s">
        <v>29</v>
      </c>
      <c r="AH75" s="3">
        <v>19.88</v>
      </c>
      <c r="AI75" s="3">
        <f t="shared" si="27"/>
        <v>19.88</v>
      </c>
      <c r="AJ75" t="s">
        <v>30</v>
      </c>
      <c r="AK75" t="str">
        <f>PROPER(Table1[[#This Row],[CVD Risk Level]])</f>
        <v>High</v>
      </c>
    </row>
    <row r="76" spans="1:37" x14ac:dyDescent="0.3">
      <c r="A76" t="s">
        <v>31</v>
      </c>
      <c r="B76">
        <v>38</v>
      </c>
      <c r="C76" s="8">
        <f t="shared" si="16"/>
        <v>38</v>
      </c>
      <c r="D76" s="5">
        <v>63.3</v>
      </c>
      <c r="E76" s="8">
        <f t="shared" si="17"/>
        <v>63.3</v>
      </c>
      <c r="F76">
        <v>1.7</v>
      </c>
      <c r="G76" s="3">
        <f t="shared" si="18"/>
        <v>1.7</v>
      </c>
      <c r="H76">
        <v>21.9</v>
      </c>
      <c r="I76" s="5">
        <f t="shared" si="14"/>
        <v>21.9</v>
      </c>
      <c r="J76" s="16" t="str">
        <f t="shared" si="19"/>
        <v>Normal</v>
      </c>
      <c r="K76">
        <v>93.8</v>
      </c>
      <c r="L76">
        <v>0.55200000000000005</v>
      </c>
      <c r="M76" s="11">
        <f t="shared" si="15"/>
        <v>0.55200000000000005</v>
      </c>
      <c r="N76" s="5">
        <f t="shared" si="20"/>
        <v>93.8</v>
      </c>
      <c r="P76">
        <v>76</v>
      </c>
      <c r="Q76" s="8">
        <f t="shared" si="21"/>
        <v>76</v>
      </c>
      <c r="R76" s="8">
        <v>182</v>
      </c>
      <c r="S76" s="8">
        <f t="shared" si="22"/>
        <v>182</v>
      </c>
      <c r="T76" s="8">
        <f>(Table1[[#This Row],[Total Cholesterol (mg/dL)]]+Table1[[#This Row],[HDL (mg/dL)2]]+Table1[[#This Row],[Estimated LDL (mg/dL)2]])*5</f>
        <v>1290</v>
      </c>
      <c r="U76" s="8">
        <f>IF(O76="",Table1[[#This Row],[Estimated LDL (mg/dL)2]]+Table1[[#This Row],[HDL (mg/dL)2]]+(Table1[[#This Row],[Triglycerides]]/5),O76)</f>
        <v>516</v>
      </c>
      <c r="V76">
        <v>73</v>
      </c>
      <c r="W76" s="8">
        <f t="shared" si="23"/>
        <v>73</v>
      </c>
      <c r="X76" t="str">
        <f t="shared" si="24"/>
        <v>Normal</v>
      </c>
      <c r="Y76" t="s">
        <v>22</v>
      </c>
      <c r="Z76" t="s">
        <v>23</v>
      </c>
      <c r="AA76" t="s">
        <v>28</v>
      </c>
      <c r="AB76" s="3" t="s">
        <v>107</v>
      </c>
      <c r="AC76">
        <v>93</v>
      </c>
      <c r="AD76" s="3" t="str">
        <f t="shared" si="25"/>
        <v>93</v>
      </c>
      <c r="AE76">
        <v>67</v>
      </c>
      <c r="AF76" s="3" t="str">
        <f t="shared" si="26"/>
        <v>67</v>
      </c>
      <c r="AG76" t="s">
        <v>33</v>
      </c>
      <c r="AH76" s="3">
        <v>16.79</v>
      </c>
      <c r="AI76" s="3">
        <f t="shared" si="27"/>
        <v>16.79</v>
      </c>
      <c r="AJ76" t="s">
        <v>26</v>
      </c>
      <c r="AK76" t="str">
        <f>PROPER(Table1[[#This Row],[CVD Risk Level]])</f>
        <v>Intermediary</v>
      </c>
    </row>
    <row r="77" spans="1:37" x14ac:dyDescent="0.3">
      <c r="A77" t="s">
        <v>20</v>
      </c>
      <c r="B77">
        <v>60</v>
      </c>
      <c r="C77" s="8">
        <f t="shared" si="16"/>
        <v>60</v>
      </c>
      <c r="D77" s="5">
        <v>91.6</v>
      </c>
      <c r="E77" s="8">
        <f t="shared" si="17"/>
        <v>91.6</v>
      </c>
      <c r="F77">
        <v>1.64</v>
      </c>
      <c r="G77" s="3">
        <f t="shared" si="18"/>
        <v>1.64</v>
      </c>
      <c r="H77">
        <v>34.1</v>
      </c>
      <c r="I77" s="5">
        <f t="shared" si="14"/>
        <v>34.1</v>
      </c>
      <c r="J77" s="16" t="str">
        <f t="shared" si="19"/>
        <v>Obese</v>
      </c>
      <c r="K77">
        <v>94.4</v>
      </c>
      <c r="L77">
        <v>0.57599999999999996</v>
      </c>
      <c r="M77" s="11">
        <f t="shared" si="15"/>
        <v>0.57599999999999996</v>
      </c>
      <c r="N77" s="5">
        <f t="shared" si="20"/>
        <v>94.4</v>
      </c>
      <c r="O77">
        <v>258</v>
      </c>
      <c r="P77">
        <v>31</v>
      </c>
      <c r="Q77" s="8">
        <f t="shared" si="21"/>
        <v>31</v>
      </c>
      <c r="R77" s="8">
        <v>197</v>
      </c>
      <c r="S77" s="8">
        <f t="shared" si="22"/>
        <v>197</v>
      </c>
      <c r="T77" s="8">
        <f>(Table1[[#This Row],[Total Cholesterol (mg/dL)]]+Table1[[#This Row],[HDL (mg/dL)2]]+Table1[[#This Row],[Estimated LDL (mg/dL)2]])*5</f>
        <v>2430</v>
      </c>
      <c r="U77" s="8">
        <f>IF(O77="",Table1[[#This Row],[Estimated LDL (mg/dL)2]]+Table1[[#This Row],[HDL (mg/dL)2]]+(Table1[[#This Row],[Triglycerides]]/5),O77)</f>
        <v>258</v>
      </c>
      <c r="V77">
        <v>142</v>
      </c>
      <c r="W77" s="8">
        <f t="shared" si="23"/>
        <v>142</v>
      </c>
      <c r="X77" t="str">
        <f t="shared" si="24"/>
        <v>Diabetes</v>
      </c>
      <c r="Y77" t="s">
        <v>23</v>
      </c>
      <c r="Z77" t="s">
        <v>23</v>
      </c>
      <c r="AA77" t="s">
        <v>28</v>
      </c>
      <c r="AB77" s="3" t="s">
        <v>108</v>
      </c>
      <c r="AC77">
        <v>132</v>
      </c>
      <c r="AD77" s="3" t="str">
        <f t="shared" si="25"/>
        <v>132</v>
      </c>
      <c r="AF77" s="3" t="str">
        <f t="shared" si="26"/>
        <v>73</v>
      </c>
      <c r="AG77" t="s">
        <v>29</v>
      </c>
      <c r="AH77" s="3">
        <v>20.58</v>
      </c>
      <c r="AI77" s="3">
        <f t="shared" si="27"/>
        <v>20.58</v>
      </c>
      <c r="AJ77" t="s">
        <v>30</v>
      </c>
      <c r="AK77" t="str">
        <f>PROPER(Table1[[#This Row],[CVD Risk Level]])</f>
        <v>High</v>
      </c>
    </row>
    <row r="78" spans="1:37" x14ac:dyDescent="0.3">
      <c r="A78" t="s">
        <v>20</v>
      </c>
      <c r="B78">
        <v>51</v>
      </c>
      <c r="C78" s="8">
        <f t="shared" si="16"/>
        <v>51</v>
      </c>
      <c r="D78" s="5">
        <v>52.5</v>
      </c>
      <c r="E78" s="8">
        <f t="shared" si="17"/>
        <v>52.5</v>
      </c>
      <c r="F78">
        <v>1.78</v>
      </c>
      <c r="G78" s="3">
        <f t="shared" si="18"/>
        <v>1.78</v>
      </c>
      <c r="H78">
        <v>16.600000000000001</v>
      </c>
      <c r="I78" s="5">
        <f t="shared" si="14"/>
        <v>16.600000000000001</v>
      </c>
      <c r="J78" s="16" t="str">
        <f t="shared" si="19"/>
        <v>Underweight</v>
      </c>
      <c r="K78">
        <v>75.8</v>
      </c>
      <c r="L78">
        <v>0.42599999999999999</v>
      </c>
      <c r="M78" s="11">
        <f t="shared" si="15"/>
        <v>0.42599999999999999</v>
      </c>
      <c r="N78" s="5">
        <f t="shared" si="20"/>
        <v>75.8</v>
      </c>
      <c r="O78">
        <v>119</v>
      </c>
      <c r="P78">
        <v>50</v>
      </c>
      <c r="Q78" s="8">
        <f t="shared" si="21"/>
        <v>50</v>
      </c>
      <c r="R78" s="8">
        <v>39</v>
      </c>
      <c r="S78" s="8">
        <f t="shared" si="22"/>
        <v>39</v>
      </c>
      <c r="T78" s="8">
        <f>(Table1[[#This Row],[Total Cholesterol (mg/dL)]]+Table1[[#This Row],[HDL (mg/dL)2]]+Table1[[#This Row],[Estimated LDL (mg/dL)2]])*5</f>
        <v>1040</v>
      </c>
      <c r="U78" s="8">
        <f>IF(O78="",Table1[[#This Row],[Estimated LDL (mg/dL)2]]+Table1[[#This Row],[HDL (mg/dL)2]]+(Table1[[#This Row],[Triglycerides]]/5),O78)</f>
        <v>119</v>
      </c>
      <c r="V78">
        <v>128</v>
      </c>
      <c r="W78" s="8">
        <f t="shared" si="23"/>
        <v>128</v>
      </c>
      <c r="X78" t="str">
        <f t="shared" si="24"/>
        <v>Diabetes</v>
      </c>
      <c r="Y78" t="s">
        <v>23</v>
      </c>
      <c r="Z78" t="s">
        <v>23</v>
      </c>
      <c r="AA78" t="s">
        <v>28</v>
      </c>
      <c r="AB78" s="3" t="s">
        <v>109</v>
      </c>
      <c r="AC78">
        <v>98</v>
      </c>
      <c r="AD78" s="3" t="str">
        <f t="shared" si="25"/>
        <v>98</v>
      </c>
      <c r="AE78">
        <v>63</v>
      </c>
      <c r="AF78" s="3" t="str">
        <f t="shared" si="26"/>
        <v>63</v>
      </c>
      <c r="AG78" t="s">
        <v>33</v>
      </c>
      <c r="AH78" s="3">
        <v>12.6</v>
      </c>
      <c r="AI78" s="3">
        <f t="shared" si="27"/>
        <v>12.6</v>
      </c>
      <c r="AJ78" t="s">
        <v>30</v>
      </c>
      <c r="AK78" t="str">
        <f>PROPER(Table1[[#This Row],[CVD Risk Level]])</f>
        <v>High</v>
      </c>
    </row>
    <row r="79" spans="1:37" x14ac:dyDescent="0.3">
      <c r="A79" t="s">
        <v>20</v>
      </c>
      <c r="B79">
        <v>43</v>
      </c>
      <c r="C79" s="8">
        <f t="shared" si="16"/>
        <v>43</v>
      </c>
      <c r="D79" s="5">
        <v>109.7</v>
      </c>
      <c r="E79" s="8">
        <f t="shared" si="17"/>
        <v>109.7</v>
      </c>
      <c r="F79">
        <v>1.81</v>
      </c>
      <c r="G79" s="3">
        <f t="shared" si="18"/>
        <v>1.81</v>
      </c>
      <c r="H79">
        <v>33.5</v>
      </c>
      <c r="I79" s="5">
        <f t="shared" si="14"/>
        <v>33.5</v>
      </c>
      <c r="J79" s="16" t="str">
        <f t="shared" si="19"/>
        <v>Obese</v>
      </c>
      <c r="K79">
        <v>80.8</v>
      </c>
      <c r="L79">
        <v>0.44600000000000001</v>
      </c>
      <c r="M79" s="11">
        <f t="shared" si="15"/>
        <v>0.44600000000000001</v>
      </c>
      <c r="N79" s="5">
        <f t="shared" si="20"/>
        <v>80.8</v>
      </c>
      <c r="O79">
        <v>278</v>
      </c>
      <c r="P79">
        <v>63</v>
      </c>
      <c r="Q79" s="8">
        <f t="shared" si="21"/>
        <v>63</v>
      </c>
      <c r="R79" s="8">
        <v>185</v>
      </c>
      <c r="S79" s="8">
        <f t="shared" si="22"/>
        <v>185</v>
      </c>
      <c r="T79" s="8">
        <f>(Table1[[#This Row],[Total Cholesterol (mg/dL)]]+Table1[[#This Row],[HDL (mg/dL)2]]+Table1[[#This Row],[Estimated LDL (mg/dL)2]])*5</f>
        <v>2630</v>
      </c>
      <c r="U79" s="8">
        <f>IF(O79="",Table1[[#This Row],[Estimated LDL (mg/dL)2]]+Table1[[#This Row],[HDL (mg/dL)2]]+(Table1[[#This Row],[Triglycerides]]/5),O79)</f>
        <v>278</v>
      </c>
      <c r="V79">
        <v>142</v>
      </c>
      <c r="W79" s="8">
        <f t="shared" si="23"/>
        <v>142</v>
      </c>
      <c r="X79" t="str">
        <f t="shared" si="24"/>
        <v>Diabetes</v>
      </c>
      <c r="Y79" t="s">
        <v>22</v>
      </c>
      <c r="Z79" t="s">
        <v>23</v>
      </c>
      <c r="AA79" t="s">
        <v>37</v>
      </c>
      <c r="AB79" s="3" t="s">
        <v>110</v>
      </c>
      <c r="AC79">
        <v>120</v>
      </c>
      <c r="AD79" s="3" t="str">
        <f t="shared" si="25"/>
        <v>120</v>
      </c>
      <c r="AE79">
        <v>74</v>
      </c>
      <c r="AF79" s="3" t="str">
        <f t="shared" si="26"/>
        <v>74</v>
      </c>
      <c r="AG79" t="s">
        <v>25</v>
      </c>
      <c r="AH79" s="3">
        <v>20.260000000000002</v>
      </c>
      <c r="AI79" s="3">
        <f t="shared" si="27"/>
        <v>20.260000000000002</v>
      </c>
      <c r="AJ79" t="s">
        <v>30</v>
      </c>
      <c r="AK79" t="str">
        <f>PROPER(Table1[[#This Row],[CVD Risk Level]])</f>
        <v>High</v>
      </c>
    </row>
    <row r="80" spans="1:37" x14ac:dyDescent="0.3">
      <c r="A80" t="s">
        <v>31</v>
      </c>
      <c r="B80">
        <v>49</v>
      </c>
      <c r="C80" s="8">
        <f t="shared" si="16"/>
        <v>49</v>
      </c>
      <c r="D80" s="5">
        <v>115.6</v>
      </c>
      <c r="E80" s="8">
        <f t="shared" si="17"/>
        <v>115.6</v>
      </c>
      <c r="F80">
        <v>1.72</v>
      </c>
      <c r="G80" s="3">
        <f t="shared" si="18"/>
        <v>1.72</v>
      </c>
      <c r="H80">
        <v>39.1</v>
      </c>
      <c r="I80" s="5">
        <f t="shared" si="14"/>
        <v>39.1</v>
      </c>
      <c r="J80" s="16" t="str">
        <f t="shared" si="19"/>
        <v>Obese</v>
      </c>
      <c r="K80">
        <v>109.3</v>
      </c>
      <c r="L80">
        <v>0.63500000000000001</v>
      </c>
      <c r="M80" s="11">
        <f t="shared" si="15"/>
        <v>0.63500000000000001</v>
      </c>
      <c r="N80" s="5">
        <f t="shared" si="20"/>
        <v>109.3</v>
      </c>
      <c r="O80">
        <v>155</v>
      </c>
      <c r="P80">
        <v>71</v>
      </c>
      <c r="Q80" s="8">
        <f t="shared" si="21"/>
        <v>71</v>
      </c>
      <c r="R80" s="8">
        <v>54</v>
      </c>
      <c r="S80" s="8">
        <f>IF(R80&lt;=0,MEDIAN($R$2:$R$1530),R80)</f>
        <v>54</v>
      </c>
      <c r="T80" s="8">
        <f>(Table1[[#This Row],[Total Cholesterol (mg/dL)]]+Table1[[#This Row],[HDL (mg/dL)2]]+Table1[[#This Row],[Estimated LDL (mg/dL)2]])*5</f>
        <v>1400</v>
      </c>
      <c r="U80" s="8">
        <f>IF(O80="",Table1[[#This Row],[Estimated LDL (mg/dL)2]]+Table1[[#This Row],[HDL (mg/dL)2]]+(Table1[[#This Row],[Triglycerides]]/5),O80)</f>
        <v>155</v>
      </c>
      <c r="V80">
        <v>110</v>
      </c>
      <c r="W80" s="8">
        <f t="shared" si="23"/>
        <v>110</v>
      </c>
      <c r="X80" t="str">
        <f t="shared" si="24"/>
        <v>Prediabetes</v>
      </c>
      <c r="Y80" t="s">
        <v>22</v>
      </c>
      <c r="Z80" t="s">
        <v>23</v>
      </c>
      <c r="AA80" t="s">
        <v>37</v>
      </c>
      <c r="AB80" s="3" t="s">
        <v>111</v>
      </c>
      <c r="AC80">
        <v>90</v>
      </c>
      <c r="AD80" s="3" t="str">
        <f t="shared" si="25"/>
        <v>90</v>
      </c>
      <c r="AE80">
        <v>95</v>
      </c>
      <c r="AF80" s="3" t="str">
        <f t="shared" si="26"/>
        <v>95</v>
      </c>
      <c r="AG80" t="s">
        <v>38</v>
      </c>
      <c r="AH80" s="3">
        <v>17.420000000000002</v>
      </c>
      <c r="AI80" s="3">
        <f t="shared" si="27"/>
        <v>17.420000000000002</v>
      </c>
      <c r="AJ80" t="s">
        <v>26</v>
      </c>
      <c r="AK80" t="str">
        <f>PROPER(Table1[[#This Row],[CVD Risk Level]])</f>
        <v>Intermediary</v>
      </c>
    </row>
    <row r="81" spans="1:37" x14ac:dyDescent="0.3">
      <c r="A81" t="s">
        <v>31</v>
      </c>
      <c r="B81">
        <v>60</v>
      </c>
      <c r="C81" s="8">
        <f t="shared" si="16"/>
        <v>60</v>
      </c>
      <c r="D81" s="5">
        <v>78.900000000000006</v>
      </c>
      <c r="E81" s="8">
        <f t="shared" si="17"/>
        <v>78.900000000000006</v>
      </c>
      <c r="F81">
        <v>1.85</v>
      </c>
      <c r="G81" s="3">
        <f t="shared" si="18"/>
        <v>1.85</v>
      </c>
      <c r="H81">
        <v>23.1</v>
      </c>
      <c r="I81" s="5">
        <f t="shared" si="14"/>
        <v>23.1</v>
      </c>
      <c r="J81" s="16" t="str">
        <f t="shared" si="19"/>
        <v>Normal</v>
      </c>
      <c r="K81">
        <v>101.5</v>
      </c>
      <c r="L81">
        <v>0.54900000000000004</v>
      </c>
      <c r="M81" s="11">
        <f t="shared" si="15"/>
        <v>0.54900000000000004</v>
      </c>
      <c r="N81" s="5">
        <f t="shared" si="20"/>
        <v>101.5</v>
      </c>
      <c r="O81">
        <v>133</v>
      </c>
      <c r="P81">
        <v>39</v>
      </c>
      <c r="Q81" s="8">
        <f t="shared" si="21"/>
        <v>39</v>
      </c>
      <c r="R81" s="8">
        <v>64</v>
      </c>
      <c r="S81" s="8">
        <f t="shared" si="22"/>
        <v>64</v>
      </c>
      <c r="T81" s="8">
        <f>(Table1[[#This Row],[Total Cholesterol (mg/dL)]]+Table1[[#This Row],[HDL (mg/dL)2]]+Table1[[#This Row],[Estimated LDL (mg/dL)2]])*5</f>
        <v>1180</v>
      </c>
      <c r="U81" s="8">
        <f>IF(O81="",Table1[[#This Row],[Estimated LDL (mg/dL)2]]+Table1[[#This Row],[HDL (mg/dL)2]]+(Table1[[#This Row],[Triglycerides]]/5),O81)</f>
        <v>133</v>
      </c>
      <c r="V81">
        <v>149</v>
      </c>
      <c r="W81" s="8">
        <f t="shared" si="23"/>
        <v>149</v>
      </c>
      <c r="X81" t="str">
        <f t="shared" si="24"/>
        <v>Diabetes</v>
      </c>
      <c r="Y81" t="s">
        <v>22</v>
      </c>
      <c r="Z81" t="s">
        <v>23</v>
      </c>
      <c r="AA81" t="s">
        <v>24</v>
      </c>
      <c r="AB81" s="3" t="s">
        <v>112</v>
      </c>
      <c r="AC81">
        <v>94</v>
      </c>
      <c r="AD81" s="3" t="str">
        <f t="shared" si="25"/>
        <v>94</v>
      </c>
      <c r="AE81">
        <v>78</v>
      </c>
      <c r="AF81" s="3" t="str">
        <f t="shared" si="26"/>
        <v>78</v>
      </c>
      <c r="AG81" t="s">
        <v>33</v>
      </c>
      <c r="AI81" s="3">
        <f t="shared" si="27"/>
        <v>16.960925291295425</v>
      </c>
      <c r="AJ81" t="s">
        <v>30</v>
      </c>
      <c r="AK81" t="str">
        <f>PROPER(Table1[[#This Row],[CVD Risk Level]])</f>
        <v>High</v>
      </c>
    </row>
    <row r="82" spans="1:37" x14ac:dyDescent="0.3">
      <c r="A82" t="s">
        <v>31</v>
      </c>
      <c r="B82">
        <v>37</v>
      </c>
      <c r="C82" s="8">
        <f t="shared" si="16"/>
        <v>37</v>
      </c>
      <c r="D82" s="5">
        <v>78.400000000000006</v>
      </c>
      <c r="E82" s="8">
        <f t="shared" si="17"/>
        <v>78.400000000000006</v>
      </c>
      <c r="F82">
        <v>1.63</v>
      </c>
      <c r="G82" s="3">
        <f t="shared" si="18"/>
        <v>1.63</v>
      </c>
      <c r="H82">
        <v>29.5</v>
      </c>
      <c r="I82" s="5">
        <f t="shared" si="14"/>
        <v>29.5</v>
      </c>
      <c r="J82" s="16" t="str">
        <f t="shared" si="19"/>
        <v>Overweight</v>
      </c>
      <c r="K82">
        <v>70.2</v>
      </c>
      <c r="L82">
        <v>0.43099999999999999</v>
      </c>
      <c r="M82" s="11">
        <f t="shared" si="15"/>
        <v>0.43099999999999999</v>
      </c>
      <c r="N82" s="5">
        <f t="shared" si="20"/>
        <v>70.2</v>
      </c>
      <c r="O82">
        <v>103</v>
      </c>
      <c r="P82">
        <v>57</v>
      </c>
      <c r="Q82" s="8">
        <f t="shared" si="21"/>
        <v>57</v>
      </c>
      <c r="R82" s="8">
        <v>16</v>
      </c>
      <c r="S82" s="8">
        <f t="shared" si="22"/>
        <v>16</v>
      </c>
      <c r="T82" s="8">
        <f>(Table1[[#This Row],[Total Cholesterol (mg/dL)]]+Table1[[#This Row],[HDL (mg/dL)2]]+Table1[[#This Row],[Estimated LDL (mg/dL)2]])*5</f>
        <v>880</v>
      </c>
      <c r="U82" s="8">
        <f>IF(O82="",Table1[[#This Row],[Estimated LDL (mg/dL)2]]+Table1[[#This Row],[HDL (mg/dL)2]]+(Table1[[#This Row],[Triglycerides]]/5),O82)</f>
        <v>103</v>
      </c>
      <c r="V82">
        <v>74</v>
      </c>
      <c r="W82" s="8">
        <f t="shared" si="23"/>
        <v>74</v>
      </c>
      <c r="X82" t="str">
        <f t="shared" si="24"/>
        <v>Normal</v>
      </c>
      <c r="Y82" t="s">
        <v>22</v>
      </c>
      <c r="Z82" t="s">
        <v>22</v>
      </c>
      <c r="AA82" t="s">
        <v>28</v>
      </c>
      <c r="AB82" s="3" t="s">
        <v>113</v>
      </c>
      <c r="AC82">
        <v>127</v>
      </c>
      <c r="AD82" s="3" t="str">
        <f t="shared" si="25"/>
        <v>127</v>
      </c>
      <c r="AE82">
        <v>96</v>
      </c>
      <c r="AF82" s="3" t="str">
        <f t="shared" si="26"/>
        <v>96</v>
      </c>
      <c r="AG82" t="s">
        <v>38</v>
      </c>
      <c r="AH82" s="3">
        <v>14.31</v>
      </c>
      <c r="AI82" s="3">
        <f t="shared" si="27"/>
        <v>14.31</v>
      </c>
      <c r="AJ82" t="s">
        <v>52</v>
      </c>
      <c r="AK82" t="str">
        <f>PROPER(Table1[[#This Row],[CVD Risk Level]])</f>
        <v>Low</v>
      </c>
    </row>
    <row r="83" spans="1:37" x14ac:dyDescent="0.3">
      <c r="A83" t="s">
        <v>20</v>
      </c>
      <c r="B83">
        <v>52</v>
      </c>
      <c r="C83" s="8">
        <f t="shared" si="16"/>
        <v>52</v>
      </c>
      <c r="D83" s="5">
        <v>65.3</v>
      </c>
      <c r="E83" s="8">
        <f t="shared" si="17"/>
        <v>65.3</v>
      </c>
      <c r="F83">
        <v>1.61</v>
      </c>
      <c r="G83" s="3">
        <f t="shared" si="18"/>
        <v>1.61</v>
      </c>
      <c r="H83">
        <v>25.2</v>
      </c>
      <c r="I83" s="5">
        <f t="shared" si="14"/>
        <v>25.2</v>
      </c>
      <c r="J83" s="16" t="str">
        <f t="shared" si="19"/>
        <v>Overweight</v>
      </c>
      <c r="K83">
        <v>74.900000000000006</v>
      </c>
      <c r="L83">
        <v>0.46500000000000002</v>
      </c>
      <c r="M83" s="11">
        <f t="shared" si="15"/>
        <v>0.46500000000000002</v>
      </c>
      <c r="N83" s="5">
        <f t="shared" si="20"/>
        <v>74.900000000000006</v>
      </c>
      <c r="O83">
        <v>251</v>
      </c>
      <c r="P83">
        <v>50</v>
      </c>
      <c r="Q83" s="8">
        <f t="shared" si="21"/>
        <v>50</v>
      </c>
      <c r="R83" s="8">
        <v>171</v>
      </c>
      <c r="S83" s="8">
        <f t="shared" si="22"/>
        <v>171</v>
      </c>
      <c r="T83" s="8">
        <f>(Table1[[#This Row],[Total Cholesterol (mg/dL)]]+Table1[[#This Row],[HDL (mg/dL)2]]+Table1[[#This Row],[Estimated LDL (mg/dL)2]])*5</f>
        <v>2360</v>
      </c>
      <c r="U83" s="8">
        <f>IF(O83="",Table1[[#This Row],[Estimated LDL (mg/dL)2]]+Table1[[#This Row],[HDL (mg/dL)2]]+(Table1[[#This Row],[Triglycerides]]/5),O83)</f>
        <v>251</v>
      </c>
      <c r="V83">
        <v>83</v>
      </c>
      <c r="W83" s="8">
        <f t="shared" si="23"/>
        <v>83</v>
      </c>
      <c r="X83" t="str">
        <f t="shared" si="24"/>
        <v>Normal</v>
      </c>
      <c r="Y83" t="s">
        <v>23</v>
      </c>
      <c r="Z83" t="s">
        <v>22</v>
      </c>
      <c r="AA83" t="s">
        <v>24</v>
      </c>
      <c r="AB83" s="3" t="s">
        <v>114</v>
      </c>
      <c r="AC83">
        <v>120</v>
      </c>
      <c r="AD83" s="3" t="str">
        <f t="shared" si="25"/>
        <v>120</v>
      </c>
      <c r="AE83">
        <v>87</v>
      </c>
      <c r="AF83" s="3" t="str">
        <f t="shared" si="26"/>
        <v>87</v>
      </c>
      <c r="AG83" t="s">
        <v>29</v>
      </c>
      <c r="AH83" s="3">
        <v>16.059999999999999</v>
      </c>
      <c r="AI83" s="3">
        <f t="shared" si="27"/>
        <v>16.059999999999999</v>
      </c>
      <c r="AJ83" t="s">
        <v>30</v>
      </c>
      <c r="AK83" t="str">
        <f>PROPER(Table1[[#This Row],[CVD Risk Level]])</f>
        <v>High</v>
      </c>
    </row>
    <row r="84" spans="1:37" x14ac:dyDescent="0.3">
      <c r="A84" t="s">
        <v>20</v>
      </c>
      <c r="B84">
        <v>37</v>
      </c>
      <c r="C84" s="8">
        <f t="shared" si="16"/>
        <v>37</v>
      </c>
      <c r="D84" s="5">
        <v>114.4</v>
      </c>
      <c r="E84" s="8">
        <f t="shared" si="17"/>
        <v>114.4</v>
      </c>
      <c r="F84">
        <v>1.72</v>
      </c>
      <c r="G84" s="3">
        <f t="shared" si="18"/>
        <v>1.72</v>
      </c>
      <c r="H84">
        <v>38.700000000000003</v>
      </c>
      <c r="I84" s="5">
        <f t="shared" si="14"/>
        <v>38.700000000000003</v>
      </c>
      <c r="J84" s="16" t="str">
        <f t="shared" si="19"/>
        <v>Obese</v>
      </c>
      <c r="K84">
        <v>105</v>
      </c>
      <c r="L84">
        <v>0.61</v>
      </c>
      <c r="M84" s="11">
        <f t="shared" si="15"/>
        <v>0.61</v>
      </c>
      <c r="N84" s="5">
        <f t="shared" si="20"/>
        <v>105</v>
      </c>
      <c r="O84">
        <v>203</v>
      </c>
      <c r="P84">
        <v>60</v>
      </c>
      <c r="Q84" s="8">
        <f t="shared" si="21"/>
        <v>60</v>
      </c>
      <c r="R84" s="8">
        <v>113</v>
      </c>
      <c r="S84" s="8">
        <f t="shared" si="22"/>
        <v>113</v>
      </c>
      <c r="T84" s="8">
        <f>(Table1[[#This Row],[Total Cholesterol (mg/dL)]]+Table1[[#This Row],[HDL (mg/dL)2]]+Table1[[#This Row],[Estimated LDL (mg/dL)2]])*5</f>
        <v>1880</v>
      </c>
      <c r="U84" s="8">
        <f>IF(O84="",Table1[[#This Row],[Estimated LDL (mg/dL)2]]+Table1[[#This Row],[HDL (mg/dL)2]]+(Table1[[#This Row],[Triglycerides]]/5),O84)</f>
        <v>203</v>
      </c>
      <c r="V84">
        <v>103</v>
      </c>
      <c r="W84" s="8">
        <f t="shared" si="23"/>
        <v>103</v>
      </c>
      <c r="X84" t="str">
        <f t="shared" si="24"/>
        <v>Prediabetes</v>
      </c>
      <c r="Y84" t="s">
        <v>22</v>
      </c>
      <c r="Z84" t="s">
        <v>23</v>
      </c>
      <c r="AA84" t="s">
        <v>37</v>
      </c>
      <c r="AB84" s="3" t="s">
        <v>115</v>
      </c>
      <c r="AC84">
        <v>99</v>
      </c>
      <c r="AD84" s="3" t="str">
        <f t="shared" si="25"/>
        <v>99</v>
      </c>
      <c r="AE84">
        <v>90</v>
      </c>
      <c r="AF84" s="3" t="str">
        <f t="shared" si="26"/>
        <v>90</v>
      </c>
      <c r="AG84" t="s">
        <v>38</v>
      </c>
      <c r="AH84" s="3">
        <v>18.75</v>
      </c>
      <c r="AI84" s="3">
        <f t="shared" si="27"/>
        <v>18.75</v>
      </c>
      <c r="AJ84" t="s">
        <v>26</v>
      </c>
      <c r="AK84" t="str">
        <f>PROPER(Table1[[#This Row],[CVD Risk Level]])</f>
        <v>Intermediary</v>
      </c>
    </row>
    <row r="85" spans="1:37" x14ac:dyDescent="0.3">
      <c r="A85" t="s">
        <v>31</v>
      </c>
      <c r="B85">
        <v>57</v>
      </c>
      <c r="C85" s="8">
        <f t="shared" si="16"/>
        <v>57</v>
      </c>
      <c r="D85" s="5">
        <v>114.5</v>
      </c>
      <c r="E85" s="8">
        <f t="shared" si="17"/>
        <v>114.5</v>
      </c>
      <c r="F85">
        <v>1.83</v>
      </c>
      <c r="G85" s="3">
        <f t="shared" si="18"/>
        <v>1.83</v>
      </c>
      <c r="H85">
        <v>34.200000000000003</v>
      </c>
      <c r="I85" s="5">
        <f t="shared" si="14"/>
        <v>34.200000000000003</v>
      </c>
      <c r="J85" s="16" t="str">
        <f t="shared" si="19"/>
        <v>Obese</v>
      </c>
      <c r="K85">
        <v>93.8</v>
      </c>
      <c r="L85">
        <v>0.51300000000000001</v>
      </c>
      <c r="M85" s="11">
        <f t="shared" si="15"/>
        <v>0.51300000000000001</v>
      </c>
      <c r="N85" s="5">
        <f t="shared" si="20"/>
        <v>93.8</v>
      </c>
      <c r="O85">
        <v>204</v>
      </c>
      <c r="P85">
        <v>48</v>
      </c>
      <c r="Q85" s="8">
        <f t="shared" si="21"/>
        <v>48</v>
      </c>
      <c r="R85" s="8">
        <v>126</v>
      </c>
      <c r="S85" s="8">
        <f t="shared" si="22"/>
        <v>126</v>
      </c>
      <c r="T85" s="8">
        <f>(Table1[[#This Row],[Total Cholesterol (mg/dL)]]+Table1[[#This Row],[HDL (mg/dL)2]]+Table1[[#This Row],[Estimated LDL (mg/dL)2]])*5</f>
        <v>1890</v>
      </c>
      <c r="U85" s="8">
        <f>IF(O85="",Table1[[#This Row],[Estimated LDL (mg/dL)2]]+Table1[[#This Row],[HDL (mg/dL)2]]+(Table1[[#This Row],[Triglycerides]]/5),O85)</f>
        <v>204</v>
      </c>
      <c r="V85">
        <v>140</v>
      </c>
      <c r="W85" s="8">
        <f t="shared" si="23"/>
        <v>140</v>
      </c>
      <c r="X85" t="str">
        <f t="shared" si="24"/>
        <v>Diabetes</v>
      </c>
      <c r="Y85" t="s">
        <v>22</v>
      </c>
      <c r="Z85" t="s">
        <v>23</v>
      </c>
      <c r="AA85" t="s">
        <v>37</v>
      </c>
      <c r="AB85" s="3" t="s">
        <v>116</v>
      </c>
      <c r="AC85">
        <v>114</v>
      </c>
      <c r="AD85" s="3" t="str">
        <f t="shared" si="25"/>
        <v>114</v>
      </c>
      <c r="AE85">
        <v>63</v>
      </c>
      <c r="AF85" s="3" t="str">
        <f t="shared" si="26"/>
        <v>63</v>
      </c>
      <c r="AG85" t="s">
        <v>33</v>
      </c>
      <c r="AH85" s="3">
        <v>18.62</v>
      </c>
      <c r="AI85" s="3">
        <f t="shared" si="27"/>
        <v>18.62</v>
      </c>
      <c r="AJ85" t="s">
        <v>30</v>
      </c>
      <c r="AK85" t="str">
        <f>PROPER(Table1[[#This Row],[CVD Risk Level]])</f>
        <v>High</v>
      </c>
    </row>
    <row r="86" spans="1:37" x14ac:dyDescent="0.3">
      <c r="A86" t="s">
        <v>31</v>
      </c>
      <c r="B86">
        <v>56</v>
      </c>
      <c r="C86" s="8">
        <f t="shared" si="16"/>
        <v>56</v>
      </c>
      <c r="D86" s="5">
        <v>81.8</v>
      </c>
      <c r="E86" s="8">
        <f t="shared" si="17"/>
        <v>81.8</v>
      </c>
      <c r="F86">
        <v>1.76</v>
      </c>
      <c r="G86" s="3">
        <f t="shared" si="18"/>
        <v>1.76</v>
      </c>
      <c r="H86">
        <v>26.4</v>
      </c>
      <c r="I86" s="5">
        <f t="shared" si="14"/>
        <v>26.4</v>
      </c>
      <c r="J86" s="16" t="str">
        <f t="shared" si="19"/>
        <v>Overweight</v>
      </c>
      <c r="K86">
        <v>72.099999999999994</v>
      </c>
      <c r="L86">
        <v>0.41</v>
      </c>
      <c r="M86" s="11">
        <f t="shared" si="15"/>
        <v>0.41</v>
      </c>
      <c r="N86" s="5">
        <f t="shared" si="20"/>
        <v>72.099999999999994</v>
      </c>
      <c r="O86">
        <v>109</v>
      </c>
      <c r="P86">
        <v>78</v>
      </c>
      <c r="Q86" s="8">
        <f t="shared" si="21"/>
        <v>78</v>
      </c>
      <c r="R86" s="8">
        <v>1</v>
      </c>
      <c r="S86" s="8">
        <f t="shared" si="22"/>
        <v>1</v>
      </c>
      <c r="T86" s="8">
        <f>(Table1[[#This Row],[Total Cholesterol (mg/dL)]]+Table1[[#This Row],[HDL (mg/dL)2]]+Table1[[#This Row],[Estimated LDL (mg/dL)2]])*5</f>
        <v>940</v>
      </c>
      <c r="U86" s="8">
        <f>IF(O86="",Table1[[#This Row],[Estimated LDL (mg/dL)2]]+Table1[[#This Row],[HDL (mg/dL)2]]+(Table1[[#This Row],[Triglycerides]]/5),O86)</f>
        <v>109</v>
      </c>
      <c r="V86">
        <v>111</v>
      </c>
      <c r="W86" s="8">
        <f t="shared" si="23"/>
        <v>111</v>
      </c>
      <c r="X86" t="str">
        <f t="shared" si="24"/>
        <v>Prediabetes</v>
      </c>
      <c r="Y86" t="s">
        <v>22</v>
      </c>
      <c r="Z86" t="s">
        <v>22</v>
      </c>
      <c r="AA86" t="s">
        <v>28</v>
      </c>
      <c r="AB86" s="3" t="s">
        <v>117</v>
      </c>
      <c r="AC86">
        <v>132</v>
      </c>
      <c r="AD86" s="3" t="str">
        <f t="shared" si="25"/>
        <v>132</v>
      </c>
      <c r="AE86">
        <v>97</v>
      </c>
      <c r="AF86" s="3" t="str">
        <f t="shared" si="26"/>
        <v>97</v>
      </c>
      <c r="AG86" t="s">
        <v>29</v>
      </c>
      <c r="AH86" s="3">
        <v>14.06</v>
      </c>
      <c r="AI86" s="3">
        <f t="shared" si="27"/>
        <v>14.06</v>
      </c>
      <c r="AJ86" t="s">
        <v>26</v>
      </c>
      <c r="AK86" t="str">
        <f>PROPER(Table1[[#This Row],[CVD Risk Level]])</f>
        <v>Intermediary</v>
      </c>
    </row>
    <row r="87" spans="1:37" x14ac:dyDescent="0.3">
      <c r="A87" t="s">
        <v>31</v>
      </c>
      <c r="B87">
        <v>32</v>
      </c>
      <c r="C87" s="8">
        <f t="shared" si="16"/>
        <v>32</v>
      </c>
      <c r="D87" s="5">
        <v>85.5</v>
      </c>
      <c r="E87" s="8">
        <f t="shared" si="17"/>
        <v>85.5</v>
      </c>
      <c r="F87">
        <v>1.63</v>
      </c>
      <c r="G87" s="3">
        <f t="shared" si="18"/>
        <v>1.63</v>
      </c>
      <c r="H87">
        <v>32.200000000000003</v>
      </c>
      <c r="I87" s="5">
        <f t="shared" si="14"/>
        <v>32.200000000000003</v>
      </c>
      <c r="J87" s="16" t="str">
        <f t="shared" si="19"/>
        <v>Obese</v>
      </c>
      <c r="K87">
        <v>81.599999999999994</v>
      </c>
      <c r="L87">
        <v>0.501</v>
      </c>
      <c r="M87" s="11">
        <f t="shared" si="15"/>
        <v>0.501</v>
      </c>
      <c r="N87" s="5">
        <f t="shared" si="20"/>
        <v>81.599999999999994</v>
      </c>
      <c r="O87">
        <v>102</v>
      </c>
      <c r="P87">
        <v>79</v>
      </c>
      <c r="Q87" s="8">
        <f t="shared" si="21"/>
        <v>79</v>
      </c>
      <c r="S87" s="8">
        <f t="shared" si="22"/>
        <v>109</v>
      </c>
      <c r="T87" s="8">
        <f>(Table1[[#This Row],[Total Cholesterol (mg/dL)]]+Table1[[#This Row],[HDL (mg/dL)2]]+Table1[[#This Row],[Estimated LDL (mg/dL)2]])*5</f>
        <v>1450</v>
      </c>
      <c r="U87" s="8">
        <f>IF(O87="",Table1[[#This Row],[Estimated LDL (mg/dL)2]]+Table1[[#This Row],[HDL (mg/dL)2]]+(Table1[[#This Row],[Triglycerides]]/5),O87)</f>
        <v>102</v>
      </c>
      <c r="V87">
        <v>97</v>
      </c>
      <c r="W87" s="8">
        <f t="shared" si="23"/>
        <v>97</v>
      </c>
      <c r="X87" t="str">
        <f t="shared" si="24"/>
        <v>Normal</v>
      </c>
      <c r="Y87" t="s">
        <v>23</v>
      </c>
      <c r="Z87" t="s">
        <v>22</v>
      </c>
      <c r="AA87" t="s">
        <v>24</v>
      </c>
      <c r="AB87" s="3" t="s">
        <v>118</v>
      </c>
      <c r="AC87">
        <v>111</v>
      </c>
      <c r="AD87" s="3" t="str">
        <f t="shared" si="25"/>
        <v>111</v>
      </c>
      <c r="AE87">
        <v>68</v>
      </c>
      <c r="AF87" s="3" t="str">
        <f t="shared" si="26"/>
        <v>68</v>
      </c>
      <c r="AG87" t="s">
        <v>33</v>
      </c>
      <c r="AH87" s="3">
        <v>14.03</v>
      </c>
      <c r="AI87" s="3">
        <f t="shared" si="27"/>
        <v>14.03</v>
      </c>
      <c r="AJ87" t="s">
        <v>26</v>
      </c>
      <c r="AK87" t="str">
        <f>PROPER(Table1[[#This Row],[CVD Risk Level]])</f>
        <v>Intermediary</v>
      </c>
    </row>
    <row r="88" spans="1:37" x14ac:dyDescent="0.3">
      <c r="A88" t="s">
        <v>20</v>
      </c>
      <c r="B88">
        <v>58</v>
      </c>
      <c r="C88" s="8">
        <f t="shared" si="16"/>
        <v>58</v>
      </c>
      <c r="D88" s="5">
        <v>82.1</v>
      </c>
      <c r="E88" s="8">
        <f t="shared" si="17"/>
        <v>82.1</v>
      </c>
      <c r="G88" s="3">
        <f t="shared" si="18"/>
        <v>1.7701942792415588</v>
      </c>
      <c r="H88">
        <v>26.2</v>
      </c>
      <c r="I88" s="5">
        <f t="shared" si="14"/>
        <v>26.2</v>
      </c>
      <c r="J88" s="16" t="str">
        <f t="shared" si="19"/>
        <v>Overweight</v>
      </c>
      <c r="K88">
        <v>82.6</v>
      </c>
      <c r="L88">
        <v>0.46700000000000003</v>
      </c>
      <c r="M88" s="11">
        <f t="shared" si="15"/>
        <v>0.46700000000000003</v>
      </c>
      <c r="N88" s="5">
        <f t="shared" si="20"/>
        <v>82.6</v>
      </c>
      <c r="O88">
        <v>133</v>
      </c>
      <c r="P88">
        <v>43</v>
      </c>
      <c r="Q88" s="8">
        <f t="shared" si="21"/>
        <v>43</v>
      </c>
      <c r="R88" s="8">
        <v>60</v>
      </c>
      <c r="S88" s="8">
        <f t="shared" si="22"/>
        <v>60</v>
      </c>
      <c r="T88" s="8">
        <f>(Table1[[#This Row],[Total Cholesterol (mg/dL)]]+Table1[[#This Row],[HDL (mg/dL)2]]+Table1[[#This Row],[Estimated LDL (mg/dL)2]])*5</f>
        <v>1180</v>
      </c>
      <c r="U88" s="8">
        <f>IF(O88="",Table1[[#This Row],[Estimated LDL (mg/dL)2]]+Table1[[#This Row],[HDL (mg/dL)2]]+(Table1[[#This Row],[Triglycerides]]/5),O88)</f>
        <v>133</v>
      </c>
      <c r="W88" s="8">
        <f t="shared" si="23"/>
        <v>117.48563611491107</v>
      </c>
      <c r="X88" t="str">
        <f t="shared" si="24"/>
        <v>Prediabetes</v>
      </c>
      <c r="Y88" t="s">
        <v>23</v>
      </c>
      <c r="Z88" t="s">
        <v>22</v>
      </c>
      <c r="AA88" t="s">
        <v>24</v>
      </c>
      <c r="AB88" s="3" t="s">
        <v>119</v>
      </c>
      <c r="AC88">
        <v>97</v>
      </c>
      <c r="AD88" s="3" t="str">
        <f t="shared" si="25"/>
        <v>97</v>
      </c>
      <c r="AE88">
        <v>69</v>
      </c>
      <c r="AF88" s="3" t="str">
        <f t="shared" si="26"/>
        <v>69</v>
      </c>
      <c r="AG88" t="s">
        <v>33</v>
      </c>
      <c r="AH88" s="3">
        <v>12.75</v>
      </c>
      <c r="AI88" s="3">
        <f t="shared" si="27"/>
        <v>12.75</v>
      </c>
      <c r="AJ88" t="s">
        <v>30</v>
      </c>
      <c r="AK88" t="str">
        <f>PROPER(Table1[[#This Row],[CVD Risk Level]])</f>
        <v>High</v>
      </c>
    </row>
    <row r="89" spans="1:37" x14ac:dyDescent="0.3">
      <c r="A89" t="s">
        <v>20</v>
      </c>
      <c r="B89">
        <v>37</v>
      </c>
      <c r="C89" s="8">
        <f t="shared" si="16"/>
        <v>37</v>
      </c>
      <c r="D89" s="5">
        <v>113.4</v>
      </c>
      <c r="E89" s="8">
        <f t="shared" si="17"/>
        <v>113.4</v>
      </c>
      <c r="F89">
        <v>1.68</v>
      </c>
      <c r="G89" s="3">
        <f t="shared" si="18"/>
        <v>1.68</v>
      </c>
      <c r="H89">
        <v>40.200000000000003</v>
      </c>
      <c r="I89" s="5">
        <f t="shared" si="14"/>
        <v>40.200000000000003</v>
      </c>
      <c r="J89" s="16" t="str">
        <f t="shared" si="19"/>
        <v>Obese</v>
      </c>
      <c r="K89">
        <v>109.2</v>
      </c>
      <c r="L89">
        <v>0.65</v>
      </c>
      <c r="M89" s="11">
        <f t="shared" si="15"/>
        <v>0.65</v>
      </c>
      <c r="N89" s="5">
        <f t="shared" si="20"/>
        <v>109.2</v>
      </c>
      <c r="O89">
        <v>281</v>
      </c>
      <c r="P89">
        <v>70</v>
      </c>
      <c r="Q89" s="8">
        <f t="shared" si="21"/>
        <v>70</v>
      </c>
      <c r="R89" s="8">
        <v>181</v>
      </c>
      <c r="S89" s="8">
        <f t="shared" si="22"/>
        <v>181</v>
      </c>
      <c r="T89" s="8">
        <f>(Table1[[#This Row],[Total Cholesterol (mg/dL)]]+Table1[[#This Row],[HDL (mg/dL)2]]+Table1[[#This Row],[Estimated LDL (mg/dL)2]])*5</f>
        <v>2660</v>
      </c>
      <c r="U89" s="8">
        <f>IF(O89="",Table1[[#This Row],[Estimated LDL (mg/dL)2]]+Table1[[#This Row],[HDL (mg/dL)2]]+(Table1[[#This Row],[Triglycerides]]/5),O89)</f>
        <v>281</v>
      </c>
      <c r="V89">
        <v>140</v>
      </c>
      <c r="W89" s="8">
        <f t="shared" si="23"/>
        <v>140</v>
      </c>
      <c r="X89" t="str">
        <f t="shared" si="24"/>
        <v>Diabetes</v>
      </c>
      <c r="Y89" t="s">
        <v>22</v>
      </c>
      <c r="Z89" t="s">
        <v>22</v>
      </c>
      <c r="AA89" t="s">
        <v>28</v>
      </c>
      <c r="AB89" s="3" t="s">
        <v>120</v>
      </c>
      <c r="AC89">
        <v>120</v>
      </c>
      <c r="AD89" s="3" t="str">
        <f t="shared" si="25"/>
        <v>120</v>
      </c>
      <c r="AE89">
        <v>71</v>
      </c>
      <c r="AF89" s="3" t="str">
        <f t="shared" si="26"/>
        <v>71</v>
      </c>
      <c r="AG89" t="s">
        <v>25</v>
      </c>
      <c r="AH89" s="3">
        <v>19.66</v>
      </c>
      <c r="AI89" s="3">
        <f t="shared" si="27"/>
        <v>19.66</v>
      </c>
      <c r="AJ89" t="s">
        <v>26</v>
      </c>
      <c r="AK89" t="str">
        <f>PROPER(Table1[[#This Row],[CVD Risk Level]])</f>
        <v>Intermediary</v>
      </c>
    </row>
    <row r="90" spans="1:37" x14ac:dyDescent="0.3">
      <c r="A90" t="s">
        <v>20</v>
      </c>
      <c r="B90">
        <v>40</v>
      </c>
      <c r="C90" s="8">
        <f t="shared" si="16"/>
        <v>40</v>
      </c>
      <c r="D90" s="5">
        <v>50.7</v>
      </c>
      <c r="E90" s="8">
        <f t="shared" si="17"/>
        <v>50.7</v>
      </c>
      <c r="F90">
        <v>1.65</v>
      </c>
      <c r="G90" s="3">
        <f t="shared" si="18"/>
        <v>1.65</v>
      </c>
      <c r="H90">
        <v>18.600000000000001</v>
      </c>
      <c r="I90" s="5">
        <f t="shared" si="14"/>
        <v>18.600000000000001</v>
      </c>
      <c r="J90" s="16" t="str">
        <f t="shared" si="19"/>
        <v>Normal</v>
      </c>
      <c r="K90">
        <v>80.900000000000006</v>
      </c>
      <c r="L90">
        <v>0.49</v>
      </c>
      <c r="M90" s="11">
        <f t="shared" si="15"/>
        <v>0.49</v>
      </c>
      <c r="N90" s="5">
        <f t="shared" si="20"/>
        <v>80.900000000000006</v>
      </c>
      <c r="O90">
        <v>228</v>
      </c>
      <c r="P90">
        <v>56</v>
      </c>
      <c r="Q90" s="8">
        <f t="shared" si="21"/>
        <v>56</v>
      </c>
      <c r="R90" s="8">
        <v>142</v>
      </c>
      <c r="S90" s="8">
        <f t="shared" si="22"/>
        <v>142</v>
      </c>
      <c r="T90" s="8">
        <f>(Table1[[#This Row],[Total Cholesterol (mg/dL)]]+Table1[[#This Row],[HDL (mg/dL)2]]+Table1[[#This Row],[Estimated LDL (mg/dL)2]])*5</f>
        <v>2130</v>
      </c>
      <c r="U90" s="8">
        <f>IF(O90="",Table1[[#This Row],[Estimated LDL (mg/dL)2]]+Table1[[#This Row],[HDL (mg/dL)2]]+(Table1[[#This Row],[Triglycerides]]/5),O90)</f>
        <v>228</v>
      </c>
      <c r="V90">
        <v>76</v>
      </c>
      <c r="W90" s="8">
        <f t="shared" si="23"/>
        <v>76</v>
      </c>
      <c r="X90" t="str">
        <f t="shared" si="24"/>
        <v>Normal</v>
      </c>
      <c r="Y90" t="s">
        <v>23</v>
      </c>
      <c r="Z90" t="s">
        <v>23</v>
      </c>
      <c r="AA90" t="s">
        <v>24</v>
      </c>
      <c r="AB90" s="3" t="s">
        <v>121</v>
      </c>
      <c r="AC90">
        <v>130</v>
      </c>
      <c r="AD90" s="3" t="str">
        <f t="shared" si="25"/>
        <v>130</v>
      </c>
      <c r="AE90">
        <v>97</v>
      </c>
      <c r="AF90" s="3" t="str">
        <f t="shared" si="26"/>
        <v>97</v>
      </c>
      <c r="AG90" t="s">
        <v>29</v>
      </c>
      <c r="AH90" s="3">
        <v>16.78</v>
      </c>
      <c r="AI90" s="3">
        <f t="shared" si="27"/>
        <v>16.78</v>
      </c>
      <c r="AJ90" t="s">
        <v>30</v>
      </c>
      <c r="AK90" t="str">
        <f>PROPER(Table1[[#This Row],[CVD Risk Level]])</f>
        <v>High</v>
      </c>
    </row>
    <row r="91" spans="1:37" x14ac:dyDescent="0.3">
      <c r="A91" t="s">
        <v>31</v>
      </c>
      <c r="B91">
        <v>58</v>
      </c>
      <c r="C91" s="8">
        <f t="shared" si="16"/>
        <v>58</v>
      </c>
      <c r="D91" s="5">
        <v>118.3</v>
      </c>
      <c r="E91" s="8">
        <f t="shared" si="17"/>
        <v>118.3</v>
      </c>
      <c r="F91">
        <v>1.66</v>
      </c>
      <c r="G91" s="3">
        <f t="shared" si="18"/>
        <v>1.66</v>
      </c>
      <c r="H91">
        <v>42.9</v>
      </c>
      <c r="I91" s="5">
        <f t="shared" si="14"/>
        <v>42.9</v>
      </c>
      <c r="J91" s="16" t="str">
        <f t="shared" si="19"/>
        <v>Obese</v>
      </c>
      <c r="L91">
        <v>0.622</v>
      </c>
      <c r="M91" s="11">
        <f t="shared" si="15"/>
        <v>0.622</v>
      </c>
      <c r="N91" s="5">
        <f t="shared" si="20"/>
        <v>103.252</v>
      </c>
      <c r="O91">
        <v>149</v>
      </c>
      <c r="P91">
        <v>66</v>
      </c>
      <c r="Q91" s="8">
        <f t="shared" si="21"/>
        <v>66</v>
      </c>
      <c r="R91" s="8">
        <v>53</v>
      </c>
      <c r="S91" s="8">
        <f t="shared" si="22"/>
        <v>53</v>
      </c>
      <c r="T91" s="8">
        <f>(Table1[[#This Row],[Total Cholesterol (mg/dL)]]+Table1[[#This Row],[HDL (mg/dL)2]]+Table1[[#This Row],[Estimated LDL (mg/dL)2]])*5</f>
        <v>1340</v>
      </c>
      <c r="U91" s="8">
        <f>IF(O91="",Table1[[#This Row],[Estimated LDL (mg/dL)2]]+Table1[[#This Row],[HDL (mg/dL)2]]+(Table1[[#This Row],[Triglycerides]]/5),O91)</f>
        <v>149</v>
      </c>
      <c r="V91">
        <v>127</v>
      </c>
      <c r="W91" s="8">
        <f t="shared" si="23"/>
        <v>127</v>
      </c>
      <c r="X91" t="str">
        <f t="shared" si="24"/>
        <v>Diabetes</v>
      </c>
      <c r="Y91" t="s">
        <v>22</v>
      </c>
      <c r="Z91" t="s">
        <v>23</v>
      </c>
      <c r="AA91" t="s">
        <v>37</v>
      </c>
      <c r="AB91" s="3" t="s">
        <v>122</v>
      </c>
      <c r="AC91">
        <v>119</v>
      </c>
      <c r="AD91" s="3" t="str">
        <f t="shared" si="25"/>
        <v>119</v>
      </c>
      <c r="AE91">
        <v>65</v>
      </c>
      <c r="AF91" s="3" t="str">
        <f t="shared" si="26"/>
        <v>65</v>
      </c>
      <c r="AG91" t="s">
        <v>33</v>
      </c>
      <c r="AI91" s="3">
        <f t="shared" si="27"/>
        <v>16.960925291295425</v>
      </c>
      <c r="AJ91" t="s">
        <v>26</v>
      </c>
      <c r="AK91" t="str">
        <f>PROPER(Table1[[#This Row],[CVD Risk Level]])</f>
        <v>Intermediary</v>
      </c>
    </row>
    <row r="92" spans="1:37" x14ac:dyDescent="0.3">
      <c r="A92" t="s">
        <v>20</v>
      </c>
      <c r="B92">
        <v>59</v>
      </c>
      <c r="C92" s="8">
        <f t="shared" si="16"/>
        <v>59</v>
      </c>
      <c r="D92" s="5">
        <v>85.7</v>
      </c>
      <c r="E92" s="8">
        <f t="shared" si="17"/>
        <v>85.7</v>
      </c>
      <c r="F92">
        <v>1.78</v>
      </c>
      <c r="G92" s="3">
        <f t="shared" si="18"/>
        <v>1.78</v>
      </c>
      <c r="H92">
        <v>27</v>
      </c>
      <c r="I92" s="5">
        <f t="shared" si="14"/>
        <v>27</v>
      </c>
      <c r="J92" s="16" t="str">
        <f t="shared" si="19"/>
        <v>Overweight</v>
      </c>
      <c r="K92">
        <v>74.3</v>
      </c>
      <c r="L92">
        <v>0.41699999999999998</v>
      </c>
      <c r="M92" s="11">
        <f t="shared" si="15"/>
        <v>0.41699999999999998</v>
      </c>
      <c r="N92" s="5">
        <f t="shared" si="20"/>
        <v>74.3</v>
      </c>
      <c r="O92">
        <v>268</v>
      </c>
      <c r="P92">
        <v>73</v>
      </c>
      <c r="Q92" s="8">
        <f t="shared" si="21"/>
        <v>73</v>
      </c>
      <c r="R92" s="8">
        <v>165</v>
      </c>
      <c r="S92" s="8">
        <f t="shared" si="22"/>
        <v>165</v>
      </c>
      <c r="T92" s="8">
        <f>(Table1[[#This Row],[Total Cholesterol (mg/dL)]]+Table1[[#This Row],[HDL (mg/dL)2]]+Table1[[#This Row],[Estimated LDL (mg/dL)2]])*5</f>
        <v>2530</v>
      </c>
      <c r="U92" s="8">
        <f>IF(O92="",Table1[[#This Row],[Estimated LDL (mg/dL)2]]+Table1[[#This Row],[HDL (mg/dL)2]]+(Table1[[#This Row],[Triglycerides]]/5),O92)</f>
        <v>268</v>
      </c>
      <c r="V92">
        <v>77</v>
      </c>
      <c r="W92" s="8">
        <f t="shared" si="23"/>
        <v>77</v>
      </c>
      <c r="X92" t="str">
        <f t="shared" si="24"/>
        <v>Normal</v>
      </c>
      <c r="Y92" t="s">
        <v>22</v>
      </c>
      <c r="Z92" t="s">
        <v>22</v>
      </c>
      <c r="AA92" t="s">
        <v>24</v>
      </c>
      <c r="AB92" s="3" t="s">
        <v>123</v>
      </c>
      <c r="AC92">
        <v>120</v>
      </c>
      <c r="AD92" s="3" t="str">
        <f t="shared" si="25"/>
        <v>120</v>
      </c>
      <c r="AE92">
        <v>96</v>
      </c>
      <c r="AF92" s="3" t="str">
        <f t="shared" si="26"/>
        <v>96</v>
      </c>
      <c r="AG92" t="s">
        <v>38</v>
      </c>
      <c r="AH92" s="3">
        <v>16.760000000000002</v>
      </c>
      <c r="AI92" s="3">
        <f t="shared" si="27"/>
        <v>16.760000000000002</v>
      </c>
      <c r="AJ92" t="s">
        <v>30</v>
      </c>
      <c r="AK92" t="str">
        <f>PROPER(Table1[[#This Row],[CVD Risk Level]])</f>
        <v>High</v>
      </c>
    </row>
    <row r="93" spans="1:37" x14ac:dyDescent="0.3">
      <c r="A93" t="s">
        <v>20</v>
      </c>
      <c r="B93">
        <v>60</v>
      </c>
      <c r="C93" s="8">
        <f t="shared" si="16"/>
        <v>60</v>
      </c>
      <c r="D93" s="5">
        <v>110.1</v>
      </c>
      <c r="E93" s="8">
        <f t="shared" si="17"/>
        <v>110.1</v>
      </c>
      <c r="G93" s="3">
        <f t="shared" si="18"/>
        <v>1.7610816138680867</v>
      </c>
      <c r="H93">
        <v>35.5</v>
      </c>
      <c r="I93" s="5">
        <f t="shared" si="14"/>
        <v>35.5</v>
      </c>
      <c r="J93" s="16" t="str">
        <f t="shared" si="19"/>
        <v>Obese</v>
      </c>
      <c r="K93">
        <v>95.6</v>
      </c>
      <c r="L93">
        <v>0.54300000000000004</v>
      </c>
      <c r="M93" s="11">
        <f t="shared" si="15"/>
        <v>0.54300000000000004</v>
      </c>
      <c r="N93" s="5">
        <f t="shared" si="20"/>
        <v>95.6</v>
      </c>
      <c r="O93">
        <v>108</v>
      </c>
      <c r="P93">
        <v>66</v>
      </c>
      <c r="Q93" s="8">
        <f t="shared" si="21"/>
        <v>66</v>
      </c>
      <c r="R93" s="8">
        <v>12</v>
      </c>
      <c r="S93" s="8">
        <f t="shared" si="22"/>
        <v>12</v>
      </c>
      <c r="T93" s="8">
        <f>(Table1[[#This Row],[Total Cholesterol (mg/dL)]]+Table1[[#This Row],[HDL (mg/dL)2]]+Table1[[#This Row],[Estimated LDL (mg/dL)2]])*5</f>
        <v>930</v>
      </c>
      <c r="U93" s="8">
        <f>IF(O93="",Table1[[#This Row],[Estimated LDL (mg/dL)2]]+Table1[[#This Row],[HDL (mg/dL)2]]+(Table1[[#This Row],[Triglycerides]]/5),O93)</f>
        <v>108</v>
      </c>
      <c r="V93">
        <v>78</v>
      </c>
      <c r="W93" s="8">
        <f t="shared" si="23"/>
        <v>78</v>
      </c>
      <c r="X93" t="str">
        <f t="shared" si="24"/>
        <v>Normal</v>
      </c>
      <c r="Y93" t="s">
        <v>22</v>
      </c>
      <c r="Z93" t="s">
        <v>23</v>
      </c>
      <c r="AA93" t="s">
        <v>37</v>
      </c>
      <c r="AB93" s="3" t="s">
        <v>82</v>
      </c>
      <c r="AC93">
        <v>145</v>
      </c>
      <c r="AD93" s="3" t="str">
        <f t="shared" si="25"/>
        <v>145</v>
      </c>
      <c r="AE93">
        <v>84</v>
      </c>
      <c r="AF93" s="3" t="str">
        <f t="shared" si="26"/>
        <v>84</v>
      </c>
      <c r="AG93" t="s">
        <v>29</v>
      </c>
      <c r="AH93" s="3">
        <v>18.510000000000002</v>
      </c>
      <c r="AI93" s="3">
        <f t="shared" si="27"/>
        <v>18.510000000000002</v>
      </c>
      <c r="AJ93" t="s">
        <v>26</v>
      </c>
      <c r="AK93" t="str">
        <f>PROPER(Table1[[#This Row],[CVD Risk Level]])</f>
        <v>Intermediary</v>
      </c>
    </row>
    <row r="94" spans="1:37" x14ac:dyDescent="0.3">
      <c r="A94" t="s">
        <v>20</v>
      </c>
      <c r="B94">
        <v>40</v>
      </c>
      <c r="C94" s="8">
        <f t="shared" si="16"/>
        <v>40</v>
      </c>
      <c r="D94" s="5">
        <v>70.5</v>
      </c>
      <c r="E94" s="8">
        <f t="shared" si="17"/>
        <v>70.5</v>
      </c>
      <c r="F94">
        <v>1.68</v>
      </c>
      <c r="G94" s="3">
        <f t="shared" si="18"/>
        <v>1.68</v>
      </c>
      <c r="H94">
        <v>25</v>
      </c>
      <c r="I94" s="5">
        <f t="shared" si="14"/>
        <v>25</v>
      </c>
      <c r="J94" s="16" t="str">
        <f t="shared" si="19"/>
        <v>Overweight</v>
      </c>
      <c r="L94">
        <v>0.495</v>
      </c>
      <c r="M94" s="11">
        <f t="shared" si="15"/>
        <v>0.495</v>
      </c>
      <c r="N94" s="5">
        <f t="shared" si="20"/>
        <v>83.16</v>
      </c>
      <c r="O94">
        <v>154</v>
      </c>
      <c r="P94">
        <v>47</v>
      </c>
      <c r="Q94" s="8">
        <f t="shared" si="21"/>
        <v>47</v>
      </c>
      <c r="R94" s="8">
        <v>77</v>
      </c>
      <c r="S94" s="8">
        <f t="shared" si="22"/>
        <v>77</v>
      </c>
      <c r="T94" s="8">
        <f>(Table1[[#This Row],[Total Cholesterol (mg/dL)]]+Table1[[#This Row],[HDL (mg/dL)2]]+Table1[[#This Row],[Estimated LDL (mg/dL)2]])*5</f>
        <v>1390</v>
      </c>
      <c r="U94" s="8">
        <f>IF(O94="",Table1[[#This Row],[Estimated LDL (mg/dL)2]]+Table1[[#This Row],[HDL (mg/dL)2]]+(Table1[[#This Row],[Triglycerides]]/5),O94)</f>
        <v>154</v>
      </c>
      <c r="V94">
        <v>119</v>
      </c>
      <c r="W94" s="8">
        <f t="shared" si="23"/>
        <v>119</v>
      </c>
      <c r="X94" t="str">
        <f t="shared" si="24"/>
        <v>Prediabetes</v>
      </c>
      <c r="Y94" t="s">
        <v>23</v>
      </c>
      <c r="Z94" t="s">
        <v>22</v>
      </c>
      <c r="AA94" t="s">
        <v>24</v>
      </c>
      <c r="AB94" s="3" t="s">
        <v>124</v>
      </c>
      <c r="AC94">
        <v>111</v>
      </c>
      <c r="AD94" s="3" t="str">
        <f t="shared" si="25"/>
        <v>111</v>
      </c>
      <c r="AE94">
        <v>93</v>
      </c>
      <c r="AF94" s="3" t="str">
        <f t="shared" si="26"/>
        <v>93</v>
      </c>
      <c r="AG94" t="s">
        <v>38</v>
      </c>
      <c r="AH94" s="3">
        <v>13.63</v>
      </c>
      <c r="AI94" s="3">
        <f t="shared" si="27"/>
        <v>13.63</v>
      </c>
      <c r="AJ94" t="s">
        <v>26</v>
      </c>
      <c r="AK94" t="str">
        <f>PROPER(Table1[[#This Row],[CVD Risk Level]])</f>
        <v>Intermediary</v>
      </c>
    </row>
    <row r="95" spans="1:37" x14ac:dyDescent="0.3">
      <c r="A95" t="s">
        <v>20</v>
      </c>
      <c r="B95">
        <v>48</v>
      </c>
      <c r="C95" s="8">
        <f t="shared" si="16"/>
        <v>48</v>
      </c>
      <c r="D95" s="5">
        <v>109.3</v>
      </c>
      <c r="E95" s="8">
        <f t="shared" si="17"/>
        <v>109.3</v>
      </c>
      <c r="F95">
        <v>1.81</v>
      </c>
      <c r="G95" s="3">
        <f t="shared" si="18"/>
        <v>1.81</v>
      </c>
      <c r="H95">
        <v>33.4</v>
      </c>
      <c r="I95" s="5">
        <f t="shared" si="14"/>
        <v>33.4</v>
      </c>
      <c r="J95" s="16" t="str">
        <f t="shared" si="19"/>
        <v>Obese</v>
      </c>
      <c r="K95">
        <v>83.2</v>
      </c>
      <c r="L95">
        <v>0.46</v>
      </c>
      <c r="M95" s="11">
        <f t="shared" si="15"/>
        <v>0.46</v>
      </c>
      <c r="N95" s="5">
        <f t="shared" si="20"/>
        <v>83.2</v>
      </c>
      <c r="O95">
        <v>135</v>
      </c>
      <c r="P95">
        <v>65</v>
      </c>
      <c r="Q95" s="8">
        <f t="shared" si="21"/>
        <v>65</v>
      </c>
      <c r="R95" s="8">
        <v>40</v>
      </c>
      <c r="S95" s="8">
        <f t="shared" si="22"/>
        <v>40</v>
      </c>
      <c r="T95" s="8">
        <f>(Table1[[#This Row],[Total Cholesterol (mg/dL)]]+Table1[[#This Row],[HDL (mg/dL)2]]+Table1[[#This Row],[Estimated LDL (mg/dL)2]])*5</f>
        <v>1200</v>
      </c>
      <c r="U95" s="8">
        <f>IF(O95="",Table1[[#This Row],[Estimated LDL (mg/dL)2]]+Table1[[#This Row],[HDL (mg/dL)2]]+(Table1[[#This Row],[Triglycerides]]/5),O95)</f>
        <v>135</v>
      </c>
      <c r="V95">
        <v>119</v>
      </c>
      <c r="W95" s="8">
        <f t="shared" si="23"/>
        <v>119</v>
      </c>
      <c r="X95" t="str">
        <f t="shared" si="24"/>
        <v>Prediabetes</v>
      </c>
      <c r="Y95" t="s">
        <v>23</v>
      </c>
      <c r="Z95" t="s">
        <v>23</v>
      </c>
      <c r="AA95" t="s">
        <v>28</v>
      </c>
      <c r="AB95" s="3" t="s">
        <v>125</v>
      </c>
      <c r="AC95">
        <v>105</v>
      </c>
      <c r="AD95" s="3" t="str">
        <f t="shared" si="25"/>
        <v>105</v>
      </c>
      <c r="AE95">
        <v>100</v>
      </c>
      <c r="AF95" s="3" t="str">
        <f t="shared" si="26"/>
        <v>100</v>
      </c>
      <c r="AG95" t="s">
        <v>38</v>
      </c>
      <c r="AH95" s="3">
        <v>16.63</v>
      </c>
      <c r="AI95" s="3">
        <f t="shared" si="27"/>
        <v>16.63</v>
      </c>
      <c r="AJ95" t="s">
        <v>30</v>
      </c>
      <c r="AK95" t="str">
        <f>PROPER(Table1[[#This Row],[CVD Risk Level]])</f>
        <v>High</v>
      </c>
    </row>
    <row r="96" spans="1:37" x14ac:dyDescent="0.3">
      <c r="A96" t="s">
        <v>20</v>
      </c>
      <c r="B96">
        <v>40</v>
      </c>
      <c r="C96" s="8">
        <f t="shared" si="16"/>
        <v>40</v>
      </c>
      <c r="D96" s="5">
        <v>84.6</v>
      </c>
      <c r="E96" s="8">
        <f t="shared" si="17"/>
        <v>84.6</v>
      </c>
      <c r="F96">
        <v>1.81</v>
      </c>
      <c r="G96" s="3">
        <f t="shared" si="18"/>
        <v>1.81</v>
      </c>
      <c r="H96">
        <v>25.8</v>
      </c>
      <c r="I96" s="5">
        <f t="shared" si="14"/>
        <v>25.8</v>
      </c>
      <c r="J96" s="16" t="str">
        <f t="shared" si="19"/>
        <v>Overweight</v>
      </c>
      <c r="K96">
        <v>74.5</v>
      </c>
      <c r="L96">
        <v>0.41199999999999998</v>
      </c>
      <c r="M96" s="11">
        <f t="shared" si="15"/>
        <v>0.41199999999999998</v>
      </c>
      <c r="N96" s="5">
        <f t="shared" si="20"/>
        <v>74.5</v>
      </c>
      <c r="O96">
        <v>220</v>
      </c>
      <c r="P96">
        <v>47</v>
      </c>
      <c r="Q96" s="8">
        <f t="shared" si="21"/>
        <v>47</v>
      </c>
      <c r="R96" s="8">
        <v>143</v>
      </c>
      <c r="S96" s="8">
        <f t="shared" si="22"/>
        <v>143</v>
      </c>
      <c r="T96" s="8">
        <f>(Table1[[#This Row],[Total Cholesterol (mg/dL)]]+Table1[[#This Row],[HDL (mg/dL)2]]+Table1[[#This Row],[Estimated LDL (mg/dL)2]])*5</f>
        <v>2050</v>
      </c>
      <c r="U96" s="8">
        <f>IF(O96="",Table1[[#This Row],[Estimated LDL (mg/dL)2]]+Table1[[#This Row],[HDL (mg/dL)2]]+(Table1[[#This Row],[Triglycerides]]/5),O96)</f>
        <v>220</v>
      </c>
      <c r="V96">
        <v>77</v>
      </c>
      <c r="W96" s="8">
        <f t="shared" si="23"/>
        <v>77</v>
      </c>
      <c r="X96" t="str">
        <f t="shared" si="24"/>
        <v>Normal</v>
      </c>
      <c r="Y96" t="s">
        <v>22</v>
      </c>
      <c r="Z96" t="s">
        <v>22</v>
      </c>
      <c r="AA96" t="s">
        <v>28</v>
      </c>
      <c r="AB96" s="3" t="s">
        <v>126</v>
      </c>
      <c r="AC96">
        <v>100</v>
      </c>
      <c r="AD96" s="3" t="str">
        <f t="shared" si="25"/>
        <v>100</v>
      </c>
      <c r="AE96">
        <v>91</v>
      </c>
      <c r="AF96" s="3" t="str">
        <f t="shared" si="26"/>
        <v>91</v>
      </c>
      <c r="AG96" t="s">
        <v>38</v>
      </c>
      <c r="AH96" s="3">
        <v>14.56</v>
      </c>
      <c r="AI96" s="3">
        <f t="shared" si="27"/>
        <v>14.56</v>
      </c>
      <c r="AJ96" t="s">
        <v>26</v>
      </c>
      <c r="AK96" t="str">
        <f>PROPER(Table1[[#This Row],[CVD Risk Level]])</f>
        <v>Intermediary</v>
      </c>
    </row>
    <row r="97" spans="1:37" x14ac:dyDescent="0.3">
      <c r="A97" t="s">
        <v>31</v>
      </c>
      <c r="B97">
        <v>48</v>
      </c>
      <c r="C97" s="8">
        <f t="shared" si="16"/>
        <v>48</v>
      </c>
      <c r="D97" s="5">
        <v>111</v>
      </c>
      <c r="E97" s="8">
        <f t="shared" si="17"/>
        <v>111</v>
      </c>
      <c r="F97">
        <v>1.69</v>
      </c>
      <c r="G97" s="3">
        <f t="shared" si="18"/>
        <v>1.69</v>
      </c>
      <c r="H97">
        <v>38.9</v>
      </c>
      <c r="I97" s="5">
        <f t="shared" si="14"/>
        <v>38.9</v>
      </c>
      <c r="J97" s="16" t="str">
        <f t="shared" si="19"/>
        <v>Obese</v>
      </c>
      <c r="K97">
        <v>94.8</v>
      </c>
      <c r="L97">
        <v>0.56100000000000005</v>
      </c>
      <c r="M97" s="11">
        <f t="shared" si="15"/>
        <v>0.56100000000000005</v>
      </c>
      <c r="N97" s="5">
        <f t="shared" si="20"/>
        <v>94.8</v>
      </c>
      <c r="P97">
        <v>48</v>
      </c>
      <c r="Q97" s="8">
        <f t="shared" si="21"/>
        <v>48</v>
      </c>
      <c r="R97" s="8">
        <v>178</v>
      </c>
      <c r="S97" s="8">
        <f t="shared" si="22"/>
        <v>178</v>
      </c>
      <c r="T97" s="8">
        <f>(Table1[[#This Row],[Total Cholesterol (mg/dL)]]+Table1[[#This Row],[HDL (mg/dL)2]]+Table1[[#This Row],[Estimated LDL (mg/dL)2]])*5</f>
        <v>1130</v>
      </c>
      <c r="U97" s="8">
        <f>IF(O97="",Table1[[#This Row],[Estimated LDL (mg/dL)2]]+Table1[[#This Row],[HDL (mg/dL)2]]+(Table1[[#This Row],[Triglycerides]]/5),O97)</f>
        <v>452</v>
      </c>
      <c r="V97">
        <v>119</v>
      </c>
      <c r="W97" s="8">
        <f t="shared" si="23"/>
        <v>119</v>
      </c>
      <c r="X97" t="str">
        <f t="shared" si="24"/>
        <v>Prediabetes</v>
      </c>
      <c r="Y97" t="s">
        <v>23</v>
      </c>
      <c r="Z97" t="s">
        <v>22</v>
      </c>
      <c r="AA97" t="s">
        <v>37</v>
      </c>
      <c r="AB97" s="3" t="s">
        <v>127</v>
      </c>
      <c r="AC97">
        <v>98</v>
      </c>
      <c r="AD97" s="3" t="str">
        <f t="shared" si="25"/>
        <v>98</v>
      </c>
      <c r="AE97">
        <v>64</v>
      </c>
      <c r="AF97" s="3" t="str">
        <f t="shared" si="26"/>
        <v>64</v>
      </c>
      <c r="AG97" t="s">
        <v>33</v>
      </c>
      <c r="AH97" s="3">
        <v>17.8</v>
      </c>
      <c r="AI97" s="3">
        <f t="shared" si="27"/>
        <v>17.8</v>
      </c>
      <c r="AJ97" t="s">
        <v>30</v>
      </c>
      <c r="AK97" t="str">
        <f>PROPER(Table1[[#This Row],[CVD Risk Level]])</f>
        <v>High</v>
      </c>
    </row>
    <row r="98" spans="1:37" x14ac:dyDescent="0.3">
      <c r="A98" t="s">
        <v>31</v>
      </c>
      <c r="B98">
        <v>37</v>
      </c>
      <c r="C98" s="8">
        <f t="shared" si="16"/>
        <v>37</v>
      </c>
      <c r="D98" s="5">
        <v>78.8</v>
      </c>
      <c r="E98" s="8">
        <f t="shared" si="17"/>
        <v>78.8</v>
      </c>
      <c r="F98">
        <v>1.81</v>
      </c>
      <c r="G98" s="3">
        <f t="shared" si="18"/>
        <v>1.81</v>
      </c>
      <c r="H98">
        <v>24.1</v>
      </c>
      <c r="I98" s="5">
        <f t="shared" si="14"/>
        <v>24.1</v>
      </c>
      <c r="J98" s="16" t="str">
        <f t="shared" si="19"/>
        <v>Normal</v>
      </c>
      <c r="K98">
        <v>101.8</v>
      </c>
      <c r="L98">
        <v>0.56200000000000006</v>
      </c>
      <c r="M98" s="11">
        <f t="shared" si="15"/>
        <v>0.56200000000000006</v>
      </c>
      <c r="N98" s="5">
        <f t="shared" si="20"/>
        <v>101.8</v>
      </c>
      <c r="O98">
        <v>194</v>
      </c>
      <c r="P98">
        <v>73</v>
      </c>
      <c r="Q98" s="8">
        <f t="shared" si="21"/>
        <v>73</v>
      </c>
      <c r="R98" s="8">
        <v>91</v>
      </c>
      <c r="S98" s="8">
        <f t="shared" si="22"/>
        <v>91</v>
      </c>
      <c r="T98" s="8">
        <f>(Table1[[#This Row],[Total Cholesterol (mg/dL)]]+Table1[[#This Row],[HDL (mg/dL)2]]+Table1[[#This Row],[Estimated LDL (mg/dL)2]])*5</f>
        <v>1790</v>
      </c>
      <c r="U98" s="8">
        <f>IF(O98="",Table1[[#This Row],[Estimated LDL (mg/dL)2]]+Table1[[#This Row],[HDL (mg/dL)2]]+(Table1[[#This Row],[Triglycerides]]/5),O98)</f>
        <v>194</v>
      </c>
      <c r="V98">
        <v>90</v>
      </c>
      <c r="W98" s="8">
        <f t="shared" si="23"/>
        <v>90</v>
      </c>
      <c r="X98" t="str">
        <f t="shared" si="24"/>
        <v>Normal</v>
      </c>
      <c r="Y98" t="s">
        <v>22</v>
      </c>
      <c r="Z98" t="s">
        <v>22</v>
      </c>
      <c r="AA98" t="s">
        <v>24</v>
      </c>
      <c r="AB98" s="3" t="s">
        <v>128</v>
      </c>
      <c r="AC98">
        <v>135</v>
      </c>
      <c r="AD98" s="3" t="str">
        <f t="shared" si="25"/>
        <v>135</v>
      </c>
      <c r="AE98">
        <v>80</v>
      </c>
      <c r="AF98" s="3" t="str">
        <f t="shared" si="26"/>
        <v>80</v>
      </c>
      <c r="AG98" t="s">
        <v>29</v>
      </c>
      <c r="AH98" s="3">
        <v>15.45</v>
      </c>
      <c r="AI98" s="3">
        <f t="shared" si="27"/>
        <v>15.45</v>
      </c>
      <c r="AJ98" t="s">
        <v>26</v>
      </c>
      <c r="AK98" t="str">
        <f>PROPER(Table1[[#This Row],[CVD Risk Level]])</f>
        <v>Intermediary</v>
      </c>
    </row>
    <row r="99" spans="1:37" x14ac:dyDescent="0.3">
      <c r="A99" t="s">
        <v>20</v>
      </c>
      <c r="B99">
        <v>40</v>
      </c>
      <c r="C99" s="8">
        <f t="shared" si="16"/>
        <v>40</v>
      </c>
      <c r="D99" s="5">
        <v>116.9</v>
      </c>
      <c r="E99" s="8">
        <f t="shared" si="17"/>
        <v>116.9</v>
      </c>
      <c r="F99">
        <v>1.66</v>
      </c>
      <c r="G99" s="3">
        <f t="shared" si="18"/>
        <v>1.66</v>
      </c>
      <c r="H99">
        <v>42.4</v>
      </c>
      <c r="I99" s="5">
        <f t="shared" si="14"/>
        <v>42.4</v>
      </c>
      <c r="J99" s="16" t="str">
        <f t="shared" si="19"/>
        <v>Obese</v>
      </c>
      <c r="K99">
        <v>78.099999999999994</v>
      </c>
      <c r="L99">
        <v>0.47</v>
      </c>
      <c r="M99" s="11">
        <f t="shared" si="15"/>
        <v>0.47</v>
      </c>
      <c r="N99" s="5">
        <f t="shared" si="20"/>
        <v>78.099999999999994</v>
      </c>
      <c r="O99">
        <v>211</v>
      </c>
      <c r="P99">
        <v>75</v>
      </c>
      <c r="Q99" s="8">
        <f t="shared" si="21"/>
        <v>75</v>
      </c>
      <c r="R99" s="8">
        <v>106</v>
      </c>
      <c r="S99" s="8">
        <f t="shared" si="22"/>
        <v>106</v>
      </c>
      <c r="T99" s="8">
        <f>(Table1[[#This Row],[Total Cholesterol (mg/dL)]]+Table1[[#This Row],[HDL (mg/dL)2]]+Table1[[#This Row],[Estimated LDL (mg/dL)2]])*5</f>
        <v>1960</v>
      </c>
      <c r="U99" s="8">
        <f>IF(O99="",Table1[[#This Row],[Estimated LDL (mg/dL)2]]+Table1[[#This Row],[HDL (mg/dL)2]]+(Table1[[#This Row],[Triglycerides]]/5),O99)</f>
        <v>211</v>
      </c>
      <c r="V99">
        <v>117</v>
      </c>
      <c r="W99" s="8">
        <f t="shared" si="23"/>
        <v>117</v>
      </c>
      <c r="X99" t="str">
        <f t="shared" si="24"/>
        <v>Prediabetes</v>
      </c>
      <c r="Y99" t="s">
        <v>23</v>
      </c>
      <c r="Z99" t="s">
        <v>22</v>
      </c>
      <c r="AA99" t="s">
        <v>28</v>
      </c>
      <c r="AB99" s="3" t="s">
        <v>129</v>
      </c>
      <c r="AC99">
        <v>124</v>
      </c>
      <c r="AD99" s="3" t="str">
        <f t="shared" si="25"/>
        <v>124</v>
      </c>
      <c r="AE99">
        <v>72</v>
      </c>
      <c r="AF99" s="3" t="str">
        <f t="shared" si="26"/>
        <v>72</v>
      </c>
      <c r="AG99" t="s">
        <v>25</v>
      </c>
      <c r="AH99" s="3">
        <v>18.899999999999999</v>
      </c>
      <c r="AI99" s="3">
        <f t="shared" si="27"/>
        <v>18.899999999999999</v>
      </c>
      <c r="AJ99" t="s">
        <v>30</v>
      </c>
      <c r="AK99" t="str">
        <f>PROPER(Table1[[#This Row],[CVD Risk Level]])</f>
        <v>High</v>
      </c>
    </row>
    <row r="100" spans="1:37" x14ac:dyDescent="0.3">
      <c r="A100" t="s">
        <v>20</v>
      </c>
      <c r="B100">
        <v>32</v>
      </c>
      <c r="C100" s="8">
        <f t="shared" si="16"/>
        <v>32</v>
      </c>
      <c r="D100" s="5">
        <v>98.3</v>
      </c>
      <c r="E100" s="8">
        <f t="shared" si="17"/>
        <v>98.3</v>
      </c>
      <c r="F100">
        <v>1.78</v>
      </c>
      <c r="G100" s="3">
        <f t="shared" si="18"/>
        <v>1.78</v>
      </c>
      <c r="H100">
        <v>31</v>
      </c>
      <c r="I100" s="5">
        <f t="shared" si="14"/>
        <v>31</v>
      </c>
      <c r="J100" s="16" t="str">
        <f t="shared" si="19"/>
        <v>Obese</v>
      </c>
      <c r="K100">
        <v>93</v>
      </c>
      <c r="L100">
        <v>0.52200000000000002</v>
      </c>
      <c r="M100" s="11">
        <f t="shared" si="15"/>
        <v>0.52200000000000002</v>
      </c>
      <c r="N100" s="5">
        <f t="shared" si="20"/>
        <v>93</v>
      </c>
      <c r="O100">
        <v>261</v>
      </c>
      <c r="P100">
        <v>42</v>
      </c>
      <c r="Q100" s="8">
        <f t="shared" si="21"/>
        <v>42</v>
      </c>
      <c r="R100" s="8">
        <v>189</v>
      </c>
      <c r="S100" s="8">
        <f t="shared" si="22"/>
        <v>189</v>
      </c>
      <c r="T100" s="8">
        <f>(Table1[[#This Row],[Total Cholesterol (mg/dL)]]+Table1[[#This Row],[HDL (mg/dL)2]]+Table1[[#This Row],[Estimated LDL (mg/dL)2]])*5</f>
        <v>2460</v>
      </c>
      <c r="U100" s="8">
        <f>IF(O100="",Table1[[#This Row],[Estimated LDL (mg/dL)2]]+Table1[[#This Row],[HDL (mg/dL)2]]+(Table1[[#This Row],[Triglycerides]]/5),O100)</f>
        <v>261</v>
      </c>
      <c r="V100">
        <v>94</v>
      </c>
      <c r="W100" s="8">
        <f t="shared" si="23"/>
        <v>94</v>
      </c>
      <c r="X100" t="str">
        <f t="shared" si="24"/>
        <v>Normal</v>
      </c>
      <c r="Y100" t="s">
        <v>23</v>
      </c>
      <c r="Z100" t="s">
        <v>23</v>
      </c>
      <c r="AA100" t="s">
        <v>28</v>
      </c>
      <c r="AB100" s="3" t="s">
        <v>130</v>
      </c>
      <c r="AC100">
        <v>127</v>
      </c>
      <c r="AD100" s="3" t="str">
        <f t="shared" si="25"/>
        <v>127</v>
      </c>
      <c r="AE100">
        <v>98</v>
      </c>
      <c r="AF100" s="3" t="str">
        <f t="shared" si="26"/>
        <v>98</v>
      </c>
      <c r="AG100" t="s">
        <v>38</v>
      </c>
      <c r="AH100" s="3">
        <v>19.77</v>
      </c>
      <c r="AI100" s="3">
        <f t="shared" si="27"/>
        <v>19.77</v>
      </c>
      <c r="AJ100" t="s">
        <v>30</v>
      </c>
      <c r="AK100" t="str">
        <f>PROPER(Table1[[#This Row],[CVD Risk Level]])</f>
        <v>High</v>
      </c>
    </row>
    <row r="101" spans="1:37" x14ac:dyDescent="0.3">
      <c r="A101" t="s">
        <v>31</v>
      </c>
      <c r="B101">
        <v>56</v>
      </c>
      <c r="C101" s="8">
        <f t="shared" si="16"/>
        <v>56</v>
      </c>
      <c r="D101" s="5">
        <v>84.1</v>
      </c>
      <c r="E101" s="8">
        <f t="shared" si="17"/>
        <v>84.1</v>
      </c>
      <c r="F101">
        <v>1.86</v>
      </c>
      <c r="G101" s="3">
        <f t="shared" si="18"/>
        <v>1.86</v>
      </c>
      <c r="I101" s="5">
        <f t="shared" si="14"/>
        <v>24.309168690021963</v>
      </c>
      <c r="J101" s="16" t="str">
        <f t="shared" si="19"/>
        <v>Normal</v>
      </c>
      <c r="K101">
        <v>74.599999999999994</v>
      </c>
      <c r="M101" s="11">
        <f t="shared" si="15"/>
        <v>0.40107526881720429</v>
      </c>
      <c r="N101" s="5">
        <f t="shared" si="20"/>
        <v>74.599999999999994</v>
      </c>
      <c r="O101">
        <v>249</v>
      </c>
      <c r="P101">
        <v>62</v>
      </c>
      <c r="Q101" s="8">
        <f t="shared" si="21"/>
        <v>62</v>
      </c>
      <c r="R101" s="8">
        <v>157</v>
      </c>
      <c r="S101" s="8">
        <f t="shared" si="22"/>
        <v>157</v>
      </c>
      <c r="T101" s="8">
        <f>(Table1[[#This Row],[Total Cholesterol (mg/dL)]]+Table1[[#This Row],[HDL (mg/dL)2]]+Table1[[#This Row],[Estimated LDL (mg/dL)2]])*5</f>
        <v>2340</v>
      </c>
      <c r="U101" s="8">
        <f>IF(O101="",Table1[[#This Row],[Estimated LDL (mg/dL)2]]+Table1[[#This Row],[HDL (mg/dL)2]]+(Table1[[#This Row],[Triglycerides]]/5),O101)</f>
        <v>249</v>
      </c>
      <c r="V101">
        <v>118</v>
      </c>
      <c r="W101" s="8">
        <f t="shared" si="23"/>
        <v>118</v>
      </c>
      <c r="X101" t="str">
        <f t="shared" si="24"/>
        <v>Prediabetes</v>
      </c>
      <c r="Y101" t="s">
        <v>22</v>
      </c>
      <c r="Z101" t="s">
        <v>22</v>
      </c>
      <c r="AA101" t="s">
        <v>37</v>
      </c>
      <c r="AB101" s="3" t="s">
        <v>131</v>
      </c>
      <c r="AC101">
        <v>90</v>
      </c>
      <c r="AD101" s="3" t="str">
        <f t="shared" si="25"/>
        <v>90</v>
      </c>
      <c r="AE101">
        <v>78</v>
      </c>
      <c r="AF101" s="3" t="str">
        <f t="shared" si="26"/>
        <v>78</v>
      </c>
      <c r="AG101" t="s">
        <v>33</v>
      </c>
      <c r="AH101" s="3">
        <v>14.34</v>
      </c>
      <c r="AI101" s="3">
        <f t="shared" si="27"/>
        <v>14.34</v>
      </c>
      <c r="AJ101" t="s">
        <v>26</v>
      </c>
      <c r="AK101" t="str">
        <f>PROPER(Table1[[#This Row],[CVD Risk Level]])</f>
        <v>Intermediary</v>
      </c>
    </row>
    <row r="102" spans="1:37" x14ac:dyDescent="0.3">
      <c r="A102" t="s">
        <v>31</v>
      </c>
      <c r="B102">
        <v>57</v>
      </c>
      <c r="C102" s="8">
        <f t="shared" si="16"/>
        <v>57</v>
      </c>
      <c r="D102" s="5">
        <v>99.1</v>
      </c>
      <c r="E102" s="8">
        <f t="shared" si="17"/>
        <v>99.1</v>
      </c>
      <c r="F102">
        <v>1.6</v>
      </c>
      <c r="G102" s="3">
        <f t="shared" si="18"/>
        <v>1.6</v>
      </c>
      <c r="H102">
        <v>38.700000000000003</v>
      </c>
      <c r="I102" s="5">
        <f t="shared" si="14"/>
        <v>38.700000000000003</v>
      </c>
      <c r="J102" s="16" t="str">
        <f t="shared" si="19"/>
        <v>Obese</v>
      </c>
      <c r="L102">
        <v>0.66500000000000004</v>
      </c>
      <c r="M102" s="11">
        <f t="shared" si="15"/>
        <v>0.66500000000000004</v>
      </c>
      <c r="N102" s="5">
        <f t="shared" si="20"/>
        <v>106.4</v>
      </c>
      <c r="O102">
        <v>237</v>
      </c>
      <c r="P102">
        <v>58</v>
      </c>
      <c r="Q102" s="8">
        <f t="shared" si="21"/>
        <v>58</v>
      </c>
      <c r="R102" s="8">
        <v>149</v>
      </c>
      <c r="S102" s="8">
        <f t="shared" si="22"/>
        <v>149</v>
      </c>
      <c r="T102" s="8">
        <f>(Table1[[#This Row],[Total Cholesterol (mg/dL)]]+Table1[[#This Row],[HDL (mg/dL)2]]+Table1[[#This Row],[Estimated LDL (mg/dL)2]])*5</f>
        <v>2220</v>
      </c>
      <c r="U102" s="8">
        <f>IF(O102="",Table1[[#This Row],[Estimated LDL (mg/dL)2]]+Table1[[#This Row],[HDL (mg/dL)2]]+(Table1[[#This Row],[Triglycerides]]/5),O102)</f>
        <v>237</v>
      </c>
      <c r="V102">
        <v>132</v>
      </c>
      <c r="W102" s="8">
        <f t="shared" si="23"/>
        <v>132</v>
      </c>
      <c r="X102" t="str">
        <f t="shared" si="24"/>
        <v>Diabetes</v>
      </c>
      <c r="Y102" t="s">
        <v>22</v>
      </c>
      <c r="Z102" t="s">
        <v>23</v>
      </c>
      <c r="AA102" t="s">
        <v>28</v>
      </c>
      <c r="AB102" s="3" t="s">
        <v>132</v>
      </c>
      <c r="AC102">
        <v>103</v>
      </c>
      <c r="AD102" s="3" t="str">
        <f t="shared" si="25"/>
        <v>103</v>
      </c>
      <c r="AE102">
        <v>96</v>
      </c>
      <c r="AF102" s="3" t="str">
        <f t="shared" si="26"/>
        <v>96</v>
      </c>
      <c r="AG102" t="s">
        <v>38</v>
      </c>
      <c r="AH102" s="3">
        <v>19.63</v>
      </c>
      <c r="AI102" s="3">
        <f t="shared" si="27"/>
        <v>19.63</v>
      </c>
      <c r="AJ102" t="s">
        <v>30</v>
      </c>
      <c r="AK102" t="str">
        <f>PROPER(Table1[[#This Row],[CVD Risk Level]])</f>
        <v>High</v>
      </c>
    </row>
    <row r="103" spans="1:37" x14ac:dyDescent="0.3">
      <c r="A103" t="s">
        <v>20</v>
      </c>
      <c r="B103">
        <v>51</v>
      </c>
      <c r="C103" s="8">
        <f t="shared" si="16"/>
        <v>51</v>
      </c>
      <c r="D103" s="5">
        <v>63.5</v>
      </c>
      <c r="E103" s="8">
        <f t="shared" si="17"/>
        <v>63.5</v>
      </c>
      <c r="F103">
        <v>1.8</v>
      </c>
      <c r="G103" s="3">
        <f t="shared" si="18"/>
        <v>1.8</v>
      </c>
      <c r="H103">
        <v>19.600000000000001</v>
      </c>
      <c r="I103" s="5">
        <f t="shared" si="14"/>
        <v>19.600000000000001</v>
      </c>
      <c r="J103" s="16" t="str">
        <f t="shared" si="19"/>
        <v>Normal</v>
      </c>
      <c r="K103">
        <v>75.099999999999994</v>
      </c>
      <c r="L103">
        <v>0.41699999999999998</v>
      </c>
      <c r="M103" s="11">
        <f t="shared" si="15"/>
        <v>0.41699999999999998</v>
      </c>
      <c r="N103" s="5">
        <f t="shared" si="20"/>
        <v>75.099999999999994</v>
      </c>
      <c r="O103">
        <v>154</v>
      </c>
      <c r="P103">
        <v>54</v>
      </c>
      <c r="Q103" s="8">
        <f t="shared" si="21"/>
        <v>54</v>
      </c>
      <c r="R103" s="8">
        <v>70</v>
      </c>
      <c r="S103" s="8">
        <f t="shared" si="22"/>
        <v>70</v>
      </c>
      <c r="T103" s="8">
        <f>(Table1[[#This Row],[Total Cholesterol (mg/dL)]]+Table1[[#This Row],[HDL (mg/dL)2]]+Table1[[#This Row],[Estimated LDL (mg/dL)2]])*5</f>
        <v>1390</v>
      </c>
      <c r="U103" s="8">
        <f>IF(O103="",Table1[[#This Row],[Estimated LDL (mg/dL)2]]+Table1[[#This Row],[HDL (mg/dL)2]]+(Table1[[#This Row],[Triglycerides]]/5),O103)</f>
        <v>154</v>
      </c>
      <c r="V103">
        <v>102</v>
      </c>
      <c r="W103" s="8">
        <f t="shared" si="23"/>
        <v>102</v>
      </c>
      <c r="X103" t="str">
        <f t="shared" si="24"/>
        <v>Prediabetes</v>
      </c>
      <c r="Y103" t="s">
        <v>22</v>
      </c>
      <c r="Z103" t="s">
        <v>23</v>
      </c>
      <c r="AA103" t="s">
        <v>28</v>
      </c>
      <c r="AB103" s="3" t="s">
        <v>133</v>
      </c>
      <c r="AC103">
        <v>103</v>
      </c>
      <c r="AD103" s="3" t="str">
        <f t="shared" si="25"/>
        <v>103</v>
      </c>
      <c r="AE103">
        <v>81</v>
      </c>
      <c r="AF103" s="3" t="str">
        <f t="shared" si="26"/>
        <v>81</v>
      </c>
      <c r="AG103" t="s">
        <v>29</v>
      </c>
      <c r="AH103" s="3">
        <v>14.15</v>
      </c>
      <c r="AI103" s="3">
        <f t="shared" si="27"/>
        <v>14.15</v>
      </c>
      <c r="AJ103" t="s">
        <v>26</v>
      </c>
      <c r="AK103" t="str">
        <f>PROPER(Table1[[#This Row],[CVD Risk Level]])</f>
        <v>Intermediary</v>
      </c>
    </row>
    <row r="104" spans="1:37" x14ac:dyDescent="0.3">
      <c r="A104" t="s">
        <v>31</v>
      </c>
      <c r="B104">
        <v>48</v>
      </c>
      <c r="C104" s="8">
        <f t="shared" si="16"/>
        <v>48</v>
      </c>
      <c r="D104" s="5">
        <v>113.6</v>
      </c>
      <c r="E104" s="8">
        <f t="shared" si="17"/>
        <v>113.6</v>
      </c>
      <c r="F104">
        <v>1.79</v>
      </c>
      <c r="G104" s="3">
        <f t="shared" si="18"/>
        <v>1.79</v>
      </c>
      <c r="H104">
        <v>35.5</v>
      </c>
      <c r="I104" s="5">
        <f t="shared" si="14"/>
        <v>35.5</v>
      </c>
      <c r="J104" s="16" t="str">
        <f t="shared" si="19"/>
        <v>Obese</v>
      </c>
      <c r="L104">
        <v>0.55800000000000005</v>
      </c>
      <c r="M104" s="11">
        <f t="shared" si="15"/>
        <v>0.55800000000000005</v>
      </c>
      <c r="N104" s="5">
        <f t="shared" si="20"/>
        <v>99.882000000000005</v>
      </c>
      <c r="O104">
        <v>286</v>
      </c>
      <c r="P104">
        <v>56</v>
      </c>
      <c r="Q104" s="8">
        <f t="shared" si="21"/>
        <v>56</v>
      </c>
      <c r="R104" s="8">
        <v>200</v>
      </c>
      <c r="S104" s="8">
        <f t="shared" si="22"/>
        <v>200</v>
      </c>
      <c r="T104" s="8">
        <f>(Table1[[#This Row],[Total Cholesterol (mg/dL)]]+Table1[[#This Row],[HDL (mg/dL)2]]+Table1[[#This Row],[Estimated LDL (mg/dL)2]])*5</f>
        <v>2710</v>
      </c>
      <c r="U104" s="8">
        <f>IF(O104="",Table1[[#This Row],[Estimated LDL (mg/dL)2]]+Table1[[#This Row],[HDL (mg/dL)2]]+(Table1[[#This Row],[Triglycerides]]/5),O104)</f>
        <v>286</v>
      </c>
      <c r="V104">
        <v>133</v>
      </c>
      <c r="W104" s="8">
        <f t="shared" si="23"/>
        <v>133</v>
      </c>
      <c r="X104" t="str">
        <f t="shared" si="24"/>
        <v>Diabetes</v>
      </c>
      <c r="Y104" t="s">
        <v>23</v>
      </c>
      <c r="Z104" t="s">
        <v>22</v>
      </c>
      <c r="AA104" t="s">
        <v>37</v>
      </c>
      <c r="AB104" s="3" t="s">
        <v>134</v>
      </c>
      <c r="AC104">
        <v>111</v>
      </c>
      <c r="AD104" s="3" t="str">
        <f t="shared" si="25"/>
        <v>111</v>
      </c>
      <c r="AE104">
        <v>98</v>
      </c>
      <c r="AF104" s="3" t="str">
        <f t="shared" si="26"/>
        <v>98</v>
      </c>
      <c r="AG104" t="s">
        <v>38</v>
      </c>
      <c r="AH104" s="3">
        <v>18.37</v>
      </c>
      <c r="AI104" s="3">
        <f t="shared" si="27"/>
        <v>18.37</v>
      </c>
      <c r="AJ104" t="s">
        <v>30</v>
      </c>
      <c r="AK104" t="str">
        <f>PROPER(Table1[[#This Row],[CVD Risk Level]])</f>
        <v>High</v>
      </c>
    </row>
    <row r="105" spans="1:37" x14ac:dyDescent="0.3">
      <c r="A105" t="s">
        <v>20</v>
      </c>
      <c r="B105">
        <v>53</v>
      </c>
      <c r="C105" s="8">
        <f t="shared" si="16"/>
        <v>53</v>
      </c>
      <c r="D105" s="5">
        <v>70.3</v>
      </c>
      <c r="E105" s="8">
        <f t="shared" si="17"/>
        <v>70.3</v>
      </c>
      <c r="F105">
        <v>1.67</v>
      </c>
      <c r="G105" s="3">
        <f t="shared" si="18"/>
        <v>1.67</v>
      </c>
      <c r="I105" s="5">
        <f t="shared" si="14"/>
        <v>25.207070888163791</v>
      </c>
      <c r="J105" s="16" t="str">
        <f t="shared" si="19"/>
        <v>Overweight</v>
      </c>
      <c r="K105">
        <v>88.8</v>
      </c>
      <c r="L105">
        <v>0.53200000000000003</v>
      </c>
      <c r="M105" s="11">
        <f t="shared" si="15"/>
        <v>0.53200000000000003</v>
      </c>
      <c r="N105" s="5">
        <f t="shared" si="20"/>
        <v>88.8</v>
      </c>
      <c r="O105">
        <v>277</v>
      </c>
      <c r="P105">
        <v>60</v>
      </c>
      <c r="Q105" s="8">
        <f t="shared" si="21"/>
        <v>60</v>
      </c>
      <c r="R105" s="8">
        <v>187</v>
      </c>
      <c r="S105" s="8">
        <f t="shared" si="22"/>
        <v>187</v>
      </c>
      <c r="T105" s="8">
        <f>(Table1[[#This Row],[Total Cholesterol (mg/dL)]]+Table1[[#This Row],[HDL (mg/dL)2]]+Table1[[#This Row],[Estimated LDL (mg/dL)2]])*5</f>
        <v>2620</v>
      </c>
      <c r="U105" s="8">
        <f>IF(O105="",Table1[[#This Row],[Estimated LDL (mg/dL)2]]+Table1[[#This Row],[HDL (mg/dL)2]]+(Table1[[#This Row],[Triglycerides]]/5),O105)</f>
        <v>277</v>
      </c>
      <c r="V105">
        <v>113</v>
      </c>
      <c r="W105" s="8">
        <f t="shared" si="23"/>
        <v>113</v>
      </c>
      <c r="X105" t="str">
        <f t="shared" si="24"/>
        <v>Prediabetes</v>
      </c>
      <c r="Y105" t="s">
        <v>22</v>
      </c>
      <c r="Z105" t="s">
        <v>22</v>
      </c>
      <c r="AA105" t="s">
        <v>24</v>
      </c>
      <c r="AB105" s="3" t="s">
        <v>121</v>
      </c>
      <c r="AC105">
        <v>130</v>
      </c>
      <c r="AD105" s="3" t="str">
        <f t="shared" si="25"/>
        <v>130</v>
      </c>
      <c r="AE105">
        <v>97</v>
      </c>
      <c r="AF105" s="3" t="str">
        <f t="shared" si="26"/>
        <v>97</v>
      </c>
      <c r="AG105" t="s">
        <v>29</v>
      </c>
      <c r="AH105" s="3">
        <v>17.079999999999998</v>
      </c>
      <c r="AI105" s="3">
        <f t="shared" si="27"/>
        <v>17.079999999999998</v>
      </c>
      <c r="AJ105" t="s">
        <v>30</v>
      </c>
      <c r="AK105" t="str">
        <f>PROPER(Table1[[#This Row],[CVD Risk Level]])</f>
        <v>High</v>
      </c>
    </row>
    <row r="106" spans="1:37" x14ac:dyDescent="0.3">
      <c r="A106" t="s">
        <v>20</v>
      </c>
      <c r="B106">
        <v>41</v>
      </c>
      <c r="C106" s="8">
        <f t="shared" si="16"/>
        <v>41</v>
      </c>
      <c r="D106" s="5">
        <v>54.8</v>
      </c>
      <c r="E106" s="8">
        <f t="shared" si="17"/>
        <v>54.8</v>
      </c>
      <c r="F106">
        <v>1.78</v>
      </c>
      <c r="G106" s="3">
        <f t="shared" si="18"/>
        <v>1.78</v>
      </c>
      <c r="H106">
        <v>17.3</v>
      </c>
      <c r="I106" s="5">
        <f t="shared" si="14"/>
        <v>17.3</v>
      </c>
      <c r="J106" s="16" t="str">
        <f t="shared" si="19"/>
        <v>Underweight</v>
      </c>
      <c r="K106">
        <v>105.4</v>
      </c>
      <c r="L106">
        <v>0.59199999999999997</v>
      </c>
      <c r="M106" s="11">
        <f t="shared" si="15"/>
        <v>0.59199999999999997</v>
      </c>
      <c r="N106" s="5">
        <f t="shared" si="20"/>
        <v>105.4</v>
      </c>
      <c r="P106">
        <v>49</v>
      </c>
      <c r="Q106" s="8">
        <f t="shared" si="21"/>
        <v>49</v>
      </c>
      <c r="R106" s="8">
        <v>26</v>
      </c>
      <c r="S106" s="8">
        <f t="shared" si="22"/>
        <v>26</v>
      </c>
      <c r="T106" s="8">
        <f>(Table1[[#This Row],[Total Cholesterol (mg/dL)]]+Table1[[#This Row],[HDL (mg/dL)2]]+Table1[[#This Row],[Estimated LDL (mg/dL)2]])*5</f>
        <v>375</v>
      </c>
      <c r="U106" s="8">
        <f>IF(O106="",Table1[[#This Row],[Estimated LDL (mg/dL)2]]+Table1[[#This Row],[HDL (mg/dL)2]]+(Table1[[#This Row],[Triglycerides]]/5),O106)</f>
        <v>150</v>
      </c>
      <c r="V106">
        <v>83</v>
      </c>
      <c r="W106" s="8">
        <f t="shared" si="23"/>
        <v>83</v>
      </c>
      <c r="X106" t="str">
        <f t="shared" si="24"/>
        <v>Normal</v>
      </c>
      <c r="Y106" t="s">
        <v>22</v>
      </c>
      <c r="Z106" t="s">
        <v>23</v>
      </c>
      <c r="AA106" t="s">
        <v>24</v>
      </c>
      <c r="AB106" s="3" t="s">
        <v>135</v>
      </c>
      <c r="AC106">
        <v>92</v>
      </c>
      <c r="AD106" s="3" t="str">
        <f t="shared" si="25"/>
        <v>92</v>
      </c>
      <c r="AE106">
        <v>73</v>
      </c>
      <c r="AF106" s="3" t="str">
        <f t="shared" si="26"/>
        <v>73</v>
      </c>
      <c r="AG106" t="s">
        <v>33</v>
      </c>
      <c r="AH106" s="3">
        <v>12.16</v>
      </c>
      <c r="AI106" s="3">
        <f t="shared" si="27"/>
        <v>12.16</v>
      </c>
      <c r="AJ106" t="s">
        <v>26</v>
      </c>
      <c r="AK106" t="str">
        <f>PROPER(Table1[[#This Row],[CVD Risk Level]])</f>
        <v>Intermediary</v>
      </c>
    </row>
    <row r="107" spans="1:37" x14ac:dyDescent="0.3">
      <c r="A107" t="s">
        <v>31</v>
      </c>
      <c r="B107">
        <v>33</v>
      </c>
      <c r="C107" s="8">
        <f t="shared" si="16"/>
        <v>33</v>
      </c>
      <c r="D107" s="5">
        <v>119.7</v>
      </c>
      <c r="E107" s="8">
        <f t="shared" si="17"/>
        <v>119.7</v>
      </c>
      <c r="F107">
        <v>1.74</v>
      </c>
      <c r="G107" s="3">
        <f t="shared" si="18"/>
        <v>1.74</v>
      </c>
      <c r="H107">
        <v>39.5</v>
      </c>
      <c r="I107" s="5">
        <f t="shared" si="14"/>
        <v>39.5</v>
      </c>
      <c r="J107" s="16" t="str">
        <f t="shared" si="19"/>
        <v>Obese</v>
      </c>
      <c r="K107">
        <v>96</v>
      </c>
      <c r="L107">
        <v>0.55200000000000005</v>
      </c>
      <c r="M107" s="11">
        <f t="shared" si="15"/>
        <v>0.55200000000000005</v>
      </c>
      <c r="N107" s="5">
        <f t="shared" si="20"/>
        <v>96</v>
      </c>
      <c r="O107">
        <v>163</v>
      </c>
      <c r="P107">
        <v>57</v>
      </c>
      <c r="Q107" s="8">
        <f t="shared" si="21"/>
        <v>57</v>
      </c>
      <c r="R107" s="8">
        <v>76</v>
      </c>
      <c r="S107" s="8">
        <f t="shared" si="22"/>
        <v>76</v>
      </c>
      <c r="T107" s="8">
        <f>(Table1[[#This Row],[Total Cholesterol (mg/dL)]]+Table1[[#This Row],[HDL (mg/dL)2]]+Table1[[#This Row],[Estimated LDL (mg/dL)2]])*5</f>
        <v>1480</v>
      </c>
      <c r="U107" s="8">
        <f>IF(O107="",Table1[[#This Row],[Estimated LDL (mg/dL)2]]+Table1[[#This Row],[HDL (mg/dL)2]]+(Table1[[#This Row],[Triglycerides]]/5),O107)</f>
        <v>163</v>
      </c>
      <c r="V107">
        <v>116</v>
      </c>
      <c r="W107" s="8">
        <f t="shared" si="23"/>
        <v>116</v>
      </c>
      <c r="X107" t="str">
        <f t="shared" si="24"/>
        <v>Prediabetes</v>
      </c>
      <c r="Y107" t="s">
        <v>23</v>
      </c>
      <c r="Z107" t="s">
        <v>22</v>
      </c>
      <c r="AA107" t="s">
        <v>37</v>
      </c>
      <c r="AB107" s="3" t="s">
        <v>136</v>
      </c>
      <c r="AC107">
        <v>99</v>
      </c>
      <c r="AD107" s="3" t="str">
        <f t="shared" si="25"/>
        <v>99</v>
      </c>
      <c r="AE107">
        <v>97</v>
      </c>
      <c r="AF107" s="3" t="str">
        <f t="shared" si="26"/>
        <v>97</v>
      </c>
      <c r="AG107" t="s">
        <v>38</v>
      </c>
      <c r="AH107" s="3">
        <v>16.11</v>
      </c>
      <c r="AI107" s="3">
        <f t="shared" si="27"/>
        <v>16.11</v>
      </c>
      <c r="AJ107" t="s">
        <v>26</v>
      </c>
      <c r="AK107" t="str">
        <f>PROPER(Table1[[#This Row],[CVD Risk Level]])</f>
        <v>Intermediary</v>
      </c>
    </row>
    <row r="108" spans="1:37" x14ac:dyDescent="0.3">
      <c r="A108" t="s">
        <v>20</v>
      </c>
      <c r="B108">
        <v>59</v>
      </c>
      <c r="C108" s="8">
        <f t="shared" si="16"/>
        <v>59</v>
      </c>
      <c r="D108" s="5">
        <v>89.5</v>
      </c>
      <c r="E108" s="8">
        <f t="shared" si="17"/>
        <v>89.5</v>
      </c>
      <c r="F108">
        <v>1.71</v>
      </c>
      <c r="G108" s="3">
        <f t="shared" si="18"/>
        <v>1.71</v>
      </c>
      <c r="H108">
        <v>30.6</v>
      </c>
      <c r="I108" s="5">
        <f t="shared" si="14"/>
        <v>30.6</v>
      </c>
      <c r="J108" s="16" t="str">
        <f t="shared" si="19"/>
        <v>Obese</v>
      </c>
      <c r="K108">
        <v>104.3</v>
      </c>
      <c r="L108">
        <v>0.61</v>
      </c>
      <c r="M108" s="11">
        <f t="shared" si="15"/>
        <v>0.61</v>
      </c>
      <c r="N108" s="5">
        <f t="shared" si="20"/>
        <v>104.3</v>
      </c>
      <c r="O108">
        <v>132</v>
      </c>
      <c r="P108">
        <v>69</v>
      </c>
      <c r="Q108" s="8">
        <f t="shared" si="21"/>
        <v>69</v>
      </c>
      <c r="R108" s="8">
        <v>33</v>
      </c>
      <c r="S108" s="8">
        <f t="shared" si="22"/>
        <v>33</v>
      </c>
      <c r="T108" s="8">
        <f>(Table1[[#This Row],[Total Cholesterol (mg/dL)]]+Table1[[#This Row],[HDL (mg/dL)2]]+Table1[[#This Row],[Estimated LDL (mg/dL)2]])*5</f>
        <v>1170</v>
      </c>
      <c r="U108" s="8">
        <f>IF(O108="",Table1[[#This Row],[Estimated LDL (mg/dL)2]]+Table1[[#This Row],[HDL (mg/dL)2]]+(Table1[[#This Row],[Triglycerides]]/5),O108)</f>
        <v>132</v>
      </c>
      <c r="V108">
        <v>140</v>
      </c>
      <c r="W108" s="8">
        <f t="shared" si="23"/>
        <v>140</v>
      </c>
      <c r="X108" t="str">
        <f t="shared" si="24"/>
        <v>Diabetes</v>
      </c>
      <c r="Y108" t="s">
        <v>22</v>
      </c>
      <c r="Z108" t="s">
        <v>23</v>
      </c>
      <c r="AA108" t="s">
        <v>24</v>
      </c>
      <c r="AB108" s="3" t="s">
        <v>137</v>
      </c>
      <c r="AC108">
        <v>107</v>
      </c>
      <c r="AD108" s="3" t="str">
        <f t="shared" si="25"/>
        <v>107</v>
      </c>
      <c r="AE108">
        <v>67</v>
      </c>
      <c r="AF108" s="3" t="str">
        <f t="shared" si="26"/>
        <v>67</v>
      </c>
      <c r="AG108" t="s">
        <v>33</v>
      </c>
      <c r="AH108" s="3">
        <v>16.11</v>
      </c>
      <c r="AI108" s="3">
        <f t="shared" si="27"/>
        <v>16.11</v>
      </c>
      <c r="AJ108" t="s">
        <v>30</v>
      </c>
      <c r="AK108" t="str">
        <f>PROPER(Table1[[#This Row],[CVD Risk Level]])</f>
        <v>High</v>
      </c>
    </row>
    <row r="109" spans="1:37" x14ac:dyDescent="0.3">
      <c r="A109" t="s">
        <v>20</v>
      </c>
      <c r="B109">
        <v>42</v>
      </c>
      <c r="C109" s="8">
        <f t="shared" si="16"/>
        <v>42</v>
      </c>
      <c r="D109" s="5">
        <v>59.2</v>
      </c>
      <c r="E109" s="8">
        <f t="shared" si="17"/>
        <v>59.2</v>
      </c>
      <c r="F109">
        <v>1.78</v>
      </c>
      <c r="G109" s="3">
        <f t="shared" si="18"/>
        <v>1.78</v>
      </c>
      <c r="H109">
        <v>18.7</v>
      </c>
      <c r="I109" s="5">
        <f t="shared" si="14"/>
        <v>18.7</v>
      </c>
      <c r="J109" s="16" t="str">
        <f t="shared" si="19"/>
        <v>Normal</v>
      </c>
      <c r="K109">
        <v>88.6</v>
      </c>
      <c r="L109">
        <v>0.498</v>
      </c>
      <c r="M109" s="11">
        <f t="shared" si="15"/>
        <v>0.498</v>
      </c>
      <c r="N109" s="5">
        <f t="shared" si="20"/>
        <v>88.6</v>
      </c>
      <c r="O109">
        <v>122</v>
      </c>
      <c r="P109">
        <v>80</v>
      </c>
      <c r="Q109" s="8">
        <f t="shared" si="21"/>
        <v>80</v>
      </c>
      <c r="R109" s="8">
        <v>12</v>
      </c>
      <c r="S109" s="8">
        <f t="shared" si="22"/>
        <v>12</v>
      </c>
      <c r="T109" s="8">
        <f>(Table1[[#This Row],[Total Cholesterol (mg/dL)]]+Table1[[#This Row],[HDL (mg/dL)2]]+Table1[[#This Row],[Estimated LDL (mg/dL)2]])*5</f>
        <v>1070</v>
      </c>
      <c r="U109" s="8">
        <f>IF(O109="",Table1[[#This Row],[Estimated LDL (mg/dL)2]]+Table1[[#This Row],[HDL (mg/dL)2]]+(Table1[[#This Row],[Triglycerides]]/5),O109)</f>
        <v>122</v>
      </c>
      <c r="V109">
        <v>110</v>
      </c>
      <c r="W109" s="8">
        <f t="shared" si="23"/>
        <v>110</v>
      </c>
      <c r="X109" t="str">
        <f t="shared" si="24"/>
        <v>Prediabetes</v>
      </c>
      <c r="Y109" t="s">
        <v>23</v>
      </c>
      <c r="Z109" t="s">
        <v>22</v>
      </c>
      <c r="AA109" t="s">
        <v>24</v>
      </c>
      <c r="AB109" s="3" t="s">
        <v>138</v>
      </c>
      <c r="AC109">
        <v>137</v>
      </c>
      <c r="AD109" s="3" t="str">
        <f t="shared" si="25"/>
        <v>137</v>
      </c>
      <c r="AE109">
        <v>68</v>
      </c>
      <c r="AF109" s="3" t="str">
        <f t="shared" si="26"/>
        <v>68</v>
      </c>
      <c r="AG109" t="s">
        <v>29</v>
      </c>
      <c r="AH109" s="3">
        <v>13.03</v>
      </c>
      <c r="AI109" s="3">
        <f t="shared" si="27"/>
        <v>13.03</v>
      </c>
      <c r="AJ109" t="s">
        <v>26</v>
      </c>
      <c r="AK109" t="str">
        <f>PROPER(Table1[[#This Row],[CVD Risk Level]])</f>
        <v>Intermediary</v>
      </c>
    </row>
    <row r="110" spans="1:37" x14ac:dyDescent="0.3">
      <c r="A110" t="s">
        <v>20</v>
      </c>
      <c r="B110">
        <v>46</v>
      </c>
      <c r="C110" s="8">
        <f t="shared" si="16"/>
        <v>46</v>
      </c>
      <c r="D110" s="5">
        <v>77.7</v>
      </c>
      <c r="E110" s="8">
        <f t="shared" si="17"/>
        <v>77.7</v>
      </c>
      <c r="F110">
        <v>1.61</v>
      </c>
      <c r="G110" s="3">
        <f t="shared" si="18"/>
        <v>1.61</v>
      </c>
      <c r="H110">
        <v>30</v>
      </c>
      <c r="I110" s="5">
        <f t="shared" si="14"/>
        <v>30</v>
      </c>
      <c r="J110" s="16" t="str">
        <f t="shared" si="19"/>
        <v>Obese</v>
      </c>
      <c r="K110">
        <v>93.1</v>
      </c>
      <c r="L110">
        <v>0.57799999999999996</v>
      </c>
      <c r="M110" s="11">
        <f t="shared" si="15"/>
        <v>0.57799999999999996</v>
      </c>
      <c r="N110" s="5">
        <f t="shared" si="20"/>
        <v>93.1</v>
      </c>
      <c r="O110">
        <v>225</v>
      </c>
      <c r="P110">
        <v>43</v>
      </c>
      <c r="Q110" s="8">
        <f t="shared" si="21"/>
        <v>43</v>
      </c>
      <c r="R110" s="8">
        <v>152</v>
      </c>
      <c r="S110" s="8">
        <f t="shared" si="22"/>
        <v>152</v>
      </c>
      <c r="T110" s="8">
        <f>(Table1[[#This Row],[Total Cholesterol (mg/dL)]]+Table1[[#This Row],[HDL (mg/dL)2]]+Table1[[#This Row],[Estimated LDL (mg/dL)2]])*5</f>
        <v>2100</v>
      </c>
      <c r="U110" s="8">
        <f>IF(O110="",Table1[[#This Row],[Estimated LDL (mg/dL)2]]+Table1[[#This Row],[HDL (mg/dL)2]]+(Table1[[#This Row],[Triglycerides]]/5),O110)</f>
        <v>225</v>
      </c>
      <c r="V110">
        <v>121</v>
      </c>
      <c r="W110" s="8">
        <f t="shared" si="23"/>
        <v>121</v>
      </c>
      <c r="X110" t="str">
        <f t="shared" si="24"/>
        <v>Prediabetes</v>
      </c>
      <c r="Y110" t="s">
        <v>23</v>
      </c>
      <c r="Z110" t="s">
        <v>23</v>
      </c>
      <c r="AA110" t="s">
        <v>28</v>
      </c>
      <c r="AB110" s="3" t="s">
        <v>139</v>
      </c>
      <c r="AC110">
        <v>104</v>
      </c>
      <c r="AD110" s="3" t="str">
        <f t="shared" si="25"/>
        <v>104</v>
      </c>
      <c r="AE110">
        <v>81</v>
      </c>
      <c r="AF110" s="3" t="str">
        <f t="shared" si="26"/>
        <v>81</v>
      </c>
      <c r="AG110" t="s">
        <v>29</v>
      </c>
      <c r="AH110" s="3">
        <v>17.7</v>
      </c>
      <c r="AI110" s="3">
        <f t="shared" si="27"/>
        <v>17.7</v>
      </c>
      <c r="AJ110" t="s">
        <v>30</v>
      </c>
      <c r="AK110" t="str">
        <f>PROPER(Table1[[#This Row],[CVD Risk Level]])</f>
        <v>High</v>
      </c>
    </row>
    <row r="111" spans="1:37" x14ac:dyDescent="0.3">
      <c r="A111" t="s">
        <v>20</v>
      </c>
      <c r="C111" s="8">
        <f t="shared" si="16"/>
        <v>47.025499655410059</v>
      </c>
      <c r="D111" s="5">
        <v>100.9</v>
      </c>
      <c r="E111" s="8">
        <f t="shared" si="17"/>
        <v>100.9</v>
      </c>
      <c r="F111">
        <v>1.78</v>
      </c>
      <c r="G111" s="3">
        <f t="shared" si="18"/>
        <v>1.78</v>
      </c>
      <c r="H111">
        <v>31.8</v>
      </c>
      <c r="I111" s="5">
        <f t="shared" si="14"/>
        <v>31.8</v>
      </c>
      <c r="J111" s="16" t="str">
        <f t="shared" si="19"/>
        <v>Obese</v>
      </c>
      <c r="K111">
        <v>109.4</v>
      </c>
      <c r="L111">
        <v>0.61499999999999999</v>
      </c>
      <c r="M111" s="11">
        <f t="shared" si="15"/>
        <v>0.61499999999999999</v>
      </c>
      <c r="N111" s="5">
        <f t="shared" si="20"/>
        <v>109.4</v>
      </c>
      <c r="O111">
        <v>176</v>
      </c>
      <c r="P111">
        <v>35</v>
      </c>
      <c r="Q111" s="8">
        <f t="shared" si="21"/>
        <v>35</v>
      </c>
      <c r="R111" s="8">
        <v>111</v>
      </c>
      <c r="S111" s="8">
        <f t="shared" si="22"/>
        <v>111</v>
      </c>
      <c r="T111" s="8">
        <f>(Table1[[#This Row],[Total Cholesterol (mg/dL)]]+Table1[[#This Row],[HDL (mg/dL)2]]+Table1[[#This Row],[Estimated LDL (mg/dL)2]])*5</f>
        <v>1610</v>
      </c>
      <c r="U111" s="8">
        <f>IF(O111="",Table1[[#This Row],[Estimated LDL (mg/dL)2]]+Table1[[#This Row],[HDL (mg/dL)2]]+(Table1[[#This Row],[Triglycerides]]/5),O111)</f>
        <v>176</v>
      </c>
      <c r="V111">
        <v>136</v>
      </c>
      <c r="W111" s="8">
        <f t="shared" si="23"/>
        <v>136</v>
      </c>
      <c r="X111" t="str">
        <f t="shared" si="24"/>
        <v>Diabetes</v>
      </c>
      <c r="Y111" t="s">
        <v>23</v>
      </c>
      <c r="Z111" t="s">
        <v>22</v>
      </c>
      <c r="AA111" t="s">
        <v>24</v>
      </c>
      <c r="AB111" s="3" t="s">
        <v>140</v>
      </c>
      <c r="AC111">
        <v>113</v>
      </c>
      <c r="AD111" s="3" t="str">
        <f t="shared" si="25"/>
        <v>113</v>
      </c>
      <c r="AE111">
        <v>99</v>
      </c>
      <c r="AF111" s="3" t="str">
        <f t="shared" si="26"/>
        <v>99</v>
      </c>
      <c r="AG111" t="s">
        <v>38</v>
      </c>
      <c r="AH111" s="3">
        <v>15.53</v>
      </c>
      <c r="AI111" s="3">
        <f t="shared" si="27"/>
        <v>15.53</v>
      </c>
      <c r="AJ111" t="s">
        <v>30</v>
      </c>
      <c r="AK111" t="str">
        <f>PROPER(Table1[[#This Row],[CVD Risk Level]])</f>
        <v>High</v>
      </c>
    </row>
    <row r="112" spans="1:37" x14ac:dyDescent="0.3">
      <c r="A112" t="s">
        <v>31</v>
      </c>
      <c r="B112">
        <v>40</v>
      </c>
      <c r="C112" s="8">
        <f t="shared" si="16"/>
        <v>40</v>
      </c>
      <c r="D112" s="5">
        <v>53.3</v>
      </c>
      <c r="E112" s="8">
        <f t="shared" si="17"/>
        <v>53.3</v>
      </c>
      <c r="F112">
        <v>1.63</v>
      </c>
      <c r="G112" s="3">
        <f t="shared" si="18"/>
        <v>1.63</v>
      </c>
      <c r="H112">
        <v>20.100000000000001</v>
      </c>
      <c r="I112" s="5">
        <f t="shared" si="14"/>
        <v>20.100000000000001</v>
      </c>
      <c r="J112" s="16" t="str">
        <f t="shared" si="19"/>
        <v>Normal</v>
      </c>
      <c r="L112">
        <v>0.65600000000000003</v>
      </c>
      <c r="M112" s="11">
        <f t="shared" si="15"/>
        <v>0.65600000000000003</v>
      </c>
      <c r="N112" s="5">
        <f t="shared" si="20"/>
        <v>106.92800000000001</v>
      </c>
      <c r="O112">
        <v>142</v>
      </c>
      <c r="P112">
        <v>40</v>
      </c>
      <c r="Q112" s="8">
        <f t="shared" si="21"/>
        <v>40</v>
      </c>
      <c r="R112" s="8">
        <v>72</v>
      </c>
      <c r="S112" s="8">
        <f t="shared" si="22"/>
        <v>72</v>
      </c>
      <c r="T112" s="8">
        <f>(Table1[[#This Row],[Total Cholesterol (mg/dL)]]+Table1[[#This Row],[HDL (mg/dL)2]]+Table1[[#This Row],[Estimated LDL (mg/dL)2]])*5</f>
        <v>1270</v>
      </c>
      <c r="U112" s="8">
        <f>IF(O112="",Table1[[#This Row],[Estimated LDL (mg/dL)2]]+Table1[[#This Row],[HDL (mg/dL)2]]+(Table1[[#This Row],[Triglycerides]]/5),O112)</f>
        <v>142</v>
      </c>
      <c r="V112">
        <v>129</v>
      </c>
      <c r="W112" s="8">
        <f t="shared" si="23"/>
        <v>129</v>
      </c>
      <c r="X112" t="str">
        <f t="shared" si="24"/>
        <v>Diabetes</v>
      </c>
      <c r="Y112" t="s">
        <v>22</v>
      </c>
      <c r="Z112" t="s">
        <v>23</v>
      </c>
      <c r="AA112" t="s">
        <v>28</v>
      </c>
      <c r="AB112" s="3" t="s">
        <v>141</v>
      </c>
      <c r="AC112">
        <v>90</v>
      </c>
      <c r="AD112" s="3" t="str">
        <f t="shared" si="25"/>
        <v>90</v>
      </c>
      <c r="AE112">
        <v>67</v>
      </c>
      <c r="AF112" s="3" t="str">
        <f t="shared" si="26"/>
        <v>67</v>
      </c>
      <c r="AG112" t="s">
        <v>33</v>
      </c>
      <c r="AH112" s="3">
        <v>13.36</v>
      </c>
      <c r="AI112" s="3">
        <f t="shared" si="27"/>
        <v>13.36</v>
      </c>
      <c r="AJ112" t="s">
        <v>52</v>
      </c>
      <c r="AK112" t="str">
        <f>PROPER(Table1[[#This Row],[CVD Risk Level]])</f>
        <v>Low</v>
      </c>
    </row>
    <row r="113" spans="1:37" x14ac:dyDescent="0.3">
      <c r="A113" t="s">
        <v>31</v>
      </c>
      <c r="B113">
        <v>49</v>
      </c>
      <c r="C113" s="8">
        <f t="shared" si="16"/>
        <v>49</v>
      </c>
      <c r="D113" s="5">
        <v>74.8</v>
      </c>
      <c r="E113" s="8">
        <f t="shared" si="17"/>
        <v>74.8</v>
      </c>
      <c r="F113">
        <v>1.84</v>
      </c>
      <c r="G113" s="3">
        <f t="shared" si="18"/>
        <v>1.84</v>
      </c>
      <c r="H113">
        <v>22.1</v>
      </c>
      <c r="I113" s="5">
        <f t="shared" si="14"/>
        <v>22.1</v>
      </c>
      <c r="J113" s="16" t="str">
        <f t="shared" si="19"/>
        <v>Normal</v>
      </c>
      <c r="K113">
        <v>103.4</v>
      </c>
      <c r="L113">
        <v>0.56200000000000006</v>
      </c>
      <c r="M113" s="11">
        <f t="shared" si="15"/>
        <v>0.56200000000000006</v>
      </c>
      <c r="N113" s="5">
        <f t="shared" si="20"/>
        <v>103.4</v>
      </c>
      <c r="O113">
        <v>228</v>
      </c>
      <c r="P113">
        <v>76</v>
      </c>
      <c r="Q113" s="8">
        <f t="shared" si="21"/>
        <v>76</v>
      </c>
      <c r="R113" s="8">
        <v>122</v>
      </c>
      <c r="S113" s="8">
        <f t="shared" si="22"/>
        <v>122</v>
      </c>
      <c r="T113" s="8">
        <f>(Table1[[#This Row],[Total Cholesterol (mg/dL)]]+Table1[[#This Row],[HDL (mg/dL)2]]+Table1[[#This Row],[Estimated LDL (mg/dL)2]])*5</f>
        <v>2130</v>
      </c>
      <c r="U113" s="8">
        <f>IF(O113="",Table1[[#This Row],[Estimated LDL (mg/dL)2]]+Table1[[#This Row],[HDL (mg/dL)2]]+(Table1[[#This Row],[Triglycerides]]/5),O113)</f>
        <v>228</v>
      </c>
      <c r="V113">
        <v>99</v>
      </c>
      <c r="W113" s="8">
        <f t="shared" si="23"/>
        <v>99</v>
      </c>
      <c r="X113" t="str">
        <f t="shared" si="24"/>
        <v>Normal</v>
      </c>
      <c r="Y113" t="s">
        <v>23</v>
      </c>
      <c r="Z113" t="s">
        <v>23</v>
      </c>
      <c r="AA113" t="s">
        <v>24</v>
      </c>
      <c r="AB113" s="3" t="s">
        <v>142</v>
      </c>
      <c r="AC113">
        <v>122</v>
      </c>
      <c r="AD113" s="3" t="str">
        <f t="shared" si="25"/>
        <v>122</v>
      </c>
      <c r="AE113">
        <v>88</v>
      </c>
      <c r="AF113" s="3" t="str">
        <f t="shared" si="26"/>
        <v>88</v>
      </c>
      <c r="AG113" t="s">
        <v>29</v>
      </c>
      <c r="AH113" s="3">
        <v>17.079999999999998</v>
      </c>
      <c r="AI113" s="3">
        <f t="shared" si="27"/>
        <v>17.079999999999998</v>
      </c>
      <c r="AJ113" t="s">
        <v>30</v>
      </c>
      <c r="AK113" t="str">
        <f>PROPER(Table1[[#This Row],[CVD Risk Level]])</f>
        <v>High</v>
      </c>
    </row>
    <row r="114" spans="1:37" x14ac:dyDescent="0.3">
      <c r="A114" t="s">
        <v>20</v>
      </c>
      <c r="B114">
        <v>30</v>
      </c>
      <c r="C114" s="8">
        <f t="shared" si="16"/>
        <v>30</v>
      </c>
      <c r="D114" s="5">
        <v>89.6</v>
      </c>
      <c r="E114" s="8">
        <f t="shared" si="17"/>
        <v>89.6</v>
      </c>
      <c r="F114">
        <v>1.78</v>
      </c>
      <c r="G114" s="3">
        <f t="shared" si="18"/>
        <v>1.78</v>
      </c>
      <c r="H114">
        <v>28.3</v>
      </c>
      <c r="I114" s="5">
        <f t="shared" si="14"/>
        <v>28.3</v>
      </c>
      <c r="J114" s="16" t="str">
        <f t="shared" si="19"/>
        <v>Overweight</v>
      </c>
      <c r="K114">
        <v>70.099999999999994</v>
      </c>
      <c r="L114">
        <v>0.39400000000000002</v>
      </c>
      <c r="M114" s="11">
        <f t="shared" si="15"/>
        <v>0.39400000000000002</v>
      </c>
      <c r="N114" s="5">
        <f t="shared" si="20"/>
        <v>70.099999999999994</v>
      </c>
      <c r="O114">
        <v>239</v>
      </c>
      <c r="P114">
        <v>79</v>
      </c>
      <c r="Q114" s="8">
        <f t="shared" si="21"/>
        <v>79</v>
      </c>
      <c r="R114" s="8">
        <v>130</v>
      </c>
      <c r="S114" s="8">
        <f t="shared" si="22"/>
        <v>130</v>
      </c>
      <c r="T114" s="8">
        <f>(Table1[[#This Row],[Total Cholesterol (mg/dL)]]+Table1[[#This Row],[HDL (mg/dL)2]]+Table1[[#This Row],[Estimated LDL (mg/dL)2]])*5</f>
        <v>2240</v>
      </c>
      <c r="U114" s="8">
        <f>IF(O114="",Table1[[#This Row],[Estimated LDL (mg/dL)2]]+Table1[[#This Row],[HDL (mg/dL)2]]+(Table1[[#This Row],[Triglycerides]]/5),O114)</f>
        <v>239</v>
      </c>
      <c r="V114">
        <v>121</v>
      </c>
      <c r="W114" s="8">
        <f t="shared" si="23"/>
        <v>121</v>
      </c>
      <c r="X114" t="str">
        <f t="shared" si="24"/>
        <v>Prediabetes</v>
      </c>
      <c r="Y114" t="s">
        <v>22</v>
      </c>
      <c r="Z114" t="s">
        <v>23</v>
      </c>
      <c r="AA114" t="s">
        <v>24</v>
      </c>
      <c r="AB114" s="3" t="s">
        <v>143</v>
      </c>
      <c r="AC114">
        <v>133</v>
      </c>
      <c r="AD114" s="3" t="str">
        <f t="shared" si="25"/>
        <v>133</v>
      </c>
      <c r="AE114">
        <v>97</v>
      </c>
      <c r="AF114" s="3" t="str">
        <f t="shared" si="26"/>
        <v>97</v>
      </c>
      <c r="AG114" t="s">
        <v>29</v>
      </c>
      <c r="AH114" s="3">
        <v>19.09</v>
      </c>
      <c r="AI114" s="3">
        <f t="shared" si="27"/>
        <v>19.09</v>
      </c>
      <c r="AJ114" t="s">
        <v>30</v>
      </c>
      <c r="AK114" t="str">
        <f>PROPER(Table1[[#This Row],[CVD Risk Level]])</f>
        <v>High</v>
      </c>
    </row>
    <row r="115" spans="1:37" x14ac:dyDescent="0.3">
      <c r="A115" t="s">
        <v>20</v>
      </c>
      <c r="B115">
        <v>39</v>
      </c>
      <c r="C115" s="8">
        <f t="shared" si="16"/>
        <v>39</v>
      </c>
      <c r="D115" s="5">
        <v>55.7</v>
      </c>
      <c r="E115" s="8">
        <f t="shared" si="17"/>
        <v>55.7</v>
      </c>
      <c r="F115">
        <v>1.68</v>
      </c>
      <c r="G115" s="3">
        <f t="shared" si="18"/>
        <v>1.68</v>
      </c>
      <c r="H115">
        <v>19.7</v>
      </c>
      <c r="I115" s="5">
        <f t="shared" si="14"/>
        <v>19.7</v>
      </c>
      <c r="J115" s="16" t="str">
        <f t="shared" si="19"/>
        <v>Normal</v>
      </c>
      <c r="K115">
        <v>78.900000000000006</v>
      </c>
      <c r="M115" s="11">
        <f t="shared" si="15"/>
        <v>0.4696428571428572</v>
      </c>
      <c r="N115" s="5">
        <f t="shared" si="20"/>
        <v>78.900000000000006</v>
      </c>
      <c r="O115">
        <v>252</v>
      </c>
      <c r="P115">
        <v>43</v>
      </c>
      <c r="Q115" s="8">
        <f t="shared" si="21"/>
        <v>43</v>
      </c>
      <c r="R115" s="8">
        <v>179</v>
      </c>
      <c r="S115" s="8">
        <f t="shared" si="22"/>
        <v>179</v>
      </c>
      <c r="T115" s="8">
        <f>(Table1[[#This Row],[Total Cholesterol (mg/dL)]]+Table1[[#This Row],[HDL (mg/dL)2]]+Table1[[#This Row],[Estimated LDL (mg/dL)2]])*5</f>
        <v>2370</v>
      </c>
      <c r="U115" s="8">
        <f>IF(O115="",Table1[[#This Row],[Estimated LDL (mg/dL)2]]+Table1[[#This Row],[HDL (mg/dL)2]]+(Table1[[#This Row],[Triglycerides]]/5),O115)</f>
        <v>252</v>
      </c>
      <c r="V115">
        <v>123</v>
      </c>
      <c r="W115" s="8">
        <f t="shared" si="23"/>
        <v>123</v>
      </c>
      <c r="X115" t="str">
        <f t="shared" si="24"/>
        <v>Prediabetes</v>
      </c>
      <c r="Y115" t="s">
        <v>23</v>
      </c>
      <c r="Z115" t="s">
        <v>23</v>
      </c>
      <c r="AA115" t="s">
        <v>24</v>
      </c>
      <c r="AB115" s="3" t="s">
        <v>144</v>
      </c>
      <c r="AC115">
        <v>135</v>
      </c>
      <c r="AD115" s="3" t="str">
        <f t="shared" si="25"/>
        <v>135</v>
      </c>
      <c r="AE115">
        <v>100</v>
      </c>
      <c r="AF115" s="3" t="str">
        <f t="shared" si="26"/>
        <v>100</v>
      </c>
      <c r="AG115" t="s">
        <v>29</v>
      </c>
      <c r="AI115" s="3">
        <f t="shared" si="27"/>
        <v>16.960925291295425</v>
      </c>
      <c r="AJ115" t="s">
        <v>30</v>
      </c>
      <c r="AK115" t="str">
        <f>PROPER(Table1[[#This Row],[CVD Risk Level]])</f>
        <v>High</v>
      </c>
    </row>
    <row r="116" spans="1:37" x14ac:dyDescent="0.3">
      <c r="A116" t="s">
        <v>20</v>
      </c>
      <c r="B116">
        <v>41</v>
      </c>
      <c r="C116" s="8">
        <f t="shared" si="16"/>
        <v>41</v>
      </c>
      <c r="D116" s="5">
        <v>93</v>
      </c>
      <c r="E116" s="8">
        <f t="shared" si="17"/>
        <v>93</v>
      </c>
      <c r="F116">
        <v>1.88</v>
      </c>
      <c r="G116" s="3">
        <f t="shared" si="18"/>
        <v>1.88</v>
      </c>
      <c r="H116">
        <v>26.3</v>
      </c>
      <c r="I116" s="5">
        <f t="shared" si="14"/>
        <v>26.3</v>
      </c>
      <c r="J116" s="16" t="str">
        <f t="shared" si="19"/>
        <v>Overweight</v>
      </c>
      <c r="K116">
        <v>99.2</v>
      </c>
      <c r="L116">
        <v>0.52800000000000002</v>
      </c>
      <c r="M116" s="11">
        <f t="shared" si="15"/>
        <v>0.52800000000000002</v>
      </c>
      <c r="N116" s="5">
        <f t="shared" si="20"/>
        <v>99.2</v>
      </c>
      <c r="O116">
        <v>158</v>
      </c>
      <c r="P116">
        <v>58</v>
      </c>
      <c r="Q116" s="8">
        <f t="shared" si="21"/>
        <v>58</v>
      </c>
      <c r="R116" s="8">
        <v>70</v>
      </c>
      <c r="S116" s="8">
        <f t="shared" si="22"/>
        <v>70</v>
      </c>
      <c r="T116" s="8">
        <f>(Table1[[#This Row],[Total Cholesterol (mg/dL)]]+Table1[[#This Row],[HDL (mg/dL)2]]+Table1[[#This Row],[Estimated LDL (mg/dL)2]])*5</f>
        <v>1430</v>
      </c>
      <c r="U116" s="8">
        <f>IF(O116="",Table1[[#This Row],[Estimated LDL (mg/dL)2]]+Table1[[#This Row],[HDL (mg/dL)2]]+(Table1[[#This Row],[Triglycerides]]/5),O116)</f>
        <v>158</v>
      </c>
      <c r="V116">
        <v>138</v>
      </c>
      <c r="W116" s="8">
        <f t="shared" si="23"/>
        <v>138</v>
      </c>
      <c r="X116" t="str">
        <f t="shared" si="24"/>
        <v>Diabetes</v>
      </c>
      <c r="Y116" t="s">
        <v>23</v>
      </c>
      <c r="Z116" t="s">
        <v>22</v>
      </c>
      <c r="AA116" t="s">
        <v>37</v>
      </c>
      <c r="AB116" s="3" t="s">
        <v>145</v>
      </c>
      <c r="AC116">
        <v>114</v>
      </c>
      <c r="AD116" s="3" t="str">
        <f t="shared" si="25"/>
        <v>114</v>
      </c>
      <c r="AF116" s="3" t="str">
        <f t="shared" si="26"/>
        <v>96</v>
      </c>
      <c r="AG116" t="s">
        <v>38</v>
      </c>
      <c r="AH116" s="3">
        <v>14.12</v>
      </c>
      <c r="AI116" s="3">
        <f t="shared" si="27"/>
        <v>14.12</v>
      </c>
      <c r="AJ116" t="s">
        <v>26</v>
      </c>
      <c r="AK116" t="str">
        <f>PROPER(Table1[[#This Row],[CVD Risk Level]])</f>
        <v>Intermediary</v>
      </c>
    </row>
    <row r="117" spans="1:37" x14ac:dyDescent="0.3">
      <c r="A117" t="s">
        <v>20</v>
      </c>
      <c r="B117">
        <v>50</v>
      </c>
      <c r="C117" s="8">
        <f t="shared" si="16"/>
        <v>50</v>
      </c>
      <c r="D117" s="5">
        <v>73</v>
      </c>
      <c r="E117" s="8">
        <f t="shared" si="17"/>
        <v>73</v>
      </c>
      <c r="F117">
        <v>1.79</v>
      </c>
      <c r="G117" s="3">
        <f t="shared" si="18"/>
        <v>1.79</v>
      </c>
      <c r="H117">
        <v>22.8</v>
      </c>
      <c r="I117" s="5">
        <f t="shared" si="14"/>
        <v>22.8</v>
      </c>
      <c r="J117" s="16" t="str">
        <f t="shared" si="19"/>
        <v>Normal</v>
      </c>
      <c r="K117">
        <v>77.400000000000006</v>
      </c>
      <c r="L117">
        <v>0.432</v>
      </c>
      <c r="M117" s="11">
        <f t="shared" si="15"/>
        <v>0.432</v>
      </c>
      <c r="N117" s="5">
        <f t="shared" si="20"/>
        <v>77.400000000000006</v>
      </c>
      <c r="O117">
        <v>183</v>
      </c>
      <c r="P117">
        <v>69</v>
      </c>
      <c r="Q117" s="8">
        <f t="shared" si="21"/>
        <v>69</v>
      </c>
      <c r="R117" s="8">
        <v>84</v>
      </c>
      <c r="S117" s="8">
        <f t="shared" si="22"/>
        <v>84</v>
      </c>
      <c r="T117" s="8">
        <f>(Table1[[#This Row],[Total Cholesterol (mg/dL)]]+Table1[[#This Row],[HDL (mg/dL)2]]+Table1[[#This Row],[Estimated LDL (mg/dL)2]])*5</f>
        <v>1680</v>
      </c>
      <c r="U117" s="8">
        <f>IF(O117="",Table1[[#This Row],[Estimated LDL (mg/dL)2]]+Table1[[#This Row],[HDL (mg/dL)2]]+(Table1[[#This Row],[Triglycerides]]/5),O117)</f>
        <v>183</v>
      </c>
      <c r="V117">
        <v>119</v>
      </c>
      <c r="W117" s="8">
        <f t="shared" si="23"/>
        <v>119</v>
      </c>
      <c r="X117" t="str">
        <f t="shared" si="24"/>
        <v>Prediabetes</v>
      </c>
      <c r="Y117" t="s">
        <v>23</v>
      </c>
      <c r="Z117" t="s">
        <v>23</v>
      </c>
      <c r="AA117" t="s">
        <v>24</v>
      </c>
      <c r="AB117" s="3" t="s">
        <v>146</v>
      </c>
      <c r="AC117">
        <v>117</v>
      </c>
      <c r="AD117" s="3" t="str">
        <f t="shared" si="25"/>
        <v>117</v>
      </c>
      <c r="AE117">
        <v>97</v>
      </c>
      <c r="AF117" s="3" t="str">
        <f t="shared" si="26"/>
        <v>97</v>
      </c>
      <c r="AG117" t="s">
        <v>38</v>
      </c>
      <c r="AH117" s="3">
        <v>16.07</v>
      </c>
      <c r="AI117" s="3">
        <f t="shared" si="27"/>
        <v>16.07</v>
      </c>
      <c r="AJ117" t="s">
        <v>30</v>
      </c>
      <c r="AK117" t="str">
        <f>PROPER(Table1[[#This Row],[CVD Risk Level]])</f>
        <v>High</v>
      </c>
    </row>
    <row r="118" spans="1:37" x14ac:dyDescent="0.3">
      <c r="A118" t="s">
        <v>31</v>
      </c>
      <c r="B118">
        <v>50</v>
      </c>
      <c r="C118" s="8">
        <f t="shared" si="16"/>
        <v>50</v>
      </c>
      <c r="D118" s="5">
        <v>94.3</v>
      </c>
      <c r="E118" s="8">
        <f t="shared" si="17"/>
        <v>94.3</v>
      </c>
      <c r="F118">
        <v>1.68</v>
      </c>
      <c r="G118" s="3">
        <f t="shared" si="18"/>
        <v>1.68</v>
      </c>
      <c r="H118">
        <v>33.4</v>
      </c>
      <c r="I118" s="5">
        <f t="shared" si="14"/>
        <v>33.4</v>
      </c>
      <c r="J118" s="16" t="str">
        <f t="shared" si="19"/>
        <v>Obese</v>
      </c>
      <c r="K118">
        <v>96.3</v>
      </c>
      <c r="L118">
        <v>0.57299999999999995</v>
      </c>
      <c r="M118" s="11">
        <f t="shared" si="15"/>
        <v>0.57299999999999995</v>
      </c>
      <c r="N118" s="5">
        <f t="shared" si="20"/>
        <v>96.3</v>
      </c>
      <c r="O118">
        <v>106</v>
      </c>
      <c r="P118">
        <v>38</v>
      </c>
      <c r="Q118" s="8">
        <f t="shared" si="21"/>
        <v>38</v>
      </c>
      <c r="R118" s="8">
        <v>38</v>
      </c>
      <c r="S118" s="8">
        <f t="shared" si="22"/>
        <v>38</v>
      </c>
      <c r="T118" s="8">
        <f>(Table1[[#This Row],[Total Cholesterol (mg/dL)]]+Table1[[#This Row],[HDL (mg/dL)2]]+Table1[[#This Row],[Estimated LDL (mg/dL)2]])*5</f>
        <v>910</v>
      </c>
      <c r="U118" s="8">
        <f>IF(O118="",Table1[[#This Row],[Estimated LDL (mg/dL)2]]+Table1[[#This Row],[HDL (mg/dL)2]]+(Table1[[#This Row],[Triglycerides]]/5),O118)</f>
        <v>106</v>
      </c>
      <c r="V118">
        <v>118</v>
      </c>
      <c r="W118" s="8">
        <f t="shared" si="23"/>
        <v>118</v>
      </c>
      <c r="X118" t="str">
        <f t="shared" si="24"/>
        <v>Prediabetes</v>
      </c>
      <c r="Y118" t="s">
        <v>22</v>
      </c>
      <c r="Z118" t="s">
        <v>23</v>
      </c>
      <c r="AA118" t="s">
        <v>24</v>
      </c>
      <c r="AB118" s="3" t="s">
        <v>132</v>
      </c>
      <c r="AC118">
        <v>103</v>
      </c>
      <c r="AD118" s="3" t="str">
        <f t="shared" si="25"/>
        <v>103</v>
      </c>
      <c r="AE118">
        <v>96</v>
      </c>
      <c r="AF118" s="3" t="str">
        <f t="shared" si="26"/>
        <v>96</v>
      </c>
      <c r="AG118" t="s">
        <v>38</v>
      </c>
      <c r="AH118" s="3">
        <v>15.95</v>
      </c>
      <c r="AI118" s="3">
        <f t="shared" si="27"/>
        <v>15.95</v>
      </c>
      <c r="AJ118" t="s">
        <v>30</v>
      </c>
      <c r="AK118" t="str">
        <f>PROPER(Table1[[#This Row],[CVD Risk Level]])</f>
        <v>High</v>
      </c>
    </row>
    <row r="119" spans="1:37" x14ac:dyDescent="0.3">
      <c r="A119" t="s">
        <v>20</v>
      </c>
      <c r="B119">
        <v>60</v>
      </c>
      <c r="C119" s="8">
        <f t="shared" si="16"/>
        <v>60</v>
      </c>
      <c r="E119" s="8">
        <f t="shared" si="17"/>
        <v>80.687999999999988</v>
      </c>
      <c r="F119">
        <v>1.64</v>
      </c>
      <c r="G119" s="3">
        <f t="shared" si="18"/>
        <v>1.64</v>
      </c>
      <c r="H119">
        <v>30</v>
      </c>
      <c r="I119" s="5">
        <f t="shared" si="14"/>
        <v>30</v>
      </c>
      <c r="J119" s="16" t="str">
        <f t="shared" si="19"/>
        <v>Obese</v>
      </c>
      <c r="K119">
        <v>95.9</v>
      </c>
      <c r="L119">
        <v>0.58499999999999996</v>
      </c>
      <c r="M119" s="11">
        <f t="shared" si="15"/>
        <v>0.58499999999999996</v>
      </c>
      <c r="N119" s="5">
        <f t="shared" si="20"/>
        <v>95.9</v>
      </c>
      <c r="O119">
        <v>178</v>
      </c>
      <c r="P119">
        <v>62</v>
      </c>
      <c r="Q119" s="8">
        <f t="shared" si="21"/>
        <v>62</v>
      </c>
      <c r="R119" s="8">
        <v>86</v>
      </c>
      <c r="S119" s="8">
        <f t="shared" si="22"/>
        <v>86</v>
      </c>
      <c r="T119" s="8">
        <f>(Table1[[#This Row],[Total Cholesterol (mg/dL)]]+Table1[[#This Row],[HDL (mg/dL)2]]+Table1[[#This Row],[Estimated LDL (mg/dL)2]])*5</f>
        <v>1630</v>
      </c>
      <c r="U119" s="8">
        <f>IF(O119="",Table1[[#This Row],[Estimated LDL (mg/dL)2]]+Table1[[#This Row],[HDL (mg/dL)2]]+(Table1[[#This Row],[Triglycerides]]/5),O119)</f>
        <v>178</v>
      </c>
      <c r="V119">
        <v>90</v>
      </c>
      <c r="W119" s="8">
        <f t="shared" si="23"/>
        <v>90</v>
      </c>
      <c r="X119" t="str">
        <f t="shared" si="24"/>
        <v>Normal</v>
      </c>
      <c r="Y119" t="s">
        <v>23</v>
      </c>
      <c r="Z119" t="s">
        <v>23</v>
      </c>
      <c r="AA119" t="s">
        <v>24</v>
      </c>
      <c r="AB119" s="3" t="s">
        <v>116</v>
      </c>
      <c r="AD119" s="3" t="str">
        <f t="shared" si="25"/>
        <v>114</v>
      </c>
      <c r="AE119">
        <v>63</v>
      </c>
      <c r="AF119" s="3" t="str">
        <f t="shared" si="26"/>
        <v>63</v>
      </c>
      <c r="AG119" t="s">
        <v>33</v>
      </c>
      <c r="AH119" s="3">
        <v>17.260000000000002</v>
      </c>
      <c r="AI119" s="3">
        <f t="shared" si="27"/>
        <v>17.260000000000002</v>
      </c>
      <c r="AJ119" t="s">
        <v>30</v>
      </c>
      <c r="AK119" t="str">
        <f>PROPER(Table1[[#This Row],[CVD Risk Level]])</f>
        <v>High</v>
      </c>
    </row>
    <row r="120" spans="1:37" x14ac:dyDescent="0.3">
      <c r="A120" t="s">
        <v>31</v>
      </c>
      <c r="B120">
        <v>41</v>
      </c>
      <c r="C120" s="8">
        <f t="shared" si="16"/>
        <v>41</v>
      </c>
      <c r="D120" s="5">
        <v>71.3</v>
      </c>
      <c r="E120" s="8">
        <f t="shared" si="17"/>
        <v>71.3</v>
      </c>
      <c r="F120">
        <v>1.73</v>
      </c>
      <c r="G120" s="3">
        <f t="shared" si="18"/>
        <v>1.73</v>
      </c>
      <c r="H120">
        <v>23.8</v>
      </c>
      <c r="I120" s="5">
        <f t="shared" si="14"/>
        <v>23.8</v>
      </c>
      <c r="J120" s="16" t="str">
        <f t="shared" si="19"/>
        <v>Normal</v>
      </c>
      <c r="K120">
        <v>107.9</v>
      </c>
      <c r="M120" s="11">
        <f t="shared" si="15"/>
        <v>0.62369942196531791</v>
      </c>
      <c r="N120" s="5">
        <f t="shared" si="20"/>
        <v>107.9</v>
      </c>
      <c r="O120">
        <v>253</v>
      </c>
      <c r="P120">
        <v>77</v>
      </c>
      <c r="Q120" s="8">
        <f t="shared" si="21"/>
        <v>77</v>
      </c>
      <c r="R120" s="8">
        <v>146</v>
      </c>
      <c r="S120" s="8">
        <f t="shared" si="22"/>
        <v>146</v>
      </c>
      <c r="T120" s="8">
        <f>(Table1[[#This Row],[Total Cholesterol (mg/dL)]]+Table1[[#This Row],[HDL (mg/dL)2]]+Table1[[#This Row],[Estimated LDL (mg/dL)2]])*5</f>
        <v>2380</v>
      </c>
      <c r="U120" s="8">
        <f>IF(O120="",Table1[[#This Row],[Estimated LDL (mg/dL)2]]+Table1[[#This Row],[HDL (mg/dL)2]]+(Table1[[#This Row],[Triglycerides]]/5),O120)</f>
        <v>253</v>
      </c>
      <c r="V120">
        <v>94</v>
      </c>
      <c r="W120" s="8">
        <f t="shared" si="23"/>
        <v>94</v>
      </c>
      <c r="X120" t="str">
        <f t="shared" si="24"/>
        <v>Normal</v>
      </c>
      <c r="Y120" t="s">
        <v>23</v>
      </c>
      <c r="Z120" t="s">
        <v>22</v>
      </c>
      <c r="AA120" t="s">
        <v>24</v>
      </c>
      <c r="AB120" s="3" t="s">
        <v>147</v>
      </c>
      <c r="AC120">
        <v>139</v>
      </c>
      <c r="AD120" s="3" t="str">
        <f t="shared" si="25"/>
        <v>139</v>
      </c>
      <c r="AF120" s="3" t="str">
        <f t="shared" si="26"/>
        <v>61</v>
      </c>
      <c r="AG120" t="s">
        <v>29</v>
      </c>
      <c r="AH120" s="3">
        <v>16.77</v>
      </c>
      <c r="AI120" s="3">
        <f t="shared" si="27"/>
        <v>16.77</v>
      </c>
      <c r="AJ120" t="s">
        <v>30</v>
      </c>
      <c r="AK120" t="str">
        <f>PROPER(Table1[[#This Row],[CVD Risk Level]])</f>
        <v>High</v>
      </c>
    </row>
    <row r="121" spans="1:37" x14ac:dyDescent="0.3">
      <c r="A121" t="s">
        <v>31</v>
      </c>
      <c r="B121">
        <v>59</v>
      </c>
      <c r="C121" s="8">
        <f t="shared" si="16"/>
        <v>59</v>
      </c>
      <c r="D121" s="5">
        <v>103.9</v>
      </c>
      <c r="E121" s="8">
        <f t="shared" si="17"/>
        <v>103.9</v>
      </c>
      <c r="F121">
        <v>1.66</v>
      </c>
      <c r="G121" s="3">
        <f t="shared" si="18"/>
        <v>1.66</v>
      </c>
      <c r="H121">
        <v>37.700000000000003</v>
      </c>
      <c r="I121" s="5">
        <f t="shared" si="14"/>
        <v>37.700000000000003</v>
      </c>
      <c r="J121" s="16" t="str">
        <f t="shared" si="19"/>
        <v>Obese</v>
      </c>
      <c r="K121">
        <v>87.1</v>
      </c>
      <c r="L121">
        <v>0.52500000000000002</v>
      </c>
      <c r="M121" s="11">
        <f t="shared" si="15"/>
        <v>0.52500000000000002</v>
      </c>
      <c r="N121" s="5">
        <f t="shared" si="20"/>
        <v>87.1</v>
      </c>
      <c r="O121">
        <v>272</v>
      </c>
      <c r="P121">
        <v>31</v>
      </c>
      <c r="Q121" s="8">
        <f t="shared" si="21"/>
        <v>31</v>
      </c>
      <c r="R121" s="8">
        <v>211</v>
      </c>
      <c r="S121" s="8">
        <f t="shared" si="22"/>
        <v>211</v>
      </c>
      <c r="T121" s="8">
        <f>(Table1[[#This Row],[Total Cholesterol (mg/dL)]]+Table1[[#This Row],[HDL (mg/dL)2]]+Table1[[#This Row],[Estimated LDL (mg/dL)2]])*5</f>
        <v>2570</v>
      </c>
      <c r="U121" s="8">
        <f>IF(O121="",Table1[[#This Row],[Estimated LDL (mg/dL)2]]+Table1[[#This Row],[HDL (mg/dL)2]]+(Table1[[#This Row],[Triglycerides]]/5),O121)</f>
        <v>272</v>
      </c>
      <c r="V121">
        <v>117</v>
      </c>
      <c r="W121" s="8">
        <f t="shared" si="23"/>
        <v>117</v>
      </c>
      <c r="X121" t="str">
        <f t="shared" si="24"/>
        <v>Prediabetes</v>
      </c>
      <c r="Y121" t="s">
        <v>22</v>
      </c>
      <c r="Z121" t="s">
        <v>22</v>
      </c>
      <c r="AA121" t="s">
        <v>24</v>
      </c>
      <c r="AB121" s="3" t="s">
        <v>148</v>
      </c>
      <c r="AC121">
        <v>117</v>
      </c>
      <c r="AD121" s="3" t="str">
        <f t="shared" si="25"/>
        <v>117</v>
      </c>
      <c r="AE121">
        <v>61</v>
      </c>
      <c r="AF121" s="3" t="str">
        <f t="shared" si="26"/>
        <v>61</v>
      </c>
      <c r="AG121" t="s">
        <v>33</v>
      </c>
      <c r="AH121" s="3">
        <v>18.829999999999998</v>
      </c>
      <c r="AI121" s="3">
        <f t="shared" si="27"/>
        <v>18.829999999999998</v>
      </c>
      <c r="AJ121" t="s">
        <v>30</v>
      </c>
      <c r="AK121" t="str">
        <f>PROPER(Table1[[#This Row],[CVD Risk Level]])</f>
        <v>High</v>
      </c>
    </row>
    <row r="122" spans="1:37" x14ac:dyDescent="0.3">
      <c r="A122" t="s">
        <v>20</v>
      </c>
      <c r="B122">
        <v>60</v>
      </c>
      <c r="C122" s="8">
        <f t="shared" si="16"/>
        <v>60</v>
      </c>
      <c r="D122" s="5">
        <v>54.8</v>
      </c>
      <c r="E122" s="8">
        <f t="shared" si="17"/>
        <v>54.8</v>
      </c>
      <c r="F122">
        <v>1.77</v>
      </c>
      <c r="G122" s="3">
        <f t="shared" si="18"/>
        <v>1.77</v>
      </c>
      <c r="H122">
        <v>17.5</v>
      </c>
      <c r="I122" s="5">
        <f t="shared" si="14"/>
        <v>17.5</v>
      </c>
      <c r="J122" s="16" t="str">
        <f t="shared" si="19"/>
        <v>Underweight</v>
      </c>
      <c r="K122">
        <v>81.2</v>
      </c>
      <c r="L122">
        <v>0.45900000000000002</v>
      </c>
      <c r="M122" s="11">
        <f t="shared" si="15"/>
        <v>0.45900000000000002</v>
      </c>
      <c r="N122" s="5">
        <f t="shared" si="20"/>
        <v>81.2</v>
      </c>
      <c r="O122">
        <v>108</v>
      </c>
      <c r="P122">
        <v>80</v>
      </c>
      <c r="Q122" s="8">
        <f t="shared" si="21"/>
        <v>80</v>
      </c>
      <c r="R122" s="8">
        <v>-2</v>
      </c>
      <c r="S122" s="8">
        <f t="shared" si="22"/>
        <v>109</v>
      </c>
      <c r="T122" s="8">
        <f>(Table1[[#This Row],[Total Cholesterol (mg/dL)]]+Table1[[#This Row],[HDL (mg/dL)2]]+Table1[[#This Row],[Estimated LDL (mg/dL)2]])*5</f>
        <v>1485</v>
      </c>
      <c r="U122" s="8">
        <f>IF(O122="",Table1[[#This Row],[Estimated LDL (mg/dL)2]]+Table1[[#This Row],[HDL (mg/dL)2]]+(Table1[[#This Row],[Triglycerides]]/5),O122)</f>
        <v>108</v>
      </c>
      <c r="V122">
        <v>108</v>
      </c>
      <c r="W122" s="8">
        <f t="shared" si="23"/>
        <v>108</v>
      </c>
      <c r="X122" t="str">
        <f t="shared" si="24"/>
        <v>Prediabetes</v>
      </c>
      <c r="Y122" t="s">
        <v>23</v>
      </c>
      <c r="Z122" t="s">
        <v>22</v>
      </c>
      <c r="AA122" t="s">
        <v>37</v>
      </c>
      <c r="AB122" s="3" t="s">
        <v>149</v>
      </c>
      <c r="AC122">
        <v>108</v>
      </c>
      <c r="AD122" s="3" t="str">
        <f t="shared" si="25"/>
        <v>108</v>
      </c>
      <c r="AE122">
        <v>81</v>
      </c>
      <c r="AF122" s="3" t="str">
        <f t="shared" si="26"/>
        <v>81</v>
      </c>
      <c r="AG122" t="s">
        <v>29</v>
      </c>
      <c r="AH122" s="3">
        <v>11.06</v>
      </c>
      <c r="AI122" s="3">
        <f t="shared" si="27"/>
        <v>11.06</v>
      </c>
      <c r="AJ122" t="s">
        <v>26</v>
      </c>
      <c r="AK122" t="str">
        <f>PROPER(Table1[[#This Row],[CVD Risk Level]])</f>
        <v>Intermediary</v>
      </c>
    </row>
    <row r="123" spans="1:37" x14ac:dyDescent="0.3">
      <c r="A123" t="s">
        <v>20</v>
      </c>
      <c r="B123">
        <v>40</v>
      </c>
      <c r="C123" s="8">
        <f t="shared" si="16"/>
        <v>40</v>
      </c>
      <c r="D123" s="5">
        <v>113.8</v>
      </c>
      <c r="E123" s="8">
        <f t="shared" si="17"/>
        <v>113.8</v>
      </c>
      <c r="F123">
        <v>1.84</v>
      </c>
      <c r="G123" s="3">
        <f t="shared" si="18"/>
        <v>1.84</v>
      </c>
      <c r="H123">
        <v>33.6</v>
      </c>
      <c r="I123" s="5">
        <f t="shared" si="14"/>
        <v>33.6</v>
      </c>
      <c r="J123" s="16" t="str">
        <f t="shared" si="19"/>
        <v>Obese</v>
      </c>
      <c r="K123">
        <v>96.9</v>
      </c>
      <c r="L123">
        <v>0.52700000000000002</v>
      </c>
      <c r="M123" s="11">
        <f t="shared" si="15"/>
        <v>0.52700000000000002</v>
      </c>
      <c r="N123" s="5">
        <f t="shared" si="20"/>
        <v>96.9</v>
      </c>
      <c r="O123">
        <v>203</v>
      </c>
      <c r="P123">
        <v>56</v>
      </c>
      <c r="Q123" s="8">
        <f t="shared" si="21"/>
        <v>56</v>
      </c>
      <c r="R123" s="8">
        <v>117</v>
      </c>
      <c r="S123" s="8">
        <f t="shared" si="22"/>
        <v>117</v>
      </c>
      <c r="T123" s="8">
        <f>(Table1[[#This Row],[Total Cholesterol (mg/dL)]]+Table1[[#This Row],[HDL (mg/dL)2]]+Table1[[#This Row],[Estimated LDL (mg/dL)2]])*5</f>
        <v>1880</v>
      </c>
      <c r="U123" s="8">
        <f>IF(O123="",Table1[[#This Row],[Estimated LDL (mg/dL)2]]+Table1[[#This Row],[HDL (mg/dL)2]]+(Table1[[#This Row],[Triglycerides]]/5),O123)</f>
        <v>203</v>
      </c>
      <c r="V123">
        <v>109</v>
      </c>
      <c r="W123" s="8">
        <f t="shared" si="23"/>
        <v>109</v>
      </c>
      <c r="X123" t="str">
        <f t="shared" si="24"/>
        <v>Prediabetes</v>
      </c>
      <c r="Y123" t="s">
        <v>23</v>
      </c>
      <c r="Z123" t="s">
        <v>22</v>
      </c>
      <c r="AA123" t="s">
        <v>37</v>
      </c>
      <c r="AB123" s="3" t="s">
        <v>150</v>
      </c>
      <c r="AC123">
        <v>94</v>
      </c>
      <c r="AD123" s="3" t="str">
        <f t="shared" si="25"/>
        <v>94</v>
      </c>
      <c r="AE123">
        <v>92</v>
      </c>
      <c r="AF123" s="3" t="str">
        <f t="shared" si="26"/>
        <v>92</v>
      </c>
      <c r="AG123" t="s">
        <v>38</v>
      </c>
      <c r="AH123" s="3">
        <v>15.48</v>
      </c>
      <c r="AI123" s="3">
        <f t="shared" si="27"/>
        <v>15.48</v>
      </c>
      <c r="AJ123" t="s">
        <v>26</v>
      </c>
      <c r="AK123" t="str">
        <f>PROPER(Table1[[#This Row],[CVD Risk Level]])</f>
        <v>Intermediary</v>
      </c>
    </row>
    <row r="124" spans="1:37" x14ac:dyDescent="0.3">
      <c r="A124" t="s">
        <v>20</v>
      </c>
      <c r="B124">
        <v>52</v>
      </c>
      <c r="C124" s="8">
        <f t="shared" si="16"/>
        <v>52</v>
      </c>
      <c r="D124" s="5">
        <v>117.7</v>
      </c>
      <c r="E124" s="8">
        <f t="shared" si="17"/>
        <v>117.7</v>
      </c>
      <c r="F124">
        <v>1.62</v>
      </c>
      <c r="G124" s="3">
        <f t="shared" si="18"/>
        <v>1.62</v>
      </c>
      <c r="H124">
        <v>44.8</v>
      </c>
      <c r="I124" s="5">
        <f t="shared" si="14"/>
        <v>44.8</v>
      </c>
      <c r="J124" s="16" t="str">
        <f t="shared" si="19"/>
        <v>Obese</v>
      </c>
      <c r="K124">
        <v>80.8</v>
      </c>
      <c r="L124">
        <v>0.499</v>
      </c>
      <c r="M124" s="11">
        <f t="shared" si="15"/>
        <v>0.499</v>
      </c>
      <c r="N124" s="5">
        <f t="shared" si="20"/>
        <v>80.8</v>
      </c>
      <c r="O124">
        <v>202</v>
      </c>
      <c r="P124">
        <v>77</v>
      </c>
      <c r="Q124" s="8">
        <f t="shared" si="21"/>
        <v>77</v>
      </c>
      <c r="R124" s="8">
        <v>95</v>
      </c>
      <c r="S124" s="8">
        <f t="shared" si="22"/>
        <v>95</v>
      </c>
      <c r="T124" s="8">
        <f>(Table1[[#This Row],[Total Cholesterol (mg/dL)]]+Table1[[#This Row],[HDL (mg/dL)2]]+Table1[[#This Row],[Estimated LDL (mg/dL)2]])*5</f>
        <v>1870</v>
      </c>
      <c r="U124" s="8">
        <f>IF(O124="",Table1[[#This Row],[Estimated LDL (mg/dL)2]]+Table1[[#This Row],[HDL (mg/dL)2]]+(Table1[[#This Row],[Triglycerides]]/5),O124)</f>
        <v>202</v>
      </c>
      <c r="V124">
        <v>75</v>
      </c>
      <c r="W124" s="8">
        <f t="shared" si="23"/>
        <v>75</v>
      </c>
      <c r="X124" t="str">
        <f t="shared" si="24"/>
        <v>Normal</v>
      </c>
      <c r="Y124" t="s">
        <v>22</v>
      </c>
      <c r="Z124" t="s">
        <v>23</v>
      </c>
      <c r="AA124" t="s">
        <v>24</v>
      </c>
      <c r="AB124" s="3" t="s">
        <v>151</v>
      </c>
      <c r="AC124">
        <v>137</v>
      </c>
      <c r="AD124" s="3" t="str">
        <f t="shared" si="25"/>
        <v>137</v>
      </c>
      <c r="AE124">
        <v>82</v>
      </c>
      <c r="AF124" s="3" t="str">
        <f t="shared" si="26"/>
        <v>82</v>
      </c>
      <c r="AG124" t="s">
        <v>29</v>
      </c>
      <c r="AH124" s="3">
        <v>21.85</v>
      </c>
      <c r="AI124" s="3">
        <f t="shared" si="27"/>
        <v>21.85</v>
      </c>
      <c r="AJ124" t="s">
        <v>30</v>
      </c>
      <c r="AK124" t="str">
        <f>PROPER(Table1[[#This Row],[CVD Risk Level]])</f>
        <v>High</v>
      </c>
    </row>
    <row r="125" spans="1:37" x14ac:dyDescent="0.3">
      <c r="A125" t="s">
        <v>31</v>
      </c>
      <c r="B125">
        <v>45</v>
      </c>
      <c r="C125" s="8">
        <f t="shared" si="16"/>
        <v>45</v>
      </c>
      <c r="D125" s="5">
        <v>100.4</v>
      </c>
      <c r="E125" s="8">
        <f t="shared" si="17"/>
        <v>100.4</v>
      </c>
      <c r="F125">
        <v>1.62</v>
      </c>
      <c r="G125" s="3">
        <f t="shared" si="18"/>
        <v>1.62</v>
      </c>
      <c r="H125">
        <v>38.299999999999997</v>
      </c>
      <c r="I125" s="5">
        <f t="shared" si="14"/>
        <v>38.299999999999997</v>
      </c>
      <c r="J125" s="16" t="str">
        <f t="shared" si="19"/>
        <v>Obese</v>
      </c>
      <c r="K125">
        <v>76.3</v>
      </c>
      <c r="L125">
        <v>0.47099999999999997</v>
      </c>
      <c r="M125" s="11">
        <f t="shared" si="15"/>
        <v>0.47099999999999997</v>
      </c>
      <c r="N125" s="5">
        <f t="shared" si="20"/>
        <v>76.3</v>
      </c>
      <c r="O125">
        <v>254</v>
      </c>
      <c r="P125">
        <v>31</v>
      </c>
      <c r="Q125" s="8">
        <f t="shared" si="21"/>
        <v>31</v>
      </c>
      <c r="R125" s="8">
        <v>193</v>
      </c>
      <c r="S125" s="8">
        <f t="shared" si="22"/>
        <v>193</v>
      </c>
      <c r="T125" s="8">
        <f>(Table1[[#This Row],[Total Cholesterol (mg/dL)]]+Table1[[#This Row],[HDL (mg/dL)2]]+Table1[[#This Row],[Estimated LDL (mg/dL)2]])*5</f>
        <v>2390</v>
      </c>
      <c r="U125" s="8">
        <f>IF(O125="",Table1[[#This Row],[Estimated LDL (mg/dL)2]]+Table1[[#This Row],[HDL (mg/dL)2]]+(Table1[[#This Row],[Triglycerides]]/5),O125)</f>
        <v>254</v>
      </c>
      <c r="V125">
        <v>130</v>
      </c>
      <c r="W125" s="8">
        <f t="shared" si="23"/>
        <v>130</v>
      </c>
      <c r="X125" t="str">
        <f t="shared" si="24"/>
        <v>Diabetes</v>
      </c>
      <c r="Y125" t="s">
        <v>22</v>
      </c>
      <c r="Z125" t="s">
        <v>23</v>
      </c>
      <c r="AA125" t="s">
        <v>24</v>
      </c>
      <c r="AB125" s="3" t="s">
        <v>152</v>
      </c>
      <c r="AC125">
        <v>128</v>
      </c>
      <c r="AD125" s="3" t="str">
        <f t="shared" si="25"/>
        <v>128</v>
      </c>
      <c r="AE125">
        <v>91</v>
      </c>
      <c r="AF125" s="3" t="str">
        <f t="shared" si="26"/>
        <v>91</v>
      </c>
      <c r="AG125" t="s">
        <v>38</v>
      </c>
      <c r="AH125" s="3">
        <v>21.14</v>
      </c>
      <c r="AI125" s="3">
        <f t="shared" si="27"/>
        <v>21.14</v>
      </c>
      <c r="AJ125" t="s">
        <v>30</v>
      </c>
      <c r="AK125" t="str">
        <f>PROPER(Table1[[#This Row],[CVD Risk Level]])</f>
        <v>High</v>
      </c>
    </row>
    <row r="126" spans="1:37" x14ac:dyDescent="0.3">
      <c r="A126" t="s">
        <v>20</v>
      </c>
      <c r="B126">
        <v>49</v>
      </c>
      <c r="C126" s="8">
        <f t="shared" si="16"/>
        <v>49</v>
      </c>
      <c r="D126" s="5">
        <v>101</v>
      </c>
      <c r="E126" s="8">
        <f t="shared" si="17"/>
        <v>101</v>
      </c>
      <c r="F126">
        <v>1.74</v>
      </c>
      <c r="G126" s="3">
        <f t="shared" si="18"/>
        <v>1.74</v>
      </c>
      <c r="H126">
        <v>33.4</v>
      </c>
      <c r="I126" s="5">
        <f t="shared" si="14"/>
        <v>33.4</v>
      </c>
      <c r="J126" s="16" t="str">
        <f t="shared" si="19"/>
        <v>Obese</v>
      </c>
      <c r="K126">
        <v>80.599999999999994</v>
      </c>
      <c r="L126">
        <v>0.46300000000000002</v>
      </c>
      <c r="M126" s="11">
        <f t="shared" si="15"/>
        <v>0.46300000000000002</v>
      </c>
      <c r="N126" s="5">
        <f t="shared" si="20"/>
        <v>80.599999999999994</v>
      </c>
      <c r="O126">
        <v>172</v>
      </c>
      <c r="P126">
        <v>50</v>
      </c>
      <c r="Q126" s="8">
        <f t="shared" si="21"/>
        <v>50</v>
      </c>
      <c r="R126" s="8">
        <v>92</v>
      </c>
      <c r="S126" s="8">
        <f t="shared" si="22"/>
        <v>92</v>
      </c>
      <c r="T126" s="8">
        <f>(Table1[[#This Row],[Total Cholesterol (mg/dL)]]+Table1[[#This Row],[HDL (mg/dL)2]]+Table1[[#This Row],[Estimated LDL (mg/dL)2]])*5</f>
        <v>1570</v>
      </c>
      <c r="U126" s="8">
        <f>IF(O126="",Table1[[#This Row],[Estimated LDL (mg/dL)2]]+Table1[[#This Row],[HDL (mg/dL)2]]+(Table1[[#This Row],[Triglycerides]]/5),O126)</f>
        <v>172</v>
      </c>
      <c r="V126">
        <v>128</v>
      </c>
      <c r="W126" s="8">
        <f t="shared" si="23"/>
        <v>128</v>
      </c>
      <c r="X126" t="str">
        <f t="shared" si="24"/>
        <v>Diabetes</v>
      </c>
      <c r="Y126" t="s">
        <v>22</v>
      </c>
      <c r="Z126" t="s">
        <v>23</v>
      </c>
      <c r="AA126" t="s">
        <v>37</v>
      </c>
      <c r="AB126" s="3" t="s">
        <v>153</v>
      </c>
      <c r="AC126">
        <v>94</v>
      </c>
      <c r="AD126" s="3" t="str">
        <f t="shared" si="25"/>
        <v>94</v>
      </c>
      <c r="AE126">
        <v>79</v>
      </c>
      <c r="AF126" s="3" t="str">
        <f t="shared" si="26"/>
        <v>79</v>
      </c>
      <c r="AG126" t="s">
        <v>33</v>
      </c>
      <c r="AH126" s="3">
        <v>16.82</v>
      </c>
      <c r="AI126" s="3">
        <f t="shared" si="27"/>
        <v>16.82</v>
      </c>
      <c r="AJ126" t="s">
        <v>30</v>
      </c>
      <c r="AK126" t="str">
        <f>PROPER(Table1[[#This Row],[CVD Risk Level]])</f>
        <v>High</v>
      </c>
    </row>
    <row r="127" spans="1:37" x14ac:dyDescent="0.3">
      <c r="A127" t="s">
        <v>31</v>
      </c>
      <c r="B127">
        <v>45</v>
      </c>
      <c r="C127" s="8">
        <f t="shared" si="16"/>
        <v>45</v>
      </c>
      <c r="D127" s="5">
        <v>67.5</v>
      </c>
      <c r="E127" s="8">
        <f t="shared" si="17"/>
        <v>67.5</v>
      </c>
      <c r="F127">
        <v>1.83</v>
      </c>
      <c r="G127" s="3">
        <f t="shared" si="18"/>
        <v>1.83</v>
      </c>
      <c r="H127">
        <v>20.2</v>
      </c>
      <c r="I127" s="5">
        <f t="shared" si="14"/>
        <v>20.2</v>
      </c>
      <c r="J127" s="16" t="str">
        <f t="shared" si="19"/>
        <v>Normal</v>
      </c>
      <c r="K127">
        <v>91.3</v>
      </c>
      <c r="L127">
        <v>0.499</v>
      </c>
      <c r="M127" s="11">
        <f t="shared" si="15"/>
        <v>0.499</v>
      </c>
      <c r="N127" s="5">
        <f t="shared" si="20"/>
        <v>91.3</v>
      </c>
      <c r="O127">
        <v>166</v>
      </c>
      <c r="P127">
        <v>59</v>
      </c>
      <c r="Q127" s="8">
        <f t="shared" si="21"/>
        <v>59</v>
      </c>
      <c r="R127" s="8">
        <v>77</v>
      </c>
      <c r="S127" s="8">
        <f t="shared" si="22"/>
        <v>77</v>
      </c>
      <c r="T127" s="8">
        <f>(Table1[[#This Row],[Total Cholesterol (mg/dL)]]+Table1[[#This Row],[HDL (mg/dL)2]]+Table1[[#This Row],[Estimated LDL (mg/dL)2]])*5</f>
        <v>1510</v>
      </c>
      <c r="U127" s="8">
        <f>IF(O127="",Table1[[#This Row],[Estimated LDL (mg/dL)2]]+Table1[[#This Row],[HDL (mg/dL)2]]+(Table1[[#This Row],[Triglycerides]]/5),O127)</f>
        <v>166</v>
      </c>
      <c r="V127">
        <v>98</v>
      </c>
      <c r="W127" s="8">
        <f t="shared" si="23"/>
        <v>98</v>
      </c>
      <c r="X127" t="str">
        <f t="shared" si="24"/>
        <v>Normal</v>
      </c>
      <c r="Y127" t="s">
        <v>22</v>
      </c>
      <c r="Z127" t="s">
        <v>22</v>
      </c>
      <c r="AA127" t="s">
        <v>37</v>
      </c>
      <c r="AB127" s="3" t="s">
        <v>154</v>
      </c>
      <c r="AC127">
        <v>149</v>
      </c>
      <c r="AD127" s="3" t="str">
        <f t="shared" si="25"/>
        <v>149</v>
      </c>
      <c r="AE127">
        <v>66</v>
      </c>
      <c r="AF127" s="3" t="str">
        <f t="shared" si="26"/>
        <v>66</v>
      </c>
      <c r="AG127" t="s">
        <v>38</v>
      </c>
      <c r="AH127" s="3">
        <v>14.81</v>
      </c>
      <c r="AI127" s="3">
        <f t="shared" si="27"/>
        <v>14.81</v>
      </c>
      <c r="AJ127" t="s">
        <v>52</v>
      </c>
      <c r="AK127" t="str">
        <f>PROPER(Table1[[#This Row],[CVD Risk Level]])</f>
        <v>Low</v>
      </c>
    </row>
    <row r="128" spans="1:37" x14ac:dyDescent="0.3">
      <c r="A128" t="s">
        <v>20</v>
      </c>
      <c r="B128">
        <v>37</v>
      </c>
      <c r="C128" s="8">
        <f t="shared" si="16"/>
        <v>37</v>
      </c>
      <c r="D128" s="5">
        <v>117.3</v>
      </c>
      <c r="E128" s="8">
        <f t="shared" si="17"/>
        <v>117.3</v>
      </c>
      <c r="F128">
        <v>1.78</v>
      </c>
      <c r="G128" s="3">
        <f t="shared" si="18"/>
        <v>1.78</v>
      </c>
      <c r="H128">
        <v>37</v>
      </c>
      <c r="I128" s="5">
        <f t="shared" si="14"/>
        <v>37</v>
      </c>
      <c r="J128" s="16" t="str">
        <f t="shared" si="19"/>
        <v>Obese</v>
      </c>
      <c r="K128">
        <v>84.6</v>
      </c>
      <c r="L128">
        <v>0.47499999999999998</v>
      </c>
      <c r="M128" s="11">
        <f t="shared" si="15"/>
        <v>0.47499999999999998</v>
      </c>
      <c r="N128" s="5">
        <f t="shared" si="20"/>
        <v>84.6</v>
      </c>
      <c r="O128">
        <v>206</v>
      </c>
      <c r="P128">
        <v>51</v>
      </c>
      <c r="Q128" s="8">
        <f t="shared" si="21"/>
        <v>51</v>
      </c>
      <c r="R128" s="8">
        <v>125</v>
      </c>
      <c r="S128" s="8">
        <f t="shared" si="22"/>
        <v>125</v>
      </c>
      <c r="T128" s="8">
        <f>(Table1[[#This Row],[Total Cholesterol (mg/dL)]]+Table1[[#This Row],[HDL (mg/dL)2]]+Table1[[#This Row],[Estimated LDL (mg/dL)2]])*5</f>
        <v>1910</v>
      </c>
      <c r="U128" s="8">
        <f>IF(O128="",Table1[[#This Row],[Estimated LDL (mg/dL)2]]+Table1[[#This Row],[HDL (mg/dL)2]]+(Table1[[#This Row],[Triglycerides]]/5),O128)</f>
        <v>206</v>
      </c>
      <c r="V128">
        <v>120</v>
      </c>
      <c r="W128" s="8">
        <f t="shared" si="23"/>
        <v>120</v>
      </c>
      <c r="X128" t="str">
        <f t="shared" si="24"/>
        <v>Prediabetes</v>
      </c>
      <c r="Y128" t="s">
        <v>22</v>
      </c>
      <c r="Z128" t="s">
        <v>23</v>
      </c>
      <c r="AA128" t="s">
        <v>28</v>
      </c>
      <c r="AB128" s="3" t="s">
        <v>155</v>
      </c>
      <c r="AC128">
        <v>135</v>
      </c>
      <c r="AD128" s="3" t="str">
        <f t="shared" si="25"/>
        <v>135</v>
      </c>
      <c r="AE128">
        <v>77</v>
      </c>
      <c r="AF128" s="3" t="str">
        <f t="shared" si="26"/>
        <v>77</v>
      </c>
      <c r="AG128" t="s">
        <v>29</v>
      </c>
      <c r="AH128" s="3">
        <v>20.27</v>
      </c>
      <c r="AI128" s="3">
        <f t="shared" si="27"/>
        <v>20.27</v>
      </c>
      <c r="AJ128" t="s">
        <v>26</v>
      </c>
      <c r="AK128" t="str">
        <f>PROPER(Table1[[#This Row],[CVD Risk Level]])</f>
        <v>Intermediary</v>
      </c>
    </row>
    <row r="129" spans="1:37" x14ac:dyDescent="0.3">
      <c r="A129" t="s">
        <v>20</v>
      </c>
      <c r="B129">
        <v>34</v>
      </c>
      <c r="C129" s="8">
        <f t="shared" si="16"/>
        <v>34</v>
      </c>
      <c r="D129" s="5">
        <v>94.4</v>
      </c>
      <c r="E129" s="8">
        <f t="shared" si="17"/>
        <v>94.4</v>
      </c>
      <c r="F129">
        <v>1.8</v>
      </c>
      <c r="G129" s="3">
        <f t="shared" si="18"/>
        <v>1.8</v>
      </c>
      <c r="H129">
        <v>29.1</v>
      </c>
      <c r="I129" s="5">
        <f t="shared" si="14"/>
        <v>29.1</v>
      </c>
      <c r="J129" s="16" t="str">
        <f t="shared" si="19"/>
        <v>Overweight</v>
      </c>
      <c r="K129">
        <v>90.9</v>
      </c>
      <c r="L129">
        <v>0.505</v>
      </c>
      <c r="M129" s="11">
        <f t="shared" si="15"/>
        <v>0.505</v>
      </c>
      <c r="N129" s="5">
        <f t="shared" si="20"/>
        <v>90.9</v>
      </c>
      <c r="Q129" s="8">
        <f t="shared" si="21"/>
        <v>56.197377501725327</v>
      </c>
      <c r="R129" s="8">
        <v>139</v>
      </c>
      <c r="S129" s="8">
        <f>IF(R129&lt;=0,MEDIAN($R$2:$R$1530),R129)</f>
        <v>139</v>
      </c>
      <c r="T129" s="8">
        <f>(Table1[[#This Row],[Total Cholesterol (mg/dL)]]+Table1[[#This Row],[HDL (mg/dL)2]]+Table1[[#This Row],[Estimated LDL (mg/dL)2]])*5</f>
        <v>975.98688750862664</v>
      </c>
      <c r="U129" s="8">
        <f>IF(O129="",Table1[[#This Row],[Estimated LDL (mg/dL)2]]+Table1[[#This Row],[HDL (mg/dL)2]]+(Table1[[#This Row],[Triglycerides]]/5),O129)</f>
        <v>390.39475500345065</v>
      </c>
      <c r="V129">
        <v>89</v>
      </c>
      <c r="W129" s="8">
        <f t="shared" si="23"/>
        <v>89</v>
      </c>
      <c r="X129" t="str">
        <f t="shared" si="24"/>
        <v>Normal</v>
      </c>
      <c r="Y129" t="s">
        <v>22</v>
      </c>
      <c r="Z129" t="s">
        <v>22</v>
      </c>
      <c r="AA129" t="s">
        <v>24</v>
      </c>
      <c r="AB129" s="3" t="s">
        <v>156</v>
      </c>
      <c r="AC129">
        <v>100</v>
      </c>
      <c r="AD129" s="3" t="str">
        <f t="shared" si="25"/>
        <v>100</v>
      </c>
      <c r="AE129">
        <v>76</v>
      </c>
      <c r="AF129" s="3" t="str">
        <f t="shared" si="26"/>
        <v>76</v>
      </c>
      <c r="AG129" t="s">
        <v>33</v>
      </c>
      <c r="AH129" s="3">
        <v>15.54</v>
      </c>
      <c r="AI129" s="3">
        <f t="shared" si="27"/>
        <v>15.54</v>
      </c>
      <c r="AJ129" t="s">
        <v>26</v>
      </c>
      <c r="AK129" t="str">
        <f>PROPER(Table1[[#This Row],[CVD Risk Level]])</f>
        <v>Intermediary</v>
      </c>
    </row>
    <row r="130" spans="1:37" x14ac:dyDescent="0.3">
      <c r="A130" t="s">
        <v>31</v>
      </c>
      <c r="B130">
        <v>31</v>
      </c>
      <c r="C130" s="8">
        <f t="shared" si="16"/>
        <v>31</v>
      </c>
      <c r="D130" s="5">
        <v>104.1</v>
      </c>
      <c r="E130" s="8">
        <f t="shared" si="17"/>
        <v>104.1</v>
      </c>
      <c r="F130">
        <v>1.69</v>
      </c>
      <c r="G130" s="3">
        <f t="shared" si="18"/>
        <v>1.69</v>
      </c>
      <c r="H130">
        <v>36.4</v>
      </c>
      <c r="I130" s="5">
        <f t="shared" ref="I130:I193" si="28" xml:space="preserve"> IF(H130="",E130 / (G130^2),H130)</f>
        <v>36.4</v>
      </c>
      <c r="J130" s="16" t="str">
        <f t="shared" si="19"/>
        <v>Obese</v>
      </c>
      <c r="K130">
        <v>74.099999999999994</v>
      </c>
      <c r="L130">
        <v>0.438</v>
      </c>
      <c r="M130" s="11">
        <f t="shared" ref="M130:M193" si="29">IF(L130="",K130/(G130*100),L130)</f>
        <v>0.438</v>
      </c>
      <c r="N130" s="5">
        <f t="shared" si="20"/>
        <v>74.099999999999994</v>
      </c>
      <c r="O130">
        <v>143</v>
      </c>
      <c r="P130">
        <v>50</v>
      </c>
      <c r="Q130" s="8">
        <f t="shared" si="21"/>
        <v>50</v>
      </c>
      <c r="R130" s="8">
        <v>63</v>
      </c>
      <c r="S130" s="8">
        <f t="shared" si="22"/>
        <v>63</v>
      </c>
      <c r="T130" s="8">
        <f>(Table1[[#This Row],[Total Cholesterol (mg/dL)]]+Table1[[#This Row],[HDL (mg/dL)2]]+Table1[[#This Row],[Estimated LDL (mg/dL)2]])*5</f>
        <v>1280</v>
      </c>
      <c r="U130" s="8">
        <f>IF(O130="",Table1[[#This Row],[Estimated LDL (mg/dL)2]]+Table1[[#This Row],[HDL (mg/dL)2]]+(Table1[[#This Row],[Triglycerides]]/5),O130)</f>
        <v>143</v>
      </c>
      <c r="V130">
        <v>73</v>
      </c>
      <c r="W130" s="8">
        <f t="shared" si="23"/>
        <v>73</v>
      </c>
      <c r="X130" t="str">
        <f t="shared" si="24"/>
        <v>Normal</v>
      </c>
      <c r="Y130" t="s">
        <v>22</v>
      </c>
      <c r="Z130" t="s">
        <v>22</v>
      </c>
      <c r="AA130" t="s">
        <v>28</v>
      </c>
      <c r="AB130" s="3" t="s">
        <v>157</v>
      </c>
      <c r="AC130">
        <v>95</v>
      </c>
      <c r="AD130" s="3" t="str">
        <f t="shared" si="25"/>
        <v>95</v>
      </c>
      <c r="AE130">
        <v>84</v>
      </c>
      <c r="AF130" s="3" t="str">
        <f t="shared" si="26"/>
        <v>84</v>
      </c>
      <c r="AG130" t="s">
        <v>29</v>
      </c>
      <c r="AH130" s="3">
        <v>14.89</v>
      </c>
      <c r="AI130" s="3">
        <f t="shared" si="27"/>
        <v>14.89</v>
      </c>
      <c r="AJ130" t="s">
        <v>52</v>
      </c>
      <c r="AK130" t="str">
        <f>PROPER(Table1[[#This Row],[CVD Risk Level]])</f>
        <v>Low</v>
      </c>
    </row>
    <row r="131" spans="1:37" x14ac:dyDescent="0.3">
      <c r="A131" t="s">
        <v>20</v>
      </c>
      <c r="B131">
        <v>31</v>
      </c>
      <c r="C131" s="8">
        <f t="shared" ref="C131:C194" si="30">IF(B131="",AVERAGE($B$2:$B$1530),B131)</f>
        <v>31</v>
      </c>
      <c r="D131" s="5">
        <v>113.4</v>
      </c>
      <c r="E131" s="8">
        <f t="shared" ref="E131:E194" si="31">IF(D131="", H131*(F131^2),D131)</f>
        <v>113.4</v>
      </c>
      <c r="F131">
        <v>1.76</v>
      </c>
      <c r="G131" s="3">
        <f t="shared" ref="G131:G194" si="32">IF(F131="", SQRT(E131 / H131),F131)</f>
        <v>1.76</v>
      </c>
      <c r="H131">
        <v>36.6</v>
      </c>
      <c r="I131" s="5">
        <f t="shared" si="28"/>
        <v>36.6</v>
      </c>
      <c r="J131" s="16" t="str">
        <f t="shared" ref="J131:J194" si="33">IF(I131&lt;18.5,"Underweight",IF(I131&lt;25,"Normal",IF(I131&lt;30,"Overweight","Obese")))</f>
        <v>Obese</v>
      </c>
      <c r="K131">
        <v>101</v>
      </c>
      <c r="L131">
        <v>0.57399999999999995</v>
      </c>
      <c r="M131" s="11">
        <f t="shared" si="29"/>
        <v>0.57399999999999995</v>
      </c>
      <c r="N131" s="5">
        <f t="shared" ref="N131:N194" si="34">IF(K131="",M131*(G131*100),K131)</f>
        <v>101</v>
      </c>
      <c r="O131">
        <v>101</v>
      </c>
      <c r="P131">
        <v>31</v>
      </c>
      <c r="Q131" s="8">
        <f t="shared" ref="Q131:Q194" si="35">IF(P131="",AVERAGE($P$2:$P$1530),P131)</f>
        <v>31</v>
      </c>
      <c r="R131" s="8">
        <v>40</v>
      </c>
      <c r="S131" s="8">
        <f t="shared" ref="S131:S194" si="36">IF(R131&lt;=0,MEDIAN($R$2:$R$1530),R131)</f>
        <v>40</v>
      </c>
      <c r="T131" s="8">
        <f>(Table1[[#This Row],[Total Cholesterol (mg/dL)]]+Table1[[#This Row],[HDL (mg/dL)2]]+Table1[[#This Row],[Estimated LDL (mg/dL)2]])*5</f>
        <v>860</v>
      </c>
      <c r="U131" s="8">
        <f>IF(O131="",Table1[[#This Row],[Estimated LDL (mg/dL)2]]+Table1[[#This Row],[HDL (mg/dL)2]]+(Table1[[#This Row],[Triglycerides]]/5),O131)</f>
        <v>101</v>
      </c>
      <c r="V131">
        <v>98</v>
      </c>
      <c r="W131" s="8">
        <f t="shared" ref="W131:W194" si="37">IF(V131="",AVERAGE($V$2:$V$1530),V131)</f>
        <v>98</v>
      </c>
      <c r="X131" t="str">
        <f t="shared" ref="X131:X194" si="38">IF(W131&lt;100,"Normal",IF(W131&lt;126,"Prediabetes","Diabetes"))</f>
        <v>Normal</v>
      </c>
      <c r="Y131" t="s">
        <v>23</v>
      </c>
      <c r="Z131" t="s">
        <v>22</v>
      </c>
      <c r="AA131" t="s">
        <v>28</v>
      </c>
      <c r="AB131" s="3" t="s">
        <v>158</v>
      </c>
      <c r="AC131">
        <v>110</v>
      </c>
      <c r="AD131" s="3" t="str">
        <f t="shared" ref="AD131:AD194" si="39">LEFT(AB131,FIND("/",AB131)-1)</f>
        <v>110</v>
      </c>
      <c r="AE131">
        <v>83</v>
      </c>
      <c r="AF131" s="3" t="str">
        <f t="shared" ref="AF131:AF194" si="40">RIGHT(AB131,LEN(AB131)-FIND("/",AB131))</f>
        <v>83</v>
      </c>
      <c r="AG131" t="s">
        <v>29</v>
      </c>
      <c r="AH131" s="3">
        <v>14.84</v>
      </c>
      <c r="AI131" s="3">
        <f t="shared" ref="AI131:AI194" si="41">IF(AH131="",AVERAGE($AH$2:$AH$1530),AH131)</f>
        <v>14.84</v>
      </c>
      <c r="AJ131" t="s">
        <v>26</v>
      </c>
      <c r="AK131" t="str">
        <f>PROPER(Table1[[#This Row],[CVD Risk Level]])</f>
        <v>Intermediary</v>
      </c>
    </row>
    <row r="132" spans="1:37" x14ac:dyDescent="0.3">
      <c r="A132" t="s">
        <v>31</v>
      </c>
      <c r="B132">
        <v>59</v>
      </c>
      <c r="C132" s="8">
        <f t="shared" si="30"/>
        <v>59</v>
      </c>
      <c r="D132" s="5">
        <v>97.1</v>
      </c>
      <c r="E132" s="8">
        <f t="shared" si="31"/>
        <v>97.1</v>
      </c>
      <c r="F132">
        <v>1.61</v>
      </c>
      <c r="G132" s="3">
        <f t="shared" si="32"/>
        <v>1.61</v>
      </c>
      <c r="H132">
        <v>37.5</v>
      </c>
      <c r="I132" s="5">
        <f t="shared" si="28"/>
        <v>37.5</v>
      </c>
      <c r="J132" s="16" t="str">
        <f t="shared" si="33"/>
        <v>Obese</v>
      </c>
      <c r="L132">
        <v>0.50900000000000001</v>
      </c>
      <c r="M132" s="11">
        <f t="shared" si="29"/>
        <v>0.50900000000000001</v>
      </c>
      <c r="N132" s="5">
        <f t="shared" si="34"/>
        <v>81.948999999999998</v>
      </c>
      <c r="O132">
        <v>120</v>
      </c>
      <c r="P132">
        <v>45</v>
      </c>
      <c r="Q132" s="8">
        <f t="shared" si="35"/>
        <v>45</v>
      </c>
      <c r="S132" s="8">
        <f t="shared" si="36"/>
        <v>109</v>
      </c>
      <c r="T132" s="8">
        <f>(Table1[[#This Row],[Total Cholesterol (mg/dL)]]+Table1[[#This Row],[HDL (mg/dL)2]]+Table1[[#This Row],[Estimated LDL (mg/dL)2]])*5</f>
        <v>1370</v>
      </c>
      <c r="U132" s="8">
        <f>IF(O132="",Table1[[#This Row],[Estimated LDL (mg/dL)2]]+Table1[[#This Row],[HDL (mg/dL)2]]+(Table1[[#This Row],[Triglycerides]]/5),O132)</f>
        <v>120</v>
      </c>
      <c r="V132">
        <v>90</v>
      </c>
      <c r="W132" s="8">
        <f t="shared" si="37"/>
        <v>90</v>
      </c>
      <c r="X132" t="str">
        <f t="shared" si="38"/>
        <v>Normal</v>
      </c>
      <c r="Y132" t="s">
        <v>23</v>
      </c>
      <c r="Z132" t="s">
        <v>22</v>
      </c>
      <c r="AA132" t="s">
        <v>28</v>
      </c>
      <c r="AB132" s="3" t="s">
        <v>159</v>
      </c>
      <c r="AC132">
        <v>92</v>
      </c>
      <c r="AD132" s="3" t="str">
        <f t="shared" si="39"/>
        <v>92</v>
      </c>
      <c r="AE132">
        <v>90</v>
      </c>
      <c r="AF132" s="3" t="str">
        <f t="shared" si="40"/>
        <v>90</v>
      </c>
      <c r="AG132" t="s">
        <v>38</v>
      </c>
      <c r="AH132" s="3">
        <v>14.5</v>
      </c>
      <c r="AI132" s="3">
        <f t="shared" si="41"/>
        <v>14.5</v>
      </c>
      <c r="AJ132" t="s">
        <v>30</v>
      </c>
      <c r="AK132" t="str">
        <f>PROPER(Table1[[#This Row],[CVD Risk Level]])</f>
        <v>High</v>
      </c>
    </row>
    <row r="133" spans="1:37" x14ac:dyDescent="0.3">
      <c r="A133" t="s">
        <v>31</v>
      </c>
      <c r="B133">
        <v>54</v>
      </c>
      <c r="C133" s="8">
        <f t="shared" si="30"/>
        <v>54</v>
      </c>
      <c r="E133" s="8">
        <f t="shared" si="31"/>
        <v>80.341999999999999</v>
      </c>
      <c r="F133">
        <v>1.7</v>
      </c>
      <c r="G133" s="3">
        <f t="shared" si="32"/>
        <v>1.7</v>
      </c>
      <c r="H133">
        <v>27.8</v>
      </c>
      <c r="I133" s="5">
        <f t="shared" si="28"/>
        <v>27.8</v>
      </c>
      <c r="J133" s="16" t="str">
        <f t="shared" si="33"/>
        <v>Overweight</v>
      </c>
      <c r="K133">
        <v>70.400000000000006</v>
      </c>
      <c r="L133">
        <v>0.41399999999999998</v>
      </c>
      <c r="M133" s="11">
        <f t="shared" si="29"/>
        <v>0.41399999999999998</v>
      </c>
      <c r="N133" s="5">
        <f t="shared" si="34"/>
        <v>70.400000000000006</v>
      </c>
      <c r="P133">
        <v>41</v>
      </c>
      <c r="Q133" s="8">
        <f t="shared" si="35"/>
        <v>41</v>
      </c>
      <c r="R133" s="8">
        <v>150</v>
      </c>
      <c r="S133" s="8">
        <f t="shared" si="36"/>
        <v>150</v>
      </c>
      <c r="T133" s="8">
        <f>(Table1[[#This Row],[Total Cholesterol (mg/dL)]]+Table1[[#This Row],[HDL (mg/dL)2]]+Table1[[#This Row],[Estimated LDL (mg/dL)2]])*5</f>
        <v>955</v>
      </c>
      <c r="U133" s="8">
        <f>IF(O133="",Table1[[#This Row],[Estimated LDL (mg/dL)2]]+Table1[[#This Row],[HDL (mg/dL)2]]+(Table1[[#This Row],[Triglycerides]]/5),O133)</f>
        <v>382</v>
      </c>
      <c r="V133">
        <v>110</v>
      </c>
      <c r="W133" s="8">
        <f t="shared" si="37"/>
        <v>110</v>
      </c>
      <c r="X133" t="str">
        <f t="shared" si="38"/>
        <v>Prediabetes</v>
      </c>
      <c r="Y133" t="s">
        <v>23</v>
      </c>
      <c r="Z133" t="s">
        <v>23</v>
      </c>
      <c r="AA133" t="s">
        <v>28</v>
      </c>
      <c r="AB133" s="3" t="s">
        <v>160</v>
      </c>
      <c r="AC133">
        <v>111</v>
      </c>
      <c r="AD133" s="3" t="str">
        <f t="shared" si="39"/>
        <v>111</v>
      </c>
      <c r="AE133">
        <v>94</v>
      </c>
      <c r="AF133" s="3" t="str">
        <f t="shared" si="40"/>
        <v>94</v>
      </c>
      <c r="AG133" t="s">
        <v>38</v>
      </c>
      <c r="AH133" s="3">
        <v>17.53</v>
      </c>
      <c r="AI133" s="3">
        <f t="shared" si="41"/>
        <v>17.53</v>
      </c>
      <c r="AJ133" t="s">
        <v>30</v>
      </c>
      <c r="AK133" t="str">
        <f>PROPER(Table1[[#This Row],[CVD Risk Level]])</f>
        <v>High</v>
      </c>
    </row>
    <row r="134" spans="1:37" x14ac:dyDescent="0.3">
      <c r="A134" t="s">
        <v>20</v>
      </c>
      <c r="B134">
        <v>34</v>
      </c>
      <c r="C134" s="8">
        <f t="shared" si="30"/>
        <v>34</v>
      </c>
      <c r="D134" s="5">
        <v>116.1</v>
      </c>
      <c r="E134" s="8">
        <f t="shared" si="31"/>
        <v>116.1</v>
      </c>
      <c r="F134">
        <v>1.79</v>
      </c>
      <c r="G134" s="3">
        <f t="shared" si="32"/>
        <v>1.79</v>
      </c>
      <c r="H134">
        <v>36.200000000000003</v>
      </c>
      <c r="I134" s="5">
        <f t="shared" si="28"/>
        <v>36.200000000000003</v>
      </c>
      <c r="J134" s="16" t="str">
        <f t="shared" si="33"/>
        <v>Obese</v>
      </c>
      <c r="K134">
        <v>78.599999999999994</v>
      </c>
      <c r="L134">
        <v>0.439</v>
      </c>
      <c r="M134" s="11">
        <f t="shared" si="29"/>
        <v>0.439</v>
      </c>
      <c r="N134" s="5">
        <f t="shared" si="34"/>
        <v>78.599999999999994</v>
      </c>
      <c r="O134">
        <v>167</v>
      </c>
      <c r="P134">
        <v>62</v>
      </c>
      <c r="Q134" s="8">
        <f t="shared" si="35"/>
        <v>62</v>
      </c>
      <c r="R134" s="8">
        <v>75</v>
      </c>
      <c r="S134" s="8">
        <f t="shared" si="36"/>
        <v>75</v>
      </c>
      <c r="T134" s="8">
        <f>(Table1[[#This Row],[Total Cholesterol (mg/dL)]]+Table1[[#This Row],[HDL (mg/dL)2]]+Table1[[#This Row],[Estimated LDL (mg/dL)2]])*5</f>
        <v>1520</v>
      </c>
      <c r="U134" s="8">
        <f>IF(O134="",Table1[[#This Row],[Estimated LDL (mg/dL)2]]+Table1[[#This Row],[HDL (mg/dL)2]]+(Table1[[#This Row],[Triglycerides]]/5),O134)</f>
        <v>167</v>
      </c>
      <c r="V134">
        <v>140</v>
      </c>
      <c r="W134" s="8">
        <f t="shared" si="37"/>
        <v>140</v>
      </c>
      <c r="X134" t="str">
        <f t="shared" si="38"/>
        <v>Diabetes</v>
      </c>
      <c r="Y134" t="s">
        <v>23</v>
      </c>
      <c r="Z134" t="s">
        <v>23</v>
      </c>
      <c r="AA134" t="s">
        <v>28</v>
      </c>
      <c r="AB134" s="3" t="s">
        <v>161</v>
      </c>
      <c r="AC134">
        <v>107</v>
      </c>
      <c r="AD134" s="3" t="str">
        <f t="shared" si="39"/>
        <v>107</v>
      </c>
      <c r="AE134">
        <v>66</v>
      </c>
      <c r="AF134" s="3" t="str">
        <f t="shared" si="40"/>
        <v>66</v>
      </c>
      <c r="AG134" t="s">
        <v>33</v>
      </c>
      <c r="AH134" s="3">
        <v>17.93</v>
      </c>
      <c r="AI134" s="3">
        <f t="shared" si="41"/>
        <v>17.93</v>
      </c>
      <c r="AJ134" t="s">
        <v>26</v>
      </c>
      <c r="AK134" t="str">
        <f>PROPER(Table1[[#This Row],[CVD Risk Level]])</f>
        <v>Intermediary</v>
      </c>
    </row>
    <row r="135" spans="1:37" x14ac:dyDescent="0.3">
      <c r="A135" t="s">
        <v>31</v>
      </c>
      <c r="B135">
        <v>35</v>
      </c>
      <c r="C135" s="8">
        <f t="shared" si="30"/>
        <v>35</v>
      </c>
      <c r="D135" s="5">
        <v>75.3</v>
      </c>
      <c r="E135" s="8">
        <f t="shared" si="31"/>
        <v>75.3</v>
      </c>
      <c r="F135">
        <v>1.72</v>
      </c>
      <c r="G135" s="3">
        <f t="shared" si="32"/>
        <v>1.72</v>
      </c>
      <c r="H135">
        <v>25.5</v>
      </c>
      <c r="I135" s="5">
        <f t="shared" si="28"/>
        <v>25.5</v>
      </c>
      <c r="J135" s="16" t="str">
        <f t="shared" si="33"/>
        <v>Overweight</v>
      </c>
      <c r="K135">
        <v>95.4</v>
      </c>
      <c r="L135">
        <v>0.55500000000000005</v>
      </c>
      <c r="M135" s="11">
        <f t="shared" si="29"/>
        <v>0.55500000000000005</v>
      </c>
      <c r="N135" s="5">
        <f t="shared" si="34"/>
        <v>95.4</v>
      </c>
      <c r="O135">
        <v>137</v>
      </c>
      <c r="P135">
        <v>53</v>
      </c>
      <c r="Q135" s="8">
        <f t="shared" si="35"/>
        <v>53</v>
      </c>
      <c r="R135" s="8">
        <v>54</v>
      </c>
      <c r="S135" s="8">
        <f t="shared" si="36"/>
        <v>54</v>
      </c>
      <c r="T135" s="8">
        <f>(Table1[[#This Row],[Total Cholesterol (mg/dL)]]+Table1[[#This Row],[HDL (mg/dL)2]]+Table1[[#This Row],[Estimated LDL (mg/dL)2]])*5</f>
        <v>1220</v>
      </c>
      <c r="U135" s="8">
        <f>IF(O135="",Table1[[#This Row],[Estimated LDL (mg/dL)2]]+Table1[[#This Row],[HDL (mg/dL)2]]+(Table1[[#This Row],[Triglycerides]]/5),O135)</f>
        <v>137</v>
      </c>
      <c r="V135">
        <v>73</v>
      </c>
      <c r="W135" s="8">
        <f t="shared" si="37"/>
        <v>73</v>
      </c>
      <c r="X135" t="str">
        <f t="shared" si="38"/>
        <v>Normal</v>
      </c>
      <c r="Y135" t="s">
        <v>23</v>
      </c>
      <c r="Z135" t="s">
        <v>23</v>
      </c>
      <c r="AA135" t="s">
        <v>28</v>
      </c>
      <c r="AB135" s="3" t="s">
        <v>162</v>
      </c>
      <c r="AC135">
        <v>98</v>
      </c>
      <c r="AD135" s="3" t="str">
        <f t="shared" si="39"/>
        <v>98</v>
      </c>
      <c r="AE135">
        <v>72</v>
      </c>
      <c r="AF135" s="3" t="str">
        <f t="shared" si="40"/>
        <v>72</v>
      </c>
      <c r="AG135" t="s">
        <v>33</v>
      </c>
      <c r="AH135" s="3">
        <v>14.74</v>
      </c>
      <c r="AI135" s="3">
        <f t="shared" si="41"/>
        <v>14.74</v>
      </c>
      <c r="AJ135" t="s">
        <v>26</v>
      </c>
      <c r="AK135" t="str">
        <f>PROPER(Table1[[#This Row],[CVD Risk Level]])</f>
        <v>Intermediary</v>
      </c>
    </row>
    <row r="136" spans="1:37" x14ac:dyDescent="0.3">
      <c r="A136" t="s">
        <v>20</v>
      </c>
      <c r="B136">
        <v>31</v>
      </c>
      <c r="C136" s="8">
        <f t="shared" si="30"/>
        <v>31</v>
      </c>
      <c r="D136" s="5">
        <v>113.5</v>
      </c>
      <c r="E136" s="8">
        <f t="shared" si="31"/>
        <v>113.5</v>
      </c>
      <c r="F136">
        <v>1.74</v>
      </c>
      <c r="G136" s="3">
        <f t="shared" si="32"/>
        <v>1.74</v>
      </c>
      <c r="H136">
        <v>37.5</v>
      </c>
      <c r="I136" s="5">
        <f t="shared" si="28"/>
        <v>37.5</v>
      </c>
      <c r="J136" s="16" t="str">
        <f t="shared" si="33"/>
        <v>Obese</v>
      </c>
      <c r="K136">
        <v>85.8</v>
      </c>
      <c r="L136">
        <v>0.49299999999999999</v>
      </c>
      <c r="M136" s="11">
        <f t="shared" si="29"/>
        <v>0.49299999999999999</v>
      </c>
      <c r="N136" s="5">
        <f t="shared" si="34"/>
        <v>85.8</v>
      </c>
      <c r="O136">
        <v>290</v>
      </c>
      <c r="P136">
        <v>64</v>
      </c>
      <c r="Q136" s="8">
        <f t="shared" si="35"/>
        <v>64</v>
      </c>
      <c r="R136" s="8">
        <v>196</v>
      </c>
      <c r="S136" s="8">
        <f t="shared" si="36"/>
        <v>196</v>
      </c>
      <c r="T136" s="8">
        <f>(Table1[[#This Row],[Total Cholesterol (mg/dL)]]+Table1[[#This Row],[HDL (mg/dL)2]]+Table1[[#This Row],[Estimated LDL (mg/dL)2]])*5</f>
        <v>2750</v>
      </c>
      <c r="U136" s="8">
        <f>IF(O136="",Table1[[#This Row],[Estimated LDL (mg/dL)2]]+Table1[[#This Row],[HDL (mg/dL)2]]+(Table1[[#This Row],[Triglycerides]]/5),O136)</f>
        <v>290</v>
      </c>
      <c r="V136">
        <v>118</v>
      </c>
      <c r="W136" s="8">
        <f t="shared" si="37"/>
        <v>118</v>
      </c>
      <c r="X136" t="str">
        <f t="shared" si="38"/>
        <v>Prediabetes</v>
      </c>
      <c r="Y136" t="s">
        <v>23</v>
      </c>
      <c r="Z136" t="s">
        <v>22</v>
      </c>
      <c r="AA136" t="s">
        <v>37</v>
      </c>
      <c r="AB136" s="3" t="s">
        <v>163</v>
      </c>
      <c r="AC136">
        <v>150</v>
      </c>
      <c r="AD136" s="3" t="str">
        <f t="shared" si="39"/>
        <v>150</v>
      </c>
      <c r="AE136">
        <v>96</v>
      </c>
      <c r="AF136" s="3" t="str">
        <f t="shared" si="40"/>
        <v>96</v>
      </c>
      <c r="AG136" t="s">
        <v>38</v>
      </c>
      <c r="AH136" s="3">
        <v>20.8</v>
      </c>
      <c r="AI136" s="3">
        <f t="shared" si="41"/>
        <v>20.8</v>
      </c>
      <c r="AJ136" t="s">
        <v>30</v>
      </c>
      <c r="AK136" t="str">
        <f>PROPER(Table1[[#This Row],[CVD Risk Level]])</f>
        <v>High</v>
      </c>
    </row>
    <row r="137" spans="1:37" x14ac:dyDescent="0.3">
      <c r="A137" t="s">
        <v>31</v>
      </c>
      <c r="B137">
        <v>31</v>
      </c>
      <c r="C137" s="8">
        <f t="shared" si="30"/>
        <v>31</v>
      </c>
      <c r="D137" s="5">
        <v>75.599999999999994</v>
      </c>
      <c r="E137" s="8">
        <f t="shared" si="31"/>
        <v>75.599999999999994</v>
      </c>
      <c r="F137">
        <v>1.73</v>
      </c>
      <c r="G137" s="3">
        <f t="shared" si="32"/>
        <v>1.73</v>
      </c>
      <c r="H137">
        <v>25.3</v>
      </c>
      <c r="I137" s="5">
        <f t="shared" si="28"/>
        <v>25.3</v>
      </c>
      <c r="J137" s="16" t="str">
        <f t="shared" si="33"/>
        <v>Overweight</v>
      </c>
      <c r="K137">
        <v>74.5</v>
      </c>
      <c r="L137">
        <v>0.43099999999999999</v>
      </c>
      <c r="M137" s="11">
        <f t="shared" si="29"/>
        <v>0.43099999999999999</v>
      </c>
      <c r="N137" s="5">
        <f t="shared" si="34"/>
        <v>74.5</v>
      </c>
      <c r="O137">
        <v>182</v>
      </c>
      <c r="P137">
        <v>67</v>
      </c>
      <c r="Q137" s="8">
        <f t="shared" si="35"/>
        <v>67</v>
      </c>
      <c r="R137" s="8">
        <v>85</v>
      </c>
      <c r="S137" s="8">
        <f>IF(R137&lt;=0,MEDIAN($R$2:$R$1530),R137)</f>
        <v>85</v>
      </c>
      <c r="T137" s="8">
        <f>(Table1[[#This Row],[Total Cholesterol (mg/dL)]]+Table1[[#This Row],[HDL (mg/dL)2]]+Table1[[#This Row],[Estimated LDL (mg/dL)2]])*5</f>
        <v>1670</v>
      </c>
      <c r="U137" s="8">
        <f>IF(O137="",Table1[[#This Row],[Estimated LDL (mg/dL)2]]+Table1[[#This Row],[HDL (mg/dL)2]]+(Table1[[#This Row],[Triglycerides]]/5),O137)</f>
        <v>182</v>
      </c>
      <c r="V137">
        <v>148</v>
      </c>
      <c r="W137" s="8">
        <f t="shared" si="37"/>
        <v>148</v>
      </c>
      <c r="X137" t="str">
        <f t="shared" si="38"/>
        <v>Diabetes</v>
      </c>
      <c r="Y137" t="s">
        <v>23</v>
      </c>
      <c r="Z137" t="s">
        <v>22</v>
      </c>
      <c r="AA137" t="s">
        <v>28</v>
      </c>
      <c r="AB137" s="3" t="s">
        <v>164</v>
      </c>
      <c r="AC137">
        <v>96</v>
      </c>
      <c r="AD137" s="3" t="str">
        <f t="shared" si="39"/>
        <v>96</v>
      </c>
      <c r="AE137">
        <v>69</v>
      </c>
      <c r="AF137" s="3" t="str">
        <f t="shared" si="40"/>
        <v>69</v>
      </c>
      <c r="AG137" t="s">
        <v>33</v>
      </c>
      <c r="AH137" s="3">
        <v>13.5</v>
      </c>
      <c r="AI137" s="3">
        <f t="shared" si="41"/>
        <v>13.5</v>
      </c>
      <c r="AJ137" t="s">
        <v>26</v>
      </c>
      <c r="AK137" t="str">
        <f>PROPER(Table1[[#This Row],[CVD Risk Level]])</f>
        <v>Intermediary</v>
      </c>
    </row>
    <row r="138" spans="1:37" x14ac:dyDescent="0.3">
      <c r="A138" t="s">
        <v>20</v>
      </c>
      <c r="B138">
        <v>59</v>
      </c>
      <c r="C138" s="8">
        <f t="shared" si="30"/>
        <v>59</v>
      </c>
      <c r="D138" s="5">
        <v>66.099999999999994</v>
      </c>
      <c r="E138" s="8">
        <f t="shared" si="31"/>
        <v>66.099999999999994</v>
      </c>
      <c r="F138">
        <v>1.67</v>
      </c>
      <c r="G138" s="3">
        <f t="shared" si="32"/>
        <v>1.67</v>
      </c>
      <c r="H138">
        <v>23.7</v>
      </c>
      <c r="I138" s="5">
        <f t="shared" si="28"/>
        <v>23.7</v>
      </c>
      <c r="J138" s="16" t="str">
        <f t="shared" si="33"/>
        <v>Normal</v>
      </c>
      <c r="K138">
        <v>85.2</v>
      </c>
      <c r="L138">
        <v>0.51</v>
      </c>
      <c r="M138" s="11">
        <f t="shared" si="29"/>
        <v>0.51</v>
      </c>
      <c r="N138" s="5">
        <f t="shared" si="34"/>
        <v>85.2</v>
      </c>
      <c r="O138">
        <v>169</v>
      </c>
      <c r="P138">
        <v>52</v>
      </c>
      <c r="Q138" s="8">
        <f t="shared" si="35"/>
        <v>52</v>
      </c>
      <c r="R138" s="8">
        <v>87</v>
      </c>
      <c r="S138" s="8">
        <f t="shared" si="36"/>
        <v>87</v>
      </c>
      <c r="T138" s="8">
        <f>(Table1[[#This Row],[Total Cholesterol (mg/dL)]]+Table1[[#This Row],[HDL (mg/dL)2]]+Table1[[#This Row],[Estimated LDL (mg/dL)2]])*5</f>
        <v>1540</v>
      </c>
      <c r="U138" s="8">
        <f>IF(O138="",Table1[[#This Row],[Estimated LDL (mg/dL)2]]+Table1[[#This Row],[HDL (mg/dL)2]]+(Table1[[#This Row],[Triglycerides]]/5),O138)</f>
        <v>169</v>
      </c>
      <c r="V138">
        <v>75</v>
      </c>
      <c r="W138" s="8">
        <f t="shared" si="37"/>
        <v>75</v>
      </c>
      <c r="X138" t="str">
        <f t="shared" si="38"/>
        <v>Normal</v>
      </c>
      <c r="Y138" t="s">
        <v>22</v>
      </c>
      <c r="Z138" t="s">
        <v>22</v>
      </c>
      <c r="AA138" t="s">
        <v>24</v>
      </c>
      <c r="AB138" s="3" t="s">
        <v>165</v>
      </c>
      <c r="AC138">
        <v>130</v>
      </c>
      <c r="AD138" s="3" t="str">
        <f t="shared" si="39"/>
        <v>130</v>
      </c>
      <c r="AE138">
        <v>95</v>
      </c>
      <c r="AF138" s="3" t="str">
        <f t="shared" si="40"/>
        <v>95</v>
      </c>
      <c r="AG138" t="s">
        <v>29</v>
      </c>
      <c r="AH138" s="3">
        <v>14.62</v>
      </c>
      <c r="AI138" s="3">
        <f t="shared" si="41"/>
        <v>14.62</v>
      </c>
      <c r="AJ138" t="s">
        <v>26</v>
      </c>
      <c r="AK138" t="str">
        <f>PROPER(Table1[[#This Row],[CVD Risk Level]])</f>
        <v>Intermediary</v>
      </c>
    </row>
    <row r="139" spans="1:37" x14ac:dyDescent="0.3">
      <c r="A139" t="s">
        <v>31</v>
      </c>
      <c r="B139">
        <v>33</v>
      </c>
      <c r="C139" s="8">
        <f t="shared" si="30"/>
        <v>33</v>
      </c>
      <c r="D139" s="5">
        <v>108.4</v>
      </c>
      <c r="E139" s="8">
        <f t="shared" si="31"/>
        <v>108.4</v>
      </c>
      <c r="F139">
        <v>1.9</v>
      </c>
      <c r="G139" s="3">
        <f t="shared" si="32"/>
        <v>1.9</v>
      </c>
      <c r="H139">
        <v>30</v>
      </c>
      <c r="I139" s="5">
        <f t="shared" si="28"/>
        <v>30</v>
      </c>
      <c r="J139" s="16" t="str">
        <f t="shared" si="33"/>
        <v>Obese</v>
      </c>
      <c r="K139">
        <v>84.8</v>
      </c>
      <c r="L139">
        <v>0.44600000000000001</v>
      </c>
      <c r="M139" s="11">
        <f t="shared" si="29"/>
        <v>0.44600000000000001</v>
      </c>
      <c r="N139" s="5">
        <f t="shared" si="34"/>
        <v>84.8</v>
      </c>
      <c r="O139">
        <v>132</v>
      </c>
      <c r="P139">
        <v>54</v>
      </c>
      <c r="Q139" s="8">
        <f t="shared" si="35"/>
        <v>54</v>
      </c>
      <c r="R139" s="8">
        <v>48</v>
      </c>
      <c r="S139" s="8">
        <f t="shared" si="36"/>
        <v>48</v>
      </c>
      <c r="T139" s="8">
        <f>(Table1[[#This Row],[Total Cholesterol (mg/dL)]]+Table1[[#This Row],[HDL (mg/dL)2]]+Table1[[#This Row],[Estimated LDL (mg/dL)2]])*5</f>
        <v>1170</v>
      </c>
      <c r="U139" s="8">
        <f>IF(O139="",Table1[[#This Row],[Estimated LDL (mg/dL)2]]+Table1[[#This Row],[HDL (mg/dL)2]]+(Table1[[#This Row],[Triglycerides]]/5),O139)</f>
        <v>132</v>
      </c>
      <c r="V139">
        <v>130</v>
      </c>
      <c r="W139" s="8">
        <f t="shared" si="37"/>
        <v>130</v>
      </c>
      <c r="X139" t="str">
        <f t="shared" si="38"/>
        <v>Diabetes</v>
      </c>
      <c r="Y139" t="s">
        <v>22</v>
      </c>
      <c r="Z139" t="s">
        <v>22</v>
      </c>
      <c r="AA139" t="s">
        <v>37</v>
      </c>
      <c r="AB139" s="3" t="s">
        <v>166</v>
      </c>
      <c r="AC139">
        <v>140</v>
      </c>
      <c r="AD139" s="3" t="str">
        <f t="shared" si="39"/>
        <v>140</v>
      </c>
      <c r="AE139">
        <v>85</v>
      </c>
      <c r="AF139" s="3" t="str">
        <f t="shared" si="40"/>
        <v>85</v>
      </c>
      <c r="AG139" t="s">
        <v>29</v>
      </c>
      <c r="AH139" s="3">
        <v>15.64</v>
      </c>
      <c r="AI139" s="3">
        <f t="shared" si="41"/>
        <v>15.64</v>
      </c>
      <c r="AJ139" t="s">
        <v>26</v>
      </c>
      <c r="AK139" t="str">
        <f>PROPER(Table1[[#This Row],[CVD Risk Level]])</f>
        <v>Intermediary</v>
      </c>
    </row>
    <row r="140" spans="1:37" x14ac:dyDescent="0.3">
      <c r="A140" t="s">
        <v>20</v>
      </c>
      <c r="B140">
        <v>54</v>
      </c>
      <c r="C140" s="8">
        <f t="shared" si="30"/>
        <v>54</v>
      </c>
      <c r="D140" s="5">
        <v>74.099999999999994</v>
      </c>
      <c r="E140" s="8">
        <f t="shared" si="31"/>
        <v>74.099999999999994</v>
      </c>
      <c r="F140">
        <v>1.87</v>
      </c>
      <c r="G140" s="3">
        <f t="shared" si="32"/>
        <v>1.87</v>
      </c>
      <c r="H140">
        <v>21.2</v>
      </c>
      <c r="I140" s="5">
        <f t="shared" si="28"/>
        <v>21.2</v>
      </c>
      <c r="J140" s="16" t="str">
        <f t="shared" si="33"/>
        <v>Normal</v>
      </c>
      <c r="K140">
        <v>105.8</v>
      </c>
      <c r="L140">
        <v>0.56599999999999995</v>
      </c>
      <c r="M140" s="11">
        <f t="shared" si="29"/>
        <v>0.56599999999999995</v>
      </c>
      <c r="N140" s="5">
        <f t="shared" si="34"/>
        <v>105.8</v>
      </c>
      <c r="O140">
        <v>171</v>
      </c>
      <c r="P140">
        <v>37</v>
      </c>
      <c r="Q140" s="8">
        <f t="shared" si="35"/>
        <v>37</v>
      </c>
      <c r="R140" s="8">
        <v>104</v>
      </c>
      <c r="S140" s="8">
        <f t="shared" si="36"/>
        <v>104</v>
      </c>
      <c r="T140" s="8">
        <f>(Table1[[#This Row],[Total Cholesterol (mg/dL)]]+Table1[[#This Row],[HDL (mg/dL)2]]+Table1[[#This Row],[Estimated LDL (mg/dL)2]])*5</f>
        <v>1560</v>
      </c>
      <c r="U140" s="8">
        <f>IF(O140="",Table1[[#This Row],[Estimated LDL (mg/dL)2]]+Table1[[#This Row],[HDL (mg/dL)2]]+(Table1[[#This Row],[Triglycerides]]/5),O140)</f>
        <v>171</v>
      </c>
      <c r="V140">
        <v>84</v>
      </c>
      <c r="W140" s="8">
        <f t="shared" si="37"/>
        <v>84</v>
      </c>
      <c r="X140" t="str">
        <f t="shared" si="38"/>
        <v>Normal</v>
      </c>
      <c r="Y140" t="s">
        <v>23</v>
      </c>
      <c r="Z140" t="s">
        <v>22</v>
      </c>
      <c r="AA140" t="s">
        <v>24</v>
      </c>
      <c r="AB140" s="3" t="s">
        <v>167</v>
      </c>
      <c r="AC140">
        <v>138</v>
      </c>
      <c r="AD140" s="3" t="str">
        <f t="shared" si="39"/>
        <v>138</v>
      </c>
      <c r="AE140">
        <v>73</v>
      </c>
      <c r="AF140" s="3" t="str">
        <f t="shared" si="40"/>
        <v>73</v>
      </c>
      <c r="AG140" t="s">
        <v>29</v>
      </c>
      <c r="AH140" s="3">
        <v>14.56</v>
      </c>
      <c r="AI140" s="3">
        <f t="shared" si="41"/>
        <v>14.56</v>
      </c>
      <c r="AJ140" t="s">
        <v>30</v>
      </c>
      <c r="AK140" t="str">
        <f>PROPER(Table1[[#This Row],[CVD Risk Level]])</f>
        <v>High</v>
      </c>
    </row>
    <row r="141" spans="1:37" x14ac:dyDescent="0.3">
      <c r="A141" t="s">
        <v>20</v>
      </c>
      <c r="B141">
        <v>52</v>
      </c>
      <c r="C141" s="8">
        <f t="shared" si="30"/>
        <v>52</v>
      </c>
      <c r="D141" s="5">
        <v>102.6</v>
      </c>
      <c r="E141" s="8">
        <f t="shared" si="31"/>
        <v>102.6</v>
      </c>
      <c r="G141" s="3">
        <f t="shared" si="32"/>
        <v>1.5995635314897061</v>
      </c>
      <c r="H141">
        <v>40.1</v>
      </c>
      <c r="I141" s="5">
        <f t="shared" si="28"/>
        <v>40.1</v>
      </c>
      <c r="J141" s="16" t="str">
        <f t="shared" si="33"/>
        <v>Obese</v>
      </c>
      <c r="K141">
        <v>103.2</v>
      </c>
      <c r="L141">
        <v>0.64500000000000002</v>
      </c>
      <c r="M141" s="11">
        <f t="shared" si="29"/>
        <v>0.64500000000000002</v>
      </c>
      <c r="N141" s="5">
        <f t="shared" si="34"/>
        <v>103.2</v>
      </c>
      <c r="O141">
        <v>144</v>
      </c>
      <c r="P141">
        <v>63</v>
      </c>
      <c r="Q141" s="8">
        <f t="shared" si="35"/>
        <v>63</v>
      </c>
      <c r="R141" s="8">
        <v>51</v>
      </c>
      <c r="S141" s="8">
        <f t="shared" si="36"/>
        <v>51</v>
      </c>
      <c r="T141" s="8">
        <f>(Table1[[#This Row],[Total Cholesterol (mg/dL)]]+Table1[[#This Row],[HDL (mg/dL)2]]+Table1[[#This Row],[Estimated LDL (mg/dL)2]])*5</f>
        <v>1290</v>
      </c>
      <c r="U141" s="8">
        <f>IF(O141="",Table1[[#This Row],[Estimated LDL (mg/dL)2]]+Table1[[#This Row],[HDL (mg/dL)2]]+(Table1[[#This Row],[Triglycerides]]/5),O141)</f>
        <v>144</v>
      </c>
      <c r="V141">
        <v>148</v>
      </c>
      <c r="W141" s="8">
        <f t="shared" si="37"/>
        <v>148</v>
      </c>
      <c r="X141" t="str">
        <f t="shared" si="38"/>
        <v>Diabetes</v>
      </c>
      <c r="Y141" t="s">
        <v>23</v>
      </c>
      <c r="Z141" t="s">
        <v>23</v>
      </c>
      <c r="AA141" t="s">
        <v>37</v>
      </c>
      <c r="AB141" s="3" t="s">
        <v>168</v>
      </c>
      <c r="AC141">
        <v>101</v>
      </c>
      <c r="AD141" s="3" t="str">
        <f t="shared" si="39"/>
        <v>101</v>
      </c>
      <c r="AE141">
        <v>82</v>
      </c>
      <c r="AF141" s="3" t="str">
        <f t="shared" si="40"/>
        <v>82</v>
      </c>
      <c r="AG141" t="s">
        <v>29</v>
      </c>
      <c r="AH141" s="3">
        <v>17.95</v>
      </c>
      <c r="AI141" s="3">
        <f t="shared" si="41"/>
        <v>17.95</v>
      </c>
      <c r="AJ141" t="s">
        <v>30</v>
      </c>
      <c r="AK141" t="str">
        <f>PROPER(Table1[[#This Row],[CVD Risk Level]])</f>
        <v>High</v>
      </c>
    </row>
    <row r="142" spans="1:37" x14ac:dyDescent="0.3">
      <c r="A142" t="s">
        <v>31</v>
      </c>
      <c r="B142">
        <v>54</v>
      </c>
      <c r="C142" s="8">
        <f t="shared" si="30"/>
        <v>54</v>
      </c>
      <c r="D142" s="5">
        <v>69.5</v>
      </c>
      <c r="E142" s="8">
        <f t="shared" si="31"/>
        <v>69.5</v>
      </c>
      <c r="F142">
        <v>1.71</v>
      </c>
      <c r="G142" s="3">
        <f t="shared" si="32"/>
        <v>1.71</v>
      </c>
      <c r="H142">
        <v>23.8</v>
      </c>
      <c r="I142" s="5">
        <f t="shared" si="28"/>
        <v>23.8</v>
      </c>
      <c r="J142" s="16" t="str">
        <f t="shared" si="33"/>
        <v>Normal</v>
      </c>
      <c r="K142">
        <v>77.400000000000006</v>
      </c>
      <c r="L142">
        <v>0.45300000000000001</v>
      </c>
      <c r="M142" s="11">
        <f t="shared" si="29"/>
        <v>0.45300000000000001</v>
      </c>
      <c r="N142" s="5">
        <f t="shared" si="34"/>
        <v>77.400000000000006</v>
      </c>
      <c r="O142">
        <v>151</v>
      </c>
      <c r="P142">
        <v>74</v>
      </c>
      <c r="Q142" s="8">
        <f t="shared" si="35"/>
        <v>74</v>
      </c>
      <c r="R142" s="8">
        <v>47</v>
      </c>
      <c r="S142" s="8">
        <f t="shared" si="36"/>
        <v>47</v>
      </c>
      <c r="T142" s="8">
        <f>(Table1[[#This Row],[Total Cholesterol (mg/dL)]]+Table1[[#This Row],[HDL (mg/dL)2]]+Table1[[#This Row],[Estimated LDL (mg/dL)2]])*5</f>
        <v>1360</v>
      </c>
      <c r="U142" s="8">
        <f>IF(O142="",Table1[[#This Row],[Estimated LDL (mg/dL)2]]+Table1[[#This Row],[HDL (mg/dL)2]]+(Table1[[#This Row],[Triglycerides]]/5),O142)</f>
        <v>151</v>
      </c>
      <c r="V142">
        <v>116</v>
      </c>
      <c r="W142" s="8">
        <f t="shared" si="37"/>
        <v>116</v>
      </c>
      <c r="X142" t="str">
        <f t="shared" si="38"/>
        <v>Prediabetes</v>
      </c>
      <c r="Y142" t="s">
        <v>23</v>
      </c>
      <c r="Z142" t="s">
        <v>23</v>
      </c>
      <c r="AA142" t="s">
        <v>28</v>
      </c>
      <c r="AB142" s="3" t="s">
        <v>169</v>
      </c>
      <c r="AC142">
        <v>126</v>
      </c>
      <c r="AD142" s="3" t="str">
        <f t="shared" si="39"/>
        <v>126</v>
      </c>
      <c r="AE142">
        <v>64</v>
      </c>
      <c r="AF142" s="3" t="str">
        <f t="shared" si="40"/>
        <v>64</v>
      </c>
      <c r="AG142" t="s">
        <v>25</v>
      </c>
      <c r="AH142" s="3">
        <v>16.079999999999998</v>
      </c>
      <c r="AI142" s="3">
        <f t="shared" si="41"/>
        <v>16.079999999999998</v>
      </c>
      <c r="AJ142" t="s">
        <v>26</v>
      </c>
      <c r="AK142" t="str">
        <f>PROPER(Table1[[#This Row],[CVD Risk Level]])</f>
        <v>Intermediary</v>
      </c>
    </row>
    <row r="143" spans="1:37" x14ac:dyDescent="0.3">
      <c r="A143" t="s">
        <v>20</v>
      </c>
      <c r="B143">
        <v>53</v>
      </c>
      <c r="C143" s="8">
        <f t="shared" si="30"/>
        <v>53</v>
      </c>
      <c r="D143" s="5">
        <v>119.5</v>
      </c>
      <c r="E143" s="8">
        <f t="shared" si="31"/>
        <v>119.5</v>
      </c>
      <c r="F143">
        <v>1.82</v>
      </c>
      <c r="G143" s="3">
        <f t="shared" si="32"/>
        <v>1.82</v>
      </c>
      <c r="H143">
        <v>36.1</v>
      </c>
      <c r="I143" s="5">
        <f t="shared" si="28"/>
        <v>36.1</v>
      </c>
      <c r="J143" s="16" t="str">
        <f t="shared" si="33"/>
        <v>Obese</v>
      </c>
      <c r="K143">
        <v>102.5</v>
      </c>
      <c r="L143">
        <v>0.56299999999999994</v>
      </c>
      <c r="M143" s="11">
        <f t="shared" si="29"/>
        <v>0.56299999999999994</v>
      </c>
      <c r="N143" s="5">
        <f t="shared" si="34"/>
        <v>102.5</v>
      </c>
      <c r="O143">
        <v>256</v>
      </c>
      <c r="P143">
        <v>33</v>
      </c>
      <c r="Q143" s="8">
        <f t="shared" si="35"/>
        <v>33</v>
      </c>
      <c r="R143" s="8">
        <v>193</v>
      </c>
      <c r="S143" s="8">
        <f t="shared" si="36"/>
        <v>193</v>
      </c>
      <c r="T143" s="8">
        <f>(Table1[[#This Row],[Total Cholesterol (mg/dL)]]+Table1[[#This Row],[HDL (mg/dL)2]]+Table1[[#This Row],[Estimated LDL (mg/dL)2]])*5</f>
        <v>2410</v>
      </c>
      <c r="U143" s="8">
        <f>IF(O143="",Table1[[#This Row],[Estimated LDL (mg/dL)2]]+Table1[[#This Row],[HDL (mg/dL)2]]+(Table1[[#This Row],[Triglycerides]]/5),O143)</f>
        <v>256</v>
      </c>
      <c r="V143">
        <v>125</v>
      </c>
      <c r="W143" s="8">
        <f t="shared" si="37"/>
        <v>125</v>
      </c>
      <c r="X143" t="str">
        <f t="shared" si="38"/>
        <v>Prediabetes</v>
      </c>
      <c r="Y143" t="s">
        <v>22</v>
      </c>
      <c r="Z143" t="s">
        <v>23</v>
      </c>
      <c r="AA143" t="s">
        <v>37</v>
      </c>
      <c r="AB143" s="3" t="s">
        <v>170</v>
      </c>
      <c r="AC143">
        <v>135</v>
      </c>
      <c r="AD143" s="3" t="str">
        <f t="shared" si="39"/>
        <v>135</v>
      </c>
      <c r="AE143">
        <v>82</v>
      </c>
      <c r="AF143" s="3" t="str">
        <f t="shared" si="40"/>
        <v>82</v>
      </c>
      <c r="AG143" t="s">
        <v>29</v>
      </c>
      <c r="AH143" s="3">
        <v>21.09</v>
      </c>
      <c r="AI143" s="3">
        <f t="shared" si="41"/>
        <v>21.09</v>
      </c>
      <c r="AJ143" t="s">
        <v>30</v>
      </c>
      <c r="AK143" t="str">
        <f>PROPER(Table1[[#This Row],[CVD Risk Level]])</f>
        <v>High</v>
      </c>
    </row>
    <row r="144" spans="1:37" x14ac:dyDescent="0.3">
      <c r="A144" t="s">
        <v>31</v>
      </c>
      <c r="B144">
        <v>57</v>
      </c>
      <c r="C144" s="8">
        <f t="shared" si="30"/>
        <v>57</v>
      </c>
      <c r="D144" s="5">
        <v>108.7</v>
      </c>
      <c r="E144" s="8">
        <f t="shared" si="31"/>
        <v>108.7</v>
      </c>
      <c r="F144">
        <v>1.81</v>
      </c>
      <c r="G144" s="3">
        <f t="shared" si="32"/>
        <v>1.81</v>
      </c>
      <c r="H144">
        <v>33.200000000000003</v>
      </c>
      <c r="I144" s="5">
        <f t="shared" si="28"/>
        <v>33.200000000000003</v>
      </c>
      <c r="J144" s="16" t="str">
        <f t="shared" si="33"/>
        <v>Obese</v>
      </c>
      <c r="K144">
        <v>84</v>
      </c>
      <c r="L144">
        <v>0.46400000000000002</v>
      </c>
      <c r="M144" s="11">
        <f t="shared" si="29"/>
        <v>0.46400000000000002</v>
      </c>
      <c r="N144" s="5">
        <f t="shared" si="34"/>
        <v>84</v>
      </c>
      <c r="O144">
        <v>158</v>
      </c>
      <c r="P144">
        <v>33</v>
      </c>
      <c r="Q144" s="8">
        <f t="shared" si="35"/>
        <v>33</v>
      </c>
      <c r="R144" s="8">
        <v>95</v>
      </c>
      <c r="S144" s="8">
        <f t="shared" si="36"/>
        <v>95</v>
      </c>
      <c r="T144" s="8">
        <f>(Table1[[#This Row],[Total Cholesterol (mg/dL)]]+Table1[[#This Row],[HDL (mg/dL)2]]+Table1[[#This Row],[Estimated LDL (mg/dL)2]])*5</f>
        <v>1430</v>
      </c>
      <c r="U144" s="8">
        <f>IF(O144="",Table1[[#This Row],[Estimated LDL (mg/dL)2]]+Table1[[#This Row],[HDL (mg/dL)2]]+(Table1[[#This Row],[Triglycerides]]/5),O144)</f>
        <v>158</v>
      </c>
      <c r="V144">
        <v>114</v>
      </c>
      <c r="W144" s="8">
        <f t="shared" si="37"/>
        <v>114</v>
      </c>
      <c r="X144" t="str">
        <f t="shared" si="38"/>
        <v>Prediabetes</v>
      </c>
      <c r="Y144" t="s">
        <v>23</v>
      </c>
      <c r="Z144" t="s">
        <v>23</v>
      </c>
      <c r="AA144" t="s">
        <v>28</v>
      </c>
      <c r="AB144" s="3" t="s">
        <v>171</v>
      </c>
      <c r="AD144" s="3" t="str">
        <f t="shared" si="39"/>
        <v>150</v>
      </c>
      <c r="AE144">
        <v>71</v>
      </c>
      <c r="AF144" s="3" t="str">
        <f t="shared" si="40"/>
        <v>71</v>
      </c>
      <c r="AG144" t="s">
        <v>38</v>
      </c>
      <c r="AH144" s="3">
        <v>19.3</v>
      </c>
      <c r="AI144" s="3">
        <f t="shared" si="41"/>
        <v>19.3</v>
      </c>
      <c r="AJ144" t="s">
        <v>30</v>
      </c>
      <c r="AK144" t="str">
        <f>PROPER(Table1[[#This Row],[CVD Risk Level]])</f>
        <v>High</v>
      </c>
    </row>
    <row r="145" spans="1:37" x14ac:dyDescent="0.3">
      <c r="A145" t="s">
        <v>31</v>
      </c>
      <c r="B145">
        <v>33</v>
      </c>
      <c r="C145" s="8">
        <f t="shared" si="30"/>
        <v>33</v>
      </c>
      <c r="D145" s="5">
        <v>118.3</v>
      </c>
      <c r="E145" s="8">
        <f t="shared" si="31"/>
        <v>118.3</v>
      </c>
      <c r="F145">
        <v>1.69</v>
      </c>
      <c r="G145" s="3">
        <f t="shared" si="32"/>
        <v>1.69</v>
      </c>
      <c r="H145">
        <v>41.4</v>
      </c>
      <c r="I145" s="5">
        <f t="shared" si="28"/>
        <v>41.4</v>
      </c>
      <c r="J145" s="16" t="str">
        <f t="shared" si="33"/>
        <v>Obese</v>
      </c>
      <c r="K145">
        <v>72.099999999999994</v>
      </c>
      <c r="L145">
        <v>0.42699999999999999</v>
      </c>
      <c r="M145" s="11">
        <f t="shared" si="29"/>
        <v>0.42699999999999999</v>
      </c>
      <c r="N145" s="5">
        <f t="shared" si="34"/>
        <v>72.099999999999994</v>
      </c>
      <c r="O145">
        <v>171</v>
      </c>
      <c r="P145">
        <v>44</v>
      </c>
      <c r="Q145" s="8">
        <f t="shared" si="35"/>
        <v>44</v>
      </c>
      <c r="R145" s="8">
        <v>97</v>
      </c>
      <c r="S145" s="8">
        <f t="shared" si="36"/>
        <v>97</v>
      </c>
      <c r="T145" s="8">
        <f>(Table1[[#This Row],[Total Cholesterol (mg/dL)]]+Table1[[#This Row],[HDL (mg/dL)2]]+Table1[[#This Row],[Estimated LDL (mg/dL)2]])*5</f>
        <v>1560</v>
      </c>
      <c r="U145" s="8">
        <f>IF(O145="",Table1[[#This Row],[Estimated LDL (mg/dL)2]]+Table1[[#This Row],[HDL (mg/dL)2]]+(Table1[[#This Row],[Triglycerides]]/5),O145)</f>
        <v>171</v>
      </c>
      <c r="V145">
        <v>145</v>
      </c>
      <c r="W145" s="8">
        <f t="shared" si="37"/>
        <v>145</v>
      </c>
      <c r="X145" t="str">
        <f t="shared" si="38"/>
        <v>Diabetes</v>
      </c>
      <c r="Y145" t="s">
        <v>22</v>
      </c>
      <c r="Z145" t="s">
        <v>22</v>
      </c>
      <c r="AA145" t="s">
        <v>37</v>
      </c>
      <c r="AB145" s="3" t="s">
        <v>172</v>
      </c>
      <c r="AC145">
        <v>116</v>
      </c>
      <c r="AD145" s="3" t="str">
        <f t="shared" si="39"/>
        <v>116</v>
      </c>
      <c r="AE145">
        <v>93</v>
      </c>
      <c r="AF145" s="3" t="str">
        <f t="shared" si="40"/>
        <v>93</v>
      </c>
      <c r="AG145" t="s">
        <v>38</v>
      </c>
      <c r="AH145" s="3">
        <v>17.5</v>
      </c>
      <c r="AI145" s="3">
        <f t="shared" si="41"/>
        <v>17.5</v>
      </c>
      <c r="AJ145" t="s">
        <v>52</v>
      </c>
      <c r="AK145" t="str">
        <f>PROPER(Table1[[#This Row],[CVD Risk Level]])</f>
        <v>Low</v>
      </c>
    </row>
    <row r="146" spans="1:37" x14ac:dyDescent="0.3">
      <c r="A146" t="s">
        <v>20</v>
      </c>
      <c r="B146">
        <v>54</v>
      </c>
      <c r="C146" s="8">
        <f t="shared" si="30"/>
        <v>54</v>
      </c>
      <c r="D146" s="5">
        <v>67.2</v>
      </c>
      <c r="E146" s="8">
        <f t="shared" si="31"/>
        <v>67.2</v>
      </c>
      <c r="F146">
        <v>1.88</v>
      </c>
      <c r="G146" s="3">
        <f t="shared" si="32"/>
        <v>1.88</v>
      </c>
      <c r="H146">
        <v>19</v>
      </c>
      <c r="I146" s="5">
        <f t="shared" si="28"/>
        <v>19</v>
      </c>
      <c r="J146" s="16" t="str">
        <f t="shared" si="33"/>
        <v>Normal</v>
      </c>
      <c r="K146">
        <v>71.400000000000006</v>
      </c>
      <c r="L146">
        <v>0.38</v>
      </c>
      <c r="M146" s="11">
        <f t="shared" si="29"/>
        <v>0.38</v>
      </c>
      <c r="N146" s="5">
        <f t="shared" si="34"/>
        <v>71.400000000000006</v>
      </c>
      <c r="O146">
        <v>128</v>
      </c>
      <c r="Q146" s="8">
        <f t="shared" si="35"/>
        <v>56.197377501725327</v>
      </c>
      <c r="R146" s="8">
        <v>55</v>
      </c>
      <c r="S146" s="8">
        <f>IF(R146&lt;=0,MEDIAN($R$2:$R$1530),R146)</f>
        <v>55</v>
      </c>
      <c r="T146" s="8">
        <f>(Table1[[#This Row],[Total Cholesterol (mg/dL)]]+Table1[[#This Row],[HDL (mg/dL)2]]+Table1[[#This Row],[Estimated LDL (mg/dL)2]])*5</f>
        <v>1195.9868875086268</v>
      </c>
      <c r="U146" s="8">
        <f>IF(O146="",Table1[[#This Row],[Estimated LDL (mg/dL)2]]+Table1[[#This Row],[HDL (mg/dL)2]]+(Table1[[#This Row],[Triglycerides]]/5),O146)</f>
        <v>128</v>
      </c>
      <c r="V146">
        <v>133</v>
      </c>
      <c r="W146" s="8">
        <f t="shared" si="37"/>
        <v>133</v>
      </c>
      <c r="X146" t="str">
        <f t="shared" si="38"/>
        <v>Diabetes</v>
      </c>
      <c r="Y146" t="s">
        <v>22</v>
      </c>
      <c r="Z146" t="s">
        <v>23</v>
      </c>
      <c r="AA146" t="s">
        <v>37</v>
      </c>
      <c r="AB146" s="3" t="s">
        <v>173</v>
      </c>
      <c r="AD146" s="3" t="str">
        <f t="shared" si="39"/>
        <v>96</v>
      </c>
      <c r="AE146">
        <v>90</v>
      </c>
      <c r="AF146" s="3" t="str">
        <f t="shared" si="40"/>
        <v>90</v>
      </c>
      <c r="AG146" t="s">
        <v>38</v>
      </c>
      <c r="AH146" s="3">
        <v>13.16</v>
      </c>
      <c r="AI146" s="3">
        <f t="shared" si="41"/>
        <v>13.16</v>
      </c>
      <c r="AJ146" t="s">
        <v>26</v>
      </c>
      <c r="AK146" t="str">
        <f>PROPER(Table1[[#This Row],[CVD Risk Level]])</f>
        <v>Intermediary</v>
      </c>
    </row>
    <row r="147" spans="1:37" x14ac:dyDescent="0.3">
      <c r="A147" t="s">
        <v>20</v>
      </c>
      <c r="B147">
        <v>38</v>
      </c>
      <c r="C147" s="8">
        <f t="shared" si="30"/>
        <v>38</v>
      </c>
      <c r="D147" s="5">
        <v>111.4</v>
      </c>
      <c r="E147" s="8">
        <f t="shared" si="31"/>
        <v>111.4</v>
      </c>
      <c r="F147">
        <v>1.76</v>
      </c>
      <c r="G147" s="3">
        <f t="shared" si="32"/>
        <v>1.76</v>
      </c>
      <c r="H147">
        <v>36</v>
      </c>
      <c r="I147" s="5">
        <f t="shared" si="28"/>
        <v>36</v>
      </c>
      <c r="J147" s="16" t="str">
        <f t="shared" si="33"/>
        <v>Obese</v>
      </c>
      <c r="K147">
        <v>98.7</v>
      </c>
      <c r="L147">
        <v>0.56100000000000005</v>
      </c>
      <c r="M147" s="11">
        <f t="shared" si="29"/>
        <v>0.56100000000000005</v>
      </c>
      <c r="N147" s="5">
        <f t="shared" si="34"/>
        <v>98.7</v>
      </c>
      <c r="O147">
        <v>263</v>
      </c>
      <c r="P147">
        <v>45</v>
      </c>
      <c r="Q147" s="8">
        <f t="shared" si="35"/>
        <v>45</v>
      </c>
      <c r="R147" s="8">
        <v>188</v>
      </c>
      <c r="S147" s="8">
        <f t="shared" si="36"/>
        <v>188</v>
      </c>
      <c r="T147" s="8">
        <f>(Table1[[#This Row],[Total Cholesterol (mg/dL)]]+Table1[[#This Row],[HDL (mg/dL)2]]+Table1[[#This Row],[Estimated LDL (mg/dL)2]])*5</f>
        <v>2480</v>
      </c>
      <c r="U147" s="8">
        <f>IF(O147="",Table1[[#This Row],[Estimated LDL (mg/dL)2]]+Table1[[#This Row],[HDL (mg/dL)2]]+(Table1[[#This Row],[Triglycerides]]/5),O147)</f>
        <v>263</v>
      </c>
      <c r="V147">
        <v>98</v>
      </c>
      <c r="W147" s="8">
        <f t="shared" si="37"/>
        <v>98</v>
      </c>
      <c r="X147" t="str">
        <f t="shared" si="38"/>
        <v>Normal</v>
      </c>
      <c r="Y147" t="s">
        <v>22</v>
      </c>
      <c r="Z147" t="s">
        <v>23</v>
      </c>
      <c r="AA147" t="s">
        <v>28</v>
      </c>
      <c r="AB147" s="3" t="s">
        <v>174</v>
      </c>
      <c r="AC147">
        <v>117</v>
      </c>
      <c r="AD147" s="3" t="str">
        <f t="shared" si="39"/>
        <v>117</v>
      </c>
      <c r="AE147">
        <v>93</v>
      </c>
      <c r="AF147" s="3" t="str">
        <f t="shared" si="40"/>
        <v>93</v>
      </c>
      <c r="AG147" t="s">
        <v>38</v>
      </c>
      <c r="AH147" s="3">
        <v>20.309999999999999</v>
      </c>
      <c r="AI147" s="3">
        <f t="shared" si="41"/>
        <v>20.309999999999999</v>
      </c>
      <c r="AJ147" t="s">
        <v>26</v>
      </c>
      <c r="AK147" t="str">
        <f>PROPER(Table1[[#This Row],[CVD Risk Level]])</f>
        <v>Intermediary</v>
      </c>
    </row>
    <row r="148" spans="1:37" x14ac:dyDescent="0.3">
      <c r="A148" t="s">
        <v>31</v>
      </c>
      <c r="B148">
        <v>51</v>
      </c>
      <c r="C148" s="8">
        <f t="shared" si="30"/>
        <v>51</v>
      </c>
      <c r="D148" s="5">
        <v>57.5</v>
      </c>
      <c r="E148" s="8">
        <f t="shared" si="31"/>
        <v>57.5</v>
      </c>
      <c r="F148">
        <v>1.69</v>
      </c>
      <c r="G148" s="3">
        <f t="shared" si="32"/>
        <v>1.69</v>
      </c>
      <c r="H148">
        <v>20.100000000000001</v>
      </c>
      <c r="I148" s="5">
        <f t="shared" si="28"/>
        <v>20.100000000000001</v>
      </c>
      <c r="J148" s="16" t="str">
        <f t="shared" si="33"/>
        <v>Normal</v>
      </c>
      <c r="K148">
        <v>99.1</v>
      </c>
      <c r="L148">
        <v>0.58599999999999997</v>
      </c>
      <c r="M148" s="11">
        <f t="shared" si="29"/>
        <v>0.58599999999999997</v>
      </c>
      <c r="N148" s="5">
        <f t="shared" si="34"/>
        <v>99.1</v>
      </c>
      <c r="O148">
        <v>137</v>
      </c>
      <c r="P148">
        <v>57</v>
      </c>
      <c r="Q148" s="8">
        <f t="shared" si="35"/>
        <v>57</v>
      </c>
      <c r="R148" s="8">
        <v>50</v>
      </c>
      <c r="S148" s="8">
        <f t="shared" si="36"/>
        <v>50</v>
      </c>
      <c r="T148" s="8">
        <f>(Table1[[#This Row],[Total Cholesterol (mg/dL)]]+Table1[[#This Row],[HDL (mg/dL)2]]+Table1[[#This Row],[Estimated LDL (mg/dL)2]])*5</f>
        <v>1220</v>
      </c>
      <c r="U148" s="8">
        <f>IF(O148="",Table1[[#This Row],[Estimated LDL (mg/dL)2]]+Table1[[#This Row],[HDL (mg/dL)2]]+(Table1[[#This Row],[Triglycerides]]/5),O148)</f>
        <v>137</v>
      </c>
      <c r="V148">
        <v>84</v>
      </c>
      <c r="W148" s="8">
        <f t="shared" si="37"/>
        <v>84</v>
      </c>
      <c r="X148" t="str">
        <f t="shared" si="38"/>
        <v>Normal</v>
      </c>
      <c r="Y148" t="s">
        <v>23</v>
      </c>
      <c r="Z148" t="s">
        <v>23</v>
      </c>
      <c r="AA148" t="s">
        <v>24</v>
      </c>
      <c r="AB148" s="3" t="s">
        <v>76</v>
      </c>
      <c r="AC148">
        <v>105</v>
      </c>
      <c r="AD148" s="3" t="str">
        <f t="shared" si="39"/>
        <v>105</v>
      </c>
      <c r="AE148">
        <v>64</v>
      </c>
      <c r="AF148" s="3" t="str">
        <f t="shared" si="40"/>
        <v>64</v>
      </c>
      <c r="AG148" t="s">
        <v>33</v>
      </c>
      <c r="AH148" s="3">
        <v>14.01</v>
      </c>
      <c r="AI148" s="3">
        <f t="shared" si="41"/>
        <v>14.01</v>
      </c>
      <c r="AJ148" t="s">
        <v>30</v>
      </c>
      <c r="AK148" t="str">
        <f>PROPER(Table1[[#This Row],[CVD Risk Level]])</f>
        <v>High</v>
      </c>
    </row>
    <row r="149" spans="1:37" x14ac:dyDescent="0.3">
      <c r="A149" t="s">
        <v>31</v>
      </c>
      <c r="B149">
        <v>51</v>
      </c>
      <c r="C149" s="8">
        <f t="shared" si="30"/>
        <v>51</v>
      </c>
      <c r="D149" s="5">
        <v>57.6</v>
      </c>
      <c r="E149" s="8">
        <f t="shared" si="31"/>
        <v>57.6</v>
      </c>
      <c r="F149">
        <v>1.81</v>
      </c>
      <c r="G149" s="3">
        <f t="shared" si="32"/>
        <v>1.81</v>
      </c>
      <c r="H149">
        <v>17.600000000000001</v>
      </c>
      <c r="I149" s="5">
        <f t="shared" si="28"/>
        <v>17.600000000000001</v>
      </c>
      <c r="J149" s="16" t="str">
        <f t="shared" si="33"/>
        <v>Underweight</v>
      </c>
      <c r="K149">
        <v>100</v>
      </c>
      <c r="L149">
        <v>0.55200000000000005</v>
      </c>
      <c r="M149" s="11">
        <f t="shared" si="29"/>
        <v>0.55200000000000005</v>
      </c>
      <c r="N149" s="5">
        <f t="shared" si="34"/>
        <v>100</v>
      </c>
      <c r="O149">
        <v>137</v>
      </c>
      <c r="P149">
        <v>48</v>
      </c>
      <c r="Q149" s="8">
        <f t="shared" si="35"/>
        <v>48</v>
      </c>
      <c r="R149" s="8">
        <v>59</v>
      </c>
      <c r="S149" s="8">
        <f t="shared" si="36"/>
        <v>59</v>
      </c>
      <c r="T149" s="8">
        <f>(Table1[[#This Row],[Total Cholesterol (mg/dL)]]+Table1[[#This Row],[HDL (mg/dL)2]]+Table1[[#This Row],[Estimated LDL (mg/dL)2]])*5</f>
        <v>1220</v>
      </c>
      <c r="U149" s="8">
        <f>IF(O149="",Table1[[#This Row],[Estimated LDL (mg/dL)2]]+Table1[[#This Row],[HDL (mg/dL)2]]+(Table1[[#This Row],[Triglycerides]]/5),O149)</f>
        <v>137</v>
      </c>
      <c r="V149">
        <v>113</v>
      </c>
      <c r="W149" s="8">
        <f t="shared" si="37"/>
        <v>113</v>
      </c>
      <c r="X149" t="str">
        <f t="shared" si="38"/>
        <v>Prediabetes</v>
      </c>
      <c r="Y149" t="s">
        <v>23</v>
      </c>
      <c r="Z149" t="s">
        <v>22</v>
      </c>
      <c r="AA149" t="s">
        <v>28</v>
      </c>
      <c r="AB149" s="3" t="s">
        <v>175</v>
      </c>
      <c r="AC149">
        <v>97</v>
      </c>
      <c r="AD149" s="3" t="str">
        <f t="shared" si="39"/>
        <v>97</v>
      </c>
      <c r="AE149">
        <v>84</v>
      </c>
      <c r="AF149" s="3" t="str">
        <f t="shared" si="40"/>
        <v>84</v>
      </c>
      <c r="AG149" t="s">
        <v>29</v>
      </c>
      <c r="AH149" s="3">
        <v>11.11</v>
      </c>
      <c r="AI149" s="3">
        <f t="shared" si="41"/>
        <v>11.11</v>
      </c>
      <c r="AJ149" t="s">
        <v>26</v>
      </c>
      <c r="AK149" t="str">
        <f>PROPER(Table1[[#This Row],[CVD Risk Level]])</f>
        <v>Intermediary</v>
      </c>
    </row>
    <row r="150" spans="1:37" x14ac:dyDescent="0.3">
      <c r="A150" t="s">
        <v>20</v>
      </c>
      <c r="B150">
        <v>54</v>
      </c>
      <c r="C150" s="8">
        <f t="shared" si="30"/>
        <v>54</v>
      </c>
      <c r="D150" s="5">
        <v>98.8</v>
      </c>
      <c r="E150" s="8">
        <f t="shared" si="31"/>
        <v>98.8</v>
      </c>
      <c r="F150">
        <v>1.69</v>
      </c>
      <c r="G150" s="3">
        <f t="shared" si="32"/>
        <v>1.69</v>
      </c>
      <c r="H150">
        <v>34.6</v>
      </c>
      <c r="I150" s="5">
        <f t="shared" si="28"/>
        <v>34.6</v>
      </c>
      <c r="J150" s="16" t="str">
        <f t="shared" si="33"/>
        <v>Obese</v>
      </c>
      <c r="K150">
        <v>108.6</v>
      </c>
      <c r="L150">
        <v>0.64300000000000002</v>
      </c>
      <c r="M150" s="11">
        <f t="shared" si="29"/>
        <v>0.64300000000000002</v>
      </c>
      <c r="N150" s="5">
        <f t="shared" si="34"/>
        <v>108.6</v>
      </c>
      <c r="O150">
        <v>258</v>
      </c>
      <c r="P150">
        <v>44</v>
      </c>
      <c r="Q150" s="8">
        <f t="shared" si="35"/>
        <v>44</v>
      </c>
      <c r="R150" s="8">
        <v>184</v>
      </c>
      <c r="S150" s="8">
        <f t="shared" si="36"/>
        <v>184</v>
      </c>
      <c r="T150" s="8">
        <f>(Table1[[#This Row],[Total Cholesterol (mg/dL)]]+Table1[[#This Row],[HDL (mg/dL)2]]+Table1[[#This Row],[Estimated LDL (mg/dL)2]])*5</f>
        <v>2430</v>
      </c>
      <c r="U150" s="8">
        <f>IF(O150="",Table1[[#This Row],[Estimated LDL (mg/dL)2]]+Table1[[#This Row],[HDL (mg/dL)2]]+(Table1[[#This Row],[Triglycerides]]/5),O150)</f>
        <v>258</v>
      </c>
      <c r="V150">
        <v>83</v>
      </c>
      <c r="W150" s="8">
        <f t="shared" si="37"/>
        <v>83</v>
      </c>
      <c r="X150" t="str">
        <f t="shared" si="38"/>
        <v>Normal</v>
      </c>
      <c r="Y150" t="s">
        <v>22</v>
      </c>
      <c r="Z150" t="s">
        <v>22</v>
      </c>
      <c r="AA150" t="s">
        <v>24</v>
      </c>
      <c r="AB150" s="3" t="s">
        <v>176</v>
      </c>
      <c r="AC150">
        <v>145</v>
      </c>
      <c r="AD150" s="3" t="str">
        <f t="shared" si="39"/>
        <v>145</v>
      </c>
      <c r="AE150">
        <v>96</v>
      </c>
      <c r="AF150" s="3" t="str">
        <f t="shared" si="40"/>
        <v>96</v>
      </c>
      <c r="AG150" t="s">
        <v>38</v>
      </c>
      <c r="AH150" s="3">
        <v>19.329999999999998</v>
      </c>
      <c r="AI150" s="3">
        <f t="shared" si="41"/>
        <v>19.329999999999998</v>
      </c>
      <c r="AJ150" t="s">
        <v>30</v>
      </c>
      <c r="AK150" t="str">
        <f>PROPER(Table1[[#This Row],[CVD Risk Level]])</f>
        <v>High</v>
      </c>
    </row>
    <row r="151" spans="1:37" x14ac:dyDescent="0.3">
      <c r="A151" t="s">
        <v>31</v>
      </c>
      <c r="B151">
        <v>49</v>
      </c>
      <c r="C151" s="8">
        <f t="shared" si="30"/>
        <v>49</v>
      </c>
      <c r="D151" s="5">
        <v>50.6</v>
      </c>
      <c r="E151" s="8">
        <f t="shared" si="31"/>
        <v>50.6</v>
      </c>
      <c r="F151">
        <v>1.81</v>
      </c>
      <c r="G151" s="3">
        <f t="shared" si="32"/>
        <v>1.81</v>
      </c>
      <c r="H151">
        <v>15.4</v>
      </c>
      <c r="I151" s="5">
        <f t="shared" si="28"/>
        <v>15.4</v>
      </c>
      <c r="J151" s="16" t="str">
        <f t="shared" si="33"/>
        <v>Underweight</v>
      </c>
      <c r="L151">
        <v>0.40200000000000002</v>
      </c>
      <c r="M151" s="11">
        <f t="shared" si="29"/>
        <v>0.40200000000000002</v>
      </c>
      <c r="N151" s="5">
        <f t="shared" si="34"/>
        <v>72.762</v>
      </c>
      <c r="O151">
        <v>227</v>
      </c>
      <c r="P151">
        <v>32</v>
      </c>
      <c r="Q151" s="8">
        <f t="shared" si="35"/>
        <v>32</v>
      </c>
      <c r="R151" s="8">
        <v>165</v>
      </c>
      <c r="S151" s="8">
        <f t="shared" si="36"/>
        <v>165</v>
      </c>
      <c r="T151" s="8">
        <f>(Table1[[#This Row],[Total Cholesterol (mg/dL)]]+Table1[[#This Row],[HDL (mg/dL)2]]+Table1[[#This Row],[Estimated LDL (mg/dL)2]])*5</f>
        <v>2120</v>
      </c>
      <c r="U151" s="8">
        <f>IF(O151="",Table1[[#This Row],[Estimated LDL (mg/dL)2]]+Table1[[#This Row],[HDL (mg/dL)2]]+(Table1[[#This Row],[Triglycerides]]/5),O151)</f>
        <v>227</v>
      </c>
      <c r="V151">
        <v>88</v>
      </c>
      <c r="W151" s="8">
        <f t="shared" si="37"/>
        <v>88</v>
      </c>
      <c r="X151" t="str">
        <f t="shared" si="38"/>
        <v>Normal</v>
      </c>
      <c r="Y151" t="s">
        <v>23</v>
      </c>
      <c r="Z151" t="s">
        <v>22</v>
      </c>
      <c r="AA151" t="s">
        <v>24</v>
      </c>
      <c r="AB151" s="3" t="s">
        <v>177</v>
      </c>
      <c r="AD151" s="3" t="str">
        <f t="shared" si="39"/>
        <v>127</v>
      </c>
      <c r="AE151">
        <v>77</v>
      </c>
      <c r="AF151" s="3" t="str">
        <f t="shared" si="40"/>
        <v>77</v>
      </c>
      <c r="AG151" t="s">
        <v>25</v>
      </c>
      <c r="AH151" s="3">
        <v>13.97</v>
      </c>
      <c r="AI151" s="3">
        <f t="shared" si="41"/>
        <v>13.97</v>
      </c>
      <c r="AJ151" t="s">
        <v>30</v>
      </c>
      <c r="AK151" t="str">
        <f>PROPER(Table1[[#This Row],[CVD Risk Level]])</f>
        <v>High</v>
      </c>
    </row>
    <row r="152" spans="1:37" x14ac:dyDescent="0.3">
      <c r="A152" t="s">
        <v>31</v>
      </c>
      <c r="B152">
        <v>45</v>
      </c>
      <c r="C152" s="8">
        <f t="shared" si="30"/>
        <v>45</v>
      </c>
      <c r="D152" s="5">
        <v>110.9</v>
      </c>
      <c r="E152" s="8">
        <f t="shared" si="31"/>
        <v>110.9</v>
      </c>
      <c r="F152">
        <v>1.62</v>
      </c>
      <c r="G152" s="3">
        <f t="shared" si="32"/>
        <v>1.62</v>
      </c>
      <c r="H152">
        <v>42.3</v>
      </c>
      <c r="I152" s="5">
        <f t="shared" si="28"/>
        <v>42.3</v>
      </c>
      <c r="J152" s="16" t="str">
        <f t="shared" si="33"/>
        <v>Obese</v>
      </c>
      <c r="K152">
        <v>109.5</v>
      </c>
      <c r="L152">
        <v>0.67600000000000005</v>
      </c>
      <c r="M152" s="11">
        <f t="shared" si="29"/>
        <v>0.67600000000000005</v>
      </c>
      <c r="N152" s="5">
        <f t="shared" si="34"/>
        <v>109.5</v>
      </c>
      <c r="O152">
        <v>199</v>
      </c>
      <c r="P152">
        <v>30</v>
      </c>
      <c r="Q152" s="8">
        <f t="shared" si="35"/>
        <v>30</v>
      </c>
      <c r="R152" s="8">
        <v>139</v>
      </c>
      <c r="S152" s="8">
        <f t="shared" si="36"/>
        <v>139</v>
      </c>
      <c r="T152" s="8">
        <f>(Table1[[#This Row],[Total Cholesterol (mg/dL)]]+Table1[[#This Row],[HDL (mg/dL)2]]+Table1[[#This Row],[Estimated LDL (mg/dL)2]])*5</f>
        <v>1840</v>
      </c>
      <c r="U152" s="8">
        <f>IF(O152="",Table1[[#This Row],[Estimated LDL (mg/dL)2]]+Table1[[#This Row],[HDL (mg/dL)2]]+(Table1[[#This Row],[Triglycerides]]/5),O152)</f>
        <v>199</v>
      </c>
      <c r="V152">
        <v>150</v>
      </c>
      <c r="W152" s="8">
        <f t="shared" si="37"/>
        <v>150</v>
      </c>
      <c r="X152" t="str">
        <f t="shared" si="38"/>
        <v>Diabetes</v>
      </c>
      <c r="Y152" t="s">
        <v>23</v>
      </c>
      <c r="Z152" t="s">
        <v>22</v>
      </c>
      <c r="AA152" t="s">
        <v>37</v>
      </c>
      <c r="AB152" s="3" t="s">
        <v>178</v>
      </c>
      <c r="AC152">
        <v>98</v>
      </c>
      <c r="AD152" s="3" t="str">
        <f t="shared" si="39"/>
        <v>98</v>
      </c>
      <c r="AE152">
        <v>60</v>
      </c>
      <c r="AF152" s="3" t="str">
        <f t="shared" si="40"/>
        <v>60</v>
      </c>
      <c r="AG152" t="s">
        <v>33</v>
      </c>
      <c r="AH152" s="3">
        <v>17.34</v>
      </c>
      <c r="AI152" s="3">
        <f t="shared" si="41"/>
        <v>17.34</v>
      </c>
      <c r="AJ152" t="s">
        <v>30</v>
      </c>
      <c r="AK152" t="str">
        <f>PROPER(Table1[[#This Row],[CVD Risk Level]])</f>
        <v>High</v>
      </c>
    </row>
    <row r="153" spans="1:37" x14ac:dyDescent="0.3">
      <c r="A153" t="s">
        <v>31</v>
      </c>
      <c r="B153">
        <v>50</v>
      </c>
      <c r="C153" s="8">
        <f t="shared" si="30"/>
        <v>50</v>
      </c>
      <c r="D153" s="5">
        <v>90.7</v>
      </c>
      <c r="E153" s="8">
        <f t="shared" si="31"/>
        <v>90.7</v>
      </c>
      <c r="F153">
        <v>1.75</v>
      </c>
      <c r="G153" s="3">
        <f t="shared" si="32"/>
        <v>1.75</v>
      </c>
      <c r="H153">
        <v>29.6</v>
      </c>
      <c r="I153" s="5">
        <f t="shared" si="28"/>
        <v>29.6</v>
      </c>
      <c r="J153" s="16" t="str">
        <f t="shared" si="33"/>
        <v>Overweight</v>
      </c>
      <c r="K153">
        <v>97.6</v>
      </c>
      <c r="L153">
        <v>0.55800000000000005</v>
      </c>
      <c r="M153" s="11">
        <f t="shared" si="29"/>
        <v>0.55800000000000005</v>
      </c>
      <c r="N153" s="5">
        <f t="shared" si="34"/>
        <v>97.6</v>
      </c>
      <c r="O153">
        <v>264</v>
      </c>
      <c r="P153">
        <v>36</v>
      </c>
      <c r="Q153" s="8">
        <f t="shared" si="35"/>
        <v>36</v>
      </c>
      <c r="R153" s="8">
        <v>198</v>
      </c>
      <c r="S153" s="8">
        <f t="shared" si="36"/>
        <v>198</v>
      </c>
      <c r="T153" s="8">
        <f>(Table1[[#This Row],[Total Cholesterol (mg/dL)]]+Table1[[#This Row],[HDL (mg/dL)2]]+Table1[[#This Row],[Estimated LDL (mg/dL)2]])*5</f>
        <v>2490</v>
      </c>
      <c r="U153" s="8">
        <f>IF(O153="",Table1[[#This Row],[Estimated LDL (mg/dL)2]]+Table1[[#This Row],[HDL (mg/dL)2]]+(Table1[[#This Row],[Triglycerides]]/5),O153)</f>
        <v>264</v>
      </c>
      <c r="V153">
        <v>138</v>
      </c>
      <c r="W153" s="8">
        <f t="shared" si="37"/>
        <v>138</v>
      </c>
      <c r="X153" t="str">
        <f t="shared" si="38"/>
        <v>Diabetes</v>
      </c>
      <c r="Y153" t="s">
        <v>23</v>
      </c>
      <c r="Z153" t="s">
        <v>23</v>
      </c>
      <c r="AA153" t="s">
        <v>37</v>
      </c>
      <c r="AB153" s="3" t="s">
        <v>179</v>
      </c>
      <c r="AC153">
        <v>91</v>
      </c>
      <c r="AD153" s="3" t="str">
        <f t="shared" si="39"/>
        <v>91</v>
      </c>
      <c r="AE153">
        <v>79</v>
      </c>
      <c r="AF153" s="3" t="str">
        <f t="shared" si="40"/>
        <v>79</v>
      </c>
      <c r="AG153" t="s">
        <v>33</v>
      </c>
      <c r="AH153" s="3">
        <v>17.75</v>
      </c>
      <c r="AI153" s="3">
        <f t="shared" si="41"/>
        <v>17.75</v>
      </c>
      <c r="AJ153" t="s">
        <v>30</v>
      </c>
      <c r="AK153" t="str">
        <f>PROPER(Table1[[#This Row],[CVD Risk Level]])</f>
        <v>High</v>
      </c>
    </row>
    <row r="154" spans="1:37" x14ac:dyDescent="0.3">
      <c r="A154" t="s">
        <v>20</v>
      </c>
      <c r="B154">
        <v>59</v>
      </c>
      <c r="C154" s="8">
        <f t="shared" si="30"/>
        <v>59</v>
      </c>
      <c r="D154" s="5">
        <v>66.7</v>
      </c>
      <c r="E154" s="8">
        <f t="shared" si="31"/>
        <v>66.7</v>
      </c>
      <c r="F154">
        <v>1.67</v>
      </c>
      <c r="G154" s="3">
        <f t="shared" si="32"/>
        <v>1.67</v>
      </c>
      <c r="H154">
        <v>23.9</v>
      </c>
      <c r="I154" s="5">
        <f t="shared" si="28"/>
        <v>23.9</v>
      </c>
      <c r="J154" s="16" t="str">
        <f t="shared" si="33"/>
        <v>Normal</v>
      </c>
      <c r="K154">
        <v>90.1</v>
      </c>
      <c r="L154">
        <v>0.54</v>
      </c>
      <c r="M154" s="11">
        <f t="shared" si="29"/>
        <v>0.54</v>
      </c>
      <c r="N154" s="5">
        <f t="shared" si="34"/>
        <v>90.1</v>
      </c>
      <c r="O154">
        <v>116</v>
      </c>
      <c r="P154">
        <v>35</v>
      </c>
      <c r="Q154" s="8">
        <f t="shared" si="35"/>
        <v>35</v>
      </c>
      <c r="R154" s="8">
        <v>51</v>
      </c>
      <c r="S154" s="8">
        <f t="shared" si="36"/>
        <v>51</v>
      </c>
      <c r="T154" s="8">
        <f>(Table1[[#This Row],[Total Cholesterol (mg/dL)]]+Table1[[#This Row],[HDL (mg/dL)2]]+Table1[[#This Row],[Estimated LDL (mg/dL)2]])*5</f>
        <v>1010</v>
      </c>
      <c r="U154" s="8">
        <f>IF(O154="",Table1[[#This Row],[Estimated LDL (mg/dL)2]]+Table1[[#This Row],[HDL (mg/dL)2]]+(Table1[[#This Row],[Triglycerides]]/5),O154)</f>
        <v>116</v>
      </c>
      <c r="V154">
        <v>104</v>
      </c>
      <c r="W154" s="8">
        <f t="shared" si="37"/>
        <v>104</v>
      </c>
      <c r="X154" t="str">
        <f t="shared" si="38"/>
        <v>Prediabetes</v>
      </c>
      <c r="Y154" t="s">
        <v>23</v>
      </c>
      <c r="Z154" t="s">
        <v>22</v>
      </c>
      <c r="AA154" t="s">
        <v>28</v>
      </c>
      <c r="AB154" s="3" t="s">
        <v>180</v>
      </c>
      <c r="AC154">
        <v>147</v>
      </c>
      <c r="AD154" s="3" t="str">
        <f t="shared" si="39"/>
        <v>147</v>
      </c>
      <c r="AE154">
        <v>82</v>
      </c>
      <c r="AF154" s="3" t="str">
        <f t="shared" si="40"/>
        <v>82</v>
      </c>
      <c r="AG154" t="s">
        <v>29</v>
      </c>
      <c r="AH154" s="3">
        <v>14.45</v>
      </c>
      <c r="AI154" s="3">
        <f t="shared" si="41"/>
        <v>14.45</v>
      </c>
      <c r="AJ154" t="s">
        <v>30</v>
      </c>
      <c r="AK154" t="str">
        <f>PROPER(Table1[[#This Row],[CVD Risk Level]])</f>
        <v>High</v>
      </c>
    </row>
    <row r="155" spans="1:37" x14ac:dyDescent="0.3">
      <c r="A155" t="s">
        <v>31</v>
      </c>
      <c r="B155">
        <v>57</v>
      </c>
      <c r="C155" s="8">
        <f t="shared" si="30"/>
        <v>57</v>
      </c>
      <c r="D155" s="5">
        <v>95.9</v>
      </c>
      <c r="E155" s="8">
        <f t="shared" si="31"/>
        <v>95.9</v>
      </c>
      <c r="F155">
        <v>1.62</v>
      </c>
      <c r="G155" s="3">
        <f t="shared" si="32"/>
        <v>1.62</v>
      </c>
      <c r="H155">
        <v>36.5</v>
      </c>
      <c r="I155" s="5">
        <f t="shared" si="28"/>
        <v>36.5</v>
      </c>
      <c r="J155" s="16" t="str">
        <f t="shared" si="33"/>
        <v>Obese</v>
      </c>
      <c r="K155">
        <v>81.7</v>
      </c>
      <c r="L155">
        <v>0.504</v>
      </c>
      <c r="M155" s="11">
        <f t="shared" si="29"/>
        <v>0.504</v>
      </c>
      <c r="N155" s="5">
        <f t="shared" si="34"/>
        <v>81.7</v>
      </c>
      <c r="O155">
        <v>281</v>
      </c>
      <c r="P155">
        <v>40</v>
      </c>
      <c r="Q155" s="8">
        <f t="shared" si="35"/>
        <v>40</v>
      </c>
      <c r="R155" s="8">
        <v>211</v>
      </c>
      <c r="S155" s="8">
        <f t="shared" si="36"/>
        <v>211</v>
      </c>
      <c r="T155" s="8">
        <f>(Table1[[#This Row],[Total Cholesterol (mg/dL)]]+Table1[[#This Row],[HDL (mg/dL)2]]+Table1[[#This Row],[Estimated LDL (mg/dL)2]])*5</f>
        <v>2660</v>
      </c>
      <c r="U155" s="8">
        <f>IF(O155="",Table1[[#This Row],[Estimated LDL (mg/dL)2]]+Table1[[#This Row],[HDL (mg/dL)2]]+(Table1[[#This Row],[Triglycerides]]/5),O155)</f>
        <v>281</v>
      </c>
      <c r="V155">
        <v>150</v>
      </c>
      <c r="W155" s="8">
        <f t="shared" si="37"/>
        <v>150</v>
      </c>
      <c r="X155" t="str">
        <f t="shared" si="38"/>
        <v>Diabetes</v>
      </c>
      <c r="Y155" t="s">
        <v>22</v>
      </c>
      <c r="Z155" t="s">
        <v>22</v>
      </c>
      <c r="AA155" t="s">
        <v>24</v>
      </c>
      <c r="AB155" s="3" t="s">
        <v>181</v>
      </c>
      <c r="AD155" s="3" t="str">
        <f t="shared" si="39"/>
        <v>117</v>
      </c>
      <c r="AE155">
        <v>91</v>
      </c>
      <c r="AF155" s="3" t="str">
        <f t="shared" si="40"/>
        <v>91</v>
      </c>
      <c r="AG155" t="s">
        <v>38</v>
      </c>
      <c r="AH155" s="3">
        <v>18.77</v>
      </c>
      <c r="AI155" s="3">
        <f t="shared" si="41"/>
        <v>18.77</v>
      </c>
      <c r="AJ155" t="s">
        <v>30</v>
      </c>
      <c r="AK155" t="str">
        <f>PROPER(Table1[[#This Row],[CVD Risk Level]])</f>
        <v>High</v>
      </c>
    </row>
    <row r="156" spans="1:37" x14ac:dyDescent="0.3">
      <c r="A156" t="s">
        <v>31</v>
      </c>
      <c r="B156">
        <v>48</v>
      </c>
      <c r="C156" s="8">
        <f t="shared" si="30"/>
        <v>48</v>
      </c>
      <c r="D156" s="5">
        <v>73.099999999999994</v>
      </c>
      <c r="E156" s="8">
        <f t="shared" si="31"/>
        <v>73.099999999999994</v>
      </c>
      <c r="F156">
        <v>1.76</v>
      </c>
      <c r="G156" s="3">
        <f t="shared" si="32"/>
        <v>1.76</v>
      </c>
      <c r="H156">
        <v>23.6</v>
      </c>
      <c r="I156" s="5">
        <f t="shared" si="28"/>
        <v>23.6</v>
      </c>
      <c r="J156" s="16" t="str">
        <f t="shared" si="33"/>
        <v>Normal</v>
      </c>
      <c r="K156">
        <v>87.8</v>
      </c>
      <c r="L156">
        <v>0.499</v>
      </c>
      <c r="M156" s="11">
        <f t="shared" si="29"/>
        <v>0.499</v>
      </c>
      <c r="N156" s="5">
        <f t="shared" si="34"/>
        <v>87.8</v>
      </c>
      <c r="O156">
        <v>294</v>
      </c>
      <c r="P156">
        <v>40</v>
      </c>
      <c r="Q156" s="8">
        <f t="shared" si="35"/>
        <v>40</v>
      </c>
      <c r="R156" s="8">
        <v>224</v>
      </c>
      <c r="S156" s="8">
        <f t="shared" si="36"/>
        <v>224</v>
      </c>
      <c r="T156" s="8">
        <f>(Table1[[#This Row],[Total Cholesterol (mg/dL)]]+Table1[[#This Row],[HDL (mg/dL)2]]+Table1[[#This Row],[Estimated LDL (mg/dL)2]])*5</f>
        <v>2790</v>
      </c>
      <c r="U156" s="8">
        <f>IF(O156="",Table1[[#This Row],[Estimated LDL (mg/dL)2]]+Table1[[#This Row],[HDL (mg/dL)2]]+(Table1[[#This Row],[Triglycerides]]/5),O156)</f>
        <v>294</v>
      </c>
      <c r="V156">
        <v>113</v>
      </c>
      <c r="W156" s="8">
        <f t="shared" si="37"/>
        <v>113</v>
      </c>
      <c r="X156" t="str">
        <f t="shared" si="38"/>
        <v>Prediabetes</v>
      </c>
      <c r="Y156" t="s">
        <v>22</v>
      </c>
      <c r="Z156" t="s">
        <v>23</v>
      </c>
      <c r="AA156" t="s">
        <v>24</v>
      </c>
      <c r="AB156" s="3" t="s">
        <v>182</v>
      </c>
      <c r="AC156">
        <v>119</v>
      </c>
      <c r="AD156" s="3" t="str">
        <f t="shared" si="39"/>
        <v>119</v>
      </c>
      <c r="AE156">
        <v>81</v>
      </c>
      <c r="AF156" s="3" t="str">
        <f t="shared" si="40"/>
        <v>81</v>
      </c>
      <c r="AG156" t="s">
        <v>29</v>
      </c>
      <c r="AH156" s="3">
        <v>18.55</v>
      </c>
      <c r="AI156" s="3">
        <f t="shared" si="41"/>
        <v>18.55</v>
      </c>
      <c r="AJ156" t="s">
        <v>30</v>
      </c>
      <c r="AK156" t="str">
        <f>PROPER(Table1[[#This Row],[CVD Risk Level]])</f>
        <v>High</v>
      </c>
    </row>
    <row r="157" spans="1:37" x14ac:dyDescent="0.3">
      <c r="A157" t="s">
        <v>20</v>
      </c>
      <c r="B157">
        <v>45</v>
      </c>
      <c r="C157" s="8">
        <f t="shared" si="30"/>
        <v>45</v>
      </c>
      <c r="D157" s="5">
        <v>94.5</v>
      </c>
      <c r="E157" s="8">
        <f t="shared" si="31"/>
        <v>94.5</v>
      </c>
      <c r="F157">
        <v>1.85</v>
      </c>
      <c r="G157" s="3">
        <f t="shared" si="32"/>
        <v>1.85</v>
      </c>
      <c r="H157">
        <v>27.6</v>
      </c>
      <c r="I157" s="5">
        <f t="shared" si="28"/>
        <v>27.6</v>
      </c>
      <c r="J157" s="16" t="str">
        <f t="shared" si="33"/>
        <v>Overweight</v>
      </c>
      <c r="K157">
        <v>78.5</v>
      </c>
      <c r="L157">
        <v>0.42399999999999999</v>
      </c>
      <c r="M157" s="11">
        <f t="shared" si="29"/>
        <v>0.42399999999999999</v>
      </c>
      <c r="N157" s="5">
        <f t="shared" si="34"/>
        <v>78.5</v>
      </c>
      <c r="O157">
        <v>177</v>
      </c>
      <c r="P157">
        <v>38</v>
      </c>
      <c r="Q157" s="8">
        <f t="shared" si="35"/>
        <v>38</v>
      </c>
      <c r="R157" s="8">
        <v>109</v>
      </c>
      <c r="S157" s="8">
        <f t="shared" si="36"/>
        <v>109</v>
      </c>
      <c r="T157" s="8">
        <f>(Table1[[#This Row],[Total Cholesterol (mg/dL)]]+Table1[[#This Row],[HDL (mg/dL)2]]+Table1[[#This Row],[Estimated LDL (mg/dL)2]])*5</f>
        <v>1620</v>
      </c>
      <c r="U157" s="8">
        <f>IF(O157="",Table1[[#This Row],[Estimated LDL (mg/dL)2]]+Table1[[#This Row],[HDL (mg/dL)2]]+(Table1[[#This Row],[Triglycerides]]/5),O157)</f>
        <v>177</v>
      </c>
      <c r="V157">
        <v>145</v>
      </c>
      <c r="W157" s="8">
        <f t="shared" si="37"/>
        <v>145</v>
      </c>
      <c r="X157" t="str">
        <f t="shared" si="38"/>
        <v>Diabetes</v>
      </c>
      <c r="Y157" t="s">
        <v>23</v>
      </c>
      <c r="Z157" t="s">
        <v>23</v>
      </c>
      <c r="AA157" t="s">
        <v>37</v>
      </c>
      <c r="AB157" s="3" t="s">
        <v>183</v>
      </c>
      <c r="AC157">
        <v>136</v>
      </c>
      <c r="AD157" s="3" t="str">
        <f t="shared" si="39"/>
        <v>136</v>
      </c>
      <c r="AE157">
        <v>61</v>
      </c>
      <c r="AF157" s="3" t="str">
        <f t="shared" si="40"/>
        <v>61</v>
      </c>
      <c r="AG157" t="s">
        <v>29</v>
      </c>
      <c r="AH157" s="3">
        <v>17.86</v>
      </c>
      <c r="AI157" s="3">
        <f t="shared" si="41"/>
        <v>17.86</v>
      </c>
      <c r="AJ157" t="s">
        <v>30</v>
      </c>
      <c r="AK157" t="str">
        <f>PROPER(Table1[[#This Row],[CVD Risk Level]])</f>
        <v>High</v>
      </c>
    </row>
    <row r="158" spans="1:37" x14ac:dyDescent="0.3">
      <c r="A158" t="s">
        <v>31</v>
      </c>
      <c r="B158">
        <v>48</v>
      </c>
      <c r="C158" s="8">
        <f t="shared" si="30"/>
        <v>48</v>
      </c>
      <c r="D158" s="5">
        <v>81.400000000000006</v>
      </c>
      <c r="E158" s="8">
        <f t="shared" si="31"/>
        <v>81.400000000000006</v>
      </c>
      <c r="F158">
        <v>1.63</v>
      </c>
      <c r="G158" s="3">
        <f t="shared" si="32"/>
        <v>1.63</v>
      </c>
      <c r="H158">
        <v>30.6</v>
      </c>
      <c r="I158" s="5">
        <f t="shared" si="28"/>
        <v>30.6</v>
      </c>
      <c r="J158" s="16" t="str">
        <f t="shared" si="33"/>
        <v>Obese</v>
      </c>
      <c r="K158">
        <v>106.7</v>
      </c>
      <c r="L158">
        <v>0.65500000000000003</v>
      </c>
      <c r="M158" s="11">
        <f t="shared" si="29"/>
        <v>0.65500000000000003</v>
      </c>
      <c r="N158" s="5">
        <f t="shared" si="34"/>
        <v>106.7</v>
      </c>
      <c r="O158">
        <v>191</v>
      </c>
      <c r="P158">
        <v>41</v>
      </c>
      <c r="Q158" s="8">
        <f t="shared" si="35"/>
        <v>41</v>
      </c>
      <c r="S158" s="8">
        <f t="shared" si="36"/>
        <v>109</v>
      </c>
      <c r="T158" s="8">
        <f>(Table1[[#This Row],[Total Cholesterol (mg/dL)]]+Table1[[#This Row],[HDL (mg/dL)2]]+Table1[[#This Row],[Estimated LDL (mg/dL)2]])*5</f>
        <v>1705</v>
      </c>
      <c r="U158" s="8">
        <f>IF(O158="",Table1[[#This Row],[Estimated LDL (mg/dL)2]]+Table1[[#This Row],[HDL (mg/dL)2]]+(Table1[[#This Row],[Triglycerides]]/5),O158)</f>
        <v>191</v>
      </c>
      <c r="V158">
        <v>71</v>
      </c>
      <c r="W158" s="8">
        <f t="shared" si="37"/>
        <v>71</v>
      </c>
      <c r="X158" t="str">
        <f t="shared" si="38"/>
        <v>Normal</v>
      </c>
      <c r="Y158" t="s">
        <v>23</v>
      </c>
      <c r="Z158" t="s">
        <v>23</v>
      </c>
      <c r="AA158" t="s">
        <v>37</v>
      </c>
      <c r="AB158" s="3" t="s">
        <v>184</v>
      </c>
      <c r="AC158">
        <v>149</v>
      </c>
      <c r="AD158" s="3" t="str">
        <f t="shared" si="39"/>
        <v>149</v>
      </c>
      <c r="AF158" s="3" t="str">
        <f t="shared" si="40"/>
        <v>81</v>
      </c>
      <c r="AG158" t="s">
        <v>29</v>
      </c>
      <c r="AH158" s="3">
        <v>19.39</v>
      </c>
      <c r="AI158" s="3">
        <f t="shared" si="41"/>
        <v>19.39</v>
      </c>
      <c r="AJ158" t="s">
        <v>30</v>
      </c>
      <c r="AK158" t="str">
        <f>PROPER(Table1[[#This Row],[CVD Risk Level]])</f>
        <v>High</v>
      </c>
    </row>
    <row r="159" spans="1:37" x14ac:dyDescent="0.3">
      <c r="A159" t="s">
        <v>31</v>
      </c>
      <c r="B159">
        <v>35</v>
      </c>
      <c r="C159" s="8">
        <f t="shared" si="30"/>
        <v>35</v>
      </c>
      <c r="D159" s="5">
        <v>85.2</v>
      </c>
      <c r="E159" s="8">
        <f t="shared" si="31"/>
        <v>85.2</v>
      </c>
      <c r="F159">
        <v>1.79</v>
      </c>
      <c r="G159" s="3">
        <f t="shared" si="32"/>
        <v>1.79</v>
      </c>
      <c r="H159">
        <v>26.6</v>
      </c>
      <c r="I159" s="5">
        <f t="shared" si="28"/>
        <v>26.6</v>
      </c>
      <c r="J159" s="16" t="str">
        <f t="shared" si="33"/>
        <v>Overweight</v>
      </c>
      <c r="K159">
        <v>73.5</v>
      </c>
      <c r="L159">
        <v>0.41099999999999998</v>
      </c>
      <c r="M159" s="11">
        <f t="shared" si="29"/>
        <v>0.41099999999999998</v>
      </c>
      <c r="N159" s="5">
        <f t="shared" si="34"/>
        <v>73.5</v>
      </c>
      <c r="O159">
        <v>262</v>
      </c>
      <c r="P159">
        <v>39</v>
      </c>
      <c r="Q159" s="8">
        <f t="shared" si="35"/>
        <v>39</v>
      </c>
      <c r="R159" s="8">
        <v>193</v>
      </c>
      <c r="S159" s="8">
        <f t="shared" si="36"/>
        <v>193</v>
      </c>
      <c r="T159" s="8">
        <f>(Table1[[#This Row],[Total Cholesterol (mg/dL)]]+Table1[[#This Row],[HDL (mg/dL)2]]+Table1[[#This Row],[Estimated LDL (mg/dL)2]])*5</f>
        <v>2470</v>
      </c>
      <c r="U159" s="8">
        <f>IF(O159="",Table1[[#This Row],[Estimated LDL (mg/dL)2]]+Table1[[#This Row],[HDL (mg/dL)2]]+(Table1[[#This Row],[Triglycerides]]/5),O159)</f>
        <v>262</v>
      </c>
      <c r="V159">
        <v>70</v>
      </c>
      <c r="W159" s="8">
        <f t="shared" si="37"/>
        <v>70</v>
      </c>
      <c r="X159" t="str">
        <f t="shared" si="38"/>
        <v>Normal</v>
      </c>
      <c r="Y159" t="s">
        <v>22</v>
      </c>
      <c r="Z159" t="s">
        <v>23</v>
      </c>
      <c r="AA159" t="s">
        <v>28</v>
      </c>
      <c r="AB159" s="3" t="s">
        <v>185</v>
      </c>
      <c r="AC159">
        <v>97</v>
      </c>
      <c r="AD159" s="3" t="str">
        <f t="shared" si="39"/>
        <v>97</v>
      </c>
      <c r="AE159">
        <v>79</v>
      </c>
      <c r="AF159" s="3" t="str">
        <f t="shared" si="40"/>
        <v>79</v>
      </c>
      <c r="AG159" t="s">
        <v>33</v>
      </c>
      <c r="AH159" s="3">
        <v>17.41</v>
      </c>
      <c r="AI159" s="3">
        <f t="shared" si="41"/>
        <v>17.41</v>
      </c>
      <c r="AJ159" t="s">
        <v>30</v>
      </c>
      <c r="AK159" t="str">
        <f>PROPER(Table1[[#This Row],[CVD Risk Level]])</f>
        <v>High</v>
      </c>
    </row>
    <row r="160" spans="1:37" x14ac:dyDescent="0.3">
      <c r="A160" t="s">
        <v>31</v>
      </c>
      <c r="B160">
        <v>53</v>
      </c>
      <c r="C160" s="8">
        <f t="shared" si="30"/>
        <v>53</v>
      </c>
      <c r="D160" s="5">
        <v>118.8</v>
      </c>
      <c r="E160" s="8">
        <f t="shared" si="31"/>
        <v>118.8</v>
      </c>
      <c r="F160">
        <v>1.68</v>
      </c>
      <c r="G160" s="3">
        <f t="shared" si="32"/>
        <v>1.68</v>
      </c>
      <c r="H160">
        <v>42.1</v>
      </c>
      <c r="I160" s="5">
        <f t="shared" si="28"/>
        <v>42.1</v>
      </c>
      <c r="J160" s="16" t="str">
        <f t="shared" si="33"/>
        <v>Obese</v>
      </c>
      <c r="K160">
        <v>88.2</v>
      </c>
      <c r="L160">
        <v>0.52500000000000002</v>
      </c>
      <c r="M160" s="11">
        <f t="shared" si="29"/>
        <v>0.52500000000000002</v>
      </c>
      <c r="N160" s="5">
        <f t="shared" si="34"/>
        <v>88.2</v>
      </c>
      <c r="O160">
        <v>233</v>
      </c>
      <c r="P160">
        <v>63</v>
      </c>
      <c r="Q160" s="8">
        <f t="shared" si="35"/>
        <v>63</v>
      </c>
      <c r="R160" s="8">
        <v>140</v>
      </c>
      <c r="S160" s="8">
        <f t="shared" si="36"/>
        <v>140</v>
      </c>
      <c r="T160" s="8">
        <f>(Table1[[#This Row],[Total Cholesterol (mg/dL)]]+Table1[[#This Row],[HDL (mg/dL)2]]+Table1[[#This Row],[Estimated LDL (mg/dL)2]])*5</f>
        <v>2180</v>
      </c>
      <c r="U160" s="8">
        <f>IF(O160="",Table1[[#This Row],[Estimated LDL (mg/dL)2]]+Table1[[#This Row],[HDL (mg/dL)2]]+(Table1[[#This Row],[Triglycerides]]/5),O160)</f>
        <v>233</v>
      </c>
      <c r="V160">
        <v>73</v>
      </c>
      <c r="W160" s="8">
        <f t="shared" si="37"/>
        <v>73</v>
      </c>
      <c r="X160" t="str">
        <f t="shared" si="38"/>
        <v>Normal</v>
      </c>
      <c r="Y160" t="s">
        <v>23</v>
      </c>
      <c r="Z160" t="s">
        <v>22</v>
      </c>
      <c r="AA160" t="s">
        <v>24</v>
      </c>
      <c r="AB160" s="3" t="s">
        <v>186</v>
      </c>
      <c r="AC160">
        <v>140</v>
      </c>
      <c r="AD160" s="3" t="str">
        <f t="shared" si="39"/>
        <v>140</v>
      </c>
      <c r="AE160">
        <v>86</v>
      </c>
      <c r="AF160" s="3" t="str">
        <f t="shared" si="40"/>
        <v>86</v>
      </c>
      <c r="AG160" t="s">
        <v>29</v>
      </c>
      <c r="AH160" s="3">
        <v>20.079999999999998</v>
      </c>
      <c r="AI160" s="3">
        <f t="shared" si="41"/>
        <v>20.079999999999998</v>
      </c>
      <c r="AJ160" t="s">
        <v>30</v>
      </c>
      <c r="AK160" t="str">
        <f>PROPER(Table1[[#This Row],[CVD Risk Level]])</f>
        <v>High</v>
      </c>
    </row>
    <row r="161" spans="1:37" x14ac:dyDescent="0.3">
      <c r="A161" t="s">
        <v>31</v>
      </c>
      <c r="B161">
        <v>33</v>
      </c>
      <c r="C161" s="8">
        <f t="shared" si="30"/>
        <v>33</v>
      </c>
      <c r="D161" s="5">
        <v>99.4</v>
      </c>
      <c r="E161" s="8">
        <f t="shared" si="31"/>
        <v>99.4</v>
      </c>
      <c r="F161">
        <v>1.88</v>
      </c>
      <c r="G161" s="3">
        <f t="shared" si="32"/>
        <v>1.88</v>
      </c>
      <c r="H161">
        <v>28.1</v>
      </c>
      <c r="I161" s="5">
        <f t="shared" si="28"/>
        <v>28.1</v>
      </c>
      <c r="J161" s="16" t="str">
        <f t="shared" si="33"/>
        <v>Overweight</v>
      </c>
      <c r="K161">
        <v>75.599999999999994</v>
      </c>
      <c r="L161">
        <v>0.40200000000000002</v>
      </c>
      <c r="M161" s="11">
        <f t="shared" si="29"/>
        <v>0.40200000000000002</v>
      </c>
      <c r="N161" s="5">
        <f t="shared" si="34"/>
        <v>75.599999999999994</v>
      </c>
      <c r="O161">
        <v>182</v>
      </c>
      <c r="P161">
        <v>35</v>
      </c>
      <c r="Q161" s="8">
        <f t="shared" si="35"/>
        <v>35</v>
      </c>
      <c r="R161" s="8">
        <v>117</v>
      </c>
      <c r="S161" s="8">
        <f t="shared" si="36"/>
        <v>117</v>
      </c>
      <c r="T161" s="8">
        <f>(Table1[[#This Row],[Total Cholesterol (mg/dL)]]+Table1[[#This Row],[HDL (mg/dL)2]]+Table1[[#This Row],[Estimated LDL (mg/dL)2]])*5</f>
        <v>1670</v>
      </c>
      <c r="U161" s="8">
        <f>IF(O161="",Table1[[#This Row],[Estimated LDL (mg/dL)2]]+Table1[[#This Row],[HDL (mg/dL)2]]+(Table1[[#This Row],[Triglycerides]]/5),O161)</f>
        <v>182</v>
      </c>
      <c r="V161">
        <v>126</v>
      </c>
      <c r="W161" s="8">
        <f t="shared" si="37"/>
        <v>126</v>
      </c>
      <c r="X161" t="str">
        <f t="shared" si="38"/>
        <v>Diabetes</v>
      </c>
      <c r="Y161" t="s">
        <v>22</v>
      </c>
      <c r="Z161" t="s">
        <v>23</v>
      </c>
      <c r="AA161" t="s">
        <v>37</v>
      </c>
      <c r="AB161" s="3" t="s">
        <v>187</v>
      </c>
      <c r="AC161">
        <v>121</v>
      </c>
      <c r="AD161" s="3" t="str">
        <f t="shared" si="39"/>
        <v>121</v>
      </c>
      <c r="AE161">
        <v>67</v>
      </c>
      <c r="AF161" s="3" t="str">
        <f t="shared" si="40"/>
        <v>67</v>
      </c>
      <c r="AG161" t="s">
        <v>25</v>
      </c>
      <c r="AH161" s="3">
        <v>17.309999999999999</v>
      </c>
      <c r="AI161" s="3">
        <f t="shared" si="41"/>
        <v>17.309999999999999</v>
      </c>
      <c r="AJ161" t="s">
        <v>26</v>
      </c>
      <c r="AK161" t="str">
        <f>PROPER(Table1[[#This Row],[CVD Risk Level]])</f>
        <v>Intermediary</v>
      </c>
    </row>
    <row r="162" spans="1:37" x14ac:dyDescent="0.3">
      <c r="A162" t="s">
        <v>20</v>
      </c>
      <c r="B162">
        <v>32</v>
      </c>
      <c r="C162" s="8">
        <f t="shared" si="30"/>
        <v>32</v>
      </c>
      <c r="D162" s="5">
        <v>71.7</v>
      </c>
      <c r="E162" s="8">
        <f t="shared" si="31"/>
        <v>71.7</v>
      </c>
      <c r="F162">
        <v>1.72</v>
      </c>
      <c r="G162" s="3">
        <f t="shared" si="32"/>
        <v>1.72</v>
      </c>
      <c r="H162">
        <v>24.2</v>
      </c>
      <c r="I162" s="5">
        <f t="shared" si="28"/>
        <v>24.2</v>
      </c>
      <c r="J162" s="16" t="str">
        <f t="shared" si="33"/>
        <v>Normal</v>
      </c>
      <c r="K162">
        <v>109.9</v>
      </c>
      <c r="L162">
        <v>0.63900000000000001</v>
      </c>
      <c r="M162" s="11">
        <f t="shared" si="29"/>
        <v>0.63900000000000001</v>
      </c>
      <c r="N162" s="5">
        <f t="shared" si="34"/>
        <v>109.9</v>
      </c>
      <c r="O162">
        <v>170</v>
      </c>
      <c r="P162">
        <v>38</v>
      </c>
      <c r="Q162" s="8">
        <f t="shared" si="35"/>
        <v>38</v>
      </c>
      <c r="R162" s="8">
        <v>102</v>
      </c>
      <c r="S162" s="8">
        <f t="shared" si="36"/>
        <v>102</v>
      </c>
      <c r="T162" s="8">
        <f>(Table1[[#This Row],[Total Cholesterol (mg/dL)]]+Table1[[#This Row],[HDL (mg/dL)2]]+Table1[[#This Row],[Estimated LDL (mg/dL)2]])*5</f>
        <v>1550</v>
      </c>
      <c r="U162" s="8">
        <f>IF(O162="",Table1[[#This Row],[Estimated LDL (mg/dL)2]]+Table1[[#This Row],[HDL (mg/dL)2]]+(Table1[[#This Row],[Triglycerides]]/5),O162)</f>
        <v>170</v>
      </c>
      <c r="V162">
        <v>92</v>
      </c>
      <c r="W162" s="8">
        <f t="shared" si="37"/>
        <v>92</v>
      </c>
      <c r="X162" t="str">
        <f t="shared" si="38"/>
        <v>Normal</v>
      </c>
      <c r="Y162" t="s">
        <v>23</v>
      </c>
      <c r="Z162" t="s">
        <v>22</v>
      </c>
      <c r="AA162" t="s">
        <v>37</v>
      </c>
      <c r="AB162" s="3" t="s">
        <v>188</v>
      </c>
      <c r="AC162">
        <v>150</v>
      </c>
      <c r="AD162" s="3" t="str">
        <f t="shared" si="39"/>
        <v>150</v>
      </c>
      <c r="AE162">
        <v>84</v>
      </c>
      <c r="AF162" s="3" t="str">
        <f t="shared" si="40"/>
        <v>84</v>
      </c>
      <c r="AG162" t="s">
        <v>29</v>
      </c>
      <c r="AH162" s="3">
        <v>15.74</v>
      </c>
      <c r="AI162" s="3">
        <f t="shared" si="41"/>
        <v>15.74</v>
      </c>
      <c r="AJ162" t="s">
        <v>26</v>
      </c>
      <c r="AK162" t="str">
        <f>PROPER(Table1[[#This Row],[CVD Risk Level]])</f>
        <v>Intermediary</v>
      </c>
    </row>
    <row r="163" spans="1:37" x14ac:dyDescent="0.3">
      <c r="A163" t="s">
        <v>31</v>
      </c>
      <c r="B163">
        <v>30</v>
      </c>
      <c r="C163" s="8">
        <f t="shared" si="30"/>
        <v>30</v>
      </c>
      <c r="D163" s="5">
        <v>78.5</v>
      </c>
      <c r="E163" s="8">
        <f t="shared" si="31"/>
        <v>78.5</v>
      </c>
      <c r="F163">
        <v>1.77</v>
      </c>
      <c r="G163" s="3">
        <f t="shared" si="32"/>
        <v>1.77</v>
      </c>
      <c r="H163">
        <v>25.1</v>
      </c>
      <c r="I163" s="5">
        <f t="shared" si="28"/>
        <v>25.1</v>
      </c>
      <c r="J163" s="16" t="str">
        <f t="shared" si="33"/>
        <v>Overweight</v>
      </c>
      <c r="K163">
        <v>100.6</v>
      </c>
      <c r="L163">
        <v>0.56799999999999995</v>
      </c>
      <c r="M163" s="11">
        <f t="shared" si="29"/>
        <v>0.56799999999999995</v>
      </c>
      <c r="N163" s="5">
        <f t="shared" si="34"/>
        <v>100.6</v>
      </c>
      <c r="O163">
        <v>162</v>
      </c>
      <c r="P163">
        <v>42</v>
      </c>
      <c r="Q163" s="8">
        <f t="shared" si="35"/>
        <v>42</v>
      </c>
      <c r="R163" s="8">
        <v>90</v>
      </c>
      <c r="S163" s="8">
        <f t="shared" si="36"/>
        <v>90</v>
      </c>
      <c r="T163" s="8">
        <f>(Table1[[#This Row],[Total Cholesterol (mg/dL)]]+Table1[[#This Row],[HDL (mg/dL)2]]+Table1[[#This Row],[Estimated LDL (mg/dL)2]])*5</f>
        <v>1470</v>
      </c>
      <c r="U163" s="8">
        <f>IF(O163="",Table1[[#This Row],[Estimated LDL (mg/dL)2]]+Table1[[#This Row],[HDL (mg/dL)2]]+(Table1[[#This Row],[Triglycerides]]/5),O163)</f>
        <v>162</v>
      </c>
      <c r="V163">
        <v>126</v>
      </c>
      <c r="W163" s="8">
        <f t="shared" si="37"/>
        <v>126</v>
      </c>
      <c r="X163" t="str">
        <f t="shared" si="38"/>
        <v>Diabetes</v>
      </c>
      <c r="Y163" t="s">
        <v>23</v>
      </c>
      <c r="Z163" t="s">
        <v>22</v>
      </c>
      <c r="AA163" t="s">
        <v>24</v>
      </c>
      <c r="AB163" s="3" t="s">
        <v>189</v>
      </c>
      <c r="AC163">
        <v>131</v>
      </c>
      <c r="AD163" s="3" t="str">
        <f t="shared" si="39"/>
        <v>131</v>
      </c>
      <c r="AF163" s="3" t="str">
        <f t="shared" si="40"/>
        <v>79</v>
      </c>
      <c r="AG163" t="s">
        <v>29</v>
      </c>
      <c r="AH163" s="3">
        <v>14.81</v>
      </c>
      <c r="AI163" s="3">
        <f t="shared" si="41"/>
        <v>14.81</v>
      </c>
      <c r="AJ163" t="s">
        <v>30</v>
      </c>
      <c r="AK163" t="str">
        <f>PROPER(Table1[[#This Row],[CVD Risk Level]])</f>
        <v>High</v>
      </c>
    </row>
    <row r="164" spans="1:37" x14ac:dyDescent="0.3">
      <c r="A164" t="s">
        <v>20</v>
      </c>
      <c r="B164">
        <v>48</v>
      </c>
      <c r="C164" s="8">
        <f t="shared" si="30"/>
        <v>48</v>
      </c>
      <c r="D164" s="5">
        <v>57.4</v>
      </c>
      <c r="E164" s="8">
        <f t="shared" si="31"/>
        <v>57.4</v>
      </c>
      <c r="F164">
        <v>1.76</v>
      </c>
      <c r="G164" s="3">
        <f t="shared" si="32"/>
        <v>1.76</v>
      </c>
      <c r="H164">
        <v>18.5</v>
      </c>
      <c r="I164" s="5">
        <f t="shared" si="28"/>
        <v>18.5</v>
      </c>
      <c r="J164" s="16" t="str">
        <f t="shared" si="33"/>
        <v>Normal</v>
      </c>
      <c r="K164">
        <v>96.6</v>
      </c>
      <c r="L164">
        <v>0.54900000000000004</v>
      </c>
      <c r="M164" s="11">
        <f t="shared" si="29"/>
        <v>0.54900000000000004</v>
      </c>
      <c r="N164" s="5">
        <f t="shared" si="34"/>
        <v>96.6</v>
      </c>
      <c r="O164">
        <v>212</v>
      </c>
      <c r="P164">
        <v>58</v>
      </c>
      <c r="Q164" s="8">
        <f t="shared" si="35"/>
        <v>58</v>
      </c>
      <c r="R164" s="8">
        <v>124</v>
      </c>
      <c r="S164" s="8">
        <f t="shared" si="36"/>
        <v>124</v>
      </c>
      <c r="T164" s="8">
        <f>(Table1[[#This Row],[Total Cholesterol (mg/dL)]]+Table1[[#This Row],[HDL (mg/dL)2]]+Table1[[#This Row],[Estimated LDL (mg/dL)2]])*5</f>
        <v>1970</v>
      </c>
      <c r="U164" s="8">
        <f>IF(O164="",Table1[[#This Row],[Estimated LDL (mg/dL)2]]+Table1[[#This Row],[HDL (mg/dL)2]]+(Table1[[#This Row],[Triglycerides]]/5),O164)</f>
        <v>212</v>
      </c>
      <c r="V164">
        <v>76</v>
      </c>
      <c r="W164" s="8">
        <f t="shared" si="37"/>
        <v>76</v>
      </c>
      <c r="X164" t="str">
        <f t="shared" si="38"/>
        <v>Normal</v>
      </c>
      <c r="Y164" t="s">
        <v>23</v>
      </c>
      <c r="Z164" t="s">
        <v>22</v>
      </c>
      <c r="AA164" t="s">
        <v>28</v>
      </c>
      <c r="AB164" s="3" t="s">
        <v>190</v>
      </c>
      <c r="AC164">
        <v>119</v>
      </c>
      <c r="AD164" s="3" t="str">
        <f t="shared" si="39"/>
        <v>119</v>
      </c>
      <c r="AE164">
        <v>92</v>
      </c>
      <c r="AF164" s="3" t="str">
        <f t="shared" si="40"/>
        <v>92</v>
      </c>
      <c r="AG164" t="s">
        <v>38</v>
      </c>
      <c r="AH164" s="3">
        <v>13.89</v>
      </c>
      <c r="AI164" s="3">
        <f t="shared" si="41"/>
        <v>13.89</v>
      </c>
      <c r="AJ164" t="s">
        <v>26</v>
      </c>
      <c r="AK164" t="str">
        <f>PROPER(Table1[[#This Row],[CVD Risk Level]])</f>
        <v>Intermediary</v>
      </c>
    </row>
    <row r="165" spans="1:37" x14ac:dyDescent="0.3">
      <c r="A165" t="s">
        <v>20</v>
      </c>
      <c r="B165">
        <v>55</v>
      </c>
      <c r="C165" s="8">
        <f t="shared" si="30"/>
        <v>55</v>
      </c>
      <c r="D165" s="5">
        <v>73.5</v>
      </c>
      <c r="E165" s="8">
        <f t="shared" si="31"/>
        <v>73.5</v>
      </c>
      <c r="F165">
        <v>1.88</v>
      </c>
      <c r="G165" s="3">
        <f t="shared" si="32"/>
        <v>1.88</v>
      </c>
      <c r="H165">
        <v>20.8</v>
      </c>
      <c r="I165" s="5">
        <f t="shared" si="28"/>
        <v>20.8</v>
      </c>
      <c r="J165" s="16" t="str">
        <f t="shared" si="33"/>
        <v>Normal</v>
      </c>
      <c r="K165">
        <v>82.7</v>
      </c>
      <c r="L165">
        <v>0.44</v>
      </c>
      <c r="M165" s="11">
        <f t="shared" si="29"/>
        <v>0.44</v>
      </c>
      <c r="N165" s="5">
        <f t="shared" si="34"/>
        <v>82.7</v>
      </c>
      <c r="P165">
        <v>36</v>
      </c>
      <c r="Q165" s="8">
        <f t="shared" si="35"/>
        <v>36</v>
      </c>
      <c r="R165" s="8">
        <v>100</v>
      </c>
      <c r="S165" s="8">
        <f t="shared" si="36"/>
        <v>100</v>
      </c>
      <c r="T165" s="8">
        <f>(Table1[[#This Row],[Total Cholesterol (mg/dL)]]+Table1[[#This Row],[HDL (mg/dL)2]]+Table1[[#This Row],[Estimated LDL (mg/dL)2]])*5</f>
        <v>680</v>
      </c>
      <c r="U165" s="8">
        <f>IF(O165="",Table1[[#This Row],[Estimated LDL (mg/dL)2]]+Table1[[#This Row],[HDL (mg/dL)2]]+(Table1[[#This Row],[Triglycerides]]/5),O165)</f>
        <v>272</v>
      </c>
      <c r="V165">
        <v>116</v>
      </c>
      <c r="W165" s="8">
        <f t="shared" si="37"/>
        <v>116</v>
      </c>
      <c r="X165" t="str">
        <f t="shared" si="38"/>
        <v>Prediabetes</v>
      </c>
      <c r="Y165" t="s">
        <v>22</v>
      </c>
      <c r="Z165" t="s">
        <v>23</v>
      </c>
      <c r="AA165" t="s">
        <v>24</v>
      </c>
      <c r="AB165" s="3" t="s">
        <v>191</v>
      </c>
      <c r="AC165">
        <v>144</v>
      </c>
      <c r="AD165" s="3" t="str">
        <f t="shared" si="39"/>
        <v>144</v>
      </c>
      <c r="AE165">
        <v>72</v>
      </c>
      <c r="AF165" s="3" t="str">
        <f t="shared" si="40"/>
        <v>72</v>
      </c>
      <c r="AG165" t="s">
        <v>38</v>
      </c>
      <c r="AH165" s="3">
        <v>16.68</v>
      </c>
      <c r="AI165" s="3">
        <f t="shared" si="41"/>
        <v>16.68</v>
      </c>
      <c r="AJ165" t="s">
        <v>30</v>
      </c>
      <c r="AK165" t="str">
        <f>PROPER(Table1[[#This Row],[CVD Risk Level]])</f>
        <v>High</v>
      </c>
    </row>
    <row r="166" spans="1:37" x14ac:dyDescent="0.3">
      <c r="A166" t="s">
        <v>31</v>
      </c>
      <c r="B166">
        <v>31</v>
      </c>
      <c r="C166" s="8">
        <f t="shared" si="30"/>
        <v>31</v>
      </c>
      <c r="D166" s="5">
        <v>56.8</v>
      </c>
      <c r="E166" s="8">
        <f t="shared" si="31"/>
        <v>56.8</v>
      </c>
      <c r="F166">
        <v>1.85</v>
      </c>
      <c r="G166" s="3">
        <f t="shared" si="32"/>
        <v>1.85</v>
      </c>
      <c r="H166">
        <v>16.600000000000001</v>
      </c>
      <c r="I166" s="5">
        <f t="shared" si="28"/>
        <v>16.600000000000001</v>
      </c>
      <c r="J166" s="16" t="str">
        <f t="shared" si="33"/>
        <v>Underweight</v>
      </c>
      <c r="K166">
        <v>86.8</v>
      </c>
      <c r="L166">
        <v>0.46899999999999997</v>
      </c>
      <c r="M166" s="11">
        <f t="shared" si="29"/>
        <v>0.46899999999999997</v>
      </c>
      <c r="N166" s="5">
        <f t="shared" si="34"/>
        <v>86.8</v>
      </c>
      <c r="O166">
        <v>193</v>
      </c>
      <c r="P166">
        <v>50</v>
      </c>
      <c r="Q166" s="8">
        <f t="shared" si="35"/>
        <v>50</v>
      </c>
      <c r="R166" s="8">
        <v>113</v>
      </c>
      <c r="S166" s="8">
        <f t="shared" si="36"/>
        <v>113</v>
      </c>
      <c r="T166" s="8">
        <f>(Table1[[#This Row],[Total Cholesterol (mg/dL)]]+Table1[[#This Row],[HDL (mg/dL)2]]+Table1[[#This Row],[Estimated LDL (mg/dL)2]])*5</f>
        <v>1780</v>
      </c>
      <c r="U166" s="8">
        <f>IF(O166="",Table1[[#This Row],[Estimated LDL (mg/dL)2]]+Table1[[#This Row],[HDL (mg/dL)2]]+(Table1[[#This Row],[Triglycerides]]/5),O166)</f>
        <v>193</v>
      </c>
      <c r="V166">
        <v>112</v>
      </c>
      <c r="W166" s="8">
        <f t="shared" si="37"/>
        <v>112</v>
      </c>
      <c r="X166" t="str">
        <f t="shared" si="38"/>
        <v>Prediabetes</v>
      </c>
      <c r="Y166" t="s">
        <v>23</v>
      </c>
      <c r="Z166" t="s">
        <v>22</v>
      </c>
      <c r="AA166" t="s">
        <v>24</v>
      </c>
      <c r="AB166" s="3" t="s">
        <v>192</v>
      </c>
      <c r="AC166">
        <v>144</v>
      </c>
      <c r="AD166" s="3" t="str">
        <f t="shared" si="39"/>
        <v>144</v>
      </c>
      <c r="AE166">
        <v>70</v>
      </c>
      <c r="AF166" s="3" t="str">
        <f t="shared" si="40"/>
        <v>70</v>
      </c>
      <c r="AG166" t="s">
        <v>38</v>
      </c>
      <c r="AH166" s="3">
        <v>14.38</v>
      </c>
      <c r="AI166" s="3">
        <f t="shared" si="41"/>
        <v>14.38</v>
      </c>
      <c r="AJ166" t="s">
        <v>26</v>
      </c>
      <c r="AK166" t="str">
        <f>PROPER(Table1[[#This Row],[CVD Risk Level]])</f>
        <v>Intermediary</v>
      </c>
    </row>
    <row r="167" spans="1:37" x14ac:dyDescent="0.3">
      <c r="A167" t="s">
        <v>20</v>
      </c>
      <c r="B167">
        <v>33</v>
      </c>
      <c r="C167" s="8">
        <f t="shared" si="30"/>
        <v>33</v>
      </c>
      <c r="D167" s="5">
        <v>72.8</v>
      </c>
      <c r="E167" s="8">
        <f t="shared" si="31"/>
        <v>72.8</v>
      </c>
      <c r="F167">
        <v>1.64</v>
      </c>
      <c r="G167" s="3">
        <f t="shared" si="32"/>
        <v>1.64</v>
      </c>
      <c r="H167">
        <v>27.1</v>
      </c>
      <c r="I167" s="5">
        <f t="shared" si="28"/>
        <v>27.1</v>
      </c>
      <c r="J167" s="16" t="str">
        <f t="shared" si="33"/>
        <v>Overweight</v>
      </c>
      <c r="K167">
        <v>96.6</v>
      </c>
      <c r="L167">
        <v>0.58899999999999997</v>
      </c>
      <c r="M167" s="11">
        <f t="shared" si="29"/>
        <v>0.58899999999999997</v>
      </c>
      <c r="N167" s="5">
        <f t="shared" si="34"/>
        <v>96.6</v>
      </c>
      <c r="O167">
        <v>214</v>
      </c>
      <c r="P167">
        <v>69</v>
      </c>
      <c r="Q167" s="8">
        <f t="shared" si="35"/>
        <v>69</v>
      </c>
      <c r="R167" s="8">
        <v>115</v>
      </c>
      <c r="S167" s="8">
        <f t="shared" si="36"/>
        <v>115</v>
      </c>
      <c r="T167" s="8">
        <f>(Table1[[#This Row],[Total Cholesterol (mg/dL)]]+Table1[[#This Row],[HDL (mg/dL)2]]+Table1[[#This Row],[Estimated LDL (mg/dL)2]])*5</f>
        <v>1990</v>
      </c>
      <c r="U167" s="8">
        <f>IF(O167="",Table1[[#This Row],[Estimated LDL (mg/dL)2]]+Table1[[#This Row],[HDL (mg/dL)2]]+(Table1[[#This Row],[Triglycerides]]/5),O167)</f>
        <v>214</v>
      </c>
      <c r="V167">
        <v>73</v>
      </c>
      <c r="W167" s="8">
        <f t="shared" si="37"/>
        <v>73</v>
      </c>
      <c r="X167" t="str">
        <f t="shared" si="38"/>
        <v>Normal</v>
      </c>
      <c r="Y167" t="s">
        <v>22</v>
      </c>
      <c r="Z167" t="s">
        <v>23</v>
      </c>
      <c r="AA167" t="s">
        <v>24</v>
      </c>
      <c r="AB167" s="3" t="s">
        <v>193</v>
      </c>
      <c r="AC167">
        <v>137</v>
      </c>
      <c r="AD167" s="3" t="str">
        <f t="shared" si="39"/>
        <v>137</v>
      </c>
      <c r="AE167">
        <v>64</v>
      </c>
      <c r="AF167" s="3" t="str">
        <f t="shared" si="40"/>
        <v>64</v>
      </c>
      <c r="AG167" t="s">
        <v>29</v>
      </c>
      <c r="AH167" s="3">
        <v>18.55</v>
      </c>
      <c r="AI167" s="3">
        <f t="shared" si="41"/>
        <v>18.55</v>
      </c>
      <c r="AJ167" t="s">
        <v>30</v>
      </c>
      <c r="AK167" t="str">
        <f>PROPER(Table1[[#This Row],[CVD Risk Level]])</f>
        <v>High</v>
      </c>
    </row>
    <row r="168" spans="1:37" x14ac:dyDescent="0.3">
      <c r="A168" t="s">
        <v>20</v>
      </c>
      <c r="B168">
        <v>30</v>
      </c>
      <c r="C168" s="8">
        <f t="shared" si="30"/>
        <v>30</v>
      </c>
      <c r="D168" s="5">
        <v>60.2</v>
      </c>
      <c r="E168" s="8">
        <f t="shared" si="31"/>
        <v>60.2</v>
      </c>
      <c r="F168">
        <v>1.76</v>
      </c>
      <c r="G168" s="3">
        <f t="shared" si="32"/>
        <v>1.76</v>
      </c>
      <c r="H168">
        <v>19.399999999999999</v>
      </c>
      <c r="I168" s="5">
        <f t="shared" si="28"/>
        <v>19.399999999999999</v>
      </c>
      <c r="J168" s="16" t="str">
        <f t="shared" si="33"/>
        <v>Normal</v>
      </c>
      <c r="K168">
        <v>83.6</v>
      </c>
      <c r="L168">
        <v>0.47499999999999998</v>
      </c>
      <c r="M168" s="11">
        <f t="shared" si="29"/>
        <v>0.47499999999999998</v>
      </c>
      <c r="N168" s="5">
        <f t="shared" si="34"/>
        <v>83.6</v>
      </c>
      <c r="O168">
        <v>118</v>
      </c>
      <c r="P168">
        <v>36</v>
      </c>
      <c r="Q168" s="8">
        <f t="shared" si="35"/>
        <v>36</v>
      </c>
      <c r="R168" s="8">
        <v>52</v>
      </c>
      <c r="S168" s="8">
        <f t="shared" si="36"/>
        <v>52</v>
      </c>
      <c r="T168" s="8">
        <f>(Table1[[#This Row],[Total Cholesterol (mg/dL)]]+Table1[[#This Row],[HDL (mg/dL)2]]+Table1[[#This Row],[Estimated LDL (mg/dL)2]])*5</f>
        <v>1030</v>
      </c>
      <c r="U168" s="8">
        <f>IF(O168="",Table1[[#This Row],[Estimated LDL (mg/dL)2]]+Table1[[#This Row],[HDL (mg/dL)2]]+(Table1[[#This Row],[Triglycerides]]/5),O168)</f>
        <v>118</v>
      </c>
      <c r="V168">
        <v>101</v>
      </c>
      <c r="W168" s="8">
        <f t="shared" si="37"/>
        <v>101</v>
      </c>
      <c r="X168" t="str">
        <f t="shared" si="38"/>
        <v>Prediabetes</v>
      </c>
      <c r="Y168" t="s">
        <v>23</v>
      </c>
      <c r="Z168" t="s">
        <v>22</v>
      </c>
      <c r="AA168" t="s">
        <v>28</v>
      </c>
      <c r="AB168" s="3" t="s">
        <v>194</v>
      </c>
      <c r="AC168">
        <v>124</v>
      </c>
      <c r="AD168" s="3" t="str">
        <f t="shared" si="39"/>
        <v>124</v>
      </c>
      <c r="AE168">
        <v>76</v>
      </c>
      <c r="AF168" s="3" t="str">
        <f t="shared" si="40"/>
        <v>76</v>
      </c>
      <c r="AG168" t="s">
        <v>25</v>
      </c>
      <c r="AH168" s="3">
        <v>12.44</v>
      </c>
      <c r="AI168" s="3">
        <f t="shared" si="41"/>
        <v>12.44</v>
      </c>
      <c r="AJ168" t="s">
        <v>26</v>
      </c>
      <c r="AK168" t="str">
        <f>PROPER(Table1[[#This Row],[CVD Risk Level]])</f>
        <v>Intermediary</v>
      </c>
    </row>
    <row r="169" spans="1:37" x14ac:dyDescent="0.3">
      <c r="A169" t="s">
        <v>20</v>
      </c>
      <c r="B169">
        <v>48</v>
      </c>
      <c r="C169" s="8">
        <f t="shared" si="30"/>
        <v>48</v>
      </c>
      <c r="D169" s="5">
        <v>57.5</v>
      </c>
      <c r="E169" s="8">
        <f t="shared" si="31"/>
        <v>57.5</v>
      </c>
      <c r="F169">
        <v>1.76</v>
      </c>
      <c r="G169" s="3">
        <f t="shared" si="32"/>
        <v>1.76</v>
      </c>
      <c r="H169">
        <v>18.600000000000001</v>
      </c>
      <c r="I169" s="5">
        <f t="shared" si="28"/>
        <v>18.600000000000001</v>
      </c>
      <c r="J169" s="16" t="str">
        <f t="shared" si="33"/>
        <v>Normal</v>
      </c>
      <c r="K169">
        <v>82.1</v>
      </c>
      <c r="L169">
        <v>0.46600000000000003</v>
      </c>
      <c r="M169" s="11">
        <f t="shared" si="29"/>
        <v>0.46600000000000003</v>
      </c>
      <c r="N169" s="5">
        <f t="shared" si="34"/>
        <v>82.1</v>
      </c>
      <c r="O169">
        <v>181</v>
      </c>
      <c r="P169">
        <v>72</v>
      </c>
      <c r="Q169" s="8">
        <f t="shared" si="35"/>
        <v>72</v>
      </c>
      <c r="R169" s="8">
        <v>79</v>
      </c>
      <c r="S169" s="8">
        <f>IF(R169&lt;=0,MEDIAN($R$2:$R$1530),R169)</f>
        <v>79</v>
      </c>
      <c r="T169" s="8">
        <f>(Table1[[#This Row],[Total Cholesterol (mg/dL)]]+Table1[[#This Row],[HDL (mg/dL)2]]+Table1[[#This Row],[Estimated LDL (mg/dL)2]])*5</f>
        <v>1660</v>
      </c>
      <c r="U169" s="8">
        <f>IF(O169="",Table1[[#This Row],[Estimated LDL (mg/dL)2]]+Table1[[#This Row],[HDL (mg/dL)2]]+(Table1[[#This Row],[Triglycerides]]/5),O169)</f>
        <v>181</v>
      </c>
      <c r="V169">
        <v>118</v>
      </c>
      <c r="W169" s="8">
        <f t="shared" si="37"/>
        <v>118</v>
      </c>
      <c r="X169" t="str">
        <f t="shared" si="38"/>
        <v>Prediabetes</v>
      </c>
      <c r="Y169" t="s">
        <v>22</v>
      </c>
      <c r="Z169" t="s">
        <v>23</v>
      </c>
      <c r="AA169" t="s">
        <v>28</v>
      </c>
      <c r="AB169" s="3" t="s">
        <v>195</v>
      </c>
      <c r="AC169">
        <v>142</v>
      </c>
      <c r="AD169" s="3" t="str">
        <f t="shared" si="39"/>
        <v>142</v>
      </c>
      <c r="AE169">
        <v>79</v>
      </c>
      <c r="AF169" s="3" t="str">
        <f t="shared" si="40"/>
        <v>79</v>
      </c>
      <c r="AG169" t="s">
        <v>38</v>
      </c>
      <c r="AH169" s="3">
        <v>16.440000000000001</v>
      </c>
      <c r="AI169" s="3">
        <f t="shared" si="41"/>
        <v>16.440000000000001</v>
      </c>
      <c r="AJ169" t="s">
        <v>26</v>
      </c>
      <c r="AK169" t="str">
        <f>PROPER(Table1[[#This Row],[CVD Risk Level]])</f>
        <v>Intermediary</v>
      </c>
    </row>
    <row r="170" spans="1:37" x14ac:dyDescent="0.3">
      <c r="A170" t="s">
        <v>20</v>
      </c>
      <c r="B170">
        <v>51</v>
      </c>
      <c r="C170" s="8">
        <f t="shared" si="30"/>
        <v>51</v>
      </c>
      <c r="D170" s="5">
        <v>67.3</v>
      </c>
      <c r="E170" s="8">
        <f t="shared" si="31"/>
        <v>67.3</v>
      </c>
      <c r="F170">
        <v>1.67</v>
      </c>
      <c r="G170" s="3">
        <f t="shared" si="32"/>
        <v>1.67</v>
      </c>
      <c r="H170">
        <v>24.1</v>
      </c>
      <c r="I170" s="5">
        <f t="shared" si="28"/>
        <v>24.1</v>
      </c>
      <c r="J170" s="16" t="str">
        <f t="shared" si="33"/>
        <v>Normal</v>
      </c>
      <c r="K170">
        <v>93.5</v>
      </c>
      <c r="L170">
        <v>0.56000000000000005</v>
      </c>
      <c r="M170" s="11">
        <f t="shared" si="29"/>
        <v>0.56000000000000005</v>
      </c>
      <c r="N170" s="5">
        <f t="shared" si="34"/>
        <v>93.5</v>
      </c>
      <c r="O170">
        <v>217</v>
      </c>
      <c r="P170">
        <v>30</v>
      </c>
      <c r="Q170" s="8">
        <f t="shared" si="35"/>
        <v>30</v>
      </c>
      <c r="R170" s="8">
        <v>157</v>
      </c>
      <c r="S170" s="8">
        <f t="shared" si="36"/>
        <v>157</v>
      </c>
      <c r="T170" s="8">
        <f>(Table1[[#This Row],[Total Cholesterol (mg/dL)]]+Table1[[#This Row],[HDL (mg/dL)2]]+Table1[[#This Row],[Estimated LDL (mg/dL)2]])*5</f>
        <v>2020</v>
      </c>
      <c r="U170" s="8">
        <f>IF(O170="",Table1[[#This Row],[Estimated LDL (mg/dL)2]]+Table1[[#This Row],[HDL (mg/dL)2]]+(Table1[[#This Row],[Triglycerides]]/5),O170)</f>
        <v>217</v>
      </c>
      <c r="V170">
        <v>99</v>
      </c>
      <c r="W170" s="8">
        <f t="shared" si="37"/>
        <v>99</v>
      </c>
      <c r="X170" t="str">
        <f t="shared" si="38"/>
        <v>Normal</v>
      </c>
      <c r="Y170" t="s">
        <v>22</v>
      </c>
      <c r="Z170" t="s">
        <v>22</v>
      </c>
      <c r="AA170" t="s">
        <v>28</v>
      </c>
      <c r="AB170" s="3" t="s">
        <v>103</v>
      </c>
      <c r="AC170">
        <v>102</v>
      </c>
      <c r="AD170" s="3" t="str">
        <f t="shared" si="39"/>
        <v>102</v>
      </c>
      <c r="AF170" s="3" t="str">
        <f t="shared" si="40"/>
        <v>79</v>
      </c>
      <c r="AG170" t="s">
        <v>33</v>
      </c>
      <c r="AH170" s="3">
        <v>14.26</v>
      </c>
      <c r="AI170" s="3">
        <f t="shared" si="41"/>
        <v>14.26</v>
      </c>
      <c r="AJ170" t="s">
        <v>30</v>
      </c>
      <c r="AK170" t="str">
        <f>PROPER(Table1[[#This Row],[CVD Risk Level]])</f>
        <v>High</v>
      </c>
    </row>
    <row r="171" spans="1:37" x14ac:dyDescent="0.3">
      <c r="A171" t="s">
        <v>20</v>
      </c>
      <c r="B171">
        <v>53</v>
      </c>
      <c r="C171" s="8">
        <f t="shared" si="30"/>
        <v>53</v>
      </c>
      <c r="D171" s="5">
        <v>58.4</v>
      </c>
      <c r="E171" s="8">
        <f t="shared" si="31"/>
        <v>58.4</v>
      </c>
      <c r="F171">
        <v>1.78</v>
      </c>
      <c r="G171" s="3">
        <f t="shared" si="32"/>
        <v>1.78</v>
      </c>
      <c r="H171">
        <v>18.399999999999999</v>
      </c>
      <c r="I171" s="5">
        <f t="shared" si="28"/>
        <v>18.399999999999999</v>
      </c>
      <c r="J171" s="16" t="str">
        <f t="shared" si="33"/>
        <v>Underweight</v>
      </c>
      <c r="K171">
        <v>90.7</v>
      </c>
      <c r="M171" s="11">
        <f t="shared" si="29"/>
        <v>0.50955056179775282</v>
      </c>
      <c r="N171" s="5">
        <f t="shared" si="34"/>
        <v>90.7</v>
      </c>
      <c r="O171">
        <v>166</v>
      </c>
      <c r="P171">
        <v>40</v>
      </c>
      <c r="Q171" s="8">
        <f t="shared" si="35"/>
        <v>40</v>
      </c>
      <c r="R171" s="8">
        <v>96</v>
      </c>
      <c r="S171" s="8">
        <f t="shared" si="36"/>
        <v>96</v>
      </c>
      <c r="T171" s="8">
        <f>(Table1[[#This Row],[Total Cholesterol (mg/dL)]]+Table1[[#This Row],[HDL (mg/dL)2]]+Table1[[#This Row],[Estimated LDL (mg/dL)2]])*5</f>
        <v>1510</v>
      </c>
      <c r="U171" s="8">
        <f>IF(O171="",Table1[[#This Row],[Estimated LDL (mg/dL)2]]+Table1[[#This Row],[HDL (mg/dL)2]]+(Table1[[#This Row],[Triglycerides]]/5),O171)</f>
        <v>166</v>
      </c>
      <c r="V171">
        <v>76</v>
      </c>
      <c r="W171" s="8">
        <f t="shared" si="37"/>
        <v>76</v>
      </c>
      <c r="X171" t="str">
        <f t="shared" si="38"/>
        <v>Normal</v>
      </c>
      <c r="Y171" t="s">
        <v>23</v>
      </c>
      <c r="Z171" t="s">
        <v>22</v>
      </c>
      <c r="AA171" t="s">
        <v>28</v>
      </c>
      <c r="AB171" s="3" t="s">
        <v>196</v>
      </c>
      <c r="AC171">
        <v>92</v>
      </c>
      <c r="AD171" s="3" t="str">
        <f t="shared" si="39"/>
        <v>92</v>
      </c>
      <c r="AE171">
        <v>84</v>
      </c>
      <c r="AF171" s="3" t="str">
        <f t="shared" si="40"/>
        <v>84</v>
      </c>
      <c r="AG171" t="s">
        <v>29</v>
      </c>
      <c r="AH171" s="3">
        <v>11.6</v>
      </c>
      <c r="AI171" s="3">
        <f t="shared" si="41"/>
        <v>11.6</v>
      </c>
      <c r="AJ171" t="s">
        <v>26</v>
      </c>
      <c r="AK171" t="str">
        <f>PROPER(Table1[[#This Row],[CVD Risk Level]])</f>
        <v>Intermediary</v>
      </c>
    </row>
    <row r="172" spans="1:37" x14ac:dyDescent="0.3">
      <c r="A172" t="s">
        <v>31</v>
      </c>
      <c r="C172" s="8">
        <f t="shared" si="30"/>
        <v>47.025499655410059</v>
      </c>
      <c r="D172" s="5">
        <v>102.1</v>
      </c>
      <c r="E172" s="8">
        <f t="shared" si="31"/>
        <v>102.1</v>
      </c>
      <c r="F172">
        <v>1.66</v>
      </c>
      <c r="G172" s="3">
        <f t="shared" si="32"/>
        <v>1.66</v>
      </c>
      <c r="H172">
        <v>37.1</v>
      </c>
      <c r="I172" s="5">
        <f t="shared" si="28"/>
        <v>37.1</v>
      </c>
      <c r="J172" s="16" t="str">
        <f t="shared" si="33"/>
        <v>Obese</v>
      </c>
      <c r="K172">
        <v>71.3</v>
      </c>
      <c r="L172">
        <v>0.43</v>
      </c>
      <c r="M172" s="11">
        <f t="shared" si="29"/>
        <v>0.43</v>
      </c>
      <c r="N172" s="5">
        <f t="shared" si="34"/>
        <v>71.3</v>
      </c>
      <c r="O172">
        <v>288</v>
      </c>
      <c r="Q172" s="8">
        <f t="shared" si="35"/>
        <v>56.197377501725327</v>
      </c>
      <c r="R172" s="8">
        <v>207</v>
      </c>
      <c r="S172" s="8">
        <f>IF(R172&lt;=0,MEDIAN($R$2:$R$1530),R172)</f>
        <v>207</v>
      </c>
      <c r="T172" s="8">
        <f>(Table1[[#This Row],[Total Cholesterol (mg/dL)]]+Table1[[#This Row],[HDL (mg/dL)2]]+Table1[[#This Row],[Estimated LDL (mg/dL)2]])*5</f>
        <v>2755.9868875086268</v>
      </c>
      <c r="U172" s="8">
        <f>IF(O172="",Table1[[#This Row],[Estimated LDL (mg/dL)2]]+Table1[[#This Row],[HDL (mg/dL)2]]+(Table1[[#This Row],[Triglycerides]]/5),O172)</f>
        <v>288</v>
      </c>
      <c r="V172">
        <v>149</v>
      </c>
      <c r="W172" s="8">
        <f t="shared" si="37"/>
        <v>149</v>
      </c>
      <c r="X172" t="str">
        <f t="shared" si="38"/>
        <v>Diabetes</v>
      </c>
      <c r="Y172" t="s">
        <v>23</v>
      </c>
      <c r="Z172" t="s">
        <v>23</v>
      </c>
      <c r="AA172" t="s">
        <v>28</v>
      </c>
      <c r="AB172" s="3" t="s">
        <v>197</v>
      </c>
      <c r="AC172">
        <v>133</v>
      </c>
      <c r="AD172" s="3" t="str">
        <f t="shared" si="39"/>
        <v>133</v>
      </c>
      <c r="AE172">
        <v>75</v>
      </c>
      <c r="AF172" s="3" t="str">
        <f t="shared" si="40"/>
        <v>75</v>
      </c>
      <c r="AG172" t="s">
        <v>29</v>
      </c>
      <c r="AH172" s="3">
        <v>21.83</v>
      </c>
      <c r="AI172" s="3">
        <f t="shared" si="41"/>
        <v>21.83</v>
      </c>
      <c r="AJ172" t="s">
        <v>30</v>
      </c>
      <c r="AK172" t="str">
        <f>PROPER(Table1[[#This Row],[CVD Risk Level]])</f>
        <v>High</v>
      </c>
    </row>
    <row r="173" spans="1:37" x14ac:dyDescent="0.3">
      <c r="A173" t="s">
        <v>20</v>
      </c>
      <c r="B173">
        <v>33</v>
      </c>
      <c r="C173" s="8">
        <f t="shared" si="30"/>
        <v>33</v>
      </c>
      <c r="D173" s="5">
        <v>74.599999999999994</v>
      </c>
      <c r="E173" s="8">
        <f t="shared" si="31"/>
        <v>74.599999999999994</v>
      </c>
      <c r="F173">
        <v>1.7</v>
      </c>
      <c r="G173" s="3">
        <f t="shared" si="32"/>
        <v>1.7</v>
      </c>
      <c r="H173">
        <v>25.8</v>
      </c>
      <c r="I173" s="5">
        <f t="shared" si="28"/>
        <v>25.8</v>
      </c>
      <c r="J173" s="16" t="str">
        <f t="shared" si="33"/>
        <v>Overweight</v>
      </c>
      <c r="K173">
        <v>84.4</v>
      </c>
      <c r="L173">
        <v>0.496</v>
      </c>
      <c r="M173" s="11">
        <f t="shared" si="29"/>
        <v>0.496</v>
      </c>
      <c r="N173" s="5">
        <f t="shared" si="34"/>
        <v>84.4</v>
      </c>
      <c r="O173">
        <v>294</v>
      </c>
      <c r="P173">
        <v>74</v>
      </c>
      <c r="Q173" s="8">
        <f t="shared" si="35"/>
        <v>74</v>
      </c>
      <c r="R173" s="8">
        <v>190</v>
      </c>
      <c r="S173" s="8">
        <f t="shared" si="36"/>
        <v>190</v>
      </c>
      <c r="T173" s="8">
        <f>(Table1[[#This Row],[Total Cholesterol (mg/dL)]]+Table1[[#This Row],[HDL (mg/dL)2]]+Table1[[#This Row],[Estimated LDL (mg/dL)2]])*5</f>
        <v>2790</v>
      </c>
      <c r="U173" s="8">
        <f>IF(O173="",Table1[[#This Row],[Estimated LDL (mg/dL)2]]+Table1[[#This Row],[HDL (mg/dL)2]]+(Table1[[#This Row],[Triglycerides]]/5),O173)</f>
        <v>294</v>
      </c>
      <c r="V173">
        <v>76</v>
      </c>
      <c r="W173" s="8">
        <f t="shared" si="37"/>
        <v>76</v>
      </c>
      <c r="X173" t="str">
        <f t="shared" si="38"/>
        <v>Normal</v>
      </c>
      <c r="Y173" t="s">
        <v>23</v>
      </c>
      <c r="Z173" t="s">
        <v>23</v>
      </c>
      <c r="AA173" t="s">
        <v>37</v>
      </c>
      <c r="AB173" s="3" t="s">
        <v>198</v>
      </c>
      <c r="AC173">
        <v>125</v>
      </c>
      <c r="AD173" s="3" t="str">
        <f t="shared" si="39"/>
        <v>125</v>
      </c>
      <c r="AE173">
        <v>73</v>
      </c>
      <c r="AF173" s="3" t="str">
        <f t="shared" si="40"/>
        <v>73</v>
      </c>
      <c r="AG173" t="s">
        <v>25</v>
      </c>
      <c r="AH173" s="3">
        <v>19.29</v>
      </c>
      <c r="AI173" s="3">
        <f t="shared" si="41"/>
        <v>19.29</v>
      </c>
      <c r="AJ173" t="s">
        <v>30</v>
      </c>
      <c r="AK173" t="str">
        <f>PROPER(Table1[[#This Row],[CVD Risk Level]])</f>
        <v>High</v>
      </c>
    </row>
    <row r="174" spans="1:37" x14ac:dyDescent="0.3">
      <c r="A174" t="s">
        <v>20</v>
      </c>
      <c r="C174" s="8">
        <f t="shared" si="30"/>
        <v>47.025499655410059</v>
      </c>
      <c r="D174" s="5">
        <v>77</v>
      </c>
      <c r="E174" s="8">
        <f t="shared" si="31"/>
        <v>77</v>
      </c>
      <c r="F174">
        <v>1.65</v>
      </c>
      <c r="G174" s="3">
        <f t="shared" si="32"/>
        <v>1.65</v>
      </c>
      <c r="H174">
        <v>28.3</v>
      </c>
      <c r="I174" s="5">
        <f t="shared" si="28"/>
        <v>28.3</v>
      </c>
      <c r="J174" s="16" t="str">
        <f t="shared" si="33"/>
        <v>Overweight</v>
      </c>
      <c r="K174">
        <v>88.8</v>
      </c>
      <c r="L174">
        <v>0.53800000000000003</v>
      </c>
      <c r="M174" s="11">
        <f t="shared" si="29"/>
        <v>0.53800000000000003</v>
      </c>
      <c r="N174" s="5">
        <f t="shared" si="34"/>
        <v>88.8</v>
      </c>
      <c r="O174">
        <v>101</v>
      </c>
      <c r="P174">
        <v>40</v>
      </c>
      <c r="Q174" s="8">
        <f t="shared" si="35"/>
        <v>40</v>
      </c>
      <c r="R174" s="8">
        <v>31</v>
      </c>
      <c r="S174" s="8">
        <f t="shared" si="36"/>
        <v>31</v>
      </c>
      <c r="T174" s="8">
        <f>(Table1[[#This Row],[Total Cholesterol (mg/dL)]]+Table1[[#This Row],[HDL (mg/dL)2]]+Table1[[#This Row],[Estimated LDL (mg/dL)2]])*5</f>
        <v>860</v>
      </c>
      <c r="U174" s="8">
        <f>IF(O174="",Table1[[#This Row],[Estimated LDL (mg/dL)2]]+Table1[[#This Row],[HDL (mg/dL)2]]+(Table1[[#This Row],[Triglycerides]]/5),O174)</f>
        <v>101</v>
      </c>
      <c r="V174">
        <v>138</v>
      </c>
      <c r="W174" s="8">
        <f t="shared" si="37"/>
        <v>138</v>
      </c>
      <c r="X174" t="str">
        <f t="shared" si="38"/>
        <v>Diabetes</v>
      </c>
      <c r="Y174" t="s">
        <v>22</v>
      </c>
      <c r="Z174" t="s">
        <v>23</v>
      </c>
      <c r="AA174" t="s">
        <v>28</v>
      </c>
      <c r="AB174" s="3" t="s">
        <v>199</v>
      </c>
      <c r="AD174" s="3" t="str">
        <f t="shared" si="39"/>
        <v>97</v>
      </c>
      <c r="AE174">
        <v>74</v>
      </c>
      <c r="AF174" s="3" t="str">
        <f t="shared" si="40"/>
        <v>74</v>
      </c>
      <c r="AG174" t="s">
        <v>33</v>
      </c>
      <c r="AH174" s="3">
        <v>14.53</v>
      </c>
      <c r="AI174" s="3">
        <f t="shared" si="41"/>
        <v>14.53</v>
      </c>
      <c r="AJ174" t="s">
        <v>26</v>
      </c>
      <c r="AK174" t="str">
        <f>PROPER(Table1[[#This Row],[CVD Risk Level]])</f>
        <v>Intermediary</v>
      </c>
    </row>
    <row r="175" spans="1:37" x14ac:dyDescent="0.3">
      <c r="A175" t="s">
        <v>31</v>
      </c>
      <c r="B175">
        <v>38</v>
      </c>
      <c r="C175" s="8">
        <f t="shared" si="30"/>
        <v>38</v>
      </c>
      <c r="D175" s="5">
        <v>100.4</v>
      </c>
      <c r="E175" s="8">
        <f t="shared" si="31"/>
        <v>100.4</v>
      </c>
      <c r="F175">
        <v>1.68</v>
      </c>
      <c r="G175" s="3">
        <f t="shared" si="32"/>
        <v>1.68</v>
      </c>
      <c r="H175">
        <v>35.6</v>
      </c>
      <c r="I175" s="5">
        <f t="shared" si="28"/>
        <v>35.6</v>
      </c>
      <c r="J175" s="16" t="str">
        <f t="shared" si="33"/>
        <v>Obese</v>
      </c>
      <c r="K175">
        <v>102</v>
      </c>
      <c r="L175">
        <v>0.60699999999999998</v>
      </c>
      <c r="M175" s="11">
        <f t="shared" si="29"/>
        <v>0.60699999999999998</v>
      </c>
      <c r="N175" s="5">
        <f t="shared" si="34"/>
        <v>102</v>
      </c>
      <c r="O175">
        <v>109</v>
      </c>
      <c r="P175">
        <v>55</v>
      </c>
      <c r="Q175" s="8">
        <f t="shared" si="35"/>
        <v>55</v>
      </c>
      <c r="R175" s="8">
        <v>24</v>
      </c>
      <c r="S175" s="8">
        <f t="shared" si="36"/>
        <v>24</v>
      </c>
      <c r="T175" s="8">
        <f>(Table1[[#This Row],[Total Cholesterol (mg/dL)]]+Table1[[#This Row],[HDL (mg/dL)2]]+Table1[[#This Row],[Estimated LDL (mg/dL)2]])*5</f>
        <v>940</v>
      </c>
      <c r="U175" s="8">
        <f>IF(O175="",Table1[[#This Row],[Estimated LDL (mg/dL)2]]+Table1[[#This Row],[HDL (mg/dL)2]]+(Table1[[#This Row],[Triglycerides]]/5),O175)</f>
        <v>109</v>
      </c>
      <c r="V175">
        <v>150</v>
      </c>
      <c r="W175" s="8">
        <f t="shared" si="37"/>
        <v>150</v>
      </c>
      <c r="X175" t="str">
        <f t="shared" si="38"/>
        <v>Diabetes</v>
      </c>
      <c r="Y175" t="s">
        <v>23</v>
      </c>
      <c r="Z175" t="s">
        <v>23</v>
      </c>
      <c r="AA175" t="s">
        <v>28</v>
      </c>
      <c r="AB175" s="3" t="s">
        <v>200</v>
      </c>
      <c r="AC175">
        <v>146</v>
      </c>
      <c r="AD175" s="3" t="str">
        <f t="shared" si="39"/>
        <v>146</v>
      </c>
      <c r="AE175">
        <v>73</v>
      </c>
      <c r="AF175" s="3" t="str">
        <f t="shared" si="40"/>
        <v>73</v>
      </c>
      <c r="AG175" t="s">
        <v>38</v>
      </c>
      <c r="AH175" s="3">
        <v>18.600000000000001</v>
      </c>
      <c r="AI175" s="3">
        <f t="shared" si="41"/>
        <v>18.600000000000001</v>
      </c>
      <c r="AJ175" t="s">
        <v>30</v>
      </c>
      <c r="AK175" t="str">
        <f>PROPER(Table1[[#This Row],[CVD Risk Level]])</f>
        <v>High</v>
      </c>
    </row>
    <row r="176" spans="1:37" x14ac:dyDescent="0.3">
      <c r="A176" t="s">
        <v>31</v>
      </c>
      <c r="B176">
        <v>30</v>
      </c>
      <c r="C176" s="8">
        <f t="shared" si="30"/>
        <v>30</v>
      </c>
      <c r="D176" s="5">
        <v>85.2</v>
      </c>
      <c r="E176" s="8">
        <f t="shared" si="31"/>
        <v>85.2</v>
      </c>
      <c r="F176">
        <v>1.69</v>
      </c>
      <c r="G176" s="3">
        <f t="shared" si="32"/>
        <v>1.69</v>
      </c>
      <c r="H176">
        <v>29.8</v>
      </c>
      <c r="I176" s="5">
        <f t="shared" si="28"/>
        <v>29.8</v>
      </c>
      <c r="J176" s="16" t="str">
        <f t="shared" si="33"/>
        <v>Overweight</v>
      </c>
      <c r="K176">
        <v>96.3</v>
      </c>
      <c r="L176">
        <v>0.56999999999999995</v>
      </c>
      <c r="M176" s="11">
        <f t="shared" si="29"/>
        <v>0.56999999999999995</v>
      </c>
      <c r="N176" s="5">
        <f t="shared" si="34"/>
        <v>96.3</v>
      </c>
      <c r="O176">
        <v>247</v>
      </c>
      <c r="Q176" s="8">
        <f t="shared" si="35"/>
        <v>56.197377501725327</v>
      </c>
      <c r="R176" s="8">
        <v>138</v>
      </c>
      <c r="S176" s="8">
        <f>IF(R176&lt;=0,MEDIAN($R$2:$R$1530),R176)</f>
        <v>138</v>
      </c>
      <c r="T176" s="8">
        <f>(Table1[[#This Row],[Total Cholesterol (mg/dL)]]+Table1[[#This Row],[HDL (mg/dL)2]]+Table1[[#This Row],[Estimated LDL (mg/dL)2]])*5</f>
        <v>2205.9868875086268</v>
      </c>
      <c r="U176" s="8">
        <f>IF(O176="",Table1[[#This Row],[Estimated LDL (mg/dL)2]]+Table1[[#This Row],[HDL (mg/dL)2]]+(Table1[[#This Row],[Triglycerides]]/5),O176)</f>
        <v>247</v>
      </c>
      <c r="V176">
        <v>129</v>
      </c>
      <c r="W176" s="8">
        <f t="shared" si="37"/>
        <v>129</v>
      </c>
      <c r="X176" t="str">
        <f t="shared" si="38"/>
        <v>Diabetes</v>
      </c>
      <c r="Y176" t="s">
        <v>23</v>
      </c>
      <c r="Z176" t="s">
        <v>23</v>
      </c>
      <c r="AA176" t="s">
        <v>28</v>
      </c>
      <c r="AB176" s="3" t="s">
        <v>201</v>
      </c>
      <c r="AC176">
        <v>91</v>
      </c>
      <c r="AD176" s="3" t="str">
        <f t="shared" si="39"/>
        <v>91</v>
      </c>
      <c r="AF176" s="3" t="str">
        <f t="shared" si="40"/>
        <v>61</v>
      </c>
      <c r="AG176" t="s">
        <v>33</v>
      </c>
      <c r="AI176" s="3">
        <f t="shared" si="41"/>
        <v>16.960925291295425</v>
      </c>
      <c r="AJ176" t="s">
        <v>30</v>
      </c>
      <c r="AK176" t="str">
        <f>PROPER(Table1[[#This Row],[CVD Risk Level]])</f>
        <v>High</v>
      </c>
    </row>
    <row r="177" spans="1:37" x14ac:dyDescent="0.3">
      <c r="A177" t="s">
        <v>20</v>
      </c>
      <c r="B177">
        <v>54</v>
      </c>
      <c r="C177" s="8">
        <f t="shared" si="30"/>
        <v>54</v>
      </c>
      <c r="D177" s="5">
        <v>106</v>
      </c>
      <c r="E177" s="8">
        <f t="shared" si="31"/>
        <v>106</v>
      </c>
      <c r="F177">
        <v>1.78</v>
      </c>
      <c r="G177" s="3">
        <f t="shared" si="32"/>
        <v>1.78</v>
      </c>
      <c r="H177">
        <v>33.5</v>
      </c>
      <c r="I177" s="5">
        <f t="shared" si="28"/>
        <v>33.5</v>
      </c>
      <c r="J177" s="16" t="str">
        <f t="shared" si="33"/>
        <v>Obese</v>
      </c>
      <c r="K177">
        <v>82.9</v>
      </c>
      <c r="L177">
        <v>0.46600000000000003</v>
      </c>
      <c r="M177" s="11">
        <f t="shared" si="29"/>
        <v>0.46600000000000003</v>
      </c>
      <c r="N177" s="5">
        <f t="shared" si="34"/>
        <v>82.9</v>
      </c>
      <c r="O177">
        <v>117</v>
      </c>
      <c r="P177">
        <v>36</v>
      </c>
      <c r="Q177" s="8">
        <f t="shared" si="35"/>
        <v>36</v>
      </c>
      <c r="R177" s="8">
        <v>51</v>
      </c>
      <c r="S177" s="8">
        <f t="shared" si="36"/>
        <v>51</v>
      </c>
      <c r="T177" s="8">
        <f>(Table1[[#This Row],[Total Cholesterol (mg/dL)]]+Table1[[#This Row],[HDL (mg/dL)2]]+Table1[[#This Row],[Estimated LDL (mg/dL)2]])*5</f>
        <v>1020</v>
      </c>
      <c r="U177" s="8">
        <f>IF(O177="",Table1[[#This Row],[Estimated LDL (mg/dL)2]]+Table1[[#This Row],[HDL (mg/dL)2]]+(Table1[[#This Row],[Triglycerides]]/5),O177)</f>
        <v>117</v>
      </c>
      <c r="V177">
        <v>95</v>
      </c>
      <c r="W177" s="8">
        <f t="shared" si="37"/>
        <v>95</v>
      </c>
      <c r="X177" t="str">
        <f t="shared" si="38"/>
        <v>Normal</v>
      </c>
      <c r="Y177" t="s">
        <v>23</v>
      </c>
      <c r="Z177" t="s">
        <v>22</v>
      </c>
      <c r="AA177" t="s">
        <v>37</v>
      </c>
      <c r="AB177" s="3" t="s">
        <v>202</v>
      </c>
      <c r="AC177">
        <v>119</v>
      </c>
      <c r="AD177" s="3" t="str">
        <f t="shared" si="39"/>
        <v>119</v>
      </c>
      <c r="AE177">
        <v>89</v>
      </c>
      <c r="AF177" s="3" t="str">
        <f t="shared" si="40"/>
        <v>89</v>
      </c>
      <c r="AG177" t="s">
        <v>29</v>
      </c>
      <c r="AH177" s="3">
        <v>14.99</v>
      </c>
      <c r="AI177" s="3">
        <f t="shared" si="41"/>
        <v>14.99</v>
      </c>
      <c r="AJ177" t="s">
        <v>30</v>
      </c>
      <c r="AK177" t="str">
        <f>PROPER(Table1[[#This Row],[CVD Risk Level]])</f>
        <v>High</v>
      </c>
    </row>
    <row r="178" spans="1:37" x14ac:dyDescent="0.3">
      <c r="A178" t="s">
        <v>31</v>
      </c>
      <c r="B178">
        <v>56</v>
      </c>
      <c r="C178" s="8">
        <f t="shared" si="30"/>
        <v>56</v>
      </c>
      <c r="D178" s="5">
        <v>117.9</v>
      </c>
      <c r="E178" s="8">
        <f t="shared" si="31"/>
        <v>117.9</v>
      </c>
      <c r="F178">
        <v>1.66</v>
      </c>
      <c r="G178" s="3">
        <f t="shared" si="32"/>
        <v>1.66</v>
      </c>
      <c r="H178">
        <v>42.8</v>
      </c>
      <c r="I178" s="5">
        <f t="shared" si="28"/>
        <v>42.8</v>
      </c>
      <c r="J178" s="16" t="str">
        <f t="shared" si="33"/>
        <v>Obese</v>
      </c>
      <c r="K178">
        <v>108.6</v>
      </c>
      <c r="L178">
        <v>0.65400000000000003</v>
      </c>
      <c r="M178" s="11">
        <f t="shared" si="29"/>
        <v>0.65400000000000003</v>
      </c>
      <c r="N178" s="5">
        <f t="shared" si="34"/>
        <v>108.6</v>
      </c>
      <c r="O178">
        <v>120</v>
      </c>
      <c r="P178">
        <v>64</v>
      </c>
      <c r="Q178" s="8">
        <f t="shared" si="35"/>
        <v>64</v>
      </c>
      <c r="R178" s="8">
        <v>26</v>
      </c>
      <c r="S178" s="8">
        <f t="shared" si="36"/>
        <v>26</v>
      </c>
      <c r="T178" s="8">
        <f>(Table1[[#This Row],[Total Cholesterol (mg/dL)]]+Table1[[#This Row],[HDL (mg/dL)2]]+Table1[[#This Row],[Estimated LDL (mg/dL)2]])*5</f>
        <v>1050</v>
      </c>
      <c r="U178" s="8">
        <f>IF(O178="",Table1[[#This Row],[Estimated LDL (mg/dL)2]]+Table1[[#This Row],[HDL (mg/dL)2]]+(Table1[[#This Row],[Triglycerides]]/5),O178)</f>
        <v>120</v>
      </c>
      <c r="V178">
        <v>132</v>
      </c>
      <c r="W178" s="8">
        <f t="shared" si="37"/>
        <v>132</v>
      </c>
      <c r="X178" t="str">
        <f t="shared" si="38"/>
        <v>Diabetes</v>
      </c>
      <c r="Y178" t="s">
        <v>22</v>
      </c>
      <c r="Z178" t="s">
        <v>23</v>
      </c>
      <c r="AA178" t="s">
        <v>37</v>
      </c>
      <c r="AB178" s="3" t="s">
        <v>203</v>
      </c>
      <c r="AC178">
        <v>133</v>
      </c>
      <c r="AD178" s="3" t="str">
        <f t="shared" si="39"/>
        <v>133</v>
      </c>
      <c r="AE178">
        <v>65</v>
      </c>
      <c r="AF178" s="3" t="str">
        <f t="shared" si="40"/>
        <v>65</v>
      </c>
      <c r="AG178" t="s">
        <v>29</v>
      </c>
      <c r="AH178" s="3">
        <v>19.61</v>
      </c>
      <c r="AI178" s="3">
        <f t="shared" si="41"/>
        <v>19.61</v>
      </c>
      <c r="AJ178" t="s">
        <v>30</v>
      </c>
      <c r="AK178" t="str">
        <f>PROPER(Table1[[#This Row],[CVD Risk Level]])</f>
        <v>High</v>
      </c>
    </row>
    <row r="179" spans="1:37" x14ac:dyDescent="0.3">
      <c r="A179" t="s">
        <v>31</v>
      </c>
      <c r="B179">
        <v>37</v>
      </c>
      <c r="C179" s="8">
        <f t="shared" si="30"/>
        <v>37</v>
      </c>
      <c r="D179" s="5">
        <v>79.3</v>
      </c>
      <c r="E179" s="8">
        <f t="shared" si="31"/>
        <v>79.3</v>
      </c>
      <c r="F179">
        <v>1.86</v>
      </c>
      <c r="G179" s="3">
        <f t="shared" si="32"/>
        <v>1.86</v>
      </c>
      <c r="H179">
        <v>22.9</v>
      </c>
      <c r="I179" s="5">
        <f t="shared" si="28"/>
        <v>22.9</v>
      </c>
      <c r="J179" s="16" t="str">
        <f t="shared" si="33"/>
        <v>Normal</v>
      </c>
      <c r="K179">
        <v>73.8</v>
      </c>
      <c r="L179">
        <v>0.39700000000000002</v>
      </c>
      <c r="M179" s="11">
        <f t="shared" si="29"/>
        <v>0.39700000000000002</v>
      </c>
      <c r="N179" s="5">
        <f t="shared" si="34"/>
        <v>73.8</v>
      </c>
      <c r="O179">
        <v>286</v>
      </c>
      <c r="P179">
        <v>36</v>
      </c>
      <c r="Q179" s="8">
        <f t="shared" si="35"/>
        <v>36</v>
      </c>
      <c r="S179" s="8">
        <f t="shared" si="36"/>
        <v>109</v>
      </c>
      <c r="T179" s="8">
        <f>(Table1[[#This Row],[Total Cholesterol (mg/dL)]]+Table1[[#This Row],[HDL (mg/dL)2]]+Table1[[#This Row],[Estimated LDL (mg/dL)2]])*5</f>
        <v>2155</v>
      </c>
      <c r="U179" s="8">
        <f>IF(O179="",Table1[[#This Row],[Estimated LDL (mg/dL)2]]+Table1[[#This Row],[HDL (mg/dL)2]]+(Table1[[#This Row],[Triglycerides]]/5),O179)</f>
        <v>286</v>
      </c>
      <c r="V179">
        <v>142</v>
      </c>
      <c r="W179" s="8">
        <f t="shared" si="37"/>
        <v>142</v>
      </c>
      <c r="X179" t="str">
        <f t="shared" si="38"/>
        <v>Diabetes</v>
      </c>
      <c r="Y179" t="s">
        <v>23</v>
      </c>
      <c r="Z179" t="s">
        <v>23</v>
      </c>
      <c r="AA179" t="s">
        <v>24</v>
      </c>
      <c r="AB179" s="3" t="s">
        <v>204</v>
      </c>
      <c r="AC179">
        <v>118</v>
      </c>
      <c r="AD179" s="3" t="str">
        <f t="shared" si="39"/>
        <v>118</v>
      </c>
      <c r="AE179">
        <v>89</v>
      </c>
      <c r="AF179" s="3" t="str">
        <f t="shared" si="40"/>
        <v>89</v>
      </c>
      <c r="AG179" t="s">
        <v>29</v>
      </c>
      <c r="AH179" s="3">
        <v>18.2</v>
      </c>
      <c r="AI179" s="3">
        <f t="shared" si="41"/>
        <v>18.2</v>
      </c>
      <c r="AJ179" t="s">
        <v>30</v>
      </c>
      <c r="AK179" t="str">
        <f>PROPER(Table1[[#This Row],[CVD Risk Level]])</f>
        <v>High</v>
      </c>
    </row>
    <row r="180" spans="1:37" x14ac:dyDescent="0.3">
      <c r="A180" t="s">
        <v>20</v>
      </c>
      <c r="B180">
        <v>59</v>
      </c>
      <c r="C180" s="8">
        <f t="shared" si="30"/>
        <v>59</v>
      </c>
      <c r="D180" s="5">
        <v>89.4</v>
      </c>
      <c r="E180" s="8">
        <f t="shared" si="31"/>
        <v>89.4</v>
      </c>
      <c r="F180">
        <v>1.67</v>
      </c>
      <c r="G180" s="3">
        <f t="shared" si="32"/>
        <v>1.67</v>
      </c>
      <c r="H180">
        <v>32.1</v>
      </c>
      <c r="I180" s="5">
        <f t="shared" si="28"/>
        <v>32.1</v>
      </c>
      <c r="J180" s="16" t="str">
        <f t="shared" si="33"/>
        <v>Obese</v>
      </c>
      <c r="K180">
        <v>107.2</v>
      </c>
      <c r="L180">
        <v>0.64200000000000002</v>
      </c>
      <c r="M180" s="11">
        <f t="shared" si="29"/>
        <v>0.64200000000000002</v>
      </c>
      <c r="N180" s="5">
        <f t="shared" si="34"/>
        <v>107.2</v>
      </c>
      <c r="O180">
        <v>206</v>
      </c>
      <c r="P180">
        <v>54</v>
      </c>
      <c r="Q180" s="8">
        <f t="shared" si="35"/>
        <v>54</v>
      </c>
      <c r="R180" s="8">
        <v>122</v>
      </c>
      <c r="S180" s="8">
        <f t="shared" si="36"/>
        <v>122</v>
      </c>
      <c r="T180" s="8">
        <f>(Table1[[#This Row],[Total Cholesterol (mg/dL)]]+Table1[[#This Row],[HDL (mg/dL)2]]+Table1[[#This Row],[Estimated LDL (mg/dL)2]])*5</f>
        <v>1910</v>
      </c>
      <c r="U180" s="8">
        <f>IF(O180="",Table1[[#This Row],[Estimated LDL (mg/dL)2]]+Table1[[#This Row],[HDL (mg/dL)2]]+(Table1[[#This Row],[Triglycerides]]/5),O180)</f>
        <v>206</v>
      </c>
      <c r="V180">
        <v>140</v>
      </c>
      <c r="W180" s="8">
        <f t="shared" si="37"/>
        <v>140</v>
      </c>
      <c r="X180" t="str">
        <f t="shared" si="38"/>
        <v>Diabetes</v>
      </c>
      <c r="Y180" t="s">
        <v>23</v>
      </c>
      <c r="Z180" t="s">
        <v>23</v>
      </c>
      <c r="AA180" t="s">
        <v>24</v>
      </c>
      <c r="AB180" s="3" t="s">
        <v>204</v>
      </c>
      <c r="AC180">
        <v>118</v>
      </c>
      <c r="AD180" s="3" t="str">
        <f t="shared" si="39"/>
        <v>118</v>
      </c>
      <c r="AE180">
        <v>89</v>
      </c>
      <c r="AF180" s="3" t="str">
        <f t="shared" si="40"/>
        <v>89</v>
      </c>
      <c r="AG180" t="s">
        <v>29</v>
      </c>
      <c r="AH180" s="3">
        <v>18.440000000000001</v>
      </c>
      <c r="AI180" s="3">
        <f t="shared" si="41"/>
        <v>18.440000000000001</v>
      </c>
      <c r="AJ180" t="s">
        <v>30</v>
      </c>
      <c r="AK180" t="str">
        <f>PROPER(Table1[[#This Row],[CVD Risk Level]])</f>
        <v>High</v>
      </c>
    </row>
    <row r="181" spans="1:37" x14ac:dyDescent="0.3">
      <c r="A181" t="s">
        <v>31</v>
      </c>
      <c r="B181">
        <v>30</v>
      </c>
      <c r="C181" s="8">
        <f t="shared" si="30"/>
        <v>30</v>
      </c>
      <c r="D181" s="5">
        <v>105.3</v>
      </c>
      <c r="E181" s="8">
        <f t="shared" si="31"/>
        <v>105.3</v>
      </c>
      <c r="F181">
        <v>1.62</v>
      </c>
      <c r="G181" s="3">
        <f t="shared" si="32"/>
        <v>1.62</v>
      </c>
      <c r="H181">
        <v>40.1</v>
      </c>
      <c r="I181" s="5">
        <f t="shared" si="28"/>
        <v>40.1</v>
      </c>
      <c r="J181" s="16" t="str">
        <f t="shared" si="33"/>
        <v>Obese</v>
      </c>
      <c r="K181">
        <v>88.2</v>
      </c>
      <c r="L181">
        <v>0.54400000000000004</v>
      </c>
      <c r="M181" s="11">
        <f t="shared" si="29"/>
        <v>0.54400000000000004</v>
      </c>
      <c r="N181" s="5">
        <f t="shared" si="34"/>
        <v>88.2</v>
      </c>
      <c r="O181">
        <v>162</v>
      </c>
      <c r="P181">
        <v>43</v>
      </c>
      <c r="Q181" s="8">
        <f t="shared" si="35"/>
        <v>43</v>
      </c>
      <c r="R181" s="8">
        <v>89</v>
      </c>
      <c r="S181" s="8">
        <f t="shared" si="36"/>
        <v>89</v>
      </c>
      <c r="T181" s="8">
        <f>(Table1[[#This Row],[Total Cholesterol (mg/dL)]]+Table1[[#This Row],[HDL (mg/dL)2]]+Table1[[#This Row],[Estimated LDL (mg/dL)2]])*5</f>
        <v>1470</v>
      </c>
      <c r="U181" s="8">
        <f>IF(O181="",Table1[[#This Row],[Estimated LDL (mg/dL)2]]+Table1[[#This Row],[HDL (mg/dL)2]]+(Table1[[#This Row],[Triglycerides]]/5),O181)</f>
        <v>162</v>
      </c>
      <c r="V181">
        <v>79</v>
      </c>
      <c r="W181" s="8">
        <f t="shared" si="37"/>
        <v>79</v>
      </c>
      <c r="X181" t="str">
        <f t="shared" si="38"/>
        <v>Normal</v>
      </c>
      <c r="Y181" t="s">
        <v>23</v>
      </c>
      <c r="Z181" t="s">
        <v>22</v>
      </c>
      <c r="AA181" t="s">
        <v>28</v>
      </c>
      <c r="AB181" s="3" t="s">
        <v>205</v>
      </c>
      <c r="AC181">
        <v>121</v>
      </c>
      <c r="AD181" s="3" t="str">
        <f t="shared" si="39"/>
        <v>121</v>
      </c>
      <c r="AF181" s="3" t="str">
        <f t="shared" si="40"/>
        <v>94</v>
      </c>
      <c r="AG181" t="s">
        <v>38</v>
      </c>
      <c r="AH181" s="3">
        <v>17.309999999999999</v>
      </c>
      <c r="AI181" s="3">
        <f t="shared" si="41"/>
        <v>17.309999999999999</v>
      </c>
      <c r="AJ181" t="s">
        <v>26</v>
      </c>
      <c r="AK181" t="str">
        <f>PROPER(Table1[[#This Row],[CVD Risk Level]])</f>
        <v>Intermediary</v>
      </c>
    </row>
    <row r="182" spans="1:37" x14ac:dyDescent="0.3">
      <c r="A182" t="s">
        <v>20</v>
      </c>
      <c r="B182">
        <v>39</v>
      </c>
      <c r="C182" s="8">
        <f t="shared" si="30"/>
        <v>39</v>
      </c>
      <c r="E182" s="8">
        <f t="shared" si="31"/>
        <v>52.356399999999994</v>
      </c>
      <c r="F182">
        <v>1.66</v>
      </c>
      <c r="G182" s="3">
        <f t="shared" si="32"/>
        <v>1.66</v>
      </c>
      <c r="H182">
        <v>19</v>
      </c>
      <c r="I182" s="5">
        <f t="shared" si="28"/>
        <v>19</v>
      </c>
      <c r="J182" s="16" t="str">
        <f t="shared" si="33"/>
        <v>Normal</v>
      </c>
      <c r="K182">
        <v>98.1</v>
      </c>
      <c r="L182">
        <v>0.59099999999999997</v>
      </c>
      <c r="M182" s="11">
        <f t="shared" si="29"/>
        <v>0.59099999999999997</v>
      </c>
      <c r="N182" s="5">
        <f t="shared" si="34"/>
        <v>98.1</v>
      </c>
      <c r="O182">
        <v>149</v>
      </c>
      <c r="P182">
        <v>70</v>
      </c>
      <c r="Q182" s="8">
        <f t="shared" si="35"/>
        <v>70</v>
      </c>
      <c r="R182" s="8">
        <v>49</v>
      </c>
      <c r="S182" s="8">
        <f t="shared" si="36"/>
        <v>49</v>
      </c>
      <c r="T182" s="8">
        <f>(Table1[[#This Row],[Total Cholesterol (mg/dL)]]+Table1[[#This Row],[HDL (mg/dL)2]]+Table1[[#This Row],[Estimated LDL (mg/dL)2]])*5</f>
        <v>1340</v>
      </c>
      <c r="U182" s="8">
        <f>IF(O182="",Table1[[#This Row],[Estimated LDL (mg/dL)2]]+Table1[[#This Row],[HDL (mg/dL)2]]+(Table1[[#This Row],[Triglycerides]]/5),O182)</f>
        <v>149</v>
      </c>
      <c r="V182">
        <v>137</v>
      </c>
      <c r="W182" s="8">
        <f t="shared" si="37"/>
        <v>137</v>
      </c>
      <c r="X182" t="str">
        <f t="shared" si="38"/>
        <v>Diabetes</v>
      </c>
      <c r="Y182" t="s">
        <v>23</v>
      </c>
      <c r="Z182" t="s">
        <v>23</v>
      </c>
      <c r="AA182" t="s">
        <v>37</v>
      </c>
      <c r="AB182" s="3" t="s">
        <v>206</v>
      </c>
      <c r="AC182">
        <v>141</v>
      </c>
      <c r="AD182" s="3" t="str">
        <f t="shared" si="39"/>
        <v>141</v>
      </c>
      <c r="AE182">
        <v>69</v>
      </c>
      <c r="AF182" s="3" t="str">
        <f t="shared" si="40"/>
        <v>69</v>
      </c>
      <c r="AG182" t="s">
        <v>38</v>
      </c>
      <c r="AH182" s="3">
        <v>15.83</v>
      </c>
      <c r="AI182" s="3">
        <f t="shared" si="41"/>
        <v>15.83</v>
      </c>
      <c r="AJ182" t="s">
        <v>26</v>
      </c>
      <c r="AK182" t="str">
        <f>PROPER(Table1[[#This Row],[CVD Risk Level]])</f>
        <v>Intermediary</v>
      </c>
    </row>
    <row r="183" spans="1:37" x14ac:dyDescent="0.3">
      <c r="A183" t="s">
        <v>20</v>
      </c>
      <c r="B183">
        <v>49</v>
      </c>
      <c r="C183" s="8">
        <f t="shared" si="30"/>
        <v>49</v>
      </c>
      <c r="D183" s="5">
        <v>113.1</v>
      </c>
      <c r="E183" s="8">
        <f t="shared" si="31"/>
        <v>113.1</v>
      </c>
      <c r="F183">
        <v>1.67</v>
      </c>
      <c r="G183" s="3">
        <f t="shared" si="32"/>
        <v>1.67</v>
      </c>
      <c r="H183">
        <v>40.6</v>
      </c>
      <c r="I183" s="5">
        <f t="shared" si="28"/>
        <v>40.6</v>
      </c>
      <c r="J183" s="16" t="str">
        <f t="shared" si="33"/>
        <v>Obese</v>
      </c>
      <c r="K183">
        <v>89.7</v>
      </c>
      <c r="L183">
        <v>0.53700000000000003</v>
      </c>
      <c r="M183" s="11">
        <f t="shared" si="29"/>
        <v>0.53700000000000003</v>
      </c>
      <c r="N183" s="5">
        <f t="shared" si="34"/>
        <v>89.7</v>
      </c>
      <c r="O183">
        <v>124</v>
      </c>
      <c r="P183">
        <v>48</v>
      </c>
      <c r="Q183" s="8">
        <f t="shared" si="35"/>
        <v>48</v>
      </c>
      <c r="R183" s="8">
        <v>46</v>
      </c>
      <c r="S183" s="8">
        <f t="shared" si="36"/>
        <v>46</v>
      </c>
      <c r="T183" s="8">
        <f>(Table1[[#This Row],[Total Cholesterol (mg/dL)]]+Table1[[#This Row],[HDL (mg/dL)2]]+Table1[[#This Row],[Estimated LDL (mg/dL)2]])*5</f>
        <v>1090</v>
      </c>
      <c r="U183" s="8">
        <f>IF(O183="",Table1[[#This Row],[Estimated LDL (mg/dL)2]]+Table1[[#This Row],[HDL (mg/dL)2]]+(Table1[[#This Row],[Triglycerides]]/5),O183)</f>
        <v>124</v>
      </c>
      <c r="V183">
        <v>90</v>
      </c>
      <c r="W183" s="8">
        <f t="shared" si="37"/>
        <v>90</v>
      </c>
      <c r="X183" t="str">
        <f t="shared" si="38"/>
        <v>Normal</v>
      </c>
      <c r="Y183" t="s">
        <v>22</v>
      </c>
      <c r="Z183" t="s">
        <v>23</v>
      </c>
      <c r="AA183" t="s">
        <v>28</v>
      </c>
      <c r="AB183" s="3" t="s">
        <v>45</v>
      </c>
      <c r="AC183">
        <v>102</v>
      </c>
      <c r="AD183" s="3" t="str">
        <f t="shared" si="39"/>
        <v>102</v>
      </c>
      <c r="AE183">
        <v>63</v>
      </c>
      <c r="AF183" s="3" t="str">
        <f t="shared" si="40"/>
        <v>63</v>
      </c>
      <c r="AG183" t="s">
        <v>33</v>
      </c>
      <c r="AH183" s="3">
        <v>17.7</v>
      </c>
      <c r="AI183" s="3">
        <f t="shared" si="41"/>
        <v>17.7</v>
      </c>
      <c r="AJ183" t="s">
        <v>30</v>
      </c>
      <c r="AK183" t="str">
        <f>PROPER(Table1[[#This Row],[CVD Risk Level]])</f>
        <v>High</v>
      </c>
    </row>
    <row r="184" spans="1:37" x14ac:dyDescent="0.3">
      <c r="A184" t="s">
        <v>31</v>
      </c>
      <c r="B184">
        <v>36</v>
      </c>
      <c r="C184" s="8">
        <f t="shared" si="30"/>
        <v>36</v>
      </c>
      <c r="D184" s="5">
        <v>74.8</v>
      </c>
      <c r="E184" s="8">
        <f t="shared" si="31"/>
        <v>74.8</v>
      </c>
      <c r="F184">
        <v>1.88</v>
      </c>
      <c r="G184" s="3">
        <f t="shared" si="32"/>
        <v>1.88</v>
      </c>
      <c r="H184">
        <v>21.2</v>
      </c>
      <c r="I184" s="5">
        <f t="shared" si="28"/>
        <v>21.2</v>
      </c>
      <c r="J184" s="16" t="str">
        <f t="shared" si="33"/>
        <v>Normal</v>
      </c>
      <c r="K184">
        <v>73</v>
      </c>
      <c r="L184">
        <v>0.38800000000000001</v>
      </c>
      <c r="M184" s="11">
        <f t="shared" si="29"/>
        <v>0.38800000000000001</v>
      </c>
      <c r="N184" s="5">
        <f t="shared" si="34"/>
        <v>73</v>
      </c>
      <c r="P184">
        <v>49</v>
      </c>
      <c r="Q184" s="8">
        <f t="shared" si="35"/>
        <v>49</v>
      </c>
      <c r="R184" s="8">
        <v>76</v>
      </c>
      <c r="S184" s="8">
        <f t="shared" si="36"/>
        <v>76</v>
      </c>
      <c r="T184" s="8">
        <f>(Table1[[#This Row],[Total Cholesterol (mg/dL)]]+Table1[[#This Row],[HDL (mg/dL)2]]+Table1[[#This Row],[Estimated LDL (mg/dL)2]])*5</f>
        <v>625</v>
      </c>
      <c r="U184" s="8">
        <f>IF(O184="",Table1[[#This Row],[Estimated LDL (mg/dL)2]]+Table1[[#This Row],[HDL (mg/dL)2]]+(Table1[[#This Row],[Triglycerides]]/5),O184)</f>
        <v>250</v>
      </c>
      <c r="V184">
        <v>107</v>
      </c>
      <c r="W184" s="8">
        <f t="shared" si="37"/>
        <v>107</v>
      </c>
      <c r="X184" t="str">
        <f t="shared" si="38"/>
        <v>Prediabetes</v>
      </c>
      <c r="Y184" t="s">
        <v>23</v>
      </c>
      <c r="Z184" t="s">
        <v>22</v>
      </c>
      <c r="AA184" t="s">
        <v>28</v>
      </c>
      <c r="AB184" s="3" t="s">
        <v>207</v>
      </c>
      <c r="AC184">
        <v>130</v>
      </c>
      <c r="AD184" s="3" t="str">
        <f t="shared" si="39"/>
        <v>130</v>
      </c>
      <c r="AE184">
        <v>71</v>
      </c>
      <c r="AF184" s="3" t="str">
        <f t="shared" si="40"/>
        <v>71</v>
      </c>
      <c r="AG184" t="s">
        <v>29</v>
      </c>
      <c r="AH184" s="3">
        <v>13.84</v>
      </c>
      <c r="AI184" s="3">
        <f t="shared" si="41"/>
        <v>13.84</v>
      </c>
      <c r="AJ184" t="s">
        <v>26</v>
      </c>
      <c r="AK184" t="str">
        <f>PROPER(Table1[[#This Row],[CVD Risk Level]])</f>
        <v>Intermediary</v>
      </c>
    </row>
    <row r="185" spans="1:37" x14ac:dyDescent="0.3">
      <c r="A185" t="s">
        <v>31</v>
      </c>
      <c r="B185">
        <v>39</v>
      </c>
      <c r="C185" s="8">
        <f t="shared" si="30"/>
        <v>39</v>
      </c>
      <c r="D185" s="5">
        <v>73.3</v>
      </c>
      <c r="E185" s="8">
        <f t="shared" si="31"/>
        <v>73.3</v>
      </c>
      <c r="F185">
        <v>1.74</v>
      </c>
      <c r="G185" s="3">
        <f t="shared" si="32"/>
        <v>1.74</v>
      </c>
      <c r="H185">
        <v>24.2</v>
      </c>
      <c r="I185" s="5">
        <f t="shared" si="28"/>
        <v>24.2</v>
      </c>
      <c r="J185" s="16" t="str">
        <f t="shared" si="33"/>
        <v>Normal</v>
      </c>
      <c r="K185">
        <v>95</v>
      </c>
      <c r="L185">
        <v>0.54600000000000004</v>
      </c>
      <c r="M185" s="11">
        <f t="shared" si="29"/>
        <v>0.54600000000000004</v>
      </c>
      <c r="N185" s="5">
        <f t="shared" si="34"/>
        <v>95</v>
      </c>
      <c r="O185">
        <v>158</v>
      </c>
      <c r="P185">
        <v>37</v>
      </c>
      <c r="Q185" s="8">
        <f t="shared" si="35"/>
        <v>37</v>
      </c>
      <c r="R185" s="8">
        <v>91</v>
      </c>
      <c r="S185" s="8">
        <f t="shared" si="36"/>
        <v>91</v>
      </c>
      <c r="T185" s="8">
        <f>(Table1[[#This Row],[Total Cholesterol (mg/dL)]]+Table1[[#This Row],[HDL (mg/dL)2]]+Table1[[#This Row],[Estimated LDL (mg/dL)2]])*5</f>
        <v>1430</v>
      </c>
      <c r="U185" s="8">
        <f>IF(O185="",Table1[[#This Row],[Estimated LDL (mg/dL)2]]+Table1[[#This Row],[HDL (mg/dL)2]]+(Table1[[#This Row],[Triglycerides]]/5),O185)</f>
        <v>158</v>
      </c>
      <c r="V185">
        <v>81</v>
      </c>
      <c r="W185" s="8">
        <f t="shared" si="37"/>
        <v>81</v>
      </c>
      <c r="X185" t="str">
        <f t="shared" si="38"/>
        <v>Normal</v>
      </c>
      <c r="Y185" t="s">
        <v>22</v>
      </c>
      <c r="Z185" t="s">
        <v>23</v>
      </c>
      <c r="AA185" t="s">
        <v>28</v>
      </c>
      <c r="AB185" s="3" t="s">
        <v>208</v>
      </c>
      <c r="AC185">
        <v>111</v>
      </c>
      <c r="AD185" s="3" t="str">
        <f t="shared" si="39"/>
        <v>111</v>
      </c>
      <c r="AE185">
        <v>84</v>
      </c>
      <c r="AF185" s="3" t="str">
        <f t="shared" si="40"/>
        <v>84</v>
      </c>
      <c r="AG185" t="s">
        <v>29</v>
      </c>
      <c r="AH185" s="3">
        <v>15.55</v>
      </c>
      <c r="AI185" s="3">
        <f t="shared" si="41"/>
        <v>15.55</v>
      </c>
      <c r="AJ185" t="s">
        <v>26</v>
      </c>
      <c r="AK185" t="str">
        <f>PROPER(Table1[[#This Row],[CVD Risk Level]])</f>
        <v>Intermediary</v>
      </c>
    </row>
    <row r="186" spans="1:37" x14ac:dyDescent="0.3">
      <c r="A186" t="s">
        <v>31</v>
      </c>
      <c r="B186">
        <v>50</v>
      </c>
      <c r="C186" s="8">
        <f t="shared" si="30"/>
        <v>50</v>
      </c>
      <c r="D186" s="5">
        <v>57.9</v>
      </c>
      <c r="E186" s="8">
        <f t="shared" si="31"/>
        <v>57.9</v>
      </c>
      <c r="F186">
        <v>1.87</v>
      </c>
      <c r="G186" s="3">
        <f t="shared" si="32"/>
        <v>1.87</v>
      </c>
      <c r="H186">
        <v>16.600000000000001</v>
      </c>
      <c r="I186" s="5">
        <f t="shared" si="28"/>
        <v>16.600000000000001</v>
      </c>
      <c r="J186" s="16" t="str">
        <f t="shared" si="33"/>
        <v>Underweight</v>
      </c>
      <c r="K186">
        <v>78.3</v>
      </c>
      <c r="L186">
        <v>0.41899999999999998</v>
      </c>
      <c r="M186" s="11">
        <f t="shared" si="29"/>
        <v>0.41899999999999998</v>
      </c>
      <c r="N186" s="5">
        <f t="shared" si="34"/>
        <v>78.3</v>
      </c>
      <c r="O186">
        <v>215</v>
      </c>
      <c r="P186">
        <v>68</v>
      </c>
      <c r="Q186" s="8">
        <f t="shared" si="35"/>
        <v>68</v>
      </c>
      <c r="R186" s="8">
        <v>117</v>
      </c>
      <c r="S186" s="8">
        <f t="shared" si="36"/>
        <v>117</v>
      </c>
      <c r="T186" s="8">
        <f>(Table1[[#This Row],[Total Cholesterol (mg/dL)]]+Table1[[#This Row],[HDL (mg/dL)2]]+Table1[[#This Row],[Estimated LDL (mg/dL)2]])*5</f>
        <v>2000</v>
      </c>
      <c r="U186" s="8">
        <f>IF(O186="",Table1[[#This Row],[Estimated LDL (mg/dL)2]]+Table1[[#This Row],[HDL (mg/dL)2]]+(Table1[[#This Row],[Triglycerides]]/5),O186)</f>
        <v>215</v>
      </c>
      <c r="V186">
        <v>90</v>
      </c>
      <c r="W186" s="8">
        <f t="shared" si="37"/>
        <v>90</v>
      </c>
      <c r="X186" t="str">
        <f t="shared" si="38"/>
        <v>Normal</v>
      </c>
      <c r="Y186" t="s">
        <v>22</v>
      </c>
      <c r="Z186" t="s">
        <v>23</v>
      </c>
      <c r="AA186" t="s">
        <v>37</v>
      </c>
      <c r="AB186" s="3" t="s">
        <v>209</v>
      </c>
      <c r="AD186" s="3" t="str">
        <f t="shared" si="39"/>
        <v>102</v>
      </c>
      <c r="AE186">
        <v>60</v>
      </c>
      <c r="AF186" s="3" t="str">
        <f t="shared" si="40"/>
        <v>60</v>
      </c>
      <c r="AG186" t="s">
        <v>33</v>
      </c>
      <c r="AH186" s="3">
        <v>14.72</v>
      </c>
      <c r="AI186" s="3">
        <f t="shared" si="41"/>
        <v>14.72</v>
      </c>
      <c r="AJ186" t="s">
        <v>26</v>
      </c>
      <c r="AK186" t="str">
        <f>PROPER(Table1[[#This Row],[CVD Risk Level]])</f>
        <v>Intermediary</v>
      </c>
    </row>
    <row r="187" spans="1:37" x14ac:dyDescent="0.3">
      <c r="A187" t="s">
        <v>31</v>
      </c>
      <c r="B187">
        <v>43</v>
      </c>
      <c r="C187" s="8">
        <f t="shared" si="30"/>
        <v>43</v>
      </c>
      <c r="D187" s="5">
        <v>52.7</v>
      </c>
      <c r="E187" s="8">
        <f t="shared" si="31"/>
        <v>52.7</v>
      </c>
      <c r="F187">
        <v>1.85</v>
      </c>
      <c r="G187" s="3">
        <f t="shared" si="32"/>
        <v>1.85</v>
      </c>
      <c r="H187">
        <v>15.4</v>
      </c>
      <c r="I187" s="5">
        <f t="shared" si="28"/>
        <v>15.4</v>
      </c>
      <c r="J187" s="16" t="str">
        <f t="shared" si="33"/>
        <v>Underweight</v>
      </c>
      <c r="K187">
        <v>107.7</v>
      </c>
      <c r="L187">
        <v>0.58199999999999996</v>
      </c>
      <c r="M187" s="11">
        <f t="shared" si="29"/>
        <v>0.58199999999999996</v>
      </c>
      <c r="N187" s="5">
        <f t="shared" si="34"/>
        <v>107.7</v>
      </c>
      <c r="O187">
        <v>105</v>
      </c>
      <c r="P187">
        <v>32</v>
      </c>
      <c r="Q187" s="8">
        <f t="shared" si="35"/>
        <v>32</v>
      </c>
      <c r="R187" s="8">
        <v>43</v>
      </c>
      <c r="S187" s="8">
        <f t="shared" si="36"/>
        <v>43</v>
      </c>
      <c r="T187" s="8">
        <f>(Table1[[#This Row],[Total Cholesterol (mg/dL)]]+Table1[[#This Row],[HDL (mg/dL)2]]+Table1[[#This Row],[Estimated LDL (mg/dL)2]])*5</f>
        <v>900</v>
      </c>
      <c r="U187" s="8">
        <f>IF(O187="",Table1[[#This Row],[Estimated LDL (mg/dL)2]]+Table1[[#This Row],[HDL (mg/dL)2]]+(Table1[[#This Row],[Triglycerides]]/5),O187)</f>
        <v>105</v>
      </c>
      <c r="V187">
        <v>70</v>
      </c>
      <c r="W187" s="8">
        <f t="shared" si="37"/>
        <v>70</v>
      </c>
      <c r="X187" t="str">
        <f t="shared" si="38"/>
        <v>Normal</v>
      </c>
      <c r="Y187" t="s">
        <v>23</v>
      </c>
      <c r="Z187" t="s">
        <v>22</v>
      </c>
      <c r="AA187" t="s">
        <v>28</v>
      </c>
      <c r="AB187" s="3" t="s">
        <v>210</v>
      </c>
      <c r="AC187">
        <v>107</v>
      </c>
      <c r="AD187" s="3" t="str">
        <f t="shared" si="39"/>
        <v>107</v>
      </c>
      <c r="AE187">
        <v>61</v>
      </c>
      <c r="AF187" s="3" t="str">
        <f t="shared" si="40"/>
        <v>61</v>
      </c>
      <c r="AG187" t="s">
        <v>33</v>
      </c>
      <c r="AH187" s="3">
        <v>10.53</v>
      </c>
      <c r="AI187" s="3">
        <f t="shared" si="41"/>
        <v>10.53</v>
      </c>
      <c r="AJ187" t="s">
        <v>26</v>
      </c>
      <c r="AK187" t="str">
        <f>PROPER(Table1[[#This Row],[CVD Risk Level]])</f>
        <v>Intermediary</v>
      </c>
    </row>
    <row r="188" spans="1:37" x14ac:dyDescent="0.3">
      <c r="A188" t="s">
        <v>31</v>
      </c>
      <c r="B188">
        <v>44</v>
      </c>
      <c r="C188" s="8">
        <f t="shared" si="30"/>
        <v>44</v>
      </c>
      <c r="D188" s="5">
        <v>56.8</v>
      </c>
      <c r="E188" s="8">
        <f t="shared" si="31"/>
        <v>56.8</v>
      </c>
      <c r="F188">
        <v>1.77</v>
      </c>
      <c r="G188" s="3">
        <f t="shared" si="32"/>
        <v>1.77</v>
      </c>
      <c r="H188">
        <v>18.100000000000001</v>
      </c>
      <c r="I188" s="5">
        <f t="shared" si="28"/>
        <v>18.100000000000001</v>
      </c>
      <c r="J188" s="16" t="str">
        <f t="shared" si="33"/>
        <v>Underweight</v>
      </c>
      <c r="K188">
        <v>90.8</v>
      </c>
      <c r="L188">
        <v>0.51300000000000001</v>
      </c>
      <c r="M188" s="11">
        <f t="shared" si="29"/>
        <v>0.51300000000000001</v>
      </c>
      <c r="N188" s="5">
        <f t="shared" si="34"/>
        <v>90.8</v>
      </c>
      <c r="O188">
        <v>131</v>
      </c>
      <c r="P188">
        <v>37</v>
      </c>
      <c r="Q188" s="8">
        <f t="shared" si="35"/>
        <v>37</v>
      </c>
      <c r="R188" s="8">
        <v>64</v>
      </c>
      <c r="S188" s="8">
        <f t="shared" si="36"/>
        <v>64</v>
      </c>
      <c r="T188" s="8">
        <f>(Table1[[#This Row],[Total Cholesterol (mg/dL)]]+Table1[[#This Row],[HDL (mg/dL)2]]+Table1[[#This Row],[Estimated LDL (mg/dL)2]])*5</f>
        <v>1160</v>
      </c>
      <c r="U188" s="8">
        <f>IF(O188="",Table1[[#This Row],[Estimated LDL (mg/dL)2]]+Table1[[#This Row],[HDL (mg/dL)2]]+(Table1[[#This Row],[Triglycerides]]/5),O188)</f>
        <v>131</v>
      </c>
      <c r="V188">
        <v>109</v>
      </c>
      <c r="W188" s="8">
        <f t="shared" si="37"/>
        <v>109</v>
      </c>
      <c r="X188" t="str">
        <f t="shared" si="38"/>
        <v>Prediabetes</v>
      </c>
      <c r="Y188" t="s">
        <v>23</v>
      </c>
      <c r="Z188" t="s">
        <v>23</v>
      </c>
      <c r="AA188" t="s">
        <v>28</v>
      </c>
      <c r="AB188" s="3" t="s">
        <v>211</v>
      </c>
      <c r="AC188">
        <v>133</v>
      </c>
      <c r="AD188" s="3" t="str">
        <f t="shared" si="39"/>
        <v>133</v>
      </c>
      <c r="AE188">
        <v>77</v>
      </c>
      <c r="AF188" s="3" t="str">
        <f t="shared" si="40"/>
        <v>77</v>
      </c>
      <c r="AG188" t="s">
        <v>29</v>
      </c>
      <c r="AH188" s="3">
        <v>14.89</v>
      </c>
      <c r="AI188" s="3">
        <f t="shared" si="41"/>
        <v>14.89</v>
      </c>
      <c r="AJ188" t="s">
        <v>26</v>
      </c>
      <c r="AK188" t="str">
        <f>PROPER(Table1[[#This Row],[CVD Risk Level]])</f>
        <v>Intermediary</v>
      </c>
    </row>
    <row r="189" spans="1:37" x14ac:dyDescent="0.3">
      <c r="A189" t="s">
        <v>31</v>
      </c>
      <c r="B189">
        <v>60</v>
      </c>
      <c r="C189" s="8">
        <f t="shared" si="30"/>
        <v>60</v>
      </c>
      <c r="D189" s="5">
        <v>84.4</v>
      </c>
      <c r="E189" s="8">
        <f t="shared" si="31"/>
        <v>84.4</v>
      </c>
      <c r="F189">
        <v>1.9</v>
      </c>
      <c r="G189" s="3">
        <f t="shared" si="32"/>
        <v>1.9</v>
      </c>
      <c r="H189">
        <v>23.4</v>
      </c>
      <c r="I189" s="5">
        <f t="shared" si="28"/>
        <v>23.4</v>
      </c>
      <c r="J189" s="16" t="str">
        <f t="shared" si="33"/>
        <v>Normal</v>
      </c>
      <c r="K189">
        <v>77.099999999999994</v>
      </c>
      <c r="L189">
        <v>0.40600000000000003</v>
      </c>
      <c r="M189" s="11">
        <f t="shared" si="29"/>
        <v>0.40600000000000003</v>
      </c>
      <c r="N189" s="5">
        <f t="shared" si="34"/>
        <v>77.099999999999994</v>
      </c>
      <c r="O189">
        <v>134</v>
      </c>
      <c r="P189">
        <v>31</v>
      </c>
      <c r="Q189" s="8">
        <f t="shared" si="35"/>
        <v>31</v>
      </c>
      <c r="R189" s="8">
        <v>73</v>
      </c>
      <c r="S189" s="8">
        <f t="shared" si="36"/>
        <v>73</v>
      </c>
      <c r="T189" s="8">
        <f>(Table1[[#This Row],[Total Cholesterol (mg/dL)]]+Table1[[#This Row],[HDL (mg/dL)2]]+Table1[[#This Row],[Estimated LDL (mg/dL)2]])*5</f>
        <v>1190</v>
      </c>
      <c r="U189" s="8">
        <f>IF(O189="",Table1[[#This Row],[Estimated LDL (mg/dL)2]]+Table1[[#This Row],[HDL (mg/dL)2]]+(Table1[[#This Row],[Triglycerides]]/5),O189)</f>
        <v>134</v>
      </c>
      <c r="V189">
        <v>95</v>
      </c>
      <c r="W189" s="8">
        <f t="shared" si="37"/>
        <v>95</v>
      </c>
      <c r="X189" t="str">
        <f t="shared" si="38"/>
        <v>Normal</v>
      </c>
      <c r="Y189" t="s">
        <v>22</v>
      </c>
      <c r="Z189" t="s">
        <v>22</v>
      </c>
      <c r="AA189" t="s">
        <v>37</v>
      </c>
      <c r="AB189" s="3" t="s">
        <v>212</v>
      </c>
      <c r="AC189">
        <v>112</v>
      </c>
      <c r="AD189" s="3" t="str">
        <f t="shared" si="39"/>
        <v>112</v>
      </c>
      <c r="AE189">
        <v>91</v>
      </c>
      <c r="AF189" s="3" t="str">
        <f t="shared" si="40"/>
        <v>91</v>
      </c>
      <c r="AG189" t="s">
        <v>38</v>
      </c>
      <c r="AH189" s="3">
        <v>12.96</v>
      </c>
      <c r="AI189" s="3">
        <f t="shared" si="41"/>
        <v>12.96</v>
      </c>
      <c r="AJ189" t="s">
        <v>26</v>
      </c>
      <c r="AK189" t="str">
        <f>PROPER(Table1[[#This Row],[CVD Risk Level]])</f>
        <v>Intermediary</v>
      </c>
    </row>
    <row r="190" spans="1:37" x14ac:dyDescent="0.3">
      <c r="A190" t="s">
        <v>20</v>
      </c>
      <c r="B190">
        <v>37</v>
      </c>
      <c r="C190" s="8">
        <f t="shared" si="30"/>
        <v>37</v>
      </c>
      <c r="D190" s="5">
        <v>103.5</v>
      </c>
      <c r="E190" s="8">
        <f t="shared" si="31"/>
        <v>103.5</v>
      </c>
      <c r="F190">
        <v>1.81</v>
      </c>
      <c r="G190" s="3">
        <f t="shared" si="32"/>
        <v>1.81</v>
      </c>
      <c r="H190">
        <v>31.6</v>
      </c>
      <c r="I190" s="5">
        <f t="shared" si="28"/>
        <v>31.6</v>
      </c>
      <c r="J190" s="16" t="str">
        <f t="shared" si="33"/>
        <v>Obese</v>
      </c>
      <c r="K190">
        <v>84.6</v>
      </c>
      <c r="L190">
        <v>0.46700000000000003</v>
      </c>
      <c r="M190" s="11">
        <f t="shared" si="29"/>
        <v>0.46700000000000003</v>
      </c>
      <c r="N190" s="5">
        <f t="shared" si="34"/>
        <v>84.6</v>
      </c>
      <c r="O190">
        <v>114</v>
      </c>
      <c r="P190">
        <v>55</v>
      </c>
      <c r="Q190" s="8">
        <f t="shared" si="35"/>
        <v>55</v>
      </c>
      <c r="R190" s="8">
        <v>29</v>
      </c>
      <c r="S190" s="8">
        <f t="shared" si="36"/>
        <v>29</v>
      </c>
      <c r="T190" s="8">
        <f>(Table1[[#This Row],[Total Cholesterol (mg/dL)]]+Table1[[#This Row],[HDL (mg/dL)2]]+Table1[[#This Row],[Estimated LDL (mg/dL)2]])*5</f>
        <v>990</v>
      </c>
      <c r="U190" s="8">
        <f>IF(O190="",Table1[[#This Row],[Estimated LDL (mg/dL)2]]+Table1[[#This Row],[HDL (mg/dL)2]]+(Table1[[#This Row],[Triglycerides]]/5),O190)</f>
        <v>114</v>
      </c>
      <c r="V190">
        <v>138</v>
      </c>
      <c r="W190" s="8">
        <f t="shared" si="37"/>
        <v>138</v>
      </c>
      <c r="X190" t="str">
        <f t="shared" si="38"/>
        <v>Diabetes</v>
      </c>
      <c r="Y190" t="s">
        <v>22</v>
      </c>
      <c r="Z190" t="s">
        <v>23</v>
      </c>
      <c r="AA190" t="s">
        <v>28</v>
      </c>
      <c r="AB190" s="3" t="s">
        <v>213</v>
      </c>
      <c r="AD190" s="3" t="str">
        <f t="shared" si="39"/>
        <v>122</v>
      </c>
      <c r="AE190">
        <v>65</v>
      </c>
      <c r="AF190" s="3" t="str">
        <f t="shared" si="40"/>
        <v>65</v>
      </c>
      <c r="AG190" t="s">
        <v>25</v>
      </c>
      <c r="AH190" s="3">
        <v>16.7</v>
      </c>
      <c r="AI190" s="3">
        <f t="shared" si="41"/>
        <v>16.7</v>
      </c>
      <c r="AJ190" t="s">
        <v>26</v>
      </c>
      <c r="AK190" t="str">
        <f>PROPER(Table1[[#This Row],[CVD Risk Level]])</f>
        <v>Intermediary</v>
      </c>
    </row>
    <row r="191" spans="1:37" x14ac:dyDescent="0.3">
      <c r="A191" t="s">
        <v>31</v>
      </c>
      <c r="B191">
        <v>47</v>
      </c>
      <c r="C191" s="8">
        <f t="shared" si="30"/>
        <v>47</v>
      </c>
      <c r="D191" s="5">
        <v>87.6</v>
      </c>
      <c r="E191" s="8">
        <f t="shared" si="31"/>
        <v>87.6</v>
      </c>
      <c r="F191">
        <v>1.81</v>
      </c>
      <c r="G191" s="3">
        <f t="shared" si="32"/>
        <v>1.81</v>
      </c>
      <c r="H191">
        <v>26.7</v>
      </c>
      <c r="I191" s="5">
        <f t="shared" si="28"/>
        <v>26.7</v>
      </c>
      <c r="J191" s="16" t="str">
        <f t="shared" si="33"/>
        <v>Overweight</v>
      </c>
      <c r="K191">
        <v>91.3</v>
      </c>
      <c r="L191">
        <v>0.504</v>
      </c>
      <c r="M191" s="11">
        <f t="shared" si="29"/>
        <v>0.504</v>
      </c>
      <c r="N191" s="5">
        <f t="shared" si="34"/>
        <v>91.3</v>
      </c>
      <c r="O191">
        <v>271</v>
      </c>
      <c r="P191">
        <v>42</v>
      </c>
      <c r="Q191" s="8">
        <f t="shared" si="35"/>
        <v>42</v>
      </c>
      <c r="R191" s="8">
        <v>199</v>
      </c>
      <c r="S191" s="8">
        <f t="shared" si="36"/>
        <v>199</v>
      </c>
      <c r="T191" s="8">
        <f>(Table1[[#This Row],[Total Cholesterol (mg/dL)]]+Table1[[#This Row],[HDL (mg/dL)2]]+Table1[[#This Row],[Estimated LDL (mg/dL)2]])*5</f>
        <v>2560</v>
      </c>
      <c r="U191" s="8">
        <f>IF(O191="",Table1[[#This Row],[Estimated LDL (mg/dL)2]]+Table1[[#This Row],[HDL (mg/dL)2]]+(Table1[[#This Row],[Triglycerides]]/5),O191)</f>
        <v>271</v>
      </c>
      <c r="V191">
        <v>108</v>
      </c>
      <c r="W191" s="8">
        <f t="shared" si="37"/>
        <v>108</v>
      </c>
      <c r="X191" t="str">
        <f t="shared" si="38"/>
        <v>Prediabetes</v>
      </c>
      <c r="Y191" t="s">
        <v>23</v>
      </c>
      <c r="Z191" t="s">
        <v>22</v>
      </c>
      <c r="AA191" t="s">
        <v>37</v>
      </c>
      <c r="AB191" s="3" t="s">
        <v>214</v>
      </c>
      <c r="AC191">
        <v>90</v>
      </c>
      <c r="AD191" s="3" t="str">
        <f t="shared" si="39"/>
        <v>90</v>
      </c>
      <c r="AE191">
        <v>92</v>
      </c>
      <c r="AF191" s="3" t="str">
        <f t="shared" si="40"/>
        <v>92</v>
      </c>
      <c r="AG191" t="s">
        <v>38</v>
      </c>
      <c r="AH191" s="3">
        <v>15.26</v>
      </c>
      <c r="AI191" s="3">
        <f t="shared" si="41"/>
        <v>15.26</v>
      </c>
      <c r="AJ191" t="s">
        <v>30</v>
      </c>
      <c r="AK191" t="str">
        <f>PROPER(Table1[[#This Row],[CVD Risk Level]])</f>
        <v>High</v>
      </c>
    </row>
    <row r="192" spans="1:37" x14ac:dyDescent="0.3">
      <c r="A192" t="s">
        <v>31</v>
      </c>
      <c r="B192">
        <v>32</v>
      </c>
      <c r="C192" s="8">
        <f t="shared" si="30"/>
        <v>32</v>
      </c>
      <c r="D192" s="5">
        <v>84.8</v>
      </c>
      <c r="E192" s="8">
        <f t="shared" si="31"/>
        <v>84.8</v>
      </c>
      <c r="F192">
        <v>1.66</v>
      </c>
      <c r="G192" s="3">
        <f t="shared" si="32"/>
        <v>1.66</v>
      </c>
      <c r="H192">
        <v>30.8</v>
      </c>
      <c r="I192" s="5">
        <f t="shared" si="28"/>
        <v>30.8</v>
      </c>
      <c r="J192" s="16" t="str">
        <f t="shared" si="33"/>
        <v>Obese</v>
      </c>
      <c r="K192">
        <v>100.4</v>
      </c>
      <c r="L192">
        <v>0.60499999999999998</v>
      </c>
      <c r="M192" s="11">
        <f t="shared" si="29"/>
        <v>0.60499999999999998</v>
      </c>
      <c r="N192" s="5">
        <f t="shared" si="34"/>
        <v>100.4</v>
      </c>
      <c r="O192">
        <v>284</v>
      </c>
      <c r="P192">
        <v>76</v>
      </c>
      <c r="Q192" s="8">
        <f t="shared" si="35"/>
        <v>76</v>
      </c>
      <c r="R192" s="8">
        <v>178</v>
      </c>
      <c r="S192" s="8">
        <f t="shared" si="36"/>
        <v>178</v>
      </c>
      <c r="T192" s="8">
        <f>(Table1[[#This Row],[Total Cholesterol (mg/dL)]]+Table1[[#This Row],[HDL (mg/dL)2]]+Table1[[#This Row],[Estimated LDL (mg/dL)2]])*5</f>
        <v>2690</v>
      </c>
      <c r="U192" s="8">
        <f>IF(O192="",Table1[[#This Row],[Estimated LDL (mg/dL)2]]+Table1[[#This Row],[HDL (mg/dL)2]]+(Table1[[#This Row],[Triglycerides]]/5),O192)</f>
        <v>284</v>
      </c>
      <c r="V192">
        <v>70</v>
      </c>
      <c r="W192" s="8">
        <f t="shared" si="37"/>
        <v>70</v>
      </c>
      <c r="X192" t="str">
        <f t="shared" si="38"/>
        <v>Normal</v>
      </c>
      <c r="Y192" t="s">
        <v>22</v>
      </c>
      <c r="Z192" t="s">
        <v>23</v>
      </c>
      <c r="AA192" t="s">
        <v>24</v>
      </c>
      <c r="AB192" s="3" t="s">
        <v>215</v>
      </c>
      <c r="AC192">
        <v>133</v>
      </c>
      <c r="AD192" s="3" t="str">
        <f t="shared" si="39"/>
        <v>133</v>
      </c>
      <c r="AE192">
        <v>70</v>
      </c>
      <c r="AF192" s="3" t="str">
        <f t="shared" si="40"/>
        <v>70</v>
      </c>
      <c r="AG192" t="s">
        <v>29</v>
      </c>
      <c r="AH192" s="3">
        <v>20.49</v>
      </c>
      <c r="AI192" s="3">
        <f t="shared" si="41"/>
        <v>20.49</v>
      </c>
      <c r="AJ192" t="s">
        <v>30</v>
      </c>
      <c r="AK192" t="str">
        <f>PROPER(Table1[[#This Row],[CVD Risk Level]])</f>
        <v>High</v>
      </c>
    </row>
    <row r="193" spans="1:37" x14ac:dyDescent="0.3">
      <c r="A193" t="s">
        <v>31</v>
      </c>
      <c r="C193" s="8">
        <f t="shared" si="30"/>
        <v>47.025499655410059</v>
      </c>
      <c r="D193" s="5">
        <v>115.4</v>
      </c>
      <c r="E193" s="8">
        <f t="shared" si="31"/>
        <v>115.4</v>
      </c>
      <c r="G193" s="3">
        <f t="shared" si="32"/>
        <v>1.7708386615435612</v>
      </c>
      <c r="H193">
        <v>36.799999999999997</v>
      </c>
      <c r="I193" s="5">
        <f t="shared" si="28"/>
        <v>36.799999999999997</v>
      </c>
      <c r="J193" s="16" t="str">
        <f t="shared" si="33"/>
        <v>Obese</v>
      </c>
      <c r="K193">
        <v>91.9</v>
      </c>
      <c r="L193">
        <v>0.51900000000000002</v>
      </c>
      <c r="M193" s="11">
        <f t="shared" si="29"/>
        <v>0.51900000000000002</v>
      </c>
      <c r="N193" s="5">
        <f t="shared" si="34"/>
        <v>91.9</v>
      </c>
      <c r="P193">
        <v>39</v>
      </c>
      <c r="Q193" s="8">
        <f t="shared" si="35"/>
        <v>39</v>
      </c>
      <c r="R193" s="8">
        <v>67</v>
      </c>
      <c r="S193" s="8">
        <f t="shared" si="36"/>
        <v>67</v>
      </c>
      <c r="T193" s="8">
        <f>(Table1[[#This Row],[Total Cholesterol (mg/dL)]]+Table1[[#This Row],[HDL (mg/dL)2]]+Table1[[#This Row],[Estimated LDL (mg/dL)2]])*5</f>
        <v>530</v>
      </c>
      <c r="U193" s="8">
        <f>IF(O193="",Table1[[#This Row],[Estimated LDL (mg/dL)2]]+Table1[[#This Row],[HDL (mg/dL)2]]+(Table1[[#This Row],[Triglycerides]]/5),O193)</f>
        <v>212</v>
      </c>
      <c r="V193">
        <v>118</v>
      </c>
      <c r="W193" s="8">
        <f t="shared" si="37"/>
        <v>118</v>
      </c>
      <c r="X193" t="str">
        <f t="shared" si="38"/>
        <v>Prediabetes</v>
      </c>
      <c r="Y193" t="s">
        <v>23</v>
      </c>
      <c r="Z193" t="s">
        <v>23</v>
      </c>
      <c r="AA193" t="s">
        <v>28</v>
      </c>
      <c r="AB193" s="3" t="s">
        <v>216</v>
      </c>
      <c r="AC193">
        <v>142</v>
      </c>
      <c r="AD193" s="3" t="str">
        <f t="shared" si="39"/>
        <v>142</v>
      </c>
      <c r="AE193">
        <v>64</v>
      </c>
      <c r="AF193" s="3" t="str">
        <f t="shared" si="40"/>
        <v>64</v>
      </c>
      <c r="AG193" t="s">
        <v>38</v>
      </c>
      <c r="AH193" s="3">
        <v>19.18</v>
      </c>
      <c r="AI193" s="3">
        <f t="shared" si="41"/>
        <v>19.18</v>
      </c>
      <c r="AJ193" t="s">
        <v>30</v>
      </c>
      <c r="AK193" t="str">
        <f>PROPER(Table1[[#This Row],[CVD Risk Level]])</f>
        <v>High</v>
      </c>
    </row>
    <row r="194" spans="1:37" x14ac:dyDescent="0.3">
      <c r="A194" t="s">
        <v>20</v>
      </c>
      <c r="B194">
        <v>30</v>
      </c>
      <c r="C194" s="8">
        <f t="shared" si="30"/>
        <v>30</v>
      </c>
      <c r="D194" s="5">
        <v>70.7</v>
      </c>
      <c r="E194" s="8">
        <f t="shared" si="31"/>
        <v>70.7</v>
      </c>
      <c r="F194">
        <v>1.82</v>
      </c>
      <c r="G194" s="3">
        <f t="shared" si="32"/>
        <v>1.82</v>
      </c>
      <c r="H194">
        <v>21.3</v>
      </c>
      <c r="I194" s="5">
        <f t="shared" ref="I194:I257" si="42" xml:space="preserve"> IF(H194="",E194 / (G194^2),H194)</f>
        <v>21.3</v>
      </c>
      <c r="J194" s="16" t="str">
        <f t="shared" si="33"/>
        <v>Normal</v>
      </c>
      <c r="K194">
        <v>109.7</v>
      </c>
      <c r="L194">
        <v>0.60299999999999998</v>
      </c>
      <c r="M194" s="11">
        <f t="shared" ref="M194:M257" si="43">IF(L194="",K194/(G194*100),L194)</f>
        <v>0.60299999999999998</v>
      </c>
      <c r="N194" s="5">
        <f t="shared" si="34"/>
        <v>109.7</v>
      </c>
      <c r="O194">
        <v>157</v>
      </c>
      <c r="P194">
        <v>37</v>
      </c>
      <c r="Q194" s="8">
        <f t="shared" si="35"/>
        <v>37</v>
      </c>
      <c r="R194" s="8">
        <v>90</v>
      </c>
      <c r="S194" s="8">
        <f t="shared" si="36"/>
        <v>90</v>
      </c>
      <c r="T194" s="8">
        <f>(Table1[[#This Row],[Total Cholesterol (mg/dL)]]+Table1[[#This Row],[HDL (mg/dL)2]]+Table1[[#This Row],[Estimated LDL (mg/dL)2]])*5</f>
        <v>1420</v>
      </c>
      <c r="U194" s="8">
        <f>IF(O194="",Table1[[#This Row],[Estimated LDL (mg/dL)2]]+Table1[[#This Row],[HDL (mg/dL)2]]+(Table1[[#This Row],[Triglycerides]]/5),O194)</f>
        <v>157</v>
      </c>
      <c r="V194">
        <v>105</v>
      </c>
      <c r="W194" s="8">
        <f t="shared" si="37"/>
        <v>105</v>
      </c>
      <c r="X194" t="str">
        <f t="shared" si="38"/>
        <v>Prediabetes</v>
      </c>
      <c r="Y194" t="s">
        <v>22</v>
      </c>
      <c r="Z194" t="s">
        <v>23</v>
      </c>
      <c r="AA194" t="s">
        <v>37</v>
      </c>
      <c r="AB194" s="3" t="s">
        <v>217</v>
      </c>
      <c r="AC194">
        <v>117</v>
      </c>
      <c r="AD194" s="3" t="str">
        <f t="shared" si="39"/>
        <v>117</v>
      </c>
      <c r="AE194">
        <v>62</v>
      </c>
      <c r="AF194" s="3" t="str">
        <f t="shared" si="40"/>
        <v>62</v>
      </c>
      <c r="AG194" t="s">
        <v>33</v>
      </c>
      <c r="AH194" s="3">
        <v>15.25</v>
      </c>
      <c r="AI194" s="3">
        <f t="shared" si="41"/>
        <v>15.25</v>
      </c>
      <c r="AJ194" t="s">
        <v>26</v>
      </c>
      <c r="AK194" t="str">
        <f>PROPER(Table1[[#This Row],[CVD Risk Level]])</f>
        <v>Intermediary</v>
      </c>
    </row>
    <row r="195" spans="1:37" x14ac:dyDescent="0.3">
      <c r="A195" t="s">
        <v>31</v>
      </c>
      <c r="B195">
        <v>43</v>
      </c>
      <c r="C195" s="8">
        <f t="shared" ref="C195:C258" si="44">IF(B195="",AVERAGE($B$2:$B$1530),B195)</f>
        <v>43</v>
      </c>
      <c r="D195" s="5">
        <v>79.8</v>
      </c>
      <c r="E195" s="8">
        <f t="shared" ref="E195:E258" si="45">IF(D195="", H195*(F195^2),D195)</f>
        <v>79.8</v>
      </c>
      <c r="F195">
        <v>1.86</v>
      </c>
      <c r="G195" s="3">
        <f t="shared" ref="G195:G258" si="46">IF(F195="", SQRT(E195 / H195),F195)</f>
        <v>1.86</v>
      </c>
      <c r="H195">
        <v>23.1</v>
      </c>
      <c r="I195" s="5">
        <f t="shared" si="42"/>
        <v>23.1</v>
      </c>
      <c r="J195" s="16" t="str">
        <f t="shared" ref="J195:J258" si="47">IF(I195&lt;18.5,"Underweight",IF(I195&lt;25,"Normal",IF(I195&lt;30,"Overweight","Obese")))</f>
        <v>Normal</v>
      </c>
      <c r="K195">
        <v>82.2</v>
      </c>
      <c r="L195">
        <v>0.442</v>
      </c>
      <c r="M195" s="11">
        <f t="shared" si="43"/>
        <v>0.442</v>
      </c>
      <c r="N195" s="5">
        <f t="shared" ref="N195:N258" si="48">IF(K195="",M195*(G195*100),K195)</f>
        <v>82.2</v>
      </c>
      <c r="O195">
        <v>160</v>
      </c>
      <c r="P195">
        <v>72</v>
      </c>
      <c r="Q195" s="8">
        <f t="shared" ref="Q195:Q258" si="49">IF(P195="",AVERAGE($P$2:$P$1530),P195)</f>
        <v>72</v>
      </c>
      <c r="R195" s="8">
        <v>58</v>
      </c>
      <c r="S195" s="8">
        <f t="shared" ref="S195:S196" si="50">IF(R195&lt;=0,MEDIAN($R$2:$R$1530),R195)</f>
        <v>58</v>
      </c>
      <c r="T195" s="8">
        <f>(Table1[[#This Row],[Total Cholesterol (mg/dL)]]+Table1[[#This Row],[HDL (mg/dL)2]]+Table1[[#This Row],[Estimated LDL (mg/dL)2]])*5</f>
        <v>1450</v>
      </c>
      <c r="U195" s="8">
        <f>IF(O195="",Table1[[#This Row],[Estimated LDL (mg/dL)2]]+Table1[[#This Row],[HDL (mg/dL)2]]+(Table1[[#This Row],[Triglycerides]]/5),O195)</f>
        <v>160</v>
      </c>
      <c r="V195">
        <v>70</v>
      </c>
      <c r="W195" s="8">
        <f t="shared" ref="W195:W258" si="51">IF(V195="",AVERAGE($V$2:$V$1530),V195)</f>
        <v>70</v>
      </c>
      <c r="X195" t="str">
        <f t="shared" ref="X195:X258" si="52">IF(W195&lt;100,"Normal",IF(W195&lt;126,"Prediabetes","Diabetes"))</f>
        <v>Normal</v>
      </c>
      <c r="Y195" t="s">
        <v>22</v>
      </c>
      <c r="Z195" t="s">
        <v>22</v>
      </c>
      <c r="AA195" t="s">
        <v>24</v>
      </c>
      <c r="AB195" s="3" t="s">
        <v>218</v>
      </c>
      <c r="AC195">
        <v>141</v>
      </c>
      <c r="AD195" s="3" t="str">
        <f t="shared" ref="AD195:AD258" si="53">LEFT(AB195,FIND("/",AB195)-1)</f>
        <v>141</v>
      </c>
      <c r="AE195">
        <v>65</v>
      </c>
      <c r="AF195" s="3" t="str">
        <f t="shared" ref="AF195:AF258" si="54">RIGHT(AB195,LEN(AB195)-FIND("/",AB195))</f>
        <v>65</v>
      </c>
      <c r="AG195" t="s">
        <v>38</v>
      </c>
      <c r="AH195" s="3">
        <v>14.87</v>
      </c>
      <c r="AI195" s="3">
        <f t="shared" ref="AI195:AI258" si="55">IF(AH195="",AVERAGE($AH$2:$AH$1530),AH195)</f>
        <v>14.87</v>
      </c>
      <c r="AJ195" t="s">
        <v>26</v>
      </c>
      <c r="AK195" t="str">
        <f>PROPER(Table1[[#This Row],[CVD Risk Level]])</f>
        <v>Intermediary</v>
      </c>
    </row>
    <row r="196" spans="1:37" x14ac:dyDescent="0.3">
      <c r="A196" t="s">
        <v>31</v>
      </c>
      <c r="B196">
        <v>42</v>
      </c>
      <c r="C196" s="8">
        <f t="shared" si="44"/>
        <v>42</v>
      </c>
      <c r="D196" s="5">
        <v>95.7</v>
      </c>
      <c r="E196" s="8">
        <f t="shared" si="45"/>
        <v>95.7</v>
      </c>
      <c r="F196">
        <v>1.89</v>
      </c>
      <c r="G196" s="3">
        <f t="shared" si="46"/>
        <v>1.89</v>
      </c>
      <c r="H196">
        <v>26.8</v>
      </c>
      <c r="I196" s="5">
        <f t="shared" si="42"/>
        <v>26.8</v>
      </c>
      <c r="J196" s="16" t="str">
        <f t="shared" si="47"/>
        <v>Overweight</v>
      </c>
      <c r="K196">
        <v>96.8</v>
      </c>
      <c r="L196">
        <v>0.51200000000000001</v>
      </c>
      <c r="M196" s="11">
        <f t="shared" si="43"/>
        <v>0.51200000000000001</v>
      </c>
      <c r="N196" s="5">
        <f t="shared" si="48"/>
        <v>96.8</v>
      </c>
      <c r="O196">
        <v>186</v>
      </c>
      <c r="Q196" s="8">
        <f t="shared" si="49"/>
        <v>56.197377501725327</v>
      </c>
      <c r="R196" s="8">
        <v>84</v>
      </c>
      <c r="S196" s="8">
        <f t="shared" si="50"/>
        <v>84</v>
      </c>
      <c r="T196" s="8">
        <f>(Table1[[#This Row],[Total Cholesterol (mg/dL)]]+Table1[[#This Row],[HDL (mg/dL)2]]+Table1[[#This Row],[Estimated LDL (mg/dL)2]])*5</f>
        <v>1630.9868875086268</v>
      </c>
      <c r="U196" s="8">
        <f>IF(O196="",Table1[[#This Row],[Estimated LDL (mg/dL)2]]+Table1[[#This Row],[HDL (mg/dL)2]]+(Table1[[#This Row],[Triglycerides]]/5),O196)</f>
        <v>186</v>
      </c>
      <c r="V196">
        <v>112</v>
      </c>
      <c r="W196" s="8">
        <f t="shared" si="51"/>
        <v>112</v>
      </c>
      <c r="X196" t="str">
        <f t="shared" si="52"/>
        <v>Prediabetes</v>
      </c>
      <c r="Y196" t="s">
        <v>23</v>
      </c>
      <c r="Z196" t="s">
        <v>23</v>
      </c>
      <c r="AA196" t="s">
        <v>28</v>
      </c>
      <c r="AB196" s="3" t="s">
        <v>219</v>
      </c>
      <c r="AC196">
        <v>113</v>
      </c>
      <c r="AD196" s="3" t="str">
        <f t="shared" si="53"/>
        <v>113</v>
      </c>
      <c r="AE196">
        <v>94</v>
      </c>
      <c r="AF196" s="3" t="str">
        <f t="shared" si="54"/>
        <v>94</v>
      </c>
      <c r="AG196" t="s">
        <v>38</v>
      </c>
      <c r="AH196" s="3">
        <v>16.73</v>
      </c>
      <c r="AI196" s="3">
        <f t="shared" si="55"/>
        <v>16.73</v>
      </c>
      <c r="AJ196" t="s">
        <v>26</v>
      </c>
      <c r="AK196" t="str">
        <f>PROPER(Table1[[#This Row],[CVD Risk Level]])</f>
        <v>Intermediary</v>
      </c>
    </row>
    <row r="197" spans="1:37" x14ac:dyDescent="0.3">
      <c r="A197" t="s">
        <v>20</v>
      </c>
      <c r="B197">
        <v>46</v>
      </c>
      <c r="C197" s="8">
        <f t="shared" si="44"/>
        <v>46</v>
      </c>
      <c r="D197" s="5">
        <v>71.400000000000006</v>
      </c>
      <c r="E197" s="8">
        <f t="shared" si="45"/>
        <v>71.400000000000006</v>
      </c>
      <c r="F197">
        <v>1.79</v>
      </c>
      <c r="G197" s="3">
        <f t="shared" si="46"/>
        <v>1.79</v>
      </c>
      <c r="H197">
        <v>22.3</v>
      </c>
      <c r="I197" s="5">
        <f t="shared" si="42"/>
        <v>22.3</v>
      </c>
      <c r="J197" s="16" t="str">
        <f t="shared" si="47"/>
        <v>Normal</v>
      </c>
      <c r="K197">
        <v>104.4</v>
      </c>
      <c r="L197">
        <v>0.58299999999999996</v>
      </c>
      <c r="M197" s="11">
        <f t="shared" si="43"/>
        <v>0.58299999999999996</v>
      </c>
      <c r="N197" s="5">
        <f t="shared" si="48"/>
        <v>104.4</v>
      </c>
      <c r="P197">
        <v>64</v>
      </c>
      <c r="Q197" s="8">
        <f t="shared" si="49"/>
        <v>64</v>
      </c>
      <c r="R197" s="8">
        <v>67</v>
      </c>
      <c r="S197" s="8">
        <f t="shared" ref="S197:S258" si="56">IF(R197&lt;=0,MEDIAN($R$2:$R$1530),R197)</f>
        <v>67</v>
      </c>
      <c r="T197" s="8">
        <f>(Table1[[#This Row],[Total Cholesterol (mg/dL)]]+Table1[[#This Row],[HDL (mg/dL)2]]+Table1[[#This Row],[Estimated LDL (mg/dL)2]])*5</f>
        <v>655</v>
      </c>
      <c r="U197" s="8">
        <f>IF(O197="",Table1[[#This Row],[Estimated LDL (mg/dL)2]]+Table1[[#This Row],[HDL (mg/dL)2]]+(Table1[[#This Row],[Triglycerides]]/5),O197)</f>
        <v>262</v>
      </c>
      <c r="V197">
        <v>88</v>
      </c>
      <c r="W197" s="8">
        <f t="shared" si="51"/>
        <v>88</v>
      </c>
      <c r="X197" t="str">
        <f t="shared" si="52"/>
        <v>Normal</v>
      </c>
      <c r="Y197" t="s">
        <v>23</v>
      </c>
      <c r="Z197" t="s">
        <v>23</v>
      </c>
      <c r="AA197" t="s">
        <v>24</v>
      </c>
      <c r="AB197" s="3" t="s">
        <v>220</v>
      </c>
      <c r="AC197">
        <v>122</v>
      </c>
      <c r="AD197" s="3" t="str">
        <f t="shared" si="53"/>
        <v>122</v>
      </c>
      <c r="AE197">
        <v>80</v>
      </c>
      <c r="AF197" s="3" t="str">
        <f t="shared" si="54"/>
        <v>80</v>
      </c>
      <c r="AG197" t="s">
        <v>29</v>
      </c>
      <c r="AH197" s="3">
        <v>15.78</v>
      </c>
      <c r="AI197" s="3">
        <f t="shared" si="55"/>
        <v>15.78</v>
      </c>
      <c r="AJ197" t="s">
        <v>30</v>
      </c>
      <c r="AK197" t="str">
        <f>PROPER(Table1[[#This Row],[CVD Risk Level]])</f>
        <v>High</v>
      </c>
    </row>
    <row r="198" spans="1:37" x14ac:dyDescent="0.3">
      <c r="A198" t="s">
        <v>31</v>
      </c>
      <c r="B198">
        <v>35</v>
      </c>
      <c r="C198" s="8">
        <f t="shared" si="44"/>
        <v>35</v>
      </c>
      <c r="D198" s="5">
        <v>99.6</v>
      </c>
      <c r="E198" s="8">
        <f t="shared" si="45"/>
        <v>99.6</v>
      </c>
      <c r="F198">
        <v>1.81</v>
      </c>
      <c r="G198" s="3">
        <f t="shared" si="46"/>
        <v>1.81</v>
      </c>
      <c r="I198" s="5">
        <f t="shared" si="42"/>
        <v>30.402002380879704</v>
      </c>
      <c r="J198" s="16" t="str">
        <f t="shared" si="47"/>
        <v>Obese</v>
      </c>
      <c r="K198">
        <v>77.8</v>
      </c>
      <c r="L198">
        <v>0.43</v>
      </c>
      <c r="M198" s="11">
        <f t="shared" si="43"/>
        <v>0.43</v>
      </c>
      <c r="N198" s="5">
        <f t="shared" si="48"/>
        <v>77.8</v>
      </c>
      <c r="O198">
        <v>152</v>
      </c>
      <c r="P198">
        <v>79</v>
      </c>
      <c r="Q198" s="8">
        <f t="shared" si="49"/>
        <v>79</v>
      </c>
      <c r="R198" s="8">
        <v>43</v>
      </c>
      <c r="S198" s="8">
        <f t="shared" si="56"/>
        <v>43</v>
      </c>
      <c r="T198" s="8">
        <f>(Table1[[#This Row],[Total Cholesterol (mg/dL)]]+Table1[[#This Row],[HDL (mg/dL)2]]+Table1[[#This Row],[Estimated LDL (mg/dL)2]])*5</f>
        <v>1370</v>
      </c>
      <c r="U198" s="8">
        <f>IF(O198="",Table1[[#This Row],[Estimated LDL (mg/dL)2]]+Table1[[#This Row],[HDL (mg/dL)2]]+(Table1[[#This Row],[Triglycerides]]/5),O198)</f>
        <v>152</v>
      </c>
      <c r="V198">
        <v>124</v>
      </c>
      <c r="W198" s="8">
        <f t="shared" si="51"/>
        <v>124</v>
      </c>
      <c r="X198" t="str">
        <f t="shared" si="52"/>
        <v>Prediabetes</v>
      </c>
      <c r="Y198" t="s">
        <v>23</v>
      </c>
      <c r="Z198" t="s">
        <v>22</v>
      </c>
      <c r="AA198" t="s">
        <v>37</v>
      </c>
      <c r="AB198" s="3" t="s">
        <v>221</v>
      </c>
      <c r="AC198">
        <v>97</v>
      </c>
      <c r="AD198" s="3" t="str">
        <f t="shared" si="53"/>
        <v>97</v>
      </c>
      <c r="AE198">
        <v>64</v>
      </c>
      <c r="AF198" s="3" t="str">
        <f t="shared" si="54"/>
        <v>64</v>
      </c>
      <c r="AG198" t="s">
        <v>33</v>
      </c>
      <c r="AH198" s="3">
        <v>13.97</v>
      </c>
      <c r="AI198" s="3">
        <f t="shared" si="55"/>
        <v>13.97</v>
      </c>
      <c r="AJ198" t="s">
        <v>26</v>
      </c>
      <c r="AK198" t="str">
        <f>PROPER(Table1[[#This Row],[CVD Risk Level]])</f>
        <v>Intermediary</v>
      </c>
    </row>
    <row r="199" spans="1:37" x14ac:dyDescent="0.3">
      <c r="A199" t="s">
        <v>31</v>
      </c>
      <c r="B199">
        <v>31</v>
      </c>
      <c r="C199" s="8">
        <f t="shared" si="44"/>
        <v>31</v>
      </c>
      <c r="D199" s="5">
        <v>56.3</v>
      </c>
      <c r="E199" s="8">
        <f t="shared" si="45"/>
        <v>56.3</v>
      </c>
      <c r="F199">
        <v>1.81</v>
      </c>
      <c r="G199" s="3">
        <f t="shared" si="46"/>
        <v>1.81</v>
      </c>
      <c r="H199">
        <v>17.2</v>
      </c>
      <c r="I199" s="5">
        <f t="shared" si="42"/>
        <v>17.2</v>
      </c>
      <c r="J199" s="16" t="str">
        <f t="shared" si="47"/>
        <v>Underweight</v>
      </c>
      <c r="K199">
        <v>73</v>
      </c>
      <c r="L199">
        <v>0.40300000000000002</v>
      </c>
      <c r="M199" s="11">
        <f t="shared" si="43"/>
        <v>0.40300000000000002</v>
      </c>
      <c r="N199" s="5">
        <f t="shared" si="48"/>
        <v>73</v>
      </c>
      <c r="O199">
        <v>170</v>
      </c>
      <c r="P199">
        <v>73</v>
      </c>
      <c r="Q199" s="8">
        <f t="shared" si="49"/>
        <v>73</v>
      </c>
      <c r="R199" s="8">
        <v>67</v>
      </c>
      <c r="S199" s="8">
        <f t="shared" si="56"/>
        <v>67</v>
      </c>
      <c r="T199" s="8">
        <f>(Table1[[#This Row],[Total Cholesterol (mg/dL)]]+Table1[[#This Row],[HDL (mg/dL)2]]+Table1[[#This Row],[Estimated LDL (mg/dL)2]])*5</f>
        <v>1550</v>
      </c>
      <c r="U199" s="8">
        <f>IF(O199="",Table1[[#This Row],[Estimated LDL (mg/dL)2]]+Table1[[#This Row],[HDL (mg/dL)2]]+(Table1[[#This Row],[Triglycerides]]/5),O199)</f>
        <v>170</v>
      </c>
      <c r="V199">
        <v>84</v>
      </c>
      <c r="W199" s="8">
        <f t="shared" si="51"/>
        <v>84</v>
      </c>
      <c r="X199" t="str">
        <f t="shared" si="52"/>
        <v>Normal</v>
      </c>
      <c r="Y199" t="s">
        <v>23</v>
      </c>
      <c r="Z199" t="s">
        <v>22</v>
      </c>
      <c r="AA199" t="s">
        <v>37</v>
      </c>
      <c r="AB199" s="3" t="s">
        <v>222</v>
      </c>
      <c r="AC199">
        <v>144</v>
      </c>
      <c r="AD199" s="3" t="str">
        <f t="shared" si="53"/>
        <v>144</v>
      </c>
      <c r="AE199">
        <v>74</v>
      </c>
      <c r="AF199" s="3" t="str">
        <f t="shared" si="54"/>
        <v>74</v>
      </c>
      <c r="AG199" t="s">
        <v>38</v>
      </c>
      <c r="AH199" s="3">
        <v>14.04</v>
      </c>
      <c r="AI199" s="3">
        <f t="shared" si="55"/>
        <v>14.04</v>
      </c>
      <c r="AJ199" t="s">
        <v>52</v>
      </c>
      <c r="AK199" t="str">
        <f>PROPER(Table1[[#This Row],[CVD Risk Level]])</f>
        <v>Low</v>
      </c>
    </row>
    <row r="200" spans="1:37" x14ac:dyDescent="0.3">
      <c r="A200" t="s">
        <v>31</v>
      </c>
      <c r="B200">
        <v>43</v>
      </c>
      <c r="C200" s="8">
        <f t="shared" si="44"/>
        <v>43</v>
      </c>
      <c r="D200" s="5">
        <v>106</v>
      </c>
      <c r="E200" s="8">
        <f t="shared" si="45"/>
        <v>106</v>
      </c>
      <c r="F200">
        <v>1.66</v>
      </c>
      <c r="G200" s="3">
        <f t="shared" si="46"/>
        <v>1.66</v>
      </c>
      <c r="H200">
        <v>38.5</v>
      </c>
      <c r="I200" s="5">
        <f t="shared" si="42"/>
        <v>38.5</v>
      </c>
      <c r="J200" s="16" t="str">
        <f t="shared" si="47"/>
        <v>Obese</v>
      </c>
      <c r="K200">
        <v>92.5</v>
      </c>
      <c r="L200">
        <v>0.55700000000000005</v>
      </c>
      <c r="M200" s="11">
        <f t="shared" si="43"/>
        <v>0.55700000000000005</v>
      </c>
      <c r="N200" s="5">
        <f t="shared" si="48"/>
        <v>92.5</v>
      </c>
      <c r="O200">
        <v>195</v>
      </c>
      <c r="P200">
        <v>31</v>
      </c>
      <c r="Q200" s="8">
        <f t="shared" si="49"/>
        <v>31</v>
      </c>
      <c r="R200" s="8">
        <v>134</v>
      </c>
      <c r="S200" s="8">
        <f t="shared" si="56"/>
        <v>134</v>
      </c>
      <c r="T200" s="8">
        <f>(Table1[[#This Row],[Total Cholesterol (mg/dL)]]+Table1[[#This Row],[HDL (mg/dL)2]]+Table1[[#This Row],[Estimated LDL (mg/dL)2]])*5</f>
        <v>1800</v>
      </c>
      <c r="U200" s="8">
        <f>IF(O200="",Table1[[#This Row],[Estimated LDL (mg/dL)2]]+Table1[[#This Row],[HDL (mg/dL)2]]+(Table1[[#This Row],[Triglycerides]]/5),O200)</f>
        <v>195</v>
      </c>
      <c r="V200">
        <v>136</v>
      </c>
      <c r="W200" s="8">
        <f t="shared" si="51"/>
        <v>136</v>
      </c>
      <c r="X200" t="str">
        <f t="shared" si="52"/>
        <v>Diabetes</v>
      </c>
      <c r="Y200" t="s">
        <v>23</v>
      </c>
      <c r="Z200" t="s">
        <v>22</v>
      </c>
      <c r="AA200" t="s">
        <v>37</v>
      </c>
      <c r="AB200" s="3" t="s">
        <v>223</v>
      </c>
      <c r="AC200">
        <v>130</v>
      </c>
      <c r="AD200" s="3" t="str">
        <f t="shared" si="53"/>
        <v>130</v>
      </c>
      <c r="AE200">
        <v>73</v>
      </c>
      <c r="AF200" s="3" t="str">
        <f t="shared" si="54"/>
        <v>73</v>
      </c>
      <c r="AG200" t="s">
        <v>29</v>
      </c>
      <c r="AH200" s="3">
        <v>18.100000000000001</v>
      </c>
      <c r="AI200" s="3">
        <f t="shared" si="55"/>
        <v>18.100000000000001</v>
      </c>
      <c r="AJ200" t="s">
        <v>26</v>
      </c>
      <c r="AK200" t="str">
        <f>PROPER(Table1[[#This Row],[CVD Risk Level]])</f>
        <v>Intermediary</v>
      </c>
    </row>
    <row r="201" spans="1:37" x14ac:dyDescent="0.3">
      <c r="A201" t="s">
        <v>31</v>
      </c>
      <c r="B201">
        <v>56</v>
      </c>
      <c r="C201" s="8">
        <f t="shared" si="44"/>
        <v>56</v>
      </c>
      <c r="D201" s="5">
        <v>114.6</v>
      </c>
      <c r="E201" s="8">
        <f t="shared" si="45"/>
        <v>114.6</v>
      </c>
      <c r="F201">
        <v>1.88</v>
      </c>
      <c r="G201" s="3">
        <f t="shared" si="46"/>
        <v>1.88</v>
      </c>
      <c r="I201" s="5">
        <f t="shared" si="42"/>
        <v>32.424173834314168</v>
      </c>
      <c r="J201" s="16" t="str">
        <f t="shared" si="47"/>
        <v>Obese</v>
      </c>
      <c r="K201">
        <v>109.8</v>
      </c>
      <c r="L201">
        <v>0.58399999999999996</v>
      </c>
      <c r="M201" s="11">
        <f t="shared" si="43"/>
        <v>0.58399999999999996</v>
      </c>
      <c r="N201" s="5">
        <f t="shared" si="48"/>
        <v>109.8</v>
      </c>
      <c r="O201">
        <v>174</v>
      </c>
      <c r="P201">
        <v>52</v>
      </c>
      <c r="Q201" s="8">
        <f t="shared" si="49"/>
        <v>52</v>
      </c>
      <c r="R201" s="8">
        <v>92</v>
      </c>
      <c r="S201" s="8">
        <f t="shared" si="56"/>
        <v>92</v>
      </c>
      <c r="T201" s="8">
        <f>(Table1[[#This Row],[Total Cholesterol (mg/dL)]]+Table1[[#This Row],[HDL (mg/dL)2]]+Table1[[#This Row],[Estimated LDL (mg/dL)2]])*5</f>
        <v>1590</v>
      </c>
      <c r="U201" s="8">
        <f>IF(O201="",Table1[[#This Row],[Estimated LDL (mg/dL)2]]+Table1[[#This Row],[HDL (mg/dL)2]]+(Table1[[#This Row],[Triglycerides]]/5),O201)</f>
        <v>174</v>
      </c>
      <c r="V201">
        <v>106</v>
      </c>
      <c r="W201" s="8">
        <f t="shared" si="51"/>
        <v>106</v>
      </c>
      <c r="X201" t="str">
        <f t="shared" si="52"/>
        <v>Prediabetes</v>
      </c>
      <c r="Y201" t="s">
        <v>23</v>
      </c>
      <c r="Z201" t="s">
        <v>22</v>
      </c>
      <c r="AA201" t="s">
        <v>28</v>
      </c>
      <c r="AB201" s="3" t="s">
        <v>224</v>
      </c>
      <c r="AD201" s="3" t="str">
        <f t="shared" si="53"/>
        <v>95</v>
      </c>
      <c r="AE201">
        <v>62</v>
      </c>
      <c r="AF201" s="3" t="str">
        <f t="shared" si="54"/>
        <v>62</v>
      </c>
      <c r="AG201" t="s">
        <v>33</v>
      </c>
      <c r="AH201" s="3">
        <v>14.71</v>
      </c>
      <c r="AI201" s="3">
        <f t="shared" si="55"/>
        <v>14.71</v>
      </c>
      <c r="AJ201" t="s">
        <v>26</v>
      </c>
      <c r="AK201" t="str">
        <f>PROPER(Table1[[#This Row],[CVD Risk Level]])</f>
        <v>Intermediary</v>
      </c>
    </row>
    <row r="202" spans="1:37" x14ac:dyDescent="0.3">
      <c r="A202" t="s">
        <v>31</v>
      </c>
      <c r="B202">
        <v>40</v>
      </c>
      <c r="C202" s="8">
        <f t="shared" si="44"/>
        <v>40</v>
      </c>
      <c r="D202" s="5">
        <v>97</v>
      </c>
      <c r="E202" s="8">
        <f t="shared" si="45"/>
        <v>97</v>
      </c>
      <c r="F202">
        <v>1.78</v>
      </c>
      <c r="G202" s="3">
        <f t="shared" si="46"/>
        <v>1.78</v>
      </c>
      <c r="H202">
        <v>30.6</v>
      </c>
      <c r="I202" s="5">
        <f t="shared" si="42"/>
        <v>30.6</v>
      </c>
      <c r="J202" s="16" t="str">
        <f t="shared" si="47"/>
        <v>Obese</v>
      </c>
      <c r="K202">
        <v>76.900000000000006</v>
      </c>
      <c r="L202">
        <v>0.432</v>
      </c>
      <c r="M202" s="11">
        <f t="shared" si="43"/>
        <v>0.432</v>
      </c>
      <c r="N202" s="5">
        <f t="shared" si="48"/>
        <v>76.900000000000006</v>
      </c>
      <c r="O202">
        <v>170</v>
      </c>
      <c r="P202">
        <v>44</v>
      </c>
      <c r="Q202" s="8">
        <f t="shared" si="49"/>
        <v>44</v>
      </c>
      <c r="R202" s="8">
        <v>96</v>
      </c>
      <c r="S202" s="8">
        <f t="shared" si="56"/>
        <v>96</v>
      </c>
      <c r="T202" s="8">
        <f>(Table1[[#This Row],[Total Cholesterol (mg/dL)]]+Table1[[#This Row],[HDL (mg/dL)2]]+Table1[[#This Row],[Estimated LDL (mg/dL)2]])*5</f>
        <v>1550</v>
      </c>
      <c r="U202" s="8">
        <f>IF(O202="",Table1[[#This Row],[Estimated LDL (mg/dL)2]]+Table1[[#This Row],[HDL (mg/dL)2]]+(Table1[[#This Row],[Triglycerides]]/5),O202)</f>
        <v>170</v>
      </c>
      <c r="V202">
        <v>105</v>
      </c>
      <c r="W202" s="8">
        <f t="shared" si="51"/>
        <v>105</v>
      </c>
      <c r="X202" t="str">
        <f t="shared" si="52"/>
        <v>Prediabetes</v>
      </c>
      <c r="Y202" t="s">
        <v>22</v>
      </c>
      <c r="Z202" t="s">
        <v>22</v>
      </c>
      <c r="AA202" t="s">
        <v>37</v>
      </c>
      <c r="AB202" s="3" t="s">
        <v>225</v>
      </c>
      <c r="AC202">
        <v>121</v>
      </c>
      <c r="AD202" s="3" t="str">
        <f t="shared" si="53"/>
        <v>121</v>
      </c>
      <c r="AE202">
        <v>83</v>
      </c>
      <c r="AF202" s="3" t="str">
        <f t="shared" si="54"/>
        <v>83</v>
      </c>
      <c r="AG202" t="s">
        <v>29</v>
      </c>
      <c r="AH202" s="3">
        <v>15.57</v>
      </c>
      <c r="AI202" s="3">
        <f t="shared" si="55"/>
        <v>15.57</v>
      </c>
      <c r="AJ202" t="s">
        <v>26</v>
      </c>
      <c r="AK202" t="str">
        <f>PROPER(Table1[[#This Row],[CVD Risk Level]])</f>
        <v>Intermediary</v>
      </c>
    </row>
    <row r="203" spans="1:37" x14ac:dyDescent="0.3">
      <c r="A203" t="s">
        <v>31</v>
      </c>
      <c r="B203">
        <v>42</v>
      </c>
      <c r="C203" s="8">
        <f t="shared" si="44"/>
        <v>42</v>
      </c>
      <c r="E203" s="8">
        <f t="shared" si="45"/>
        <v>58.969799999999999</v>
      </c>
      <c r="F203">
        <v>1.81</v>
      </c>
      <c r="G203" s="3">
        <f t="shared" si="46"/>
        <v>1.81</v>
      </c>
      <c r="H203">
        <v>18</v>
      </c>
      <c r="I203" s="5">
        <f t="shared" si="42"/>
        <v>18</v>
      </c>
      <c r="J203" s="16" t="str">
        <f t="shared" si="47"/>
        <v>Underweight</v>
      </c>
      <c r="K203">
        <v>87.8</v>
      </c>
      <c r="L203">
        <v>0.48499999999999999</v>
      </c>
      <c r="M203" s="11">
        <f t="shared" si="43"/>
        <v>0.48499999999999999</v>
      </c>
      <c r="N203" s="5">
        <f t="shared" si="48"/>
        <v>87.8</v>
      </c>
      <c r="O203">
        <v>159</v>
      </c>
      <c r="P203">
        <v>41</v>
      </c>
      <c r="Q203" s="8">
        <f t="shared" si="49"/>
        <v>41</v>
      </c>
      <c r="R203" s="8">
        <v>88</v>
      </c>
      <c r="S203" s="8">
        <f t="shared" si="56"/>
        <v>88</v>
      </c>
      <c r="T203" s="8">
        <f>(Table1[[#This Row],[Total Cholesterol (mg/dL)]]+Table1[[#This Row],[HDL (mg/dL)2]]+Table1[[#This Row],[Estimated LDL (mg/dL)2]])*5</f>
        <v>1440</v>
      </c>
      <c r="U203" s="8">
        <f>IF(O203="",Table1[[#This Row],[Estimated LDL (mg/dL)2]]+Table1[[#This Row],[HDL (mg/dL)2]]+(Table1[[#This Row],[Triglycerides]]/5),O203)</f>
        <v>159</v>
      </c>
      <c r="V203">
        <v>150</v>
      </c>
      <c r="W203" s="8">
        <f t="shared" si="51"/>
        <v>150</v>
      </c>
      <c r="X203" t="str">
        <f t="shared" si="52"/>
        <v>Diabetes</v>
      </c>
      <c r="Y203" t="s">
        <v>22</v>
      </c>
      <c r="Z203" t="s">
        <v>22</v>
      </c>
      <c r="AA203" t="s">
        <v>37</v>
      </c>
      <c r="AB203" s="3" t="s">
        <v>226</v>
      </c>
      <c r="AC203">
        <v>118</v>
      </c>
      <c r="AD203" s="3" t="str">
        <f t="shared" si="53"/>
        <v>118</v>
      </c>
      <c r="AE203">
        <v>84</v>
      </c>
      <c r="AF203" s="3" t="str">
        <f t="shared" si="54"/>
        <v>84</v>
      </c>
      <c r="AG203" t="s">
        <v>29</v>
      </c>
      <c r="AH203" s="3">
        <v>12.68</v>
      </c>
      <c r="AI203" s="3">
        <f t="shared" si="55"/>
        <v>12.68</v>
      </c>
      <c r="AJ203" t="s">
        <v>52</v>
      </c>
      <c r="AK203" t="str">
        <f>PROPER(Table1[[#This Row],[CVD Risk Level]])</f>
        <v>Low</v>
      </c>
    </row>
    <row r="204" spans="1:37" x14ac:dyDescent="0.3">
      <c r="A204" t="s">
        <v>20</v>
      </c>
      <c r="B204">
        <v>51</v>
      </c>
      <c r="C204" s="8">
        <f t="shared" si="44"/>
        <v>51</v>
      </c>
      <c r="D204" s="5">
        <v>52.7</v>
      </c>
      <c r="E204" s="8">
        <f t="shared" si="45"/>
        <v>52.7</v>
      </c>
      <c r="F204">
        <v>1.69</v>
      </c>
      <c r="G204" s="3">
        <f t="shared" si="46"/>
        <v>1.69</v>
      </c>
      <c r="H204">
        <v>18.5</v>
      </c>
      <c r="I204" s="5">
        <f t="shared" si="42"/>
        <v>18.5</v>
      </c>
      <c r="J204" s="16" t="str">
        <f t="shared" si="47"/>
        <v>Normal</v>
      </c>
      <c r="K204">
        <v>102.3</v>
      </c>
      <c r="L204">
        <v>0.60499999999999998</v>
      </c>
      <c r="M204" s="11">
        <f t="shared" si="43"/>
        <v>0.60499999999999998</v>
      </c>
      <c r="N204" s="5">
        <f t="shared" si="48"/>
        <v>102.3</v>
      </c>
      <c r="O204">
        <v>140</v>
      </c>
      <c r="P204">
        <v>31</v>
      </c>
      <c r="Q204" s="8">
        <f t="shared" si="49"/>
        <v>31</v>
      </c>
      <c r="R204" s="8">
        <v>79</v>
      </c>
      <c r="S204" s="8">
        <f t="shared" si="56"/>
        <v>79</v>
      </c>
      <c r="T204" s="8">
        <f>(Table1[[#This Row],[Total Cholesterol (mg/dL)]]+Table1[[#This Row],[HDL (mg/dL)2]]+Table1[[#This Row],[Estimated LDL (mg/dL)2]])*5</f>
        <v>1250</v>
      </c>
      <c r="U204" s="8">
        <f>IF(O204="",Table1[[#This Row],[Estimated LDL (mg/dL)2]]+Table1[[#This Row],[HDL (mg/dL)2]]+(Table1[[#This Row],[Triglycerides]]/5),O204)</f>
        <v>140</v>
      </c>
      <c r="V204">
        <v>127</v>
      </c>
      <c r="W204" s="8">
        <f t="shared" si="51"/>
        <v>127</v>
      </c>
      <c r="X204" t="str">
        <f t="shared" si="52"/>
        <v>Diabetes</v>
      </c>
      <c r="Y204" t="s">
        <v>23</v>
      </c>
      <c r="Z204" t="s">
        <v>22</v>
      </c>
      <c r="AA204" t="s">
        <v>24</v>
      </c>
      <c r="AB204" s="3" t="s">
        <v>227</v>
      </c>
      <c r="AC204">
        <v>143</v>
      </c>
      <c r="AD204" s="3" t="str">
        <f t="shared" si="53"/>
        <v>143</v>
      </c>
      <c r="AF204" s="3" t="str">
        <f t="shared" si="54"/>
        <v>89</v>
      </c>
      <c r="AG204" t="s">
        <v>29</v>
      </c>
      <c r="AH204" s="3">
        <v>13.65</v>
      </c>
      <c r="AI204" s="3">
        <f t="shared" si="55"/>
        <v>13.65</v>
      </c>
      <c r="AJ204" t="s">
        <v>30</v>
      </c>
      <c r="AK204" t="str">
        <f>PROPER(Table1[[#This Row],[CVD Risk Level]])</f>
        <v>High</v>
      </c>
    </row>
    <row r="205" spans="1:37" x14ac:dyDescent="0.3">
      <c r="A205" t="s">
        <v>31</v>
      </c>
      <c r="B205">
        <v>30</v>
      </c>
      <c r="C205" s="8">
        <f t="shared" si="44"/>
        <v>30</v>
      </c>
      <c r="D205" s="5">
        <v>58.3</v>
      </c>
      <c r="E205" s="8">
        <f t="shared" si="45"/>
        <v>58.3</v>
      </c>
      <c r="F205">
        <v>1.64</v>
      </c>
      <c r="G205" s="3">
        <f t="shared" si="46"/>
        <v>1.64</v>
      </c>
      <c r="I205" s="5">
        <f t="shared" si="42"/>
        <v>21.676085663295659</v>
      </c>
      <c r="J205" s="16" t="str">
        <f t="shared" si="47"/>
        <v>Normal</v>
      </c>
      <c r="K205">
        <v>93.5</v>
      </c>
      <c r="L205">
        <v>0.56999999999999995</v>
      </c>
      <c r="M205" s="11">
        <f t="shared" si="43"/>
        <v>0.56999999999999995</v>
      </c>
      <c r="N205" s="5">
        <f t="shared" si="48"/>
        <v>93.5</v>
      </c>
      <c r="O205">
        <v>113</v>
      </c>
      <c r="P205">
        <v>53</v>
      </c>
      <c r="Q205" s="8">
        <f t="shared" si="49"/>
        <v>53</v>
      </c>
      <c r="R205" s="8">
        <v>30</v>
      </c>
      <c r="S205" s="8">
        <f t="shared" si="56"/>
        <v>30</v>
      </c>
      <c r="T205" s="8">
        <f>(Table1[[#This Row],[Total Cholesterol (mg/dL)]]+Table1[[#This Row],[HDL (mg/dL)2]]+Table1[[#This Row],[Estimated LDL (mg/dL)2]])*5</f>
        <v>980</v>
      </c>
      <c r="U205" s="8">
        <f>IF(O205="",Table1[[#This Row],[Estimated LDL (mg/dL)2]]+Table1[[#This Row],[HDL (mg/dL)2]]+(Table1[[#This Row],[Triglycerides]]/5),O205)</f>
        <v>113</v>
      </c>
      <c r="V205">
        <v>146</v>
      </c>
      <c r="W205" s="8">
        <f t="shared" si="51"/>
        <v>146</v>
      </c>
      <c r="X205" t="str">
        <f t="shared" si="52"/>
        <v>Diabetes</v>
      </c>
      <c r="Y205" t="s">
        <v>23</v>
      </c>
      <c r="Z205" t="s">
        <v>22</v>
      </c>
      <c r="AA205" t="s">
        <v>37</v>
      </c>
      <c r="AB205" s="3" t="s">
        <v>228</v>
      </c>
      <c r="AC205">
        <v>139</v>
      </c>
      <c r="AD205" s="3" t="str">
        <f t="shared" si="53"/>
        <v>139</v>
      </c>
      <c r="AE205">
        <v>76</v>
      </c>
      <c r="AF205" s="3" t="str">
        <f t="shared" si="54"/>
        <v>76</v>
      </c>
      <c r="AG205" t="s">
        <v>29</v>
      </c>
      <c r="AH205" s="3">
        <v>13.55</v>
      </c>
      <c r="AI205" s="3">
        <f t="shared" si="55"/>
        <v>13.55</v>
      </c>
      <c r="AJ205" t="s">
        <v>52</v>
      </c>
      <c r="AK205" t="str">
        <f>PROPER(Table1[[#This Row],[CVD Risk Level]])</f>
        <v>Low</v>
      </c>
    </row>
    <row r="206" spans="1:37" x14ac:dyDescent="0.3">
      <c r="A206" t="s">
        <v>31</v>
      </c>
      <c r="C206" s="8">
        <f t="shared" si="44"/>
        <v>47.025499655410059</v>
      </c>
      <c r="D206" s="5">
        <v>104.3</v>
      </c>
      <c r="E206" s="8">
        <f t="shared" si="45"/>
        <v>104.3</v>
      </c>
      <c r="F206">
        <v>1.6</v>
      </c>
      <c r="G206" s="3">
        <f t="shared" si="46"/>
        <v>1.6</v>
      </c>
      <c r="H206">
        <v>40.700000000000003</v>
      </c>
      <c r="I206" s="5">
        <f t="shared" si="42"/>
        <v>40.700000000000003</v>
      </c>
      <c r="J206" s="16" t="str">
        <f t="shared" si="47"/>
        <v>Obese</v>
      </c>
      <c r="K206">
        <v>108.2</v>
      </c>
      <c r="L206">
        <v>0.67600000000000005</v>
      </c>
      <c r="M206" s="11">
        <f t="shared" si="43"/>
        <v>0.67600000000000005</v>
      </c>
      <c r="N206" s="5">
        <f t="shared" si="48"/>
        <v>108.2</v>
      </c>
      <c r="O206">
        <v>192</v>
      </c>
      <c r="P206">
        <v>30</v>
      </c>
      <c r="Q206" s="8">
        <f t="shared" si="49"/>
        <v>30</v>
      </c>
      <c r="R206" s="8">
        <v>132</v>
      </c>
      <c r="S206" s="8">
        <f t="shared" si="56"/>
        <v>132</v>
      </c>
      <c r="T206" s="8">
        <f>(Table1[[#This Row],[Total Cholesterol (mg/dL)]]+Table1[[#This Row],[HDL (mg/dL)2]]+Table1[[#This Row],[Estimated LDL (mg/dL)2]])*5</f>
        <v>1770</v>
      </c>
      <c r="U206" s="8">
        <f>IF(O206="",Table1[[#This Row],[Estimated LDL (mg/dL)2]]+Table1[[#This Row],[HDL (mg/dL)2]]+(Table1[[#This Row],[Triglycerides]]/5),O206)</f>
        <v>192</v>
      </c>
      <c r="V206">
        <v>132</v>
      </c>
      <c r="W206" s="8">
        <f t="shared" si="51"/>
        <v>132</v>
      </c>
      <c r="X206" t="str">
        <f t="shared" si="52"/>
        <v>Diabetes</v>
      </c>
      <c r="Y206" t="s">
        <v>22</v>
      </c>
      <c r="Z206" t="s">
        <v>22</v>
      </c>
      <c r="AA206" t="s">
        <v>28</v>
      </c>
      <c r="AB206" s="3" t="s">
        <v>229</v>
      </c>
      <c r="AC206">
        <v>97</v>
      </c>
      <c r="AD206" s="3" t="str">
        <f t="shared" si="53"/>
        <v>97</v>
      </c>
      <c r="AE206">
        <v>89</v>
      </c>
      <c r="AF206" s="3" t="str">
        <f t="shared" si="54"/>
        <v>89</v>
      </c>
      <c r="AG206" t="s">
        <v>29</v>
      </c>
      <c r="AH206" s="3">
        <v>16.829999999999998</v>
      </c>
      <c r="AI206" s="3">
        <f t="shared" si="55"/>
        <v>16.829999999999998</v>
      </c>
      <c r="AJ206" t="s">
        <v>26</v>
      </c>
      <c r="AK206" t="str">
        <f>PROPER(Table1[[#This Row],[CVD Risk Level]])</f>
        <v>Intermediary</v>
      </c>
    </row>
    <row r="207" spans="1:37" x14ac:dyDescent="0.3">
      <c r="A207" t="s">
        <v>31</v>
      </c>
      <c r="B207">
        <v>51</v>
      </c>
      <c r="C207" s="8">
        <f t="shared" si="44"/>
        <v>51</v>
      </c>
      <c r="D207" s="5">
        <v>117.1</v>
      </c>
      <c r="E207" s="8">
        <f t="shared" si="45"/>
        <v>117.1</v>
      </c>
      <c r="G207" s="3">
        <f t="shared" si="46"/>
        <v>1.791150238835981</v>
      </c>
      <c r="H207">
        <v>36.5</v>
      </c>
      <c r="I207" s="5">
        <f t="shared" si="42"/>
        <v>36.5</v>
      </c>
      <c r="J207" s="16" t="str">
        <f t="shared" si="47"/>
        <v>Obese</v>
      </c>
      <c r="K207">
        <v>103.2</v>
      </c>
      <c r="L207">
        <v>0.57699999999999996</v>
      </c>
      <c r="M207" s="11">
        <f t="shared" si="43"/>
        <v>0.57699999999999996</v>
      </c>
      <c r="N207" s="5">
        <f t="shared" si="48"/>
        <v>103.2</v>
      </c>
      <c r="O207">
        <v>106</v>
      </c>
      <c r="P207">
        <v>37</v>
      </c>
      <c r="Q207" s="8">
        <f t="shared" si="49"/>
        <v>37</v>
      </c>
      <c r="R207" s="8">
        <v>39</v>
      </c>
      <c r="S207" s="8">
        <f t="shared" si="56"/>
        <v>39</v>
      </c>
      <c r="T207" s="8">
        <f>(Table1[[#This Row],[Total Cholesterol (mg/dL)]]+Table1[[#This Row],[HDL (mg/dL)2]]+Table1[[#This Row],[Estimated LDL (mg/dL)2]])*5</f>
        <v>910</v>
      </c>
      <c r="U207" s="8">
        <f>IF(O207="",Table1[[#This Row],[Estimated LDL (mg/dL)2]]+Table1[[#This Row],[HDL (mg/dL)2]]+(Table1[[#This Row],[Triglycerides]]/5),O207)</f>
        <v>106</v>
      </c>
      <c r="V207">
        <v>130</v>
      </c>
      <c r="W207" s="8">
        <f t="shared" si="51"/>
        <v>130</v>
      </c>
      <c r="X207" t="str">
        <f t="shared" si="52"/>
        <v>Diabetes</v>
      </c>
      <c r="Y207" t="s">
        <v>22</v>
      </c>
      <c r="Z207" t="s">
        <v>22</v>
      </c>
      <c r="AA207" t="s">
        <v>37</v>
      </c>
      <c r="AB207" s="3" t="s">
        <v>230</v>
      </c>
      <c r="AC207">
        <v>118</v>
      </c>
      <c r="AD207" s="3" t="str">
        <f t="shared" si="53"/>
        <v>118</v>
      </c>
      <c r="AE207">
        <v>61</v>
      </c>
      <c r="AF207" s="3" t="str">
        <f t="shared" si="54"/>
        <v>61</v>
      </c>
      <c r="AG207" t="s">
        <v>33</v>
      </c>
      <c r="AH207" s="3">
        <v>15.32</v>
      </c>
      <c r="AI207" s="3">
        <f t="shared" si="55"/>
        <v>15.32</v>
      </c>
      <c r="AJ207" t="s">
        <v>30</v>
      </c>
      <c r="AK207" t="str">
        <f>PROPER(Table1[[#This Row],[CVD Risk Level]])</f>
        <v>High</v>
      </c>
    </row>
    <row r="208" spans="1:37" x14ac:dyDescent="0.3">
      <c r="A208" t="s">
        <v>20</v>
      </c>
      <c r="B208">
        <v>51</v>
      </c>
      <c r="C208" s="8">
        <f t="shared" si="44"/>
        <v>51</v>
      </c>
      <c r="D208" s="5">
        <v>83.2</v>
      </c>
      <c r="E208" s="8">
        <f t="shared" si="45"/>
        <v>83.2</v>
      </c>
      <c r="F208">
        <v>1.66</v>
      </c>
      <c r="G208" s="3">
        <f t="shared" si="46"/>
        <v>1.66</v>
      </c>
      <c r="H208">
        <v>30.2</v>
      </c>
      <c r="I208" s="5">
        <f t="shared" si="42"/>
        <v>30.2</v>
      </c>
      <c r="J208" s="16" t="str">
        <f t="shared" si="47"/>
        <v>Obese</v>
      </c>
      <c r="L208">
        <v>0.48099999999999998</v>
      </c>
      <c r="M208" s="11">
        <f t="shared" si="43"/>
        <v>0.48099999999999998</v>
      </c>
      <c r="N208" s="5">
        <f t="shared" si="48"/>
        <v>79.846000000000004</v>
      </c>
      <c r="O208">
        <v>148</v>
      </c>
      <c r="P208">
        <v>69</v>
      </c>
      <c r="Q208" s="8">
        <f t="shared" si="49"/>
        <v>69</v>
      </c>
      <c r="R208" s="8">
        <v>49</v>
      </c>
      <c r="S208" s="8">
        <f t="shared" si="56"/>
        <v>49</v>
      </c>
      <c r="T208" s="8">
        <f>(Table1[[#This Row],[Total Cholesterol (mg/dL)]]+Table1[[#This Row],[HDL (mg/dL)2]]+Table1[[#This Row],[Estimated LDL (mg/dL)2]])*5</f>
        <v>1330</v>
      </c>
      <c r="U208" s="8">
        <f>IF(O208="",Table1[[#This Row],[Estimated LDL (mg/dL)2]]+Table1[[#This Row],[HDL (mg/dL)2]]+(Table1[[#This Row],[Triglycerides]]/5),O208)</f>
        <v>148</v>
      </c>
      <c r="V208">
        <v>138</v>
      </c>
      <c r="W208" s="8">
        <f t="shared" si="51"/>
        <v>138</v>
      </c>
      <c r="X208" t="str">
        <f t="shared" si="52"/>
        <v>Diabetes</v>
      </c>
      <c r="Y208" t="s">
        <v>23</v>
      </c>
      <c r="Z208" t="s">
        <v>23</v>
      </c>
      <c r="AA208" t="s">
        <v>24</v>
      </c>
      <c r="AB208" s="3" t="s">
        <v>231</v>
      </c>
      <c r="AC208">
        <v>91</v>
      </c>
      <c r="AD208" s="3" t="str">
        <f t="shared" si="53"/>
        <v>91</v>
      </c>
      <c r="AE208">
        <v>64</v>
      </c>
      <c r="AF208" s="3" t="str">
        <f t="shared" si="54"/>
        <v>64</v>
      </c>
      <c r="AG208" t="s">
        <v>33</v>
      </c>
      <c r="AH208" s="3">
        <v>15.55</v>
      </c>
      <c r="AI208" s="3">
        <f t="shared" si="55"/>
        <v>15.55</v>
      </c>
      <c r="AJ208" t="s">
        <v>30</v>
      </c>
      <c r="AK208" t="str">
        <f>PROPER(Table1[[#This Row],[CVD Risk Level]])</f>
        <v>High</v>
      </c>
    </row>
    <row r="209" spans="1:37" x14ac:dyDescent="0.3">
      <c r="A209" t="s">
        <v>20</v>
      </c>
      <c r="C209" s="8">
        <f t="shared" si="44"/>
        <v>47.025499655410059</v>
      </c>
      <c r="D209" s="5">
        <v>69.400000000000006</v>
      </c>
      <c r="E209" s="8">
        <f t="shared" si="45"/>
        <v>69.400000000000006</v>
      </c>
      <c r="F209">
        <v>1.86</v>
      </c>
      <c r="G209" s="3">
        <f t="shared" si="46"/>
        <v>1.86</v>
      </c>
      <c r="H209">
        <v>20.100000000000001</v>
      </c>
      <c r="I209" s="5">
        <f t="shared" si="42"/>
        <v>20.100000000000001</v>
      </c>
      <c r="J209" s="16" t="str">
        <f t="shared" si="47"/>
        <v>Normal</v>
      </c>
      <c r="K209">
        <v>76.099999999999994</v>
      </c>
      <c r="L209">
        <v>0.40899999999999997</v>
      </c>
      <c r="M209" s="11">
        <f t="shared" si="43"/>
        <v>0.40899999999999997</v>
      </c>
      <c r="N209" s="5">
        <f t="shared" si="48"/>
        <v>76.099999999999994</v>
      </c>
      <c r="O209">
        <v>185</v>
      </c>
      <c r="P209">
        <v>40</v>
      </c>
      <c r="Q209" s="8">
        <f t="shared" si="49"/>
        <v>40</v>
      </c>
      <c r="R209" s="8">
        <v>115</v>
      </c>
      <c r="S209" s="8">
        <f t="shared" si="56"/>
        <v>115</v>
      </c>
      <c r="T209" s="8">
        <f>(Table1[[#This Row],[Total Cholesterol (mg/dL)]]+Table1[[#This Row],[HDL (mg/dL)2]]+Table1[[#This Row],[Estimated LDL (mg/dL)2]])*5</f>
        <v>1700</v>
      </c>
      <c r="U209" s="8">
        <f>IF(O209="",Table1[[#This Row],[Estimated LDL (mg/dL)2]]+Table1[[#This Row],[HDL (mg/dL)2]]+(Table1[[#This Row],[Triglycerides]]/5),O209)</f>
        <v>185</v>
      </c>
      <c r="V209">
        <v>119</v>
      </c>
      <c r="W209" s="8">
        <f t="shared" si="51"/>
        <v>119</v>
      </c>
      <c r="X209" t="str">
        <f t="shared" si="52"/>
        <v>Prediabetes</v>
      </c>
      <c r="Y209" t="s">
        <v>22</v>
      </c>
      <c r="Z209" t="s">
        <v>23</v>
      </c>
      <c r="AA209" t="s">
        <v>37</v>
      </c>
      <c r="AB209" s="3" t="s">
        <v>232</v>
      </c>
      <c r="AC209">
        <v>98</v>
      </c>
      <c r="AD209" s="3" t="str">
        <f t="shared" si="53"/>
        <v>98</v>
      </c>
      <c r="AF209" s="3" t="str">
        <f t="shared" si="54"/>
        <v>94</v>
      </c>
      <c r="AG209" t="s">
        <v>38</v>
      </c>
      <c r="AH209" s="3">
        <v>14.62</v>
      </c>
      <c r="AI209" s="3">
        <f t="shared" si="55"/>
        <v>14.62</v>
      </c>
      <c r="AJ209" t="s">
        <v>26</v>
      </c>
      <c r="AK209" t="str">
        <f>PROPER(Table1[[#This Row],[CVD Risk Level]])</f>
        <v>Intermediary</v>
      </c>
    </row>
    <row r="210" spans="1:37" x14ac:dyDescent="0.3">
      <c r="A210" t="s">
        <v>31</v>
      </c>
      <c r="B210">
        <v>31</v>
      </c>
      <c r="C210" s="8">
        <f t="shared" si="44"/>
        <v>31</v>
      </c>
      <c r="D210" s="5">
        <v>77.599999999999994</v>
      </c>
      <c r="E210" s="8">
        <f t="shared" si="45"/>
        <v>77.599999999999994</v>
      </c>
      <c r="F210">
        <v>1.85</v>
      </c>
      <c r="G210" s="3">
        <f t="shared" si="46"/>
        <v>1.85</v>
      </c>
      <c r="H210">
        <v>22.7</v>
      </c>
      <c r="I210" s="5">
        <f t="shared" si="42"/>
        <v>22.7</v>
      </c>
      <c r="J210" s="16" t="str">
        <f t="shared" si="47"/>
        <v>Normal</v>
      </c>
      <c r="K210">
        <v>101.1</v>
      </c>
      <c r="L210">
        <v>0.54600000000000004</v>
      </c>
      <c r="M210" s="11">
        <f t="shared" si="43"/>
        <v>0.54600000000000004</v>
      </c>
      <c r="N210" s="5">
        <f t="shared" si="48"/>
        <v>101.1</v>
      </c>
      <c r="O210">
        <v>147</v>
      </c>
      <c r="P210">
        <v>59</v>
      </c>
      <c r="Q210" s="8">
        <f t="shared" si="49"/>
        <v>59</v>
      </c>
      <c r="R210" s="8">
        <v>58</v>
      </c>
      <c r="S210" s="8">
        <f t="shared" si="56"/>
        <v>58</v>
      </c>
      <c r="T210" s="8">
        <f>(Table1[[#This Row],[Total Cholesterol (mg/dL)]]+Table1[[#This Row],[HDL (mg/dL)2]]+Table1[[#This Row],[Estimated LDL (mg/dL)2]])*5</f>
        <v>1320</v>
      </c>
      <c r="U210" s="8">
        <f>IF(O210="",Table1[[#This Row],[Estimated LDL (mg/dL)2]]+Table1[[#This Row],[HDL (mg/dL)2]]+(Table1[[#This Row],[Triglycerides]]/5),O210)</f>
        <v>147</v>
      </c>
      <c r="V210">
        <v>122</v>
      </c>
      <c r="W210" s="8">
        <f t="shared" si="51"/>
        <v>122</v>
      </c>
      <c r="X210" t="str">
        <f t="shared" si="52"/>
        <v>Prediabetes</v>
      </c>
      <c r="Y210" t="s">
        <v>22</v>
      </c>
      <c r="Z210" t="s">
        <v>23</v>
      </c>
      <c r="AA210" t="s">
        <v>37</v>
      </c>
      <c r="AB210" s="3" t="s">
        <v>233</v>
      </c>
      <c r="AC210">
        <v>114</v>
      </c>
      <c r="AD210" s="3" t="str">
        <f t="shared" si="53"/>
        <v>114</v>
      </c>
      <c r="AE210">
        <v>92</v>
      </c>
      <c r="AF210" s="3" t="str">
        <f t="shared" si="54"/>
        <v>92</v>
      </c>
      <c r="AG210" t="s">
        <v>38</v>
      </c>
      <c r="AH210" s="3">
        <v>15.18</v>
      </c>
      <c r="AI210" s="3">
        <f t="shared" si="55"/>
        <v>15.18</v>
      </c>
      <c r="AJ210" t="s">
        <v>26</v>
      </c>
      <c r="AK210" t="str">
        <f>PROPER(Table1[[#This Row],[CVD Risk Level]])</f>
        <v>Intermediary</v>
      </c>
    </row>
    <row r="211" spans="1:37" x14ac:dyDescent="0.3">
      <c r="A211" t="s">
        <v>31</v>
      </c>
      <c r="B211">
        <v>38</v>
      </c>
      <c r="C211" s="8">
        <f t="shared" si="44"/>
        <v>38</v>
      </c>
      <c r="D211" s="5">
        <v>85.7</v>
      </c>
      <c r="E211" s="8">
        <f t="shared" si="45"/>
        <v>85.7</v>
      </c>
      <c r="F211">
        <v>1.72</v>
      </c>
      <c r="G211" s="3">
        <f t="shared" si="46"/>
        <v>1.72</v>
      </c>
      <c r="I211" s="5">
        <f t="shared" si="42"/>
        <v>28.968361276365606</v>
      </c>
      <c r="J211" s="16" t="str">
        <f t="shared" si="47"/>
        <v>Overweight</v>
      </c>
      <c r="K211">
        <v>107.2</v>
      </c>
      <c r="L211">
        <v>0.623</v>
      </c>
      <c r="M211" s="11">
        <f t="shared" si="43"/>
        <v>0.623</v>
      </c>
      <c r="N211" s="5">
        <f t="shared" si="48"/>
        <v>107.2</v>
      </c>
      <c r="O211">
        <v>237</v>
      </c>
      <c r="P211">
        <v>46</v>
      </c>
      <c r="Q211" s="8">
        <f t="shared" si="49"/>
        <v>46</v>
      </c>
      <c r="R211" s="8">
        <v>161</v>
      </c>
      <c r="S211" s="8">
        <f t="shared" si="56"/>
        <v>161</v>
      </c>
      <c r="T211" s="8">
        <f>(Table1[[#This Row],[Total Cholesterol (mg/dL)]]+Table1[[#This Row],[HDL (mg/dL)2]]+Table1[[#This Row],[Estimated LDL (mg/dL)2]])*5</f>
        <v>2220</v>
      </c>
      <c r="U211" s="8">
        <f>IF(O211="",Table1[[#This Row],[Estimated LDL (mg/dL)2]]+Table1[[#This Row],[HDL (mg/dL)2]]+(Table1[[#This Row],[Triglycerides]]/5),O211)</f>
        <v>237</v>
      </c>
      <c r="V211">
        <v>144</v>
      </c>
      <c r="W211" s="8">
        <f t="shared" si="51"/>
        <v>144</v>
      </c>
      <c r="X211" t="str">
        <f t="shared" si="52"/>
        <v>Diabetes</v>
      </c>
      <c r="Y211" t="s">
        <v>23</v>
      </c>
      <c r="Z211" t="s">
        <v>22</v>
      </c>
      <c r="AA211" t="s">
        <v>37</v>
      </c>
      <c r="AB211" s="3" t="s">
        <v>234</v>
      </c>
      <c r="AC211">
        <v>110</v>
      </c>
      <c r="AD211" s="3" t="str">
        <f t="shared" si="53"/>
        <v>110</v>
      </c>
      <c r="AE211">
        <v>81</v>
      </c>
      <c r="AF211" s="3" t="str">
        <f t="shared" si="54"/>
        <v>81</v>
      </c>
      <c r="AG211" t="s">
        <v>29</v>
      </c>
      <c r="AH211" s="3">
        <v>15.48</v>
      </c>
      <c r="AI211" s="3">
        <f t="shared" si="55"/>
        <v>15.48</v>
      </c>
      <c r="AJ211" t="s">
        <v>26</v>
      </c>
      <c r="AK211" t="str">
        <f>PROPER(Table1[[#This Row],[CVD Risk Level]])</f>
        <v>Intermediary</v>
      </c>
    </row>
    <row r="212" spans="1:37" x14ac:dyDescent="0.3">
      <c r="A212" t="s">
        <v>31</v>
      </c>
      <c r="B212">
        <v>42</v>
      </c>
      <c r="C212" s="8">
        <f t="shared" si="44"/>
        <v>42</v>
      </c>
      <c r="D212" s="5">
        <v>99.5</v>
      </c>
      <c r="E212" s="8">
        <f t="shared" si="45"/>
        <v>99.5</v>
      </c>
      <c r="F212">
        <v>1.7</v>
      </c>
      <c r="G212" s="3">
        <f t="shared" si="46"/>
        <v>1.7</v>
      </c>
      <c r="H212">
        <v>34.4</v>
      </c>
      <c r="I212" s="5">
        <f t="shared" si="42"/>
        <v>34.4</v>
      </c>
      <c r="J212" s="16" t="str">
        <f t="shared" si="47"/>
        <v>Obese</v>
      </c>
      <c r="K212">
        <v>93.1</v>
      </c>
      <c r="L212">
        <v>0.54800000000000004</v>
      </c>
      <c r="M212" s="11">
        <f t="shared" si="43"/>
        <v>0.54800000000000004</v>
      </c>
      <c r="N212" s="5">
        <f t="shared" si="48"/>
        <v>93.1</v>
      </c>
      <c r="O212">
        <v>150</v>
      </c>
      <c r="P212">
        <v>30</v>
      </c>
      <c r="Q212" s="8">
        <f t="shared" si="49"/>
        <v>30</v>
      </c>
      <c r="R212" s="8">
        <v>90</v>
      </c>
      <c r="S212" s="8">
        <f t="shared" si="56"/>
        <v>90</v>
      </c>
      <c r="T212" s="8">
        <f>(Table1[[#This Row],[Total Cholesterol (mg/dL)]]+Table1[[#This Row],[HDL (mg/dL)2]]+Table1[[#This Row],[Estimated LDL (mg/dL)2]])*5</f>
        <v>1350</v>
      </c>
      <c r="U212" s="8">
        <f>IF(O212="",Table1[[#This Row],[Estimated LDL (mg/dL)2]]+Table1[[#This Row],[HDL (mg/dL)2]]+(Table1[[#This Row],[Triglycerides]]/5),O212)</f>
        <v>150</v>
      </c>
      <c r="V212">
        <v>76</v>
      </c>
      <c r="W212" s="8">
        <f t="shared" si="51"/>
        <v>76</v>
      </c>
      <c r="X212" t="str">
        <f t="shared" si="52"/>
        <v>Normal</v>
      </c>
      <c r="Y212" t="s">
        <v>23</v>
      </c>
      <c r="Z212" t="s">
        <v>22</v>
      </c>
      <c r="AA212" t="s">
        <v>28</v>
      </c>
      <c r="AB212" s="3" t="s">
        <v>235</v>
      </c>
      <c r="AD212" s="3" t="str">
        <f t="shared" si="53"/>
        <v>98</v>
      </c>
      <c r="AE212">
        <v>87</v>
      </c>
      <c r="AF212" s="3" t="str">
        <f t="shared" si="54"/>
        <v>87</v>
      </c>
      <c r="AG212" t="s">
        <v>29</v>
      </c>
      <c r="AH212" s="3">
        <v>14.78</v>
      </c>
      <c r="AI212" s="3">
        <f t="shared" si="55"/>
        <v>14.78</v>
      </c>
      <c r="AJ212" t="s">
        <v>30</v>
      </c>
      <c r="AK212" t="str">
        <f>PROPER(Table1[[#This Row],[CVD Risk Level]])</f>
        <v>High</v>
      </c>
    </row>
    <row r="213" spans="1:37" x14ac:dyDescent="0.3">
      <c r="A213" t="s">
        <v>20</v>
      </c>
      <c r="B213">
        <v>58</v>
      </c>
      <c r="C213" s="8">
        <f t="shared" si="44"/>
        <v>58</v>
      </c>
      <c r="D213" s="5">
        <v>69</v>
      </c>
      <c r="E213" s="8">
        <f t="shared" si="45"/>
        <v>69</v>
      </c>
      <c r="F213">
        <v>1.87</v>
      </c>
      <c r="G213" s="3">
        <f t="shared" si="46"/>
        <v>1.87</v>
      </c>
      <c r="H213">
        <v>19.7</v>
      </c>
      <c r="I213" s="5">
        <f t="shared" si="42"/>
        <v>19.7</v>
      </c>
      <c r="J213" s="16" t="str">
        <f t="shared" si="47"/>
        <v>Normal</v>
      </c>
      <c r="K213">
        <v>77.5</v>
      </c>
      <c r="L213">
        <v>0.41399999999999998</v>
      </c>
      <c r="M213" s="11">
        <f t="shared" si="43"/>
        <v>0.41399999999999998</v>
      </c>
      <c r="N213" s="5">
        <f t="shared" si="48"/>
        <v>77.5</v>
      </c>
      <c r="O213">
        <v>184</v>
      </c>
      <c r="P213">
        <v>45</v>
      </c>
      <c r="Q213" s="8">
        <f t="shared" si="49"/>
        <v>45</v>
      </c>
      <c r="R213" s="8">
        <v>109</v>
      </c>
      <c r="S213" s="8">
        <f t="shared" si="56"/>
        <v>109</v>
      </c>
      <c r="T213" s="8">
        <f>(Table1[[#This Row],[Total Cholesterol (mg/dL)]]+Table1[[#This Row],[HDL (mg/dL)2]]+Table1[[#This Row],[Estimated LDL (mg/dL)2]])*5</f>
        <v>1690</v>
      </c>
      <c r="U213" s="8">
        <f>IF(O213="",Table1[[#This Row],[Estimated LDL (mg/dL)2]]+Table1[[#This Row],[HDL (mg/dL)2]]+(Table1[[#This Row],[Triglycerides]]/5),O213)</f>
        <v>184</v>
      </c>
      <c r="V213">
        <v>75</v>
      </c>
      <c r="W213" s="8">
        <f t="shared" si="51"/>
        <v>75</v>
      </c>
      <c r="X213" t="str">
        <f t="shared" si="52"/>
        <v>Normal</v>
      </c>
      <c r="Y213" t="s">
        <v>22</v>
      </c>
      <c r="Z213" t="s">
        <v>23</v>
      </c>
      <c r="AA213" t="s">
        <v>24</v>
      </c>
      <c r="AB213" s="3" t="s">
        <v>236</v>
      </c>
      <c r="AC213">
        <v>107</v>
      </c>
      <c r="AD213" s="3" t="str">
        <f t="shared" si="53"/>
        <v>107</v>
      </c>
      <c r="AE213">
        <v>88</v>
      </c>
      <c r="AF213" s="3" t="str">
        <f t="shared" si="54"/>
        <v>88</v>
      </c>
      <c r="AG213" t="s">
        <v>29</v>
      </c>
      <c r="AH213" s="3">
        <v>14.97</v>
      </c>
      <c r="AI213" s="3">
        <f t="shared" si="55"/>
        <v>14.97</v>
      </c>
      <c r="AJ213" t="s">
        <v>30</v>
      </c>
      <c r="AK213" t="str">
        <f>PROPER(Table1[[#This Row],[CVD Risk Level]])</f>
        <v>High</v>
      </c>
    </row>
    <row r="214" spans="1:37" x14ac:dyDescent="0.3">
      <c r="A214" t="s">
        <v>31</v>
      </c>
      <c r="B214">
        <v>40</v>
      </c>
      <c r="C214" s="8">
        <f t="shared" si="44"/>
        <v>40</v>
      </c>
      <c r="E214" s="8">
        <f t="shared" si="45"/>
        <v>87.722999999999999</v>
      </c>
      <c r="F214">
        <v>1.9</v>
      </c>
      <c r="G214" s="3">
        <f t="shared" si="46"/>
        <v>1.9</v>
      </c>
      <c r="H214">
        <v>24.3</v>
      </c>
      <c r="I214" s="5">
        <f t="shared" si="42"/>
        <v>24.3</v>
      </c>
      <c r="J214" s="16" t="str">
        <f t="shared" si="47"/>
        <v>Normal</v>
      </c>
      <c r="L214">
        <v>0.38</v>
      </c>
      <c r="M214" s="11">
        <f t="shared" si="43"/>
        <v>0.38</v>
      </c>
      <c r="N214" s="5">
        <f t="shared" si="48"/>
        <v>72.2</v>
      </c>
      <c r="O214">
        <v>216</v>
      </c>
      <c r="P214">
        <v>61</v>
      </c>
      <c r="Q214" s="8">
        <f t="shared" si="49"/>
        <v>61</v>
      </c>
      <c r="R214" s="8">
        <v>125</v>
      </c>
      <c r="S214" s="8">
        <f t="shared" si="56"/>
        <v>125</v>
      </c>
      <c r="T214" s="8">
        <f>(Table1[[#This Row],[Total Cholesterol (mg/dL)]]+Table1[[#This Row],[HDL (mg/dL)2]]+Table1[[#This Row],[Estimated LDL (mg/dL)2]])*5</f>
        <v>2010</v>
      </c>
      <c r="U214" s="8">
        <f>IF(O214="",Table1[[#This Row],[Estimated LDL (mg/dL)2]]+Table1[[#This Row],[HDL (mg/dL)2]]+(Table1[[#This Row],[Triglycerides]]/5),O214)</f>
        <v>216</v>
      </c>
      <c r="V214">
        <v>146</v>
      </c>
      <c r="W214" s="8">
        <f t="shared" si="51"/>
        <v>146</v>
      </c>
      <c r="X214" t="str">
        <f t="shared" si="52"/>
        <v>Diabetes</v>
      </c>
      <c r="Y214" t="s">
        <v>22</v>
      </c>
      <c r="Z214" t="s">
        <v>22</v>
      </c>
      <c r="AA214" t="s">
        <v>28</v>
      </c>
      <c r="AB214" s="3" t="s">
        <v>237</v>
      </c>
      <c r="AC214">
        <v>90</v>
      </c>
      <c r="AD214" s="3" t="str">
        <f t="shared" si="53"/>
        <v>90</v>
      </c>
      <c r="AE214">
        <v>72</v>
      </c>
      <c r="AF214" s="3" t="str">
        <f t="shared" si="54"/>
        <v>72</v>
      </c>
      <c r="AG214" t="s">
        <v>33</v>
      </c>
      <c r="AH214" s="3">
        <v>13.68</v>
      </c>
      <c r="AI214" s="3">
        <f t="shared" si="55"/>
        <v>13.68</v>
      </c>
      <c r="AJ214" t="s">
        <v>52</v>
      </c>
      <c r="AK214" t="str">
        <f>PROPER(Table1[[#This Row],[CVD Risk Level]])</f>
        <v>Low</v>
      </c>
    </row>
    <row r="215" spans="1:37" x14ac:dyDescent="0.3">
      <c r="A215" t="s">
        <v>31</v>
      </c>
      <c r="B215">
        <v>46</v>
      </c>
      <c r="C215" s="8">
        <f t="shared" si="44"/>
        <v>46</v>
      </c>
      <c r="D215" s="5">
        <v>53.9</v>
      </c>
      <c r="E215" s="8">
        <f t="shared" si="45"/>
        <v>53.9</v>
      </c>
      <c r="F215">
        <v>1.61</v>
      </c>
      <c r="G215" s="3">
        <f t="shared" si="46"/>
        <v>1.61</v>
      </c>
      <c r="H215">
        <v>20.8</v>
      </c>
      <c r="I215" s="5">
        <f t="shared" si="42"/>
        <v>20.8</v>
      </c>
      <c r="J215" s="16" t="str">
        <f t="shared" si="47"/>
        <v>Normal</v>
      </c>
      <c r="K215">
        <v>99.5</v>
      </c>
      <c r="L215">
        <v>0.61799999999999999</v>
      </c>
      <c r="M215" s="11">
        <f t="shared" si="43"/>
        <v>0.61799999999999999</v>
      </c>
      <c r="N215" s="5">
        <f t="shared" si="48"/>
        <v>99.5</v>
      </c>
      <c r="O215">
        <v>205</v>
      </c>
      <c r="P215">
        <v>63</v>
      </c>
      <c r="Q215" s="8">
        <f t="shared" si="49"/>
        <v>63</v>
      </c>
      <c r="R215" s="8">
        <v>112</v>
      </c>
      <c r="S215" s="8">
        <f t="shared" si="56"/>
        <v>112</v>
      </c>
      <c r="T215" s="8">
        <f>(Table1[[#This Row],[Total Cholesterol (mg/dL)]]+Table1[[#This Row],[HDL (mg/dL)2]]+Table1[[#This Row],[Estimated LDL (mg/dL)2]])*5</f>
        <v>1900</v>
      </c>
      <c r="U215" s="8">
        <f>IF(O215="",Table1[[#This Row],[Estimated LDL (mg/dL)2]]+Table1[[#This Row],[HDL (mg/dL)2]]+(Table1[[#This Row],[Triglycerides]]/5),O215)</f>
        <v>205</v>
      </c>
      <c r="V215">
        <v>75</v>
      </c>
      <c r="W215" s="8">
        <f t="shared" si="51"/>
        <v>75</v>
      </c>
      <c r="X215" t="str">
        <f t="shared" si="52"/>
        <v>Normal</v>
      </c>
      <c r="Y215" t="s">
        <v>22</v>
      </c>
      <c r="Z215" t="s">
        <v>22</v>
      </c>
      <c r="AA215" t="s">
        <v>37</v>
      </c>
      <c r="AB215" s="3" t="s">
        <v>163</v>
      </c>
      <c r="AD215" s="3" t="str">
        <f t="shared" si="53"/>
        <v>150</v>
      </c>
      <c r="AE215">
        <v>96</v>
      </c>
      <c r="AF215" s="3" t="str">
        <f t="shared" si="54"/>
        <v>96</v>
      </c>
      <c r="AG215" t="s">
        <v>38</v>
      </c>
      <c r="AH215" s="3">
        <v>15.76</v>
      </c>
      <c r="AI215" s="3">
        <f t="shared" si="55"/>
        <v>15.76</v>
      </c>
      <c r="AJ215" t="s">
        <v>26</v>
      </c>
      <c r="AK215" t="str">
        <f>PROPER(Table1[[#This Row],[CVD Risk Level]])</f>
        <v>Intermediary</v>
      </c>
    </row>
    <row r="216" spans="1:37" x14ac:dyDescent="0.3">
      <c r="A216" t="s">
        <v>20</v>
      </c>
      <c r="B216">
        <v>35</v>
      </c>
      <c r="C216" s="8">
        <f t="shared" si="44"/>
        <v>35</v>
      </c>
      <c r="D216" s="5">
        <v>51.1</v>
      </c>
      <c r="E216" s="8">
        <f t="shared" si="45"/>
        <v>51.1</v>
      </c>
      <c r="F216">
        <v>1.73</v>
      </c>
      <c r="G216" s="3">
        <f t="shared" si="46"/>
        <v>1.73</v>
      </c>
      <c r="H216">
        <v>17.100000000000001</v>
      </c>
      <c r="I216" s="5">
        <f t="shared" si="42"/>
        <v>17.100000000000001</v>
      </c>
      <c r="J216" s="16" t="str">
        <f t="shared" si="47"/>
        <v>Underweight</v>
      </c>
      <c r="K216">
        <v>106.2</v>
      </c>
      <c r="L216">
        <v>0.61399999999999999</v>
      </c>
      <c r="M216" s="11">
        <f t="shared" si="43"/>
        <v>0.61399999999999999</v>
      </c>
      <c r="N216" s="5">
        <f t="shared" si="48"/>
        <v>106.2</v>
      </c>
      <c r="O216">
        <v>215</v>
      </c>
      <c r="P216">
        <v>65</v>
      </c>
      <c r="Q216" s="8">
        <f t="shared" si="49"/>
        <v>65</v>
      </c>
      <c r="R216" s="8">
        <v>120</v>
      </c>
      <c r="S216" s="8">
        <f t="shared" si="56"/>
        <v>120</v>
      </c>
      <c r="T216" s="8">
        <f>(Table1[[#This Row],[Total Cholesterol (mg/dL)]]+Table1[[#This Row],[HDL (mg/dL)2]]+Table1[[#This Row],[Estimated LDL (mg/dL)2]])*5</f>
        <v>2000</v>
      </c>
      <c r="U216" s="8">
        <f>IF(O216="",Table1[[#This Row],[Estimated LDL (mg/dL)2]]+Table1[[#This Row],[HDL (mg/dL)2]]+(Table1[[#This Row],[Triglycerides]]/5),O216)</f>
        <v>215</v>
      </c>
      <c r="V216">
        <v>79</v>
      </c>
      <c r="W216" s="8">
        <f t="shared" si="51"/>
        <v>79</v>
      </c>
      <c r="X216" t="str">
        <f t="shared" si="52"/>
        <v>Normal</v>
      </c>
      <c r="Y216" t="s">
        <v>23</v>
      </c>
      <c r="Z216" t="s">
        <v>22</v>
      </c>
      <c r="AA216" t="s">
        <v>24</v>
      </c>
      <c r="AB216" s="3" t="s">
        <v>238</v>
      </c>
      <c r="AC216">
        <v>149</v>
      </c>
      <c r="AD216" s="3" t="str">
        <f t="shared" si="53"/>
        <v>149</v>
      </c>
      <c r="AE216">
        <v>68</v>
      </c>
      <c r="AF216" s="3" t="str">
        <f t="shared" si="54"/>
        <v>68</v>
      </c>
      <c r="AG216" t="s">
        <v>38</v>
      </c>
      <c r="AH216" s="3">
        <v>15.17</v>
      </c>
      <c r="AI216" s="3">
        <f t="shared" si="55"/>
        <v>15.17</v>
      </c>
      <c r="AJ216" t="s">
        <v>26</v>
      </c>
      <c r="AK216" t="str">
        <f>PROPER(Table1[[#This Row],[CVD Risk Level]])</f>
        <v>Intermediary</v>
      </c>
    </row>
    <row r="217" spans="1:37" x14ac:dyDescent="0.3">
      <c r="A217" t="s">
        <v>31</v>
      </c>
      <c r="B217">
        <v>43</v>
      </c>
      <c r="C217" s="8">
        <f t="shared" si="44"/>
        <v>43</v>
      </c>
      <c r="E217" s="8">
        <f t="shared" si="45"/>
        <v>74.270520000000019</v>
      </c>
      <c r="F217">
        <v>1.62</v>
      </c>
      <c r="G217" s="3">
        <f t="shared" si="46"/>
        <v>1.62</v>
      </c>
      <c r="H217">
        <v>28.3</v>
      </c>
      <c r="I217" s="5">
        <f t="shared" si="42"/>
        <v>28.3</v>
      </c>
      <c r="J217" s="16" t="str">
        <f t="shared" si="47"/>
        <v>Overweight</v>
      </c>
      <c r="K217">
        <v>91.6</v>
      </c>
      <c r="L217">
        <v>0.56499999999999995</v>
      </c>
      <c r="M217" s="11">
        <f t="shared" si="43"/>
        <v>0.56499999999999995</v>
      </c>
      <c r="N217" s="5">
        <f t="shared" si="48"/>
        <v>91.6</v>
      </c>
      <c r="O217">
        <v>195</v>
      </c>
      <c r="P217">
        <v>43</v>
      </c>
      <c r="Q217" s="8">
        <f t="shared" si="49"/>
        <v>43</v>
      </c>
      <c r="R217" s="8">
        <v>122</v>
      </c>
      <c r="S217" s="8">
        <f t="shared" si="56"/>
        <v>122</v>
      </c>
      <c r="T217" s="8">
        <f>(Table1[[#This Row],[Total Cholesterol (mg/dL)]]+Table1[[#This Row],[HDL (mg/dL)2]]+Table1[[#This Row],[Estimated LDL (mg/dL)2]])*5</f>
        <v>1800</v>
      </c>
      <c r="U217" s="8">
        <f>IF(O217="",Table1[[#This Row],[Estimated LDL (mg/dL)2]]+Table1[[#This Row],[HDL (mg/dL)2]]+(Table1[[#This Row],[Triglycerides]]/5),O217)</f>
        <v>195</v>
      </c>
      <c r="V217">
        <v>90</v>
      </c>
      <c r="W217" s="8">
        <f t="shared" si="51"/>
        <v>90</v>
      </c>
      <c r="X217" t="str">
        <f t="shared" si="52"/>
        <v>Normal</v>
      </c>
      <c r="Y217" t="s">
        <v>23</v>
      </c>
      <c r="Z217" t="s">
        <v>23</v>
      </c>
      <c r="AA217" t="s">
        <v>28</v>
      </c>
      <c r="AB217" s="3" t="s">
        <v>239</v>
      </c>
      <c r="AC217">
        <v>90</v>
      </c>
      <c r="AD217" s="3" t="str">
        <f t="shared" si="53"/>
        <v>90</v>
      </c>
      <c r="AE217">
        <v>80</v>
      </c>
      <c r="AF217" s="3" t="str">
        <f t="shared" si="54"/>
        <v>80</v>
      </c>
      <c r="AG217" t="s">
        <v>29</v>
      </c>
      <c r="AH217" s="3">
        <v>16.059999999999999</v>
      </c>
      <c r="AI217" s="3">
        <f t="shared" si="55"/>
        <v>16.059999999999999</v>
      </c>
      <c r="AJ217" t="s">
        <v>30</v>
      </c>
      <c r="AK217" t="str">
        <f>PROPER(Table1[[#This Row],[CVD Risk Level]])</f>
        <v>High</v>
      </c>
    </row>
    <row r="218" spans="1:37" x14ac:dyDescent="0.3">
      <c r="A218" t="s">
        <v>20</v>
      </c>
      <c r="B218">
        <v>56</v>
      </c>
      <c r="C218" s="8">
        <f t="shared" si="44"/>
        <v>56</v>
      </c>
      <c r="D218" s="5">
        <v>70.8</v>
      </c>
      <c r="E218" s="8">
        <f t="shared" si="45"/>
        <v>70.8</v>
      </c>
      <c r="F218">
        <v>1.66</v>
      </c>
      <c r="G218" s="3">
        <f t="shared" si="46"/>
        <v>1.66</v>
      </c>
      <c r="H218">
        <v>25.7</v>
      </c>
      <c r="I218" s="5">
        <f t="shared" si="42"/>
        <v>25.7</v>
      </c>
      <c r="J218" s="16" t="str">
        <f t="shared" si="47"/>
        <v>Overweight</v>
      </c>
      <c r="K218">
        <v>85.8</v>
      </c>
      <c r="L218">
        <v>0.51700000000000002</v>
      </c>
      <c r="M218" s="11">
        <f t="shared" si="43"/>
        <v>0.51700000000000002</v>
      </c>
      <c r="N218" s="5">
        <f t="shared" si="48"/>
        <v>85.8</v>
      </c>
      <c r="O218">
        <v>248</v>
      </c>
      <c r="P218">
        <v>67</v>
      </c>
      <c r="Q218" s="8">
        <f t="shared" si="49"/>
        <v>67</v>
      </c>
      <c r="R218" s="8">
        <v>151</v>
      </c>
      <c r="S218" s="8">
        <f>IF(R218&lt;=0,MEDIAN($R$2:$R$1530),R218)</f>
        <v>151</v>
      </c>
      <c r="T218" s="8">
        <f>(Table1[[#This Row],[Total Cholesterol (mg/dL)]]+Table1[[#This Row],[HDL (mg/dL)2]]+Table1[[#This Row],[Estimated LDL (mg/dL)2]])*5</f>
        <v>2330</v>
      </c>
      <c r="U218" s="8">
        <f>IF(O218="",Table1[[#This Row],[Estimated LDL (mg/dL)2]]+Table1[[#This Row],[HDL (mg/dL)2]]+(Table1[[#This Row],[Triglycerides]]/5),O218)</f>
        <v>248</v>
      </c>
      <c r="V218">
        <v>102</v>
      </c>
      <c r="W218" s="8">
        <f t="shared" si="51"/>
        <v>102</v>
      </c>
      <c r="X218" t="str">
        <f t="shared" si="52"/>
        <v>Prediabetes</v>
      </c>
      <c r="Y218" t="s">
        <v>23</v>
      </c>
      <c r="Z218" t="s">
        <v>22</v>
      </c>
      <c r="AA218" t="s">
        <v>37</v>
      </c>
      <c r="AB218" s="3" t="s">
        <v>240</v>
      </c>
      <c r="AC218">
        <v>135</v>
      </c>
      <c r="AD218" s="3" t="str">
        <f t="shared" si="53"/>
        <v>135</v>
      </c>
      <c r="AE218">
        <v>61</v>
      </c>
      <c r="AF218" s="3" t="str">
        <f t="shared" si="54"/>
        <v>61</v>
      </c>
      <c r="AG218" t="s">
        <v>29</v>
      </c>
      <c r="AH218" s="3">
        <v>16.850000000000001</v>
      </c>
      <c r="AI218" s="3">
        <f t="shared" si="55"/>
        <v>16.850000000000001</v>
      </c>
      <c r="AJ218" t="s">
        <v>30</v>
      </c>
      <c r="AK218" t="str">
        <f>PROPER(Table1[[#This Row],[CVD Risk Level]])</f>
        <v>High</v>
      </c>
    </row>
    <row r="219" spans="1:37" x14ac:dyDescent="0.3">
      <c r="A219" t="s">
        <v>31</v>
      </c>
      <c r="B219">
        <v>48</v>
      </c>
      <c r="C219" s="8">
        <f t="shared" si="44"/>
        <v>48</v>
      </c>
      <c r="D219" s="5">
        <v>71.900000000000006</v>
      </c>
      <c r="E219" s="8">
        <f t="shared" si="45"/>
        <v>71.900000000000006</v>
      </c>
      <c r="F219">
        <v>1.74</v>
      </c>
      <c r="G219" s="3">
        <f t="shared" si="46"/>
        <v>1.74</v>
      </c>
      <c r="H219">
        <v>23.7</v>
      </c>
      <c r="I219" s="5">
        <f t="shared" si="42"/>
        <v>23.7</v>
      </c>
      <c r="J219" s="16" t="str">
        <f t="shared" si="47"/>
        <v>Normal</v>
      </c>
      <c r="K219">
        <v>90.9</v>
      </c>
      <c r="L219">
        <v>0.52200000000000002</v>
      </c>
      <c r="M219" s="11">
        <f t="shared" si="43"/>
        <v>0.52200000000000002</v>
      </c>
      <c r="N219" s="5">
        <f t="shared" si="48"/>
        <v>90.9</v>
      </c>
      <c r="O219">
        <v>116</v>
      </c>
      <c r="P219">
        <v>44</v>
      </c>
      <c r="Q219" s="8">
        <f t="shared" si="49"/>
        <v>44</v>
      </c>
      <c r="R219" s="8">
        <v>42</v>
      </c>
      <c r="S219" s="8">
        <f t="shared" si="56"/>
        <v>42</v>
      </c>
      <c r="T219" s="8">
        <f>(Table1[[#This Row],[Total Cholesterol (mg/dL)]]+Table1[[#This Row],[HDL (mg/dL)2]]+Table1[[#This Row],[Estimated LDL (mg/dL)2]])*5</f>
        <v>1010</v>
      </c>
      <c r="U219" s="8">
        <f>IF(O219="",Table1[[#This Row],[Estimated LDL (mg/dL)2]]+Table1[[#This Row],[HDL (mg/dL)2]]+(Table1[[#This Row],[Triglycerides]]/5),O219)</f>
        <v>116</v>
      </c>
      <c r="V219">
        <v>131</v>
      </c>
      <c r="W219" s="8">
        <f t="shared" si="51"/>
        <v>131</v>
      </c>
      <c r="X219" t="str">
        <f t="shared" si="52"/>
        <v>Diabetes</v>
      </c>
      <c r="Y219" t="s">
        <v>23</v>
      </c>
      <c r="Z219" t="s">
        <v>23</v>
      </c>
      <c r="AA219" t="s">
        <v>24</v>
      </c>
      <c r="AB219" s="3" t="s">
        <v>241</v>
      </c>
      <c r="AC219">
        <v>127</v>
      </c>
      <c r="AD219" s="3" t="str">
        <f t="shared" si="53"/>
        <v>127</v>
      </c>
      <c r="AE219">
        <v>71</v>
      </c>
      <c r="AF219" s="3" t="str">
        <f t="shared" si="54"/>
        <v>71</v>
      </c>
      <c r="AG219" t="s">
        <v>25</v>
      </c>
      <c r="AH219" s="3">
        <v>15.41</v>
      </c>
      <c r="AI219" s="3">
        <f t="shared" si="55"/>
        <v>15.41</v>
      </c>
      <c r="AJ219" t="s">
        <v>30</v>
      </c>
      <c r="AK219" t="str">
        <f>PROPER(Table1[[#This Row],[CVD Risk Level]])</f>
        <v>High</v>
      </c>
    </row>
    <row r="220" spans="1:37" x14ac:dyDescent="0.3">
      <c r="A220" t="s">
        <v>20</v>
      </c>
      <c r="B220">
        <v>37</v>
      </c>
      <c r="C220" s="8">
        <f t="shared" si="44"/>
        <v>37</v>
      </c>
      <c r="D220" s="5">
        <v>54.5</v>
      </c>
      <c r="E220" s="8">
        <f t="shared" si="45"/>
        <v>54.5</v>
      </c>
      <c r="F220">
        <v>1.65</v>
      </c>
      <c r="G220" s="3">
        <f t="shared" si="46"/>
        <v>1.65</v>
      </c>
      <c r="H220">
        <v>20</v>
      </c>
      <c r="I220" s="5">
        <f t="shared" si="42"/>
        <v>20</v>
      </c>
      <c r="J220" s="16" t="str">
        <f t="shared" si="47"/>
        <v>Normal</v>
      </c>
      <c r="K220">
        <v>83.1</v>
      </c>
      <c r="L220">
        <v>0.504</v>
      </c>
      <c r="M220" s="11">
        <f t="shared" si="43"/>
        <v>0.504</v>
      </c>
      <c r="N220" s="5">
        <f t="shared" si="48"/>
        <v>83.1</v>
      </c>
      <c r="O220">
        <v>113</v>
      </c>
      <c r="P220">
        <v>33</v>
      </c>
      <c r="Q220" s="8">
        <f t="shared" si="49"/>
        <v>33</v>
      </c>
      <c r="R220" s="8">
        <v>50</v>
      </c>
      <c r="S220" s="8">
        <f t="shared" si="56"/>
        <v>50</v>
      </c>
      <c r="T220" s="8">
        <f>(Table1[[#This Row],[Total Cholesterol (mg/dL)]]+Table1[[#This Row],[HDL (mg/dL)2]]+Table1[[#This Row],[Estimated LDL (mg/dL)2]])*5</f>
        <v>980</v>
      </c>
      <c r="U220" s="8">
        <f>IF(O220="",Table1[[#This Row],[Estimated LDL (mg/dL)2]]+Table1[[#This Row],[HDL (mg/dL)2]]+(Table1[[#This Row],[Triglycerides]]/5),O220)</f>
        <v>113</v>
      </c>
      <c r="V220">
        <v>76</v>
      </c>
      <c r="W220" s="8">
        <f t="shared" si="51"/>
        <v>76</v>
      </c>
      <c r="X220" t="str">
        <f t="shared" si="52"/>
        <v>Normal</v>
      </c>
      <c r="Y220" t="s">
        <v>23</v>
      </c>
      <c r="Z220" t="s">
        <v>22</v>
      </c>
      <c r="AA220" t="s">
        <v>37</v>
      </c>
      <c r="AB220" s="3" t="s">
        <v>64</v>
      </c>
      <c r="AC220">
        <v>97</v>
      </c>
      <c r="AD220" s="3" t="str">
        <f t="shared" si="53"/>
        <v>97</v>
      </c>
      <c r="AE220">
        <v>75</v>
      </c>
      <c r="AF220" s="3" t="str">
        <f t="shared" si="54"/>
        <v>75</v>
      </c>
      <c r="AG220" t="s">
        <v>33</v>
      </c>
      <c r="AH220" s="3">
        <v>11.11</v>
      </c>
      <c r="AI220" s="3">
        <f t="shared" si="55"/>
        <v>11.11</v>
      </c>
      <c r="AJ220" t="s">
        <v>26</v>
      </c>
      <c r="AK220" t="str">
        <f>PROPER(Table1[[#This Row],[CVD Risk Level]])</f>
        <v>Intermediary</v>
      </c>
    </row>
    <row r="221" spans="1:37" x14ac:dyDescent="0.3">
      <c r="A221" t="s">
        <v>20</v>
      </c>
      <c r="B221">
        <v>40</v>
      </c>
      <c r="C221" s="8">
        <f t="shared" si="44"/>
        <v>40</v>
      </c>
      <c r="D221" s="5">
        <v>102</v>
      </c>
      <c r="E221" s="8">
        <f t="shared" si="45"/>
        <v>102</v>
      </c>
      <c r="F221">
        <v>1.63</v>
      </c>
      <c r="G221" s="3">
        <f t="shared" si="46"/>
        <v>1.63</v>
      </c>
      <c r="H221">
        <v>38.4</v>
      </c>
      <c r="I221" s="5">
        <f t="shared" si="42"/>
        <v>38.4</v>
      </c>
      <c r="J221" s="16" t="str">
        <f t="shared" si="47"/>
        <v>Obese</v>
      </c>
      <c r="K221">
        <v>97.1</v>
      </c>
      <c r="L221">
        <v>0.59599999999999997</v>
      </c>
      <c r="M221" s="11">
        <f t="shared" si="43"/>
        <v>0.59599999999999997</v>
      </c>
      <c r="N221" s="5">
        <f t="shared" si="48"/>
        <v>97.1</v>
      </c>
      <c r="O221">
        <v>215</v>
      </c>
      <c r="P221">
        <v>38</v>
      </c>
      <c r="Q221" s="8">
        <f t="shared" si="49"/>
        <v>38</v>
      </c>
      <c r="R221" s="8">
        <v>147</v>
      </c>
      <c r="S221" s="8">
        <f t="shared" si="56"/>
        <v>147</v>
      </c>
      <c r="T221" s="8">
        <f>(Table1[[#This Row],[Total Cholesterol (mg/dL)]]+Table1[[#This Row],[HDL (mg/dL)2]]+Table1[[#This Row],[Estimated LDL (mg/dL)2]])*5</f>
        <v>2000</v>
      </c>
      <c r="U221" s="8">
        <f>IF(O221="",Table1[[#This Row],[Estimated LDL (mg/dL)2]]+Table1[[#This Row],[HDL (mg/dL)2]]+(Table1[[#This Row],[Triglycerides]]/5),O221)</f>
        <v>215</v>
      </c>
      <c r="V221">
        <v>98</v>
      </c>
      <c r="W221" s="8">
        <f t="shared" si="51"/>
        <v>98</v>
      </c>
      <c r="X221" t="str">
        <f t="shared" si="52"/>
        <v>Normal</v>
      </c>
      <c r="Y221" t="s">
        <v>22</v>
      </c>
      <c r="Z221" t="s">
        <v>23</v>
      </c>
      <c r="AA221" t="s">
        <v>24</v>
      </c>
      <c r="AB221" s="3" t="s">
        <v>242</v>
      </c>
      <c r="AC221">
        <v>111</v>
      </c>
      <c r="AD221" s="3" t="str">
        <f t="shared" si="53"/>
        <v>111</v>
      </c>
      <c r="AE221">
        <v>86</v>
      </c>
      <c r="AF221" s="3" t="str">
        <f t="shared" si="54"/>
        <v>86</v>
      </c>
      <c r="AG221" t="s">
        <v>29</v>
      </c>
      <c r="AH221" s="3">
        <v>19.53</v>
      </c>
      <c r="AI221" s="3">
        <f t="shared" si="55"/>
        <v>19.53</v>
      </c>
      <c r="AJ221" t="s">
        <v>30</v>
      </c>
      <c r="AK221" t="str">
        <f>PROPER(Table1[[#This Row],[CVD Risk Level]])</f>
        <v>High</v>
      </c>
    </row>
    <row r="222" spans="1:37" x14ac:dyDescent="0.3">
      <c r="A222" t="s">
        <v>31</v>
      </c>
      <c r="B222">
        <v>49</v>
      </c>
      <c r="C222" s="8">
        <f t="shared" si="44"/>
        <v>49</v>
      </c>
      <c r="D222" s="5">
        <v>114.2</v>
      </c>
      <c r="E222" s="8">
        <f t="shared" si="45"/>
        <v>114.2</v>
      </c>
      <c r="F222">
        <v>1.77</v>
      </c>
      <c r="G222" s="3">
        <f t="shared" si="46"/>
        <v>1.77</v>
      </c>
      <c r="H222">
        <v>36.5</v>
      </c>
      <c r="I222" s="5">
        <f t="shared" si="42"/>
        <v>36.5</v>
      </c>
      <c r="J222" s="16" t="str">
        <f t="shared" si="47"/>
        <v>Obese</v>
      </c>
      <c r="K222">
        <v>78.400000000000006</v>
      </c>
      <c r="L222">
        <v>0.443</v>
      </c>
      <c r="M222" s="11">
        <f t="shared" si="43"/>
        <v>0.443</v>
      </c>
      <c r="N222" s="5">
        <f t="shared" si="48"/>
        <v>78.400000000000006</v>
      </c>
      <c r="O222">
        <v>277</v>
      </c>
      <c r="P222">
        <v>33</v>
      </c>
      <c r="Q222" s="8">
        <f t="shared" si="49"/>
        <v>33</v>
      </c>
      <c r="S222" s="8">
        <f t="shared" si="56"/>
        <v>109</v>
      </c>
      <c r="T222" s="8">
        <f>(Table1[[#This Row],[Total Cholesterol (mg/dL)]]+Table1[[#This Row],[HDL (mg/dL)2]]+Table1[[#This Row],[Estimated LDL (mg/dL)2]])*5</f>
        <v>2095</v>
      </c>
      <c r="U222" s="8">
        <f>IF(O222="",Table1[[#This Row],[Estimated LDL (mg/dL)2]]+Table1[[#This Row],[HDL (mg/dL)2]]+(Table1[[#This Row],[Triglycerides]]/5),O222)</f>
        <v>277</v>
      </c>
      <c r="V222">
        <v>109</v>
      </c>
      <c r="W222" s="8">
        <f t="shared" si="51"/>
        <v>109</v>
      </c>
      <c r="X222" t="str">
        <f t="shared" si="52"/>
        <v>Prediabetes</v>
      </c>
      <c r="Y222" t="s">
        <v>22</v>
      </c>
      <c r="Z222" t="s">
        <v>23</v>
      </c>
      <c r="AA222" t="s">
        <v>28</v>
      </c>
      <c r="AB222" s="3" t="s">
        <v>243</v>
      </c>
      <c r="AC222">
        <v>140</v>
      </c>
      <c r="AD222" s="3" t="str">
        <f t="shared" si="53"/>
        <v>140</v>
      </c>
      <c r="AE222">
        <v>70</v>
      </c>
      <c r="AF222" s="3" t="str">
        <f t="shared" si="54"/>
        <v>70</v>
      </c>
      <c r="AG222" t="s">
        <v>38</v>
      </c>
      <c r="AH222" s="3">
        <v>21.84</v>
      </c>
      <c r="AI222" s="3">
        <f t="shared" si="55"/>
        <v>21.84</v>
      </c>
      <c r="AJ222" t="s">
        <v>30</v>
      </c>
      <c r="AK222" t="str">
        <f>PROPER(Table1[[#This Row],[CVD Risk Level]])</f>
        <v>High</v>
      </c>
    </row>
    <row r="223" spans="1:37" x14ac:dyDescent="0.3">
      <c r="A223" t="s">
        <v>20</v>
      </c>
      <c r="B223">
        <v>50</v>
      </c>
      <c r="C223" s="8">
        <f t="shared" si="44"/>
        <v>50</v>
      </c>
      <c r="D223" s="5">
        <v>94.6</v>
      </c>
      <c r="E223" s="8">
        <f t="shared" si="45"/>
        <v>94.6</v>
      </c>
      <c r="F223">
        <v>1.89</v>
      </c>
      <c r="G223" s="3">
        <f t="shared" si="46"/>
        <v>1.89</v>
      </c>
      <c r="H223">
        <v>26.5</v>
      </c>
      <c r="I223" s="5">
        <f t="shared" si="42"/>
        <v>26.5</v>
      </c>
      <c r="J223" s="16" t="str">
        <f t="shared" si="47"/>
        <v>Overweight</v>
      </c>
      <c r="K223">
        <v>96.7</v>
      </c>
      <c r="L223">
        <v>0.51200000000000001</v>
      </c>
      <c r="M223" s="11">
        <f t="shared" si="43"/>
        <v>0.51200000000000001</v>
      </c>
      <c r="N223" s="5">
        <f t="shared" si="48"/>
        <v>96.7</v>
      </c>
      <c r="P223">
        <v>45</v>
      </c>
      <c r="Q223" s="8">
        <f t="shared" si="49"/>
        <v>45</v>
      </c>
      <c r="R223" s="8">
        <v>144</v>
      </c>
      <c r="S223" s="8">
        <f t="shared" si="56"/>
        <v>144</v>
      </c>
      <c r="T223" s="8">
        <f>(Table1[[#This Row],[Total Cholesterol (mg/dL)]]+Table1[[#This Row],[HDL (mg/dL)2]]+Table1[[#This Row],[Estimated LDL (mg/dL)2]])*5</f>
        <v>945</v>
      </c>
      <c r="U223" s="8">
        <f>IF(O223="",Table1[[#This Row],[Estimated LDL (mg/dL)2]]+Table1[[#This Row],[HDL (mg/dL)2]]+(Table1[[#This Row],[Triglycerides]]/5),O223)</f>
        <v>378</v>
      </c>
      <c r="W223" s="8">
        <f t="shared" si="51"/>
        <v>117.48563611491107</v>
      </c>
      <c r="X223" t="str">
        <f t="shared" si="52"/>
        <v>Prediabetes</v>
      </c>
      <c r="Y223" t="s">
        <v>22</v>
      </c>
      <c r="Z223" t="s">
        <v>23</v>
      </c>
      <c r="AA223" t="s">
        <v>24</v>
      </c>
      <c r="AB223" s="3" t="s">
        <v>244</v>
      </c>
      <c r="AC223">
        <v>96</v>
      </c>
      <c r="AD223" s="3" t="str">
        <f t="shared" si="53"/>
        <v>96</v>
      </c>
      <c r="AE223">
        <v>73</v>
      </c>
      <c r="AF223" s="3" t="str">
        <f t="shared" si="54"/>
        <v>73</v>
      </c>
      <c r="AG223" t="s">
        <v>33</v>
      </c>
      <c r="AH223" s="3">
        <v>16.48</v>
      </c>
      <c r="AI223" s="3">
        <f t="shared" si="55"/>
        <v>16.48</v>
      </c>
      <c r="AJ223" t="s">
        <v>30</v>
      </c>
      <c r="AK223" t="str">
        <f>PROPER(Table1[[#This Row],[CVD Risk Level]])</f>
        <v>High</v>
      </c>
    </row>
    <row r="224" spans="1:37" x14ac:dyDescent="0.3">
      <c r="A224" t="s">
        <v>31</v>
      </c>
      <c r="B224">
        <v>32</v>
      </c>
      <c r="C224" s="8">
        <f t="shared" si="44"/>
        <v>32</v>
      </c>
      <c r="D224" s="5">
        <v>104</v>
      </c>
      <c r="E224" s="8">
        <f t="shared" si="45"/>
        <v>104</v>
      </c>
      <c r="F224">
        <v>1.69</v>
      </c>
      <c r="G224" s="3">
        <f t="shared" si="46"/>
        <v>1.69</v>
      </c>
      <c r="H224">
        <v>36.4</v>
      </c>
      <c r="I224" s="5">
        <f t="shared" si="42"/>
        <v>36.4</v>
      </c>
      <c r="J224" s="16" t="str">
        <f t="shared" si="47"/>
        <v>Obese</v>
      </c>
      <c r="K224">
        <v>105.5</v>
      </c>
      <c r="L224">
        <v>0.624</v>
      </c>
      <c r="M224" s="11">
        <f t="shared" si="43"/>
        <v>0.624</v>
      </c>
      <c r="N224" s="5">
        <f t="shared" si="48"/>
        <v>105.5</v>
      </c>
      <c r="O224">
        <v>148</v>
      </c>
      <c r="P224">
        <v>60</v>
      </c>
      <c r="Q224" s="8">
        <f t="shared" si="49"/>
        <v>60</v>
      </c>
      <c r="R224" s="8">
        <v>58</v>
      </c>
      <c r="S224" s="8">
        <f t="shared" si="56"/>
        <v>58</v>
      </c>
      <c r="T224" s="8">
        <f>(Table1[[#This Row],[Total Cholesterol (mg/dL)]]+Table1[[#This Row],[HDL (mg/dL)2]]+Table1[[#This Row],[Estimated LDL (mg/dL)2]])*5</f>
        <v>1330</v>
      </c>
      <c r="U224" s="8">
        <f>IF(O224="",Table1[[#This Row],[Estimated LDL (mg/dL)2]]+Table1[[#This Row],[HDL (mg/dL)2]]+(Table1[[#This Row],[Triglycerides]]/5),O224)</f>
        <v>148</v>
      </c>
      <c r="V224">
        <v>107</v>
      </c>
      <c r="W224" s="8">
        <f t="shared" si="51"/>
        <v>107</v>
      </c>
      <c r="X224" t="str">
        <f t="shared" si="52"/>
        <v>Prediabetes</v>
      </c>
      <c r="Y224" t="s">
        <v>23</v>
      </c>
      <c r="Z224" t="s">
        <v>23</v>
      </c>
      <c r="AA224" t="s">
        <v>24</v>
      </c>
      <c r="AB224" s="3" t="s">
        <v>245</v>
      </c>
      <c r="AC224">
        <v>143</v>
      </c>
      <c r="AD224" s="3" t="str">
        <f t="shared" si="53"/>
        <v>143</v>
      </c>
      <c r="AE224">
        <v>67</v>
      </c>
      <c r="AF224" s="3" t="str">
        <f t="shared" si="54"/>
        <v>67</v>
      </c>
      <c r="AG224" t="s">
        <v>38</v>
      </c>
      <c r="AH224" s="3">
        <v>19.39</v>
      </c>
      <c r="AI224" s="3">
        <f t="shared" si="55"/>
        <v>19.39</v>
      </c>
      <c r="AJ224" t="s">
        <v>30</v>
      </c>
      <c r="AK224" t="str">
        <f>PROPER(Table1[[#This Row],[CVD Risk Level]])</f>
        <v>High</v>
      </c>
    </row>
    <row r="225" spans="1:37" x14ac:dyDescent="0.3">
      <c r="A225" t="s">
        <v>31</v>
      </c>
      <c r="B225">
        <v>54</v>
      </c>
      <c r="C225" s="8">
        <f t="shared" si="44"/>
        <v>54</v>
      </c>
      <c r="D225" s="5">
        <v>52.9</v>
      </c>
      <c r="E225" s="8">
        <f t="shared" si="45"/>
        <v>52.9</v>
      </c>
      <c r="F225">
        <v>1.7</v>
      </c>
      <c r="G225" s="3">
        <f t="shared" si="46"/>
        <v>1.7</v>
      </c>
      <c r="H225">
        <v>18.3</v>
      </c>
      <c r="I225" s="5">
        <f t="shared" si="42"/>
        <v>18.3</v>
      </c>
      <c r="J225" s="16" t="str">
        <f t="shared" si="47"/>
        <v>Underweight</v>
      </c>
      <c r="L225">
        <v>0.433</v>
      </c>
      <c r="M225" s="11">
        <f t="shared" si="43"/>
        <v>0.433</v>
      </c>
      <c r="N225" s="5">
        <f t="shared" si="48"/>
        <v>73.61</v>
      </c>
      <c r="O225">
        <v>170</v>
      </c>
      <c r="P225">
        <v>41</v>
      </c>
      <c r="Q225" s="8">
        <f t="shared" si="49"/>
        <v>41</v>
      </c>
      <c r="R225" s="8">
        <v>99</v>
      </c>
      <c r="S225" s="8">
        <f t="shared" si="56"/>
        <v>99</v>
      </c>
      <c r="T225" s="8">
        <f>(Table1[[#This Row],[Total Cholesterol (mg/dL)]]+Table1[[#This Row],[HDL (mg/dL)2]]+Table1[[#This Row],[Estimated LDL (mg/dL)2]])*5</f>
        <v>1550</v>
      </c>
      <c r="U225" s="8">
        <f>IF(O225="",Table1[[#This Row],[Estimated LDL (mg/dL)2]]+Table1[[#This Row],[HDL (mg/dL)2]]+(Table1[[#This Row],[Triglycerides]]/5),O225)</f>
        <v>170</v>
      </c>
      <c r="V225">
        <v>118</v>
      </c>
      <c r="W225" s="8">
        <f t="shared" si="51"/>
        <v>118</v>
      </c>
      <c r="X225" t="str">
        <f t="shared" si="52"/>
        <v>Prediabetes</v>
      </c>
      <c r="Y225" t="s">
        <v>23</v>
      </c>
      <c r="Z225" t="s">
        <v>22</v>
      </c>
      <c r="AA225" t="s">
        <v>28</v>
      </c>
      <c r="AB225" s="3" t="s">
        <v>88</v>
      </c>
      <c r="AC225">
        <v>139</v>
      </c>
      <c r="AD225" s="3" t="str">
        <f t="shared" si="53"/>
        <v>139</v>
      </c>
      <c r="AE225">
        <v>66</v>
      </c>
      <c r="AF225" s="3" t="str">
        <f t="shared" si="54"/>
        <v>66</v>
      </c>
      <c r="AG225" t="s">
        <v>29</v>
      </c>
      <c r="AH225" s="3">
        <v>14.01</v>
      </c>
      <c r="AI225" s="3">
        <f t="shared" si="55"/>
        <v>14.01</v>
      </c>
      <c r="AJ225" t="s">
        <v>26</v>
      </c>
      <c r="AK225" t="str">
        <f>PROPER(Table1[[#This Row],[CVD Risk Level]])</f>
        <v>Intermediary</v>
      </c>
    </row>
    <row r="226" spans="1:37" x14ac:dyDescent="0.3">
      <c r="A226" t="s">
        <v>31</v>
      </c>
      <c r="B226">
        <v>30</v>
      </c>
      <c r="C226" s="8">
        <f t="shared" si="44"/>
        <v>30</v>
      </c>
      <c r="D226" s="5">
        <v>82.9</v>
      </c>
      <c r="E226" s="8">
        <f t="shared" si="45"/>
        <v>82.9</v>
      </c>
      <c r="F226">
        <v>1.75</v>
      </c>
      <c r="G226" s="3">
        <f t="shared" si="46"/>
        <v>1.75</v>
      </c>
      <c r="H226">
        <v>27.1</v>
      </c>
      <c r="I226" s="5">
        <f t="shared" si="42"/>
        <v>27.1</v>
      </c>
      <c r="J226" s="16" t="str">
        <f t="shared" si="47"/>
        <v>Overweight</v>
      </c>
      <c r="K226">
        <v>77.3</v>
      </c>
      <c r="M226" s="11">
        <f t="shared" si="43"/>
        <v>0.44171428571428567</v>
      </c>
      <c r="N226" s="5">
        <f t="shared" si="48"/>
        <v>77.3</v>
      </c>
      <c r="O226">
        <v>157</v>
      </c>
      <c r="Q226" s="8">
        <f t="shared" si="49"/>
        <v>56.197377501725327</v>
      </c>
      <c r="R226" s="8">
        <v>73</v>
      </c>
      <c r="S226" s="8">
        <f>IF(R226&lt;=0,MEDIAN($R$2:$R$1530),R226)</f>
        <v>73</v>
      </c>
      <c r="T226" s="8">
        <f>(Table1[[#This Row],[Total Cholesterol (mg/dL)]]+Table1[[#This Row],[HDL (mg/dL)2]]+Table1[[#This Row],[Estimated LDL (mg/dL)2]])*5</f>
        <v>1430.9868875086268</v>
      </c>
      <c r="U226" s="8">
        <f>IF(O226="",Table1[[#This Row],[Estimated LDL (mg/dL)2]]+Table1[[#This Row],[HDL (mg/dL)2]]+(Table1[[#This Row],[Triglycerides]]/5),O226)</f>
        <v>157</v>
      </c>
      <c r="V226">
        <v>141</v>
      </c>
      <c r="W226" s="8">
        <f t="shared" si="51"/>
        <v>141</v>
      </c>
      <c r="X226" t="str">
        <f t="shared" si="52"/>
        <v>Diabetes</v>
      </c>
      <c r="Y226" t="s">
        <v>23</v>
      </c>
      <c r="Z226" t="s">
        <v>23</v>
      </c>
      <c r="AA226" t="s">
        <v>28</v>
      </c>
      <c r="AB226" s="3" t="s">
        <v>246</v>
      </c>
      <c r="AC226">
        <v>148</v>
      </c>
      <c r="AD226" s="3" t="str">
        <f t="shared" si="53"/>
        <v>148</v>
      </c>
      <c r="AE226">
        <v>91</v>
      </c>
      <c r="AF226" s="3" t="str">
        <f t="shared" si="54"/>
        <v>91</v>
      </c>
      <c r="AG226" t="s">
        <v>38</v>
      </c>
      <c r="AH226" s="3">
        <v>17.96</v>
      </c>
      <c r="AI226" s="3">
        <f t="shared" si="55"/>
        <v>17.96</v>
      </c>
      <c r="AJ226" t="s">
        <v>30</v>
      </c>
      <c r="AK226" t="str">
        <f>PROPER(Table1[[#This Row],[CVD Risk Level]])</f>
        <v>High</v>
      </c>
    </row>
    <row r="227" spans="1:37" x14ac:dyDescent="0.3">
      <c r="A227" t="s">
        <v>20</v>
      </c>
      <c r="B227">
        <v>43</v>
      </c>
      <c r="C227" s="8">
        <f t="shared" si="44"/>
        <v>43</v>
      </c>
      <c r="D227" s="5">
        <v>98.2</v>
      </c>
      <c r="E227" s="8">
        <f t="shared" si="45"/>
        <v>98.2</v>
      </c>
      <c r="F227">
        <v>1.74</v>
      </c>
      <c r="G227" s="3">
        <f t="shared" si="46"/>
        <v>1.74</v>
      </c>
      <c r="H227">
        <v>32.4</v>
      </c>
      <c r="I227" s="5">
        <f t="shared" si="42"/>
        <v>32.4</v>
      </c>
      <c r="J227" s="16" t="str">
        <f t="shared" si="47"/>
        <v>Obese</v>
      </c>
      <c r="K227">
        <v>106</v>
      </c>
      <c r="M227" s="11">
        <f t="shared" si="43"/>
        <v>0.60919540229885061</v>
      </c>
      <c r="N227" s="5">
        <f t="shared" si="48"/>
        <v>106</v>
      </c>
      <c r="P227">
        <v>52</v>
      </c>
      <c r="Q227" s="8">
        <f t="shared" si="49"/>
        <v>52</v>
      </c>
      <c r="R227" s="8">
        <v>35</v>
      </c>
      <c r="S227" s="8">
        <f t="shared" si="56"/>
        <v>35</v>
      </c>
      <c r="T227" s="8">
        <f>(Table1[[#This Row],[Total Cholesterol (mg/dL)]]+Table1[[#This Row],[HDL (mg/dL)2]]+Table1[[#This Row],[Estimated LDL (mg/dL)2]])*5</f>
        <v>435</v>
      </c>
      <c r="U227" s="8">
        <f>IF(O227="",Table1[[#This Row],[Estimated LDL (mg/dL)2]]+Table1[[#This Row],[HDL (mg/dL)2]]+(Table1[[#This Row],[Triglycerides]]/5),O227)</f>
        <v>174</v>
      </c>
      <c r="V227">
        <v>113</v>
      </c>
      <c r="W227" s="8">
        <f t="shared" si="51"/>
        <v>113</v>
      </c>
      <c r="X227" t="str">
        <f t="shared" si="52"/>
        <v>Prediabetes</v>
      </c>
      <c r="Y227" t="s">
        <v>23</v>
      </c>
      <c r="Z227" t="s">
        <v>23</v>
      </c>
      <c r="AA227" t="s">
        <v>37</v>
      </c>
      <c r="AB227" s="3" t="s">
        <v>94</v>
      </c>
      <c r="AC227">
        <v>103</v>
      </c>
      <c r="AD227" s="3" t="str">
        <f t="shared" si="53"/>
        <v>103</v>
      </c>
      <c r="AE227">
        <v>98</v>
      </c>
      <c r="AF227" s="3" t="str">
        <f t="shared" si="54"/>
        <v>98</v>
      </c>
      <c r="AG227" t="s">
        <v>38</v>
      </c>
      <c r="AH227" s="3">
        <v>15.97</v>
      </c>
      <c r="AI227" s="3">
        <f t="shared" si="55"/>
        <v>15.97</v>
      </c>
      <c r="AJ227" t="s">
        <v>26</v>
      </c>
      <c r="AK227" t="str">
        <f>PROPER(Table1[[#This Row],[CVD Risk Level]])</f>
        <v>Intermediary</v>
      </c>
    </row>
    <row r="228" spans="1:37" x14ac:dyDescent="0.3">
      <c r="A228" t="s">
        <v>20</v>
      </c>
      <c r="B228">
        <v>34</v>
      </c>
      <c r="C228" s="8">
        <f t="shared" si="44"/>
        <v>34</v>
      </c>
      <c r="D228" s="5">
        <v>93.1</v>
      </c>
      <c r="E228" s="8">
        <f t="shared" si="45"/>
        <v>93.1</v>
      </c>
      <c r="G228" s="3">
        <f t="shared" si="46"/>
        <v>1.8399604738837585</v>
      </c>
      <c r="H228">
        <v>27.5</v>
      </c>
      <c r="I228" s="5">
        <f t="shared" si="42"/>
        <v>27.5</v>
      </c>
      <c r="J228" s="16" t="str">
        <f t="shared" si="47"/>
        <v>Overweight</v>
      </c>
      <c r="K228">
        <v>101.2</v>
      </c>
      <c r="L228">
        <v>0.55000000000000004</v>
      </c>
      <c r="M228" s="11">
        <f t="shared" si="43"/>
        <v>0.55000000000000004</v>
      </c>
      <c r="N228" s="5">
        <f t="shared" si="48"/>
        <v>101.2</v>
      </c>
      <c r="O228">
        <v>165</v>
      </c>
      <c r="P228">
        <v>31</v>
      </c>
      <c r="Q228" s="8">
        <f t="shared" si="49"/>
        <v>31</v>
      </c>
      <c r="R228" s="8">
        <v>104</v>
      </c>
      <c r="S228" s="8">
        <f t="shared" si="56"/>
        <v>104</v>
      </c>
      <c r="T228" s="8">
        <f>(Table1[[#This Row],[Total Cholesterol (mg/dL)]]+Table1[[#This Row],[HDL (mg/dL)2]]+Table1[[#This Row],[Estimated LDL (mg/dL)2]])*5</f>
        <v>1500</v>
      </c>
      <c r="U228" s="8">
        <f>IF(O228="",Table1[[#This Row],[Estimated LDL (mg/dL)2]]+Table1[[#This Row],[HDL (mg/dL)2]]+(Table1[[#This Row],[Triglycerides]]/5),O228)</f>
        <v>165</v>
      </c>
      <c r="V228">
        <v>140</v>
      </c>
      <c r="W228" s="8">
        <f t="shared" si="51"/>
        <v>140</v>
      </c>
      <c r="X228" t="str">
        <f t="shared" si="52"/>
        <v>Diabetes</v>
      </c>
      <c r="Y228" t="s">
        <v>23</v>
      </c>
      <c r="Z228" t="s">
        <v>22</v>
      </c>
      <c r="AA228" t="s">
        <v>37</v>
      </c>
      <c r="AB228" s="3" t="s">
        <v>247</v>
      </c>
      <c r="AC228">
        <v>124</v>
      </c>
      <c r="AD228" s="3" t="str">
        <f t="shared" si="53"/>
        <v>124</v>
      </c>
      <c r="AE228">
        <v>70</v>
      </c>
      <c r="AF228" s="3" t="str">
        <f t="shared" si="54"/>
        <v>70</v>
      </c>
      <c r="AG228" t="s">
        <v>25</v>
      </c>
      <c r="AH228" s="3">
        <v>15</v>
      </c>
      <c r="AI228" s="3">
        <f t="shared" si="55"/>
        <v>15</v>
      </c>
      <c r="AJ228" t="s">
        <v>30</v>
      </c>
      <c r="AK228" t="str">
        <f>PROPER(Table1[[#This Row],[CVD Risk Level]])</f>
        <v>High</v>
      </c>
    </row>
    <row r="229" spans="1:37" x14ac:dyDescent="0.3">
      <c r="A229" t="s">
        <v>31</v>
      </c>
      <c r="B229">
        <v>38</v>
      </c>
      <c r="C229" s="8">
        <f t="shared" si="44"/>
        <v>38</v>
      </c>
      <c r="D229" s="5">
        <v>97</v>
      </c>
      <c r="E229" s="8">
        <f t="shared" si="45"/>
        <v>97</v>
      </c>
      <c r="F229">
        <v>1.66</v>
      </c>
      <c r="G229" s="3">
        <f t="shared" si="46"/>
        <v>1.66</v>
      </c>
      <c r="H229">
        <v>35.200000000000003</v>
      </c>
      <c r="I229" s="5">
        <f t="shared" si="42"/>
        <v>35.200000000000003</v>
      </c>
      <c r="J229" s="16" t="str">
        <f t="shared" si="47"/>
        <v>Obese</v>
      </c>
      <c r="K229">
        <v>86.9</v>
      </c>
      <c r="L229">
        <v>0.52300000000000002</v>
      </c>
      <c r="M229" s="11">
        <f t="shared" si="43"/>
        <v>0.52300000000000002</v>
      </c>
      <c r="N229" s="5">
        <f t="shared" si="48"/>
        <v>86.9</v>
      </c>
      <c r="O229">
        <v>221</v>
      </c>
      <c r="P229">
        <v>41</v>
      </c>
      <c r="Q229" s="8">
        <f t="shared" si="49"/>
        <v>41</v>
      </c>
      <c r="R229" s="8">
        <v>150</v>
      </c>
      <c r="S229" s="8">
        <f t="shared" si="56"/>
        <v>150</v>
      </c>
      <c r="T229" s="8">
        <f>(Table1[[#This Row],[Total Cholesterol (mg/dL)]]+Table1[[#This Row],[HDL (mg/dL)2]]+Table1[[#This Row],[Estimated LDL (mg/dL)2]])*5</f>
        <v>2060</v>
      </c>
      <c r="U229" s="8">
        <f>IF(O229="",Table1[[#This Row],[Estimated LDL (mg/dL)2]]+Table1[[#This Row],[HDL (mg/dL)2]]+(Table1[[#This Row],[Triglycerides]]/5),O229)</f>
        <v>221</v>
      </c>
      <c r="V229">
        <v>83</v>
      </c>
      <c r="W229" s="8">
        <f t="shared" si="51"/>
        <v>83</v>
      </c>
      <c r="X229" t="str">
        <f t="shared" si="52"/>
        <v>Normal</v>
      </c>
      <c r="Y229" t="s">
        <v>22</v>
      </c>
      <c r="Z229" t="s">
        <v>23</v>
      </c>
      <c r="AA229" t="s">
        <v>37</v>
      </c>
      <c r="AB229" s="3" t="s">
        <v>248</v>
      </c>
      <c r="AC229">
        <v>128</v>
      </c>
      <c r="AD229" s="3" t="str">
        <f t="shared" si="53"/>
        <v>128</v>
      </c>
      <c r="AE229">
        <v>81</v>
      </c>
      <c r="AF229" s="3" t="str">
        <f t="shared" si="54"/>
        <v>81</v>
      </c>
      <c r="AG229" t="s">
        <v>29</v>
      </c>
      <c r="AH229" s="3">
        <v>19.86</v>
      </c>
      <c r="AI229" s="3">
        <f t="shared" si="55"/>
        <v>19.86</v>
      </c>
      <c r="AJ229" t="s">
        <v>30</v>
      </c>
      <c r="AK229" t="str">
        <f>PROPER(Table1[[#This Row],[CVD Risk Level]])</f>
        <v>High</v>
      </c>
    </row>
    <row r="230" spans="1:37" x14ac:dyDescent="0.3">
      <c r="A230" t="s">
        <v>31</v>
      </c>
      <c r="B230">
        <v>56</v>
      </c>
      <c r="C230" s="8">
        <f t="shared" si="44"/>
        <v>56</v>
      </c>
      <c r="D230" s="5">
        <v>116.2</v>
      </c>
      <c r="E230" s="8">
        <f t="shared" si="45"/>
        <v>116.2</v>
      </c>
      <c r="F230">
        <v>1.67</v>
      </c>
      <c r="G230" s="3">
        <f t="shared" si="46"/>
        <v>1.67</v>
      </c>
      <c r="H230">
        <v>41.7</v>
      </c>
      <c r="I230" s="5">
        <f t="shared" si="42"/>
        <v>41.7</v>
      </c>
      <c r="J230" s="16" t="str">
        <f t="shared" si="47"/>
        <v>Obese</v>
      </c>
      <c r="K230">
        <v>97.6</v>
      </c>
      <c r="L230">
        <v>0.58399999999999996</v>
      </c>
      <c r="M230" s="11">
        <f t="shared" si="43"/>
        <v>0.58399999999999996</v>
      </c>
      <c r="N230" s="5">
        <f t="shared" si="48"/>
        <v>97.6</v>
      </c>
      <c r="O230">
        <v>173</v>
      </c>
      <c r="P230">
        <v>40</v>
      </c>
      <c r="Q230" s="8">
        <f t="shared" si="49"/>
        <v>40</v>
      </c>
      <c r="R230" s="8">
        <v>103</v>
      </c>
      <c r="S230" s="8">
        <f t="shared" si="56"/>
        <v>103</v>
      </c>
      <c r="T230" s="8">
        <f>(Table1[[#This Row],[Total Cholesterol (mg/dL)]]+Table1[[#This Row],[HDL (mg/dL)2]]+Table1[[#This Row],[Estimated LDL (mg/dL)2]])*5</f>
        <v>1580</v>
      </c>
      <c r="U230" s="8">
        <f>IF(O230="",Table1[[#This Row],[Estimated LDL (mg/dL)2]]+Table1[[#This Row],[HDL (mg/dL)2]]+(Table1[[#This Row],[Triglycerides]]/5),O230)</f>
        <v>173</v>
      </c>
      <c r="V230">
        <v>133</v>
      </c>
      <c r="W230" s="8">
        <f t="shared" si="51"/>
        <v>133</v>
      </c>
      <c r="X230" t="str">
        <f t="shared" si="52"/>
        <v>Diabetes</v>
      </c>
      <c r="Y230" t="s">
        <v>22</v>
      </c>
      <c r="Z230" t="s">
        <v>23</v>
      </c>
      <c r="AA230" t="s">
        <v>28</v>
      </c>
      <c r="AB230" s="3" t="s">
        <v>154</v>
      </c>
      <c r="AC230">
        <v>149</v>
      </c>
      <c r="AD230" s="3" t="str">
        <f t="shared" si="53"/>
        <v>149</v>
      </c>
      <c r="AE230">
        <v>66</v>
      </c>
      <c r="AF230" s="3" t="str">
        <f t="shared" si="54"/>
        <v>66</v>
      </c>
      <c r="AG230" t="s">
        <v>38</v>
      </c>
      <c r="AH230" s="3">
        <v>21.25</v>
      </c>
      <c r="AI230" s="3">
        <f t="shared" si="55"/>
        <v>21.25</v>
      </c>
      <c r="AJ230" t="s">
        <v>26</v>
      </c>
      <c r="AK230" t="str">
        <f>PROPER(Table1[[#This Row],[CVD Risk Level]])</f>
        <v>Intermediary</v>
      </c>
    </row>
    <row r="231" spans="1:37" x14ac:dyDescent="0.3">
      <c r="A231" t="s">
        <v>20</v>
      </c>
      <c r="B231">
        <v>35</v>
      </c>
      <c r="C231" s="8">
        <f t="shared" si="44"/>
        <v>35</v>
      </c>
      <c r="D231" s="5">
        <v>113.3</v>
      </c>
      <c r="E231" s="8">
        <f t="shared" si="45"/>
        <v>113.3</v>
      </c>
      <c r="F231">
        <v>1.78</v>
      </c>
      <c r="G231" s="3">
        <f t="shared" si="46"/>
        <v>1.78</v>
      </c>
      <c r="H231">
        <v>35.799999999999997</v>
      </c>
      <c r="I231" s="5">
        <f t="shared" si="42"/>
        <v>35.799999999999997</v>
      </c>
      <c r="J231" s="16" t="str">
        <f t="shared" si="47"/>
        <v>Obese</v>
      </c>
      <c r="K231">
        <v>79.599999999999994</v>
      </c>
      <c r="L231">
        <v>0.44700000000000001</v>
      </c>
      <c r="M231" s="11">
        <f t="shared" si="43"/>
        <v>0.44700000000000001</v>
      </c>
      <c r="N231" s="5">
        <f t="shared" si="48"/>
        <v>79.599999999999994</v>
      </c>
      <c r="O231">
        <v>158</v>
      </c>
      <c r="P231">
        <v>34</v>
      </c>
      <c r="Q231" s="8">
        <f t="shared" si="49"/>
        <v>34</v>
      </c>
      <c r="R231" s="8">
        <v>94</v>
      </c>
      <c r="S231" s="8">
        <f t="shared" si="56"/>
        <v>94</v>
      </c>
      <c r="T231" s="8">
        <f>(Table1[[#This Row],[Total Cholesterol (mg/dL)]]+Table1[[#This Row],[HDL (mg/dL)2]]+Table1[[#This Row],[Estimated LDL (mg/dL)2]])*5</f>
        <v>1430</v>
      </c>
      <c r="U231" s="8">
        <f>IF(O231="",Table1[[#This Row],[Estimated LDL (mg/dL)2]]+Table1[[#This Row],[HDL (mg/dL)2]]+(Table1[[#This Row],[Triglycerides]]/5),O231)</f>
        <v>158</v>
      </c>
      <c r="V231">
        <v>111</v>
      </c>
      <c r="W231" s="8">
        <f t="shared" si="51"/>
        <v>111</v>
      </c>
      <c r="X231" t="str">
        <f t="shared" si="52"/>
        <v>Prediabetes</v>
      </c>
      <c r="Y231" t="s">
        <v>23</v>
      </c>
      <c r="Z231" t="s">
        <v>22</v>
      </c>
      <c r="AA231" t="s">
        <v>37</v>
      </c>
      <c r="AB231" s="3" t="s">
        <v>249</v>
      </c>
      <c r="AC231">
        <v>92</v>
      </c>
      <c r="AD231" s="3" t="str">
        <f t="shared" si="53"/>
        <v>92</v>
      </c>
      <c r="AE231">
        <v>89</v>
      </c>
      <c r="AF231" s="3" t="str">
        <f t="shared" si="54"/>
        <v>89</v>
      </c>
      <c r="AG231" t="s">
        <v>29</v>
      </c>
      <c r="AH231" s="3">
        <v>14.92</v>
      </c>
      <c r="AI231" s="3">
        <f t="shared" si="55"/>
        <v>14.92</v>
      </c>
      <c r="AJ231" t="s">
        <v>30</v>
      </c>
      <c r="AK231" t="str">
        <f>PROPER(Table1[[#This Row],[CVD Risk Level]])</f>
        <v>High</v>
      </c>
    </row>
    <row r="232" spans="1:37" x14ac:dyDescent="0.3">
      <c r="A232" t="s">
        <v>31</v>
      </c>
      <c r="B232">
        <v>50</v>
      </c>
      <c r="C232" s="8">
        <f t="shared" si="44"/>
        <v>50</v>
      </c>
      <c r="D232" s="5">
        <v>83</v>
      </c>
      <c r="E232" s="8">
        <f t="shared" si="45"/>
        <v>83</v>
      </c>
      <c r="F232">
        <v>1.85</v>
      </c>
      <c r="G232" s="3">
        <f t="shared" si="46"/>
        <v>1.85</v>
      </c>
      <c r="H232">
        <v>24.3</v>
      </c>
      <c r="I232" s="5">
        <f t="shared" si="42"/>
        <v>24.3</v>
      </c>
      <c r="J232" s="16" t="str">
        <f t="shared" si="47"/>
        <v>Normal</v>
      </c>
      <c r="K232">
        <v>91.7</v>
      </c>
      <c r="L232">
        <v>0.496</v>
      </c>
      <c r="M232" s="11">
        <f t="shared" si="43"/>
        <v>0.496</v>
      </c>
      <c r="N232" s="5">
        <f t="shared" si="48"/>
        <v>91.7</v>
      </c>
      <c r="O232">
        <v>279</v>
      </c>
      <c r="P232">
        <v>59</v>
      </c>
      <c r="Q232" s="8">
        <f t="shared" si="49"/>
        <v>59</v>
      </c>
      <c r="R232" s="8">
        <v>190</v>
      </c>
      <c r="S232" s="8">
        <f t="shared" si="56"/>
        <v>190</v>
      </c>
      <c r="T232" s="8">
        <f>(Table1[[#This Row],[Total Cholesterol (mg/dL)]]+Table1[[#This Row],[HDL (mg/dL)2]]+Table1[[#This Row],[Estimated LDL (mg/dL)2]])*5</f>
        <v>2640</v>
      </c>
      <c r="U232" s="8">
        <f>IF(O232="",Table1[[#This Row],[Estimated LDL (mg/dL)2]]+Table1[[#This Row],[HDL (mg/dL)2]]+(Table1[[#This Row],[Triglycerides]]/5),O232)</f>
        <v>279</v>
      </c>
      <c r="V232">
        <v>116</v>
      </c>
      <c r="W232" s="8">
        <f t="shared" si="51"/>
        <v>116</v>
      </c>
      <c r="X232" t="str">
        <f t="shared" si="52"/>
        <v>Prediabetes</v>
      </c>
      <c r="Y232" t="s">
        <v>23</v>
      </c>
      <c r="Z232" t="s">
        <v>23</v>
      </c>
      <c r="AA232" t="s">
        <v>24</v>
      </c>
      <c r="AB232" s="3" t="s">
        <v>250</v>
      </c>
      <c r="AC232">
        <v>141</v>
      </c>
      <c r="AD232" s="3" t="str">
        <f t="shared" si="53"/>
        <v>141</v>
      </c>
      <c r="AE232">
        <v>78</v>
      </c>
      <c r="AF232" s="3" t="str">
        <f t="shared" si="54"/>
        <v>78</v>
      </c>
      <c r="AG232" t="s">
        <v>38</v>
      </c>
      <c r="AH232" s="3">
        <v>19.489999999999998</v>
      </c>
      <c r="AI232" s="3">
        <f t="shared" si="55"/>
        <v>19.489999999999998</v>
      </c>
      <c r="AJ232" t="s">
        <v>30</v>
      </c>
      <c r="AK232" t="str">
        <f>PROPER(Table1[[#This Row],[CVD Risk Level]])</f>
        <v>High</v>
      </c>
    </row>
    <row r="233" spans="1:37" x14ac:dyDescent="0.3">
      <c r="A233" t="s">
        <v>31</v>
      </c>
      <c r="B233">
        <v>46</v>
      </c>
      <c r="C233" s="8">
        <f t="shared" si="44"/>
        <v>46</v>
      </c>
      <c r="D233" s="5">
        <v>78.7</v>
      </c>
      <c r="E233" s="8">
        <f t="shared" si="45"/>
        <v>78.7</v>
      </c>
      <c r="F233">
        <v>1.64</v>
      </c>
      <c r="G233" s="3">
        <f t="shared" si="46"/>
        <v>1.64</v>
      </c>
      <c r="I233" s="5">
        <f t="shared" si="42"/>
        <v>29.260856632956578</v>
      </c>
      <c r="J233" s="16" t="str">
        <f t="shared" si="47"/>
        <v>Overweight</v>
      </c>
      <c r="K233">
        <v>105.5</v>
      </c>
      <c r="L233">
        <v>0.64300000000000002</v>
      </c>
      <c r="M233" s="11">
        <f t="shared" si="43"/>
        <v>0.64300000000000002</v>
      </c>
      <c r="N233" s="5">
        <f t="shared" si="48"/>
        <v>105.5</v>
      </c>
      <c r="O233">
        <v>196</v>
      </c>
      <c r="P233">
        <v>37</v>
      </c>
      <c r="Q233" s="8">
        <f t="shared" si="49"/>
        <v>37</v>
      </c>
      <c r="R233" s="8">
        <v>129</v>
      </c>
      <c r="S233" s="8">
        <f t="shared" si="56"/>
        <v>129</v>
      </c>
      <c r="T233" s="8">
        <f>(Table1[[#This Row],[Total Cholesterol (mg/dL)]]+Table1[[#This Row],[HDL (mg/dL)2]]+Table1[[#This Row],[Estimated LDL (mg/dL)2]])*5</f>
        <v>1810</v>
      </c>
      <c r="U233" s="8">
        <f>IF(O233="",Table1[[#This Row],[Estimated LDL (mg/dL)2]]+Table1[[#This Row],[HDL (mg/dL)2]]+(Table1[[#This Row],[Triglycerides]]/5),O233)</f>
        <v>196</v>
      </c>
      <c r="V233">
        <v>102</v>
      </c>
      <c r="W233" s="8">
        <f t="shared" si="51"/>
        <v>102</v>
      </c>
      <c r="X233" t="str">
        <f t="shared" si="52"/>
        <v>Prediabetes</v>
      </c>
      <c r="Y233" t="s">
        <v>22</v>
      </c>
      <c r="Z233" t="s">
        <v>22</v>
      </c>
      <c r="AA233" t="s">
        <v>28</v>
      </c>
      <c r="AB233" s="3" t="s">
        <v>251</v>
      </c>
      <c r="AC233">
        <v>137</v>
      </c>
      <c r="AD233" s="3" t="str">
        <f t="shared" si="53"/>
        <v>137</v>
      </c>
      <c r="AE233">
        <v>76</v>
      </c>
      <c r="AF233" s="3" t="str">
        <f t="shared" si="54"/>
        <v>76</v>
      </c>
      <c r="AG233" t="s">
        <v>29</v>
      </c>
      <c r="AH233" s="3">
        <v>16.63</v>
      </c>
      <c r="AI233" s="3">
        <f t="shared" si="55"/>
        <v>16.63</v>
      </c>
      <c r="AJ233" t="s">
        <v>30</v>
      </c>
      <c r="AK233" t="str">
        <f>PROPER(Table1[[#This Row],[CVD Risk Level]])</f>
        <v>High</v>
      </c>
    </row>
    <row r="234" spans="1:37" x14ac:dyDescent="0.3">
      <c r="A234" t="s">
        <v>31</v>
      </c>
      <c r="B234">
        <v>52</v>
      </c>
      <c r="C234" s="8">
        <f t="shared" si="44"/>
        <v>52</v>
      </c>
      <c r="D234" s="5">
        <v>108.6</v>
      </c>
      <c r="E234" s="8">
        <f t="shared" si="45"/>
        <v>108.6</v>
      </c>
      <c r="F234">
        <v>1.86</v>
      </c>
      <c r="G234" s="3">
        <f t="shared" si="46"/>
        <v>1.86</v>
      </c>
      <c r="H234">
        <v>31.4</v>
      </c>
      <c r="I234" s="5">
        <f t="shared" si="42"/>
        <v>31.4</v>
      </c>
      <c r="J234" s="16" t="str">
        <f t="shared" si="47"/>
        <v>Obese</v>
      </c>
      <c r="K234">
        <v>93.9</v>
      </c>
      <c r="L234">
        <v>0.505</v>
      </c>
      <c r="M234" s="11">
        <f t="shared" si="43"/>
        <v>0.505</v>
      </c>
      <c r="N234" s="5">
        <f t="shared" si="48"/>
        <v>93.9</v>
      </c>
      <c r="O234">
        <v>109</v>
      </c>
      <c r="P234">
        <v>42</v>
      </c>
      <c r="Q234" s="8">
        <f t="shared" si="49"/>
        <v>42</v>
      </c>
      <c r="S234" s="8">
        <f t="shared" si="56"/>
        <v>109</v>
      </c>
      <c r="T234" s="8">
        <f>(Table1[[#This Row],[Total Cholesterol (mg/dL)]]+Table1[[#This Row],[HDL (mg/dL)2]]+Table1[[#This Row],[Estimated LDL (mg/dL)2]])*5</f>
        <v>1300</v>
      </c>
      <c r="U234" s="8">
        <f>IF(O234="",Table1[[#This Row],[Estimated LDL (mg/dL)2]]+Table1[[#This Row],[HDL (mg/dL)2]]+(Table1[[#This Row],[Triglycerides]]/5),O234)</f>
        <v>109</v>
      </c>
      <c r="V234">
        <v>79</v>
      </c>
      <c r="W234" s="8">
        <f t="shared" si="51"/>
        <v>79</v>
      </c>
      <c r="X234" t="str">
        <f t="shared" si="52"/>
        <v>Normal</v>
      </c>
      <c r="Y234" t="s">
        <v>22</v>
      </c>
      <c r="Z234" t="s">
        <v>23</v>
      </c>
      <c r="AA234" t="s">
        <v>37</v>
      </c>
      <c r="AB234" s="3" t="s">
        <v>252</v>
      </c>
      <c r="AC234">
        <v>133</v>
      </c>
      <c r="AD234" s="3" t="str">
        <f t="shared" si="53"/>
        <v>133</v>
      </c>
      <c r="AE234">
        <v>63</v>
      </c>
      <c r="AF234" s="3" t="str">
        <f t="shared" si="54"/>
        <v>63</v>
      </c>
      <c r="AG234" t="s">
        <v>29</v>
      </c>
      <c r="AH234" s="3">
        <v>17.11</v>
      </c>
      <c r="AI234" s="3">
        <f t="shared" si="55"/>
        <v>17.11</v>
      </c>
      <c r="AJ234" t="s">
        <v>26</v>
      </c>
      <c r="AK234" t="str">
        <f>PROPER(Table1[[#This Row],[CVD Risk Level]])</f>
        <v>Intermediary</v>
      </c>
    </row>
    <row r="235" spans="1:37" x14ac:dyDescent="0.3">
      <c r="A235" t="s">
        <v>20</v>
      </c>
      <c r="B235">
        <v>43</v>
      </c>
      <c r="C235" s="8">
        <f t="shared" si="44"/>
        <v>43</v>
      </c>
      <c r="D235" s="5">
        <v>61</v>
      </c>
      <c r="E235" s="8">
        <f t="shared" si="45"/>
        <v>61</v>
      </c>
      <c r="F235">
        <v>1.73</v>
      </c>
      <c r="G235" s="3">
        <f t="shared" si="46"/>
        <v>1.73</v>
      </c>
      <c r="H235">
        <v>20.399999999999999</v>
      </c>
      <c r="I235" s="5">
        <f t="shared" si="42"/>
        <v>20.399999999999999</v>
      </c>
      <c r="J235" s="16" t="str">
        <f t="shared" si="47"/>
        <v>Normal</v>
      </c>
      <c r="K235">
        <v>79.7</v>
      </c>
      <c r="L235">
        <v>0.46100000000000002</v>
      </c>
      <c r="M235" s="11">
        <f t="shared" si="43"/>
        <v>0.46100000000000002</v>
      </c>
      <c r="N235" s="5">
        <f t="shared" si="48"/>
        <v>79.7</v>
      </c>
      <c r="O235">
        <v>299</v>
      </c>
      <c r="P235">
        <v>79</v>
      </c>
      <c r="Q235" s="8">
        <f t="shared" si="49"/>
        <v>79</v>
      </c>
      <c r="R235" s="8">
        <v>190</v>
      </c>
      <c r="S235" s="8">
        <f t="shared" si="56"/>
        <v>190</v>
      </c>
      <c r="T235" s="8">
        <f>(Table1[[#This Row],[Total Cholesterol (mg/dL)]]+Table1[[#This Row],[HDL (mg/dL)2]]+Table1[[#This Row],[Estimated LDL (mg/dL)2]])*5</f>
        <v>2840</v>
      </c>
      <c r="U235" s="8">
        <f>IF(O235="",Table1[[#This Row],[Estimated LDL (mg/dL)2]]+Table1[[#This Row],[HDL (mg/dL)2]]+(Table1[[#This Row],[Triglycerides]]/5),O235)</f>
        <v>299</v>
      </c>
      <c r="V235">
        <v>130</v>
      </c>
      <c r="W235" s="8">
        <f t="shared" si="51"/>
        <v>130</v>
      </c>
      <c r="X235" t="str">
        <f t="shared" si="52"/>
        <v>Diabetes</v>
      </c>
      <c r="Y235" t="s">
        <v>23</v>
      </c>
      <c r="Z235" t="s">
        <v>22</v>
      </c>
      <c r="AA235" t="s">
        <v>37</v>
      </c>
      <c r="AB235" s="3" t="s">
        <v>253</v>
      </c>
      <c r="AC235">
        <v>131</v>
      </c>
      <c r="AD235" s="3" t="str">
        <f t="shared" si="53"/>
        <v>131</v>
      </c>
      <c r="AE235">
        <v>95</v>
      </c>
      <c r="AF235" s="3" t="str">
        <f t="shared" si="54"/>
        <v>95</v>
      </c>
      <c r="AG235" t="s">
        <v>29</v>
      </c>
      <c r="AH235" s="3">
        <v>16.61</v>
      </c>
      <c r="AI235" s="3">
        <f t="shared" si="55"/>
        <v>16.61</v>
      </c>
      <c r="AJ235" t="s">
        <v>26</v>
      </c>
      <c r="AK235" t="str">
        <f>PROPER(Table1[[#This Row],[CVD Risk Level]])</f>
        <v>Intermediary</v>
      </c>
    </row>
    <row r="236" spans="1:37" x14ac:dyDescent="0.3">
      <c r="A236" t="s">
        <v>20</v>
      </c>
      <c r="B236">
        <v>31</v>
      </c>
      <c r="C236" s="8">
        <f t="shared" si="44"/>
        <v>31</v>
      </c>
      <c r="D236" s="5">
        <v>98.9</v>
      </c>
      <c r="E236" s="8">
        <f t="shared" si="45"/>
        <v>98.9</v>
      </c>
      <c r="G236" s="3">
        <f t="shared" si="46"/>
        <v>1.8096503632155281</v>
      </c>
      <c r="H236">
        <v>30.2</v>
      </c>
      <c r="I236" s="5">
        <f t="shared" si="42"/>
        <v>30.2</v>
      </c>
      <c r="J236" s="16" t="str">
        <f t="shared" si="47"/>
        <v>Obese</v>
      </c>
      <c r="K236">
        <v>77.900000000000006</v>
      </c>
      <c r="M236" s="11">
        <f t="shared" si="43"/>
        <v>0.43046989398317365</v>
      </c>
      <c r="N236" s="5">
        <f t="shared" si="48"/>
        <v>77.900000000000006</v>
      </c>
      <c r="O236">
        <v>174</v>
      </c>
      <c r="P236">
        <v>37</v>
      </c>
      <c r="Q236" s="8">
        <f t="shared" si="49"/>
        <v>37</v>
      </c>
      <c r="R236" s="8">
        <v>107</v>
      </c>
      <c r="S236" s="8">
        <f t="shared" si="56"/>
        <v>107</v>
      </c>
      <c r="T236" s="8">
        <f>(Table1[[#This Row],[Total Cholesterol (mg/dL)]]+Table1[[#This Row],[HDL (mg/dL)2]]+Table1[[#This Row],[Estimated LDL (mg/dL)2]])*5</f>
        <v>1590</v>
      </c>
      <c r="U236" s="8">
        <f>IF(O236="",Table1[[#This Row],[Estimated LDL (mg/dL)2]]+Table1[[#This Row],[HDL (mg/dL)2]]+(Table1[[#This Row],[Triglycerides]]/5),O236)</f>
        <v>174</v>
      </c>
      <c r="V236">
        <v>149</v>
      </c>
      <c r="W236" s="8">
        <f t="shared" si="51"/>
        <v>149</v>
      </c>
      <c r="X236" t="str">
        <f t="shared" si="52"/>
        <v>Diabetes</v>
      </c>
      <c r="Y236" t="s">
        <v>22</v>
      </c>
      <c r="Z236" t="s">
        <v>22</v>
      </c>
      <c r="AA236" t="s">
        <v>24</v>
      </c>
      <c r="AB236" s="3" t="s">
        <v>254</v>
      </c>
      <c r="AC236">
        <v>129</v>
      </c>
      <c r="AD236" s="3" t="str">
        <f t="shared" si="53"/>
        <v>129</v>
      </c>
      <c r="AE236">
        <v>86</v>
      </c>
      <c r="AF236" s="3" t="str">
        <f t="shared" si="54"/>
        <v>86</v>
      </c>
      <c r="AG236" t="s">
        <v>29</v>
      </c>
      <c r="AH236" s="3">
        <v>15.97</v>
      </c>
      <c r="AI236" s="3">
        <f t="shared" si="55"/>
        <v>15.97</v>
      </c>
      <c r="AJ236" t="s">
        <v>30</v>
      </c>
      <c r="AK236" t="str">
        <f>PROPER(Table1[[#This Row],[CVD Risk Level]])</f>
        <v>High</v>
      </c>
    </row>
    <row r="237" spans="1:37" x14ac:dyDescent="0.3">
      <c r="A237" t="s">
        <v>20</v>
      </c>
      <c r="B237">
        <v>32</v>
      </c>
      <c r="C237" s="8">
        <f t="shared" si="44"/>
        <v>32</v>
      </c>
      <c r="D237" s="5">
        <v>55.1</v>
      </c>
      <c r="E237" s="8">
        <f t="shared" si="45"/>
        <v>55.1</v>
      </c>
      <c r="F237">
        <v>1.77</v>
      </c>
      <c r="G237" s="3">
        <f t="shared" si="46"/>
        <v>1.77</v>
      </c>
      <c r="H237">
        <v>17.600000000000001</v>
      </c>
      <c r="I237" s="5">
        <f t="shared" si="42"/>
        <v>17.600000000000001</v>
      </c>
      <c r="J237" s="16" t="str">
        <f t="shared" si="47"/>
        <v>Underweight</v>
      </c>
      <c r="K237">
        <v>109.7</v>
      </c>
      <c r="M237" s="11">
        <f t="shared" si="43"/>
        <v>0.61977401129943499</v>
      </c>
      <c r="N237" s="5">
        <f t="shared" si="48"/>
        <v>109.7</v>
      </c>
      <c r="O237">
        <v>204</v>
      </c>
      <c r="P237">
        <v>68</v>
      </c>
      <c r="Q237" s="8">
        <f t="shared" si="49"/>
        <v>68</v>
      </c>
      <c r="R237" s="8">
        <v>106</v>
      </c>
      <c r="S237" s="8">
        <f t="shared" si="56"/>
        <v>106</v>
      </c>
      <c r="T237" s="8">
        <f>(Table1[[#This Row],[Total Cholesterol (mg/dL)]]+Table1[[#This Row],[HDL (mg/dL)2]]+Table1[[#This Row],[Estimated LDL (mg/dL)2]])*5</f>
        <v>1890</v>
      </c>
      <c r="U237" s="8">
        <f>IF(O237="",Table1[[#This Row],[Estimated LDL (mg/dL)2]]+Table1[[#This Row],[HDL (mg/dL)2]]+(Table1[[#This Row],[Triglycerides]]/5),O237)</f>
        <v>204</v>
      </c>
      <c r="V237">
        <v>137</v>
      </c>
      <c r="W237" s="8">
        <f t="shared" si="51"/>
        <v>137</v>
      </c>
      <c r="X237" t="str">
        <f t="shared" si="52"/>
        <v>Diabetes</v>
      </c>
      <c r="Y237" t="s">
        <v>22</v>
      </c>
      <c r="Z237" t="s">
        <v>22</v>
      </c>
      <c r="AA237" t="s">
        <v>28</v>
      </c>
      <c r="AB237" s="3" t="s">
        <v>255</v>
      </c>
      <c r="AC237">
        <v>119</v>
      </c>
      <c r="AD237" s="3" t="str">
        <f t="shared" si="53"/>
        <v>119</v>
      </c>
      <c r="AE237">
        <v>61</v>
      </c>
      <c r="AF237" s="3" t="str">
        <f t="shared" si="54"/>
        <v>61</v>
      </c>
      <c r="AG237" t="s">
        <v>33</v>
      </c>
      <c r="AH237" s="3">
        <v>13.55</v>
      </c>
      <c r="AI237" s="3">
        <f t="shared" si="55"/>
        <v>13.55</v>
      </c>
      <c r="AJ237" t="s">
        <v>52</v>
      </c>
      <c r="AK237" t="str">
        <f>PROPER(Table1[[#This Row],[CVD Risk Level]])</f>
        <v>Low</v>
      </c>
    </row>
    <row r="238" spans="1:37" x14ac:dyDescent="0.3">
      <c r="A238" t="s">
        <v>31</v>
      </c>
      <c r="B238">
        <v>42</v>
      </c>
      <c r="C238" s="8">
        <f t="shared" si="44"/>
        <v>42</v>
      </c>
      <c r="D238" s="5">
        <v>52.5</v>
      </c>
      <c r="E238" s="8">
        <f t="shared" si="45"/>
        <v>52.5</v>
      </c>
      <c r="F238">
        <v>1.64</v>
      </c>
      <c r="G238" s="3">
        <f t="shared" si="46"/>
        <v>1.64</v>
      </c>
      <c r="H238">
        <v>19.5</v>
      </c>
      <c r="I238" s="5">
        <f t="shared" si="42"/>
        <v>19.5</v>
      </c>
      <c r="J238" s="16" t="str">
        <f t="shared" si="47"/>
        <v>Normal</v>
      </c>
      <c r="K238">
        <v>102.4</v>
      </c>
      <c r="L238">
        <v>0.624</v>
      </c>
      <c r="M238" s="11">
        <f t="shared" si="43"/>
        <v>0.624</v>
      </c>
      <c r="N238" s="5">
        <f t="shared" si="48"/>
        <v>102.4</v>
      </c>
      <c r="O238">
        <v>118</v>
      </c>
      <c r="P238">
        <v>30</v>
      </c>
      <c r="Q238" s="8">
        <f t="shared" si="49"/>
        <v>30</v>
      </c>
      <c r="R238" s="8">
        <v>58</v>
      </c>
      <c r="S238" s="8">
        <f t="shared" si="56"/>
        <v>58</v>
      </c>
      <c r="T238" s="8">
        <f>(Table1[[#This Row],[Total Cholesterol (mg/dL)]]+Table1[[#This Row],[HDL (mg/dL)2]]+Table1[[#This Row],[Estimated LDL (mg/dL)2]])*5</f>
        <v>1030</v>
      </c>
      <c r="U238" s="8">
        <f>IF(O238="",Table1[[#This Row],[Estimated LDL (mg/dL)2]]+Table1[[#This Row],[HDL (mg/dL)2]]+(Table1[[#This Row],[Triglycerides]]/5),O238)</f>
        <v>118</v>
      </c>
      <c r="V238">
        <v>102</v>
      </c>
      <c r="W238" s="8">
        <f t="shared" si="51"/>
        <v>102</v>
      </c>
      <c r="X238" t="str">
        <f t="shared" si="52"/>
        <v>Prediabetes</v>
      </c>
      <c r="Y238" t="s">
        <v>23</v>
      </c>
      <c r="Z238" t="s">
        <v>23</v>
      </c>
      <c r="AA238" t="s">
        <v>28</v>
      </c>
      <c r="AB238" s="3" t="s">
        <v>245</v>
      </c>
      <c r="AC238">
        <v>143</v>
      </c>
      <c r="AD238" s="3" t="str">
        <f t="shared" si="53"/>
        <v>143</v>
      </c>
      <c r="AE238">
        <v>67</v>
      </c>
      <c r="AF238" s="3" t="str">
        <f t="shared" si="54"/>
        <v>67</v>
      </c>
      <c r="AG238" t="s">
        <v>38</v>
      </c>
      <c r="AH238" s="3">
        <v>15.41</v>
      </c>
      <c r="AI238" s="3">
        <f t="shared" si="55"/>
        <v>15.41</v>
      </c>
      <c r="AJ238" t="s">
        <v>30</v>
      </c>
      <c r="AK238" t="str">
        <f>PROPER(Table1[[#This Row],[CVD Risk Level]])</f>
        <v>High</v>
      </c>
    </row>
    <row r="239" spans="1:37" x14ac:dyDescent="0.3">
      <c r="A239" t="s">
        <v>31</v>
      </c>
      <c r="B239">
        <v>38</v>
      </c>
      <c r="C239" s="8">
        <f t="shared" si="44"/>
        <v>38</v>
      </c>
      <c r="D239" s="5">
        <v>105.6</v>
      </c>
      <c r="E239" s="8">
        <f t="shared" si="45"/>
        <v>105.6</v>
      </c>
      <c r="F239">
        <v>1.8</v>
      </c>
      <c r="G239" s="3">
        <f t="shared" si="46"/>
        <v>1.8</v>
      </c>
      <c r="H239">
        <v>32.6</v>
      </c>
      <c r="I239" s="5">
        <f t="shared" si="42"/>
        <v>32.6</v>
      </c>
      <c r="J239" s="16" t="str">
        <f t="shared" si="47"/>
        <v>Obese</v>
      </c>
      <c r="K239">
        <v>71.7</v>
      </c>
      <c r="L239">
        <v>0.39800000000000002</v>
      </c>
      <c r="M239" s="11">
        <f t="shared" si="43"/>
        <v>0.39800000000000002</v>
      </c>
      <c r="N239" s="5">
        <f t="shared" si="48"/>
        <v>71.7</v>
      </c>
      <c r="O239">
        <v>252</v>
      </c>
      <c r="P239">
        <v>48</v>
      </c>
      <c r="Q239" s="8">
        <f t="shared" si="49"/>
        <v>48</v>
      </c>
      <c r="R239" s="8">
        <v>174</v>
      </c>
      <c r="S239" s="8">
        <f t="shared" si="56"/>
        <v>174</v>
      </c>
      <c r="T239" s="8">
        <f>(Table1[[#This Row],[Total Cholesterol (mg/dL)]]+Table1[[#This Row],[HDL (mg/dL)2]]+Table1[[#This Row],[Estimated LDL (mg/dL)2]])*5</f>
        <v>2370</v>
      </c>
      <c r="U239" s="8">
        <f>IF(O239="",Table1[[#This Row],[Estimated LDL (mg/dL)2]]+Table1[[#This Row],[HDL (mg/dL)2]]+(Table1[[#This Row],[Triglycerides]]/5),O239)</f>
        <v>252</v>
      </c>
      <c r="V239">
        <v>134</v>
      </c>
      <c r="W239" s="8">
        <f t="shared" si="51"/>
        <v>134</v>
      </c>
      <c r="X239" t="str">
        <f t="shared" si="52"/>
        <v>Diabetes</v>
      </c>
      <c r="Y239" t="s">
        <v>23</v>
      </c>
      <c r="Z239" t="s">
        <v>23</v>
      </c>
      <c r="AA239" t="s">
        <v>37</v>
      </c>
      <c r="AB239" s="3" t="s">
        <v>256</v>
      </c>
      <c r="AC239">
        <v>127</v>
      </c>
      <c r="AD239" s="3" t="str">
        <f t="shared" si="53"/>
        <v>127</v>
      </c>
      <c r="AE239">
        <v>84</v>
      </c>
      <c r="AF239" s="3" t="str">
        <f t="shared" si="54"/>
        <v>84</v>
      </c>
      <c r="AG239" t="s">
        <v>29</v>
      </c>
      <c r="AH239" s="3">
        <v>19.91</v>
      </c>
      <c r="AI239" s="3">
        <f t="shared" si="55"/>
        <v>19.91</v>
      </c>
      <c r="AJ239" t="s">
        <v>30</v>
      </c>
      <c r="AK239" t="str">
        <f>PROPER(Table1[[#This Row],[CVD Risk Level]])</f>
        <v>High</v>
      </c>
    </row>
    <row r="240" spans="1:37" x14ac:dyDescent="0.3">
      <c r="A240" t="s">
        <v>20</v>
      </c>
      <c r="B240">
        <v>41</v>
      </c>
      <c r="C240" s="8">
        <f t="shared" si="44"/>
        <v>41</v>
      </c>
      <c r="D240" s="5">
        <v>93.6</v>
      </c>
      <c r="E240" s="8">
        <f t="shared" si="45"/>
        <v>93.6</v>
      </c>
      <c r="F240">
        <v>1.71</v>
      </c>
      <c r="G240" s="3">
        <f t="shared" si="46"/>
        <v>1.71</v>
      </c>
      <c r="I240" s="5">
        <f t="shared" si="42"/>
        <v>32.00984918436442</v>
      </c>
      <c r="J240" s="16" t="str">
        <f t="shared" si="47"/>
        <v>Obese</v>
      </c>
      <c r="K240">
        <v>102.7</v>
      </c>
      <c r="L240">
        <v>0.60099999999999998</v>
      </c>
      <c r="M240" s="11">
        <f t="shared" si="43"/>
        <v>0.60099999999999998</v>
      </c>
      <c r="N240" s="5">
        <f t="shared" si="48"/>
        <v>102.7</v>
      </c>
      <c r="O240">
        <v>137</v>
      </c>
      <c r="P240">
        <v>49</v>
      </c>
      <c r="Q240" s="8">
        <f t="shared" si="49"/>
        <v>49</v>
      </c>
      <c r="R240" s="8">
        <v>58</v>
      </c>
      <c r="S240" s="8">
        <f t="shared" si="56"/>
        <v>58</v>
      </c>
      <c r="T240" s="8">
        <f>(Table1[[#This Row],[Total Cholesterol (mg/dL)]]+Table1[[#This Row],[HDL (mg/dL)2]]+Table1[[#This Row],[Estimated LDL (mg/dL)2]])*5</f>
        <v>1220</v>
      </c>
      <c r="U240" s="8">
        <f>IF(O240="",Table1[[#This Row],[Estimated LDL (mg/dL)2]]+Table1[[#This Row],[HDL (mg/dL)2]]+(Table1[[#This Row],[Triglycerides]]/5),O240)</f>
        <v>137</v>
      </c>
      <c r="V240">
        <v>134</v>
      </c>
      <c r="W240" s="8">
        <f t="shared" si="51"/>
        <v>134</v>
      </c>
      <c r="X240" t="str">
        <f t="shared" si="52"/>
        <v>Diabetes</v>
      </c>
      <c r="Y240" t="s">
        <v>23</v>
      </c>
      <c r="Z240" t="s">
        <v>23</v>
      </c>
      <c r="AA240" t="s">
        <v>24</v>
      </c>
      <c r="AB240" s="3" t="s">
        <v>257</v>
      </c>
      <c r="AC240">
        <v>139</v>
      </c>
      <c r="AD240" s="3" t="str">
        <f t="shared" si="53"/>
        <v>139</v>
      </c>
      <c r="AF240" s="3" t="str">
        <f t="shared" si="54"/>
        <v>86</v>
      </c>
      <c r="AG240" t="s">
        <v>29</v>
      </c>
      <c r="AH240" s="3">
        <v>18.09</v>
      </c>
      <c r="AI240" s="3">
        <f t="shared" si="55"/>
        <v>18.09</v>
      </c>
      <c r="AJ240" t="s">
        <v>30</v>
      </c>
      <c r="AK240" t="str">
        <f>PROPER(Table1[[#This Row],[CVD Risk Level]])</f>
        <v>High</v>
      </c>
    </row>
    <row r="241" spans="1:37" x14ac:dyDescent="0.3">
      <c r="A241" t="s">
        <v>31</v>
      </c>
      <c r="B241">
        <v>40</v>
      </c>
      <c r="C241" s="8">
        <f t="shared" si="44"/>
        <v>40</v>
      </c>
      <c r="D241" s="5">
        <v>96.7</v>
      </c>
      <c r="E241" s="8">
        <f t="shared" si="45"/>
        <v>96.7</v>
      </c>
      <c r="F241">
        <v>1.64</v>
      </c>
      <c r="G241" s="3">
        <f t="shared" si="46"/>
        <v>1.64</v>
      </c>
      <c r="H241">
        <v>36</v>
      </c>
      <c r="I241" s="5">
        <f t="shared" si="42"/>
        <v>36</v>
      </c>
      <c r="J241" s="16" t="str">
        <f t="shared" si="47"/>
        <v>Obese</v>
      </c>
      <c r="K241">
        <v>74.5</v>
      </c>
      <c r="L241">
        <v>0.45400000000000001</v>
      </c>
      <c r="M241" s="11">
        <f t="shared" si="43"/>
        <v>0.45400000000000001</v>
      </c>
      <c r="N241" s="5">
        <f t="shared" si="48"/>
        <v>74.5</v>
      </c>
      <c r="O241">
        <v>238</v>
      </c>
      <c r="P241">
        <v>58</v>
      </c>
      <c r="Q241" s="8">
        <f t="shared" si="49"/>
        <v>58</v>
      </c>
      <c r="R241" s="8">
        <v>150</v>
      </c>
      <c r="S241" s="8">
        <f t="shared" si="56"/>
        <v>150</v>
      </c>
      <c r="T241" s="8">
        <f>(Table1[[#This Row],[Total Cholesterol (mg/dL)]]+Table1[[#This Row],[HDL (mg/dL)2]]+Table1[[#This Row],[Estimated LDL (mg/dL)2]])*5</f>
        <v>2230</v>
      </c>
      <c r="U241" s="8">
        <f>IF(O241="",Table1[[#This Row],[Estimated LDL (mg/dL)2]]+Table1[[#This Row],[HDL (mg/dL)2]]+(Table1[[#This Row],[Triglycerides]]/5),O241)</f>
        <v>238</v>
      </c>
      <c r="V241">
        <v>125</v>
      </c>
      <c r="W241" s="8">
        <f t="shared" si="51"/>
        <v>125</v>
      </c>
      <c r="X241" t="str">
        <f t="shared" si="52"/>
        <v>Prediabetes</v>
      </c>
      <c r="Y241" t="s">
        <v>23</v>
      </c>
      <c r="Z241" t="s">
        <v>23</v>
      </c>
      <c r="AA241" t="s">
        <v>28</v>
      </c>
      <c r="AB241" s="3" t="s">
        <v>258</v>
      </c>
      <c r="AC241">
        <v>126</v>
      </c>
      <c r="AD241" s="3" t="str">
        <f t="shared" si="53"/>
        <v>126</v>
      </c>
      <c r="AE241">
        <v>71</v>
      </c>
      <c r="AF241" s="3" t="str">
        <f t="shared" si="54"/>
        <v>71</v>
      </c>
      <c r="AG241" t="s">
        <v>25</v>
      </c>
      <c r="AH241" s="3">
        <v>20.260000000000002</v>
      </c>
      <c r="AI241" s="3">
        <f t="shared" si="55"/>
        <v>20.260000000000002</v>
      </c>
      <c r="AJ241" t="s">
        <v>30</v>
      </c>
      <c r="AK241" t="str">
        <f>PROPER(Table1[[#This Row],[CVD Risk Level]])</f>
        <v>High</v>
      </c>
    </row>
    <row r="242" spans="1:37" x14ac:dyDescent="0.3">
      <c r="A242" t="s">
        <v>31</v>
      </c>
      <c r="B242">
        <v>37</v>
      </c>
      <c r="C242" s="8">
        <f t="shared" si="44"/>
        <v>37</v>
      </c>
      <c r="D242" s="5">
        <v>112.3</v>
      </c>
      <c r="E242" s="8">
        <f t="shared" si="45"/>
        <v>112.3</v>
      </c>
      <c r="F242">
        <v>1.71</v>
      </c>
      <c r="G242" s="3">
        <f t="shared" si="46"/>
        <v>1.71</v>
      </c>
      <c r="H242">
        <v>38.4</v>
      </c>
      <c r="I242" s="5">
        <f t="shared" si="42"/>
        <v>38.4</v>
      </c>
      <c r="J242" s="16" t="str">
        <f t="shared" si="47"/>
        <v>Obese</v>
      </c>
      <c r="K242">
        <v>70.3</v>
      </c>
      <c r="L242">
        <v>0.41099999999999998</v>
      </c>
      <c r="M242" s="11">
        <f t="shared" si="43"/>
        <v>0.41099999999999998</v>
      </c>
      <c r="N242" s="5">
        <f t="shared" si="48"/>
        <v>70.3</v>
      </c>
      <c r="P242">
        <v>34</v>
      </c>
      <c r="Q242" s="8">
        <f t="shared" si="49"/>
        <v>34</v>
      </c>
      <c r="R242" s="8">
        <v>174</v>
      </c>
      <c r="S242" s="8">
        <f t="shared" si="56"/>
        <v>174</v>
      </c>
      <c r="T242" s="8">
        <f>(Table1[[#This Row],[Total Cholesterol (mg/dL)]]+Table1[[#This Row],[HDL (mg/dL)2]]+Table1[[#This Row],[Estimated LDL (mg/dL)2]])*5</f>
        <v>1040</v>
      </c>
      <c r="U242" s="8">
        <f>IF(O242="",Table1[[#This Row],[Estimated LDL (mg/dL)2]]+Table1[[#This Row],[HDL (mg/dL)2]]+(Table1[[#This Row],[Triglycerides]]/5),O242)</f>
        <v>416</v>
      </c>
      <c r="W242" s="8">
        <f t="shared" si="51"/>
        <v>117.48563611491107</v>
      </c>
      <c r="X242" t="str">
        <f t="shared" si="52"/>
        <v>Prediabetes</v>
      </c>
      <c r="Y242" t="s">
        <v>22</v>
      </c>
      <c r="Z242" t="s">
        <v>22</v>
      </c>
      <c r="AA242" t="s">
        <v>24</v>
      </c>
      <c r="AB242" s="3" t="s">
        <v>259</v>
      </c>
      <c r="AC242">
        <v>140</v>
      </c>
      <c r="AD242" s="3" t="str">
        <f t="shared" si="53"/>
        <v>140</v>
      </c>
      <c r="AE242">
        <v>69</v>
      </c>
      <c r="AF242" s="3" t="str">
        <f t="shared" si="54"/>
        <v>69</v>
      </c>
      <c r="AG242" t="s">
        <v>38</v>
      </c>
      <c r="AH242" s="3">
        <v>19.440000000000001</v>
      </c>
      <c r="AI242" s="3">
        <f t="shared" si="55"/>
        <v>19.440000000000001</v>
      </c>
      <c r="AJ242" t="s">
        <v>30</v>
      </c>
      <c r="AK242" t="str">
        <f>PROPER(Table1[[#This Row],[CVD Risk Level]])</f>
        <v>High</v>
      </c>
    </row>
    <row r="243" spans="1:37" x14ac:dyDescent="0.3">
      <c r="A243" t="s">
        <v>20</v>
      </c>
      <c r="C243" s="8">
        <f t="shared" si="44"/>
        <v>47.025499655410059</v>
      </c>
      <c r="D243" s="5">
        <v>94.5</v>
      </c>
      <c r="E243" s="8">
        <f t="shared" si="45"/>
        <v>94.5</v>
      </c>
      <c r="F243">
        <v>1.88</v>
      </c>
      <c r="G243" s="3">
        <f t="shared" si="46"/>
        <v>1.88</v>
      </c>
      <c r="H243">
        <v>26.7</v>
      </c>
      <c r="I243" s="5">
        <f t="shared" si="42"/>
        <v>26.7</v>
      </c>
      <c r="J243" s="16" t="str">
        <f t="shared" si="47"/>
        <v>Overweight</v>
      </c>
      <c r="K243">
        <v>102.6</v>
      </c>
      <c r="L243">
        <v>0.54600000000000004</v>
      </c>
      <c r="M243" s="11">
        <f t="shared" si="43"/>
        <v>0.54600000000000004</v>
      </c>
      <c r="N243" s="5">
        <f t="shared" si="48"/>
        <v>102.6</v>
      </c>
      <c r="O243">
        <v>211</v>
      </c>
      <c r="P243">
        <v>79</v>
      </c>
      <c r="Q243" s="8">
        <f t="shared" si="49"/>
        <v>79</v>
      </c>
      <c r="R243" s="8">
        <v>102</v>
      </c>
      <c r="S243" s="8">
        <f t="shared" si="56"/>
        <v>102</v>
      </c>
      <c r="T243" s="8">
        <f>(Table1[[#This Row],[Total Cholesterol (mg/dL)]]+Table1[[#This Row],[HDL (mg/dL)2]]+Table1[[#This Row],[Estimated LDL (mg/dL)2]])*5</f>
        <v>1960</v>
      </c>
      <c r="U243" s="8">
        <f>IF(O243="",Table1[[#This Row],[Estimated LDL (mg/dL)2]]+Table1[[#This Row],[HDL (mg/dL)2]]+(Table1[[#This Row],[Triglycerides]]/5),O243)</f>
        <v>211</v>
      </c>
      <c r="V243">
        <v>131</v>
      </c>
      <c r="W243" s="8">
        <f t="shared" si="51"/>
        <v>131</v>
      </c>
      <c r="X243" t="str">
        <f t="shared" si="52"/>
        <v>Diabetes</v>
      </c>
      <c r="Y243" t="s">
        <v>23</v>
      </c>
      <c r="Z243" t="s">
        <v>23</v>
      </c>
      <c r="AA243" t="s">
        <v>28</v>
      </c>
      <c r="AB243" s="3" t="s">
        <v>260</v>
      </c>
      <c r="AC243">
        <v>127</v>
      </c>
      <c r="AD243" s="3" t="str">
        <f t="shared" si="53"/>
        <v>127</v>
      </c>
      <c r="AE243">
        <v>91</v>
      </c>
      <c r="AF243" s="3" t="str">
        <f t="shared" si="54"/>
        <v>91</v>
      </c>
      <c r="AG243" t="s">
        <v>38</v>
      </c>
      <c r="AH243" s="3">
        <v>17.91</v>
      </c>
      <c r="AI243" s="3">
        <f t="shared" si="55"/>
        <v>17.91</v>
      </c>
      <c r="AJ243" t="s">
        <v>30</v>
      </c>
      <c r="AK243" t="str">
        <f>PROPER(Table1[[#This Row],[CVD Risk Level]])</f>
        <v>High</v>
      </c>
    </row>
    <row r="244" spans="1:37" x14ac:dyDescent="0.3">
      <c r="A244" t="s">
        <v>31</v>
      </c>
      <c r="B244">
        <v>58</v>
      </c>
      <c r="C244" s="8">
        <f t="shared" si="44"/>
        <v>58</v>
      </c>
      <c r="D244" s="5">
        <v>110.5</v>
      </c>
      <c r="E244" s="8">
        <f t="shared" si="45"/>
        <v>110.5</v>
      </c>
      <c r="F244">
        <v>1.64</v>
      </c>
      <c r="G244" s="3">
        <f t="shared" si="46"/>
        <v>1.64</v>
      </c>
      <c r="H244">
        <v>41.1</v>
      </c>
      <c r="I244" s="5">
        <f t="shared" si="42"/>
        <v>41.1</v>
      </c>
      <c r="J244" s="16" t="str">
        <f t="shared" si="47"/>
        <v>Obese</v>
      </c>
      <c r="K244">
        <v>88.3</v>
      </c>
      <c r="L244">
        <v>0.53800000000000003</v>
      </c>
      <c r="M244" s="11">
        <f t="shared" si="43"/>
        <v>0.53800000000000003</v>
      </c>
      <c r="N244" s="5">
        <f t="shared" si="48"/>
        <v>88.3</v>
      </c>
      <c r="O244">
        <v>119</v>
      </c>
      <c r="P244">
        <v>35</v>
      </c>
      <c r="Q244" s="8">
        <f t="shared" si="49"/>
        <v>35</v>
      </c>
      <c r="R244" s="8">
        <v>54</v>
      </c>
      <c r="S244" s="8">
        <f t="shared" si="56"/>
        <v>54</v>
      </c>
      <c r="T244" s="8">
        <f>(Table1[[#This Row],[Total Cholesterol (mg/dL)]]+Table1[[#This Row],[HDL (mg/dL)2]]+Table1[[#This Row],[Estimated LDL (mg/dL)2]])*5</f>
        <v>1040</v>
      </c>
      <c r="U244" s="8">
        <f>IF(O244="",Table1[[#This Row],[Estimated LDL (mg/dL)2]]+Table1[[#This Row],[HDL (mg/dL)2]]+(Table1[[#This Row],[Triglycerides]]/5),O244)</f>
        <v>119</v>
      </c>
      <c r="V244">
        <v>141</v>
      </c>
      <c r="W244" s="8">
        <f t="shared" si="51"/>
        <v>141</v>
      </c>
      <c r="X244" t="str">
        <f t="shared" si="52"/>
        <v>Diabetes</v>
      </c>
      <c r="Y244" t="s">
        <v>23</v>
      </c>
      <c r="Z244" t="s">
        <v>23</v>
      </c>
      <c r="AA244" t="s">
        <v>37</v>
      </c>
      <c r="AB244" s="3" t="s">
        <v>261</v>
      </c>
      <c r="AC244">
        <v>103</v>
      </c>
      <c r="AD244" s="3" t="str">
        <f t="shared" si="53"/>
        <v>103</v>
      </c>
      <c r="AE244">
        <v>73</v>
      </c>
      <c r="AF244" s="3" t="str">
        <f t="shared" si="54"/>
        <v>73</v>
      </c>
      <c r="AG244" t="s">
        <v>33</v>
      </c>
      <c r="AH244" s="3">
        <v>17.75</v>
      </c>
      <c r="AI244" s="3">
        <f t="shared" si="55"/>
        <v>17.75</v>
      </c>
      <c r="AJ244" t="s">
        <v>30</v>
      </c>
      <c r="AK244" t="str">
        <f>PROPER(Table1[[#This Row],[CVD Risk Level]])</f>
        <v>High</v>
      </c>
    </row>
    <row r="245" spans="1:37" x14ac:dyDescent="0.3">
      <c r="A245" t="s">
        <v>20</v>
      </c>
      <c r="B245">
        <v>42</v>
      </c>
      <c r="C245" s="8">
        <f t="shared" si="44"/>
        <v>42</v>
      </c>
      <c r="D245" s="5">
        <v>77.099999999999994</v>
      </c>
      <c r="E245" s="8">
        <f t="shared" si="45"/>
        <v>77.099999999999994</v>
      </c>
      <c r="F245">
        <v>1.74</v>
      </c>
      <c r="G245" s="3">
        <f t="shared" si="46"/>
        <v>1.74</v>
      </c>
      <c r="H245">
        <v>25.5</v>
      </c>
      <c r="I245" s="5">
        <f t="shared" si="42"/>
        <v>25.5</v>
      </c>
      <c r="J245" s="16" t="str">
        <f t="shared" si="47"/>
        <v>Overweight</v>
      </c>
      <c r="K245">
        <v>107.6</v>
      </c>
      <c r="L245">
        <v>0.61799999999999999</v>
      </c>
      <c r="M245" s="11">
        <f t="shared" si="43"/>
        <v>0.61799999999999999</v>
      </c>
      <c r="N245" s="5">
        <f t="shared" si="48"/>
        <v>107.6</v>
      </c>
      <c r="O245">
        <v>186</v>
      </c>
      <c r="P245">
        <v>66</v>
      </c>
      <c r="Q245" s="8">
        <f t="shared" si="49"/>
        <v>66</v>
      </c>
      <c r="R245" s="8">
        <v>90</v>
      </c>
      <c r="S245" s="8">
        <f t="shared" si="56"/>
        <v>90</v>
      </c>
      <c r="T245" s="8">
        <f>(Table1[[#This Row],[Total Cholesterol (mg/dL)]]+Table1[[#This Row],[HDL (mg/dL)2]]+Table1[[#This Row],[Estimated LDL (mg/dL)2]])*5</f>
        <v>1710</v>
      </c>
      <c r="U245" s="8">
        <f>IF(O245="",Table1[[#This Row],[Estimated LDL (mg/dL)2]]+Table1[[#This Row],[HDL (mg/dL)2]]+(Table1[[#This Row],[Triglycerides]]/5),O245)</f>
        <v>186</v>
      </c>
      <c r="V245">
        <v>143</v>
      </c>
      <c r="W245" s="8">
        <f t="shared" si="51"/>
        <v>143</v>
      </c>
      <c r="X245" t="str">
        <f t="shared" si="52"/>
        <v>Diabetes</v>
      </c>
      <c r="Y245" t="s">
        <v>23</v>
      </c>
      <c r="Z245" t="s">
        <v>22</v>
      </c>
      <c r="AA245" t="s">
        <v>37</v>
      </c>
      <c r="AB245" s="3" t="s">
        <v>262</v>
      </c>
      <c r="AC245">
        <v>126</v>
      </c>
      <c r="AD245" s="3" t="str">
        <f t="shared" si="53"/>
        <v>126</v>
      </c>
      <c r="AE245">
        <v>86</v>
      </c>
      <c r="AF245" s="3" t="str">
        <f t="shared" si="54"/>
        <v>86</v>
      </c>
      <c r="AG245" t="s">
        <v>29</v>
      </c>
      <c r="AH245" s="3">
        <v>15.12</v>
      </c>
      <c r="AI245" s="3">
        <f t="shared" si="55"/>
        <v>15.12</v>
      </c>
      <c r="AJ245" t="s">
        <v>26</v>
      </c>
      <c r="AK245" t="str">
        <f>PROPER(Table1[[#This Row],[CVD Risk Level]])</f>
        <v>Intermediary</v>
      </c>
    </row>
    <row r="246" spans="1:37" x14ac:dyDescent="0.3">
      <c r="A246" t="s">
        <v>20</v>
      </c>
      <c r="B246">
        <v>30</v>
      </c>
      <c r="C246" s="8">
        <f t="shared" si="44"/>
        <v>30</v>
      </c>
      <c r="D246" s="5">
        <v>113.3</v>
      </c>
      <c r="E246" s="8">
        <f t="shared" si="45"/>
        <v>113.3</v>
      </c>
      <c r="F246">
        <v>1.81</v>
      </c>
      <c r="G246" s="3">
        <f t="shared" si="46"/>
        <v>1.81</v>
      </c>
      <c r="H246">
        <v>34.6</v>
      </c>
      <c r="I246" s="5">
        <f t="shared" si="42"/>
        <v>34.6</v>
      </c>
      <c r="J246" s="16" t="str">
        <f t="shared" si="47"/>
        <v>Obese</v>
      </c>
      <c r="L246">
        <v>0.52400000000000002</v>
      </c>
      <c r="M246" s="11">
        <f t="shared" si="43"/>
        <v>0.52400000000000002</v>
      </c>
      <c r="N246" s="5">
        <f t="shared" si="48"/>
        <v>94.844000000000008</v>
      </c>
      <c r="O246">
        <v>160</v>
      </c>
      <c r="P246">
        <v>31</v>
      </c>
      <c r="Q246" s="8">
        <f t="shared" si="49"/>
        <v>31</v>
      </c>
      <c r="R246" s="8">
        <v>99</v>
      </c>
      <c r="S246" s="8">
        <f t="shared" si="56"/>
        <v>99</v>
      </c>
      <c r="T246" s="8">
        <f>(Table1[[#This Row],[Total Cholesterol (mg/dL)]]+Table1[[#This Row],[HDL (mg/dL)2]]+Table1[[#This Row],[Estimated LDL (mg/dL)2]])*5</f>
        <v>1450</v>
      </c>
      <c r="U246" s="8">
        <f>IF(O246="",Table1[[#This Row],[Estimated LDL (mg/dL)2]]+Table1[[#This Row],[HDL (mg/dL)2]]+(Table1[[#This Row],[Triglycerides]]/5),O246)</f>
        <v>160</v>
      </c>
      <c r="V246">
        <v>111</v>
      </c>
      <c r="W246" s="8">
        <f t="shared" si="51"/>
        <v>111</v>
      </c>
      <c r="X246" t="str">
        <f t="shared" si="52"/>
        <v>Prediabetes</v>
      </c>
      <c r="Y246" t="s">
        <v>22</v>
      </c>
      <c r="Z246" t="s">
        <v>23</v>
      </c>
      <c r="AA246" t="s">
        <v>37</v>
      </c>
      <c r="AB246" s="3" t="s">
        <v>263</v>
      </c>
      <c r="AC246">
        <v>150</v>
      </c>
      <c r="AD246" s="3" t="str">
        <f t="shared" si="53"/>
        <v>150</v>
      </c>
      <c r="AE246">
        <v>61</v>
      </c>
      <c r="AF246" s="3" t="str">
        <f t="shared" si="54"/>
        <v>61</v>
      </c>
      <c r="AG246" t="s">
        <v>38</v>
      </c>
      <c r="AH246" s="3">
        <v>19.62</v>
      </c>
      <c r="AI246" s="3">
        <f t="shared" si="55"/>
        <v>19.62</v>
      </c>
      <c r="AJ246" t="s">
        <v>30</v>
      </c>
      <c r="AK246" t="str">
        <f>PROPER(Table1[[#This Row],[CVD Risk Level]])</f>
        <v>High</v>
      </c>
    </row>
    <row r="247" spans="1:37" x14ac:dyDescent="0.3">
      <c r="A247" t="s">
        <v>31</v>
      </c>
      <c r="B247">
        <v>46</v>
      </c>
      <c r="C247" s="8">
        <f t="shared" si="44"/>
        <v>46</v>
      </c>
      <c r="D247" s="5">
        <v>88.6</v>
      </c>
      <c r="E247" s="8">
        <f t="shared" si="45"/>
        <v>88.6</v>
      </c>
      <c r="F247">
        <v>1.64</v>
      </c>
      <c r="G247" s="3">
        <f t="shared" si="46"/>
        <v>1.64</v>
      </c>
      <c r="H247">
        <v>32.9</v>
      </c>
      <c r="I247" s="5">
        <f t="shared" si="42"/>
        <v>32.9</v>
      </c>
      <c r="J247" s="16" t="str">
        <f t="shared" si="47"/>
        <v>Obese</v>
      </c>
      <c r="K247">
        <v>109.5</v>
      </c>
      <c r="L247">
        <v>0.66800000000000004</v>
      </c>
      <c r="M247" s="11">
        <f t="shared" si="43"/>
        <v>0.66800000000000004</v>
      </c>
      <c r="N247" s="5">
        <f t="shared" si="48"/>
        <v>109.5</v>
      </c>
      <c r="O247">
        <v>276</v>
      </c>
      <c r="P247">
        <v>78</v>
      </c>
      <c r="Q247" s="8">
        <f t="shared" si="49"/>
        <v>78</v>
      </c>
      <c r="R247" s="8">
        <v>168</v>
      </c>
      <c r="S247" s="8">
        <f t="shared" si="56"/>
        <v>168</v>
      </c>
      <c r="T247" s="8">
        <f>(Table1[[#This Row],[Total Cholesterol (mg/dL)]]+Table1[[#This Row],[HDL (mg/dL)2]]+Table1[[#This Row],[Estimated LDL (mg/dL)2]])*5</f>
        <v>2610</v>
      </c>
      <c r="U247" s="8">
        <f>IF(O247="",Table1[[#This Row],[Estimated LDL (mg/dL)2]]+Table1[[#This Row],[HDL (mg/dL)2]]+(Table1[[#This Row],[Triglycerides]]/5),O247)</f>
        <v>276</v>
      </c>
      <c r="V247">
        <v>112</v>
      </c>
      <c r="W247" s="8">
        <f t="shared" si="51"/>
        <v>112</v>
      </c>
      <c r="X247" t="str">
        <f t="shared" si="52"/>
        <v>Prediabetes</v>
      </c>
      <c r="Y247" t="s">
        <v>22</v>
      </c>
      <c r="Z247" t="s">
        <v>22</v>
      </c>
      <c r="AA247" t="s">
        <v>28</v>
      </c>
      <c r="AB247" s="3" t="s">
        <v>264</v>
      </c>
      <c r="AC247">
        <v>94</v>
      </c>
      <c r="AD247" s="3" t="str">
        <f t="shared" si="53"/>
        <v>94</v>
      </c>
      <c r="AE247">
        <v>64</v>
      </c>
      <c r="AF247" s="3" t="str">
        <f t="shared" si="54"/>
        <v>64</v>
      </c>
      <c r="AG247" t="s">
        <v>33</v>
      </c>
      <c r="AH247" s="3">
        <v>16.8</v>
      </c>
      <c r="AI247" s="3">
        <f t="shared" si="55"/>
        <v>16.8</v>
      </c>
      <c r="AJ247" t="s">
        <v>30</v>
      </c>
      <c r="AK247" t="str">
        <f>PROPER(Table1[[#This Row],[CVD Risk Level]])</f>
        <v>High</v>
      </c>
    </row>
    <row r="248" spans="1:37" x14ac:dyDescent="0.3">
      <c r="A248" t="s">
        <v>31</v>
      </c>
      <c r="B248">
        <v>31</v>
      </c>
      <c r="C248" s="8">
        <f t="shared" si="44"/>
        <v>31</v>
      </c>
      <c r="D248" s="5">
        <v>91.4</v>
      </c>
      <c r="E248" s="8">
        <f t="shared" si="45"/>
        <v>91.4</v>
      </c>
      <c r="F248">
        <v>1.82</v>
      </c>
      <c r="G248" s="3">
        <f t="shared" si="46"/>
        <v>1.82</v>
      </c>
      <c r="H248">
        <v>27.6</v>
      </c>
      <c r="I248" s="5">
        <f t="shared" si="42"/>
        <v>27.6</v>
      </c>
      <c r="J248" s="16" t="str">
        <f t="shared" si="47"/>
        <v>Overweight</v>
      </c>
      <c r="L248">
        <v>0.55400000000000005</v>
      </c>
      <c r="M248" s="11">
        <f t="shared" si="43"/>
        <v>0.55400000000000005</v>
      </c>
      <c r="N248" s="5">
        <f t="shared" si="48"/>
        <v>100.828</v>
      </c>
      <c r="O248">
        <v>146</v>
      </c>
      <c r="P248">
        <v>80</v>
      </c>
      <c r="Q248" s="8">
        <f t="shared" si="49"/>
        <v>80</v>
      </c>
      <c r="R248" s="8">
        <v>36</v>
      </c>
      <c r="S248" s="8">
        <f t="shared" si="56"/>
        <v>36</v>
      </c>
      <c r="T248" s="8">
        <f>(Table1[[#This Row],[Total Cholesterol (mg/dL)]]+Table1[[#This Row],[HDL (mg/dL)2]]+Table1[[#This Row],[Estimated LDL (mg/dL)2]])*5</f>
        <v>1310</v>
      </c>
      <c r="U248" s="8">
        <f>IF(O248="",Table1[[#This Row],[Estimated LDL (mg/dL)2]]+Table1[[#This Row],[HDL (mg/dL)2]]+(Table1[[#This Row],[Triglycerides]]/5),O248)</f>
        <v>146</v>
      </c>
      <c r="V248">
        <v>112</v>
      </c>
      <c r="W248" s="8">
        <f t="shared" si="51"/>
        <v>112</v>
      </c>
      <c r="X248" t="str">
        <f t="shared" si="52"/>
        <v>Prediabetes</v>
      </c>
      <c r="Y248" t="s">
        <v>23</v>
      </c>
      <c r="Z248" t="s">
        <v>22</v>
      </c>
      <c r="AA248" t="s">
        <v>28</v>
      </c>
      <c r="AB248" s="3" t="s">
        <v>265</v>
      </c>
      <c r="AC248">
        <v>110</v>
      </c>
      <c r="AD248" s="3" t="str">
        <f t="shared" si="53"/>
        <v>110</v>
      </c>
      <c r="AE248">
        <v>92</v>
      </c>
      <c r="AF248" s="3" t="str">
        <f t="shared" si="54"/>
        <v>92</v>
      </c>
      <c r="AG248" t="s">
        <v>38</v>
      </c>
      <c r="AI248" s="3">
        <f t="shared" si="55"/>
        <v>16.960925291295425</v>
      </c>
      <c r="AJ248" t="s">
        <v>26</v>
      </c>
      <c r="AK248" t="str">
        <f>PROPER(Table1[[#This Row],[CVD Risk Level]])</f>
        <v>Intermediary</v>
      </c>
    </row>
    <row r="249" spans="1:37" x14ac:dyDescent="0.3">
      <c r="A249" t="s">
        <v>20</v>
      </c>
      <c r="B249">
        <v>38</v>
      </c>
      <c r="C249" s="8">
        <f t="shared" si="44"/>
        <v>38</v>
      </c>
      <c r="D249" s="5">
        <v>72.900000000000006</v>
      </c>
      <c r="E249" s="8">
        <f t="shared" si="45"/>
        <v>72.900000000000006</v>
      </c>
      <c r="F249">
        <v>1.77</v>
      </c>
      <c r="G249" s="3">
        <f t="shared" si="46"/>
        <v>1.77</v>
      </c>
      <c r="H249">
        <v>23.3</v>
      </c>
      <c r="I249" s="5">
        <f t="shared" si="42"/>
        <v>23.3</v>
      </c>
      <c r="J249" s="16" t="str">
        <f t="shared" si="47"/>
        <v>Normal</v>
      </c>
      <c r="K249">
        <v>70.599999999999994</v>
      </c>
      <c r="L249">
        <v>0.39900000000000002</v>
      </c>
      <c r="M249" s="11">
        <f t="shared" si="43"/>
        <v>0.39900000000000002</v>
      </c>
      <c r="N249" s="5">
        <f t="shared" si="48"/>
        <v>70.599999999999994</v>
      </c>
      <c r="O249">
        <v>124</v>
      </c>
      <c r="P249">
        <v>61</v>
      </c>
      <c r="Q249" s="8">
        <f t="shared" si="49"/>
        <v>61</v>
      </c>
      <c r="R249" s="8">
        <v>33</v>
      </c>
      <c r="S249" s="8">
        <f t="shared" si="56"/>
        <v>33</v>
      </c>
      <c r="T249" s="8">
        <f>(Table1[[#This Row],[Total Cholesterol (mg/dL)]]+Table1[[#This Row],[HDL (mg/dL)2]]+Table1[[#This Row],[Estimated LDL (mg/dL)2]])*5</f>
        <v>1090</v>
      </c>
      <c r="U249" s="8">
        <f>IF(O249="",Table1[[#This Row],[Estimated LDL (mg/dL)2]]+Table1[[#This Row],[HDL (mg/dL)2]]+(Table1[[#This Row],[Triglycerides]]/5),O249)</f>
        <v>124</v>
      </c>
      <c r="V249">
        <v>84</v>
      </c>
      <c r="W249" s="8">
        <f t="shared" si="51"/>
        <v>84</v>
      </c>
      <c r="X249" t="str">
        <f t="shared" si="52"/>
        <v>Normal</v>
      </c>
      <c r="Y249" t="s">
        <v>23</v>
      </c>
      <c r="Z249" t="s">
        <v>22</v>
      </c>
      <c r="AA249" t="s">
        <v>28</v>
      </c>
      <c r="AB249" s="3" t="s">
        <v>266</v>
      </c>
      <c r="AC249">
        <v>98</v>
      </c>
      <c r="AD249" s="3" t="str">
        <f t="shared" si="53"/>
        <v>98</v>
      </c>
      <c r="AE249">
        <v>66</v>
      </c>
      <c r="AF249" s="3" t="str">
        <f t="shared" si="54"/>
        <v>66</v>
      </c>
      <c r="AG249" t="s">
        <v>33</v>
      </c>
      <c r="AH249" s="3">
        <v>12.04</v>
      </c>
      <c r="AI249" s="3">
        <f t="shared" si="55"/>
        <v>12.04</v>
      </c>
      <c r="AJ249" t="s">
        <v>26</v>
      </c>
      <c r="AK249" t="str">
        <f>PROPER(Table1[[#This Row],[CVD Risk Level]])</f>
        <v>Intermediary</v>
      </c>
    </row>
    <row r="250" spans="1:37" x14ac:dyDescent="0.3">
      <c r="A250" t="s">
        <v>31</v>
      </c>
      <c r="C250" s="8">
        <f t="shared" si="44"/>
        <v>47.025499655410059</v>
      </c>
      <c r="D250" s="5">
        <v>91.9</v>
      </c>
      <c r="E250" s="8">
        <f t="shared" si="45"/>
        <v>91.9</v>
      </c>
      <c r="F250">
        <v>1.75</v>
      </c>
      <c r="G250" s="3">
        <f t="shared" si="46"/>
        <v>1.75</v>
      </c>
      <c r="H250">
        <v>30</v>
      </c>
      <c r="I250" s="5">
        <f t="shared" si="42"/>
        <v>30</v>
      </c>
      <c r="J250" s="16" t="str">
        <f t="shared" si="47"/>
        <v>Obese</v>
      </c>
      <c r="K250">
        <v>78.2</v>
      </c>
      <c r="L250">
        <v>0.44700000000000001</v>
      </c>
      <c r="M250" s="11">
        <f t="shared" si="43"/>
        <v>0.44700000000000001</v>
      </c>
      <c r="N250" s="5">
        <f t="shared" si="48"/>
        <v>78.2</v>
      </c>
      <c r="O250">
        <v>185</v>
      </c>
      <c r="P250">
        <v>52</v>
      </c>
      <c r="Q250" s="8">
        <f t="shared" si="49"/>
        <v>52</v>
      </c>
      <c r="R250" s="8">
        <v>103</v>
      </c>
      <c r="S250" s="8">
        <f t="shared" si="56"/>
        <v>103</v>
      </c>
      <c r="T250" s="8">
        <f>(Table1[[#This Row],[Total Cholesterol (mg/dL)]]+Table1[[#This Row],[HDL (mg/dL)2]]+Table1[[#This Row],[Estimated LDL (mg/dL)2]])*5</f>
        <v>1700</v>
      </c>
      <c r="U250" s="8">
        <f>IF(O250="",Table1[[#This Row],[Estimated LDL (mg/dL)2]]+Table1[[#This Row],[HDL (mg/dL)2]]+(Table1[[#This Row],[Triglycerides]]/5),O250)</f>
        <v>185</v>
      </c>
      <c r="V250">
        <v>148</v>
      </c>
      <c r="W250" s="8">
        <f t="shared" si="51"/>
        <v>148</v>
      </c>
      <c r="X250" t="str">
        <f t="shared" si="52"/>
        <v>Diabetes</v>
      </c>
      <c r="Y250" t="s">
        <v>23</v>
      </c>
      <c r="Z250" t="s">
        <v>23</v>
      </c>
      <c r="AA250" t="s">
        <v>24</v>
      </c>
      <c r="AB250" s="3" t="s">
        <v>267</v>
      </c>
      <c r="AC250">
        <v>125</v>
      </c>
      <c r="AD250" s="3" t="str">
        <f t="shared" si="53"/>
        <v>125</v>
      </c>
      <c r="AE250">
        <v>65</v>
      </c>
      <c r="AF250" s="3" t="str">
        <f t="shared" si="54"/>
        <v>65</v>
      </c>
      <c r="AG250" t="s">
        <v>25</v>
      </c>
      <c r="AH250" s="3">
        <v>17.95</v>
      </c>
      <c r="AI250" s="3">
        <f t="shared" si="55"/>
        <v>17.95</v>
      </c>
      <c r="AJ250" t="s">
        <v>30</v>
      </c>
      <c r="AK250" t="str">
        <f>PROPER(Table1[[#This Row],[CVD Risk Level]])</f>
        <v>High</v>
      </c>
    </row>
    <row r="251" spans="1:37" x14ac:dyDescent="0.3">
      <c r="A251" t="s">
        <v>20</v>
      </c>
      <c r="B251">
        <v>48</v>
      </c>
      <c r="C251" s="8">
        <f t="shared" si="44"/>
        <v>48</v>
      </c>
      <c r="D251" s="5">
        <v>102.2</v>
      </c>
      <c r="E251" s="8">
        <f t="shared" si="45"/>
        <v>102.2</v>
      </c>
      <c r="F251">
        <v>1.75</v>
      </c>
      <c r="G251" s="3">
        <f t="shared" si="46"/>
        <v>1.75</v>
      </c>
      <c r="H251">
        <v>33.4</v>
      </c>
      <c r="I251" s="5">
        <f t="shared" si="42"/>
        <v>33.4</v>
      </c>
      <c r="J251" s="16" t="str">
        <f t="shared" si="47"/>
        <v>Obese</v>
      </c>
      <c r="K251">
        <v>106.7</v>
      </c>
      <c r="L251">
        <v>0.61</v>
      </c>
      <c r="M251" s="11">
        <f t="shared" si="43"/>
        <v>0.61</v>
      </c>
      <c r="N251" s="5">
        <f t="shared" si="48"/>
        <v>106.7</v>
      </c>
      <c r="O251">
        <v>207</v>
      </c>
      <c r="P251">
        <v>49</v>
      </c>
      <c r="Q251" s="8">
        <f t="shared" si="49"/>
        <v>49</v>
      </c>
      <c r="R251" s="8">
        <v>128</v>
      </c>
      <c r="S251" s="8">
        <f t="shared" si="56"/>
        <v>128</v>
      </c>
      <c r="T251" s="8">
        <f>(Table1[[#This Row],[Total Cholesterol (mg/dL)]]+Table1[[#This Row],[HDL (mg/dL)2]]+Table1[[#This Row],[Estimated LDL (mg/dL)2]])*5</f>
        <v>1920</v>
      </c>
      <c r="U251" s="8">
        <f>IF(O251="",Table1[[#This Row],[Estimated LDL (mg/dL)2]]+Table1[[#This Row],[HDL (mg/dL)2]]+(Table1[[#This Row],[Triglycerides]]/5),O251)</f>
        <v>207</v>
      </c>
      <c r="V251">
        <v>147</v>
      </c>
      <c r="W251" s="8">
        <f t="shared" si="51"/>
        <v>147</v>
      </c>
      <c r="X251" t="str">
        <f t="shared" si="52"/>
        <v>Diabetes</v>
      </c>
      <c r="Y251" t="s">
        <v>23</v>
      </c>
      <c r="Z251" t="s">
        <v>23</v>
      </c>
      <c r="AA251" t="s">
        <v>24</v>
      </c>
      <c r="AB251" s="3" t="s">
        <v>268</v>
      </c>
      <c r="AC251">
        <v>121</v>
      </c>
      <c r="AD251" s="3" t="str">
        <f t="shared" si="53"/>
        <v>121</v>
      </c>
      <c r="AE251">
        <v>68</v>
      </c>
      <c r="AF251" s="3" t="str">
        <f t="shared" si="54"/>
        <v>68</v>
      </c>
      <c r="AG251" t="s">
        <v>25</v>
      </c>
      <c r="AH251" s="3">
        <v>18.87</v>
      </c>
      <c r="AI251" s="3">
        <f t="shared" si="55"/>
        <v>18.87</v>
      </c>
      <c r="AJ251" t="s">
        <v>30</v>
      </c>
      <c r="AK251" t="str">
        <f>PROPER(Table1[[#This Row],[CVD Risk Level]])</f>
        <v>High</v>
      </c>
    </row>
    <row r="252" spans="1:37" x14ac:dyDescent="0.3">
      <c r="A252" t="s">
        <v>31</v>
      </c>
      <c r="B252">
        <v>39</v>
      </c>
      <c r="C252" s="8">
        <f t="shared" si="44"/>
        <v>39</v>
      </c>
      <c r="D252" s="5">
        <v>54.3</v>
      </c>
      <c r="E252" s="8">
        <f t="shared" si="45"/>
        <v>54.3</v>
      </c>
      <c r="F252">
        <v>1.73</v>
      </c>
      <c r="G252" s="3">
        <f t="shared" si="46"/>
        <v>1.73</v>
      </c>
      <c r="H252">
        <v>18.100000000000001</v>
      </c>
      <c r="I252" s="5">
        <f t="shared" si="42"/>
        <v>18.100000000000001</v>
      </c>
      <c r="J252" s="16" t="str">
        <f t="shared" si="47"/>
        <v>Underweight</v>
      </c>
      <c r="K252">
        <v>98.6</v>
      </c>
      <c r="L252">
        <v>0.56999999999999995</v>
      </c>
      <c r="M252" s="11">
        <f t="shared" si="43"/>
        <v>0.56999999999999995</v>
      </c>
      <c r="N252" s="5">
        <f t="shared" si="48"/>
        <v>98.6</v>
      </c>
      <c r="O252">
        <v>220</v>
      </c>
      <c r="Q252" s="8">
        <f t="shared" si="49"/>
        <v>56.197377501725327</v>
      </c>
      <c r="R252" s="8">
        <v>121</v>
      </c>
      <c r="S252" s="8">
        <f>IF(R252&lt;=0,MEDIAN($R$2:$R$1530),R252)</f>
        <v>121</v>
      </c>
      <c r="T252" s="8">
        <f>(Table1[[#This Row],[Total Cholesterol (mg/dL)]]+Table1[[#This Row],[HDL (mg/dL)2]]+Table1[[#This Row],[Estimated LDL (mg/dL)2]])*5</f>
        <v>1985.9868875086268</v>
      </c>
      <c r="U252" s="8">
        <f>IF(O252="",Table1[[#This Row],[Estimated LDL (mg/dL)2]]+Table1[[#This Row],[HDL (mg/dL)2]]+(Table1[[#This Row],[Triglycerides]]/5),O252)</f>
        <v>220</v>
      </c>
      <c r="V252">
        <v>86</v>
      </c>
      <c r="W252" s="8">
        <f t="shared" si="51"/>
        <v>86</v>
      </c>
      <c r="X252" t="str">
        <f t="shared" si="52"/>
        <v>Normal</v>
      </c>
      <c r="Y252" t="s">
        <v>22</v>
      </c>
      <c r="Z252" t="s">
        <v>22</v>
      </c>
      <c r="AA252" t="s">
        <v>37</v>
      </c>
      <c r="AB252" s="3" t="s">
        <v>269</v>
      </c>
      <c r="AC252">
        <v>133</v>
      </c>
      <c r="AD252" s="3" t="str">
        <f t="shared" si="53"/>
        <v>133</v>
      </c>
      <c r="AE252">
        <v>86</v>
      </c>
      <c r="AF252" s="3" t="str">
        <f t="shared" si="54"/>
        <v>86</v>
      </c>
      <c r="AG252" t="s">
        <v>29</v>
      </c>
      <c r="AH252" s="3">
        <v>14.67</v>
      </c>
      <c r="AI252" s="3">
        <f t="shared" si="55"/>
        <v>14.67</v>
      </c>
      <c r="AJ252" t="s">
        <v>26</v>
      </c>
      <c r="AK252" t="str">
        <f>PROPER(Table1[[#This Row],[CVD Risk Level]])</f>
        <v>Intermediary</v>
      </c>
    </row>
    <row r="253" spans="1:37" x14ac:dyDescent="0.3">
      <c r="A253" t="s">
        <v>31</v>
      </c>
      <c r="B253">
        <v>39</v>
      </c>
      <c r="C253" s="8">
        <f t="shared" si="44"/>
        <v>39</v>
      </c>
      <c r="D253" s="5">
        <v>100.7</v>
      </c>
      <c r="E253" s="8">
        <f t="shared" si="45"/>
        <v>100.7</v>
      </c>
      <c r="F253">
        <v>1.75</v>
      </c>
      <c r="G253" s="3">
        <f t="shared" si="46"/>
        <v>1.75</v>
      </c>
      <c r="H253">
        <v>32.9</v>
      </c>
      <c r="I253" s="5">
        <f t="shared" si="42"/>
        <v>32.9</v>
      </c>
      <c r="J253" s="16" t="str">
        <f t="shared" si="47"/>
        <v>Obese</v>
      </c>
      <c r="K253">
        <v>101.1</v>
      </c>
      <c r="L253">
        <v>0.57799999999999996</v>
      </c>
      <c r="M253" s="11">
        <f t="shared" si="43"/>
        <v>0.57799999999999996</v>
      </c>
      <c r="N253" s="5">
        <f t="shared" si="48"/>
        <v>101.1</v>
      </c>
      <c r="O253">
        <v>192</v>
      </c>
      <c r="P253">
        <v>59</v>
      </c>
      <c r="Q253" s="8">
        <f t="shared" si="49"/>
        <v>59</v>
      </c>
      <c r="R253" s="8">
        <v>103</v>
      </c>
      <c r="S253" s="8">
        <f t="shared" si="56"/>
        <v>103</v>
      </c>
      <c r="T253" s="8">
        <f>(Table1[[#This Row],[Total Cholesterol (mg/dL)]]+Table1[[#This Row],[HDL (mg/dL)2]]+Table1[[#This Row],[Estimated LDL (mg/dL)2]])*5</f>
        <v>1770</v>
      </c>
      <c r="U253" s="8">
        <f>IF(O253="",Table1[[#This Row],[Estimated LDL (mg/dL)2]]+Table1[[#This Row],[HDL (mg/dL)2]]+(Table1[[#This Row],[Triglycerides]]/5),O253)</f>
        <v>192</v>
      </c>
      <c r="V253">
        <v>72</v>
      </c>
      <c r="W253" s="8">
        <f t="shared" si="51"/>
        <v>72</v>
      </c>
      <c r="X253" t="str">
        <f t="shared" si="52"/>
        <v>Normal</v>
      </c>
      <c r="Y253" t="s">
        <v>22</v>
      </c>
      <c r="Z253" t="s">
        <v>22</v>
      </c>
      <c r="AA253" t="s">
        <v>24</v>
      </c>
      <c r="AB253" s="3" t="s">
        <v>270</v>
      </c>
      <c r="AC253">
        <v>101</v>
      </c>
      <c r="AD253" s="3" t="str">
        <f t="shared" si="53"/>
        <v>101</v>
      </c>
      <c r="AE253">
        <v>98</v>
      </c>
      <c r="AF253" s="3" t="str">
        <f t="shared" si="54"/>
        <v>98</v>
      </c>
      <c r="AG253" t="s">
        <v>38</v>
      </c>
      <c r="AH253" s="3">
        <v>15.47</v>
      </c>
      <c r="AI253" s="3">
        <f t="shared" si="55"/>
        <v>15.47</v>
      </c>
      <c r="AJ253" t="s">
        <v>26</v>
      </c>
      <c r="AK253" t="str">
        <f>PROPER(Table1[[#This Row],[CVD Risk Level]])</f>
        <v>Intermediary</v>
      </c>
    </row>
    <row r="254" spans="1:37" x14ac:dyDescent="0.3">
      <c r="A254" t="s">
        <v>20</v>
      </c>
      <c r="B254">
        <v>54</v>
      </c>
      <c r="C254" s="8">
        <f t="shared" si="44"/>
        <v>54</v>
      </c>
      <c r="D254" s="5">
        <v>101.8</v>
      </c>
      <c r="E254" s="8">
        <f t="shared" si="45"/>
        <v>101.8</v>
      </c>
      <c r="F254">
        <v>1.61</v>
      </c>
      <c r="G254" s="3">
        <f t="shared" si="46"/>
        <v>1.61</v>
      </c>
      <c r="H254">
        <v>39.299999999999997</v>
      </c>
      <c r="I254" s="5">
        <f t="shared" si="42"/>
        <v>39.299999999999997</v>
      </c>
      <c r="J254" s="16" t="str">
        <f t="shared" si="47"/>
        <v>Obese</v>
      </c>
      <c r="K254">
        <v>98.5</v>
      </c>
      <c r="L254">
        <v>0.61199999999999999</v>
      </c>
      <c r="M254" s="11">
        <f t="shared" si="43"/>
        <v>0.61199999999999999</v>
      </c>
      <c r="N254" s="5">
        <f t="shared" si="48"/>
        <v>98.5</v>
      </c>
      <c r="O254">
        <v>161</v>
      </c>
      <c r="Q254" s="8">
        <f t="shared" si="49"/>
        <v>56.197377501725327</v>
      </c>
      <c r="R254" s="8">
        <v>58</v>
      </c>
      <c r="S254" s="8">
        <f>IF(R254&lt;=0,MEDIAN($R$2:$R$1530),R254)</f>
        <v>58</v>
      </c>
      <c r="T254" s="8">
        <f>(Table1[[#This Row],[Total Cholesterol (mg/dL)]]+Table1[[#This Row],[HDL (mg/dL)2]]+Table1[[#This Row],[Estimated LDL (mg/dL)2]])*5</f>
        <v>1375.9868875086268</v>
      </c>
      <c r="U254" s="8">
        <f>IF(O254="",Table1[[#This Row],[Estimated LDL (mg/dL)2]]+Table1[[#This Row],[HDL (mg/dL)2]]+(Table1[[#This Row],[Triglycerides]]/5),O254)</f>
        <v>161</v>
      </c>
      <c r="V254">
        <v>108</v>
      </c>
      <c r="W254" s="8">
        <f t="shared" si="51"/>
        <v>108</v>
      </c>
      <c r="X254" t="str">
        <f t="shared" si="52"/>
        <v>Prediabetes</v>
      </c>
      <c r="Y254" t="s">
        <v>22</v>
      </c>
      <c r="Z254" t="s">
        <v>22</v>
      </c>
      <c r="AA254" t="s">
        <v>24</v>
      </c>
      <c r="AB254" s="3" t="s">
        <v>271</v>
      </c>
      <c r="AC254">
        <v>121</v>
      </c>
      <c r="AD254" s="3" t="str">
        <f t="shared" si="53"/>
        <v>121</v>
      </c>
      <c r="AE254">
        <v>100</v>
      </c>
      <c r="AF254" s="3" t="str">
        <f t="shared" si="54"/>
        <v>100</v>
      </c>
      <c r="AG254" t="s">
        <v>38</v>
      </c>
      <c r="AH254" s="3">
        <v>17.13</v>
      </c>
      <c r="AI254" s="3">
        <f t="shared" si="55"/>
        <v>17.13</v>
      </c>
      <c r="AJ254" t="s">
        <v>30</v>
      </c>
      <c r="AK254" t="str">
        <f>PROPER(Table1[[#This Row],[CVD Risk Level]])</f>
        <v>High</v>
      </c>
    </row>
    <row r="255" spans="1:37" x14ac:dyDescent="0.3">
      <c r="A255" t="s">
        <v>20</v>
      </c>
      <c r="B255">
        <v>32</v>
      </c>
      <c r="C255" s="8">
        <f t="shared" si="44"/>
        <v>32</v>
      </c>
      <c r="D255" s="5">
        <v>112.3</v>
      </c>
      <c r="E255" s="8">
        <f t="shared" si="45"/>
        <v>112.3</v>
      </c>
      <c r="F255">
        <v>1.76</v>
      </c>
      <c r="G255" s="3">
        <f t="shared" si="46"/>
        <v>1.76</v>
      </c>
      <c r="H255">
        <v>36.299999999999997</v>
      </c>
      <c r="I255" s="5">
        <f t="shared" si="42"/>
        <v>36.299999999999997</v>
      </c>
      <c r="J255" s="16" t="str">
        <f t="shared" si="47"/>
        <v>Obese</v>
      </c>
      <c r="K255">
        <v>102</v>
      </c>
      <c r="L255">
        <v>0.57999999999999996</v>
      </c>
      <c r="M255" s="11">
        <f t="shared" si="43"/>
        <v>0.57999999999999996</v>
      </c>
      <c r="N255" s="5">
        <f t="shared" si="48"/>
        <v>102</v>
      </c>
      <c r="O255">
        <v>149</v>
      </c>
      <c r="P255">
        <v>59</v>
      </c>
      <c r="Q255" s="8">
        <f t="shared" si="49"/>
        <v>59</v>
      </c>
      <c r="R255" s="8">
        <v>60</v>
      </c>
      <c r="S255" s="8">
        <f t="shared" si="56"/>
        <v>60</v>
      </c>
      <c r="T255" s="8">
        <f>(Table1[[#This Row],[Total Cholesterol (mg/dL)]]+Table1[[#This Row],[HDL (mg/dL)2]]+Table1[[#This Row],[Estimated LDL (mg/dL)2]])*5</f>
        <v>1340</v>
      </c>
      <c r="U255" s="8">
        <f>IF(O255="",Table1[[#This Row],[Estimated LDL (mg/dL)2]]+Table1[[#This Row],[HDL (mg/dL)2]]+(Table1[[#This Row],[Triglycerides]]/5),O255)</f>
        <v>149</v>
      </c>
      <c r="V255">
        <v>103</v>
      </c>
      <c r="W255" s="8">
        <f t="shared" si="51"/>
        <v>103</v>
      </c>
      <c r="X255" t="str">
        <f t="shared" si="52"/>
        <v>Prediabetes</v>
      </c>
      <c r="Y255" t="s">
        <v>22</v>
      </c>
      <c r="Z255" t="s">
        <v>23</v>
      </c>
      <c r="AA255" t="s">
        <v>37</v>
      </c>
      <c r="AB255" s="3" t="s">
        <v>272</v>
      </c>
      <c r="AC255">
        <v>148</v>
      </c>
      <c r="AD255" s="3" t="str">
        <f t="shared" si="53"/>
        <v>148</v>
      </c>
      <c r="AE255">
        <v>96</v>
      </c>
      <c r="AF255" s="3" t="str">
        <f t="shared" si="54"/>
        <v>96</v>
      </c>
      <c r="AG255" t="s">
        <v>38</v>
      </c>
      <c r="AH255" s="3">
        <v>19.64</v>
      </c>
      <c r="AI255" s="3">
        <f t="shared" si="55"/>
        <v>19.64</v>
      </c>
      <c r="AJ255" t="s">
        <v>26</v>
      </c>
      <c r="AK255" t="str">
        <f>PROPER(Table1[[#This Row],[CVD Risk Level]])</f>
        <v>Intermediary</v>
      </c>
    </row>
    <row r="256" spans="1:37" x14ac:dyDescent="0.3">
      <c r="A256" t="s">
        <v>20</v>
      </c>
      <c r="B256">
        <v>40</v>
      </c>
      <c r="C256" s="8">
        <f t="shared" si="44"/>
        <v>40</v>
      </c>
      <c r="D256" s="5">
        <v>110</v>
      </c>
      <c r="E256" s="8">
        <f t="shared" si="45"/>
        <v>110</v>
      </c>
      <c r="F256">
        <v>1.69</v>
      </c>
      <c r="G256" s="3">
        <f t="shared" si="46"/>
        <v>1.69</v>
      </c>
      <c r="H256">
        <v>38.5</v>
      </c>
      <c r="I256" s="5">
        <f t="shared" si="42"/>
        <v>38.5</v>
      </c>
      <c r="J256" s="16" t="str">
        <f t="shared" si="47"/>
        <v>Obese</v>
      </c>
      <c r="K256">
        <v>85.6</v>
      </c>
      <c r="L256">
        <v>0.50700000000000001</v>
      </c>
      <c r="M256" s="11">
        <f t="shared" si="43"/>
        <v>0.50700000000000001</v>
      </c>
      <c r="N256" s="5">
        <f t="shared" si="48"/>
        <v>85.6</v>
      </c>
      <c r="O256">
        <v>101</v>
      </c>
      <c r="P256">
        <v>40</v>
      </c>
      <c r="Q256" s="8">
        <f t="shared" si="49"/>
        <v>40</v>
      </c>
      <c r="R256" s="8">
        <v>31</v>
      </c>
      <c r="S256" s="8">
        <f t="shared" si="56"/>
        <v>31</v>
      </c>
      <c r="T256" s="8">
        <f>(Table1[[#This Row],[Total Cholesterol (mg/dL)]]+Table1[[#This Row],[HDL (mg/dL)2]]+Table1[[#This Row],[Estimated LDL (mg/dL)2]])*5</f>
        <v>860</v>
      </c>
      <c r="U256" s="8">
        <f>IF(O256="",Table1[[#This Row],[Estimated LDL (mg/dL)2]]+Table1[[#This Row],[HDL (mg/dL)2]]+(Table1[[#This Row],[Triglycerides]]/5),O256)</f>
        <v>101</v>
      </c>
      <c r="V256">
        <v>105</v>
      </c>
      <c r="W256" s="8">
        <f t="shared" si="51"/>
        <v>105</v>
      </c>
      <c r="X256" t="str">
        <f t="shared" si="52"/>
        <v>Prediabetes</v>
      </c>
      <c r="Y256" t="s">
        <v>23</v>
      </c>
      <c r="Z256" t="s">
        <v>23</v>
      </c>
      <c r="AA256" t="s">
        <v>24</v>
      </c>
      <c r="AB256" s="3" t="s">
        <v>273</v>
      </c>
      <c r="AC256">
        <v>100</v>
      </c>
      <c r="AD256" s="3" t="str">
        <f t="shared" si="53"/>
        <v>100</v>
      </c>
      <c r="AE256">
        <v>62</v>
      </c>
      <c r="AF256" s="3" t="str">
        <f t="shared" si="54"/>
        <v>62</v>
      </c>
      <c r="AG256" t="s">
        <v>33</v>
      </c>
      <c r="AH256" s="3">
        <v>16.72</v>
      </c>
      <c r="AI256" s="3">
        <f t="shared" si="55"/>
        <v>16.72</v>
      </c>
      <c r="AJ256" t="s">
        <v>30</v>
      </c>
      <c r="AK256" t="str">
        <f>PROPER(Table1[[#This Row],[CVD Risk Level]])</f>
        <v>High</v>
      </c>
    </row>
    <row r="257" spans="1:37" x14ac:dyDescent="0.3">
      <c r="A257" t="s">
        <v>31</v>
      </c>
      <c r="B257">
        <v>38</v>
      </c>
      <c r="C257" s="8">
        <f t="shared" si="44"/>
        <v>38</v>
      </c>
      <c r="D257" s="5">
        <v>60.6</v>
      </c>
      <c r="E257" s="8">
        <f t="shared" si="45"/>
        <v>60.6</v>
      </c>
      <c r="F257">
        <v>1.68</v>
      </c>
      <c r="G257" s="3">
        <f t="shared" si="46"/>
        <v>1.68</v>
      </c>
      <c r="H257">
        <v>21.5</v>
      </c>
      <c r="I257" s="5">
        <f t="shared" si="42"/>
        <v>21.5</v>
      </c>
      <c r="J257" s="16" t="str">
        <f t="shared" si="47"/>
        <v>Normal</v>
      </c>
      <c r="K257">
        <v>105.2</v>
      </c>
      <c r="L257">
        <v>0.626</v>
      </c>
      <c r="M257" s="11">
        <f t="shared" si="43"/>
        <v>0.626</v>
      </c>
      <c r="N257" s="5">
        <f t="shared" si="48"/>
        <v>105.2</v>
      </c>
      <c r="P257">
        <v>75</v>
      </c>
      <c r="Q257" s="8">
        <f t="shared" si="49"/>
        <v>75</v>
      </c>
      <c r="R257" s="8">
        <v>48</v>
      </c>
      <c r="S257" s="8">
        <f t="shared" si="56"/>
        <v>48</v>
      </c>
      <c r="T257" s="8">
        <f>(Table1[[#This Row],[Total Cholesterol (mg/dL)]]+Table1[[#This Row],[HDL (mg/dL)2]]+Table1[[#This Row],[Estimated LDL (mg/dL)2]])*5</f>
        <v>615</v>
      </c>
      <c r="U257" s="8">
        <f>IF(O257="",Table1[[#This Row],[Estimated LDL (mg/dL)2]]+Table1[[#This Row],[HDL (mg/dL)2]]+(Table1[[#This Row],[Triglycerides]]/5),O257)</f>
        <v>246</v>
      </c>
      <c r="V257">
        <v>107</v>
      </c>
      <c r="W257" s="8">
        <f t="shared" si="51"/>
        <v>107</v>
      </c>
      <c r="X257" t="str">
        <f t="shared" si="52"/>
        <v>Prediabetes</v>
      </c>
      <c r="Y257" t="s">
        <v>23</v>
      </c>
      <c r="Z257" t="s">
        <v>23</v>
      </c>
      <c r="AA257" t="s">
        <v>28</v>
      </c>
      <c r="AB257" s="3" t="s">
        <v>274</v>
      </c>
      <c r="AC257">
        <v>103</v>
      </c>
      <c r="AD257" s="3" t="str">
        <f t="shared" si="53"/>
        <v>103</v>
      </c>
      <c r="AE257">
        <v>82</v>
      </c>
      <c r="AF257" s="3" t="str">
        <f t="shared" si="54"/>
        <v>82</v>
      </c>
      <c r="AG257" t="s">
        <v>29</v>
      </c>
      <c r="AH257" s="3">
        <v>14.51</v>
      </c>
      <c r="AI257" s="3">
        <f t="shared" si="55"/>
        <v>14.51</v>
      </c>
      <c r="AJ257" t="s">
        <v>26</v>
      </c>
      <c r="AK257" t="str">
        <f>PROPER(Table1[[#This Row],[CVD Risk Level]])</f>
        <v>Intermediary</v>
      </c>
    </row>
    <row r="258" spans="1:37" x14ac:dyDescent="0.3">
      <c r="A258" t="s">
        <v>20</v>
      </c>
      <c r="B258">
        <v>57</v>
      </c>
      <c r="C258" s="8">
        <f t="shared" si="44"/>
        <v>57</v>
      </c>
      <c r="D258" s="5">
        <v>100.8</v>
      </c>
      <c r="E258" s="8">
        <f t="shared" si="45"/>
        <v>100.8</v>
      </c>
      <c r="F258">
        <v>1.84</v>
      </c>
      <c r="G258" s="3">
        <f t="shared" si="46"/>
        <v>1.84</v>
      </c>
      <c r="H258">
        <v>29.8</v>
      </c>
      <c r="I258" s="5">
        <f t="shared" ref="I258:I321" si="57" xml:space="preserve"> IF(H258="",E258 / (G258^2),H258)</f>
        <v>29.8</v>
      </c>
      <c r="J258" s="16" t="str">
        <f t="shared" si="47"/>
        <v>Overweight</v>
      </c>
      <c r="K258">
        <v>88.4</v>
      </c>
      <c r="L258">
        <v>0.48</v>
      </c>
      <c r="M258" s="11">
        <f t="shared" ref="M258:M321" si="58">IF(L258="",K258/(G258*100),L258)</f>
        <v>0.48</v>
      </c>
      <c r="N258" s="5">
        <f t="shared" si="48"/>
        <v>88.4</v>
      </c>
      <c r="O258">
        <v>102</v>
      </c>
      <c r="P258">
        <v>33</v>
      </c>
      <c r="Q258" s="8">
        <f t="shared" si="49"/>
        <v>33</v>
      </c>
      <c r="R258" s="8">
        <v>39</v>
      </c>
      <c r="S258" s="8">
        <f t="shared" si="56"/>
        <v>39</v>
      </c>
      <c r="T258" s="8">
        <f>(Table1[[#This Row],[Total Cholesterol (mg/dL)]]+Table1[[#This Row],[HDL (mg/dL)2]]+Table1[[#This Row],[Estimated LDL (mg/dL)2]])*5</f>
        <v>870</v>
      </c>
      <c r="U258" s="8">
        <f>IF(O258="",Table1[[#This Row],[Estimated LDL (mg/dL)2]]+Table1[[#This Row],[HDL (mg/dL)2]]+(Table1[[#This Row],[Triglycerides]]/5),O258)</f>
        <v>102</v>
      </c>
      <c r="V258">
        <v>128</v>
      </c>
      <c r="W258" s="8">
        <f t="shared" si="51"/>
        <v>128</v>
      </c>
      <c r="X258" t="str">
        <f t="shared" si="52"/>
        <v>Diabetes</v>
      </c>
      <c r="Y258" t="s">
        <v>23</v>
      </c>
      <c r="Z258" t="s">
        <v>23</v>
      </c>
      <c r="AA258" t="s">
        <v>28</v>
      </c>
      <c r="AB258" s="3" t="s">
        <v>275</v>
      </c>
      <c r="AC258">
        <v>110</v>
      </c>
      <c r="AD258" s="3" t="str">
        <f t="shared" si="53"/>
        <v>110</v>
      </c>
      <c r="AE258">
        <v>78</v>
      </c>
      <c r="AF258" s="3" t="str">
        <f t="shared" si="54"/>
        <v>78</v>
      </c>
      <c r="AG258" t="s">
        <v>33</v>
      </c>
      <c r="AH258" s="3">
        <v>15.5</v>
      </c>
      <c r="AI258" s="3">
        <f t="shared" si="55"/>
        <v>15.5</v>
      </c>
      <c r="AJ258" t="s">
        <v>30</v>
      </c>
      <c r="AK258" t="str">
        <f>PROPER(Table1[[#This Row],[CVD Risk Level]])</f>
        <v>High</v>
      </c>
    </row>
    <row r="259" spans="1:37" x14ac:dyDescent="0.3">
      <c r="A259" t="s">
        <v>31</v>
      </c>
      <c r="B259">
        <v>38</v>
      </c>
      <c r="C259" s="8">
        <f t="shared" ref="C259:C322" si="59">IF(B259="",AVERAGE($B$2:$B$1530),B259)</f>
        <v>38</v>
      </c>
      <c r="D259" s="5">
        <v>103.8</v>
      </c>
      <c r="E259" s="8">
        <f t="shared" ref="E259:E322" si="60">IF(D259="", H259*(F259^2),D259)</f>
        <v>103.8</v>
      </c>
      <c r="F259">
        <v>1.65</v>
      </c>
      <c r="G259" s="3">
        <f t="shared" ref="G259:G322" si="61">IF(F259="", SQRT(E259 / H259),F259)</f>
        <v>1.65</v>
      </c>
      <c r="H259">
        <v>38.1</v>
      </c>
      <c r="I259" s="5">
        <f t="shared" si="57"/>
        <v>38.1</v>
      </c>
      <c r="J259" s="16" t="str">
        <f t="shared" ref="J259:J322" si="62">IF(I259&lt;18.5,"Underweight",IF(I259&lt;25,"Normal",IF(I259&lt;30,"Overweight","Obese")))</f>
        <v>Obese</v>
      </c>
      <c r="K259">
        <v>101.7</v>
      </c>
      <c r="L259">
        <v>0.61599999999999999</v>
      </c>
      <c r="M259" s="11">
        <f t="shared" si="58"/>
        <v>0.61599999999999999</v>
      </c>
      <c r="N259" s="5">
        <f t="shared" ref="N259:N322" si="63">IF(K259="",M259*(G259*100),K259)</f>
        <v>101.7</v>
      </c>
      <c r="O259">
        <v>177</v>
      </c>
      <c r="Q259" s="8">
        <f t="shared" ref="Q259:Q322" si="64">IF(P259="",AVERAGE($P$2:$P$1530),P259)</f>
        <v>56.197377501725327</v>
      </c>
      <c r="R259" s="8">
        <v>89</v>
      </c>
      <c r="S259" s="8">
        <f>IF(R259&lt;=0,MEDIAN($R$2:$R$1530),R259)</f>
        <v>89</v>
      </c>
      <c r="T259" s="8">
        <f>(Table1[[#This Row],[Total Cholesterol (mg/dL)]]+Table1[[#This Row],[HDL (mg/dL)2]]+Table1[[#This Row],[Estimated LDL (mg/dL)2]])*5</f>
        <v>1610.9868875086268</v>
      </c>
      <c r="U259" s="8">
        <f>IF(O259="",Table1[[#This Row],[Estimated LDL (mg/dL)2]]+Table1[[#This Row],[HDL (mg/dL)2]]+(Table1[[#This Row],[Triglycerides]]/5),O259)</f>
        <v>177</v>
      </c>
      <c r="V259">
        <v>131</v>
      </c>
      <c r="W259" s="8">
        <f t="shared" ref="W259:W322" si="65">IF(V259="",AVERAGE($V$2:$V$1530),V259)</f>
        <v>131</v>
      </c>
      <c r="X259" t="str">
        <f t="shared" ref="X259:X322" si="66">IF(W259&lt;100,"Normal",IF(W259&lt;126,"Prediabetes","Diabetes"))</f>
        <v>Diabetes</v>
      </c>
      <c r="Y259" t="s">
        <v>23</v>
      </c>
      <c r="Z259" t="s">
        <v>22</v>
      </c>
      <c r="AA259" t="s">
        <v>28</v>
      </c>
      <c r="AB259" s="3" t="s">
        <v>276</v>
      </c>
      <c r="AC259">
        <v>94</v>
      </c>
      <c r="AD259" s="3" t="str">
        <f t="shared" ref="AD259:AD322" si="67">LEFT(AB259,FIND("/",AB259)-1)</f>
        <v>94</v>
      </c>
      <c r="AE259">
        <v>73</v>
      </c>
      <c r="AF259" s="3" t="str">
        <f t="shared" ref="AF259:AF322" si="68">RIGHT(AB259,LEN(AB259)-FIND("/",AB259))</f>
        <v>73</v>
      </c>
      <c r="AG259" t="s">
        <v>33</v>
      </c>
      <c r="AH259" s="3">
        <v>15.86</v>
      </c>
      <c r="AI259" s="3">
        <f t="shared" ref="AI259:AI322" si="69">IF(AH259="",AVERAGE($AH$2:$AH$1530),AH259)</f>
        <v>15.86</v>
      </c>
      <c r="AJ259" t="s">
        <v>26</v>
      </c>
      <c r="AK259" t="str">
        <f>PROPER(Table1[[#This Row],[CVD Risk Level]])</f>
        <v>Intermediary</v>
      </c>
    </row>
    <row r="260" spans="1:37" x14ac:dyDescent="0.3">
      <c r="A260" t="s">
        <v>31</v>
      </c>
      <c r="B260">
        <v>57</v>
      </c>
      <c r="C260" s="8">
        <f t="shared" si="59"/>
        <v>57</v>
      </c>
      <c r="D260" s="5">
        <v>78.400000000000006</v>
      </c>
      <c r="E260" s="8">
        <f t="shared" si="60"/>
        <v>78.400000000000006</v>
      </c>
      <c r="F260">
        <v>1.84</v>
      </c>
      <c r="G260" s="3">
        <f t="shared" si="61"/>
        <v>1.84</v>
      </c>
      <c r="H260">
        <v>23.2</v>
      </c>
      <c r="I260" s="5">
        <f t="shared" si="57"/>
        <v>23.2</v>
      </c>
      <c r="J260" s="16" t="str">
        <f t="shared" si="62"/>
        <v>Normal</v>
      </c>
      <c r="K260">
        <v>101.1</v>
      </c>
      <c r="L260">
        <v>0.54900000000000004</v>
      </c>
      <c r="M260" s="11">
        <f t="shared" si="58"/>
        <v>0.54900000000000004</v>
      </c>
      <c r="N260" s="5">
        <f t="shared" si="63"/>
        <v>101.1</v>
      </c>
      <c r="O260">
        <v>186</v>
      </c>
      <c r="P260">
        <v>70</v>
      </c>
      <c r="Q260" s="8">
        <f t="shared" si="64"/>
        <v>70</v>
      </c>
      <c r="R260" s="8">
        <v>86</v>
      </c>
      <c r="S260" s="8">
        <f t="shared" ref="S260:S322" si="70">IF(R260&lt;=0,MEDIAN($R$2:$R$1530),R260)</f>
        <v>86</v>
      </c>
      <c r="T260" s="8">
        <f>(Table1[[#This Row],[Total Cholesterol (mg/dL)]]+Table1[[#This Row],[HDL (mg/dL)2]]+Table1[[#This Row],[Estimated LDL (mg/dL)2]])*5</f>
        <v>1710</v>
      </c>
      <c r="U260" s="8">
        <f>IF(O260="",Table1[[#This Row],[Estimated LDL (mg/dL)2]]+Table1[[#This Row],[HDL (mg/dL)2]]+(Table1[[#This Row],[Triglycerides]]/5),O260)</f>
        <v>186</v>
      </c>
      <c r="V260">
        <v>70</v>
      </c>
      <c r="W260" s="8">
        <f t="shared" si="65"/>
        <v>70</v>
      </c>
      <c r="X260" t="str">
        <f t="shared" si="66"/>
        <v>Normal</v>
      </c>
      <c r="Y260" t="s">
        <v>23</v>
      </c>
      <c r="Z260" t="s">
        <v>22</v>
      </c>
      <c r="AA260" t="s">
        <v>37</v>
      </c>
      <c r="AB260" s="3" t="s">
        <v>277</v>
      </c>
      <c r="AC260">
        <v>109</v>
      </c>
      <c r="AD260" s="3" t="str">
        <f t="shared" si="67"/>
        <v>109</v>
      </c>
      <c r="AE260">
        <v>83</v>
      </c>
      <c r="AF260" s="3" t="str">
        <f t="shared" si="68"/>
        <v>83</v>
      </c>
      <c r="AG260" t="s">
        <v>29</v>
      </c>
      <c r="AH260" s="3">
        <v>13.81</v>
      </c>
      <c r="AI260" s="3">
        <f t="shared" si="69"/>
        <v>13.81</v>
      </c>
      <c r="AJ260" t="s">
        <v>26</v>
      </c>
      <c r="AK260" t="str">
        <f>PROPER(Table1[[#This Row],[CVD Risk Level]])</f>
        <v>Intermediary</v>
      </c>
    </row>
    <row r="261" spans="1:37" x14ac:dyDescent="0.3">
      <c r="A261" t="s">
        <v>31</v>
      </c>
      <c r="B261">
        <v>39</v>
      </c>
      <c r="C261" s="8">
        <f t="shared" si="59"/>
        <v>39</v>
      </c>
      <c r="D261" s="5">
        <v>64.099999999999994</v>
      </c>
      <c r="E261" s="8">
        <f t="shared" si="60"/>
        <v>64.099999999999994</v>
      </c>
      <c r="F261">
        <v>1.7</v>
      </c>
      <c r="G261" s="3">
        <f t="shared" si="61"/>
        <v>1.7</v>
      </c>
      <c r="H261">
        <v>22.2</v>
      </c>
      <c r="I261" s="5">
        <f t="shared" si="57"/>
        <v>22.2</v>
      </c>
      <c r="J261" s="16" t="str">
        <f t="shared" si="62"/>
        <v>Normal</v>
      </c>
      <c r="K261">
        <v>99.1</v>
      </c>
      <c r="L261">
        <v>0.58299999999999996</v>
      </c>
      <c r="M261" s="11">
        <f t="shared" si="58"/>
        <v>0.58299999999999996</v>
      </c>
      <c r="N261" s="5">
        <f t="shared" si="63"/>
        <v>99.1</v>
      </c>
      <c r="O261">
        <v>175</v>
      </c>
      <c r="P261">
        <v>55</v>
      </c>
      <c r="Q261" s="8">
        <f t="shared" si="64"/>
        <v>55</v>
      </c>
      <c r="R261" s="8">
        <v>90</v>
      </c>
      <c r="S261" s="8">
        <f t="shared" si="70"/>
        <v>90</v>
      </c>
      <c r="T261" s="8">
        <f>(Table1[[#This Row],[Total Cholesterol (mg/dL)]]+Table1[[#This Row],[HDL (mg/dL)2]]+Table1[[#This Row],[Estimated LDL (mg/dL)2]])*5</f>
        <v>1600</v>
      </c>
      <c r="U261" s="8">
        <f>IF(O261="",Table1[[#This Row],[Estimated LDL (mg/dL)2]]+Table1[[#This Row],[HDL (mg/dL)2]]+(Table1[[#This Row],[Triglycerides]]/5),O261)</f>
        <v>175</v>
      </c>
      <c r="V261">
        <v>125</v>
      </c>
      <c r="W261" s="8">
        <f t="shared" si="65"/>
        <v>125</v>
      </c>
      <c r="X261" t="str">
        <f t="shared" si="66"/>
        <v>Prediabetes</v>
      </c>
      <c r="Y261" t="s">
        <v>23</v>
      </c>
      <c r="Z261" t="s">
        <v>22</v>
      </c>
      <c r="AA261" t="s">
        <v>37</v>
      </c>
      <c r="AB261" s="3" t="s">
        <v>278</v>
      </c>
      <c r="AC261">
        <v>113</v>
      </c>
      <c r="AD261" s="3" t="str">
        <f t="shared" si="67"/>
        <v>113</v>
      </c>
      <c r="AE261">
        <v>69</v>
      </c>
      <c r="AF261" s="3" t="str">
        <f t="shared" si="68"/>
        <v>69</v>
      </c>
      <c r="AG261" t="s">
        <v>33</v>
      </c>
      <c r="AH261" s="3">
        <v>13.59</v>
      </c>
      <c r="AI261" s="3">
        <f t="shared" si="69"/>
        <v>13.59</v>
      </c>
      <c r="AJ261" t="s">
        <v>26</v>
      </c>
      <c r="AK261" t="str">
        <f>PROPER(Table1[[#This Row],[CVD Risk Level]])</f>
        <v>Intermediary</v>
      </c>
    </row>
    <row r="262" spans="1:37" x14ac:dyDescent="0.3">
      <c r="A262" t="s">
        <v>31</v>
      </c>
      <c r="B262">
        <v>40</v>
      </c>
      <c r="C262" s="8">
        <f t="shared" si="59"/>
        <v>40</v>
      </c>
      <c r="D262" s="5">
        <v>64.8</v>
      </c>
      <c r="E262" s="8">
        <f t="shared" si="60"/>
        <v>64.8</v>
      </c>
      <c r="F262">
        <v>1.76</v>
      </c>
      <c r="G262" s="3">
        <f t="shared" si="61"/>
        <v>1.76</v>
      </c>
      <c r="H262">
        <v>20.9</v>
      </c>
      <c r="I262" s="5">
        <f t="shared" si="57"/>
        <v>20.9</v>
      </c>
      <c r="J262" s="16" t="str">
        <f t="shared" si="62"/>
        <v>Normal</v>
      </c>
      <c r="K262">
        <v>109.1</v>
      </c>
      <c r="L262">
        <v>0.62</v>
      </c>
      <c r="M262" s="11">
        <f t="shared" si="58"/>
        <v>0.62</v>
      </c>
      <c r="N262" s="5">
        <f t="shared" si="63"/>
        <v>109.1</v>
      </c>
      <c r="O262">
        <v>294</v>
      </c>
      <c r="P262">
        <v>70</v>
      </c>
      <c r="Q262" s="8">
        <f t="shared" si="64"/>
        <v>70</v>
      </c>
      <c r="R262" s="8">
        <v>194</v>
      </c>
      <c r="S262" s="8">
        <f t="shared" si="70"/>
        <v>194</v>
      </c>
      <c r="T262" s="8">
        <f>(Table1[[#This Row],[Total Cholesterol (mg/dL)]]+Table1[[#This Row],[HDL (mg/dL)2]]+Table1[[#This Row],[Estimated LDL (mg/dL)2]])*5</f>
        <v>2790</v>
      </c>
      <c r="U262" s="8">
        <f>IF(O262="",Table1[[#This Row],[Estimated LDL (mg/dL)2]]+Table1[[#This Row],[HDL (mg/dL)2]]+(Table1[[#This Row],[Triglycerides]]/5),O262)</f>
        <v>294</v>
      </c>
      <c r="V262">
        <v>89</v>
      </c>
      <c r="W262" s="8">
        <f t="shared" si="65"/>
        <v>89</v>
      </c>
      <c r="X262" t="str">
        <f t="shared" si="66"/>
        <v>Normal</v>
      </c>
      <c r="Y262" t="s">
        <v>22</v>
      </c>
      <c r="Z262" t="s">
        <v>23</v>
      </c>
      <c r="AA262" t="s">
        <v>28</v>
      </c>
      <c r="AB262" s="3" t="s">
        <v>84</v>
      </c>
      <c r="AC262">
        <v>135</v>
      </c>
      <c r="AD262" s="3" t="str">
        <f t="shared" si="67"/>
        <v>135</v>
      </c>
      <c r="AE262">
        <v>96</v>
      </c>
      <c r="AF262" s="3" t="str">
        <f t="shared" si="68"/>
        <v>96</v>
      </c>
      <c r="AG262" t="s">
        <v>29</v>
      </c>
      <c r="AH262" s="3">
        <v>18.809999999999999</v>
      </c>
      <c r="AI262" s="3">
        <f t="shared" si="69"/>
        <v>18.809999999999999</v>
      </c>
      <c r="AJ262" t="s">
        <v>26</v>
      </c>
      <c r="AK262" t="str">
        <f>PROPER(Table1[[#This Row],[CVD Risk Level]])</f>
        <v>Intermediary</v>
      </c>
    </row>
    <row r="263" spans="1:37" x14ac:dyDescent="0.3">
      <c r="A263" t="s">
        <v>31</v>
      </c>
      <c r="B263">
        <v>56</v>
      </c>
      <c r="C263" s="8">
        <f t="shared" si="59"/>
        <v>56</v>
      </c>
      <c r="D263" s="5">
        <v>106.4</v>
      </c>
      <c r="E263" s="8">
        <f t="shared" si="60"/>
        <v>106.4</v>
      </c>
      <c r="F263">
        <v>1.73</v>
      </c>
      <c r="G263" s="3">
        <f t="shared" si="61"/>
        <v>1.73</v>
      </c>
      <c r="H263">
        <v>35.6</v>
      </c>
      <c r="I263" s="5">
        <f t="shared" si="57"/>
        <v>35.6</v>
      </c>
      <c r="J263" s="16" t="str">
        <f t="shared" si="62"/>
        <v>Obese</v>
      </c>
      <c r="K263">
        <v>70.3</v>
      </c>
      <c r="L263">
        <v>0.40600000000000003</v>
      </c>
      <c r="M263" s="11">
        <f t="shared" si="58"/>
        <v>0.40600000000000003</v>
      </c>
      <c r="N263" s="5">
        <f t="shared" si="63"/>
        <v>70.3</v>
      </c>
      <c r="P263">
        <v>69</v>
      </c>
      <c r="Q263" s="8">
        <f t="shared" si="64"/>
        <v>69</v>
      </c>
      <c r="R263" s="8">
        <v>29</v>
      </c>
      <c r="S263" s="8">
        <f t="shared" si="70"/>
        <v>29</v>
      </c>
      <c r="T263" s="8">
        <f>(Table1[[#This Row],[Total Cholesterol (mg/dL)]]+Table1[[#This Row],[HDL (mg/dL)2]]+Table1[[#This Row],[Estimated LDL (mg/dL)2]])*5</f>
        <v>490</v>
      </c>
      <c r="U263" s="8">
        <f>IF(O263="",Table1[[#This Row],[Estimated LDL (mg/dL)2]]+Table1[[#This Row],[HDL (mg/dL)2]]+(Table1[[#This Row],[Triglycerides]]/5),O263)</f>
        <v>196</v>
      </c>
      <c r="V263">
        <v>90</v>
      </c>
      <c r="W263" s="8">
        <f t="shared" si="65"/>
        <v>90</v>
      </c>
      <c r="X263" t="str">
        <f t="shared" si="66"/>
        <v>Normal</v>
      </c>
      <c r="Y263" t="s">
        <v>23</v>
      </c>
      <c r="Z263" t="s">
        <v>22</v>
      </c>
      <c r="AA263" t="s">
        <v>28</v>
      </c>
      <c r="AB263" s="3" t="s">
        <v>279</v>
      </c>
      <c r="AC263">
        <v>136</v>
      </c>
      <c r="AD263" s="3" t="str">
        <f t="shared" si="67"/>
        <v>136</v>
      </c>
      <c r="AE263">
        <v>76</v>
      </c>
      <c r="AF263" s="3" t="str">
        <f t="shared" si="68"/>
        <v>76</v>
      </c>
      <c r="AG263" t="s">
        <v>29</v>
      </c>
      <c r="AH263" s="3">
        <v>16.48</v>
      </c>
      <c r="AI263" s="3">
        <f t="shared" si="69"/>
        <v>16.48</v>
      </c>
      <c r="AJ263" t="s">
        <v>26</v>
      </c>
      <c r="AK263" t="str">
        <f>PROPER(Table1[[#This Row],[CVD Risk Level]])</f>
        <v>Intermediary</v>
      </c>
    </row>
    <row r="264" spans="1:37" x14ac:dyDescent="0.3">
      <c r="A264" t="s">
        <v>20</v>
      </c>
      <c r="B264">
        <v>34</v>
      </c>
      <c r="C264" s="8">
        <f t="shared" si="59"/>
        <v>34</v>
      </c>
      <c r="D264" s="5">
        <v>55.5</v>
      </c>
      <c r="E264" s="8">
        <f t="shared" si="60"/>
        <v>55.5</v>
      </c>
      <c r="F264">
        <v>1.62</v>
      </c>
      <c r="G264" s="3">
        <f t="shared" si="61"/>
        <v>1.62</v>
      </c>
      <c r="H264">
        <v>21.1</v>
      </c>
      <c r="I264" s="5">
        <f t="shared" si="57"/>
        <v>21.1</v>
      </c>
      <c r="J264" s="16" t="str">
        <f t="shared" si="62"/>
        <v>Normal</v>
      </c>
      <c r="K264">
        <v>74.3</v>
      </c>
      <c r="L264">
        <v>0.45900000000000002</v>
      </c>
      <c r="M264" s="11">
        <f t="shared" si="58"/>
        <v>0.45900000000000002</v>
      </c>
      <c r="N264" s="5">
        <f t="shared" si="63"/>
        <v>74.3</v>
      </c>
      <c r="O264">
        <v>168</v>
      </c>
      <c r="P264">
        <v>37</v>
      </c>
      <c r="Q264" s="8">
        <f t="shared" si="64"/>
        <v>37</v>
      </c>
      <c r="R264" s="8">
        <v>101</v>
      </c>
      <c r="S264" s="8">
        <f t="shared" si="70"/>
        <v>101</v>
      </c>
      <c r="T264" s="8">
        <f>(Table1[[#This Row],[Total Cholesterol (mg/dL)]]+Table1[[#This Row],[HDL (mg/dL)2]]+Table1[[#This Row],[Estimated LDL (mg/dL)2]])*5</f>
        <v>1530</v>
      </c>
      <c r="U264" s="8">
        <f>IF(O264="",Table1[[#This Row],[Estimated LDL (mg/dL)2]]+Table1[[#This Row],[HDL (mg/dL)2]]+(Table1[[#This Row],[Triglycerides]]/5),O264)</f>
        <v>168</v>
      </c>
      <c r="V264">
        <v>120</v>
      </c>
      <c r="W264" s="8">
        <f t="shared" si="65"/>
        <v>120</v>
      </c>
      <c r="X264" t="str">
        <f t="shared" si="66"/>
        <v>Prediabetes</v>
      </c>
      <c r="Y264" t="s">
        <v>23</v>
      </c>
      <c r="Z264" t="s">
        <v>23</v>
      </c>
      <c r="AA264" t="s">
        <v>28</v>
      </c>
      <c r="AB264" s="3" t="s">
        <v>280</v>
      </c>
      <c r="AC264">
        <v>139</v>
      </c>
      <c r="AD264" s="3" t="str">
        <f t="shared" si="67"/>
        <v>139</v>
      </c>
      <c r="AE264">
        <v>64</v>
      </c>
      <c r="AF264" s="3" t="str">
        <f t="shared" si="68"/>
        <v>64</v>
      </c>
      <c r="AG264" t="s">
        <v>29</v>
      </c>
      <c r="AI264" s="3">
        <f t="shared" si="69"/>
        <v>16.960925291295425</v>
      </c>
      <c r="AJ264" t="s">
        <v>30</v>
      </c>
      <c r="AK264" t="str">
        <f>PROPER(Table1[[#This Row],[CVD Risk Level]])</f>
        <v>High</v>
      </c>
    </row>
    <row r="265" spans="1:37" x14ac:dyDescent="0.3">
      <c r="A265" t="s">
        <v>20</v>
      </c>
      <c r="B265">
        <v>60</v>
      </c>
      <c r="C265" s="8">
        <f t="shared" si="59"/>
        <v>60</v>
      </c>
      <c r="D265" s="5">
        <v>75.400000000000006</v>
      </c>
      <c r="E265" s="8">
        <f t="shared" si="60"/>
        <v>75.400000000000006</v>
      </c>
      <c r="F265">
        <v>1.68</v>
      </c>
      <c r="G265" s="3">
        <f t="shared" si="61"/>
        <v>1.68</v>
      </c>
      <c r="H265">
        <v>26.7</v>
      </c>
      <c r="I265" s="5">
        <f t="shared" si="57"/>
        <v>26.7</v>
      </c>
      <c r="J265" s="16" t="str">
        <f t="shared" si="62"/>
        <v>Overweight</v>
      </c>
      <c r="K265">
        <v>94.1</v>
      </c>
      <c r="L265">
        <v>0.56000000000000005</v>
      </c>
      <c r="M265" s="11">
        <f t="shared" si="58"/>
        <v>0.56000000000000005</v>
      </c>
      <c r="N265" s="5">
        <f t="shared" si="63"/>
        <v>94.1</v>
      </c>
      <c r="O265">
        <v>138</v>
      </c>
      <c r="P265">
        <v>77</v>
      </c>
      <c r="Q265" s="8">
        <f t="shared" si="64"/>
        <v>77</v>
      </c>
      <c r="S265" s="8">
        <f t="shared" si="70"/>
        <v>109</v>
      </c>
      <c r="T265" s="8">
        <f>(Table1[[#This Row],[Total Cholesterol (mg/dL)]]+Table1[[#This Row],[HDL (mg/dL)2]]+Table1[[#This Row],[Estimated LDL (mg/dL)2]])*5</f>
        <v>1620</v>
      </c>
      <c r="U265" s="8">
        <f>IF(O265="",Table1[[#This Row],[Estimated LDL (mg/dL)2]]+Table1[[#This Row],[HDL (mg/dL)2]]+(Table1[[#This Row],[Triglycerides]]/5),O265)</f>
        <v>138</v>
      </c>
      <c r="V265">
        <v>80</v>
      </c>
      <c r="W265" s="8">
        <f t="shared" si="65"/>
        <v>80</v>
      </c>
      <c r="X265" t="str">
        <f t="shared" si="66"/>
        <v>Normal</v>
      </c>
      <c r="Y265" t="s">
        <v>22</v>
      </c>
      <c r="Z265" t="s">
        <v>22</v>
      </c>
      <c r="AA265" t="s">
        <v>37</v>
      </c>
      <c r="AB265" s="3" t="s">
        <v>206</v>
      </c>
      <c r="AC265">
        <v>141</v>
      </c>
      <c r="AD265" s="3" t="str">
        <f t="shared" si="67"/>
        <v>141</v>
      </c>
      <c r="AE265">
        <v>69</v>
      </c>
      <c r="AF265" s="3" t="str">
        <f t="shared" si="68"/>
        <v>69</v>
      </c>
      <c r="AG265" t="s">
        <v>38</v>
      </c>
      <c r="AH265" s="3">
        <v>15.15</v>
      </c>
      <c r="AI265" s="3">
        <f t="shared" si="69"/>
        <v>15.15</v>
      </c>
      <c r="AJ265" t="s">
        <v>26</v>
      </c>
      <c r="AK265" t="str">
        <f>PROPER(Table1[[#This Row],[CVD Risk Level]])</f>
        <v>Intermediary</v>
      </c>
    </row>
    <row r="266" spans="1:37" x14ac:dyDescent="0.3">
      <c r="A266" t="s">
        <v>20</v>
      </c>
      <c r="B266">
        <v>47</v>
      </c>
      <c r="C266" s="8">
        <f t="shared" si="59"/>
        <v>47</v>
      </c>
      <c r="D266" s="5">
        <v>80.599999999999994</v>
      </c>
      <c r="E266" s="8">
        <f t="shared" si="60"/>
        <v>80.599999999999994</v>
      </c>
      <c r="F266">
        <v>1.83</v>
      </c>
      <c r="G266" s="3">
        <f t="shared" si="61"/>
        <v>1.83</v>
      </c>
      <c r="H266">
        <v>24.1</v>
      </c>
      <c r="I266" s="5">
        <f t="shared" si="57"/>
        <v>24.1</v>
      </c>
      <c r="J266" s="16" t="str">
        <f t="shared" si="62"/>
        <v>Normal</v>
      </c>
      <c r="K266">
        <v>83.5</v>
      </c>
      <c r="L266">
        <v>0.45600000000000002</v>
      </c>
      <c r="M266" s="11">
        <f t="shared" si="58"/>
        <v>0.45600000000000002</v>
      </c>
      <c r="N266" s="5">
        <f t="shared" si="63"/>
        <v>83.5</v>
      </c>
      <c r="O266">
        <v>289</v>
      </c>
      <c r="P266">
        <v>45</v>
      </c>
      <c r="Q266" s="8">
        <f t="shared" si="64"/>
        <v>45</v>
      </c>
      <c r="R266" s="8">
        <v>214</v>
      </c>
      <c r="S266" s="8">
        <f t="shared" si="70"/>
        <v>214</v>
      </c>
      <c r="T266" s="8">
        <f>(Table1[[#This Row],[Total Cholesterol (mg/dL)]]+Table1[[#This Row],[HDL (mg/dL)2]]+Table1[[#This Row],[Estimated LDL (mg/dL)2]])*5</f>
        <v>2740</v>
      </c>
      <c r="U266" s="8">
        <f>IF(O266="",Table1[[#This Row],[Estimated LDL (mg/dL)2]]+Table1[[#This Row],[HDL (mg/dL)2]]+(Table1[[#This Row],[Triglycerides]]/5),O266)</f>
        <v>289</v>
      </c>
      <c r="V266">
        <v>93</v>
      </c>
      <c r="W266" s="8">
        <f t="shared" si="65"/>
        <v>93</v>
      </c>
      <c r="X266" t="str">
        <f t="shared" si="66"/>
        <v>Normal</v>
      </c>
      <c r="Y266" t="s">
        <v>22</v>
      </c>
      <c r="Z266" t="s">
        <v>23</v>
      </c>
      <c r="AA266" t="s">
        <v>37</v>
      </c>
      <c r="AB266" s="3" t="s">
        <v>281</v>
      </c>
      <c r="AC266">
        <v>114</v>
      </c>
      <c r="AD266" s="3" t="str">
        <f t="shared" si="67"/>
        <v>114</v>
      </c>
      <c r="AE266">
        <v>69</v>
      </c>
      <c r="AF266" s="3" t="str">
        <f t="shared" si="68"/>
        <v>69</v>
      </c>
      <c r="AG266" t="s">
        <v>33</v>
      </c>
      <c r="AH266" s="3">
        <v>18.3</v>
      </c>
      <c r="AI266" s="3">
        <f t="shared" si="69"/>
        <v>18.3</v>
      </c>
      <c r="AJ266" t="s">
        <v>26</v>
      </c>
      <c r="AK266" t="str">
        <f>PROPER(Table1[[#This Row],[CVD Risk Level]])</f>
        <v>Intermediary</v>
      </c>
    </row>
    <row r="267" spans="1:37" x14ac:dyDescent="0.3">
      <c r="A267" t="s">
        <v>20</v>
      </c>
      <c r="B267">
        <v>54</v>
      </c>
      <c r="C267" s="8">
        <f t="shared" si="59"/>
        <v>54</v>
      </c>
      <c r="D267" s="5">
        <v>93.7</v>
      </c>
      <c r="E267" s="8">
        <f t="shared" si="60"/>
        <v>93.7</v>
      </c>
      <c r="F267">
        <v>1.84</v>
      </c>
      <c r="G267" s="3">
        <f t="shared" si="61"/>
        <v>1.84</v>
      </c>
      <c r="H267">
        <v>27.7</v>
      </c>
      <c r="I267" s="5">
        <f t="shared" si="57"/>
        <v>27.7</v>
      </c>
      <c r="J267" s="16" t="str">
        <f t="shared" si="62"/>
        <v>Overweight</v>
      </c>
      <c r="K267">
        <v>102.7</v>
      </c>
      <c r="L267">
        <v>0.55800000000000005</v>
      </c>
      <c r="M267" s="11">
        <f t="shared" si="58"/>
        <v>0.55800000000000005</v>
      </c>
      <c r="N267" s="5">
        <f t="shared" si="63"/>
        <v>102.7</v>
      </c>
      <c r="O267">
        <v>231</v>
      </c>
      <c r="Q267" s="8">
        <f t="shared" si="64"/>
        <v>56.197377501725327</v>
      </c>
      <c r="R267" s="8">
        <v>147</v>
      </c>
      <c r="S267" s="8">
        <f>IF(R267&lt;=0,MEDIAN($R$2:$R$1530),R267)</f>
        <v>147</v>
      </c>
      <c r="T267" s="8">
        <f>(Table1[[#This Row],[Total Cholesterol (mg/dL)]]+Table1[[#This Row],[HDL (mg/dL)2]]+Table1[[#This Row],[Estimated LDL (mg/dL)2]])*5</f>
        <v>2170.9868875086268</v>
      </c>
      <c r="U267" s="8">
        <f>IF(O267="",Table1[[#This Row],[Estimated LDL (mg/dL)2]]+Table1[[#This Row],[HDL (mg/dL)2]]+(Table1[[#This Row],[Triglycerides]]/5),O267)</f>
        <v>231</v>
      </c>
      <c r="V267">
        <v>72</v>
      </c>
      <c r="W267" s="8">
        <f t="shared" si="65"/>
        <v>72</v>
      </c>
      <c r="X267" t="str">
        <f t="shared" si="66"/>
        <v>Normal</v>
      </c>
      <c r="Y267" t="s">
        <v>23</v>
      </c>
      <c r="Z267" t="s">
        <v>22</v>
      </c>
      <c r="AA267" t="s">
        <v>24</v>
      </c>
      <c r="AB267" s="3" t="s">
        <v>282</v>
      </c>
      <c r="AC267">
        <v>118</v>
      </c>
      <c r="AD267" s="3" t="str">
        <f t="shared" si="67"/>
        <v>118</v>
      </c>
      <c r="AE267">
        <v>64</v>
      </c>
      <c r="AF267" s="3" t="str">
        <f t="shared" si="68"/>
        <v>64</v>
      </c>
      <c r="AG267" t="s">
        <v>33</v>
      </c>
      <c r="AH267" s="3">
        <v>16.059999999999999</v>
      </c>
      <c r="AI267" s="3">
        <f t="shared" si="69"/>
        <v>16.059999999999999</v>
      </c>
      <c r="AJ267" t="s">
        <v>30</v>
      </c>
      <c r="AK267" t="str">
        <f>PROPER(Table1[[#This Row],[CVD Risk Level]])</f>
        <v>High</v>
      </c>
    </row>
    <row r="268" spans="1:37" x14ac:dyDescent="0.3">
      <c r="A268" t="s">
        <v>31</v>
      </c>
      <c r="B268">
        <v>36</v>
      </c>
      <c r="C268" s="8">
        <f t="shared" si="59"/>
        <v>36</v>
      </c>
      <c r="D268" s="5">
        <v>106.2</v>
      </c>
      <c r="E268" s="8">
        <f t="shared" si="60"/>
        <v>106.2</v>
      </c>
      <c r="F268">
        <v>1.76</v>
      </c>
      <c r="G268" s="3">
        <f t="shared" si="61"/>
        <v>1.76</v>
      </c>
      <c r="H268">
        <v>34.299999999999997</v>
      </c>
      <c r="I268" s="5">
        <f t="shared" si="57"/>
        <v>34.299999999999997</v>
      </c>
      <c r="J268" s="16" t="str">
        <f t="shared" si="62"/>
        <v>Obese</v>
      </c>
      <c r="K268">
        <v>74.8</v>
      </c>
      <c r="L268">
        <v>0.42499999999999999</v>
      </c>
      <c r="M268" s="11">
        <f t="shared" si="58"/>
        <v>0.42499999999999999</v>
      </c>
      <c r="N268" s="5">
        <f t="shared" si="63"/>
        <v>74.8</v>
      </c>
      <c r="O268">
        <v>171</v>
      </c>
      <c r="P268">
        <v>48</v>
      </c>
      <c r="Q268" s="8">
        <f t="shared" si="64"/>
        <v>48</v>
      </c>
      <c r="R268" s="8">
        <v>93</v>
      </c>
      <c r="S268" s="8">
        <f t="shared" si="70"/>
        <v>93</v>
      </c>
      <c r="T268" s="8">
        <f>(Table1[[#This Row],[Total Cholesterol (mg/dL)]]+Table1[[#This Row],[HDL (mg/dL)2]]+Table1[[#This Row],[Estimated LDL (mg/dL)2]])*5</f>
        <v>1560</v>
      </c>
      <c r="U268" s="8">
        <f>IF(O268="",Table1[[#This Row],[Estimated LDL (mg/dL)2]]+Table1[[#This Row],[HDL (mg/dL)2]]+(Table1[[#This Row],[Triglycerides]]/5),O268)</f>
        <v>171</v>
      </c>
      <c r="V268">
        <v>141</v>
      </c>
      <c r="W268" s="8">
        <f t="shared" si="65"/>
        <v>141</v>
      </c>
      <c r="X268" t="str">
        <f t="shared" si="66"/>
        <v>Diabetes</v>
      </c>
      <c r="Y268" t="s">
        <v>23</v>
      </c>
      <c r="Z268" t="s">
        <v>22</v>
      </c>
      <c r="AA268" t="s">
        <v>28</v>
      </c>
      <c r="AB268" s="3" t="s">
        <v>283</v>
      </c>
      <c r="AC268">
        <v>124</v>
      </c>
      <c r="AD268" s="3" t="str">
        <f t="shared" si="67"/>
        <v>124</v>
      </c>
      <c r="AE268">
        <v>66</v>
      </c>
      <c r="AF268" s="3" t="str">
        <f t="shared" si="68"/>
        <v>66</v>
      </c>
      <c r="AG268" t="s">
        <v>25</v>
      </c>
      <c r="AH268" s="3">
        <v>16.48</v>
      </c>
      <c r="AI268" s="3">
        <f t="shared" si="69"/>
        <v>16.48</v>
      </c>
      <c r="AJ268" t="s">
        <v>26</v>
      </c>
      <c r="AK268" t="str">
        <f>PROPER(Table1[[#This Row],[CVD Risk Level]])</f>
        <v>Intermediary</v>
      </c>
    </row>
    <row r="269" spans="1:37" x14ac:dyDescent="0.3">
      <c r="A269" t="s">
        <v>20</v>
      </c>
      <c r="B269">
        <v>47</v>
      </c>
      <c r="C269" s="8">
        <f t="shared" si="59"/>
        <v>47</v>
      </c>
      <c r="D269" s="5">
        <v>100.6</v>
      </c>
      <c r="E269" s="8">
        <f t="shared" si="60"/>
        <v>100.6</v>
      </c>
      <c r="F269">
        <v>1.66</v>
      </c>
      <c r="G269" s="3">
        <f t="shared" si="61"/>
        <v>1.66</v>
      </c>
      <c r="H269">
        <v>36.5</v>
      </c>
      <c r="I269" s="5">
        <f t="shared" si="57"/>
        <v>36.5</v>
      </c>
      <c r="J269" s="16" t="str">
        <f t="shared" si="62"/>
        <v>Obese</v>
      </c>
      <c r="K269">
        <v>107.3</v>
      </c>
      <c r="L269">
        <v>0.64600000000000002</v>
      </c>
      <c r="M269" s="11">
        <f t="shared" si="58"/>
        <v>0.64600000000000002</v>
      </c>
      <c r="N269" s="5">
        <f t="shared" si="63"/>
        <v>107.3</v>
      </c>
      <c r="O269">
        <v>287</v>
      </c>
      <c r="P269">
        <v>63</v>
      </c>
      <c r="Q269" s="8">
        <f t="shared" si="64"/>
        <v>63</v>
      </c>
      <c r="R269" s="8">
        <v>194</v>
      </c>
      <c r="S269" s="8">
        <f t="shared" si="70"/>
        <v>194</v>
      </c>
      <c r="T269" s="8">
        <f>(Table1[[#This Row],[Total Cholesterol (mg/dL)]]+Table1[[#This Row],[HDL (mg/dL)2]]+Table1[[#This Row],[Estimated LDL (mg/dL)2]])*5</f>
        <v>2720</v>
      </c>
      <c r="U269" s="8">
        <f>IF(O269="",Table1[[#This Row],[Estimated LDL (mg/dL)2]]+Table1[[#This Row],[HDL (mg/dL)2]]+(Table1[[#This Row],[Triglycerides]]/5),O269)</f>
        <v>287</v>
      </c>
      <c r="V269">
        <v>150</v>
      </c>
      <c r="W269" s="8">
        <f t="shared" si="65"/>
        <v>150</v>
      </c>
      <c r="X269" t="str">
        <f t="shared" si="66"/>
        <v>Diabetes</v>
      </c>
      <c r="Y269" t="s">
        <v>22</v>
      </c>
      <c r="Z269" t="s">
        <v>22</v>
      </c>
      <c r="AA269" t="s">
        <v>28</v>
      </c>
      <c r="AB269" s="3" t="s">
        <v>284</v>
      </c>
      <c r="AC269">
        <v>94</v>
      </c>
      <c r="AD269" s="3" t="str">
        <f t="shared" si="67"/>
        <v>94</v>
      </c>
      <c r="AE269">
        <v>93</v>
      </c>
      <c r="AF269" s="3" t="str">
        <f t="shared" si="68"/>
        <v>93</v>
      </c>
      <c r="AG269" t="s">
        <v>38</v>
      </c>
      <c r="AH269" s="3">
        <v>17.739999999999998</v>
      </c>
      <c r="AI269" s="3">
        <f t="shared" si="69"/>
        <v>17.739999999999998</v>
      </c>
      <c r="AJ269" t="s">
        <v>26</v>
      </c>
      <c r="AK269" t="str">
        <f>PROPER(Table1[[#This Row],[CVD Risk Level]])</f>
        <v>Intermediary</v>
      </c>
    </row>
    <row r="270" spans="1:37" x14ac:dyDescent="0.3">
      <c r="A270" t="s">
        <v>31</v>
      </c>
      <c r="C270" s="8">
        <f t="shared" si="59"/>
        <v>47.025499655410059</v>
      </c>
      <c r="D270" s="5">
        <v>93.9</v>
      </c>
      <c r="E270" s="8">
        <f t="shared" si="60"/>
        <v>93.9</v>
      </c>
      <c r="F270">
        <v>1.72</v>
      </c>
      <c r="G270" s="3">
        <f t="shared" si="61"/>
        <v>1.72</v>
      </c>
      <c r="H270">
        <v>31.7</v>
      </c>
      <c r="I270" s="5">
        <f t="shared" si="57"/>
        <v>31.7</v>
      </c>
      <c r="J270" s="16" t="str">
        <f t="shared" si="62"/>
        <v>Obese</v>
      </c>
      <c r="K270">
        <v>82.1</v>
      </c>
      <c r="L270">
        <v>0.47699999999999998</v>
      </c>
      <c r="M270" s="11">
        <f t="shared" si="58"/>
        <v>0.47699999999999998</v>
      </c>
      <c r="N270" s="5">
        <f t="shared" si="63"/>
        <v>82.1</v>
      </c>
      <c r="O270">
        <v>144</v>
      </c>
      <c r="P270">
        <v>50</v>
      </c>
      <c r="Q270" s="8">
        <f t="shared" si="64"/>
        <v>50</v>
      </c>
      <c r="R270" s="8">
        <v>64</v>
      </c>
      <c r="S270" s="8">
        <f t="shared" si="70"/>
        <v>64</v>
      </c>
      <c r="T270" s="8">
        <f>(Table1[[#This Row],[Total Cholesterol (mg/dL)]]+Table1[[#This Row],[HDL (mg/dL)2]]+Table1[[#This Row],[Estimated LDL (mg/dL)2]])*5</f>
        <v>1290</v>
      </c>
      <c r="U270" s="8">
        <f>IF(O270="",Table1[[#This Row],[Estimated LDL (mg/dL)2]]+Table1[[#This Row],[HDL (mg/dL)2]]+(Table1[[#This Row],[Triglycerides]]/5),O270)</f>
        <v>144</v>
      </c>
      <c r="V270">
        <v>137</v>
      </c>
      <c r="W270" s="8">
        <f t="shared" si="65"/>
        <v>137</v>
      </c>
      <c r="X270" t="str">
        <f t="shared" si="66"/>
        <v>Diabetes</v>
      </c>
      <c r="Y270" t="s">
        <v>22</v>
      </c>
      <c r="Z270" t="s">
        <v>22</v>
      </c>
      <c r="AA270" t="s">
        <v>28</v>
      </c>
      <c r="AB270" s="3" t="s">
        <v>90</v>
      </c>
      <c r="AC270">
        <v>104</v>
      </c>
      <c r="AD270" s="3" t="str">
        <f t="shared" si="67"/>
        <v>104</v>
      </c>
      <c r="AE270">
        <v>60</v>
      </c>
      <c r="AF270" s="3" t="str">
        <f t="shared" si="68"/>
        <v>60</v>
      </c>
      <c r="AG270" t="s">
        <v>33</v>
      </c>
      <c r="AH270" s="3">
        <v>14.42</v>
      </c>
      <c r="AI270" s="3">
        <f t="shared" si="69"/>
        <v>14.42</v>
      </c>
      <c r="AJ270" t="s">
        <v>26</v>
      </c>
      <c r="AK270" t="str">
        <f>PROPER(Table1[[#This Row],[CVD Risk Level]])</f>
        <v>Intermediary</v>
      </c>
    </row>
    <row r="271" spans="1:37" x14ac:dyDescent="0.3">
      <c r="A271" t="s">
        <v>31</v>
      </c>
      <c r="B271">
        <v>57</v>
      </c>
      <c r="C271" s="8">
        <f t="shared" si="59"/>
        <v>57</v>
      </c>
      <c r="D271" s="5">
        <v>107</v>
      </c>
      <c r="E271" s="8">
        <f t="shared" si="60"/>
        <v>107</v>
      </c>
      <c r="F271">
        <v>1.62</v>
      </c>
      <c r="G271" s="3">
        <f t="shared" si="61"/>
        <v>1.62</v>
      </c>
      <c r="H271">
        <v>40.799999999999997</v>
      </c>
      <c r="I271" s="5">
        <f t="shared" si="57"/>
        <v>40.799999999999997</v>
      </c>
      <c r="J271" s="16" t="str">
        <f t="shared" si="62"/>
        <v>Obese</v>
      </c>
      <c r="K271">
        <v>101.7</v>
      </c>
      <c r="L271">
        <v>0.628</v>
      </c>
      <c r="M271" s="11">
        <f t="shared" si="58"/>
        <v>0.628</v>
      </c>
      <c r="N271" s="5">
        <f t="shared" si="63"/>
        <v>101.7</v>
      </c>
      <c r="O271">
        <v>147</v>
      </c>
      <c r="P271">
        <v>45</v>
      </c>
      <c r="Q271" s="8">
        <f t="shared" si="64"/>
        <v>45</v>
      </c>
      <c r="R271" s="8">
        <v>72</v>
      </c>
      <c r="S271" s="8">
        <f t="shared" si="70"/>
        <v>72</v>
      </c>
      <c r="T271" s="8">
        <f>(Table1[[#This Row],[Total Cholesterol (mg/dL)]]+Table1[[#This Row],[HDL (mg/dL)2]]+Table1[[#This Row],[Estimated LDL (mg/dL)2]])*5</f>
        <v>1320</v>
      </c>
      <c r="U271" s="8">
        <f>IF(O271="",Table1[[#This Row],[Estimated LDL (mg/dL)2]]+Table1[[#This Row],[HDL (mg/dL)2]]+(Table1[[#This Row],[Triglycerides]]/5),O271)</f>
        <v>147</v>
      </c>
      <c r="V271">
        <v>106</v>
      </c>
      <c r="W271" s="8">
        <f t="shared" si="65"/>
        <v>106</v>
      </c>
      <c r="X271" t="str">
        <f t="shared" si="66"/>
        <v>Prediabetes</v>
      </c>
      <c r="Y271" t="s">
        <v>23</v>
      </c>
      <c r="Z271" t="s">
        <v>23</v>
      </c>
      <c r="AA271" t="s">
        <v>37</v>
      </c>
      <c r="AB271" s="3" t="s">
        <v>285</v>
      </c>
      <c r="AC271">
        <v>117</v>
      </c>
      <c r="AD271" s="3" t="str">
        <f t="shared" si="67"/>
        <v>117</v>
      </c>
      <c r="AE271">
        <v>66</v>
      </c>
      <c r="AF271" s="3" t="str">
        <f t="shared" si="68"/>
        <v>66</v>
      </c>
      <c r="AG271" t="s">
        <v>33</v>
      </c>
      <c r="AH271" s="3">
        <v>18.95</v>
      </c>
      <c r="AI271" s="3">
        <f t="shared" si="69"/>
        <v>18.95</v>
      </c>
      <c r="AJ271" t="s">
        <v>30</v>
      </c>
      <c r="AK271" t="str">
        <f>PROPER(Table1[[#This Row],[CVD Risk Level]])</f>
        <v>High</v>
      </c>
    </row>
    <row r="272" spans="1:37" x14ac:dyDescent="0.3">
      <c r="A272" t="s">
        <v>20</v>
      </c>
      <c r="B272">
        <v>52</v>
      </c>
      <c r="C272" s="8">
        <f t="shared" si="59"/>
        <v>52</v>
      </c>
      <c r="D272" s="5">
        <v>109.7</v>
      </c>
      <c r="E272" s="8">
        <f t="shared" si="60"/>
        <v>109.7</v>
      </c>
      <c r="F272">
        <v>1.78</v>
      </c>
      <c r="G272" s="3">
        <f t="shared" si="61"/>
        <v>1.78</v>
      </c>
      <c r="H272">
        <v>34.6</v>
      </c>
      <c r="I272" s="5">
        <f t="shared" si="57"/>
        <v>34.6</v>
      </c>
      <c r="J272" s="16" t="str">
        <f t="shared" si="62"/>
        <v>Obese</v>
      </c>
      <c r="K272">
        <v>104.4</v>
      </c>
      <c r="L272">
        <v>0.58699999999999997</v>
      </c>
      <c r="M272" s="11">
        <f t="shared" si="58"/>
        <v>0.58699999999999997</v>
      </c>
      <c r="N272" s="5">
        <f t="shared" si="63"/>
        <v>104.4</v>
      </c>
      <c r="O272">
        <v>197</v>
      </c>
      <c r="Q272" s="8">
        <f t="shared" si="64"/>
        <v>56.197377501725327</v>
      </c>
      <c r="S272" s="8">
        <f>IF(R272&lt;=0,MEDIAN($R$2:$R$1530),R272)</f>
        <v>109</v>
      </c>
      <c r="T272" s="8">
        <f>(Table1[[#This Row],[Total Cholesterol (mg/dL)]]+Table1[[#This Row],[HDL (mg/dL)2]]+Table1[[#This Row],[Estimated LDL (mg/dL)2]])*5</f>
        <v>1810.9868875086268</v>
      </c>
      <c r="U272" s="8">
        <f>IF(O272="",Table1[[#This Row],[Estimated LDL (mg/dL)2]]+Table1[[#This Row],[HDL (mg/dL)2]]+(Table1[[#This Row],[Triglycerides]]/5),O272)</f>
        <v>197</v>
      </c>
      <c r="V272">
        <v>99</v>
      </c>
      <c r="W272" s="8">
        <f t="shared" si="65"/>
        <v>99</v>
      </c>
      <c r="X272" t="str">
        <f t="shared" si="66"/>
        <v>Normal</v>
      </c>
      <c r="Y272" t="s">
        <v>22</v>
      </c>
      <c r="Z272" t="s">
        <v>23</v>
      </c>
      <c r="AA272" t="s">
        <v>28</v>
      </c>
      <c r="AB272" s="3" t="s">
        <v>286</v>
      </c>
      <c r="AC272">
        <v>103</v>
      </c>
      <c r="AD272" s="3" t="str">
        <f t="shared" si="67"/>
        <v>103</v>
      </c>
      <c r="AE272">
        <v>99</v>
      </c>
      <c r="AF272" s="3" t="str">
        <f t="shared" si="68"/>
        <v>99</v>
      </c>
      <c r="AG272" t="s">
        <v>38</v>
      </c>
      <c r="AH272" s="3">
        <v>18.010000000000002</v>
      </c>
      <c r="AI272" s="3">
        <f t="shared" si="69"/>
        <v>18.010000000000002</v>
      </c>
      <c r="AJ272" t="s">
        <v>30</v>
      </c>
      <c r="AK272" t="str">
        <f>PROPER(Table1[[#This Row],[CVD Risk Level]])</f>
        <v>High</v>
      </c>
    </row>
    <row r="273" spans="1:37" x14ac:dyDescent="0.3">
      <c r="A273" t="s">
        <v>31</v>
      </c>
      <c r="B273">
        <v>45</v>
      </c>
      <c r="C273" s="8">
        <f t="shared" si="59"/>
        <v>45</v>
      </c>
      <c r="D273" s="5">
        <v>84.2</v>
      </c>
      <c r="E273" s="8">
        <f t="shared" si="60"/>
        <v>84.2</v>
      </c>
      <c r="F273">
        <v>1.77</v>
      </c>
      <c r="G273" s="3">
        <f t="shared" si="61"/>
        <v>1.77</v>
      </c>
      <c r="H273">
        <v>26.9</v>
      </c>
      <c r="I273" s="5">
        <f t="shared" si="57"/>
        <v>26.9</v>
      </c>
      <c r="J273" s="16" t="str">
        <f t="shared" si="62"/>
        <v>Overweight</v>
      </c>
      <c r="K273">
        <v>106</v>
      </c>
      <c r="M273" s="11">
        <f t="shared" si="58"/>
        <v>0.59887005649717517</v>
      </c>
      <c r="N273" s="5">
        <f t="shared" si="63"/>
        <v>106</v>
      </c>
      <c r="O273">
        <v>180</v>
      </c>
      <c r="P273">
        <v>39</v>
      </c>
      <c r="Q273" s="8">
        <f t="shared" si="64"/>
        <v>39</v>
      </c>
      <c r="R273" s="8">
        <v>111</v>
      </c>
      <c r="S273" s="8">
        <f t="shared" si="70"/>
        <v>111</v>
      </c>
      <c r="T273" s="8">
        <f>(Table1[[#This Row],[Total Cholesterol (mg/dL)]]+Table1[[#This Row],[HDL (mg/dL)2]]+Table1[[#This Row],[Estimated LDL (mg/dL)2]])*5</f>
        <v>1650</v>
      </c>
      <c r="U273" s="8">
        <f>IF(O273="",Table1[[#This Row],[Estimated LDL (mg/dL)2]]+Table1[[#This Row],[HDL (mg/dL)2]]+(Table1[[#This Row],[Triglycerides]]/5),O273)</f>
        <v>180</v>
      </c>
      <c r="V273">
        <v>115</v>
      </c>
      <c r="W273" s="8">
        <f t="shared" si="65"/>
        <v>115</v>
      </c>
      <c r="X273" t="str">
        <f t="shared" si="66"/>
        <v>Prediabetes</v>
      </c>
      <c r="Y273" t="s">
        <v>23</v>
      </c>
      <c r="Z273" t="s">
        <v>22</v>
      </c>
      <c r="AA273" t="s">
        <v>24</v>
      </c>
      <c r="AB273" s="3" t="s">
        <v>287</v>
      </c>
      <c r="AC273">
        <v>114</v>
      </c>
      <c r="AD273" s="3" t="str">
        <f t="shared" si="67"/>
        <v>114</v>
      </c>
      <c r="AE273">
        <v>90</v>
      </c>
      <c r="AF273" s="3" t="str">
        <f t="shared" si="68"/>
        <v>90</v>
      </c>
      <c r="AG273" t="s">
        <v>38</v>
      </c>
      <c r="AH273" s="3">
        <v>14.68</v>
      </c>
      <c r="AI273" s="3">
        <f t="shared" si="69"/>
        <v>14.68</v>
      </c>
      <c r="AJ273" t="s">
        <v>30</v>
      </c>
      <c r="AK273" t="str">
        <f>PROPER(Table1[[#This Row],[CVD Risk Level]])</f>
        <v>High</v>
      </c>
    </row>
    <row r="274" spans="1:37" x14ac:dyDescent="0.3">
      <c r="A274" t="s">
        <v>31</v>
      </c>
      <c r="B274">
        <v>31</v>
      </c>
      <c r="C274" s="8">
        <f t="shared" si="59"/>
        <v>31</v>
      </c>
      <c r="D274" s="5">
        <v>85</v>
      </c>
      <c r="E274" s="8">
        <f t="shared" si="60"/>
        <v>85</v>
      </c>
      <c r="F274">
        <v>1.66</v>
      </c>
      <c r="G274" s="3">
        <f t="shared" si="61"/>
        <v>1.66</v>
      </c>
      <c r="H274">
        <v>30.8</v>
      </c>
      <c r="I274" s="5">
        <f t="shared" si="57"/>
        <v>30.8</v>
      </c>
      <c r="J274" s="16" t="str">
        <f t="shared" si="62"/>
        <v>Obese</v>
      </c>
      <c r="K274">
        <v>79.900000000000006</v>
      </c>
      <c r="L274">
        <v>0.48099999999999998</v>
      </c>
      <c r="M274" s="11">
        <f t="shared" si="58"/>
        <v>0.48099999999999998</v>
      </c>
      <c r="N274" s="5">
        <f t="shared" si="63"/>
        <v>79.900000000000006</v>
      </c>
      <c r="O274">
        <v>130</v>
      </c>
      <c r="P274">
        <v>70</v>
      </c>
      <c r="Q274" s="8">
        <f t="shared" si="64"/>
        <v>70</v>
      </c>
      <c r="R274" s="8">
        <v>30</v>
      </c>
      <c r="S274" s="8">
        <f t="shared" si="70"/>
        <v>30</v>
      </c>
      <c r="T274" s="8">
        <f>(Table1[[#This Row],[Total Cholesterol (mg/dL)]]+Table1[[#This Row],[HDL (mg/dL)2]]+Table1[[#This Row],[Estimated LDL (mg/dL)2]])*5</f>
        <v>1150</v>
      </c>
      <c r="U274" s="8">
        <f>IF(O274="",Table1[[#This Row],[Estimated LDL (mg/dL)2]]+Table1[[#This Row],[HDL (mg/dL)2]]+(Table1[[#This Row],[Triglycerides]]/5),O274)</f>
        <v>130</v>
      </c>
      <c r="V274">
        <v>125</v>
      </c>
      <c r="W274" s="8">
        <f t="shared" si="65"/>
        <v>125</v>
      </c>
      <c r="X274" t="str">
        <f t="shared" si="66"/>
        <v>Prediabetes</v>
      </c>
      <c r="Y274" t="s">
        <v>22</v>
      </c>
      <c r="Z274" t="s">
        <v>22</v>
      </c>
      <c r="AA274" t="s">
        <v>37</v>
      </c>
      <c r="AB274" s="3" t="s">
        <v>288</v>
      </c>
      <c r="AC274">
        <v>116</v>
      </c>
      <c r="AD274" s="3" t="str">
        <f t="shared" si="67"/>
        <v>116</v>
      </c>
      <c r="AE274">
        <v>69</v>
      </c>
      <c r="AF274" s="3" t="str">
        <f t="shared" si="68"/>
        <v>69</v>
      </c>
      <c r="AG274" t="s">
        <v>33</v>
      </c>
      <c r="AH274" s="3">
        <v>14.56</v>
      </c>
      <c r="AI274" s="3">
        <f t="shared" si="69"/>
        <v>14.56</v>
      </c>
      <c r="AJ274" t="s">
        <v>26</v>
      </c>
      <c r="AK274" t="str">
        <f>PROPER(Table1[[#This Row],[CVD Risk Level]])</f>
        <v>Intermediary</v>
      </c>
    </row>
    <row r="275" spans="1:37" x14ac:dyDescent="0.3">
      <c r="A275" t="s">
        <v>20</v>
      </c>
      <c r="B275">
        <v>49</v>
      </c>
      <c r="C275" s="8">
        <f t="shared" si="59"/>
        <v>49</v>
      </c>
      <c r="D275" s="5">
        <v>73.2</v>
      </c>
      <c r="E275" s="8">
        <f t="shared" si="60"/>
        <v>73.2</v>
      </c>
      <c r="F275">
        <v>1.68</v>
      </c>
      <c r="G275" s="3">
        <f t="shared" si="61"/>
        <v>1.68</v>
      </c>
      <c r="H275">
        <v>25.9</v>
      </c>
      <c r="I275" s="5">
        <f t="shared" si="57"/>
        <v>25.9</v>
      </c>
      <c r="J275" s="16" t="str">
        <f t="shared" si="62"/>
        <v>Overweight</v>
      </c>
      <c r="K275">
        <v>104.9</v>
      </c>
      <c r="L275">
        <v>0.624</v>
      </c>
      <c r="M275" s="11">
        <f t="shared" si="58"/>
        <v>0.624</v>
      </c>
      <c r="N275" s="5">
        <f t="shared" si="63"/>
        <v>104.9</v>
      </c>
      <c r="O275">
        <v>138</v>
      </c>
      <c r="P275">
        <v>39</v>
      </c>
      <c r="Q275" s="8">
        <f t="shared" si="64"/>
        <v>39</v>
      </c>
      <c r="S275" s="8">
        <f t="shared" si="70"/>
        <v>109</v>
      </c>
      <c r="T275" s="8">
        <f>(Table1[[#This Row],[Total Cholesterol (mg/dL)]]+Table1[[#This Row],[HDL (mg/dL)2]]+Table1[[#This Row],[Estimated LDL (mg/dL)2]])*5</f>
        <v>1430</v>
      </c>
      <c r="U275" s="8">
        <f>IF(O275="",Table1[[#This Row],[Estimated LDL (mg/dL)2]]+Table1[[#This Row],[HDL (mg/dL)2]]+(Table1[[#This Row],[Triglycerides]]/5),O275)</f>
        <v>138</v>
      </c>
      <c r="V275">
        <v>81</v>
      </c>
      <c r="W275" s="8">
        <f t="shared" si="65"/>
        <v>81</v>
      </c>
      <c r="X275" t="str">
        <f t="shared" si="66"/>
        <v>Normal</v>
      </c>
      <c r="Y275" t="s">
        <v>23</v>
      </c>
      <c r="Z275" t="s">
        <v>23</v>
      </c>
      <c r="AA275" t="s">
        <v>28</v>
      </c>
      <c r="AB275" s="3" t="s">
        <v>289</v>
      </c>
      <c r="AC275">
        <v>136</v>
      </c>
      <c r="AD275" s="3" t="str">
        <f t="shared" si="67"/>
        <v>136</v>
      </c>
      <c r="AE275">
        <v>93</v>
      </c>
      <c r="AF275" s="3" t="str">
        <f t="shared" si="68"/>
        <v>93</v>
      </c>
      <c r="AG275" t="s">
        <v>29</v>
      </c>
      <c r="AH275" s="3">
        <v>16.739999999999998</v>
      </c>
      <c r="AI275" s="3">
        <f t="shared" si="69"/>
        <v>16.739999999999998</v>
      </c>
      <c r="AJ275" t="s">
        <v>30</v>
      </c>
      <c r="AK275" t="str">
        <f>PROPER(Table1[[#This Row],[CVD Risk Level]])</f>
        <v>High</v>
      </c>
    </row>
    <row r="276" spans="1:37" x14ac:dyDescent="0.3">
      <c r="A276" t="s">
        <v>31</v>
      </c>
      <c r="B276">
        <v>48</v>
      </c>
      <c r="C276" s="8">
        <f t="shared" si="59"/>
        <v>48</v>
      </c>
      <c r="D276" s="5">
        <v>94.6</v>
      </c>
      <c r="E276" s="8">
        <f t="shared" si="60"/>
        <v>94.6</v>
      </c>
      <c r="F276">
        <v>1.74</v>
      </c>
      <c r="G276" s="3">
        <f t="shared" si="61"/>
        <v>1.74</v>
      </c>
      <c r="H276">
        <v>31.2</v>
      </c>
      <c r="I276" s="5">
        <f t="shared" si="57"/>
        <v>31.2</v>
      </c>
      <c r="J276" s="16" t="str">
        <f t="shared" si="62"/>
        <v>Obese</v>
      </c>
      <c r="K276">
        <v>99.1</v>
      </c>
      <c r="L276">
        <v>0.56999999999999995</v>
      </c>
      <c r="M276" s="11">
        <f t="shared" si="58"/>
        <v>0.56999999999999995</v>
      </c>
      <c r="N276" s="5">
        <f t="shared" si="63"/>
        <v>99.1</v>
      </c>
      <c r="O276">
        <v>209</v>
      </c>
      <c r="P276">
        <v>60</v>
      </c>
      <c r="Q276" s="8">
        <f t="shared" si="64"/>
        <v>60</v>
      </c>
      <c r="R276" s="8">
        <v>119</v>
      </c>
      <c r="S276" s="8">
        <f t="shared" si="70"/>
        <v>119</v>
      </c>
      <c r="T276" s="8">
        <f>(Table1[[#This Row],[Total Cholesterol (mg/dL)]]+Table1[[#This Row],[HDL (mg/dL)2]]+Table1[[#This Row],[Estimated LDL (mg/dL)2]])*5</f>
        <v>1940</v>
      </c>
      <c r="U276" s="8">
        <f>IF(O276="",Table1[[#This Row],[Estimated LDL (mg/dL)2]]+Table1[[#This Row],[HDL (mg/dL)2]]+(Table1[[#This Row],[Triglycerides]]/5),O276)</f>
        <v>209</v>
      </c>
      <c r="V276">
        <v>127</v>
      </c>
      <c r="W276" s="8">
        <f t="shared" si="65"/>
        <v>127</v>
      </c>
      <c r="X276" t="str">
        <f t="shared" si="66"/>
        <v>Diabetes</v>
      </c>
      <c r="Y276" t="s">
        <v>22</v>
      </c>
      <c r="Z276" t="s">
        <v>23</v>
      </c>
      <c r="AA276" t="s">
        <v>37</v>
      </c>
      <c r="AB276" s="3" t="s">
        <v>290</v>
      </c>
      <c r="AC276">
        <v>99</v>
      </c>
      <c r="AD276" s="3" t="str">
        <f t="shared" si="67"/>
        <v>99</v>
      </c>
      <c r="AE276">
        <v>82</v>
      </c>
      <c r="AF276" s="3" t="str">
        <f t="shared" si="68"/>
        <v>82</v>
      </c>
      <c r="AG276" t="s">
        <v>29</v>
      </c>
      <c r="AH276" s="3">
        <v>17.37</v>
      </c>
      <c r="AI276" s="3">
        <f t="shared" si="69"/>
        <v>17.37</v>
      </c>
      <c r="AJ276" t="s">
        <v>30</v>
      </c>
      <c r="AK276" t="str">
        <f>PROPER(Table1[[#This Row],[CVD Risk Level]])</f>
        <v>High</v>
      </c>
    </row>
    <row r="277" spans="1:37" x14ac:dyDescent="0.3">
      <c r="A277" t="s">
        <v>20</v>
      </c>
      <c r="B277">
        <v>37</v>
      </c>
      <c r="C277" s="8">
        <f t="shared" si="59"/>
        <v>37</v>
      </c>
      <c r="D277" s="5">
        <v>50.5</v>
      </c>
      <c r="E277" s="8">
        <f t="shared" si="60"/>
        <v>50.5</v>
      </c>
      <c r="F277">
        <v>1.64</v>
      </c>
      <c r="G277" s="3">
        <f t="shared" si="61"/>
        <v>1.64</v>
      </c>
      <c r="H277">
        <v>18.8</v>
      </c>
      <c r="I277" s="5">
        <f t="shared" si="57"/>
        <v>18.8</v>
      </c>
      <c r="J277" s="16" t="str">
        <f t="shared" si="62"/>
        <v>Normal</v>
      </c>
      <c r="K277">
        <v>75.400000000000006</v>
      </c>
      <c r="L277">
        <v>0.46</v>
      </c>
      <c r="M277" s="11">
        <f t="shared" si="58"/>
        <v>0.46</v>
      </c>
      <c r="N277" s="5">
        <f t="shared" si="63"/>
        <v>75.400000000000006</v>
      </c>
      <c r="O277">
        <v>240</v>
      </c>
      <c r="P277">
        <v>53</v>
      </c>
      <c r="Q277" s="8">
        <f t="shared" si="64"/>
        <v>53</v>
      </c>
      <c r="R277" s="8">
        <v>157</v>
      </c>
      <c r="S277" s="8">
        <f t="shared" si="70"/>
        <v>157</v>
      </c>
      <c r="T277" s="8">
        <f>(Table1[[#This Row],[Total Cholesterol (mg/dL)]]+Table1[[#This Row],[HDL (mg/dL)2]]+Table1[[#This Row],[Estimated LDL (mg/dL)2]])*5</f>
        <v>2250</v>
      </c>
      <c r="U277" s="8">
        <f>IF(O277="",Table1[[#This Row],[Estimated LDL (mg/dL)2]]+Table1[[#This Row],[HDL (mg/dL)2]]+(Table1[[#This Row],[Triglycerides]]/5),O277)</f>
        <v>240</v>
      </c>
      <c r="V277">
        <v>98</v>
      </c>
      <c r="W277" s="8">
        <f t="shared" si="65"/>
        <v>98</v>
      </c>
      <c r="X277" t="str">
        <f t="shared" si="66"/>
        <v>Normal</v>
      </c>
      <c r="Y277" t="s">
        <v>22</v>
      </c>
      <c r="Z277" t="s">
        <v>23</v>
      </c>
      <c r="AA277" t="s">
        <v>24</v>
      </c>
      <c r="AB277" s="3" t="s">
        <v>291</v>
      </c>
      <c r="AC277">
        <v>100</v>
      </c>
      <c r="AD277" s="3" t="str">
        <f t="shared" si="67"/>
        <v>100</v>
      </c>
      <c r="AE277">
        <v>96</v>
      </c>
      <c r="AF277" s="3" t="str">
        <f t="shared" si="68"/>
        <v>96</v>
      </c>
      <c r="AG277" t="s">
        <v>38</v>
      </c>
      <c r="AH277" s="3">
        <v>15.56</v>
      </c>
      <c r="AI277" s="3">
        <f t="shared" si="69"/>
        <v>15.56</v>
      </c>
      <c r="AJ277" t="s">
        <v>26</v>
      </c>
      <c r="AK277" t="str">
        <f>PROPER(Table1[[#This Row],[CVD Risk Level]])</f>
        <v>Intermediary</v>
      </c>
    </row>
    <row r="278" spans="1:37" x14ac:dyDescent="0.3">
      <c r="A278" t="s">
        <v>20</v>
      </c>
      <c r="B278">
        <v>49</v>
      </c>
      <c r="C278" s="8">
        <f t="shared" si="59"/>
        <v>49</v>
      </c>
      <c r="D278" s="5">
        <v>58.3</v>
      </c>
      <c r="E278" s="8">
        <f t="shared" si="60"/>
        <v>58.3</v>
      </c>
      <c r="F278">
        <v>1.7</v>
      </c>
      <c r="G278" s="3">
        <f t="shared" si="61"/>
        <v>1.7</v>
      </c>
      <c r="H278">
        <v>20.2</v>
      </c>
      <c r="I278" s="5">
        <f t="shared" si="57"/>
        <v>20.2</v>
      </c>
      <c r="J278" s="16" t="str">
        <f t="shared" si="62"/>
        <v>Normal</v>
      </c>
      <c r="K278">
        <v>96.7</v>
      </c>
      <c r="L278">
        <v>0.56899999999999995</v>
      </c>
      <c r="M278" s="11">
        <f t="shared" si="58"/>
        <v>0.56899999999999995</v>
      </c>
      <c r="N278" s="5">
        <f t="shared" si="63"/>
        <v>96.7</v>
      </c>
      <c r="O278">
        <v>280</v>
      </c>
      <c r="P278">
        <v>33</v>
      </c>
      <c r="Q278" s="8">
        <f t="shared" si="64"/>
        <v>33</v>
      </c>
      <c r="R278" s="8">
        <v>217</v>
      </c>
      <c r="S278" s="8">
        <f t="shared" si="70"/>
        <v>217</v>
      </c>
      <c r="T278" s="8">
        <f>(Table1[[#This Row],[Total Cholesterol (mg/dL)]]+Table1[[#This Row],[HDL (mg/dL)2]]+Table1[[#This Row],[Estimated LDL (mg/dL)2]])*5</f>
        <v>2650</v>
      </c>
      <c r="U278" s="8">
        <f>IF(O278="",Table1[[#This Row],[Estimated LDL (mg/dL)2]]+Table1[[#This Row],[HDL (mg/dL)2]]+(Table1[[#This Row],[Triglycerides]]/5),O278)</f>
        <v>280</v>
      </c>
      <c r="V278">
        <v>93</v>
      </c>
      <c r="W278" s="8">
        <f t="shared" si="65"/>
        <v>93</v>
      </c>
      <c r="X278" t="str">
        <f t="shared" si="66"/>
        <v>Normal</v>
      </c>
      <c r="Y278" t="s">
        <v>23</v>
      </c>
      <c r="Z278" t="s">
        <v>23</v>
      </c>
      <c r="AA278" t="s">
        <v>37</v>
      </c>
      <c r="AB278" s="3" t="s">
        <v>292</v>
      </c>
      <c r="AC278">
        <v>140</v>
      </c>
      <c r="AD278" s="3" t="str">
        <f t="shared" si="67"/>
        <v>140</v>
      </c>
      <c r="AE278">
        <v>95</v>
      </c>
      <c r="AF278" s="3" t="str">
        <f t="shared" si="68"/>
        <v>95</v>
      </c>
      <c r="AG278" t="s">
        <v>38</v>
      </c>
      <c r="AH278" s="3">
        <v>18.64</v>
      </c>
      <c r="AI278" s="3">
        <f t="shared" si="69"/>
        <v>18.64</v>
      </c>
      <c r="AJ278" t="s">
        <v>30</v>
      </c>
      <c r="AK278" t="str">
        <f>PROPER(Table1[[#This Row],[CVD Risk Level]])</f>
        <v>High</v>
      </c>
    </row>
    <row r="279" spans="1:37" x14ac:dyDescent="0.3">
      <c r="A279" t="s">
        <v>31</v>
      </c>
      <c r="B279">
        <v>49</v>
      </c>
      <c r="C279" s="8">
        <f t="shared" si="59"/>
        <v>49</v>
      </c>
      <c r="D279" s="5">
        <v>64.8</v>
      </c>
      <c r="E279" s="8">
        <f t="shared" si="60"/>
        <v>64.8</v>
      </c>
      <c r="F279">
        <v>1.61</v>
      </c>
      <c r="G279" s="3">
        <f t="shared" si="61"/>
        <v>1.61</v>
      </c>
      <c r="H279">
        <v>25</v>
      </c>
      <c r="I279" s="5">
        <f t="shared" si="57"/>
        <v>25</v>
      </c>
      <c r="J279" s="16" t="str">
        <f t="shared" si="62"/>
        <v>Overweight</v>
      </c>
      <c r="K279">
        <v>77.900000000000006</v>
      </c>
      <c r="L279">
        <v>0.48399999999999999</v>
      </c>
      <c r="M279" s="11">
        <f t="shared" si="58"/>
        <v>0.48399999999999999</v>
      </c>
      <c r="N279" s="5">
        <f t="shared" si="63"/>
        <v>77.900000000000006</v>
      </c>
      <c r="O279">
        <v>276</v>
      </c>
      <c r="P279">
        <v>30</v>
      </c>
      <c r="Q279" s="8">
        <f t="shared" si="64"/>
        <v>30</v>
      </c>
      <c r="R279" s="8">
        <v>216</v>
      </c>
      <c r="S279" s="8">
        <f t="shared" si="70"/>
        <v>216</v>
      </c>
      <c r="T279" s="8">
        <f>(Table1[[#This Row],[Total Cholesterol (mg/dL)]]+Table1[[#This Row],[HDL (mg/dL)2]]+Table1[[#This Row],[Estimated LDL (mg/dL)2]])*5</f>
        <v>2610</v>
      </c>
      <c r="U279" s="8">
        <f>IF(O279="",Table1[[#This Row],[Estimated LDL (mg/dL)2]]+Table1[[#This Row],[HDL (mg/dL)2]]+(Table1[[#This Row],[Triglycerides]]/5),O279)</f>
        <v>276</v>
      </c>
      <c r="V279">
        <v>128</v>
      </c>
      <c r="W279" s="8">
        <f t="shared" si="65"/>
        <v>128</v>
      </c>
      <c r="X279" t="str">
        <f t="shared" si="66"/>
        <v>Diabetes</v>
      </c>
      <c r="Y279" t="s">
        <v>23</v>
      </c>
      <c r="Z279" t="s">
        <v>22</v>
      </c>
      <c r="AA279" t="s">
        <v>37</v>
      </c>
      <c r="AB279" s="3" t="s">
        <v>293</v>
      </c>
      <c r="AC279">
        <v>101</v>
      </c>
      <c r="AD279" s="3" t="str">
        <f t="shared" si="67"/>
        <v>101</v>
      </c>
      <c r="AE279">
        <v>72</v>
      </c>
      <c r="AF279" s="3" t="str">
        <f t="shared" si="68"/>
        <v>72</v>
      </c>
      <c r="AG279" t="s">
        <v>33</v>
      </c>
      <c r="AH279" s="3">
        <v>15.57</v>
      </c>
      <c r="AI279" s="3">
        <f t="shared" si="69"/>
        <v>15.57</v>
      </c>
      <c r="AJ279" t="s">
        <v>30</v>
      </c>
      <c r="AK279" t="str">
        <f>PROPER(Table1[[#This Row],[CVD Risk Level]])</f>
        <v>High</v>
      </c>
    </row>
    <row r="280" spans="1:37" x14ac:dyDescent="0.3">
      <c r="A280" t="s">
        <v>31</v>
      </c>
      <c r="B280">
        <v>60</v>
      </c>
      <c r="C280" s="8">
        <f t="shared" si="59"/>
        <v>60</v>
      </c>
      <c r="D280" s="5">
        <v>101.1</v>
      </c>
      <c r="E280" s="8">
        <f t="shared" si="60"/>
        <v>101.1</v>
      </c>
      <c r="F280">
        <v>1.89</v>
      </c>
      <c r="G280" s="3">
        <f t="shared" si="61"/>
        <v>1.89</v>
      </c>
      <c r="H280">
        <v>28.3</v>
      </c>
      <c r="I280" s="5">
        <f t="shared" si="57"/>
        <v>28.3</v>
      </c>
      <c r="J280" s="16" t="str">
        <f t="shared" si="62"/>
        <v>Overweight</v>
      </c>
      <c r="K280">
        <v>76.3</v>
      </c>
      <c r="L280">
        <v>0.40400000000000003</v>
      </c>
      <c r="M280" s="11">
        <f t="shared" si="58"/>
        <v>0.40400000000000003</v>
      </c>
      <c r="N280" s="5">
        <f t="shared" si="63"/>
        <v>76.3</v>
      </c>
      <c r="O280">
        <v>165</v>
      </c>
      <c r="P280">
        <v>67</v>
      </c>
      <c r="Q280" s="8">
        <f t="shared" si="64"/>
        <v>67</v>
      </c>
      <c r="R280" s="8">
        <v>68</v>
      </c>
      <c r="S280" s="8">
        <f t="shared" si="70"/>
        <v>68</v>
      </c>
      <c r="T280" s="8">
        <f>(Table1[[#This Row],[Total Cholesterol (mg/dL)]]+Table1[[#This Row],[HDL (mg/dL)2]]+Table1[[#This Row],[Estimated LDL (mg/dL)2]])*5</f>
        <v>1500</v>
      </c>
      <c r="U280" s="8">
        <f>IF(O280="",Table1[[#This Row],[Estimated LDL (mg/dL)2]]+Table1[[#This Row],[HDL (mg/dL)2]]+(Table1[[#This Row],[Triglycerides]]/5),O280)</f>
        <v>165</v>
      </c>
      <c r="V280">
        <v>107</v>
      </c>
      <c r="W280" s="8">
        <f t="shared" si="65"/>
        <v>107</v>
      </c>
      <c r="X280" t="str">
        <f t="shared" si="66"/>
        <v>Prediabetes</v>
      </c>
      <c r="Y280" t="s">
        <v>22</v>
      </c>
      <c r="Z280" t="s">
        <v>22</v>
      </c>
      <c r="AA280" t="s">
        <v>28</v>
      </c>
      <c r="AB280" s="3" t="s">
        <v>294</v>
      </c>
      <c r="AC280">
        <v>99</v>
      </c>
      <c r="AD280" s="3" t="str">
        <f t="shared" si="67"/>
        <v>99</v>
      </c>
      <c r="AE280">
        <v>76</v>
      </c>
      <c r="AF280" s="3" t="str">
        <f t="shared" si="68"/>
        <v>76</v>
      </c>
      <c r="AG280" t="s">
        <v>33</v>
      </c>
      <c r="AH280" s="3">
        <v>13.91</v>
      </c>
      <c r="AI280" s="3">
        <f t="shared" si="69"/>
        <v>13.91</v>
      </c>
      <c r="AJ280" t="s">
        <v>26</v>
      </c>
      <c r="AK280" t="str">
        <f>PROPER(Table1[[#This Row],[CVD Risk Level]])</f>
        <v>Intermediary</v>
      </c>
    </row>
    <row r="281" spans="1:37" x14ac:dyDescent="0.3">
      <c r="A281" t="s">
        <v>31</v>
      </c>
      <c r="B281">
        <v>49</v>
      </c>
      <c r="C281" s="8">
        <f t="shared" si="59"/>
        <v>49</v>
      </c>
      <c r="D281" s="5">
        <v>62.2</v>
      </c>
      <c r="E281" s="8">
        <f t="shared" si="60"/>
        <v>62.2</v>
      </c>
      <c r="F281">
        <v>1.7</v>
      </c>
      <c r="G281" s="3">
        <f t="shared" si="61"/>
        <v>1.7</v>
      </c>
      <c r="H281">
        <v>21.5</v>
      </c>
      <c r="I281" s="5">
        <f t="shared" si="57"/>
        <v>21.5</v>
      </c>
      <c r="J281" s="16" t="str">
        <f t="shared" si="62"/>
        <v>Normal</v>
      </c>
      <c r="K281">
        <v>75.900000000000006</v>
      </c>
      <c r="M281" s="11">
        <f t="shared" si="58"/>
        <v>0.44647058823529417</v>
      </c>
      <c r="N281" s="5">
        <f t="shared" si="63"/>
        <v>75.900000000000006</v>
      </c>
      <c r="O281">
        <v>211</v>
      </c>
      <c r="P281">
        <v>72</v>
      </c>
      <c r="Q281" s="8">
        <f t="shared" si="64"/>
        <v>72</v>
      </c>
      <c r="R281" s="8">
        <v>109</v>
      </c>
      <c r="S281" s="8">
        <f t="shared" si="70"/>
        <v>109</v>
      </c>
      <c r="T281" s="8">
        <f>(Table1[[#This Row],[Total Cholesterol (mg/dL)]]+Table1[[#This Row],[HDL (mg/dL)2]]+Table1[[#This Row],[Estimated LDL (mg/dL)2]])*5</f>
        <v>1960</v>
      </c>
      <c r="U281" s="8">
        <f>IF(O281="",Table1[[#This Row],[Estimated LDL (mg/dL)2]]+Table1[[#This Row],[HDL (mg/dL)2]]+(Table1[[#This Row],[Triglycerides]]/5),O281)</f>
        <v>211</v>
      </c>
      <c r="V281">
        <v>86</v>
      </c>
      <c r="W281" s="8">
        <f t="shared" si="65"/>
        <v>86</v>
      </c>
      <c r="X281" t="str">
        <f t="shared" si="66"/>
        <v>Normal</v>
      </c>
      <c r="Y281" t="s">
        <v>23</v>
      </c>
      <c r="Z281" t="s">
        <v>22</v>
      </c>
      <c r="AA281" t="s">
        <v>37</v>
      </c>
      <c r="AB281" s="3" t="s">
        <v>295</v>
      </c>
      <c r="AC281">
        <v>150</v>
      </c>
      <c r="AD281" s="3" t="str">
        <f t="shared" si="67"/>
        <v>150</v>
      </c>
      <c r="AE281">
        <v>91</v>
      </c>
      <c r="AF281" s="3" t="str">
        <f t="shared" si="68"/>
        <v>91</v>
      </c>
      <c r="AG281" t="s">
        <v>38</v>
      </c>
      <c r="AH281" s="3">
        <v>16.02</v>
      </c>
      <c r="AI281" s="3">
        <f t="shared" si="69"/>
        <v>16.02</v>
      </c>
      <c r="AJ281" t="s">
        <v>30</v>
      </c>
      <c r="AK281" t="str">
        <f>PROPER(Table1[[#This Row],[CVD Risk Level]])</f>
        <v>High</v>
      </c>
    </row>
    <row r="282" spans="1:37" x14ac:dyDescent="0.3">
      <c r="A282" t="s">
        <v>31</v>
      </c>
      <c r="B282">
        <v>31</v>
      </c>
      <c r="C282" s="8">
        <f t="shared" si="59"/>
        <v>31</v>
      </c>
      <c r="D282" s="5">
        <v>96</v>
      </c>
      <c r="E282" s="8">
        <f t="shared" si="60"/>
        <v>96</v>
      </c>
      <c r="F282">
        <v>1.85</v>
      </c>
      <c r="G282" s="3">
        <f t="shared" si="61"/>
        <v>1.85</v>
      </c>
      <c r="H282">
        <v>28</v>
      </c>
      <c r="I282" s="5">
        <f t="shared" si="57"/>
        <v>28</v>
      </c>
      <c r="J282" s="16" t="str">
        <f t="shared" si="62"/>
        <v>Overweight</v>
      </c>
      <c r="K282">
        <v>78.099999999999994</v>
      </c>
      <c r="L282">
        <v>0.42199999999999999</v>
      </c>
      <c r="M282" s="11">
        <f t="shared" si="58"/>
        <v>0.42199999999999999</v>
      </c>
      <c r="N282" s="5">
        <f t="shared" si="63"/>
        <v>78.099999999999994</v>
      </c>
      <c r="O282">
        <v>257</v>
      </c>
      <c r="P282">
        <v>38</v>
      </c>
      <c r="Q282" s="8">
        <f t="shared" si="64"/>
        <v>38</v>
      </c>
      <c r="R282" s="8">
        <v>189</v>
      </c>
      <c r="S282" s="8">
        <f t="shared" si="70"/>
        <v>189</v>
      </c>
      <c r="T282" s="8">
        <f>(Table1[[#This Row],[Total Cholesterol (mg/dL)]]+Table1[[#This Row],[HDL (mg/dL)2]]+Table1[[#This Row],[Estimated LDL (mg/dL)2]])*5</f>
        <v>2420</v>
      </c>
      <c r="U282" s="8">
        <f>IF(O282="",Table1[[#This Row],[Estimated LDL (mg/dL)2]]+Table1[[#This Row],[HDL (mg/dL)2]]+(Table1[[#This Row],[Triglycerides]]/5),O282)</f>
        <v>257</v>
      </c>
      <c r="V282">
        <v>125</v>
      </c>
      <c r="W282" s="8">
        <f t="shared" si="65"/>
        <v>125</v>
      </c>
      <c r="X282" t="str">
        <f t="shared" si="66"/>
        <v>Prediabetes</v>
      </c>
      <c r="Y282" t="s">
        <v>23</v>
      </c>
      <c r="Z282" t="s">
        <v>22</v>
      </c>
      <c r="AA282" t="s">
        <v>28</v>
      </c>
      <c r="AB282" s="3" t="s">
        <v>296</v>
      </c>
      <c r="AC282">
        <v>139</v>
      </c>
      <c r="AD282" s="3" t="str">
        <f t="shared" si="67"/>
        <v>139</v>
      </c>
      <c r="AE282">
        <v>81</v>
      </c>
      <c r="AF282" s="3" t="str">
        <f t="shared" si="68"/>
        <v>81</v>
      </c>
      <c r="AG282" t="s">
        <v>29</v>
      </c>
      <c r="AH282" s="3">
        <v>17.690000000000001</v>
      </c>
      <c r="AI282" s="3">
        <f t="shared" si="69"/>
        <v>17.690000000000001</v>
      </c>
      <c r="AJ282" t="s">
        <v>30</v>
      </c>
      <c r="AK282" t="str">
        <f>PROPER(Table1[[#This Row],[CVD Risk Level]])</f>
        <v>High</v>
      </c>
    </row>
    <row r="283" spans="1:37" x14ac:dyDescent="0.3">
      <c r="A283" t="s">
        <v>20</v>
      </c>
      <c r="B283">
        <v>52</v>
      </c>
      <c r="C283" s="8">
        <f t="shared" si="59"/>
        <v>52</v>
      </c>
      <c r="D283" s="5">
        <v>116.8</v>
      </c>
      <c r="E283" s="8">
        <f t="shared" si="60"/>
        <v>116.8</v>
      </c>
      <c r="F283">
        <v>1.62</v>
      </c>
      <c r="G283" s="3">
        <f t="shared" si="61"/>
        <v>1.62</v>
      </c>
      <c r="H283">
        <v>44.5</v>
      </c>
      <c r="I283" s="5">
        <f t="shared" si="57"/>
        <v>44.5</v>
      </c>
      <c r="J283" s="16" t="str">
        <f t="shared" si="62"/>
        <v>Obese</v>
      </c>
      <c r="K283">
        <v>102.6</v>
      </c>
      <c r="L283">
        <v>0.63300000000000001</v>
      </c>
      <c r="M283" s="11">
        <f t="shared" si="58"/>
        <v>0.63300000000000001</v>
      </c>
      <c r="N283" s="5">
        <f t="shared" si="63"/>
        <v>102.6</v>
      </c>
      <c r="O283">
        <v>208</v>
      </c>
      <c r="P283">
        <v>46</v>
      </c>
      <c r="Q283" s="8">
        <f t="shared" si="64"/>
        <v>46</v>
      </c>
      <c r="R283" s="8">
        <v>132</v>
      </c>
      <c r="S283" s="8">
        <f t="shared" si="70"/>
        <v>132</v>
      </c>
      <c r="T283" s="8">
        <f>(Table1[[#This Row],[Total Cholesterol (mg/dL)]]+Table1[[#This Row],[HDL (mg/dL)2]]+Table1[[#This Row],[Estimated LDL (mg/dL)2]])*5</f>
        <v>1930</v>
      </c>
      <c r="U283" s="8">
        <f>IF(O283="",Table1[[#This Row],[Estimated LDL (mg/dL)2]]+Table1[[#This Row],[HDL (mg/dL)2]]+(Table1[[#This Row],[Triglycerides]]/5),O283)</f>
        <v>208</v>
      </c>
      <c r="V283">
        <v>123</v>
      </c>
      <c r="W283" s="8">
        <f t="shared" si="65"/>
        <v>123</v>
      </c>
      <c r="X283" t="str">
        <f t="shared" si="66"/>
        <v>Prediabetes</v>
      </c>
      <c r="Y283" t="s">
        <v>23</v>
      </c>
      <c r="Z283" t="s">
        <v>23</v>
      </c>
      <c r="AA283" t="s">
        <v>24</v>
      </c>
      <c r="AB283" s="3" t="s">
        <v>297</v>
      </c>
      <c r="AC283">
        <v>104</v>
      </c>
      <c r="AD283" s="3" t="str">
        <f t="shared" si="67"/>
        <v>104</v>
      </c>
      <c r="AE283">
        <v>83</v>
      </c>
      <c r="AF283" s="3" t="str">
        <f t="shared" si="68"/>
        <v>83</v>
      </c>
      <c r="AG283" t="s">
        <v>29</v>
      </c>
      <c r="AH283" s="3">
        <v>20.260000000000002</v>
      </c>
      <c r="AI283" s="3">
        <f t="shared" si="69"/>
        <v>20.260000000000002</v>
      </c>
      <c r="AJ283" t="s">
        <v>30</v>
      </c>
      <c r="AK283" t="str">
        <f>PROPER(Table1[[#This Row],[CVD Risk Level]])</f>
        <v>High</v>
      </c>
    </row>
    <row r="284" spans="1:37" x14ac:dyDescent="0.3">
      <c r="A284" t="s">
        <v>31</v>
      </c>
      <c r="B284">
        <v>34</v>
      </c>
      <c r="C284" s="8">
        <f t="shared" si="59"/>
        <v>34</v>
      </c>
      <c r="D284" s="5">
        <v>99.4</v>
      </c>
      <c r="E284" s="8">
        <f t="shared" si="60"/>
        <v>99.4</v>
      </c>
      <c r="F284">
        <v>1.7</v>
      </c>
      <c r="G284" s="3">
        <f t="shared" si="61"/>
        <v>1.7</v>
      </c>
      <c r="H284">
        <v>34.4</v>
      </c>
      <c r="I284" s="5">
        <f t="shared" si="57"/>
        <v>34.4</v>
      </c>
      <c r="J284" s="16" t="str">
        <f t="shared" si="62"/>
        <v>Obese</v>
      </c>
      <c r="K284">
        <v>87.4</v>
      </c>
      <c r="L284">
        <v>0.51400000000000001</v>
      </c>
      <c r="M284" s="11">
        <f t="shared" si="58"/>
        <v>0.51400000000000001</v>
      </c>
      <c r="N284" s="5">
        <f t="shared" si="63"/>
        <v>87.4</v>
      </c>
      <c r="O284">
        <v>113</v>
      </c>
      <c r="P284">
        <v>33</v>
      </c>
      <c r="Q284" s="8">
        <f t="shared" si="64"/>
        <v>33</v>
      </c>
      <c r="R284" s="8">
        <v>50</v>
      </c>
      <c r="S284" s="8">
        <f t="shared" si="70"/>
        <v>50</v>
      </c>
      <c r="T284" s="8">
        <f>(Table1[[#This Row],[Total Cholesterol (mg/dL)]]+Table1[[#This Row],[HDL (mg/dL)2]]+Table1[[#This Row],[Estimated LDL (mg/dL)2]])*5</f>
        <v>980</v>
      </c>
      <c r="U284" s="8">
        <f>IF(O284="",Table1[[#This Row],[Estimated LDL (mg/dL)2]]+Table1[[#This Row],[HDL (mg/dL)2]]+(Table1[[#This Row],[Triglycerides]]/5),O284)</f>
        <v>113</v>
      </c>
      <c r="V284">
        <v>116</v>
      </c>
      <c r="W284" s="8">
        <f t="shared" si="65"/>
        <v>116</v>
      </c>
      <c r="X284" t="str">
        <f t="shared" si="66"/>
        <v>Prediabetes</v>
      </c>
      <c r="Y284" t="s">
        <v>23</v>
      </c>
      <c r="Z284" t="s">
        <v>22</v>
      </c>
      <c r="AA284" t="s">
        <v>24</v>
      </c>
      <c r="AB284" s="3" t="s">
        <v>208</v>
      </c>
      <c r="AC284">
        <v>111</v>
      </c>
      <c r="AD284" s="3" t="str">
        <f t="shared" si="67"/>
        <v>111</v>
      </c>
      <c r="AE284">
        <v>84</v>
      </c>
      <c r="AF284" s="3" t="str">
        <f t="shared" si="68"/>
        <v>84</v>
      </c>
      <c r="AG284" t="s">
        <v>29</v>
      </c>
      <c r="AH284" s="3">
        <v>14.69</v>
      </c>
      <c r="AI284" s="3">
        <f t="shared" si="69"/>
        <v>14.69</v>
      </c>
      <c r="AJ284" t="s">
        <v>30</v>
      </c>
      <c r="AK284" t="str">
        <f>PROPER(Table1[[#This Row],[CVD Risk Level]])</f>
        <v>High</v>
      </c>
    </row>
    <row r="285" spans="1:37" x14ac:dyDescent="0.3">
      <c r="A285" t="s">
        <v>20</v>
      </c>
      <c r="B285">
        <v>60</v>
      </c>
      <c r="C285" s="8">
        <f t="shared" si="59"/>
        <v>60</v>
      </c>
      <c r="D285" s="5">
        <v>53.4</v>
      </c>
      <c r="E285" s="8">
        <f t="shared" si="60"/>
        <v>53.4</v>
      </c>
      <c r="F285">
        <v>1.88</v>
      </c>
      <c r="G285" s="3">
        <f t="shared" si="61"/>
        <v>1.88</v>
      </c>
      <c r="H285">
        <v>15.1</v>
      </c>
      <c r="I285" s="5">
        <f t="shared" si="57"/>
        <v>15.1</v>
      </c>
      <c r="J285" s="16" t="str">
        <f t="shared" si="62"/>
        <v>Underweight</v>
      </c>
      <c r="K285">
        <v>79.8</v>
      </c>
      <c r="L285">
        <v>0.42399999999999999</v>
      </c>
      <c r="M285" s="11">
        <f t="shared" si="58"/>
        <v>0.42399999999999999</v>
      </c>
      <c r="N285" s="5">
        <f t="shared" si="63"/>
        <v>79.8</v>
      </c>
      <c r="O285">
        <v>146</v>
      </c>
      <c r="P285">
        <v>44</v>
      </c>
      <c r="Q285" s="8">
        <f t="shared" si="64"/>
        <v>44</v>
      </c>
      <c r="R285" s="8">
        <v>72</v>
      </c>
      <c r="S285" s="8">
        <f t="shared" si="70"/>
        <v>72</v>
      </c>
      <c r="T285" s="8">
        <f>(Table1[[#This Row],[Total Cholesterol (mg/dL)]]+Table1[[#This Row],[HDL (mg/dL)2]]+Table1[[#This Row],[Estimated LDL (mg/dL)2]])*5</f>
        <v>1310</v>
      </c>
      <c r="U285" s="8">
        <f>IF(O285="",Table1[[#This Row],[Estimated LDL (mg/dL)2]]+Table1[[#This Row],[HDL (mg/dL)2]]+(Table1[[#This Row],[Triglycerides]]/5),O285)</f>
        <v>146</v>
      </c>
      <c r="V285">
        <v>127</v>
      </c>
      <c r="W285" s="8">
        <f t="shared" si="65"/>
        <v>127</v>
      </c>
      <c r="X285" t="str">
        <f t="shared" si="66"/>
        <v>Diabetes</v>
      </c>
      <c r="Y285" t="s">
        <v>22</v>
      </c>
      <c r="Z285" t="s">
        <v>22</v>
      </c>
      <c r="AA285" t="s">
        <v>28</v>
      </c>
      <c r="AB285" s="3" t="s">
        <v>298</v>
      </c>
      <c r="AC285">
        <v>147</v>
      </c>
      <c r="AD285" s="3" t="str">
        <f t="shared" si="67"/>
        <v>147</v>
      </c>
      <c r="AE285">
        <v>64</v>
      </c>
      <c r="AF285" s="3" t="str">
        <f t="shared" si="68"/>
        <v>64</v>
      </c>
      <c r="AG285" t="s">
        <v>38</v>
      </c>
      <c r="AH285" s="3">
        <v>13.29</v>
      </c>
      <c r="AI285" s="3">
        <f t="shared" si="69"/>
        <v>13.29</v>
      </c>
      <c r="AJ285" t="s">
        <v>26</v>
      </c>
      <c r="AK285" t="str">
        <f>PROPER(Table1[[#This Row],[CVD Risk Level]])</f>
        <v>Intermediary</v>
      </c>
    </row>
    <row r="286" spans="1:37" x14ac:dyDescent="0.3">
      <c r="A286" t="s">
        <v>20</v>
      </c>
      <c r="B286">
        <v>34</v>
      </c>
      <c r="C286" s="8">
        <f t="shared" si="59"/>
        <v>34</v>
      </c>
      <c r="D286" s="5">
        <v>94</v>
      </c>
      <c r="E286" s="8">
        <f t="shared" si="60"/>
        <v>94</v>
      </c>
      <c r="F286">
        <v>1.6</v>
      </c>
      <c r="G286" s="3">
        <f t="shared" si="61"/>
        <v>1.6</v>
      </c>
      <c r="H286">
        <v>36.700000000000003</v>
      </c>
      <c r="I286" s="5">
        <f t="shared" si="57"/>
        <v>36.700000000000003</v>
      </c>
      <c r="J286" s="16" t="str">
        <f t="shared" si="62"/>
        <v>Obese</v>
      </c>
      <c r="K286">
        <v>84.7</v>
      </c>
      <c r="L286">
        <v>0.52900000000000003</v>
      </c>
      <c r="M286" s="11">
        <f t="shared" si="58"/>
        <v>0.52900000000000003</v>
      </c>
      <c r="N286" s="5">
        <f t="shared" si="63"/>
        <v>84.7</v>
      </c>
      <c r="O286">
        <v>156</v>
      </c>
      <c r="P286">
        <v>80</v>
      </c>
      <c r="Q286" s="8">
        <f t="shared" si="64"/>
        <v>80</v>
      </c>
      <c r="R286" s="8">
        <v>46</v>
      </c>
      <c r="S286" s="8">
        <f t="shared" si="70"/>
        <v>46</v>
      </c>
      <c r="T286" s="8">
        <f>(Table1[[#This Row],[Total Cholesterol (mg/dL)]]+Table1[[#This Row],[HDL (mg/dL)2]]+Table1[[#This Row],[Estimated LDL (mg/dL)2]])*5</f>
        <v>1410</v>
      </c>
      <c r="U286" s="8">
        <f>IF(O286="",Table1[[#This Row],[Estimated LDL (mg/dL)2]]+Table1[[#This Row],[HDL (mg/dL)2]]+(Table1[[#This Row],[Triglycerides]]/5),O286)</f>
        <v>156</v>
      </c>
      <c r="V286">
        <v>90</v>
      </c>
      <c r="W286" s="8">
        <f t="shared" si="65"/>
        <v>90</v>
      </c>
      <c r="X286" t="str">
        <f t="shared" si="66"/>
        <v>Normal</v>
      </c>
      <c r="Y286" t="s">
        <v>23</v>
      </c>
      <c r="Z286" t="s">
        <v>22</v>
      </c>
      <c r="AA286" t="s">
        <v>24</v>
      </c>
      <c r="AB286" s="3" t="s">
        <v>299</v>
      </c>
      <c r="AC286">
        <v>117</v>
      </c>
      <c r="AD286" s="3" t="str">
        <f t="shared" si="67"/>
        <v>117</v>
      </c>
      <c r="AE286">
        <v>69</v>
      </c>
      <c r="AF286" s="3" t="str">
        <f t="shared" si="68"/>
        <v>69</v>
      </c>
      <c r="AG286" t="s">
        <v>33</v>
      </c>
      <c r="AH286" s="3">
        <v>16.309999999999999</v>
      </c>
      <c r="AI286" s="3">
        <f t="shared" si="69"/>
        <v>16.309999999999999</v>
      </c>
      <c r="AJ286" t="s">
        <v>30</v>
      </c>
      <c r="AK286" t="str">
        <f>PROPER(Table1[[#This Row],[CVD Risk Level]])</f>
        <v>High</v>
      </c>
    </row>
    <row r="287" spans="1:37" x14ac:dyDescent="0.3">
      <c r="A287" t="s">
        <v>31</v>
      </c>
      <c r="B287">
        <v>32</v>
      </c>
      <c r="C287" s="8">
        <f t="shared" si="59"/>
        <v>32</v>
      </c>
      <c r="D287" s="5">
        <v>55.1</v>
      </c>
      <c r="E287" s="8">
        <f t="shared" si="60"/>
        <v>55.1</v>
      </c>
      <c r="F287">
        <v>1.76</v>
      </c>
      <c r="G287" s="3">
        <f t="shared" si="61"/>
        <v>1.76</v>
      </c>
      <c r="H287">
        <v>17.8</v>
      </c>
      <c r="I287" s="5">
        <f t="shared" si="57"/>
        <v>17.8</v>
      </c>
      <c r="J287" s="16" t="str">
        <f t="shared" si="62"/>
        <v>Underweight</v>
      </c>
      <c r="K287">
        <v>107.6</v>
      </c>
      <c r="M287" s="11">
        <f t="shared" si="58"/>
        <v>0.61136363636363633</v>
      </c>
      <c r="N287" s="5">
        <f t="shared" si="63"/>
        <v>107.6</v>
      </c>
      <c r="O287">
        <v>243</v>
      </c>
      <c r="P287">
        <v>42</v>
      </c>
      <c r="Q287" s="8">
        <f t="shared" si="64"/>
        <v>42</v>
      </c>
      <c r="R287" s="8">
        <v>171</v>
      </c>
      <c r="S287" s="8">
        <f t="shared" si="70"/>
        <v>171</v>
      </c>
      <c r="T287" s="8">
        <f>(Table1[[#This Row],[Total Cholesterol (mg/dL)]]+Table1[[#This Row],[HDL (mg/dL)2]]+Table1[[#This Row],[Estimated LDL (mg/dL)2]])*5</f>
        <v>2280</v>
      </c>
      <c r="U287" s="8">
        <f>IF(O287="",Table1[[#This Row],[Estimated LDL (mg/dL)2]]+Table1[[#This Row],[HDL (mg/dL)2]]+(Table1[[#This Row],[Triglycerides]]/5),O287)</f>
        <v>243</v>
      </c>
      <c r="V287">
        <v>88</v>
      </c>
      <c r="W287" s="8">
        <f t="shared" si="65"/>
        <v>88</v>
      </c>
      <c r="X287" t="str">
        <f t="shared" si="66"/>
        <v>Normal</v>
      </c>
      <c r="Y287" t="s">
        <v>22</v>
      </c>
      <c r="Z287" t="s">
        <v>23</v>
      </c>
      <c r="AA287" t="s">
        <v>37</v>
      </c>
      <c r="AB287" s="3" t="s">
        <v>300</v>
      </c>
      <c r="AC287">
        <v>115</v>
      </c>
      <c r="AD287" s="3" t="str">
        <f t="shared" si="67"/>
        <v>115</v>
      </c>
      <c r="AE287">
        <v>100</v>
      </c>
      <c r="AF287" s="3" t="str">
        <f t="shared" si="68"/>
        <v>100</v>
      </c>
      <c r="AG287" t="s">
        <v>38</v>
      </c>
      <c r="AH287" s="3">
        <v>16.170000000000002</v>
      </c>
      <c r="AI287" s="3">
        <f t="shared" si="69"/>
        <v>16.170000000000002</v>
      </c>
      <c r="AJ287" t="s">
        <v>26</v>
      </c>
      <c r="AK287" t="str">
        <f>PROPER(Table1[[#This Row],[CVD Risk Level]])</f>
        <v>Intermediary</v>
      </c>
    </row>
    <row r="288" spans="1:37" x14ac:dyDescent="0.3">
      <c r="A288" t="s">
        <v>31</v>
      </c>
      <c r="B288">
        <v>55</v>
      </c>
      <c r="C288" s="8">
        <f t="shared" si="59"/>
        <v>55</v>
      </c>
      <c r="D288" s="5">
        <v>69.3</v>
      </c>
      <c r="E288" s="8">
        <f t="shared" si="60"/>
        <v>69.3</v>
      </c>
      <c r="F288">
        <v>1.79</v>
      </c>
      <c r="G288" s="3">
        <f t="shared" si="61"/>
        <v>1.79</v>
      </c>
      <c r="H288">
        <v>21.6</v>
      </c>
      <c r="I288" s="5">
        <f t="shared" si="57"/>
        <v>21.6</v>
      </c>
      <c r="J288" s="16" t="str">
        <f t="shared" si="62"/>
        <v>Normal</v>
      </c>
      <c r="L288">
        <v>0.53</v>
      </c>
      <c r="M288" s="11">
        <f t="shared" si="58"/>
        <v>0.53</v>
      </c>
      <c r="N288" s="5">
        <f t="shared" si="63"/>
        <v>94.87</v>
      </c>
      <c r="O288">
        <v>224</v>
      </c>
      <c r="P288">
        <v>43</v>
      </c>
      <c r="Q288" s="8">
        <f t="shared" si="64"/>
        <v>43</v>
      </c>
      <c r="R288" s="8">
        <v>151</v>
      </c>
      <c r="S288" s="8">
        <f t="shared" si="70"/>
        <v>151</v>
      </c>
      <c r="T288" s="8">
        <f>(Table1[[#This Row],[Total Cholesterol (mg/dL)]]+Table1[[#This Row],[HDL (mg/dL)2]]+Table1[[#This Row],[Estimated LDL (mg/dL)2]])*5</f>
        <v>2090</v>
      </c>
      <c r="U288" s="8">
        <f>IF(O288="",Table1[[#This Row],[Estimated LDL (mg/dL)2]]+Table1[[#This Row],[HDL (mg/dL)2]]+(Table1[[#This Row],[Triglycerides]]/5),O288)</f>
        <v>224</v>
      </c>
      <c r="V288">
        <v>141</v>
      </c>
      <c r="W288" s="8">
        <f t="shared" si="65"/>
        <v>141</v>
      </c>
      <c r="X288" t="str">
        <f t="shared" si="66"/>
        <v>Diabetes</v>
      </c>
      <c r="Y288" t="s">
        <v>22</v>
      </c>
      <c r="Z288" t="s">
        <v>23</v>
      </c>
      <c r="AA288" t="s">
        <v>28</v>
      </c>
      <c r="AB288" s="3" t="s">
        <v>301</v>
      </c>
      <c r="AC288">
        <v>141</v>
      </c>
      <c r="AD288" s="3" t="str">
        <f t="shared" si="67"/>
        <v>141</v>
      </c>
      <c r="AE288">
        <v>85</v>
      </c>
      <c r="AF288" s="3" t="str">
        <f t="shared" si="68"/>
        <v>85</v>
      </c>
      <c r="AG288" t="s">
        <v>29</v>
      </c>
      <c r="AH288" s="3">
        <v>17.850000000000001</v>
      </c>
      <c r="AI288" s="3">
        <f t="shared" si="69"/>
        <v>17.850000000000001</v>
      </c>
      <c r="AJ288" t="s">
        <v>30</v>
      </c>
      <c r="AK288" t="str">
        <f>PROPER(Table1[[#This Row],[CVD Risk Level]])</f>
        <v>High</v>
      </c>
    </row>
    <row r="289" spans="1:37" x14ac:dyDescent="0.3">
      <c r="A289" t="s">
        <v>31</v>
      </c>
      <c r="B289">
        <v>48</v>
      </c>
      <c r="C289" s="8">
        <f t="shared" si="59"/>
        <v>48</v>
      </c>
      <c r="D289" s="5">
        <v>72.2</v>
      </c>
      <c r="E289" s="8">
        <f t="shared" si="60"/>
        <v>72.2</v>
      </c>
      <c r="F289">
        <v>1.72</v>
      </c>
      <c r="G289" s="3">
        <f t="shared" si="61"/>
        <v>1.72</v>
      </c>
      <c r="H289">
        <v>24.4</v>
      </c>
      <c r="I289" s="5">
        <f t="shared" si="57"/>
        <v>24.4</v>
      </c>
      <c r="J289" s="16" t="str">
        <f t="shared" si="62"/>
        <v>Normal</v>
      </c>
      <c r="K289">
        <v>86.9</v>
      </c>
      <c r="M289" s="11">
        <f t="shared" si="58"/>
        <v>0.50523255813953494</v>
      </c>
      <c r="N289" s="5">
        <f t="shared" si="63"/>
        <v>86.9</v>
      </c>
      <c r="O289">
        <v>127</v>
      </c>
      <c r="P289">
        <v>35</v>
      </c>
      <c r="Q289" s="8">
        <f t="shared" si="64"/>
        <v>35</v>
      </c>
      <c r="R289" s="8">
        <v>62</v>
      </c>
      <c r="S289" s="8">
        <f t="shared" si="70"/>
        <v>62</v>
      </c>
      <c r="T289" s="8">
        <f>(Table1[[#This Row],[Total Cholesterol (mg/dL)]]+Table1[[#This Row],[HDL (mg/dL)2]]+Table1[[#This Row],[Estimated LDL (mg/dL)2]])*5</f>
        <v>1120</v>
      </c>
      <c r="U289" s="8">
        <f>IF(O289="",Table1[[#This Row],[Estimated LDL (mg/dL)2]]+Table1[[#This Row],[HDL (mg/dL)2]]+(Table1[[#This Row],[Triglycerides]]/5),O289)</f>
        <v>127</v>
      </c>
      <c r="W289" s="8">
        <f t="shared" si="65"/>
        <v>117.48563611491107</v>
      </c>
      <c r="X289" t="str">
        <f t="shared" si="66"/>
        <v>Prediabetes</v>
      </c>
      <c r="Y289" t="s">
        <v>23</v>
      </c>
      <c r="Z289" t="s">
        <v>22</v>
      </c>
      <c r="AA289" t="s">
        <v>28</v>
      </c>
      <c r="AB289" s="3" t="s">
        <v>302</v>
      </c>
      <c r="AC289">
        <v>110</v>
      </c>
      <c r="AD289" s="3" t="str">
        <f t="shared" si="67"/>
        <v>110</v>
      </c>
      <c r="AE289">
        <v>77</v>
      </c>
      <c r="AF289" s="3" t="str">
        <f t="shared" si="68"/>
        <v>77</v>
      </c>
      <c r="AG289" t="s">
        <v>33</v>
      </c>
      <c r="AH289" s="3">
        <v>12.92</v>
      </c>
      <c r="AI289" s="3">
        <f t="shared" si="69"/>
        <v>12.92</v>
      </c>
      <c r="AJ289" t="s">
        <v>26</v>
      </c>
      <c r="AK289" t="str">
        <f>PROPER(Table1[[#This Row],[CVD Risk Level]])</f>
        <v>Intermediary</v>
      </c>
    </row>
    <row r="290" spans="1:37" x14ac:dyDescent="0.3">
      <c r="A290" t="s">
        <v>20</v>
      </c>
      <c r="B290">
        <v>56</v>
      </c>
      <c r="C290" s="8">
        <f t="shared" si="59"/>
        <v>56</v>
      </c>
      <c r="D290" s="5">
        <v>77.7</v>
      </c>
      <c r="E290" s="8">
        <f t="shared" si="60"/>
        <v>77.7</v>
      </c>
      <c r="F290">
        <v>1.62</v>
      </c>
      <c r="G290" s="3">
        <f t="shared" si="61"/>
        <v>1.62</v>
      </c>
      <c r="H290">
        <v>29.6</v>
      </c>
      <c r="I290" s="5">
        <f t="shared" si="57"/>
        <v>29.6</v>
      </c>
      <c r="J290" s="16" t="str">
        <f t="shared" si="62"/>
        <v>Overweight</v>
      </c>
      <c r="K290">
        <v>94.7</v>
      </c>
      <c r="L290">
        <v>0.58499999999999996</v>
      </c>
      <c r="M290" s="11">
        <f t="shared" si="58"/>
        <v>0.58499999999999996</v>
      </c>
      <c r="N290" s="5">
        <f t="shared" si="63"/>
        <v>94.7</v>
      </c>
      <c r="P290">
        <v>52</v>
      </c>
      <c r="Q290" s="8">
        <f t="shared" si="64"/>
        <v>52</v>
      </c>
      <c r="R290" s="8">
        <v>188</v>
      </c>
      <c r="S290" s="8">
        <f t="shared" si="70"/>
        <v>188</v>
      </c>
      <c r="T290" s="8">
        <f>(Table1[[#This Row],[Total Cholesterol (mg/dL)]]+Table1[[#This Row],[HDL (mg/dL)2]]+Table1[[#This Row],[Estimated LDL (mg/dL)2]])*5</f>
        <v>1200</v>
      </c>
      <c r="U290" s="8">
        <f>IF(O290="",Table1[[#This Row],[Estimated LDL (mg/dL)2]]+Table1[[#This Row],[HDL (mg/dL)2]]+(Table1[[#This Row],[Triglycerides]]/5),O290)</f>
        <v>480</v>
      </c>
      <c r="V290">
        <v>144</v>
      </c>
      <c r="W290" s="8">
        <f t="shared" si="65"/>
        <v>144</v>
      </c>
      <c r="X290" t="str">
        <f t="shared" si="66"/>
        <v>Diabetes</v>
      </c>
      <c r="Y290" t="s">
        <v>22</v>
      </c>
      <c r="Z290" t="s">
        <v>22</v>
      </c>
      <c r="AA290" t="s">
        <v>24</v>
      </c>
      <c r="AB290" s="3" t="s">
        <v>86</v>
      </c>
      <c r="AC290">
        <v>102</v>
      </c>
      <c r="AD290" s="3" t="str">
        <f t="shared" si="67"/>
        <v>102</v>
      </c>
      <c r="AE290">
        <v>71</v>
      </c>
      <c r="AF290" s="3" t="str">
        <f t="shared" si="68"/>
        <v>71</v>
      </c>
      <c r="AG290" t="s">
        <v>33</v>
      </c>
      <c r="AH290" s="3">
        <v>16.420000000000002</v>
      </c>
      <c r="AI290" s="3">
        <f t="shared" si="69"/>
        <v>16.420000000000002</v>
      </c>
      <c r="AJ290" t="s">
        <v>30</v>
      </c>
      <c r="AK290" t="str">
        <f>PROPER(Table1[[#This Row],[CVD Risk Level]])</f>
        <v>High</v>
      </c>
    </row>
    <row r="291" spans="1:37" x14ac:dyDescent="0.3">
      <c r="A291" t="s">
        <v>20</v>
      </c>
      <c r="B291">
        <v>47</v>
      </c>
      <c r="C291" s="8">
        <f t="shared" si="59"/>
        <v>47</v>
      </c>
      <c r="D291" s="5">
        <v>112.9</v>
      </c>
      <c r="E291" s="8">
        <f t="shared" si="60"/>
        <v>112.9</v>
      </c>
      <c r="F291">
        <v>1.75</v>
      </c>
      <c r="G291" s="3">
        <f t="shared" si="61"/>
        <v>1.75</v>
      </c>
      <c r="H291">
        <v>36.9</v>
      </c>
      <c r="I291" s="5">
        <f t="shared" si="57"/>
        <v>36.9</v>
      </c>
      <c r="J291" s="16" t="str">
        <f t="shared" si="62"/>
        <v>Obese</v>
      </c>
      <c r="K291">
        <v>98</v>
      </c>
      <c r="M291" s="11">
        <f t="shared" si="58"/>
        <v>0.56000000000000005</v>
      </c>
      <c r="N291" s="5">
        <f t="shared" si="63"/>
        <v>98</v>
      </c>
      <c r="O291">
        <v>163</v>
      </c>
      <c r="P291">
        <v>64</v>
      </c>
      <c r="Q291" s="8">
        <f t="shared" si="64"/>
        <v>64</v>
      </c>
      <c r="R291" s="8">
        <v>69</v>
      </c>
      <c r="S291" s="8">
        <f t="shared" si="70"/>
        <v>69</v>
      </c>
      <c r="T291" s="8">
        <f>(Table1[[#This Row],[Total Cholesterol (mg/dL)]]+Table1[[#This Row],[HDL (mg/dL)2]]+Table1[[#This Row],[Estimated LDL (mg/dL)2]])*5</f>
        <v>1480</v>
      </c>
      <c r="U291" s="8">
        <f>IF(O291="",Table1[[#This Row],[Estimated LDL (mg/dL)2]]+Table1[[#This Row],[HDL (mg/dL)2]]+(Table1[[#This Row],[Triglycerides]]/5),O291)</f>
        <v>163</v>
      </c>
      <c r="V291">
        <v>82</v>
      </c>
      <c r="W291" s="8">
        <f t="shared" si="65"/>
        <v>82</v>
      </c>
      <c r="X291" t="str">
        <f t="shared" si="66"/>
        <v>Normal</v>
      </c>
      <c r="Y291" t="s">
        <v>23</v>
      </c>
      <c r="Z291" t="s">
        <v>23</v>
      </c>
      <c r="AA291" t="s">
        <v>28</v>
      </c>
      <c r="AB291" s="3" t="s">
        <v>303</v>
      </c>
      <c r="AC291">
        <v>136</v>
      </c>
      <c r="AD291" s="3" t="str">
        <f t="shared" si="67"/>
        <v>136</v>
      </c>
      <c r="AE291">
        <v>85</v>
      </c>
      <c r="AF291" s="3" t="str">
        <f t="shared" si="68"/>
        <v>85</v>
      </c>
      <c r="AG291" t="s">
        <v>29</v>
      </c>
      <c r="AH291" s="3">
        <v>19.440000000000001</v>
      </c>
      <c r="AI291" s="3">
        <f t="shared" si="69"/>
        <v>19.440000000000001</v>
      </c>
      <c r="AJ291" t="s">
        <v>30</v>
      </c>
      <c r="AK291" t="str">
        <f>PROPER(Table1[[#This Row],[CVD Risk Level]])</f>
        <v>High</v>
      </c>
    </row>
    <row r="292" spans="1:37" x14ac:dyDescent="0.3">
      <c r="A292" t="s">
        <v>31</v>
      </c>
      <c r="B292">
        <v>59</v>
      </c>
      <c r="C292" s="8">
        <f t="shared" si="59"/>
        <v>59</v>
      </c>
      <c r="D292" s="5">
        <v>104.6</v>
      </c>
      <c r="E292" s="8">
        <f t="shared" si="60"/>
        <v>104.6</v>
      </c>
      <c r="F292">
        <v>1.67</v>
      </c>
      <c r="G292" s="3">
        <f t="shared" si="61"/>
        <v>1.67</v>
      </c>
      <c r="H292">
        <v>37.5</v>
      </c>
      <c r="I292" s="5">
        <f t="shared" si="57"/>
        <v>37.5</v>
      </c>
      <c r="J292" s="16" t="str">
        <f t="shared" si="62"/>
        <v>Obese</v>
      </c>
      <c r="K292">
        <v>108.7</v>
      </c>
      <c r="L292">
        <v>0.65100000000000002</v>
      </c>
      <c r="M292" s="11">
        <f t="shared" si="58"/>
        <v>0.65100000000000002</v>
      </c>
      <c r="N292" s="5">
        <f t="shared" si="63"/>
        <v>108.7</v>
      </c>
      <c r="O292">
        <v>152</v>
      </c>
      <c r="P292">
        <v>67</v>
      </c>
      <c r="Q292" s="8">
        <f t="shared" si="64"/>
        <v>67</v>
      </c>
      <c r="R292" s="8">
        <v>55</v>
      </c>
      <c r="S292" s="8">
        <f>IF(R292&lt;=0,MEDIAN($R$2:$R$1530),R292)</f>
        <v>55</v>
      </c>
      <c r="T292" s="8">
        <f>(Table1[[#This Row],[Total Cholesterol (mg/dL)]]+Table1[[#This Row],[HDL (mg/dL)2]]+Table1[[#This Row],[Estimated LDL (mg/dL)2]])*5</f>
        <v>1370</v>
      </c>
      <c r="U292" s="8">
        <f>IF(O292="",Table1[[#This Row],[Estimated LDL (mg/dL)2]]+Table1[[#This Row],[HDL (mg/dL)2]]+(Table1[[#This Row],[Triglycerides]]/5),O292)</f>
        <v>152</v>
      </c>
      <c r="V292">
        <v>83</v>
      </c>
      <c r="W292" s="8">
        <f t="shared" si="65"/>
        <v>83</v>
      </c>
      <c r="X292" t="str">
        <f t="shared" si="66"/>
        <v>Normal</v>
      </c>
      <c r="Y292" t="s">
        <v>22</v>
      </c>
      <c r="Z292" t="s">
        <v>23</v>
      </c>
      <c r="AA292" t="s">
        <v>37</v>
      </c>
      <c r="AB292" s="3" t="s">
        <v>304</v>
      </c>
      <c r="AC292">
        <v>145</v>
      </c>
      <c r="AD292" s="3" t="str">
        <f t="shared" si="67"/>
        <v>145</v>
      </c>
      <c r="AE292">
        <v>62</v>
      </c>
      <c r="AF292" s="3" t="str">
        <f t="shared" si="68"/>
        <v>62</v>
      </c>
      <c r="AG292" t="s">
        <v>38</v>
      </c>
      <c r="AH292" s="3">
        <v>19.79</v>
      </c>
      <c r="AI292" s="3">
        <f t="shared" si="69"/>
        <v>19.79</v>
      </c>
      <c r="AJ292" t="s">
        <v>30</v>
      </c>
      <c r="AK292" t="str">
        <f>PROPER(Table1[[#This Row],[CVD Risk Level]])</f>
        <v>High</v>
      </c>
    </row>
    <row r="293" spans="1:37" x14ac:dyDescent="0.3">
      <c r="A293" t="s">
        <v>31</v>
      </c>
      <c r="B293">
        <v>42</v>
      </c>
      <c r="C293" s="8">
        <f t="shared" si="59"/>
        <v>42</v>
      </c>
      <c r="D293" s="5">
        <v>67.599999999999994</v>
      </c>
      <c r="E293" s="8">
        <f t="shared" si="60"/>
        <v>67.599999999999994</v>
      </c>
      <c r="F293">
        <v>1.81</v>
      </c>
      <c r="G293" s="3">
        <f t="shared" si="61"/>
        <v>1.81</v>
      </c>
      <c r="H293">
        <v>20.6</v>
      </c>
      <c r="I293" s="5">
        <f t="shared" si="57"/>
        <v>20.6</v>
      </c>
      <c r="J293" s="16" t="str">
        <f t="shared" si="62"/>
        <v>Normal</v>
      </c>
      <c r="K293">
        <v>98.3</v>
      </c>
      <c r="L293">
        <v>0.54300000000000004</v>
      </c>
      <c r="M293" s="11">
        <f t="shared" si="58"/>
        <v>0.54300000000000004</v>
      </c>
      <c r="N293" s="5">
        <f t="shared" si="63"/>
        <v>98.3</v>
      </c>
      <c r="O293">
        <v>258</v>
      </c>
      <c r="P293">
        <v>69</v>
      </c>
      <c r="Q293" s="8">
        <f t="shared" si="64"/>
        <v>69</v>
      </c>
      <c r="R293" s="8">
        <v>159</v>
      </c>
      <c r="S293" s="8">
        <f t="shared" si="70"/>
        <v>159</v>
      </c>
      <c r="T293" s="8">
        <f>(Table1[[#This Row],[Total Cholesterol (mg/dL)]]+Table1[[#This Row],[HDL (mg/dL)2]]+Table1[[#This Row],[Estimated LDL (mg/dL)2]])*5</f>
        <v>2430</v>
      </c>
      <c r="U293" s="8">
        <f>IF(O293="",Table1[[#This Row],[Estimated LDL (mg/dL)2]]+Table1[[#This Row],[HDL (mg/dL)2]]+(Table1[[#This Row],[Triglycerides]]/5),O293)</f>
        <v>258</v>
      </c>
      <c r="V293">
        <v>80</v>
      </c>
      <c r="W293" s="8">
        <f t="shared" si="65"/>
        <v>80</v>
      </c>
      <c r="X293" t="str">
        <f t="shared" si="66"/>
        <v>Normal</v>
      </c>
      <c r="Y293" t="s">
        <v>23</v>
      </c>
      <c r="Z293" t="s">
        <v>23</v>
      </c>
      <c r="AA293" t="s">
        <v>37</v>
      </c>
      <c r="AB293" s="3" t="s">
        <v>305</v>
      </c>
      <c r="AC293">
        <v>113</v>
      </c>
      <c r="AD293" s="3" t="str">
        <f t="shared" si="67"/>
        <v>113</v>
      </c>
      <c r="AE293">
        <v>72</v>
      </c>
      <c r="AF293" s="3" t="str">
        <f t="shared" si="68"/>
        <v>72</v>
      </c>
      <c r="AG293" t="s">
        <v>33</v>
      </c>
      <c r="AH293" s="3">
        <v>16.93</v>
      </c>
      <c r="AI293" s="3">
        <f t="shared" si="69"/>
        <v>16.93</v>
      </c>
      <c r="AJ293" t="s">
        <v>26</v>
      </c>
      <c r="AK293" t="str">
        <f>PROPER(Table1[[#This Row],[CVD Risk Level]])</f>
        <v>Intermediary</v>
      </c>
    </row>
    <row r="294" spans="1:37" x14ac:dyDescent="0.3">
      <c r="A294" t="s">
        <v>20</v>
      </c>
      <c r="B294">
        <v>44</v>
      </c>
      <c r="C294" s="8">
        <f t="shared" si="59"/>
        <v>44</v>
      </c>
      <c r="D294" s="5">
        <v>110.3</v>
      </c>
      <c r="E294" s="8">
        <f t="shared" si="60"/>
        <v>110.3</v>
      </c>
      <c r="F294">
        <v>1.7</v>
      </c>
      <c r="G294" s="3">
        <f t="shared" si="61"/>
        <v>1.7</v>
      </c>
      <c r="H294">
        <v>38.200000000000003</v>
      </c>
      <c r="I294" s="5">
        <f t="shared" si="57"/>
        <v>38.200000000000003</v>
      </c>
      <c r="J294" s="16" t="str">
        <f t="shared" si="62"/>
        <v>Obese</v>
      </c>
      <c r="K294">
        <v>100.9</v>
      </c>
      <c r="M294" s="11">
        <f t="shared" si="58"/>
        <v>0.59352941176470586</v>
      </c>
      <c r="N294" s="5">
        <f t="shared" si="63"/>
        <v>100.9</v>
      </c>
      <c r="O294">
        <v>139</v>
      </c>
      <c r="P294">
        <v>34</v>
      </c>
      <c r="Q294" s="8">
        <f t="shared" si="64"/>
        <v>34</v>
      </c>
      <c r="R294" s="8">
        <v>75</v>
      </c>
      <c r="S294" s="8">
        <f t="shared" si="70"/>
        <v>75</v>
      </c>
      <c r="T294" s="8">
        <f>(Table1[[#This Row],[Total Cholesterol (mg/dL)]]+Table1[[#This Row],[HDL (mg/dL)2]]+Table1[[#This Row],[Estimated LDL (mg/dL)2]])*5</f>
        <v>1240</v>
      </c>
      <c r="U294" s="8">
        <f>IF(O294="",Table1[[#This Row],[Estimated LDL (mg/dL)2]]+Table1[[#This Row],[HDL (mg/dL)2]]+(Table1[[#This Row],[Triglycerides]]/5),O294)</f>
        <v>139</v>
      </c>
      <c r="V294">
        <v>86</v>
      </c>
      <c r="W294" s="8">
        <f t="shared" si="65"/>
        <v>86</v>
      </c>
      <c r="X294" t="str">
        <f t="shared" si="66"/>
        <v>Normal</v>
      </c>
      <c r="Y294" t="s">
        <v>23</v>
      </c>
      <c r="Z294" t="s">
        <v>22</v>
      </c>
      <c r="AA294" t="s">
        <v>24</v>
      </c>
      <c r="AB294" s="3" t="s">
        <v>306</v>
      </c>
      <c r="AC294">
        <v>123</v>
      </c>
      <c r="AD294" s="3" t="str">
        <f t="shared" si="67"/>
        <v>123</v>
      </c>
      <c r="AE294">
        <v>75</v>
      </c>
      <c r="AF294" s="3" t="str">
        <f t="shared" si="68"/>
        <v>75</v>
      </c>
      <c r="AG294" t="s">
        <v>25</v>
      </c>
      <c r="AH294" s="3">
        <v>16.57</v>
      </c>
      <c r="AI294" s="3">
        <f t="shared" si="69"/>
        <v>16.57</v>
      </c>
      <c r="AJ294" t="s">
        <v>30</v>
      </c>
      <c r="AK294" t="str">
        <f>PROPER(Table1[[#This Row],[CVD Risk Level]])</f>
        <v>High</v>
      </c>
    </row>
    <row r="295" spans="1:37" x14ac:dyDescent="0.3">
      <c r="A295" t="s">
        <v>20</v>
      </c>
      <c r="B295">
        <v>59</v>
      </c>
      <c r="C295" s="8">
        <f t="shared" si="59"/>
        <v>59</v>
      </c>
      <c r="D295" s="5">
        <v>78.8</v>
      </c>
      <c r="E295" s="8">
        <f t="shared" si="60"/>
        <v>78.8</v>
      </c>
      <c r="F295">
        <v>1.76</v>
      </c>
      <c r="G295" s="3">
        <f t="shared" si="61"/>
        <v>1.76</v>
      </c>
      <c r="H295">
        <v>25.4</v>
      </c>
      <c r="I295" s="5">
        <f t="shared" si="57"/>
        <v>25.4</v>
      </c>
      <c r="J295" s="16" t="str">
        <f t="shared" si="62"/>
        <v>Overweight</v>
      </c>
      <c r="K295">
        <v>84</v>
      </c>
      <c r="M295" s="11">
        <f t="shared" si="58"/>
        <v>0.47727272727272729</v>
      </c>
      <c r="N295" s="5">
        <f t="shared" si="63"/>
        <v>84</v>
      </c>
      <c r="O295">
        <v>105</v>
      </c>
      <c r="P295">
        <v>60</v>
      </c>
      <c r="Q295" s="8">
        <f t="shared" si="64"/>
        <v>60</v>
      </c>
      <c r="R295" s="8">
        <v>15</v>
      </c>
      <c r="S295" s="8">
        <f t="shared" si="70"/>
        <v>15</v>
      </c>
      <c r="T295" s="8">
        <f>(Table1[[#This Row],[Total Cholesterol (mg/dL)]]+Table1[[#This Row],[HDL (mg/dL)2]]+Table1[[#This Row],[Estimated LDL (mg/dL)2]])*5</f>
        <v>900</v>
      </c>
      <c r="U295" s="8">
        <f>IF(O295="",Table1[[#This Row],[Estimated LDL (mg/dL)2]]+Table1[[#This Row],[HDL (mg/dL)2]]+(Table1[[#This Row],[Triglycerides]]/5),O295)</f>
        <v>105</v>
      </c>
      <c r="V295">
        <v>99</v>
      </c>
      <c r="W295" s="8">
        <f t="shared" si="65"/>
        <v>99</v>
      </c>
      <c r="X295" t="str">
        <f t="shared" si="66"/>
        <v>Normal</v>
      </c>
      <c r="Y295" t="s">
        <v>22</v>
      </c>
      <c r="Z295" t="s">
        <v>22</v>
      </c>
      <c r="AA295" t="s">
        <v>37</v>
      </c>
      <c r="AB295" s="3" t="s">
        <v>307</v>
      </c>
      <c r="AC295">
        <v>99</v>
      </c>
      <c r="AD295" s="3" t="str">
        <f t="shared" si="67"/>
        <v>99</v>
      </c>
      <c r="AE295">
        <v>75</v>
      </c>
      <c r="AF295" s="3" t="str">
        <f t="shared" si="68"/>
        <v>75</v>
      </c>
      <c r="AG295" t="s">
        <v>33</v>
      </c>
      <c r="AH295" s="3">
        <v>12.13</v>
      </c>
      <c r="AI295" s="3">
        <f t="shared" si="69"/>
        <v>12.13</v>
      </c>
      <c r="AJ295" t="s">
        <v>26</v>
      </c>
      <c r="AK295" t="str">
        <f>PROPER(Table1[[#This Row],[CVD Risk Level]])</f>
        <v>Intermediary</v>
      </c>
    </row>
    <row r="296" spans="1:37" x14ac:dyDescent="0.3">
      <c r="A296" t="s">
        <v>20</v>
      </c>
      <c r="B296">
        <v>49</v>
      </c>
      <c r="C296" s="8">
        <f t="shared" si="59"/>
        <v>49</v>
      </c>
      <c r="D296" s="5">
        <v>61.5</v>
      </c>
      <c r="E296" s="8">
        <f t="shared" si="60"/>
        <v>61.5</v>
      </c>
      <c r="F296">
        <v>1.86</v>
      </c>
      <c r="G296" s="3">
        <f t="shared" si="61"/>
        <v>1.86</v>
      </c>
      <c r="H296">
        <v>17.8</v>
      </c>
      <c r="I296" s="5">
        <f t="shared" si="57"/>
        <v>17.8</v>
      </c>
      <c r="J296" s="16" t="str">
        <f t="shared" si="62"/>
        <v>Underweight</v>
      </c>
      <c r="K296">
        <v>102.5</v>
      </c>
      <c r="L296">
        <v>0.55100000000000005</v>
      </c>
      <c r="M296" s="11">
        <f t="shared" si="58"/>
        <v>0.55100000000000005</v>
      </c>
      <c r="N296" s="5">
        <f t="shared" si="63"/>
        <v>102.5</v>
      </c>
      <c r="O296">
        <v>151</v>
      </c>
      <c r="P296">
        <v>80</v>
      </c>
      <c r="Q296" s="8">
        <f t="shared" si="64"/>
        <v>80</v>
      </c>
      <c r="R296" s="8">
        <v>41</v>
      </c>
      <c r="S296" s="8">
        <f t="shared" si="70"/>
        <v>41</v>
      </c>
      <c r="T296" s="8">
        <f>(Table1[[#This Row],[Total Cholesterol (mg/dL)]]+Table1[[#This Row],[HDL (mg/dL)2]]+Table1[[#This Row],[Estimated LDL (mg/dL)2]])*5</f>
        <v>1360</v>
      </c>
      <c r="U296" s="8">
        <f>IF(O296="",Table1[[#This Row],[Estimated LDL (mg/dL)2]]+Table1[[#This Row],[HDL (mg/dL)2]]+(Table1[[#This Row],[Triglycerides]]/5),O296)</f>
        <v>151</v>
      </c>
      <c r="V296">
        <v>92</v>
      </c>
      <c r="W296" s="8">
        <f t="shared" si="65"/>
        <v>92</v>
      </c>
      <c r="X296" t="str">
        <f t="shared" si="66"/>
        <v>Normal</v>
      </c>
      <c r="Y296" t="s">
        <v>22</v>
      </c>
      <c r="Z296" t="s">
        <v>23</v>
      </c>
      <c r="AA296" t="s">
        <v>28</v>
      </c>
      <c r="AB296" s="3" t="s">
        <v>308</v>
      </c>
      <c r="AC296">
        <v>106</v>
      </c>
      <c r="AD296" s="3" t="str">
        <f t="shared" si="67"/>
        <v>106</v>
      </c>
      <c r="AE296">
        <v>61</v>
      </c>
      <c r="AF296" s="3" t="str">
        <f t="shared" si="68"/>
        <v>61</v>
      </c>
      <c r="AG296" t="s">
        <v>33</v>
      </c>
      <c r="AH296" s="3">
        <v>13.88</v>
      </c>
      <c r="AI296" s="3">
        <f t="shared" si="69"/>
        <v>13.88</v>
      </c>
      <c r="AJ296" t="s">
        <v>26</v>
      </c>
      <c r="AK296" t="str">
        <f>PROPER(Table1[[#This Row],[CVD Risk Level]])</f>
        <v>Intermediary</v>
      </c>
    </row>
    <row r="297" spans="1:37" x14ac:dyDescent="0.3">
      <c r="A297" t="s">
        <v>31</v>
      </c>
      <c r="B297">
        <v>35</v>
      </c>
      <c r="C297" s="8">
        <f t="shared" si="59"/>
        <v>35</v>
      </c>
      <c r="D297" s="5">
        <v>71.8</v>
      </c>
      <c r="E297" s="8">
        <f t="shared" si="60"/>
        <v>71.8</v>
      </c>
      <c r="F297">
        <v>1.61</v>
      </c>
      <c r="G297" s="3">
        <f t="shared" si="61"/>
        <v>1.61</v>
      </c>
      <c r="H297">
        <v>27.7</v>
      </c>
      <c r="I297" s="5">
        <f t="shared" si="57"/>
        <v>27.7</v>
      </c>
      <c r="J297" s="16" t="str">
        <f t="shared" si="62"/>
        <v>Overweight</v>
      </c>
      <c r="K297">
        <v>107.4</v>
      </c>
      <c r="L297">
        <v>0.66700000000000004</v>
      </c>
      <c r="M297" s="11">
        <f t="shared" si="58"/>
        <v>0.66700000000000004</v>
      </c>
      <c r="N297" s="5">
        <f t="shared" si="63"/>
        <v>107.4</v>
      </c>
      <c r="O297">
        <v>179</v>
      </c>
      <c r="P297">
        <v>77</v>
      </c>
      <c r="Q297" s="8">
        <f t="shared" si="64"/>
        <v>77</v>
      </c>
      <c r="R297" s="8">
        <v>72</v>
      </c>
      <c r="S297" s="8">
        <f t="shared" si="70"/>
        <v>72</v>
      </c>
      <c r="T297" s="8">
        <f>(Table1[[#This Row],[Total Cholesterol (mg/dL)]]+Table1[[#This Row],[HDL (mg/dL)2]]+Table1[[#This Row],[Estimated LDL (mg/dL)2]])*5</f>
        <v>1640</v>
      </c>
      <c r="U297" s="8">
        <f>IF(O297="",Table1[[#This Row],[Estimated LDL (mg/dL)2]]+Table1[[#This Row],[HDL (mg/dL)2]]+(Table1[[#This Row],[Triglycerides]]/5),O297)</f>
        <v>179</v>
      </c>
      <c r="W297" s="8">
        <f t="shared" si="65"/>
        <v>117.48563611491107</v>
      </c>
      <c r="X297" t="str">
        <f t="shared" si="66"/>
        <v>Prediabetes</v>
      </c>
      <c r="Y297" t="s">
        <v>22</v>
      </c>
      <c r="Z297" t="s">
        <v>22</v>
      </c>
      <c r="AA297" t="s">
        <v>28</v>
      </c>
      <c r="AB297" s="3" t="s">
        <v>309</v>
      </c>
      <c r="AD297" s="3" t="str">
        <f t="shared" si="67"/>
        <v>129</v>
      </c>
      <c r="AE297">
        <v>77</v>
      </c>
      <c r="AF297" s="3" t="str">
        <f t="shared" si="68"/>
        <v>77</v>
      </c>
      <c r="AG297" t="s">
        <v>25</v>
      </c>
      <c r="AH297" s="3">
        <v>15.57</v>
      </c>
      <c r="AI297" s="3">
        <f t="shared" si="69"/>
        <v>15.57</v>
      </c>
      <c r="AJ297" t="s">
        <v>52</v>
      </c>
      <c r="AK297" t="str">
        <f>PROPER(Table1[[#This Row],[CVD Risk Level]])</f>
        <v>Low</v>
      </c>
    </row>
    <row r="298" spans="1:37" x14ac:dyDescent="0.3">
      <c r="A298" t="s">
        <v>31</v>
      </c>
      <c r="B298">
        <v>46</v>
      </c>
      <c r="C298" s="8">
        <f t="shared" si="59"/>
        <v>46</v>
      </c>
      <c r="D298" s="5">
        <v>78.8</v>
      </c>
      <c r="E298" s="8">
        <f t="shared" si="60"/>
        <v>78.8</v>
      </c>
      <c r="F298">
        <v>1.7</v>
      </c>
      <c r="G298" s="3">
        <f t="shared" si="61"/>
        <v>1.7</v>
      </c>
      <c r="H298">
        <v>27.3</v>
      </c>
      <c r="I298" s="5">
        <f t="shared" si="57"/>
        <v>27.3</v>
      </c>
      <c r="J298" s="16" t="str">
        <f t="shared" si="62"/>
        <v>Overweight</v>
      </c>
      <c r="K298">
        <v>71.900000000000006</v>
      </c>
      <c r="L298">
        <v>0.42299999999999999</v>
      </c>
      <c r="M298" s="11">
        <f t="shared" si="58"/>
        <v>0.42299999999999999</v>
      </c>
      <c r="N298" s="5">
        <f t="shared" si="63"/>
        <v>71.900000000000006</v>
      </c>
      <c r="O298">
        <v>131</v>
      </c>
      <c r="P298">
        <v>62</v>
      </c>
      <c r="Q298" s="8">
        <f t="shared" si="64"/>
        <v>62</v>
      </c>
      <c r="R298" s="8">
        <v>39</v>
      </c>
      <c r="S298" s="8">
        <f t="shared" si="70"/>
        <v>39</v>
      </c>
      <c r="T298" s="8">
        <f>(Table1[[#This Row],[Total Cholesterol (mg/dL)]]+Table1[[#This Row],[HDL (mg/dL)2]]+Table1[[#This Row],[Estimated LDL (mg/dL)2]])*5</f>
        <v>1160</v>
      </c>
      <c r="U298" s="8">
        <f>IF(O298="",Table1[[#This Row],[Estimated LDL (mg/dL)2]]+Table1[[#This Row],[HDL (mg/dL)2]]+(Table1[[#This Row],[Triglycerides]]/5),O298)</f>
        <v>131</v>
      </c>
      <c r="V298">
        <v>84</v>
      </c>
      <c r="W298" s="8">
        <f t="shared" si="65"/>
        <v>84</v>
      </c>
      <c r="X298" t="str">
        <f t="shared" si="66"/>
        <v>Normal</v>
      </c>
      <c r="Y298" t="s">
        <v>22</v>
      </c>
      <c r="Z298" t="s">
        <v>23</v>
      </c>
      <c r="AA298" t="s">
        <v>24</v>
      </c>
      <c r="AB298" s="3" t="s">
        <v>310</v>
      </c>
      <c r="AC298">
        <v>101</v>
      </c>
      <c r="AD298" s="3" t="str">
        <f t="shared" si="67"/>
        <v>101</v>
      </c>
      <c r="AE298">
        <v>78</v>
      </c>
      <c r="AF298" s="3" t="str">
        <f t="shared" si="68"/>
        <v>78</v>
      </c>
      <c r="AG298" t="s">
        <v>33</v>
      </c>
      <c r="AH298" s="3">
        <v>15.13</v>
      </c>
      <c r="AI298" s="3">
        <f t="shared" si="69"/>
        <v>15.13</v>
      </c>
      <c r="AJ298" t="s">
        <v>30</v>
      </c>
      <c r="AK298" t="str">
        <f>PROPER(Table1[[#This Row],[CVD Risk Level]])</f>
        <v>High</v>
      </c>
    </row>
    <row r="299" spans="1:37" x14ac:dyDescent="0.3">
      <c r="A299" t="s">
        <v>31</v>
      </c>
      <c r="B299">
        <v>45</v>
      </c>
      <c r="C299" s="8">
        <f t="shared" si="59"/>
        <v>45</v>
      </c>
      <c r="D299" s="5">
        <v>106.9</v>
      </c>
      <c r="E299" s="8">
        <f t="shared" si="60"/>
        <v>106.9</v>
      </c>
      <c r="F299">
        <v>1.79</v>
      </c>
      <c r="G299" s="3">
        <f t="shared" si="61"/>
        <v>1.79</v>
      </c>
      <c r="H299">
        <v>33.4</v>
      </c>
      <c r="I299" s="5">
        <f t="shared" si="57"/>
        <v>33.4</v>
      </c>
      <c r="J299" s="16" t="str">
        <f t="shared" si="62"/>
        <v>Obese</v>
      </c>
      <c r="K299">
        <v>94.5</v>
      </c>
      <c r="L299">
        <v>0.52800000000000002</v>
      </c>
      <c r="M299" s="11">
        <f t="shared" si="58"/>
        <v>0.52800000000000002</v>
      </c>
      <c r="N299" s="5">
        <f t="shared" si="63"/>
        <v>94.5</v>
      </c>
      <c r="O299">
        <v>228</v>
      </c>
      <c r="P299">
        <v>74</v>
      </c>
      <c r="Q299" s="8">
        <f t="shared" si="64"/>
        <v>74</v>
      </c>
      <c r="R299" s="8">
        <v>124</v>
      </c>
      <c r="S299" s="8">
        <f t="shared" si="70"/>
        <v>124</v>
      </c>
      <c r="T299" s="8">
        <f>(Table1[[#This Row],[Total Cholesterol (mg/dL)]]+Table1[[#This Row],[HDL (mg/dL)2]]+Table1[[#This Row],[Estimated LDL (mg/dL)2]])*5</f>
        <v>2130</v>
      </c>
      <c r="U299" s="8">
        <f>IF(O299="",Table1[[#This Row],[Estimated LDL (mg/dL)2]]+Table1[[#This Row],[HDL (mg/dL)2]]+(Table1[[#This Row],[Triglycerides]]/5),O299)</f>
        <v>228</v>
      </c>
      <c r="V299">
        <v>140</v>
      </c>
      <c r="W299" s="8">
        <f t="shared" si="65"/>
        <v>140</v>
      </c>
      <c r="X299" t="str">
        <f t="shared" si="66"/>
        <v>Diabetes</v>
      </c>
      <c r="Y299" t="s">
        <v>23</v>
      </c>
      <c r="Z299" t="s">
        <v>23</v>
      </c>
      <c r="AA299" t="s">
        <v>37</v>
      </c>
      <c r="AB299" s="3" t="s">
        <v>311</v>
      </c>
      <c r="AC299">
        <v>98</v>
      </c>
      <c r="AD299" s="3" t="str">
        <f t="shared" si="67"/>
        <v>98</v>
      </c>
      <c r="AE299">
        <v>76</v>
      </c>
      <c r="AF299" s="3" t="str">
        <f t="shared" si="68"/>
        <v>76</v>
      </c>
      <c r="AG299" t="s">
        <v>33</v>
      </c>
      <c r="AH299" s="3">
        <v>18.14</v>
      </c>
      <c r="AI299" s="3">
        <f t="shared" si="69"/>
        <v>18.14</v>
      </c>
      <c r="AJ299" t="s">
        <v>30</v>
      </c>
      <c r="AK299" t="str">
        <f>PROPER(Table1[[#This Row],[CVD Risk Level]])</f>
        <v>High</v>
      </c>
    </row>
    <row r="300" spans="1:37" x14ac:dyDescent="0.3">
      <c r="A300" t="s">
        <v>31</v>
      </c>
      <c r="B300">
        <v>55</v>
      </c>
      <c r="C300" s="8">
        <f t="shared" si="59"/>
        <v>55</v>
      </c>
      <c r="D300" s="5">
        <v>83</v>
      </c>
      <c r="E300" s="8">
        <f t="shared" si="60"/>
        <v>83</v>
      </c>
      <c r="F300">
        <v>1.68</v>
      </c>
      <c r="G300" s="3">
        <f t="shared" si="61"/>
        <v>1.68</v>
      </c>
      <c r="H300">
        <v>29.4</v>
      </c>
      <c r="I300" s="5">
        <f t="shared" si="57"/>
        <v>29.4</v>
      </c>
      <c r="J300" s="16" t="str">
        <f t="shared" si="62"/>
        <v>Overweight</v>
      </c>
      <c r="K300">
        <v>75.099999999999994</v>
      </c>
      <c r="L300">
        <v>0.44700000000000001</v>
      </c>
      <c r="M300" s="11">
        <f t="shared" si="58"/>
        <v>0.44700000000000001</v>
      </c>
      <c r="N300" s="5">
        <f t="shared" si="63"/>
        <v>75.099999999999994</v>
      </c>
      <c r="O300">
        <v>104</v>
      </c>
      <c r="P300">
        <v>65</v>
      </c>
      <c r="Q300" s="8">
        <f t="shared" si="64"/>
        <v>65</v>
      </c>
      <c r="R300" s="8">
        <v>9</v>
      </c>
      <c r="S300" s="8">
        <f t="shared" si="70"/>
        <v>9</v>
      </c>
      <c r="T300" s="8">
        <f>(Table1[[#This Row],[Total Cholesterol (mg/dL)]]+Table1[[#This Row],[HDL (mg/dL)2]]+Table1[[#This Row],[Estimated LDL (mg/dL)2]])*5</f>
        <v>890</v>
      </c>
      <c r="U300" s="8">
        <f>IF(O300="",Table1[[#This Row],[Estimated LDL (mg/dL)2]]+Table1[[#This Row],[HDL (mg/dL)2]]+(Table1[[#This Row],[Triglycerides]]/5),O300)</f>
        <v>104</v>
      </c>
      <c r="V300">
        <v>138</v>
      </c>
      <c r="W300" s="8">
        <f t="shared" si="65"/>
        <v>138</v>
      </c>
      <c r="X300" t="str">
        <f t="shared" si="66"/>
        <v>Diabetes</v>
      </c>
      <c r="Y300" t="s">
        <v>22</v>
      </c>
      <c r="Z300" t="s">
        <v>22</v>
      </c>
      <c r="AA300" t="s">
        <v>24</v>
      </c>
      <c r="AB300" s="3" t="s">
        <v>312</v>
      </c>
      <c r="AC300">
        <v>108</v>
      </c>
      <c r="AD300" s="3" t="str">
        <f t="shared" si="67"/>
        <v>108</v>
      </c>
      <c r="AF300" s="3" t="str">
        <f t="shared" si="68"/>
        <v>67</v>
      </c>
      <c r="AG300" t="s">
        <v>33</v>
      </c>
      <c r="AH300" s="3">
        <v>13.36</v>
      </c>
      <c r="AI300" s="3">
        <f t="shared" si="69"/>
        <v>13.36</v>
      </c>
      <c r="AJ300" t="s">
        <v>26</v>
      </c>
      <c r="AK300" t="str">
        <f>PROPER(Table1[[#This Row],[CVD Risk Level]])</f>
        <v>Intermediary</v>
      </c>
    </row>
    <row r="301" spans="1:37" x14ac:dyDescent="0.3">
      <c r="A301" t="s">
        <v>20</v>
      </c>
      <c r="B301">
        <v>45</v>
      </c>
      <c r="C301" s="8">
        <f t="shared" si="59"/>
        <v>45</v>
      </c>
      <c r="D301" s="5">
        <v>90.3</v>
      </c>
      <c r="E301" s="8">
        <f t="shared" si="60"/>
        <v>90.3</v>
      </c>
      <c r="F301">
        <v>1.68</v>
      </c>
      <c r="G301" s="3">
        <f t="shared" si="61"/>
        <v>1.68</v>
      </c>
      <c r="H301">
        <v>32</v>
      </c>
      <c r="I301" s="5">
        <f t="shared" si="57"/>
        <v>32</v>
      </c>
      <c r="J301" s="16" t="str">
        <f t="shared" si="62"/>
        <v>Obese</v>
      </c>
      <c r="K301">
        <v>84.5</v>
      </c>
      <c r="L301">
        <v>0.503</v>
      </c>
      <c r="M301" s="11">
        <f t="shared" si="58"/>
        <v>0.503</v>
      </c>
      <c r="N301" s="5">
        <f t="shared" si="63"/>
        <v>84.5</v>
      </c>
      <c r="O301">
        <v>224</v>
      </c>
      <c r="P301">
        <v>52</v>
      </c>
      <c r="Q301" s="8">
        <f t="shared" si="64"/>
        <v>52</v>
      </c>
      <c r="R301" s="8">
        <v>142</v>
      </c>
      <c r="S301" s="8">
        <f t="shared" si="70"/>
        <v>142</v>
      </c>
      <c r="T301" s="8">
        <f>(Table1[[#This Row],[Total Cholesterol (mg/dL)]]+Table1[[#This Row],[HDL (mg/dL)2]]+Table1[[#This Row],[Estimated LDL (mg/dL)2]])*5</f>
        <v>2090</v>
      </c>
      <c r="U301" s="8">
        <f>IF(O301="",Table1[[#This Row],[Estimated LDL (mg/dL)2]]+Table1[[#This Row],[HDL (mg/dL)2]]+(Table1[[#This Row],[Triglycerides]]/5),O301)</f>
        <v>224</v>
      </c>
      <c r="V301">
        <v>121</v>
      </c>
      <c r="W301" s="8">
        <f t="shared" si="65"/>
        <v>121</v>
      </c>
      <c r="X301" t="str">
        <f t="shared" si="66"/>
        <v>Prediabetes</v>
      </c>
      <c r="Y301" t="s">
        <v>22</v>
      </c>
      <c r="Z301" t="s">
        <v>23</v>
      </c>
      <c r="AA301" t="s">
        <v>24</v>
      </c>
      <c r="AB301" s="3" t="s">
        <v>313</v>
      </c>
      <c r="AC301">
        <v>121</v>
      </c>
      <c r="AD301" s="3" t="str">
        <f t="shared" si="67"/>
        <v>121</v>
      </c>
      <c r="AE301">
        <v>88</v>
      </c>
      <c r="AF301" s="3" t="str">
        <f t="shared" si="68"/>
        <v>88</v>
      </c>
      <c r="AG301" t="s">
        <v>29</v>
      </c>
      <c r="AI301" s="3">
        <f t="shared" si="69"/>
        <v>16.960925291295425</v>
      </c>
      <c r="AJ301" t="s">
        <v>30</v>
      </c>
      <c r="AK301" t="str">
        <f>PROPER(Table1[[#This Row],[CVD Risk Level]])</f>
        <v>High</v>
      </c>
    </row>
    <row r="302" spans="1:37" x14ac:dyDescent="0.3">
      <c r="A302" t="s">
        <v>20</v>
      </c>
      <c r="B302">
        <v>53</v>
      </c>
      <c r="C302" s="8">
        <f t="shared" si="59"/>
        <v>53</v>
      </c>
      <c r="D302" s="5">
        <v>114</v>
      </c>
      <c r="E302" s="8">
        <f t="shared" si="60"/>
        <v>114</v>
      </c>
      <c r="F302">
        <v>1.74</v>
      </c>
      <c r="G302" s="3">
        <f t="shared" si="61"/>
        <v>1.74</v>
      </c>
      <c r="H302">
        <v>37.700000000000003</v>
      </c>
      <c r="I302" s="5">
        <f t="shared" si="57"/>
        <v>37.700000000000003</v>
      </c>
      <c r="J302" s="16" t="str">
        <f t="shared" si="62"/>
        <v>Obese</v>
      </c>
      <c r="K302">
        <v>102.6</v>
      </c>
      <c r="L302">
        <v>0.59</v>
      </c>
      <c r="M302" s="11">
        <f t="shared" si="58"/>
        <v>0.59</v>
      </c>
      <c r="N302" s="5">
        <f t="shared" si="63"/>
        <v>102.6</v>
      </c>
      <c r="O302">
        <v>270</v>
      </c>
      <c r="P302">
        <v>66</v>
      </c>
      <c r="Q302" s="8">
        <f t="shared" si="64"/>
        <v>66</v>
      </c>
      <c r="R302" s="8">
        <v>174</v>
      </c>
      <c r="S302" s="8">
        <f t="shared" si="70"/>
        <v>174</v>
      </c>
      <c r="T302" s="8">
        <f>(Table1[[#This Row],[Total Cholesterol (mg/dL)]]+Table1[[#This Row],[HDL (mg/dL)2]]+Table1[[#This Row],[Estimated LDL (mg/dL)2]])*5</f>
        <v>2550</v>
      </c>
      <c r="U302" s="8">
        <f>IF(O302="",Table1[[#This Row],[Estimated LDL (mg/dL)2]]+Table1[[#This Row],[HDL (mg/dL)2]]+(Table1[[#This Row],[Triglycerides]]/5),O302)</f>
        <v>270</v>
      </c>
      <c r="V302">
        <v>82</v>
      </c>
      <c r="W302" s="8">
        <f t="shared" si="65"/>
        <v>82</v>
      </c>
      <c r="X302" t="str">
        <f t="shared" si="66"/>
        <v>Normal</v>
      </c>
      <c r="Y302" t="s">
        <v>22</v>
      </c>
      <c r="Z302" t="s">
        <v>22</v>
      </c>
      <c r="AA302" t="s">
        <v>24</v>
      </c>
      <c r="AB302" s="3" t="s">
        <v>179</v>
      </c>
      <c r="AC302">
        <v>91</v>
      </c>
      <c r="AD302" s="3" t="str">
        <f t="shared" si="67"/>
        <v>91</v>
      </c>
      <c r="AE302">
        <v>79</v>
      </c>
      <c r="AF302" s="3" t="str">
        <f t="shared" si="68"/>
        <v>79</v>
      </c>
      <c r="AG302" t="s">
        <v>33</v>
      </c>
      <c r="AH302" s="3">
        <v>17.489999999999998</v>
      </c>
      <c r="AI302" s="3">
        <f t="shared" si="69"/>
        <v>17.489999999999998</v>
      </c>
      <c r="AJ302" t="s">
        <v>30</v>
      </c>
      <c r="AK302" t="str">
        <f>PROPER(Table1[[#This Row],[CVD Risk Level]])</f>
        <v>High</v>
      </c>
    </row>
    <row r="303" spans="1:37" x14ac:dyDescent="0.3">
      <c r="A303" t="s">
        <v>31</v>
      </c>
      <c r="B303">
        <v>51</v>
      </c>
      <c r="C303" s="8">
        <f t="shared" si="59"/>
        <v>51</v>
      </c>
      <c r="D303" s="5">
        <v>64.900000000000006</v>
      </c>
      <c r="E303" s="8">
        <f t="shared" si="60"/>
        <v>64.900000000000006</v>
      </c>
      <c r="F303">
        <v>1.85</v>
      </c>
      <c r="G303" s="3">
        <f t="shared" si="61"/>
        <v>1.85</v>
      </c>
      <c r="H303">
        <v>19</v>
      </c>
      <c r="I303" s="5">
        <f t="shared" si="57"/>
        <v>19</v>
      </c>
      <c r="J303" s="16" t="str">
        <f t="shared" si="62"/>
        <v>Normal</v>
      </c>
      <c r="K303">
        <v>95.4</v>
      </c>
      <c r="L303">
        <v>0.51600000000000001</v>
      </c>
      <c r="M303" s="11">
        <f t="shared" si="58"/>
        <v>0.51600000000000001</v>
      </c>
      <c r="N303" s="5">
        <f t="shared" si="63"/>
        <v>95.4</v>
      </c>
      <c r="O303">
        <v>247</v>
      </c>
      <c r="P303">
        <v>55</v>
      </c>
      <c r="Q303" s="8">
        <f t="shared" si="64"/>
        <v>55</v>
      </c>
      <c r="R303" s="8">
        <v>162</v>
      </c>
      <c r="S303" s="8">
        <f t="shared" si="70"/>
        <v>162</v>
      </c>
      <c r="T303" s="8">
        <f>(Table1[[#This Row],[Total Cholesterol (mg/dL)]]+Table1[[#This Row],[HDL (mg/dL)2]]+Table1[[#This Row],[Estimated LDL (mg/dL)2]])*5</f>
        <v>2320</v>
      </c>
      <c r="U303" s="8">
        <f>IF(O303="",Table1[[#This Row],[Estimated LDL (mg/dL)2]]+Table1[[#This Row],[HDL (mg/dL)2]]+(Table1[[#This Row],[Triglycerides]]/5),O303)</f>
        <v>247</v>
      </c>
      <c r="V303">
        <v>119</v>
      </c>
      <c r="W303" s="8">
        <f t="shared" si="65"/>
        <v>119</v>
      </c>
      <c r="X303" t="str">
        <f t="shared" si="66"/>
        <v>Prediabetes</v>
      </c>
      <c r="Y303" t="s">
        <v>22</v>
      </c>
      <c r="Z303" t="s">
        <v>23</v>
      </c>
      <c r="AA303" t="s">
        <v>24</v>
      </c>
      <c r="AB303" s="3" t="s">
        <v>314</v>
      </c>
      <c r="AC303">
        <v>91</v>
      </c>
      <c r="AD303" s="3" t="str">
        <f t="shared" si="67"/>
        <v>91</v>
      </c>
      <c r="AF303" s="3" t="str">
        <f t="shared" si="68"/>
        <v>88</v>
      </c>
      <c r="AG303" t="s">
        <v>29</v>
      </c>
      <c r="AH303" s="3">
        <v>15.29</v>
      </c>
      <c r="AI303" s="3">
        <f t="shared" si="69"/>
        <v>15.29</v>
      </c>
      <c r="AJ303" t="s">
        <v>30</v>
      </c>
      <c r="AK303" t="str">
        <f>PROPER(Table1[[#This Row],[CVD Risk Level]])</f>
        <v>High</v>
      </c>
    </row>
    <row r="304" spans="1:37" x14ac:dyDescent="0.3">
      <c r="A304" t="s">
        <v>31</v>
      </c>
      <c r="B304">
        <v>46</v>
      </c>
      <c r="C304" s="8">
        <f t="shared" si="59"/>
        <v>46</v>
      </c>
      <c r="D304" s="5">
        <v>72</v>
      </c>
      <c r="E304" s="8">
        <f t="shared" si="60"/>
        <v>72</v>
      </c>
      <c r="F304">
        <v>1.75</v>
      </c>
      <c r="G304" s="3">
        <f t="shared" si="61"/>
        <v>1.75</v>
      </c>
      <c r="H304">
        <v>23.5</v>
      </c>
      <c r="I304" s="5">
        <f t="shared" si="57"/>
        <v>23.5</v>
      </c>
      <c r="J304" s="16" t="str">
        <f t="shared" si="62"/>
        <v>Normal</v>
      </c>
      <c r="K304">
        <v>89.1</v>
      </c>
      <c r="L304">
        <v>0.50900000000000001</v>
      </c>
      <c r="M304" s="11">
        <f t="shared" si="58"/>
        <v>0.50900000000000001</v>
      </c>
      <c r="N304" s="5">
        <f t="shared" si="63"/>
        <v>89.1</v>
      </c>
      <c r="O304">
        <v>198</v>
      </c>
      <c r="P304">
        <v>76</v>
      </c>
      <c r="Q304" s="8">
        <f t="shared" si="64"/>
        <v>76</v>
      </c>
      <c r="R304" s="8">
        <v>92</v>
      </c>
      <c r="S304" s="8">
        <f t="shared" si="70"/>
        <v>92</v>
      </c>
      <c r="T304" s="8">
        <f>(Table1[[#This Row],[Total Cholesterol (mg/dL)]]+Table1[[#This Row],[HDL (mg/dL)2]]+Table1[[#This Row],[Estimated LDL (mg/dL)2]])*5</f>
        <v>1830</v>
      </c>
      <c r="U304" s="8">
        <f>IF(O304="",Table1[[#This Row],[Estimated LDL (mg/dL)2]]+Table1[[#This Row],[HDL (mg/dL)2]]+(Table1[[#This Row],[Triglycerides]]/5),O304)</f>
        <v>198</v>
      </c>
      <c r="V304">
        <v>141</v>
      </c>
      <c r="W304" s="8">
        <f t="shared" si="65"/>
        <v>141</v>
      </c>
      <c r="X304" t="str">
        <f t="shared" si="66"/>
        <v>Diabetes</v>
      </c>
      <c r="Y304" t="s">
        <v>22</v>
      </c>
      <c r="Z304" t="s">
        <v>22</v>
      </c>
      <c r="AA304" t="s">
        <v>24</v>
      </c>
      <c r="AB304" s="3" t="s">
        <v>315</v>
      </c>
      <c r="AC304">
        <v>100</v>
      </c>
      <c r="AD304" s="3" t="str">
        <f t="shared" si="67"/>
        <v>100</v>
      </c>
      <c r="AE304">
        <v>90</v>
      </c>
      <c r="AF304" s="3" t="str">
        <f t="shared" si="68"/>
        <v>90</v>
      </c>
      <c r="AG304" t="s">
        <v>38</v>
      </c>
      <c r="AH304" s="3">
        <v>13.66</v>
      </c>
      <c r="AI304" s="3">
        <f t="shared" si="69"/>
        <v>13.66</v>
      </c>
      <c r="AJ304" t="s">
        <v>26</v>
      </c>
      <c r="AK304" t="str">
        <f>PROPER(Table1[[#This Row],[CVD Risk Level]])</f>
        <v>Intermediary</v>
      </c>
    </row>
    <row r="305" spans="1:37" x14ac:dyDescent="0.3">
      <c r="A305" t="s">
        <v>31</v>
      </c>
      <c r="B305">
        <v>33</v>
      </c>
      <c r="C305" s="8">
        <f t="shared" si="59"/>
        <v>33</v>
      </c>
      <c r="D305" s="5">
        <v>94.4</v>
      </c>
      <c r="E305" s="8">
        <f t="shared" si="60"/>
        <v>94.4</v>
      </c>
      <c r="F305">
        <v>1.7</v>
      </c>
      <c r="G305" s="3">
        <f t="shared" si="61"/>
        <v>1.7</v>
      </c>
      <c r="I305" s="5">
        <f t="shared" si="57"/>
        <v>32.664359861591699</v>
      </c>
      <c r="J305" s="16" t="str">
        <f t="shared" si="62"/>
        <v>Obese</v>
      </c>
      <c r="K305">
        <v>77</v>
      </c>
      <c r="L305">
        <v>0.45300000000000001</v>
      </c>
      <c r="M305" s="11">
        <f t="shared" si="58"/>
        <v>0.45300000000000001</v>
      </c>
      <c r="N305" s="5">
        <f t="shared" si="63"/>
        <v>77</v>
      </c>
      <c r="O305">
        <v>127</v>
      </c>
      <c r="P305">
        <v>71</v>
      </c>
      <c r="Q305" s="8">
        <f t="shared" si="64"/>
        <v>71</v>
      </c>
      <c r="R305" s="8">
        <v>26</v>
      </c>
      <c r="S305" s="8">
        <f>IF(R305&lt;=0,MEDIAN($R$2:$R$1530),R305)</f>
        <v>26</v>
      </c>
      <c r="T305" s="8">
        <f>(Table1[[#This Row],[Total Cholesterol (mg/dL)]]+Table1[[#This Row],[HDL (mg/dL)2]]+Table1[[#This Row],[Estimated LDL (mg/dL)2]])*5</f>
        <v>1120</v>
      </c>
      <c r="U305" s="8">
        <f>IF(O305="",Table1[[#This Row],[Estimated LDL (mg/dL)2]]+Table1[[#This Row],[HDL (mg/dL)2]]+(Table1[[#This Row],[Triglycerides]]/5),O305)</f>
        <v>127</v>
      </c>
      <c r="V305">
        <v>147</v>
      </c>
      <c r="W305" s="8">
        <f t="shared" si="65"/>
        <v>147</v>
      </c>
      <c r="X305" t="str">
        <f t="shared" si="66"/>
        <v>Diabetes</v>
      </c>
      <c r="Y305" t="s">
        <v>22</v>
      </c>
      <c r="Z305" t="s">
        <v>23</v>
      </c>
      <c r="AA305" t="s">
        <v>37</v>
      </c>
      <c r="AB305" s="3" t="s">
        <v>316</v>
      </c>
      <c r="AC305">
        <v>104</v>
      </c>
      <c r="AD305" s="3" t="str">
        <f t="shared" si="67"/>
        <v>104</v>
      </c>
      <c r="AE305">
        <v>85</v>
      </c>
      <c r="AF305" s="3" t="str">
        <f t="shared" si="68"/>
        <v>85</v>
      </c>
      <c r="AG305" t="s">
        <v>29</v>
      </c>
      <c r="AH305" s="3">
        <v>16.28</v>
      </c>
      <c r="AI305" s="3">
        <f t="shared" si="69"/>
        <v>16.28</v>
      </c>
      <c r="AJ305" t="s">
        <v>26</v>
      </c>
      <c r="AK305" t="str">
        <f>PROPER(Table1[[#This Row],[CVD Risk Level]])</f>
        <v>Intermediary</v>
      </c>
    </row>
    <row r="306" spans="1:37" x14ac:dyDescent="0.3">
      <c r="A306" t="s">
        <v>20</v>
      </c>
      <c r="B306">
        <v>46</v>
      </c>
      <c r="C306" s="8">
        <f t="shared" si="59"/>
        <v>46</v>
      </c>
      <c r="D306" s="5">
        <v>104.5</v>
      </c>
      <c r="E306" s="8">
        <f t="shared" si="60"/>
        <v>104.5</v>
      </c>
      <c r="F306">
        <v>1.65</v>
      </c>
      <c r="G306" s="3">
        <f t="shared" si="61"/>
        <v>1.65</v>
      </c>
      <c r="I306" s="5">
        <f t="shared" si="57"/>
        <v>38.383838383838388</v>
      </c>
      <c r="J306" s="16" t="str">
        <f t="shared" si="62"/>
        <v>Obese</v>
      </c>
      <c r="K306">
        <v>106.4</v>
      </c>
      <c r="L306">
        <v>0.64500000000000002</v>
      </c>
      <c r="M306" s="11">
        <f t="shared" si="58"/>
        <v>0.64500000000000002</v>
      </c>
      <c r="N306" s="5">
        <f t="shared" si="63"/>
        <v>106.4</v>
      </c>
      <c r="P306">
        <v>48</v>
      </c>
      <c r="Q306" s="8">
        <f t="shared" si="64"/>
        <v>48</v>
      </c>
      <c r="R306" s="8">
        <v>59</v>
      </c>
      <c r="S306" s="8">
        <f t="shared" si="70"/>
        <v>59</v>
      </c>
      <c r="T306" s="8">
        <f>(Table1[[#This Row],[Total Cholesterol (mg/dL)]]+Table1[[#This Row],[HDL (mg/dL)2]]+Table1[[#This Row],[Estimated LDL (mg/dL)2]])*5</f>
        <v>535</v>
      </c>
      <c r="U306" s="8">
        <f>IF(O306="",Table1[[#This Row],[Estimated LDL (mg/dL)2]]+Table1[[#This Row],[HDL (mg/dL)2]]+(Table1[[#This Row],[Triglycerides]]/5),O306)</f>
        <v>214</v>
      </c>
      <c r="V306">
        <v>88</v>
      </c>
      <c r="W306" s="8">
        <f t="shared" si="65"/>
        <v>88</v>
      </c>
      <c r="X306" t="str">
        <f t="shared" si="66"/>
        <v>Normal</v>
      </c>
      <c r="Y306" t="s">
        <v>22</v>
      </c>
      <c r="Z306" t="s">
        <v>23</v>
      </c>
      <c r="AA306" t="s">
        <v>28</v>
      </c>
      <c r="AB306" s="3" t="s">
        <v>317</v>
      </c>
      <c r="AC306">
        <v>129</v>
      </c>
      <c r="AD306" s="3" t="str">
        <f t="shared" si="67"/>
        <v>129</v>
      </c>
      <c r="AE306">
        <v>63</v>
      </c>
      <c r="AF306" s="3" t="str">
        <f t="shared" si="68"/>
        <v>63</v>
      </c>
      <c r="AG306" t="s">
        <v>25</v>
      </c>
      <c r="AH306" s="3">
        <v>18.87</v>
      </c>
      <c r="AI306" s="3">
        <f t="shared" si="69"/>
        <v>18.87</v>
      </c>
      <c r="AJ306" t="s">
        <v>26</v>
      </c>
      <c r="AK306" t="str">
        <f>PROPER(Table1[[#This Row],[CVD Risk Level]])</f>
        <v>Intermediary</v>
      </c>
    </row>
    <row r="307" spans="1:37" x14ac:dyDescent="0.3">
      <c r="A307" t="s">
        <v>31</v>
      </c>
      <c r="B307">
        <v>30</v>
      </c>
      <c r="C307" s="8">
        <f t="shared" si="59"/>
        <v>30</v>
      </c>
      <c r="D307" s="5">
        <v>79.2</v>
      </c>
      <c r="E307" s="8">
        <f t="shared" si="60"/>
        <v>79.2</v>
      </c>
      <c r="F307">
        <v>1.63</v>
      </c>
      <c r="G307" s="3">
        <f t="shared" si="61"/>
        <v>1.63</v>
      </c>
      <c r="H307">
        <v>29.8</v>
      </c>
      <c r="I307" s="5">
        <f t="shared" si="57"/>
        <v>29.8</v>
      </c>
      <c r="J307" s="16" t="str">
        <f t="shared" si="62"/>
        <v>Overweight</v>
      </c>
      <c r="K307">
        <v>72.2</v>
      </c>
      <c r="L307">
        <v>0.443</v>
      </c>
      <c r="M307" s="11">
        <f t="shared" si="58"/>
        <v>0.443</v>
      </c>
      <c r="N307" s="5">
        <f t="shared" si="63"/>
        <v>72.2</v>
      </c>
      <c r="O307">
        <v>108</v>
      </c>
      <c r="P307">
        <v>45</v>
      </c>
      <c r="Q307" s="8">
        <f t="shared" si="64"/>
        <v>45</v>
      </c>
      <c r="R307" s="8">
        <v>33</v>
      </c>
      <c r="S307" s="8">
        <f t="shared" si="70"/>
        <v>33</v>
      </c>
      <c r="T307" s="8">
        <f>(Table1[[#This Row],[Total Cholesterol (mg/dL)]]+Table1[[#This Row],[HDL (mg/dL)2]]+Table1[[#This Row],[Estimated LDL (mg/dL)2]])*5</f>
        <v>930</v>
      </c>
      <c r="U307" s="8">
        <f>IF(O307="",Table1[[#This Row],[Estimated LDL (mg/dL)2]]+Table1[[#This Row],[HDL (mg/dL)2]]+(Table1[[#This Row],[Triglycerides]]/5),O307)</f>
        <v>108</v>
      </c>
      <c r="V307">
        <v>88</v>
      </c>
      <c r="W307" s="8">
        <f t="shared" si="65"/>
        <v>88</v>
      </c>
      <c r="X307" t="str">
        <f t="shared" si="66"/>
        <v>Normal</v>
      </c>
      <c r="Y307" t="s">
        <v>23</v>
      </c>
      <c r="Z307" t="s">
        <v>23</v>
      </c>
      <c r="AA307" t="s">
        <v>24</v>
      </c>
      <c r="AB307" s="3" t="s">
        <v>318</v>
      </c>
      <c r="AC307">
        <v>128</v>
      </c>
      <c r="AD307" s="3" t="str">
        <f t="shared" si="67"/>
        <v>128</v>
      </c>
      <c r="AE307">
        <v>88</v>
      </c>
      <c r="AF307" s="3" t="str">
        <f t="shared" si="68"/>
        <v>88</v>
      </c>
      <c r="AG307" t="s">
        <v>29</v>
      </c>
      <c r="AI307" s="3">
        <f t="shared" si="69"/>
        <v>16.960925291295425</v>
      </c>
      <c r="AJ307" t="s">
        <v>30</v>
      </c>
      <c r="AK307" t="str">
        <f>PROPER(Table1[[#This Row],[CVD Risk Level]])</f>
        <v>High</v>
      </c>
    </row>
    <row r="308" spans="1:37" x14ac:dyDescent="0.3">
      <c r="A308" t="s">
        <v>20</v>
      </c>
      <c r="B308">
        <v>43</v>
      </c>
      <c r="C308" s="8">
        <f t="shared" si="59"/>
        <v>43</v>
      </c>
      <c r="D308" s="5">
        <v>95.6</v>
      </c>
      <c r="E308" s="8">
        <f t="shared" si="60"/>
        <v>95.6</v>
      </c>
      <c r="F308">
        <v>1.68</v>
      </c>
      <c r="G308" s="3">
        <f t="shared" si="61"/>
        <v>1.68</v>
      </c>
      <c r="H308">
        <v>33.9</v>
      </c>
      <c r="I308" s="5">
        <f t="shared" si="57"/>
        <v>33.9</v>
      </c>
      <c r="J308" s="16" t="str">
        <f t="shared" si="62"/>
        <v>Obese</v>
      </c>
      <c r="K308">
        <v>94</v>
      </c>
      <c r="L308">
        <v>0.56000000000000005</v>
      </c>
      <c r="M308" s="11">
        <f t="shared" si="58"/>
        <v>0.56000000000000005</v>
      </c>
      <c r="N308" s="5">
        <f t="shared" si="63"/>
        <v>94</v>
      </c>
      <c r="O308">
        <v>116</v>
      </c>
      <c r="P308">
        <v>52</v>
      </c>
      <c r="Q308" s="8">
        <f t="shared" si="64"/>
        <v>52</v>
      </c>
      <c r="R308" s="8">
        <v>34</v>
      </c>
      <c r="S308" s="8">
        <f t="shared" si="70"/>
        <v>34</v>
      </c>
      <c r="T308" s="8">
        <f>(Table1[[#This Row],[Total Cholesterol (mg/dL)]]+Table1[[#This Row],[HDL (mg/dL)2]]+Table1[[#This Row],[Estimated LDL (mg/dL)2]])*5</f>
        <v>1010</v>
      </c>
      <c r="U308" s="8">
        <f>IF(O308="",Table1[[#This Row],[Estimated LDL (mg/dL)2]]+Table1[[#This Row],[HDL (mg/dL)2]]+(Table1[[#This Row],[Triglycerides]]/5),O308)</f>
        <v>116</v>
      </c>
      <c r="V308">
        <v>103</v>
      </c>
      <c r="W308" s="8">
        <f t="shared" si="65"/>
        <v>103</v>
      </c>
      <c r="X308" t="str">
        <f t="shared" si="66"/>
        <v>Prediabetes</v>
      </c>
      <c r="Y308" t="s">
        <v>22</v>
      </c>
      <c r="Z308" t="s">
        <v>23</v>
      </c>
      <c r="AA308" t="s">
        <v>28</v>
      </c>
      <c r="AB308" s="3" t="s">
        <v>319</v>
      </c>
      <c r="AC308">
        <v>124</v>
      </c>
      <c r="AD308" s="3" t="str">
        <f t="shared" si="67"/>
        <v>124</v>
      </c>
      <c r="AE308">
        <v>91</v>
      </c>
      <c r="AF308" s="3" t="str">
        <f t="shared" si="68"/>
        <v>91</v>
      </c>
      <c r="AG308" t="s">
        <v>38</v>
      </c>
      <c r="AH308" s="3">
        <v>17.3</v>
      </c>
      <c r="AI308" s="3">
        <f t="shared" si="69"/>
        <v>17.3</v>
      </c>
      <c r="AJ308" t="s">
        <v>26</v>
      </c>
      <c r="AK308" t="str">
        <f>PROPER(Table1[[#This Row],[CVD Risk Level]])</f>
        <v>Intermediary</v>
      </c>
    </row>
    <row r="309" spans="1:37" x14ac:dyDescent="0.3">
      <c r="A309" t="s">
        <v>31</v>
      </c>
      <c r="B309">
        <v>45</v>
      </c>
      <c r="C309" s="8">
        <f t="shared" si="59"/>
        <v>45</v>
      </c>
      <c r="D309" s="5">
        <v>74.7</v>
      </c>
      <c r="E309" s="8">
        <f t="shared" si="60"/>
        <v>74.7</v>
      </c>
      <c r="F309">
        <v>1.84</v>
      </c>
      <c r="G309" s="3">
        <f t="shared" si="61"/>
        <v>1.84</v>
      </c>
      <c r="H309">
        <v>22.1</v>
      </c>
      <c r="I309" s="5">
        <f t="shared" si="57"/>
        <v>22.1</v>
      </c>
      <c r="J309" s="16" t="str">
        <f t="shared" si="62"/>
        <v>Normal</v>
      </c>
      <c r="K309">
        <v>89.1</v>
      </c>
      <c r="L309">
        <v>0.48399999999999999</v>
      </c>
      <c r="M309" s="11">
        <f t="shared" si="58"/>
        <v>0.48399999999999999</v>
      </c>
      <c r="N309" s="5">
        <f t="shared" si="63"/>
        <v>89.1</v>
      </c>
      <c r="O309">
        <v>291</v>
      </c>
      <c r="P309">
        <v>39</v>
      </c>
      <c r="Q309" s="8">
        <f t="shared" si="64"/>
        <v>39</v>
      </c>
      <c r="R309" s="8">
        <v>222</v>
      </c>
      <c r="S309" s="8">
        <f t="shared" si="70"/>
        <v>222</v>
      </c>
      <c r="T309" s="8">
        <f>(Table1[[#This Row],[Total Cholesterol (mg/dL)]]+Table1[[#This Row],[HDL (mg/dL)2]]+Table1[[#This Row],[Estimated LDL (mg/dL)2]])*5</f>
        <v>2760</v>
      </c>
      <c r="U309" s="8">
        <f>IF(O309="",Table1[[#This Row],[Estimated LDL (mg/dL)2]]+Table1[[#This Row],[HDL (mg/dL)2]]+(Table1[[#This Row],[Triglycerides]]/5),O309)</f>
        <v>291</v>
      </c>
      <c r="V309">
        <v>132</v>
      </c>
      <c r="W309" s="8">
        <f t="shared" si="65"/>
        <v>132</v>
      </c>
      <c r="X309" t="str">
        <f t="shared" si="66"/>
        <v>Diabetes</v>
      </c>
      <c r="Y309" t="s">
        <v>23</v>
      </c>
      <c r="Z309" t="s">
        <v>22</v>
      </c>
      <c r="AA309" t="s">
        <v>37</v>
      </c>
      <c r="AB309" s="3" t="s">
        <v>320</v>
      </c>
      <c r="AC309">
        <v>131</v>
      </c>
      <c r="AD309" s="3" t="str">
        <f t="shared" si="67"/>
        <v>131</v>
      </c>
      <c r="AE309">
        <v>67</v>
      </c>
      <c r="AF309" s="3" t="str">
        <f t="shared" si="68"/>
        <v>67</v>
      </c>
      <c r="AG309" t="s">
        <v>29</v>
      </c>
      <c r="AH309" s="3">
        <v>16.79</v>
      </c>
      <c r="AI309" s="3">
        <f t="shared" si="69"/>
        <v>16.79</v>
      </c>
      <c r="AJ309" t="s">
        <v>26</v>
      </c>
      <c r="AK309" t="str">
        <f>PROPER(Table1[[#This Row],[CVD Risk Level]])</f>
        <v>Intermediary</v>
      </c>
    </row>
    <row r="310" spans="1:37" x14ac:dyDescent="0.3">
      <c r="A310" t="s">
        <v>20</v>
      </c>
      <c r="B310">
        <v>35</v>
      </c>
      <c r="C310" s="8">
        <f t="shared" si="59"/>
        <v>35</v>
      </c>
      <c r="D310" s="5">
        <v>77.599999999999994</v>
      </c>
      <c r="E310" s="8">
        <f t="shared" si="60"/>
        <v>77.599999999999994</v>
      </c>
      <c r="F310">
        <v>1.78</v>
      </c>
      <c r="G310" s="3">
        <f t="shared" si="61"/>
        <v>1.78</v>
      </c>
      <c r="H310">
        <v>24.5</v>
      </c>
      <c r="I310" s="5">
        <f t="shared" si="57"/>
        <v>24.5</v>
      </c>
      <c r="J310" s="16" t="str">
        <f t="shared" si="62"/>
        <v>Normal</v>
      </c>
      <c r="K310">
        <v>84.6</v>
      </c>
      <c r="L310">
        <v>0.47499999999999998</v>
      </c>
      <c r="M310" s="11">
        <f t="shared" si="58"/>
        <v>0.47499999999999998</v>
      </c>
      <c r="N310" s="5">
        <f t="shared" si="63"/>
        <v>84.6</v>
      </c>
      <c r="O310">
        <v>143</v>
      </c>
      <c r="P310">
        <v>76</v>
      </c>
      <c r="Q310" s="8">
        <f t="shared" si="64"/>
        <v>76</v>
      </c>
      <c r="R310" s="8">
        <v>37</v>
      </c>
      <c r="S310" s="8">
        <f t="shared" si="70"/>
        <v>37</v>
      </c>
      <c r="T310" s="8">
        <f>(Table1[[#This Row],[Total Cholesterol (mg/dL)]]+Table1[[#This Row],[HDL (mg/dL)2]]+Table1[[#This Row],[Estimated LDL (mg/dL)2]])*5</f>
        <v>1280</v>
      </c>
      <c r="U310" s="8">
        <f>IF(O310="",Table1[[#This Row],[Estimated LDL (mg/dL)2]]+Table1[[#This Row],[HDL (mg/dL)2]]+(Table1[[#This Row],[Triglycerides]]/5),O310)</f>
        <v>143</v>
      </c>
      <c r="V310">
        <v>108</v>
      </c>
      <c r="W310" s="8">
        <f t="shared" si="65"/>
        <v>108</v>
      </c>
      <c r="X310" t="str">
        <f t="shared" si="66"/>
        <v>Prediabetes</v>
      </c>
      <c r="Y310" t="s">
        <v>22</v>
      </c>
      <c r="Z310" t="s">
        <v>22</v>
      </c>
      <c r="AA310" t="s">
        <v>24</v>
      </c>
      <c r="AB310" s="3" t="s">
        <v>321</v>
      </c>
      <c r="AC310">
        <v>124</v>
      </c>
      <c r="AD310" s="3" t="str">
        <f t="shared" si="67"/>
        <v>124</v>
      </c>
      <c r="AE310">
        <v>90</v>
      </c>
      <c r="AF310" s="3" t="str">
        <f t="shared" si="68"/>
        <v>90</v>
      </c>
      <c r="AG310" t="s">
        <v>38</v>
      </c>
      <c r="AH310" s="3">
        <v>13.96</v>
      </c>
      <c r="AI310" s="3">
        <f t="shared" si="69"/>
        <v>13.96</v>
      </c>
      <c r="AJ310" t="s">
        <v>52</v>
      </c>
      <c r="AK310" t="str">
        <f>PROPER(Table1[[#This Row],[CVD Risk Level]])</f>
        <v>Low</v>
      </c>
    </row>
    <row r="311" spans="1:37" x14ac:dyDescent="0.3">
      <c r="A311" t="s">
        <v>20</v>
      </c>
      <c r="B311">
        <v>58</v>
      </c>
      <c r="C311" s="8">
        <f t="shared" si="59"/>
        <v>58</v>
      </c>
      <c r="D311" s="5">
        <v>91.4</v>
      </c>
      <c r="E311" s="8">
        <f t="shared" si="60"/>
        <v>91.4</v>
      </c>
      <c r="F311">
        <v>1.61</v>
      </c>
      <c r="G311" s="3">
        <f t="shared" si="61"/>
        <v>1.61</v>
      </c>
      <c r="H311">
        <v>35.299999999999997</v>
      </c>
      <c r="I311" s="5">
        <f t="shared" si="57"/>
        <v>35.299999999999997</v>
      </c>
      <c r="J311" s="16" t="str">
        <f t="shared" si="62"/>
        <v>Obese</v>
      </c>
      <c r="K311">
        <v>93.3</v>
      </c>
      <c r="L311">
        <v>0.57999999999999996</v>
      </c>
      <c r="M311" s="11">
        <f t="shared" si="58"/>
        <v>0.57999999999999996</v>
      </c>
      <c r="N311" s="5">
        <f t="shared" si="63"/>
        <v>93.3</v>
      </c>
      <c r="P311">
        <v>69</v>
      </c>
      <c r="Q311" s="8">
        <f t="shared" si="64"/>
        <v>69</v>
      </c>
      <c r="R311" s="8">
        <v>18</v>
      </c>
      <c r="S311" s="8">
        <f t="shared" si="70"/>
        <v>18</v>
      </c>
      <c r="T311" s="8">
        <f>(Table1[[#This Row],[Total Cholesterol (mg/dL)]]+Table1[[#This Row],[HDL (mg/dL)2]]+Table1[[#This Row],[Estimated LDL (mg/dL)2]])*5</f>
        <v>435</v>
      </c>
      <c r="U311" s="8">
        <f>IF(O311="",Table1[[#This Row],[Estimated LDL (mg/dL)2]]+Table1[[#This Row],[HDL (mg/dL)2]]+(Table1[[#This Row],[Triglycerides]]/5),O311)</f>
        <v>174</v>
      </c>
      <c r="V311">
        <v>117</v>
      </c>
      <c r="W311" s="8">
        <f t="shared" si="65"/>
        <v>117</v>
      </c>
      <c r="X311" t="str">
        <f t="shared" si="66"/>
        <v>Prediabetes</v>
      </c>
      <c r="Y311" t="s">
        <v>23</v>
      </c>
      <c r="Z311" t="s">
        <v>23</v>
      </c>
      <c r="AA311" t="s">
        <v>37</v>
      </c>
      <c r="AB311" s="3" t="s">
        <v>322</v>
      </c>
      <c r="AC311">
        <v>111</v>
      </c>
      <c r="AD311" s="3" t="str">
        <f t="shared" si="67"/>
        <v>111</v>
      </c>
      <c r="AE311">
        <v>78</v>
      </c>
      <c r="AF311" s="3" t="str">
        <f t="shared" si="68"/>
        <v>78</v>
      </c>
      <c r="AG311" t="s">
        <v>33</v>
      </c>
      <c r="AH311" s="3">
        <v>16.95</v>
      </c>
      <c r="AI311" s="3">
        <f t="shared" si="69"/>
        <v>16.95</v>
      </c>
      <c r="AJ311" t="s">
        <v>30</v>
      </c>
      <c r="AK311" t="str">
        <f>PROPER(Table1[[#This Row],[CVD Risk Level]])</f>
        <v>High</v>
      </c>
    </row>
    <row r="312" spans="1:37" x14ac:dyDescent="0.3">
      <c r="A312" t="s">
        <v>20</v>
      </c>
      <c r="B312">
        <v>34</v>
      </c>
      <c r="C312" s="8">
        <f t="shared" si="59"/>
        <v>34</v>
      </c>
      <c r="D312" s="5">
        <v>91.9</v>
      </c>
      <c r="E312" s="8">
        <f t="shared" si="60"/>
        <v>91.9</v>
      </c>
      <c r="F312">
        <v>1.74</v>
      </c>
      <c r="G312" s="3">
        <f t="shared" si="61"/>
        <v>1.74</v>
      </c>
      <c r="H312">
        <v>30.4</v>
      </c>
      <c r="I312" s="5">
        <f t="shared" si="57"/>
        <v>30.4</v>
      </c>
      <c r="J312" s="16" t="str">
        <f t="shared" si="62"/>
        <v>Obese</v>
      </c>
      <c r="K312">
        <v>72.2</v>
      </c>
      <c r="L312">
        <v>0.41499999999999998</v>
      </c>
      <c r="M312" s="11">
        <f t="shared" si="58"/>
        <v>0.41499999999999998</v>
      </c>
      <c r="N312" s="5">
        <f t="shared" si="63"/>
        <v>72.2</v>
      </c>
      <c r="O312">
        <v>186</v>
      </c>
      <c r="Q312" s="8">
        <f t="shared" si="64"/>
        <v>56.197377501725327</v>
      </c>
      <c r="R312" s="8">
        <v>95</v>
      </c>
      <c r="S312" s="8">
        <f>IF(R312&lt;=0,MEDIAN($R$2:$R$1530),R312)</f>
        <v>95</v>
      </c>
      <c r="T312" s="8">
        <f>(Table1[[#This Row],[Total Cholesterol (mg/dL)]]+Table1[[#This Row],[HDL (mg/dL)2]]+Table1[[#This Row],[Estimated LDL (mg/dL)2]])*5</f>
        <v>1685.9868875086268</v>
      </c>
      <c r="U312" s="8">
        <f>IF(O312="",Table1[[#This Row],[Estimated LDL (mg/dL)2]]+Table1[[#This Row],[HDL (mg/dL)2]]+(Table1[[#This Row],[Triglycerides]]/5),O312)</f>
        <v>186</v>
      </c>
      <c r="W312" s="8">
        <f t="shared" si="65"/>
        <v>117.48563611491107</v>
      </c>
      <c r="X312" t="str">
        <f t="shared" si="66"/>
        <v>Prediabetes</v>
      </c>
      <c r="Y312" t="s">
        <v>22</v>
      </c>
      <c r="Z312" t="s">
        <v>22</v>
      </c>
      <c r="AA312" t="s">
        <v>37</v>
      </c>
      <c r="AB312" s="3" t="s">
        <v>151</v>
      </c>
      <c r="AC312">
        <v>137</v>
      </c>
      <c r="AD312" s="3" t="str">
        <f t="shared" si="67"/>
        <v>137</v>
      </c>
      <c r="AE312">
        <v>82</v>
      </c>
      <c r="AF312" s="3" t="str">
        <f t="shared" si="68"/>
        <v>82</v>
      </c>
      <c r="AG312" t="s">
        <v>29</v>
      </c>
      <c r="AH312" s="3">
        <v>16.649999999999999</v>
      </c>
      <c r="AI312" s="3">
        <f t="shared" si="69"/>
        <v>16.649999999999999</v>
      </c>
      <c r="AJ312" t="s">
        <v>26</v>
      </c>
      <c r="AK312" t="str">
        <f>PROPER(Table1[[#This Row],[CVD Risk Level]])</f>
        <v>Intermediary</v>
      </c>
    </row>
    <row r="313" spans="1:37" x14ac:dyDescent="0.3">
      <c r="A313" t="s">
        <v>31</v>
      </c>
      <c r="B313">
        <v>31</v>
      </c>
      <c r="C313" s="8">
        <f t="shared" si="59"/>
        <v>31</v>
      </c>
      <c r="D313" s="5">
        <v>87.9</v>
      </c>
      <c r="E313" s="8">
        <f t="shared" si="60"/>
        <v>87.9</v>
      </c>
      <c r="F313">
        <v>1.9</v>
      </c>
      <c r="G313" s="3">
        <f t="shared" si="61"/>
        <v>1.9</v>
      </c>
      <c r="H313">
        <v>24.3</v>
      </c>
      <c r="I313" s="5">
        <f t="shared" si="57"/>
        <v>24.3</v>
      </c>
      <c r="J313" s="16" t="str">
        <f t="shared" si="62"/>
        <v>Normal</v>
      </c>
      <c r="K313">
        <v>103.7</v>
      </c>
      <c r="L313">
        <v>0.54600000000000004</v>
      </c>
      <c r="M313" s="11">
        <f t="shared" si="58"/>
        <v>0.54600000000000004</v>
      </c>
      <c r="N313" s="5">
        <f t="shared" si="63"/>
        <v>103.7</v>
      </c>
      <c r="O313">
        <v>178</v>
      </c>
      <c r="P313">
        <v>56</v>
      </c>
      <c r="Q313" s="8">
        <f t="shared" si="64"/>
        <v>56</v>
      </c>
      <c r="R313" s="8">
        <v>92</v>
      </c>
      <c r="S313" s="8">
        <f t="shared" si="70"/>
        <v>92</v>
      </c>
      <c r="T313" s="8">
        <f>(Table1[[#This Row],[Total Cholesterol (mg/dL)]]+Table1[[#This Row],[HDL (mg/dL)2]]+Table1[[#This Row],[Estimated LDL (mg/dL)2]])*5</f>
        <v>1630</v>
      </c>
      <c r="U313" s="8">
        <f>IF(O313="",Table1[[#This Row],[Estimated LDL (mg/dL)2]]+Table1[[#This Row],[HDL (mg/dL)2]]+(Table1[[#This Row],[Triglycerides]]/5),O313)</f>
        <v>178</v>
      </c>
      <c r="V313">
        <v>78</v>
      </c>
      <c r="W313" s="8">
        <f t="shared" si="65"/>
        <v>78</v>
      </c>
      <c r="X313" t="str">
        <f t="shared" si="66"/>
        <v>Normal</v>
      </c>
      <c r="Y313" t="s">
        <v>23</v>
      </c>
      <c r="Z313" t="s">
        <v>23</v>
      </c>
      <c r="AA313" t="s">
        <v>24</v>
      </c>
      <c r="AB313" s="3" t="s">
        <v>323</v>
      </c>
      <c r="AC313">
        <v>128</v>
      </c>
      <c r="AD313" s="3" t="str">
        <f t="shared" si="67"/>
        <v>128</v>
      </c>
      <c r="AE313">
        <v>93</v>
      </c>
      <c r="AF313" s="3" t="str">
        <f t="shared" si="68"/>
        <v>93</v>
      </c>
      <c r="AG313" t="s">
        <v>38</v>
      </c>
      <c r="AH313" s="3">
        <v>16.82</v>
      </c>
      <c r="AI313" s="3">
        <f t="shared" si="69"/>
        <v>16.82</v>
      </c>
      <c r="AJ313" t="s">
        <v>26</v>
      </c>
      <c r="AK313" t="str">
        <f>PROPER(Table1[[#This Row],[CVD Risk Level]])</f>
        <v>Intermediary</v>
      </c>
    </row>
    <row r="314" spans="1:37" x14ac:dyDescent="0.3">
      <c r="A314" t="s">
        <v>31</v>
      </c>
      <c r="B314">
        <v>38</v>
      </c>
      <c r="C314" s="8">
        <f t="shared" si="59"/>
        <v>38</v>
      </c>
      <c r="D314" s="5">
        <v>69.099999999999994</v>
      </c>
      <c r="E314" s="8">
        <f t="shared" si="60"/>
        <v>69.099999999999994</v>
      </c>
      <c r="F314">
        <v>1.84</v>
      </c>
      <c r="G314" s="3">
        <f t="shared" si="61"/>
        <v>1.84</v>
      </c>
      <c r="H314">
        <v>20.399999999999999</v>
      </c>
      <c r="I314" s="5">
        <f t="shared" si="57"/>
        <v>20.399999999999999</v>
      </c>
      <c r="J314" s="16" t="str">
        <f t="shared" si="62"/>
        <v>Normal</v>
      </c>
      <c r="K314">
        <v>95.9</v>
      </c>
      <c r="L314">
        <v>0.52100000000000002</v>
      </c>
      <c r="M314" s="11">
        <f t="shared" si="58"/>
        <v>0.52100000000000002</v>
      </c>
      <c r="N314" s="5">
        <f t="shared" si="63"/>
        <v>95.9</v>
      </c>
      <c r="O314">
        <v>131</v>
      </c>
      <c r="P314">
        <v>66</v>
      </c>
      <c r="Q314" s="8">
        <f t="shared" si="64"/>
        <v>66</v>
      </c>
      <c r="R314" s="8">
        <v>35</v>
      </c>
      <c r="S314" s="8">
        <f t="shared" si="70"/>
        <v>35</v>
      </c>
      <c r="T314" s="8">
        <f>(Table1[[#This Row],[Total Cholesterol (mg/dL)]]+Table1[[#This Row],[HDL (mg/dL)2]]+Table1[[#This Row],[Estimated LDL (mg/dL)2]])*5</f>
        <v>1160</v>
      </c>
      <c r="U314" s="8">
        <f>IF(O314="",Table1[[#This Row],[Estimated LDL (mg/dL)2]]+Table1[[#This Row],[HDL (mg/dL)2]]+(Table1[[#This Row],[Triglycerides]]/5),O314)</f>
        <v>131</v>
      </c>
      <c r="V314">
        <v>113</v>
      </c>
      <c r="W314" s="8">
        <f t="shared" si="65"/>
        <v>113</v>
      </c>
      <c r="X314" t="str">
        <f t="shared" si="66"/>
        <v>Prediabetes</v>
      </c>
      <c r="Y314" t="s">
        <v>22</v>
      </c>
      <c r="Z314" t="s">
        <v>22</v>
      </c>
      <c r="AA314" t="s">
        <v>24</v>
      </c>
      <c r="AB314" s="3" t="s">
        <v>77</v>
      </c>
      <c r="AC314">
        <v>129</v>
      </c>
      <c r="AD314" s="3" t="str">
        <f t="shared" si="67"/>
        <v>129</v>
      </c>
      <c r="AE314">
        <v>78</v>
      </c>
      <c r="AF314" s="3" t="str">
        <f t="shared" si="68"/>
        <v>78</v>
      </c>
      <c r="AG314" t="s">
        <v>25</v>
      </c>
      <c r="AH314" s="3">
        <v>13.15</v>
      </c>
      <c r="AI314" s="3">
        <f t="shared" si="69"/>
        <v>13.15</v>
      </c>
      <c r="AJ314" t="s">
        <v>52</v>
      </c>
      <c r="AK314" t="str">
        <f>PROPER(Table1[[#This Row],[CVD Risk Level]])</f>
        <v>Low</v>
      </c>
    </row>
    <row r="315" spans="1:37" x14ac:dyDescent="0.3">
      <c r="A315" t="s">
        <v>20</v>
      </c>
      <c r="B315">
        <v>56</v>
      </c>
      <c r="C315" s="8">
        <f t="shared" si="59"/>
        <v>56</v>
      </c>
      <c r="D315" s="5">
        <v>90</v>
      </c>
      <c r="E315" s="8">
        <f t="shared" si="60"/>
        <v>90</v>
      </c>
      <c r="F315">
        <v>1.69</v>
      </c>
      <c r="G315" s="3">
        <f t="shared" si="61"/>
        <v>1.69</v>
      </c>
      <c r="H315">
        <v>31.5</v>
      </c>
      <c r="I315" s="5">
        <f t="shared" si="57"/>
        <v>31.5</v>
      </c>
      <c r="J315" s="16" t="str">
        <f t="shared" si="62"/>
        <v>Obese</v>
      </c>
      <c r="K315">
        <v>72.599999999999994</v>
      </c>
      <c r="L315">
        <v>0.43</v>
      </c>
      <c r="M315" s="11">
        <f t="shared" si="58"/>
        <v>0.43</v>
      </c>
      <c r="N315" s="5">
        <f t="shared" si="63"/>
        <v>72.599999999999994</v>
      </c>
      <c r="O315">
        <v>256</v>
      </c>
      <c r="Q315" s="8">
        <f t="shared" si="64"/>
        <v>56.197377501725327</v>
      </c>
      <c r="R315" s="8">
        <v>164</v>
      </c>
      <c r="S315" s="8">
        <f>IF(R315&lt;=0,MEDIAN($R$2:$R$1530),R315)</f>
        <v>164</v>
      </c>
      <c r="T315" s="8">
        <f>(Table1[[#This Row],[Total Cholesterol (mg/dL)]]+Table1[[#This Row],[HDL (mg/dL)2]]+Table1[[#This Row],[Estimated LDL (mg/dL)2]])*5</f>
        <v>2380.9868875086268</v>
      </c>
      <c r="U315" s="8">
        <f>IF(O315="",Table1[[#This Row],[Estimated LDL (mg/dL)2]]+Table1[[#This Row],[HDL (mg/dL)2]]+(Table1[[#This Row],[Triglycerides]]/5),O315)</f>
        <v>256</v>
      </c>
      <c r="V315">
        <v>142</v>
      </c>
      <c r="W315" s="8">
        <f t="shared" si="65"/>
        <v>142</v>
      </c>
      <c r="X315" t="str">
        <f t="shared" si="66"/>
        <v>Diabetes</v>
      </c>
      <c r="Y315" t="s">
        <v>23</v>
      </c>
      <c r="Z315" t="s">
        <v>22</v>
      </c>
      <c r="AA315" t="s">
        <v>28</v>
      </c>
      <c r="AB315" s="3" t="s">
        <v>324</v>
      </c>
      <c r="AC315">
        <v>109</v>
      </c>
      <c r="AD315" s="3" t="str">
        <f t="shared" si="67"/>
        <v>109</v>
      </c>
      <c r="AE315">
        <v>67</v>
      </c>
      <c r="AF315" s="3" t="str">
        <f t="shared" si="68"/>
        <v>67</v>
      </c>
      <c r="AG315" t="s">
        <v>33</v>
      </c>
      <c r="AH315" s="3">
        <v>16.87</v>
      </c>
      <c r="AI315" s="3">
        <f t="shared" si="69"/>
        <v>16.87</v>
      </c>
      <c r="AJ315" t="s">
        <v>30</v>
      </c>
      <c r="AK315" t="str">
        <f>PROPER(Table1[[#This Row],[CVD Risk Level]])</f>
        <v>High</v>
      </c>
    </row>
    <row r="316" spans="1:37" x14ac:dyDescent="0.3">
      <c r="A316" t="s">
        <v>20</v>
      </c>
      <c r="C316" s="8">
        <f t="shared" si="59"/>
        <v>47.025499655410059</v>
      </c>
      <c r="D316" s="5">
        <v>59.2</v>
      </c>
      <c r="E316" s="8">
        <f t="shared" si="60"/>
        <v>59.2</v>
      </c>
      <c r="F316">
        <v>1.8</v>
      </c>
      <c r="G316" s="3">
        <f t="shared" si="61"/>
        <v>1.8</v>
      </c>
      <c r="H316">
        <v>18.3</v>
      </c>
      <c r="I316" s="5">
        <f t="shared" si="57"/>
        <v>18.3</v>
      </c>
      <c r="J316" s="16" t="str">
        <f t="shared" si="62"/>
        <v>Underweight</v>
      </c>
      <c r="K316">
        <v>71.900000000000006</v>
      </c>
      <c r="L316">
        <v>0.39900000000000002</v>
      </c>
      <c r="M316" s="11">
        <f t="shared" si="58"/>
        <v>0.39900000000000002</v>
      </c>
      <c r="N316" s="5">
        <f t="shared" si="63"/>
        <v>71.900000000000006</v>
      </c>
      <c r="O316">
        <v>280</v>
      </c>
      <c r="P316">
        <v>79</v>
      </c>
      <c r="Q316" s="8">
        <f t="shared" si="64"/>
        <v>79</v>
      </c>
      <c r="R316" s="8">
        <v>171</v>
      </c>
      <c r="S316" s="8">
        <f t="shared" si="70"/>
        <v>171</v>
      </c>
      <c r="T316" s="8">
        <f>(Table1[[#This Row],[Total Cholesterol (mg/dL)]]+Table1[[#This Row],[HDL (mg/dL)2]]+Table1[[#This Row],[Estimated LDL (mg/dL)2]])*5</f>
        <v>2650</v>
      </c>
      <c r="U316" s="8">
        <f>IF(O316="",Table1[[#This Row],[Estimated LDL (mg/dL)2]]+Table1[[#This Row],[HDL (mg/dL)2]]+(Table1[[#This Row],[Triglycerides]]/5),O316)</f>
        <v>280</v>
      </c>
      <c r="V316">
        <v>84</v>
      </c>
      <c r="W316" s="8">
        <f t="shared" si="65"/>
        <v>84</v>
      </c>
      <c r="X316" t="str">
        <f t="shared" si="66"/>
        <v>Normal</v>
      </c>
      <c r="Y316" t="s">
        <v>22</v>
      </c>
      <c r="Z316" t="s">
        <v>22</v>
      </c>
      <c r="AA316" t="s">
        <v>28</v>
      </c>
      <c r="AB316" s="3" t="s">
        <v>325</v>
      </c>
      <c r="AC316">
        <v>116</v>
      </c>
      <c r="AD316" s="3" t="str">
        <f t="shared" si="67"/>
        <v>116</v>
      </c>
      <c r="AE316">
        <v>83</v>
      </c>
      <c r="AF316" s="3" t="str">
        <f t="shared" si="68"/>
        <v>83</v>
      </c>
      <c r="AG316" t="s">
        <v>29</v>
      </c>
      <c r="AH316" s="3">
        <v>15.06</v>
      </c>
      <c r="AI316" s="3">
        <f t="shared" si="69"/>
        <v>15.06</v>
      </c>
      <c r="AJ316" t="s">
        <v>26</v>
      </c>
      <c r="AK316" t="str">
        <f>PROPER(Table1[[#This Row],[CVD Risk Level]])</f>
        <v>Intermediary</v>
      </c>
    </row>
    <row r="317" spans="1:37" x14ac:dyDescent="0.3">
      <c r="A317" t="s">
        <v>31</v>
      </c>
      <c r="B317">
        <v>36</v>
      </c>
      <c r="C317" s="8">
        <f t="shared" si="59"/>
        <v>36</v>
      </c>
      <c r="D317" s="5">
        <v>83.7</v>
      </c>
      <c r="E317" s="8">
        <f t="shared" si="60"/>
        <v>83.7</v>
      </c>
      <c r="F317">
        <v>1.83</v>
      </c>
      <c r="G317" s="3">
        <f t="shared" si="61"/>
        <v>1.83</v>
      </c>
      <c r="H317">
        <v>25</v>
      </c>
      <c r="I317" s="5">
        <f t="shared" si="57"/>
        <v>25</v>
      </c>
      <c r="J317" s="16" t="str">
        <f t="shared" si="62"/>
        <v>Overweight</v>
      </c>
      <c r="K317">
        <v>85.6</v>
      </c>
      <c r="L317">
        <v>0.46800000000000003</v>
      </c>
      <c r="M317" s="11">
        <f t="shared" si="58"/>
        <v>0.46800000000000003</v>
      </c>
      <c r="N317" s="5">
        <f t="shared" si="63"/>
        <v>85.6</v>
      </c>
      <c r="O317">
        <v>117</v>
      </c>
      <c r="Q317" s="8">
        <f t="shared" si="64"/>
        <v>56.197377501725327</v>
      </c>
      <c r="R317" s="8">
        <v>57</v>
      </c>
      <c r="S317" s="8">
        <f>IF(R317&lt;=0,MEDIAN($R$2:$R$1530),R317)</f>
        <v>57</v>
      </c>
      <c r="T317" s="8">
        <f>(Table1[[#This Row],[Total Cholesterol (mg/dL)]]+Table1[[#This Row],[HDL (mg/dL)2]]+Table1[[#This Row],[Estimated LDL (mg/dL)2]])*5</f>
        <v>1150.9868875086268</v>
      </c>
      <c r="U317" s="8">
        <f>IF(O317="",Table1[[#This Row],[Estimated LDL (mg/dL)2]]+Table1[[#This Row],[HDL (mg/dL)2]]+(Table1[[#This Row],[Triglycerides]]/5),O317)</f>
        <v>117</v>
      </c>
      <c r="V317">
        <v>86</v>
      </c>
      <c r="W317" s="8">
        <f t="shared" si="65"/>
        <v>86</v>
      </c>
      <c r="X317" t="str">
        <f t="shared" si="66"/>
        <v>Normal</v>
      </c>
      <c r="Y317" t="s">
        <v>23</v>
      </c>
      <c r="Z317" t="s">
        <v>22</v>
      </c>
      <c r="AA317" t="s">
        <v>28</v>
      </c>
      <c r="AB317" s="3" t="s">
        <v>326</v>
      </c>
      <c r="AC317">
        <v>136</v>
      </c>
      <c r="AD317" s="3" t="str">
        <f t="shared" si="67"/>
        <v>136</v>
      </c>
      <c r="AE317">
        <v>60</v>
      </c>
      <c r="AF317" s="3" t="str">
        <f t="shared" si="68"/>
        <v>60</v>
      </c>
      <c r="AG317" t="s">
        <v>29</v>
      </c>
      <c r="AH317" s="3">
        <v>14.14</v>
      </c>
      <c r="AI317" s="3">
        <f t="shared" si="69"/>
        <v>14.14</v>
      </c>
      <c r="AJ317" t="s">
        <v>26</v>
      </c>
      <c r="AK317" t="str">
        <f>PROPER(Table1[[#This Row],[CVD Risk Level]])</f>
        <v>Intermediary</v>
      </c>
    </row>
    <row r="318" spans="1:37" x14ac:dyDescent="0.3">
      <c r="A318" t="s">
        <v>20</v>
      </c>
      <c r="B318">
        <v>57</v>
      </c>
      <c r="C318" s="8">
        <f t="shared" si="59"/>
        <v>57</v>
      </c>
      <c r="D318" s="5">
        <v>116.3</v>
      </c>
      <c r="E318" s="8">
        <f t="shared" si="60"/>
        <v>116.3</v>
      </c>
      <c r="F318">
        <v>1.62</v>
      </c>
      <c r="G318" s="3">
        <f t="shared" si="61"/>
        <v>1.62</v>
      </c>
      <c r="H318">
        <v>44.3</v>
      </c>
      <c r="I318" s="5">
        <f t="shared" si="57"/>
        <v>44.3</v>
      </c>
      <c r="J318" s="16" t="str">
        <f t="shared" si="62"/>
        <v>Obese</v>
      </c>
      <c r="K318">
        <v>99.1</v>
      </c>
      <c r="L318">
        <v>0.61199999999999999</v>
      </c>
      <c r="M318" s="11">
        <f t="shared" si="58"/>
        <v>0.61199999999999999</v>
      </c>
      <c r="N318" s="5">
        <f t="shared" si="63"/>
        <v>99.1</v>
      </c>
      <c r="O318">
        <v>293</v>
      </c>
      <c r="P318">
        <v>52</v>
      </c>
      <c r="Q318" s="8">
        <f t="shared" si="64"/>
        <v>52</v>
      </c>
      <c r="S318" s="8">
        <f t="shared" si="70"/>
        <v>109</v>
      </c>
      <c r="T318" s="8">
        <f>(Table1[[#This Row],[Total Cholesterol (mg/dL)]]+Table1[[#This Row],[HDL (mg/dL)2]]+Table1[[#This Row],[Estimated LDL (mg/dL)2]])*5</f>
        <v>2270</v>
      </c>
      <c r="U318" s="8">
        <f>IF(O318="",Table1[[#This Row],[Estimated LDL (mg/dL)2]]+Table1[[#This Row],[HDL (mg/dL)2]]+(Table1[[#This Row],[Triglycerides]]/5),O318)</f>
        <v>293</v>
      </c>
      <c r="V318">
        <v>139</v>
      </c>
      <c r="W318" s="8">
        <f t="shared" si="65"/>
        <v>139</v>
      </c>
      <c r="X318" t="str">
        <f t="shared" si="66"/>
        <v>Diabetes</v>
      </c>
      <c r="Y318" t="s">
        <v>22</v>
      </c>
      <c r="Z318" t="s">
        <v>23</v>
      </c>
      <c r="AA318" t="s">
        <v>37</v>
      </c>
      <c r="AB318" s="3" t="s">
        <v>327</v>
      </c>
      <c r="AC318">
        <v>149</v>
      </c>
      <c r="AD318" s="3" t="str">
        <f t="shared" si="67"/>
        <v>149</v>
      </c>
      <c r="AE318">
        <v>61</v>
      </c>
      <c r="AF318" s="3" t="str">
        <f t="shared" si="68"/>
        <v>61</v>
      </c>
      <c r="AG318" t="s">
        <v>38</v>
      </c>
      <c r="AH318" s="3">
        <v>24.17</v>
      </c>
      <c r="AI318" s="3">
        <f t="shared" si="69"/>
        <v>24.17</v>
      </c>
      <c r="AJ318" t="s">
        <v>30</v>
      </c>
      <c r="AK318" t="str">
        <f>PROPER(Table1[[#This Row],[CVD Risk Level]])</f>
        <v>High</v>
      </c>
    </row>
    <row r="319" spans="1:37" x14ac:dyDescent="0.3">
      <c r="A319" t="s">
        <v>20</v>
      </c>
      <c r="B319">
        <v>59</v>
      </c>
      <c r="C319" s="8">
        <f t="shared" si="59"/>
        <v>59</v>
      </c>
      <c r="D319" s="5">
        <v>50.4</v>
      </c>
      <c r="E319" s="8">
        <f t="shared" si="60"/>
        <v>50.4</v>
      </c>
      <c r="F319">
        <v>1.62</v>
      </c>
      <c r="G319" s="3">
        <f t="shared" si="61"/>
        <v>1.62</v>
      </c>
      <c r="H319">
        <v>19.2</v>
      </c>
      <c r="I319" s="5">
        <f t="shared" si="57"/>
        <v>19.2</v>
      </c>
      <c r="J319" s="16" t="str">
        <f t="shared" si="62"/>
        <v>Normal</v>
      </c>
      <c r="K319">
        <v>92.6</v>
      </c>
      <c r="L319">
        <v>0.57199999999999995</v>
      </c>
      <c r="M319" s="11">
        <f t="shared" si="58"/>
        <v>0.57199999999999995</v>
      </c>
      <c r="N319" s="5">
        <f t="shared" si="63"/>
        <v>92.6</v>
      </c>
      <c r="O319">
        <v>288</v>
      </c>
      <c r="P319">
        <v>48</v>
      </c>
      <c r="Q319" s="8">
        <f t="shared" si="64"/>
        <v>48</v>
      </c>
      <c r="R319" s="8">
        <v>210</v>
      </c>
      <c r="S319" s="8">
        <f t="shared" si="70"/>
        <v>210</v>
      </c>
      <c r="T319" s="8">
        <f>(Table1[[#This Row],[Total Cholesterol (mg/dL)]]+Table1[[#This Row],[HDL (mg/dL)2]]+Table1[[#This Row],[Estimated LDL (mg/dL)2]])*5</f>
        <v>2730</v>
      </c>
      <c r="U319" s="8">
        <f>IF(O319="",Table1[[#This Row],[Estimated LDL (mg/dL)2]]+Table1[[#This Row],[HDL (mg/dL)2]]+(Table1[[#This Row],[Triglycerides]]/5),O319)</f>
        <v>288</v>
      </c>
      <c r="V319">
        <v>134</v>
      </c>
      <c r="W319" s="8">
        <f t="shared" si="65"/>
        <v>134</v>
      </c>
      <c r="X319" t="str">
        <f t="shared" si="66"/>
        <v>Diabetes</v>
      </c>
      <c r="Y319" t="s">
        <v>22</v>
      </c>
      <c r="Z319" t="s">
        <v>22</v>
      </c>
      <c r="AA319" t="s">
        <v>37</v>
      </c>
      <c r="AB319" s="3" t="s">
        <v>328</v>
      </c>
      <c r="AC319">
        <v>133</v>
      </c>
      <c r="AD319" s="3" t="str">
        <f t="shared" si="67"/>
        <v>133</v>
      </c>
      <c r="AE319">
        <v>74</v>
      </c>
      <c r="AF319" s="3" t="str">
        <f t="shared" si="68"/>
        <v>74</v>
      </c>
      <c r="AG319" t="s">
        <v>29</v>
      </c>
      <c r="AH319" s="3">
        <v>16.25</v>
      </c>
      <c r="AI319" s="3">
        <f t="shared" si="69"/>
        <v>16.25</v>
      </c>
      <c r="AJ319" t="s">
        <v>26</v>
      </c>
      <c r="AK319" t="str">
        <f>PROPER(Table1[[#This Row],[CVD Risk Level]])</f>
        <v>Intermediary</v>
      </c>
    </row>
    <row r="320" spans="1:37" x14ac:dyDescent="0.3">
      <c r="A320" t="s">
        <v>31</v>
      </c>
      <c r="B320">
        <v>38</v>
      </c>
      <c r="C320" s="8">
        <f t="shared" si="59"/>
        <v>38</v>
      </c>
      <c r="D320" s="5">
        <v>66.8</v>
      </c>
      <c r="E320" s="8">
        <f t="shared" si="60"/>
        <v>66.8</v>
      </c>
      <c r="F320">
        <v>1.81</v>
      </c>
      <c r="G320" s="3">
        <f t="shared" si="61"/>
        <v>1.81</v>
      </c>
      <c r="H320">
        <v>20.399999999999999</v>
      </c>
      <c r="I320" s="5">
        <f t="shared" si="57"/>
        <v>20.399999999999999</v>
      </c>
      <c r="J320" s="16" t="str">
        <f t="shared" si="62"/>
        <v>Normal</v>
      </c>
      <c r="K320">
        <v>100.8</v>
      </c>
      <c r="L320">
        <v>0.55700000000000005</v>
      </c>
      <c r="M320" s="11">
        <f t="shared" si="58"/>
        <v>0.55700000000000005</v>
      </c>
      <c r="N320" s="5">
        <f t="shared" si="63"/>
        <v>100.8</v>
      </c>
      <c r="P320">
        <v>45</v>
      </c>
      <c r="Q320" s="8">
        <f t="shared" si="64"/>
        <v>45</v>
      </c>
      <c r="R320" s="8">
        <v>57</v>
      </c>
      <c r="S320" s="8">
        <f t="shared" si="70"/>
        <v>57</v>
      </c>
      <c r="T320" s="8">
        <f>(Table1[[#This Row],[Total Cholesterol (mg/dL)]]+Table1[[#This Row],[HDL (mg/dL)2]]+Table1[[#This Row],[Estimated LDL (mg/dL)2]])*5</f>
        <v>510</v>
      </c>
      <c r="U320" s="8">
        <f>IF(O320="",Table1[[#This Row],[Estimated LDL (mg/dL)2]]+Table1[[#This Row],[HDL (mg/dL)2]]+(Table1[[#This Row],[Triglycerides]]/5),O320)</f>
        <v>204</v>
      </c>
      <c r="V320">
        <v>93</v>
      </c>
      <c r="W320" s="8">
        <f t="shared" si="65"/>
        <v>93</v>
      </c>
      <c r="X320" t="str">
        <f t="shared" si="66"/>
        <v>Normal</v>
      </c>
      <c r="Y320" t="s">
        <v>22</v>
      </c>
      <c r="Z320" t="s">
        <v>22</v>
      </c>
      <c r="AA320" t="s">
        <v>24</v>
      </c>
      <c r="AB320" s="3" t="s">
        <v>329</v>
      </c>
      <c r="AD320" s="3" t="str">
        <f t="shared" si="67"/>
        <v>142</v>
      </c>
      <c r="AE320">
        <v>67</v>
      </c>
      <c r="AF320" s="3" t="str">
        <f t="shared" si="68"/>
        <v>67</v>
      </c>
      <c r="AG320" t="s">
        <v>38</v>
      </c>
      <c r="AH320" s="3">
        <v>13.82</v>
      </c>
      <c r="AI320" s="3">
        <f t="shared" si="69"/>
        <v>13.82</v>
      </c>
      <c r="AJ320" t="s">
        <v>26</v>
      </c>
      <c r="AK320" t="str">
        <f>PROPER(Table1[[#This Row],[CVD Risk Level]])</f>
        <v>Intermediary</v>
      </c>
    </row>
    <row r="321" spans="1:37" x14ac:dyDescent="0.3">
      <c r="A321" t="s">
        <v>31</v>
      </c>
      <c r="B321">
        <v>55</v>
      </c>
      <c r="C321" s="8">
        <f t="shared" si="59"/>
        <v>55</v>
      </c>
      <c r="E321" s="8">
        <f t="shared" si="60"/>
        <v>89.935359999999989</v>
      </c>
      <c r="F321">
        <v>1.72</v>
      </c>
      <c r="G321" s="3">
        <f t="shared" si="61"/>
        <v>1.72</v>
      </c>
      <c r="H321">
        <v>30.4</v>
      </c>
      <c r="I321" s="5">
        <f t="shared" si="57"/>
        <v>30.4</v>
      </c>
      <c r="J321" s="16" t="str">
        <f t="shared" si="62"/>
        <v>Obese</v>
      </c>
      <c r="K321">
        <v>92.4</v>
      </c>
      <c r="L321">
        <v>0.53700000000000003</v>
      </c>
      <c r="M321" s="11">
        <f t="shared" si="58"/>
        <v>0.53700000000000003</v>
      </c>
      <c r="N321" s="5">
        <f t="shared" si="63"/>
        <v>92.4</v>
      </c>
      <c r="O321">
        <v>187</v>
      </c>
      <c r="P321">
        <v>72</v>
      </c>
      <c r="Q321" s="8">
        <f t="shared" si="64"/>
        <v>72</v>
      </c>
      <c r="R321" s="8">
        <v>85</v>
      </c>
      <c r="S321" s="8">
        <f>IF(R321&lt;=0,MEDIAN($R$2:$R$1530),R321)</f>
        <v>85</v>
      </c>
      <c r="T321" s="8">
        <f>(Table1[[#This Row],[Total Cholesterol (mg/dL)]]+Table1[[#This Row],[HDL (mg/dL)2]]+Table1[[#This Row],[Estimated LDL (mg/dL)2]])*5</f>
        <v>1720</v>
      </c>
      <c r="U321" s="8">
        <f>IF(O321="",Table1[[#This Row],[Estimated LDL (mg/dL)2]]+Table1[[#This Row],[HDL (mg/dL)2]]+(Table1[[#This Row],[Triglycerides]]/5),O321)</f>
        <v>187</v>
      </c>
      <c r="V321">
        <v>149</v>
      </c>
      <c r="W321" s="8">
        <f t="shared" si="65"/>
        <v>149</v>
      </c>
      <c r="X321" t="str">
        <f t="shared" si="66"/>
        <v>Diabetes</v>
      </c>
      <c r="Y321" t="s">
        <v>23</v>
      </c>
      <c r="Z321" t="s">
        <v>23</v>
      </c>
      <c r="AA321" t="s">
        <v>28</v>
      </c>
      <c r="AB321" s="3" t="s">
        <v>330</v>
      </c>
      <c r="AC321">
        <v>149</v>
      </c>
      <c r="AD321" s="3" t="str">
        <f t="shared" si="67"/>
        <v>149</v>
      </c>
      <c r="AE321">
        <v>93</v>
      </c>
      <c r="AF321" s="3" t="str">
        <f t="shared" si="68"/>
        <v>93</v>
      </c>
      <c r="AG321" t="s">
        <v>38</v>
      </c>
      <c r="AH321" s="3">
        <v>19.27</v>
      </c>
      <c r="AI321" s="3">
        <f t="shared" si="69"/>
        <v>19.27</v>
      </c>
      <c r="AJ321" t="s">
        <v>30</v>
      </c>
      <c r="AK321" t="str">
        <f>PROPER(Table1[[#This Row],[CVD Risk Level]])</f>
        <v>High</v>
      </c>
    </row>
    <row r="322" spans="1:37" x14ac:dyDescent="0.3">
      <c r="A322" t="s">
        <v>31</v>
      </c>
      <c r="B322">
        <v>50</v>
      </c>
      <c r="C322" s="8">
        <f t="shared" si="59"/>
        <v>50</v>
      </c>
      <c r="D322" s="5">
        <v>59</v>
      </c>
      <c r="E322" s="8">
        <f t="shared" si="60"/>
        <v>59</v>
      </c>
      <c r="F322">
        <v>1.71</v>
      </c>
      <c r="G322" s="3">
        <f t="shared" si="61"/>
        <v>1.71</v>
      </c>
      <c r="H322">
        <v>20.2</v>
      </c>
      <c r="I322" s="5">
        <f t="shared" ref="I322:I385" si="71" xml:space="preserve"> IF(H322="",E322 / (G322^2),H322)</f>
        <v>20.2</v>
      </c>
      <c r="J322" s="16" t="str">
        <f t="shared" si="62"/>
        <v>Normal</v>
      </c>
      <c r="K322">
        <v>107.6</v>
      </c>
      <c r="L322">
        <v>0.629</v>
      </c>
      <c r="M322" s="11">
        <f t="shared" ref="M322:M385" si="72">IF(L322="",K322/(G322*100),L322)</f>
        <v>0.629</v>
      </c>
      <c r="N322" s="5">
        <f t="shared" si="63"/>
        <v>107.6</v>
      </c>
      <c r="O322">
        <v>271</v>
      </c>
      <c r="P322">
        <v>56</v>
      </c>
      <c r="Q322" s="8">
        <f t="shared" si="64"/>
        <v>56</v>
      </c>
      <c r="R322" s="8">
        <v>185</v>
      </c>
      <c r="S322" s="8">
        <f t="shared" si="70"/>
        <v>185</v>
      </c>
      <c r="T322" s="8">
        <f>(Table1[[#This Row],[Total Cholesterol (mg/dL)]]+Table1[[#This Row],[HDL (mg/dL)2]]+Table1[[#This Row],[Estimated LDL (mg/dL)2]])*5</f>
        <v>2560</v>
      </c>
      <c r="U322" s="8">
        <f>IF(O322="",Table1[[#This Row],[Estimated LDL (mg/dL)2]]+Table1[[#This Row],[HDL (mg/dL)2]]+(Table1[[#This Row],[Triglycerides]]/5),O322)</f>
        <v>271</v>
      </c>
      <c r="V322">
        <v>111</v>
      </c>
      <c r="W322" s="8">
        <f t="shared" si="65"/>
        <v>111</v>
      </c>
      <c r="X322" t="str">
        <f t="shared" si="66"/>
        <v>Prediabetes</v>
      </c>
      <c r="Y322" t="s">
        <v>23</v>
      </c>
      <c r="Z322" t="s">
        <v>23</v>
      </c>
      <c r="AA322" t="s">
        <v>24</v>
      </c>
      <c r="AB322" s="3" t="s">
        <v>51</v>
      </c>
      <c r="AC322">
        <v>138</v>
      </c>
      <c r="AD322" s="3" t="str">
        <f t="shared" si="67"/>
        <v>138</v>
      </c>
      <c r="AE322">
        <v>96</v>
      </c>
      <c r="AF322" s="3" t="str">
        <f t="shared" si="68"/>
        <v>96</v>
      </c>
      <c r="AG322" t="s">
        <v>29</v>
      </c>
      <c r="AH322" s="3">
        <v>18.36</v>
      </c>
      <c r="AI322" s="3">
        <f t="shared" si="69"/>
        <v>18.36</v>
      </c>
      <c r="AJ322" t="s">
        <v>30</v>
      </c>
      <c r="AK322" t="str">
        <f>PROPER(Table1[[#This Row],[CVD Risk Level]])</f>
        <v>High</v>
      </c>
    </row>
    <row r="323" spans="1:37" x14ac:dyDescent="0.3">
      <c r="A323" t="s">
        <v>20</v>
      </c>
      <c r="B323">
        <v>59</v>
      </c>
      <c r="C323" s="8">
        <f t="shared" ref="C323:C386" si="73">IF(B323="",AVERAGE($B$2:$B$1530),B323)</f>
        <v>59</v>
      </c>
      <c r="D323" s="5">
        <v>76.900000000000006</v>
      </c>
      <c r="E323" s="8">
        <f t="shared" ref="E323:E386" si="74">IF(D323="", H323*(F323^2),D323)</f>
        <v>76.900000000000006</v>
      </c>
      <c r="F323">
        <v>1.8</v>
      </c>
      <c r="G323" s="3">
        <f t="shared" ref="G323:G386" si="75">IF(F323="", SQRT(E323 / H323),F323)</f>
        <v>1.8</v>
      </c>
      <c r="H323">
        <v>23.7</v>
      </c>
      <c r="I323" s="5">
        <f t="shared" si="71"/>
        <v>23.7</v>
      </c>
      <c r="J323" s="16" t="str">
        <f t="shared" ref="J323:J386" si="76">IF(I323&lt;18.5,"Underweight",IF(I323&lt;25,"Normal",IF(I323&lt;30,"Overweight","Obese")))</f>
        <v>Normal</v>
      </c>
      <c r="L323">
        <v>0.48399999999999999</v>
      </c>
      <c r="M323" s="11">
        <f t="shared" si="72"/>
        <v>0.48399999999999999</v>
      </c>
      <c r="N323" s="5">
        <f t="shared" ref="N323:N386" si="77">IF(K323="",M323*(G323*100),K323)</f>
        <v>87.12</v>
      </c>
      <c r="O323">
        <v>294</v>
      </c>
      <c r="P323">
        <v>57</v>
      </c>
      <c r="Q323" s="8">
        <f t="shared" ref="Q323:Q386" si="78">IF(P323="",AVERAGE($P$2:$P$1530),P323)</f>
        <v>57</v>
      </c>
      <c r="R323" s="8">
        <v>207</v>
      </c>
      <c r="S323" s="8">
        <f t="shared" ref="S323:S386" si="79">IF(R323&lt;=0,MEDIAN($R$2:$R$1530),R323)</f>
        <v>207</v>
      </c>
      <c r="T323" s="8">
        <f>(Table1[[#This Row],[Total Cholesterol (mg/dL)]]+Table1[[#This Row],[HDL (mg/dL)2]]+Table1[[#This Row],[Estimated LDL (mg/dL)2]])*5</f>
        <v>2790</v>
      </c>
      <c r="U323" s="8">
        <f>IF(O323="",Table1[[#This Row],[Estimated LDL (mg/dL)2]]+Table1[[#This Row],[HDL (mg/dL)2]]+(Table1[[#This Row],[Triglycerides]]/5),O323)</f>
        <v>294</v>
      </c>
      <c r="V323">
        <v>150</v>
      </c>
      <c r="W323" s="8">
        <f t="shared" ref="W323:W386" si="80">IF(V323="",AVERAGE($V$2:$V$1530),V323)</f>
        <v>150</v>
      </c>
      <c r="X323" t="str">
        <f t="shared" ref="X323:X386" si="81">IF(W323&lt;100,"Normal",IF(W323&lt;126,"Prediabetes","Diabetes"))</f>
        <v>Diabetes</v>
      </c>
      <c r="Y323" t="s">
        <v>23</v>
      </c>
      <c r="Z323" t="s">
        <v>22</v>
      </c>
      <c r="AA323" t="s">
        <v>37</v>
      </c>
      <c r="AB323" s="3" t="s">
        <v>331</v>
      </c>
      <c r="AC323">
        <v>93</v>
      </c>
      <c r="AD323" s="3" t="str">
        <f t="shared" ref="AD323:AD386" si="82">LEFT(AB323,FIND("/",AB323)-1)</f>
        <v>93</v>
      </c>
      <c r="AE323">
        <v>89</v>
      </c>
      <c r="AF323" s="3" t="str">
        <f t="shared" ref="AF323:AF386" si="83">RIGHT(AB323,LEN(AB323)-FIND("/",AB323))</f>
        <v>89</v>
      </c>
      <c r="AG323" t="s">
        <v>29</v>
      </c>
      <c r="AH323" s="3">
        <v>15.27</v>
      </c>
      <c r="AI323" s="3">
        <f t="shared" ref="AI323:AI386" si="84">IF(AH323="",AVERAGE($AH$2:$AH$1530),AH323)</f>
        <v>15.27</v>
      </c>
      <c r="AJ323" t="s">
        <v>30</v>
      </c>
      <c r="AK323" t="str">
        <f>PROPER(Table1[[#This Row],[CVD Risk Level]])</f>
        <v>High</v>
      </c>
    </row>
    <row r="324" spans="1:37" x14ac:dyDescent="0.3">
      <c r="A324" t="s">
        <v>20</v>
      </c>
      <c r="B324">
        <v>38</v>
      </c>
      <c r="C324" s="8">
        <f t="shared" si="73"/>
        <v>38</v>
      </c>
      <c r="D324" s="5">
        <v>67.400000000000006</v>
      </c>
      <c r="E324" s="8">
        <f t="shared" si="74"/>
        <v>67.400000000000006</v>
      </c>
      <c r="F324">
        <v>1.63</v>
      </c>
      <c r="G324" s="3">
        <f t="shared" si="75"/>
        <v>1.63</v>
      </c>
      <c r="H324">
        <v>25.4</v>
      </c>
      <c r="I324" s="5">
        <f t="shared" si="71"/>
        <v>25.4</v>
      </c>
      <c r="J324" s="16" t="str">
        <f t="shared" si="76"/>
        <v>Overweight</v>
      </c>
      <c r="K324">
        <v>100</v>
      </c>
      <c r="L324">
        <v>0.61299999999999999</v>
      </c>
      <c r="M324" s="11">
        <f t="shared" si="72"/>
        <v>0.61299999999999999</v>
      </c>
      <c r="N324" s="5">
        <f t="shared" si="77"/>
        <v>100</v>
      </c>
      <c r="O324">
        <v>196</v>
      </c>
      <c r="P324">
        <v>30</v>
      </c>
      <c r="Q324" s="8">
        <f t="shared" si="78"/>
        <v>30</v>
      </c>
      <c r="R324" s="8">
        <v>136</v>
      </c>
      <c r="S324" s="8">
        <f t="shared" si="79"/>
        <v>136</v>
      </c>
      <c r="T324" s="8">
        <f>(Table1[[#This Row],[Total Cholesterol (mg/dL)]]+Table1[[#This Row],[HDL (mg/dL)2]]+Table1[[#This Row],[Estimated LDL (mg/dL)2]])*5</f>
        <v>1810</v>
      </c>
      <c r="U324" s="8">
        <f>IF(O324="",Table1[[#This Row],[Estimated LDL (mg/dL)2]]+Table1[[#This Row],[HDL (mg/dL)2]]+(Table1[[#This Row],[Triglycerides]]/5),O324)</f>
        <v>196</v>
      </c>
      <c r="V324">
        <v>71</v>
      </c>
      <c r="W324" s="8">
        <f t="shared" si="80"/>
        <v>71</v>
      </c>
      <c r="X324" t="str">
        <f t="shared" si="81"/>
        <v>Normal</v>
      </c>
      <c r="Y324" t="s">
        <v>22</v>
      </c>
      <c r="Z324" t="s">
        <v>23</v>
      </c>
      <c r="AA324" t="s">
        <v>37</v>
      </c>
      <c r="AB324" s="3" t="s">
        <v>332</v>
      </c>
      <c r="AC324">
        <v>123</v>
      </c>
      <c r="AD324" s="3" t="str">
        <f t="shared" si="82"/>
        <v>123</v>
      </c>
      <c r="AE324">
        <v>77</v>
      </c>
      <c r="AF324" s="3" t="str">
        <f t="shared" si="83"/>
        <v>77</v>
      </c>
      <c r="AG324" t="s">
        <v>25</v>
      </c>
      <c r="AH324" s="3">
        <v>17.149999999999999</v>
      </c>
      <c r="AI324" s="3">
        <f t="shared" si="84"/>
        <v>17.149999999999999</v>
      </c>
      <c r="AJ324" t="s">
        <v>26</v>
      </c>
      <c r="AK324" t="str">
        <f>PROPER(Table1[[#This Row],[CVD Risk Level]])</f>
        <v>Intermediary</v>
      </c>
    </row>
    <row r="325" spans="1:37" x14ac:dyDescent="0.3">
      <c r="A325" t="s">
        <v>31</v>
      </c>
      <c r="B325">
        <v>30</v>
      </c>
      <c r="C325" s="8">
        <f t="shared" si="73"/>
        <v>30</v>
      </c>
      <c r="D325" s="5">
        <v>91.4</v>
      </c>
      <c r="E325" s="8">
        <f t="shared" si="74"/>
        <v>91.4</v>
      </c>
      <c r="G325" s="3">
        <f t="shared" si="75"/>
        <v>1.7198630185538024</v>
      </c>
      <c r="H325">
        <v>30.9</v>
      </c>
      <c r="I325" s="5">
        <f t="shared" si="71"/>
        <v>30.9</v>
      </c>
      <c r="J325" s="16" t="str">
        <f t="shared" si="76"/>
        <v>Obese</v>
      </c>
      <c r="K325">
        <v>96.3</v>
      </c>
      <c r="L325">
        <v>0.56000000000000005</v>
      </c>
      <c r="M325" s="11">
        <f t="shared" si="72"/>
        <v>0.56000000000000005</v>
      </c>
      <c r="N325" s="5">
        <f t="shared" si="77"/>
        <v>96.3</v>
      </c>
      <c r="O325">
        <v>126</v>
      </c>
      <c r="P325">
        <v>32</v>
      </c>
      <c r="Q325" s="8">
        <f t="shared" si="78"/>
        <v>32</v>
      </c>
      <c r="R325" s="8">
        <v>64</v>
      </c>
      <c r="S325" s="8">
        <f t="shared" si="79"/>
        <v>64</v>
      </c>
      <c r="T325" s="8">
        <f>(Table1[[#This Row],[Total Cholesterol (mg/dL)]]+Table1[[#This Row],[HDL (mg/dL)2]]+Table1[[#This Row],[Estimated LDL (mg/dL)2]])*5</f>
        <v>1110</v>
      </c>
      <c r="U325" s="8">
        <f>IF(O325="",Table1[[#This Row],[Estimated LDL (mg/dL)2]]+Table1[[#This Row],[HDL (mg/dL)2]]+(Table1[[#This Row],[Triglycerides]]/5),O325)</f>
        <v>126</v>
      </c>
      <c r="V325">
        <v>72</v>
      </c>
      <c r="W325" s="8">
        <f t="shared" si="80"/>
        <v>72</v>
      </c>
      <c r="X325" t="str">
        <f t="shared" si="81"/>
        <v>Normal</v>
      </c>
      <c r="Y325" t="s">
        <v>22</v>
      </c>
      <c r="Z325" t="s">
        <v>23</v>
      </c>
      <c r="AA325" t="s">
        <v>37</v>
      </c>
      <c r="AB325" s="3" t="s">
        <v>333</v>
      </c>
      <c r="AC325">
        <v>106</v>
      </c>
      <c r="AD325" s="3" t="str">
        <f t="shared" si="82"/>
        <v>106</v>
      </c>
      <c r="AE325">
        <v>83</v>
      </c>
      <c r="AF325" s="3" t="str">
        <f t="shared" si="83"/>
        <v>83</v>
      </c>
      <c r="AG325" t="s">
        <v>29</v>
      </c>
      <c r="AI325" s="3">
        <f t="shared" si="84"/>
        <v>16.960925291295425</v>
      </c>
      <c r="AJ325" t="s">
        <v>26</v>
      </c>
      <c r="AK325" t="str">
        <f>PROPER(Table1[[#This Row],[CVD Risk Level]])</f>
        <v>Intermediary</v>
      </c>
    </row>
    <row r="326" spans="1:37" x14ac:dyDescent="0.3">
      <c r="A326" t="s">
        <v>20</v>
      </c>
      <c r="B326">
        <v>40</v>
      </c>
      <c r="C326" s="8">
        <f t="shared" si="73"/>
        <v>40</v>
      </c>
      <c r="D326" s="5">
        <v>91.4</v>
      </c>
      <c r="E326" s="8">
        <f t="shared" si="74"/>
        <v>91.4</v>
      </c>
      <c r="F326">
        <v>1.74</v>
      </c>
      <c r="G326" s="3">
        <f t="shared" si="75"/>
        <v>1.74</v>
      </c>
      <c r="H326">
        <v>30.2</v>
      </c>
      <c r="I326" s="5">
        <f t="shared" si="71"/>
        <v>30.2</v>
      </c>
      <c r="J326" s="16" t="str">
        <f t="shared" si="76"/>
        <v>Obese</v>
      </c>
      <c r="K326">
        <v>98.7</v>
      </c>
      <c r="L326">
        <v>0.56699999999999995</v>
      </c>
      <c r="M326" s="11">
        <f t="shared" si="72"/>
        <v>0.56699999999999995</v>
      </c>
      <c r="N326" s="5">
        <f t="shared" si="77"/>
        <v>98.7</v>
      </c>
      <c r="P326">
        <v>35</v>
      </c>
      <c r="Q326" s="8">
        <f t="shared" si="78"/>
        <v>35</v>
      </c>
      <c r="R326" s="8">
        <v>90</v>
      </c>
      <c r="S326" s="8">
        <f t="shared" si="79"/>
        <v>90</v>
      </c>
      <c r="T326" s="8">
        <f>(Table1[[#This Row],[Total Cholesterol (mg/dL)]]+Table1[[#This Row],[HDL (mg/dL)2]]+Table1[[#This Row],[Estimated LDL (mg/dL)2]])*5</f>
        <v>625</v>
      </c>
      <c r="U326" s="8">
        <f>IF(O326="",Table1[[#This Row],[Estimated LDL (mg/dL)2]]+Table1[[#This Row],[HDL (mg/dL)2]]+(Table1[[#This Row],[Triglycerides]]/5),O326)</f>
        <v>250</v>
      </c>
      <c r="V326">
        <v>101</v>
      </c>
      <c r="W326" s="8">
        <f t="shared" si="80"/>
        <v>101</v>
      </c>
      <c r="X326" t="str">
        <f t="shared" si="81"/>
        <v>Prediabetes</v>
      </c>
      <c r="Y326" t="s">
        <v>23</v>
      </c>
      <c r="Z326" t="s">
        <v>23</v>
      </c>
      <c r="AA326" t="s">
        <v>37</v>
      </c>
      <c r="AB326" s="3" t="s">
        <v>334</v>
      </c>
      <c r="AC326">
        <v>117</v>
      </c>
      <c r="AD326" s="3" t="str">
        <f t="shared" si="82"/>
        <v>117</v>
      </c>
      <c r="AE326">
        <v>64</v>
      </c>
      <c r="AF326" s="3" t="str">
        <f t="shared" si="83"/>
        <v>64</v>
      </c>
      <c r="AG326" t="s">
        <v>33</v>
      </c>
      <c r="AH326" s="3">
        <v>16.989999999999998</v>
      </c>
      <c r="AI326" s="3">
        <f t="shared" si="84"/>
        <v>16.989999999999998</v>
      </c>
      <c r="AJ326" t="s">
        <v>30</v>
      </c>
      <c r="AK326" t="str">
        <f>PROPER(Table1[[#This Row],[CVD Risk Level]])</f>
        <v>High</v>
      </c>
    </row>
    <row r="327" spans="1:37" x14ac:dyDescent="0.3">
      <c r="A327" t="s">
        <v>31</v>
      </c>
      <c r="B327">
        <v>34</v>
      </c>
      <c r="C327" s="8">
        <f t="shared" si="73"/>
        <v>34</v>
      </c>
      <c r="D327" s="5">
        <v>100.8</v>
      </c>
      <c r="E327" s="8">
        <f t="shared" si="74"/>
        <v>100.8</v>
      </c>
      <c r="F327">
        <v>1.7</v>
      </c>
      <c r="G327" s="3">
        <f t="shared" si="75"/>
        <v>1.7</v>
      </c>
      <c r="H327">
        <v>34.9</v>
      </c>
      <c r="I327" s="5">
        <f t="shared" si="71"/>
        <v>34.9</v>
      </c>
      <c r="J327" s="16" t="str">
        <f t="shared" si="76"/>
        <v>Obese</v>
      </c>
      <c r="K327">
        <v>108.8</v>
      </c>
      <c r="L327">
        <v>0.64</v>
      </c>
      <c r="M327" s="11">
        <f t="shared" si="72"/>
        <v>0.64</v>
      </c>
      <c r="N327" s="5">
        <f t="shared" si="77"/>
        <v>108.8</v>
      </c>
      <c r="P327">
        <v>71</v>
      </c>
      <c r="Q327" s="8">
        <f t="shared" si="78"/>
        <v>71</v>
      </c>
      <c r="R327" s="8">
        <v>11</v>
      </c>
      <c r="S327" s="8">
        <f>IF(R327&lt;=0,MEDIAN($R$2:$R$1530),R327)</f>
        <v>11</v>
      </c>
      <c r="T327" s="8">
        <f>(Table1[[#This Row],[Total Cholesterol (mg/dL)]]+Table1[[#This Row],[HDL (mg/dL)2]]+Table1[[#This Row],[Estimated LDL (mg/dL)2]])*5</f>
        <v>410</v>
      </c>
      <c r="U327" s="8">
        <f>IF(O327="",Table1[[#This Row],[Estimated LDL (mg/dL)2]]+Table1[[#This Row],[HDL (mg/dL)2]]+(Table1[[#This Row],[Triglycerides]]/5),O327)</f>
        <v>164</v>
      </c>
      <c r="V327">
        <v>148</v>
      </c>
      <c r="W327" s="8">
        <f t="shared" si="80"/>
        <v>148</v>
      </c>
      <c r="X327" t="str">
        <f t="shared" si="81"/>
        <v>Diabetes</v>
      </c>
      <c r="Y327" t="s">
        <v>22</v>
      </c>
      <c r="Z327" t="s">
        <v>22</v>
      </c>
      <c r="AA327" t="s">
        <v>24</v>
      </c>
      <c r="AB327" s="3" t="s">
        <v>335</v>
      </c>
      <c r="AC327">
        <v>100</v>
      </c>
      <c r="AD327" s="3" t="str">
        <f t="shared" si="82"/>
        <v>100</v>
      </c>
      <c r="AE327">
        <v>80</v>
      </c>
      <c r="AF327" s="3" t="str">
        <f t="shared" si="83"/>
        <v>80</v>
      </c>
      <c r="AG327" t="s">
        <v>29</v>
      </c>
      <c r="AH327" s="3">
        <v>14.22</v>
      </c>
      <c r="AI327" s="3">
        <f t="shared" si="84"/>
        <v>14.22</v>
      </c>
      <c r="AJ327" t="s">
        <v>26</v>
      </c>
      <c r="AK327" t="str">
        <f>PROPER(Table1[[#This Row],[CVD Risk Level]])</f>
        <v>Intermediary</v>
      </c>
    </row>
    <row r="328" spans="1:37" x14ac:dyDescent="0.3">
      <c r="A328" t="s">
        <v>20</v>
      </c>
      <c r="B328">
        <v>38</v>
      </c>
      <c r="C328" s="8">
        <f t="shared" si="73"/>
        <v>38</v>
      </c>
      <c r="D328" s="5">
        <v>104.3</v>
      </c>
      <c r="E328" s="8">
        <f t="shared" si="74"/>
        <v>104.3</v>
      </c>
      <c r="F328">
        <v>1.78</v>
      </c>
      <c r="G328" s="3">
        <f t="shared" si="75"/>
        <v>1.78</v>
      </c>
      <c r="H328">
        <v>32.9</v>
      </c>
      <c r="I328" s="5">
        <f t="shared" si="71"/>
        <v>32.9</v>
      </c>
      <c r="J328" s="16" t="str">
        <f t="shared" si="76"/>
        <v>Obese</v>
      </c>
      <c r="K328">
        <v>108.7</v>
      </c>
      <c r="L328">
        <v>0.61099999999999999</v>
      </c>
      <c r="M328" s="11">
        <f t="shared" si="72"/>
        <v>0.61099999999999999</v>
      </c>
      <c r="N328" s="5">
        <f t="shared" si="77"/>
        <v>108.7</v>
      </c>
      <c r="O328">
        <v>164</v>
      </c>
      <c r="P328">
        <v>56</v>
      </c>
      <c r="Q328" s="8">
        <f t="shared" si="78"/>
        <v>56</v>
      </c>
      <c r="R328" s="8">
        <v>78</v>
      </c>
      <c r="S328" s="8">
        <f t="shared" si="79"/>
        <v>78</v>
      </c>
      <c r="T328" s="8">
        <f>(Table1[[#This Row],[Total Cholesterol (mg/dL)]]+Table1[[#This Row],[HDL (mg/dL)2]]+Table1[[#This Row],[Estimated LDL (mg/dL)2]])*5</f>
        <v>1490</v>
      </c>
      <c r="U328" s="8">
        <f>IF(O328="",Table1[[#This Row],[Estimated LDL (mg/dL)2]]+Table1[[#This Row],[HDL (mg/dL)2]]+(Table1[[#This Row],[Triglycerides]]/5),O328)</f>
        <v>164</v>
      </c>
      <c r="V328">
        <v>120</v>
      </c>
      <c r="W328" s="8">
        <f t="shared" si="80"/>
        <v>120</v>
      </c>
      <c r="X328" t="str">
        <f t="shared" si="81"/>
        <v>Prediabetes</v>
      </c>
      <c r="Y328" t="s">
        <v>22</v>
      </c>
      <c r="Z328" t="s">
        <v>22</v>
      </c>
      <c r="AA328" t="s">
        <v>37</v>
      </c>
      <c r="AB328" s="3" t="s">
        <v>336</v>
      </c>
      <c r="AC328">
        <v>99</v>
      </c>
      <c r="AD328" s="3" t="str">
        <f t="shared" si="82"/>
        <v>99</v>
      </c>
      <c r="AE328">
        <v>70</v>
      </c>
      <c r="AF328" s="3" t="str">
        <f t="shared" si="83"/>
        <v>70</v>
      </c>
      <c r="AG328" t="s">
        <v>33</v>
      </c>
      <c r="AH328" s="3">
        <v>14.81</v>
      </c>
      <c r="AI328" s="3">
        <f t="shared" si="84"/>
        <v>14.81</v>
      </c>
      <c r="AJ328" t="s">
        <v>26</v>
      </c>
      <c r="AK328" t="str">
        <f>PROPER(Table1[[#This Row],[CVD Risk Level]])</f>
        <v>Intermediary</v>
      </c>
    </row>
    <row r="329" spans="1:37" x14ac:dyDescent="0.3">
      <c r="A329" t="s">
        <v>20</v>
      </c>
      <c r="B329">
        <v>36</v>
      </c>
      <c r="C329" s="8">
        <f t="shared" si="73"/>
        <v>36</v>
      </c>
      <c r="D329" s="5">
        <v>96.2</v>
      </c>
      <c r="E329" s="8">
        <f t="shared" si="74"/>
        <v>96.2</v>
      </c>
      <c r="F329">
        <v>1.89</v>
      </c>
      <c r="G329" s="3">
        <f t="shared" si="75"/>
        <v>1.89</v>
      </c>
      <c r="H329">
        <v>26.9</v>
      </c>
      <c r="I329" s="5">
        <f t="shared" si="71"/>
        <v>26.9</v>
      </c>
      <c r="J329" s="16" t="str">
        <f t="shared" si="76"/>
        <v>Overweight</v>
      </c>
      <c r="K329">
        <v>91.8</v>
      </c>
      <c r="L329">
        <v>0.48599999999999999</v>
      </c>
      <c r="M329" s="11">
        <f t="shared" si="72"/>
        <v>0.48599999999999999</v>
      </c>
      <c r="N329" s="5">
        <f t="shared" si="77"/>
        <v>91.8</v>
      </c>
      <c r="O329">
        <v>227</v>
      </c>
      <c r="P329">
        <v>66</v>
      </c>
      <c r="Q329" s="8">
        <f t="shared" si="78"/>
        <v>66</v>
      </c>
      <c r="R329" s="8">
        <v>131</v>
      </c>
      <c r="S329" s="8">
        <f t="shared" si="79"/>
        <v>131</v>
      </c>
      <c r="T329" s="8">
        <f>(Table1[[#This Row],[Total Cholesterol (mg/dL)]]+Table1[[#This Row],[HDL (mg/dL)2]]+Table1[[#This Row],[Estimated LDL (mg/dL)2]])*5</f>
        <v>2120</v>
      </c>
      <c r="U329" s="8">
        <f>IF(O329="",Table1[[#This Row],[Estimated LDL (mg/dL)2]]+Table1[[#This Row],[HDL (mg/dL)2]]+(Table1[[#This Row],[Triglycerides]]/5),O329)</f>
        <v>227</v>
      </c>
      <c r="V329">
        <v>137</v>
      </c>
      <c r="W329" s="8">
        <f t="shared" si="80"/>
        <v>137</v>
      </c>
      <c r="X329" t="str">
        <f t="shared" si="81"/>
        <v>Diabetes</v>
      </c>
      <c r="Y329" t="s">
        <v>22</v>
      </c>
      <c r="Z329" t="s">
        <v>22</v>
      </c>
      <c r="AA329" t="s">
        <v>37</v>
      </c>
      <c r="AB329" s="3" t="s">
        <v>337</v>
      </c>
      <c r="AC329">
        <v>145</v>
      </c>
      <c r="AD329" s="3" t="str">
        <f t="shared" si="82"/>
        <v>145</v>
      </c>
      <c r="AE329">
        <v>60</v>
      </c>
      <c r="AF329" s="3" t="str">
        <f t="shared" si="83"/>
        <v>60</v>
      </c>
      <c r="AG329" t="s">
        <v>38</v>
      </c>
      <c r="AH329" s="3">
        <v>17.170000000000002</v>
      </c>
      <c r="AI329" s="3">
        <f t="shared" si="84"/>
        <v>17.170000000000002</v>
      </c>
      <c r="AJ329" t="s">
        <v>26</v>
      </c>
      <c r="AK329" t="str">
        <f>PROPER(Table1[[#This Row],[CVD Risk Level]])</f>
        <v>Intermediary</v>
      </c>
    </row>
    <row r="330" spans="1:37" x14ac:dyDescent="0.3">
      <c r="A330" t="s">
        <v>31</v>
      </c>
      <c r="B330">
        <v>30</v>
      </c>
      <c r="C330" s="8">
        <f t="shared" si="73"/>
        <v>30</v>
      </c>
      <c r="D330" s="5">
        <v>117.6</v>
      </c>
      <c r="E330" s="8">
        <f t="shared" si="74"/>
        <v>117.6</v>
      </c>
      <c r="F330">
        <v>1.76</v>
      </c>
      <c r="G330" s="3">
        <f t="shared" si="75"/>
        <v>1.76</v>
      </c>
      <c r="H330">
        <v>38</v>
      </c>
      <c r="I330" s="5">
        <f t="shared" si="71"/>
        <v>38</v>
      </c>
      <c r="J330" s="16" t="str">
        <f t="shared" si="76"/>
        <v>Obese</v>
      </c>
      <c r="K330">
        <v>105</v>
      </c>
      <c r="L330">
        <v>0.59699999999999998</v>
      </c>
      <c r="M330" s="11">
        <f t="shared" si="72"/>
        <v>0.59699999999999998</v>
      </c>
      <c r="N330" s="5">
        <f t="shared" si="77"/>
        <v>105</v>
      </c>
      <c r="O330">
        <v>173</v>
      </c>
      <c r="P330">
        <v>58</v>
      </c>
      <c r="Q330" s="8">
        <f t="shared" si="78"/>
        <v>58</v>
      </c>
      <c r="R330" s="8">
        <v>85</v>
      </c>
      <c r="S330" s="8">
        <f t="shared" si="79"/>
        <v>85</v>
      </c>
      <c r="T330" s="8">
        <f>(Table1[[#This Row],[Total Cholesterol (mg/dL)]]+Table1[[#This Row],[HDL (mg/dL)2]]+Table1[[#This Row],[Estimated LDL (mg/dL)2]])*5</f>
        <v>1580</v>
      </c>
      <c r="U330" s="8">
        <f>IF(O330="",Table1[[#This Row],[Estimated LDL (mg/dL)2]]+Table1[[#This Row],[HDL (mg/dL)2]]+(Table1[[#This Row],[Triglycerides]]/5),O330)</f>
        <v>173</v>
      </c>
      <c r="V330">
        <v>113</v>
      </c>
      <c r="W330" s="8">
        <f t="shared" si="80"/>
        <v>113</v>
      </c>
      <c r="X330" t="str">
        <f t="shared" si="81"/>
        <v>Prediabetes</v>
      </c>
      <c r="Y330" t="s">
        <v>22</v>
      </c>
      <c r="Z330" t="s">
        <v>22</v>
      </c>
      <c r="AA330" t="s">
        <v>28</v>
      </c>
      <c r="AB330" s="3" t="s">
        <v>338</v>
      </c>
      <c r="AC330">
        <v>104</v>
      </c>
      <c r="AD330" s="3" t="str">
        <f t="shared" si="82"/>
        <v>104</v>
      </c>
      <c r="AE330">
        <v>96</v>
      </c>
      <c r="AF330" s="3" t="str">
        <f t="shared" si="83"/>
        <v>96</v>
      </c>
      <c r="AG330" t="s">
        <v>38</v>
      </c>
      <c r="AH330" s="3">
        <v>16.260000000000002</v>
      </c>
      <c r="AI330" s="3">
        <f t="shared" si="84"/>
        <v>16.260000000000002</v>
      </c>
      <c r="AJ330" t="s">
        <v>52</v>
      </c>
      <c r="AK330" t="str">
        <f>PROPER(Table1[[#This Row],[CVD Risk Level]])</f>
        <v>Low</v>
      </c>
    </row>
    <row r="331" spans="1:37" x14ac:dyDescent="0.3">
      <c r="A331" t="s">
        <v>20</v>
      </c>
      <c r="B331">
        <v>49</v>
      </c>
      <c r="C331" s="8">
        <f t="shared" si="73"/>
        <v>49</v>
      </c>
      <c r="D331" s="5">
        <v>106.4</v>
      </c>
      <c r="E331" s="8">
        <f t="shared" si="74"/>
        <v>106.4</v>
      </c>
      <c r="F331">
        <v>1.83</v>
      </c>
      <c r="G331" s="3">
        <f t="shared" si="75"/>
        <v>1.83</v>
      </c>
      <c r="H331">
        <v>31.8</v>
      </c>
      <c r="I331" s="5">
        <f t="shared" si="71"/>
        <v>31.8</v>
      </c>
      <c r="J331" s="16" t="str">
        <f t="shared" si="76"/>
        <v>Obese</v>
      </c>
      <c r="K331">
        <v>89</v>
      </c>
      <c r="L331">
        <v>0.48599999999999999</v>
      </c>
      <c r="M331" s="11">
        <f t="shared" si="72"/>
        <v>0.48599999999999999</v>
      </c>
      <c r="N331" s="5">
        <f t="shared" si="77"/>
        <v>89</v>
      </c>
      <c r="O331">
        <v>103</v>
      </c>
      <c r="P331">
        <v>72</v>
      </c>
      <c r="Q331" s="8">
        <f t="shared" si="78"/>
        <v>72</v>
      </c>
      <c r="R331" s="8">
        <v>1</v>
      </c>
      <c r="S331" s="8">
        <f>IF(R331&lt;=0,MEDIAN($R$2:$R$1530),R331)</f>
        <v>1</v>
      </c>
      <c r="T331" s="8">
        <f>(Table1[[#This Row],[Total Cholesterol (mg/dL)]]+Table1[[#This Row],[HDL (mg/dL)2]]+Table1[[#This Row],[Estimated LDL (mg/dL)2]])*5</f>
        <v>880</v>
      </c>
      <c r="U331" s="8">
        <f>IF(O331="",Table1[[#This Row],[Estimated LDL (mg/dL)2]]+Table1[[#This Row],[HDL (mg/dL)2]]+(Table1[[#This Row],[Triglycerides]]/5),O331)</f>
        <v>103</v>
      </c>
      <c r="V331">
        <v>108</v>
      </c>
      <c r="W331" s="8">
        <f t="shared" si="80"/>
        <v>108</v>
      </c>
      <c r="X331" t="str">
        <f t="shared" si="81"/>
        <v>Prediabetes</v>
      </c>
      <c r="Y331" t="s">
        <v>23</v>
      </c>
      <c r="Z331" t="s">
        <v>23</v>
      </c>
      <c r="AA331" t="s">
        <v>28</v>
      </c>
      <c r="AB331" s="3" t="s">
        <v>339</v>
      </c>
      <c r="AC331">
        <v>110</v>
      </c>
      <c r="AD331" s="3" t="str">
        <f t="shared" si="82"/>
        <v>110</v>
      </c>
      <c r="AE331">
        <v>71</v>
      </c>
      <c r="AF331" s="3" t="str">
        <f t="shared" si="83"/>
        <v>71</v>
      </c>
      <c r="AG331" t="s">
        <v>33</v>
      </c>
      <c r="AH331" s="3">
        <v>15.92</v>
      </c>
      <c r="AI331" s="3">
        <f t="shared" si="84"/>
        <v>15.92</v>
      </c>
      <c r="AJ331" t="s">
        <v>30</v>
      </c>
      <c r="AK331" t="str">
        <f>PROPER(Table1[[#This Row],[CVD Risk Level]])</f>
        <v>High</v>
      </c>
    </row>
    <row r="332" spans="1:37" x14ac:dyDescent="0.3">
      <c r="A332" t="s">
        <v>20</v>
      </c>
      <c r="B332">
        <v>44</v>
      </c>
      <c r="C332" s="8">
        <f t="shared" si="73"/>
        <v>44</v>
      </c>
      <c r="D332" s="5">
        <v>73.3</v>
      </c>
      <c r="E332" s="8">
        <f t="shared" si="74"/>
        <v>73.3</v>
      </c>
      <c r="F332">
        <v>1.63</v>
      </c>
      <c r="G332" s="3">
        <f t="shared" si="75"/>
        <v>1.63</v>
      </c>
      <c r="H332">
        <v>27.6</v>
      </c>
      <c r="I332" s="5">
        <f t="shared" si="71"/>
        <v>27.6</v>
      </c>
      <c r="J332" s="16" t="str">
        <f t="shared" si="76"/>
        <v>Overweight</v>
      </c>
      <c r="K332">
        <v>108.7</v>
      </c>
      <c r="L332">
        <v>0.66700000000000004</v>
      </c>
      <c r="M332" s="11">
        <f t="shared" si="72"/>
        <v>0.66700000000000004</v>
      </c>
      <c r="N332" s="5">
        <f t="shared" si="77"/>
        <v>108.7</v>
      </c>
      <c r="O332">
        <v>169</v>
      </c>
      <c r="P332">
        <v>32</v>
      </c>
      <c r="Q332" s="8">
        <f t="shared" si="78"/>
        <v>32</v>
      </c>
      <c r="R332" s="8">
        <v>107</v>
      </c>
      <c r="S332" s="8">
        <f t="shared" si="79"/>
        <v>107</v>
      </c>
      <c r="T332" s="8">
        <f>(Table1[[#This Row],[Total Cholesterol (mg/dL)]]+Table1[[#This Row],[HDL (mg/dL)2]]+Table1[[#This Row],[Estimated LDL (mg/dL)2]])*5</f>
        <v>1540</v>
      </c>
      <c r="U332" s="8">
        <f>IF(O332="",Table1[[#This Row],[Estimated LDL (mg/dL)2]]+Table1[[#This Row],[HDL (mg/dL)2]]+(Table1[[#This Row],[Triglycerides]]/5),O332)</f>
        <v>169</v>
      </c>
      <c r="V332">
        <v>93</v>
      </c>
      <c r="W332" s="8">
        <f t="shared" si="80"/>
        <v>93</v>
      </c>
      <c r="X332" t="str">
        <f t="shared" si="81"/>
        <v>Normal</v>
      </c>
      <c r="Y332" t="s">
        <v>22</v>
      </c>
      <c r="Z332" t="s">
        <v>23</v>
      </c>
      <c r="AA332" t="s">
        <v>37</v>
      </c>
      <c r="AB332" s="3" t="s">
        <v>340</v>
      </c>
      <c r="AC332">
        <v>123</v>
      </c>
      <c r="AD332" s="3" t="str">
        <f t="shared" si="82"/>
        <v>123</v>
      </c>
      <c r="AE332">
        <v>89</v>
      </c>
      <c r="AF332" s="3" t="str">
        <f t="shared" si="83"/>
        <v>89</v>
      </c>
      <c r="AG332" t="s">
        <v>29</v>
      </c>
      <c r="AH332" s="3">
        <v>17.05</v>
      </c>
      <c r="AI332" s="3">
        <f t="shared" si="84"/>
        <v>17.05</v>
      </c>
      <c r="AJ332" t="s">
        <v>26</v>
      </c>
      <c r="AK332" t="str">
        <f>PROPER(Table1[[#This Row],[CVD Risk Level]])</f>
        <v>Intermediary</v>
      </c>
    </row>
    <row r="333" spans="1:37" x14ac:dyDescent="0.3">
      <c r="A333" t="s">
        <v>31</v>
      </c>
      <c r="B333">
        <v>39</v>
      </c>
      <c r="C333" s="8">
        <f t="shared" si="73"/>
        <v>39</v>
      </c>
      <c r="D333" s="5">
        <v>57.2</v>
      </c>
      <c r="E333" s="8">
        <f t="shared" si="74"/>
        <v>57.2</v>
      </c>
      <c r="F333">
        <v>1.86</v>
      </c>
      <c r="G333" s="3">
        <f t="shared" si="75"/>
        <v>1.86</v>
      </c>
      <c r="H333">
        <v>16.5</v>
      </c>
      <c r="I333" s="5">
        <f t="shared" si="71"/>
        <v>16.5</v>
      </c>
      <c r="J333" s="16" t="str">
        <f t="shared" si="76"/>
        <v>Underweight</v>
      </c>
      <c r="K333">
        <v>88.8</v>
      </c>
      <c r="L333">
        <v>0.47699999999999998</v>
      </c>
      <c r="M333" s="11">
        <f t="shared" si="72"/>
        <v>0.47699999999999998</v>
      </c>
      <c r="N333" s="5">
        <f t="shared" si="77"/>
        <v>88.8</v>
      </c>
      <c r="O333">
        <v>115</v>
      </c>
      <c r="P333">
        <v>36</v>
      </c>
      <c r="Q333" s="8">
        <f t="shared" si="78"/>
        <v>36</v>
      </c>
      <c r="R333" s="8">
        <v>49</v>
      </c>
      <c r="S333" s="8">
        <f t="shared" si="79"/>
        <v>49</v>
      </c>
      <c r="T333" s="8">
        <f>(Table1[[#This Row],[Total Cholesterol (mg/dL)]]+Table1[[#This Row],[HDL (mg/dL)2]]+Table1[[#This Row],[Estimated LDL (mg/dL)2]])*5</f>
        <v>1000</v>
      </c>
      <c r="U333" s="8">
        <f>IF(O333="",Table1[[#This Row],[Estimated LDL (mg/dL)2]]+Table1[[#This Row],[HDL (mg/dL)2]]+(Table1[[#This Row],[Triglycerides]]/5),O333)</f>
        <v>115</v>
      </c>
      <c r="V333">
        <v>142</v>
      </c>
      <c r="W333" s="8">
        <f t="shared" si="80"/>
        <v>142</v>
      </c>
      <c r="X333" t="str">
        <f t="shared" si="81"/>
        <v>Diabetes</v>
      </c>
      <c r="Y333" t="s">
        <v>22</v>
      </c>
      <c r="Z333" t="s">
        <v>23</v>
      </c>
      <c r="AA333" t="s">
        <v>37</v>
      </c>
      <c r="AB333" s="3" t="s">
        <v>341</v>
      </c>
      <c r="AC333">
        <v>93</v>
      </c>
      <c r="AD333" s="3" t="str">
        <f t="shared" si="82"/>
        <v>93</v>
      </c>
      <c r="AE333">
        <v>85</v>
      </c>
      <c r="AF333" s="3" t="str">
        <f t="shared" si="83"/>
        <v>85</v>
      </c>
      <c r="AG333" t="s">
        <v>29</v>
      </c>
      <c r="AH333" s="3">
        <v>12.25</v>
      </c>
      <c r="AI333" s="3">
        <f t="shared" si="84"/>
        <v>12.25</v>
      </c>
      <c r="AJ333" t="s">
        <v>26</v>
      </c>
      <c r="AK333" t="str">
        <f>PROPER(Table1[[#This Row],[CVD Risk Level]])</f>
        <v>Intermediary</v>
      </c>
    </row>
    <row r="334" spans="1:37" x14ac:dyDescent="0.3">
      <c r="A334" t="s">
        <v>31</v>
      </c>
      <c r="B334">
        <v>38</v>
      </c>
      <c r="C334" s="8">
        <f t="shared" si="73"/>
        <v>38</v>
      </c>
      <c r="D334" s="5">
        <v>63.6</v>
      </c>
      <c r="E334" s="8">
        <f t="shared" si="74"/>
        <v>63.6</v>
      </c>
      <c r="F334">
        <v>1.81</v>
      </c>
      <c r="G334" s="3">
        <f t="shared" si="75"/>
        <v>1.81</v>
      </c>
      <c r="H334">
        <v>19.399999999999999</v>
      </c>
      <c r="I334" s="5">
        <f t="shared" si="71"/>
        <v>19.399999999999999</v>
      </c>
      <c r="J334" s="16" t="str">
        <f t="shared" si="76"/>
        <v>Normal</v>
      </c>
      <c r="L334">
        <v>0.50700000000000001</v>
      </c>
      <c r="M334" s="11">
        <f t="shared" si="72"/>
        <v>0.50700000000000001</v>
      </c>
      <c r="N334" s="5">
        <f t="shared" si="77"/>
        <v>91.766999999999996</v>
      </c>
      <c r="O334">
        <v>169</v>
      </c>
      <c r="P334">
        <v>69</v>
      </c>
      <c r="Q334" s="8">
        <f t="shared" si="78"/>
        <v>69</v>
      </c>
      <c r="R334" s="8">
        <v>70</v>
      </c>
      <c r="S334" s="8">
        <f t="shared" si="79"/>
        <v>70</v>
      </c>
      <c r="T334" s="8">
        <f>(Table1[[#This Row],[Total Cholesterol (mg/dL)]]+Table1[[#This Row],[HDL (mg/dL)2]]+Table1[[#This Row],[Estimated LDL (mg/dL)2]])*5</f>
        <v>1540</v>
      </c>
      <c r="U334" s="8">
        <f>IF(O334="",Table1[[#This Row],[Estimated LDL (mg/dL)2]]+Table1[[#This Row],[HDL (mg/dL)2]]+(Table1[[#This Row],[Triglycerides]]/5),O334)</f>
        <v>169</v>
      </c>
      <c r="V334">
        <v>115</v>
      </c>
      <c r="W334" s="8">
        <f t="shared" si="80"/>
        <v>115</v>
      </c>
      <c r="X334" t="str">
        <f t="shared" si="81"/>
        <v>Prediabetes</v>
      </c>
      <c r="Y334" t="s">
        <v>23</v>
      </c>
      <c r="Z334" t="s">
        <v>22</v>
      </c>
      <c r="AA334" t="s">
        <v>28</v>
      </c>
      <c r="AB334" s="3" t="s">
        <v>342</v>
      </c>
      <c r="AC334">
        <v>95</v>
      </c>
      <c r="AD334" s="3" t="str">
        <f t="shared" si="82"/>
        <v>95</v>
      </c>
      <c r="AE334">
        <v>66</v>
      </c>
      <c r="AF334" s="3" t="str">
        <f t="shared" si="83"/>
        <v>66</v>
      </c>
      <c r="AG334" t="s">
        <v>33</v>
      </c>
      <c r="AH334" s="3">
        <v>12.01</v>
      </c>
      <c r="AI334" s="3">
        <f t="shared" si="84"/>
        <v>12.01</v>
      </c>
      <c r="AJ334" t="s">
        <v>26</v>
      </c>
      <c r="AK334" t="str">
        <f>PROPER(Table1[[#This Row],[CVD Risk Level]])</f>
        <v>Intermediary</v>
      </c>
    </row>
    <row r="335" spans="1:37" x14ac:dyDescent="0.3">
      <c r="A335" t="s">
        <v>31</v>
      </c>
      <c r="B335">
        <v>32</v>
      </c>
      <c r="C335" s="8">
        <f t="shared" si="73"/>
        <v>32</v>
      </c>
      <c r="D335" s="5">
        <v>65.400000000000006</v>
      </c>
      <c r="E335" s="8">
        <f t="shared" si="74"/>
        <v>65.400000000000006</v>
      </c>
      <c r="F335">
        <v>1.7</v>
      </c>
      <c r="G335" s="3">
        <f t="shared" si="75"/>
        <v>1.7</v>
      </c>
      <c r="H335">
        <v>22.6</v>
      </c>
      <c r="I335" s="5">
        <f t="shared" si="71"/>
        <v>22.6</v>
      </c>
      <c r="J335" s="16" t="str">
        <f t="shared" si="76"/>
        <v>Normal</v>
      </c>
      <c r="L335">
        <v>0.44800000000000001</v>
      </c>
      <c r="M335" s="11">
        <f t="shared" si="72"/>
        <v>0.44800000000000001</v>
      </c>
      <c r="N335" s="5">
        <f t="shared" si="77"/>
        <v>76.16</v>
      </c>
      <c r="O335">
        <v>129</v>
      </c>
      <c r="P335">
        <v>52</v>
      </c>
      <c r="Q335" s="8">
        <f t="shared" si="78"/>
        <v>52</v>
      </c>
      <c r="R335" s="8">
        <v>47</v>
      </c>
      <c r="S335" s="8">
        <f t="shared" si="79"/>
        <v>47</v>
      </c>
      <c r="T335" s="8">
        <f>(Table1[[#This Row],[Total Cholesterol (mg/dL)]]+Table1[[#This Row],[HDL (mg/dL)2]]+Table1[[#This Row],[Estimated LDL (mg/dL)2]])*5</f>
        <v>1140</v>
      </c>
      <c r="U335" s="8">
        <f>IF(O335="",Table1[[#This Row],[Estimated LDL (mg/dL)2]]+Table1[[#This Row],[HDL (mg/dL)2]]+(Table1[[#This Row],[Triglycerides]]/5),O335)</f>
        <v>129</v>
      </c>
      <c r="V335">
        <v>89</v>
      </c>
      <c r="W335" s="8">
        <f t="shared" si="80"/>
        <v>89</v>
      </c>
      <c r="X335" t="str">
        <f t="shared" si="81"/>
        <v>Normal</v>
      </c>
      <c r="Y335" t="s">
        <v>22</v>
      </c>
      <c r="Z335" t="s">
        <v>22</v>
      </c>
      <c r="AA335" t="s">
        <v>24</v>
      </c>
      <c r="AB335" s="3" t="s">
        <v>343</v>
      </c>
      <c r="AC335">
        <v>129</v>
      </c>
      <c r="AD335" s="3" t="str">
        <f t="shared" si="82"/>
        <v>129</v>
      </c>
      <c r="AE335">
        <v>94</v>
      </c>
      <c r="AF335" s="3" t="str">
        <f t="shared" si="83"/>
        <v>94</v>
      </c>
      <c r="AG335" t="s">
        <v>38</v>
      </c>
      <c r="AH335" s="3">
        <v>13.55</v>
      </c>
      <c r="AI335" s="3">
        <f t="shared" si="84"/>
        <v>13.55</v>
      </c>
      <c r="AJ335" t="s">
        <v>52</v>
      </c>
      <c r="AK335" t="str">
        <f>PROPER(Table1[[#This Row],[CVD Risk Level]])</f>
        <v>Low</v>
      </c>
    </row>
    <row r="336" spans="1:37" x14ac:dyDescent="0.3">
      <c r="A336" t="s">
        <v>20</v>
      </c>
      <c r="B336">
        <v>42</v>
      </c>
      <c r="C336" s="8">
        <f t="shared" si="73"/>
        <v>42</v>
      </c>
      <c r="D336" s="5">
        <v>96.3</v>
      </c>
      <c r="E336" s="8">
        <f t="shared" si="74"/>
        <v>96.3</v>
      </c>
      <c r="F336">
        <v>1.71</v>
      </c>
      <c r="G336" s="3">
        <f t="shared" si="75"/>
        <v>1.71</v>
      </c>
      <c r="H336">
        <v>32.9</v>
      </c>
      <c r="I336" s="5">
        <f t="shared" si="71"/>
        <v>32.9</v>
      </c>
      <c r="J336" s="16" t="str">
        <f t="shared" si="76"/>
        <v>Obese</v>
      </c>
      <c r="K336">
        <v>74.2</v>
      </c>
      <c r="L336">
        <v>0.434</v>
      </c>
      <c r="M336" s="11">
        <f t="shared" si="72"/>
        <v>0.434</v>
      </c>
      <c r="N336" s="5">
        <f t="shared" si="77"/>
        <v>74.2</v>
      </c>
      <c r="O336">
        <v>290</v>
      </c>
      <c r="P336">
        <v>35</v>
      </c>
      <c r="Q336" s="8">
        <f t="shared" si="78"/>
        <v>35</v>
      </c>
      <c r="R336" s="8">
        <v>225</v>
      </c>
      <c r="S336" s="8">
        <f t="shared" si="79"/>
        <v>225</v>
      </c>
      <c r="T336" s="8">
        <f>(Table1[[#This Row],[Total Cholesterol (mg/dL)]]+Table1[[#This Row],[HDL (mg/dL)2]]+Table1[[#This Row],[Estimated LDL (mg/dL)2]])*5</f>
        <v>2750</v>
      </c>
      <c r="U336" s="8">
        <f>IF(O336="",Table1[[#This Row],[Estimated LDL (mg/dL)2]]+Table1[[#This Row],[HDL (mg/dL)2]]+(Table1[[#This Row],[Triglycerides]]/5),O336)</f>
        <v>290</v>
      </c>
      <c r="V336">
        <v>132</v>
      </c>
      <c r="W336" s="8">
        <f t="shared" si="80"/>
        <v>132</v>
      </c>
      <c r="X336" t="str">
        <f t="shared" si="81"/>
        <v>Diabetes</v>
      </c>
      <c r="Y336" t="s">
        <v>22</v>
      </c>
      <c r="Z336" t="s">
        <v>22</v>
      </c>
      <c r="AA336" t="s">
        <v>28</v>
      </c>
      <c r="AB336" s="3" t="s">
        <v>344</v>
      </c>
      <c r="AC336">
        <v>99</v>
      </c>
      <c r="AD336" s="3" t="str">
        <f t="shared" si="82"/>
        <v>99</v>
      </c>
      <c r="AE336">
        <v>83</v>
      </c>
      <c r="AF336" s="3" t="str">
        <f t="shared" si="83"/>
        <v>83</v>
      </c>
      <c r="AG336" t="s">
        <v>29</v>
      </c>
      <c r="AH336" s="3">
        <v>17.329999999999998</v>
      </c>
      <c r="AI336" s="3">
        <f t="shared" si="84"/>
        <v>17.329999999999998</v>
      </c>
      <c r="AJ336" t="s">
        <v>30</v>
      </c>
      <c r="AK336" t="str">
        <f>PROPER(Table1[[#This Row],[CVD Risk Level]])</f>
        <v>High</v>
      </c>
    </row>
    <row r="337" spans="1:37" x14ac:dyDescent="0.3">
      <c r="A337" t="s">
        <v>31</v>
      </c>
      <c r="B337">
        <v>34</v>
      </c>
      <c r="C337" s="8">
        <f t="shared" si="73"/>
        <v>34</v>
      </c>
      <c r="D337" s="5">
        <v>54</v>
      </c>
      <c r="E337" s="8">
        <f t="shared" si="74"/>
        <v>54</v>
      </c>
      <c r="F337">
        <v>1.61</v>
      </c>
      <c r="G337" s="3">
        <f t="shared" si="75"/>
        <v>1.61</v>
      </c>
      <c r="I337" s="5">
        <f t="shared" si="71"/>
        <v>20.832529609197174</v>
      </c>
      <c r="J337" s="16" t="str">
        <f t="shared" si="76"/>
        <v>Normal</v>
      </c>
      <c r="K337">
        <v>96.7</v>
      </c>
      <c r="L337">
        <v>0.60099999999999998</v>
      </c>
      <c r="M337" s="11">
        <f t="shared" si="72"/>
        <v>0.60099999999999998</v>
      </c>
      <c r="N337" s="5">
        <f t="shared" si="77"/>
        <v>96.7</v>
      </c>
      <c r="O337">
        <v>253</v>
      </c>
      <c r="P337">
        <v>37</v>
      </c>
      <c r="Q337" s="8">
        <f t="shared" si="78"/>
        <v>37</v>
      </c>
      <c r="R337" s="8">
        <v>186</v>
      </c>
      <c r="S337" s="8">
        <f t="shared" si="79"/>
        <v>186</v>
      </c>
      <c r="T337" s="8">
        <f>(Table1[[#This Row],[Total Cholesterol (mg/dL)]]+Table1[[#This Row],[HDL (mg/dL)2]]+Table1[[#This Row],[Estimated LDL (mg/dL)2]])*5</f>
        <v>2380</v>
      </c>
      <c r="U337" s="8">
        <f>IF(O337="",Table1[[#This Row],[Estimated LDL (mg/dL)2]]+Table1[[#This Row],[HDL (mg/dL)2]]+(Table1[[#This Row],[Triglycerides]]/5),O337)</f>
        <v>253</v>
      </c>
      <c r="W337" s="8">
        <f t="shared" si="80"/>
        <v>117.48563611491107</v>
      </c>
      <c r="X337" t="str">
        <f t="shared" si="81"/>
        <v>Prediabetes</v>
      </c>
      <c r="Y337" t="s">
        <v>22</v>
      </c>
      <c r="Z337" t="s">
        <v>22</v>
      </c>
      <c r="AA337" t="s">
        <v>28</v>
      </c>
      <c r="AB337" s="3" t="s">
        <v>345</v>
      </c>
      <c r="AC337">
        <v>116</v>
      </c>
      <c r="AD337" s="3" t="str">
        <f t="shared" si="82"/>
        <v>116</v>
      </c>
      <c r="AE337">
        <v>72</v>
      </c>
      <c r="AF337" s="3" t="str">
        <f t="shared" si="83"/>
        <v>72</v>
      </c>
      <c r="AG337" t="s">
        <v>33</v>
      </c>
      <c r="AH337" s="3">
        <v>15.02</v>
      </c>
      <c r="AI337" s="3">
        <f t="shared" si="84"/>
        <v>15.02</v>
      </c>
      <c r="AJ337" t="s">
        <v>26</v>
      </c>
      <c r="AK337" t="str">
        <f>PROPER(Table1[[#This Row],[CVD Risk Level]])</f>
        <v>Intermediary</v>
      </c>
    </row>
    <row r="338" spans="1:37" x14ac:dyDescent="0.3">
      <c r="A338" t="s">
        <v>31</v>
      </c>
      <c r="B338">
        <v>40</v>
      </c>
      <c r="C338" s="8">
        <f t="shared" si="73"/>
        <v>40</v>
      </c>
      <c r="D338" s="5">
        <v>62.1</v>
      </c>
      <c r="E338" s="8">
        <f t="shared" si="74"/>
        <v>62.1</v>
      </c>
      <c r="F338">
        <v>1.68</v>
      </c>
      <c r="G338" s="3">
        <f t="shared" si="75"/>
        <v>1.68</v>
      </c>
      <c r="H338">
        <v>22</v>
      </c>
      <c r="I338" s="5">
        <f t="shared" si="71"/>
        <v>22</v>
      </c>
      <c r="J338" s="16" t="str">
        <f t="shared" si="76"/>
        <v>Normal</v>
      </c>
      <c r="K338">
        <v>71</v>
      </c>
      <c r="L338">
        <v>0.42299999999999999</v>
      </c>
      <c r="M338" s="11">
        <f t="shared" si="72"/>
        <v>0.42299999999999999</v>
      </c>
      <c r="N338" s="5">
        <f t="shared" si="77"/>
        <v>71</v>
      </c>
      <c r="O338">
        <v>184</v>
      </c>
      <c r="P338">
        <v>51</v>
      </c>
      <c r="Q338" s="8">
        <f t="shared" si="78"/>
        <v>51</v>
      </c>
      <c r="S338" s="8">
        <f t="shared" si="79"/>
        <v>109</v>
      </c>
      <c r="T338" s="8">
        <f>(Table1[[#This Row],[Total Cholesterol (mg/dL)]]+Table1[[#This Row],[HDL (mg/dL)2]]+Table1[[#This Row],[Estimated LDL (mg/dL)2]])*5</f>
        <v>1720</v>
      </c>
      <c r="U338" s="8">
        <f>IF(O338="",Table1[[#This Row],[Estimated LDL (mg/dL)2]]+Table1[[#This Row],[HDL (mg/dL)2]]+(Table1[[#This Row],[Triglycerides]]/5),O338)</f>
        <v>184</v>
      </c>
      <c r="V338">
        <v>144</v>
      </c>
      <c r="W338" s="8">
        <f t="shared" si="80"/>
        <v>144</v>
      </c>
      <c r="X338" t="str">
        <f t="shared" si="81"/>
        <v>Diabetes</v>
      </c>
      <c r="Y338" t="s">
        <v>23</v>
      </c>
      <c r="Z338" t="s">
        <v>23</v>
      </c>
      <c r="AA338" t="s">
        <v>24</v>
      </c>
      <c r="AB338" s="3" t="s">
        <v>346</v>
      </c>
      <c r="AC338">
        <v>110</v>
      </c>
      <c r="AD338" s="3" t="str">
        <f t="shared" si="82"/>
        <v>110</v>
      </c>
      <c r="AE338">
        <v>93</v>
      </c>
      <c r="AF338" s="3" t="str">
        <f t="shared" si="83"/>
        <v>93</v>
      </c>
      <c r="AG338" t="s">
        <v>38</v>
      </c>
      <c r="AH338" s="3">
        <v>15.58</v>
      </c>
      <c r="AI338" s="3">
        <f t="shared" si="84"/>
        <v>15.58</v>
      </c>
      <c r="AJ338" t="s">
        <v>26</v>
      </c>
      <c r="AK338" t="str">
        <f>PROPER(Table1[[#This Row],[CVD Risk Level]])</f>
        <v>Intermediary</v>
      </c>
    </row>
    <row r="339" spans="1:37" x14ac:dyDescent="0.3">
      <c r="A339" t="s">
        <v>20</v>
      </c>
      <c r="B339">
        <v>41</v>
      </c>
      <c r="C339" s="8">
        <f t="shared" si="73"/>
        <v>41</v>
      </c>
      <c r="D339" s="5">
        <v>119</v>
      </c>
      <c r="E339" s="8">
        <f t="shared" si="74"/>
        <v>119</v>
      </c>
      <c r="F339">
        <v>1.64</v>
      </c>
      <c r="G339" s="3">
        <f t="shared" si="75"/>
        <v>1.64</v>
      </c>
      <c r="H339">
        <v>44.2</v>
      </c>
      <c r="I339" s="5">
        <f t="shared" si="71"/>
        <v>44.2</v>
      </c>
      <c r="J339" s="16" t="str">
        <f t="shared" si="76"/>
        <v>Obese</v>
      </c>
      <c r="K339">
        <v>73.599999999999994</v>
      </c>
      <c r="L339">
        <v>0.44900000000000001</v>
      </c>
      <c r="M339" s="11">
        <f t="shared" si="72"/>
        <v>0.44900000000000001</v>
      </c>
      <c r="N339" s="5">
        <f t="shared" si="77"/>
        <v>73.599999999999994</v>
      </c>
      <c r="O339">
        <v>139</v>
      </c>
      <c r="P339">
        <v>38</v>
      </c>
      <c r="Q339" s="8">
        <f t="shared" si="78"/>
        <v>38</v>
      </c>
      <c r="R339" s="8">
        <v>71</v>
      </c>
      <c r="S339" s="8">
        <f t="shared" si="79"/>
        <v>71</v>
      </c>
      <c r="T339" s="8">
        <f>(Table1[[#This Row],[Total Cholesterol (mg/dL)]]+Table1[[#This Row],[HDL (mg/dL)2]]+Table1[[#This Row],[Estimated LDL (mg/dL)2]])*5</f>
        <v>1240</v>
      </c>
      <c r="U339" s="8">
        <f>IF(O339="",Table1[[#This Row],[Estimated LDL (mg/dL)2]]+Table1[[#This Row],[HDL (mg/dL)2]]+(Table1[[#This Row],[Triglycerides]]/5),O339)</f>
        <v>139</v>
      </c>
      <c r="V339">
        <v>128</v>
      </c>
      <c r="W339" s="8">
        <f t="shared" si="80"/>
        <v>128</v>
      </c>
      <c r="X339" t="str">
        <f t="shared" si="81"/>
        <v>Diabetes</v>
      </c>
      <c r="Y339" t="s">
        <v>22</v>
      </c>
      <c r="Z339" t="s">
        <v>23</v>
      </c>
      <c r="AA339" t="s">
        <v>37</v>
      </c>
      <c r="AB339" s="3" t="s">
        <v>288</v>
      </c>
      <c r="AC339">
        <v>116</v>
      </c>
      <c r="AD339" s="3" t="str">
        <f t="shared" si="82"/>
        <v>116</v>
      </c>
      <c r="AE339">
        <v>69</v>
      </c>
      <c r="AF339" s="3" t="str">
        <f t="shared" si="83"/>
        <v>69</v>
      </c>
      <c r="AG339" t="s">
        <v>33</v>
      </c>
      <c r="AH339" s="3">
        <v>19.420000000000002</v>
      </c>
      <c r="AI339" s="3">
        <f t="shared" si="84"/>
        <v>19.420000000000002</v>
      </c>
      <c r="AJ339" t="s">
        <v>26</v>
      </c>
      <c r="AK339" t="str">
        <f>PROPER(Table1[[#This Row],[CVD Risk Level]])</f>
        <v>Intermediary</v>
      </c>
    </row>
    <row r="340" spans="1:37" x14ac:dyDescent="0.3">
      <c r="A340" t="s">
        <v>31</v>
      </c>
      <c r="B340">
        <v>39</v>
      </c>
      <c r="C340" s="8">
        <f t="shared" si="73"/>
        <v>39</v>
      </c>
      <c r="D340" s="5">
        <v>88.7</v>
      </c>
      <c r="E340" s="8">
        <f t="shared" si="74"/>
        <v>88.7</v>
      </c>
      <c r="F340">
        <v>1.62</v>
      </c>
      <c r="G340" s="3">
        <f t="shared" si="75"/>
        <v>1.62</v>
      </c>
      <c r="H340">
        <v>33.799999999999997</v>
      </c>
      <c r="I340" s="5">
        <f t="shared" si="71"/>
        <v>33.799999999999997</v>
      </c>
      <c r="J340" s="16" t="str">
        <f t="shared" si="76"/>
        <v>Obese</v>
      </c>
      <c r="K340">
        <v>109.2</v>
      </c>
      <c r="L340">
        <v>0.67400000000000004</v>
      </c>
      <c r="M340" s="11">
        <f t="shared" si="72"/>
        <v>0.67400000000000004</v>
      </c>
      <c r="N340" s="5">
        <f t="shared" si="77"/>
        <v>109.2</v>
      </c>
      <c r="O340">
        <v>285</v>
      </c>
      <c r="P340">
        <v>53</v>
      </c>
      <c r="Q340" s="8">
        <f t="shared" si="78"/>
        <v>53</v>
      </c>
      <c r="R340" s="8">
        <v>202</v>
      </c>
      <c r="S340" s="8">
        <f t="shared" si="79"/>
        <v>202</v>
      </c>
      <c r="T340" s="8">
        <f>(Table1[[#This Row],[Total Cholesterol (mg/dL)]]+Table1[[#This Row],[HDL (mg/dL)2]]+Table1[[#This Row],[Estimated LDL (mg/dL)2]])*5</f>
        <v>2700</v>
      </c>
      <c r="U340" s="8">
        <f>IF(O340="",Table1[[#This Row],[Estimated LDL (mg/dL)2]]+Table1[[#This Row],[HDL (mg/dL)2]]+(Table1[[#This Row],[Triglycerides]]/5),O340)</f>
        <v>285</v>
      </c>
      <c r="V340">
        <v>120</v>
      </c>
      <c r="W340" s="8">
        <f t="shared" si="80"/>
        <v>120</v>
      </c>
      <c r="X340" t="str">
        <f t="shared" si="81"/>
        <v>Prediabetes</v>
      </c>
      <c r="Y340" t="s">
        <v>22</v>
      </c>
      <c r="Z340" t="s">
        <v>23</v>
      </c>
      <c r="AA340" t="s">
        <v>24</v>
      </c>
      <c r="AB340" s="3" t="s">
        <v>347</v>
      </c>
      <c r="AC340">
        <v>111</v>
      </c>
      <c r="AD340" s="3" t="str">
        <f t="shared" si="82"/>
        <v>111</v>
      </c>
      <c r="AF340" s="3" t="str">
        <f t="shared" si="83"/>
        <v>76</v>
      </c>
      <c r="AG340" t="s">
        <v>33</v>
      </c>
      <c r="AH340" s="3">
        <v>20.010000000000002</v>
      </c>
      <c r="AI340" s="3">
        <f t="shared" si="84"/>
        <v>20.010000000000002</v>
      </c>
      <c r="AJ340" t="s">
        <v>30</v>
      </c>
      <c r="AK340" t="str">
        <f>PROPER(Table1[[#This Row],[CVD Risk Level]])</f>
        <v>High</v>
      </c>
    </row>
    <row r="341" spans="1:37" x14ac:dyDescent="0.3">
      <c r="A341" t="s">
        <v>31</v>
      </c>
      <c r="B341">
        <v>56</v>
      </c>
      <c r="C341" s="8">
        <f t="shared" si="73"/>
        <v>56</v>
      </c>
      <c r="D341" s="5">
        <v>58.4</v>
      </c>
      <c r="E341" s="8">
        <f t="shared" si="74"/>
        <v>58.4</v>
      </c>
      <c r="F341">
        <v>1.71</v>
      </c>
      <c r="G341" s="3">
        <f t="shared" si="75"/>
        <v>1.71</v>
      </c>
      <c r="H341">
        <v>20</v>
      </c>
      <c r="I341" s="5">
        <f t="shared" si="71"/>
        <v>20</v>
      </c>
      <c r="J341" s="16" t="str">
        <f t="shared" si="76"/>
        <v>Normal</v>
      </c>
      <c r="K341">
        <v>86.4</v>
      </c>
      <c r="L341">
        <v>0.505</v>
      </c>
      <c r="M341" s="11">
        <f t="shared" si="72"/>
        <v>0.505</v>
      </c>
      <c r="N341" s="5">
        <f t="shared" si="77"/>
        <v>86.4</v>
      </c>
      <c r="O341">
        <v>210</v>
      </c>
      <c r="P341">
        <v>43</v>
      </c>
      <c r="Q341" s="8">
        <f t="shared" si="78"/>
        <v>43</v>
      </c>
      <c r="R341" s="8">
        <v>137</v>
      </c>
      <c r="S341" s="8">
        <f t="shared" si="79"/>
        <v>137</v>
      </c>
      <c r="T341" s="8">
        <f>(Table1[[#This Row],[Total Cholesterol (mg/dL)]]+Table1[[#This Row],[HDL (mg/dL)2]]+Table1[[#This Row],[Estimated LDL (mg/dL)2]])*5</f>
        <v>1950</v>
      </c>
      <c r="U341" s="8">
        <f>IF(O341="",Table1[[#This Row],[Estimated LDL (mg/dL)2]]+Table1[[#This Row],[HDL (mg/dL)2]]+(Table1[[#This Row],[Triglycerides]]/5),O341)</f>
        <v>210</v>
      </c>
      <c r="V341">
        <v>111</v>
      </c>
      <c r="W341" s="8">
        <f t="shared" si="80"/>
        <v>111</v>
      </c>
      <c r="X341" t="str">
        <f t="shared" si="81"/>
        <v>Prediabetes</v>
      </c>
      <c r="Y341" t="s">
        <v>22</v>
      </c>
      <c r="Z341" t="s">
        <v>22</v>
      </c>
      <c r="AA341" t="s">
        <v>28</v>
      </c>
      <c r="AB341" s="3" t="s">
        <v>306</v>
      </c>
      <c r="AC341">
        <v>123</v>
      </c>
      <c r="AD341" s="3" t="str">
        <f t="shared" si="82"/>
        <v>123</v>
      </c>
      <c r="AE341">
        <v>75</v>
      </c>
      <c r="AF341" s="3" t="str">
        <f t="shared" si="83"/>
        <v>75</v>
      </c>
      <c r="AG341" t="s">
        <v>25</v>
      </c>
      <c r="AH341" s="3">
        <v>14.35</v>
      </c>
      <c r="AI341" s="3">
        <f t="shared" si="84"/>
        <v>14.35</v>
      </c>
      <c r="AJ341" t="s">
        <v>26</v>
      </c>
      <c r="AK341" t="str">
        <f>PROPER(Table1[[#This Row],[CVD Risk Level]])</f>
        <v>Intermediary</v>
      </c>
    </row>
    <row r="342" spans="1:37" x14ac:dyDescent="0.3">
      <c r="A342" t="s">
        <v>20</v>
      </c>
      <c r="B342">
        <v>60</v>
      </c>
      <c r="C342" s="8">
        <f t="shared" si="73"/>
        <v>60</v>
      </c>
      <c r="D342" s="5">
        <v>54.1</v>
      </c>
      <c r="E342" s="8">
        <f t="shared" si="74"/>
        <v>54.1</v>
      </c>
      <c r="F342">
        <v>1.86</v>
      </c>
      <c r="G342" s="3">
        <f t="shared" si="75"/>
        <v>1.86</v>
      </c>
      <c r="H342">
        <v>15.6</v>
      </c>
      <c r="I342" s="5">
        <f t="shared" si="71"/>
        <v>15.6</v>
      </c>
      <c r="J342" s="16" t="str">
        <f t="shared" si="76"/>
        <v>Underweight</v>
      </c>
      <c r="K342">
        <v>74.099999999999994</v>
      </c>
      <c r="L342">
        <v>0.39800000000000002</v>
      </c>
      <c r="M342" s="11">
        <f t="shared" si="72"/>
        <v>0.39800000000000002</v>
      </c>
      <c r="N342" s="5">
        <f t="shared" si="77"/>
        <v>74.099999999999994</v>
      </c>
      <c r="O342">
        <v>299</v>
      </c>
      <c r="P342">
        <v>32</v>
      </c>
      <c r="Q342" s="8">
        <f t="shared" si="78"/>
        <v>32</v>
      </c>
      <c r="R342" s="8">
        <v>237</v>
      </c>
      <c r="S342" s="8">
        <f t="shared" si="79"/>
        <v>237</v>
      </c>
      <c r="T342" s="8">
        <f>(Table1[[#This Row],[Total Cholesterol (mg/dL)]]+Table1[[#This Row],[HDL (mg/dL)2]]+Table1[[#This Row],[Estimated LDL (mg/dL)2]])*5</f>
        <v>2840</v>
      </c>
      <c r="U342" s="8">
        <f>IF(O342="",Table1[[#This Row],[Estimated LDL (mg/dL)2]]+Table1[[#This Row],[HDL (mg/dL)2]]+(Table1[[#This Row],[Triglycerides]]/5),O342)</f>
        <v>299</v>
      </c>
      <c r="V342">
        <v>120</v>
      </c>
      <c r="W342" s="8">
        <f t="shared" si="80"/>
        <v>120</v>
      </c>
      <c r="X342" t="str">
        <f t="shared" si="81"/>
        <v>Prediabetes</v>
      </c>
      <c r="Y342" t="s">
        <v>22</v>
      </c>
      <c r="Z342" t="s">
        <v>23</v>
      </c>
      <c r="AA342" t="s">
        <v>28</v>
      </c>
      <c r="AB342" s="3" t="s">
        <v>348</v>
      </c>
      <c r="AC342">
        <v>125</v>
      </c>
      <c r="AD342" s="3" t="str">
        <f t="shared" si="82"/>
        <v>125</v>
      </c>
      <c r="AE342">
        <v>61</v>
      </c>
      <c r="AF342" s="3" t="str">
        <f t="shared" si="83"/>
        <v>61</v>
      </c>
      <c r="AG342" t="s">
        <v>25</v>
      </c>
      <c r="AH342" s="3">
        <v>17.350000000000001</v>
      </c>
      <c r="AI342" s="3">
        <f t="shared" si="84"/>
        <v>17.350000000000001</v>
      </c>
      <c r="AJ342" t="s">
        <v>30</v>
      </c>
      <c r="AK342" t="str">
        <f>PROPER(Table1[[#This Row],[CVD Risk Level]])</f>
        <v>High</v>
      </c>
    </row>
    <row r="343" spans="1:37" x14ac:dyDescent="0.3">
      <c r="A343" t="s">
        <v>20</v>
      </c>
      <c r="B343">
        <v>40</v>
      </c>
      <c r="C343" s="8">
        <f t="shared" si="73"/>
        <v>40</v>
      </c>
      <c r="D343" s="5">
        <v>61.8</v>
      </c>
      <c r="E343" s="8">
        <f t="shared" si="74"/>
        <v>61.8</v>
      </c>
      <c r="F343">
        <v>1.87</v>
      </c>
      <c r="G343" s="3">
        <f t="shared" si="75"/>
        <v>1.87</v>
      </c>
      <c r="H343">
        <v>17.7</v>
      </c>
      <c r="I343" s="5">
        <f t="shared" si="71"/>
        <v>17.7</v>
      </c>
      <c r="J343" s="16" t="str">
        <f t="shared" si="76"/>
        <v>Underweight</v>
      </c>
      <c r="K343">
        <v>94.3</v>
      </c>
      <c r="L343">
        <v>0.504</v>
      </c>
      <c r="M343" s="11">
        <f t="shared" si="72"/>
        <v>0.504</v>
      </c>
      <c r="N343" s="5">
        <f t="shared" si="77"/>
        <v>94.3</v>
      </c>
      <c r="O343">
        <v>188</v>
      </c>
      <c r="P343">
        <v>77</v>
      </c>
      <c r="Q343" s="8">
        <f t="shared" si="78"/>
        <v>77</v>
      </c>
      <c r="R343" s="8">
        <v>81</v>
      </c>
      <c r="S343" s="8">
        <f t="shared" si="79"/>
        <v>81</v>
      </c>
      <c r="T343" s="8">
        <f>(Table1[[#This Row],[Total Cholesterol (mg/dL)]]+Table1[[#This Row],[HDL (mg/dL)2]]+Table1[[#This Row],[Estimated LDL (mg/dL)2]])*5</f>
        <v>1730</v>
      </c>
      <c r="U343" s="8">
        <f>IF(O343="",Table1[[#This Row],[Estimated LDL (mg/dL)2]]+Table1[[#This Row],[HDL (mg/dL)2]]+(Table1[[#This Row],[Triglycerides]]/5),O343)</f>
        <v>188</v>
      </c>
      <c r="V343">
        <v>125</v>
      </c>
      <c r="W343" s="8">
        <f t="shared" si="80"/>
        <v>125</v>
      </c>
      <c r="X343" t="str">
        <f t="shared" si="81"/>
        <v>Prediabetes</v>
      </c>
      <c r="Y343" t="s">
        <v>22</v>
      </c>
      <c r="Z343" t="s">
        <v>23</v>
      </c>
      <c r="AA343" t="s">
        <v>37</v>
      </c>
      <c r="AB343" s="3" t="s">
        <v>349</v>
      </c>
      <c r="AC343">
        <v>93</v>
      </c>
      <c r="AD343" s="3" t="str">
        <f t="shared" si="82"/>
        <v>93</v>
      </c>
      <c r="AE343">
        <v>63</v>
      </c>
      <c r="AF343" s="3" t="str">
        <f t="shared" si="83"/>
        <v>63</v>
      </c>
      <c r="AG343" t="s">
        <v>33</v>
      </c>
      <c r="AH343" s="3">
        <v>13.95</v>
      </c>
      <c r="AI343" s="3">
        <f t="shared" si="84"/>
        <v>13.95</v>
      </c>
      <c r="AJ343" t="s">
        <v>52</v>
      </c>
      <c r="AK343" t="str">
        <f>PROPER(Table1[[#This Row],[CVD Risk Level]])</f>
        <v>Low</v>
      </c>
    </row>
    <row r="344" spans="1:37" x14ac:dyDescent="0.3">
      <c r="A344" t="s">
        <v>20</v>
      </c>
      <c r="B344">
        <v>30</v>
      </c>
      <c r="C344" s="8">
        <f t="shared" si="73"/>
        <v>30</v>
      </c>
      <c r="D344" s="5">
        <v>64.900000000000006</v>
      </c>
      <c r="E344" s="8">
        <f t="shared" si="74"/>
        <v>64.900000000000006</v>
      </c>
      <c r="F344">
        <v>1.77</v>
      </c>
      <c r="G344" s="3">
        <f t="shared" si="75"/>
        <v>1.77</v>
      </c>
      <c r="H344">
        <v>20.7</v>
      </c>
      <c r="I344" s="5">
        <f t="shared" si="71"/>
        <v>20.7</v>
      </c>
      <c r="J344" s="16" t="str">
        <f t="shared" si="76"/>
        <v>Normal</v>
      </c>
      <c r="K344">
        <v>98.2</v>
      </c>
      <c r="L344">
        <v>0.55500000000000005</v>
      </c>
      <c r="M344" s="11">
        <f t="shared" si="72"/>
        <v>0.55500000000000005</v>
      </c>
      <c r="N344" s="5">
        <f t="shared" si="77"/>
        <v>98.2</v>
      </c>
      <c r="O344">
        <v>178</v>
      </c>
      <c r="P344">
        <v>45</v>
      </c>
      <c r="Q344" s="8">
        <f t="shared" si="78"/>
        <v>45</v>
      </c>
      <c r="R344" s="8">
        <v>103</v>
      </c>
      <c r="S344" s="8">
        <f t="shared" si="79"/>
        <v>103</v>
      </c>
      <c r="T344" s="8">
        <f>(Table1[[#This Row],[Total Cholesterol (mg/dL)]]+Table1[[#This Row],[HDL (mg/dL)2]]+Table1[[#This Row],[Estimated LDL (mg/dL)2]])*5</f>
        <v>1630</v>
      </c>
      <c r="U344" s="8">
        <f>IF(O344="",Table1[[#This Row],[Estimated LDL (mg/dL)2]]+Table1[[#This Row],[HDL (mg/dL)2]]+(Table1[[#This Row],[Triglycerides]]/5),O344)</f>
        <v>178</v>
      </c>
      <c r="V344">
        <v>77</v>
      </c>
      <c r="W344" s="8">
        <f t="shared" si="80"/>
        <v>77</v>
      </c>
      <c r="X344" t="str">
        <f t="shared" si="81"/>
        <v>Normal</v>
      </c>
      <c r="Y344" t="s">
        <v>22</v>
      </c>
      <c r="Z344" t="s">
        <v>22</v>
      </c>
      <c r="AA344" t="s">
        <v>24</v>
      </c>
      <c r="AB344" s="3" t="s">
        <v>350</v>
      </c>
      <c r="AC344">
        <v>141</v>
      </c>
      <c r="AD344" s="3" t="str">
        <f t="shared" si="82"/>
        <v>141</v>
      </c>
      <c r="AF344" s="3" t="str">
        <f t="shared" si="83"/>
        <v>79</v>
      </c>
      <c r="AG344" t="s">
        <v>38</v>
      </c>
      <c r="AH344" s="3">
        <v>14.75</v>
      </c>
      <c r="AI344" s="3">
        <f t="shared" si="84"/>
        <v>14.75</v>
      </c>
      <c r="AJ344" t="s">
        <v>52</v>
      </c>
      <c r="AK344" t="str">
        <f>PROPER(Table1[[#This Row],[CVD Risk Level]])</f>
        <v>Low</v>
      </c>
    </row>
    <row r="345" spans="1:37" x14ac:dyDescent="0.3">
      <c r="A345" t="s">
        <v>31</v>
      </c>
      <c r="B345">
        <v>54</v>
      </c>
      <c r="C345" s="8">
        <f t="shared" si="73"/>
        <v>54</v>
      </c>
      <c r="D345" s="5">
        <v>91.5</v>
      </c>
      <c r="E345" s="8">
        <f t="shared" si="74"/>
        <v>91.5</v>
      </c>
      <c r="F345">
        <v>1.84</v>
      </c>
      <c r="G345" s="3">
        <f t="shared" si="75"/>
        <v>1.84</v>
      </c>
      <c r="H345">
        <v>27</v>
      </c>
      <c r="I345" s="5">
        <f t="shared" si="71"/>
        <v>27</v>
      </c>
      <c r="J345" s="16" t="str">
        <f t="shared" si="76"/>
        <v>Overweight</v>
      </c>
      <c r="K345">
        <v>106.6</v>
      </c>
      <c r="M345" s="11">
        <f t="shared" si="72"/>
        <v>0.57934782608695645</v>
      </c>
      <c r="N345" s="5">
        <f t="shared" si="77"/>
        <v>106.6</v>
      </c>
      <c r="O345">
        <v>209</v>
      </c>
      <c r="P345">
        <v>35</v>
      </c>
      <c r="Q345" s="8">
        <f t="shared" si="78"/>
        <v>35</v>
      </c>
      <c r="R345" s="8">
        <v>144</v>
      </c>
      <c r="S345" s="8">
        <f t="shared" si="79"/>
        <v>144</v>
      </c>
      <c r="T345" s="8">
        <f>(Table1[[#This Row],[Total Cholesterol (mg/dL)]]+Table1[[#This Row],[HDL (mg/dL)2]]+Table1[[#This Row],[Estimated LDL (mg/dL)2]])*5</f>
        <v>1940</v>
      </c>
      <c r="U345" s="8">
        <f>IF(O345="",Table1[[#This Row],[Estimated LDL (mg/dL)2]]+Table1[[#This Row],[HDL (mg/dL)2]]+(Table1[[#This Row],[Triglycerides]]/5),O345)</f>
        <v>209</v>
      </c>
      <c r="V345">
        <v>107</v>
      </c>
      <c r="W345" s="8">
        <f t="shared" si="80"/>
        <v>107</v>
      </c>
      <c r="X345" t="str">
        <f t="shared" si="81"/>
        <v>Prediabetes</v>
      </c>
      <c r="Y345" t="s">
        <v>22</v>
      </c>
      <c r="Z345" t="s">
        <v>23</v>
      </c>
      <c r="AA345" t="s">
        <v>28</v>
      </c>
      <c r="AB345" s="3" t="s">
        <v>351</v>
      </c>
      <c r="AC345">
        <v>138</v>
      </c>
      <c r="AD345" s="3" t="str">
        <f t="shared" si="82"/>
        <v>138</v>
      </c>
      <c r="AE345">
        <v>100</v>
      </c>
      <c r="AF345" s="3" t="str">
        <f t="shared" si="83"/>
        <v>100</v>
      </c>
      <c r="AG345" t="s">
        <v>29</v>
      </c>
      <c r="AH345" s="3">
        <v>18.48</v>
      </c>
      <c r="AI345" s="3">
        <f t="shared" si="84"/>
        <v>18.48</v>
      </c>
      <c r="AJ345" t="s">
        <v>30</v>
      </c>
      <c r="AK345" t="str">
        <f>PROPER(Table1[[#This Row],[CVD Risk Level]])</f>
        <v>High</v>
      </c>
    </row>
    <row r="346" spans="1:37" x14ac:dyDescent="0.3">
      <c r="A346" t="s">
        <v>20</v>
      </c>
      <c r="B346">
        <v>36</v>
      </c>
      <c r="C346" s="8">
        <f t="shared" si="73"/>
        <v>36</v>
      </c>
      <c r="D346" s="5">
        <v>99.2</v>
      </c>
      <c r="E346" s="8">
        <f t="shared" si="74"/>
        <v>99.2</v>
      </c>
      <c r="F346">
        <v>1.8</v>
      </c>
      <c r="G346" s="3">
        <f t="shared" si="75"/>
        <v>1.8</v>
      </c>
      <c r="H346">
        <v>30.6</v>
      </c>
      <c r="I346" s="5">
        <f t="shared" si="71"/>
        <v>30.6</v>
      </c>
      <c r="J346" s="16" t="str">
        <f t="shared" si="76"/>
        <v>Obese</v>
      </c>
      <c r="K346">
        <v>71.599999999999994</v>
      </c>
      <c r="M346" s="11">
        <f t="shared" si="72"/>
        <v>0.39777777777777773</v>
      </c>
      <c r="N346" s="5">
        <f t="shared" si="77"/>
        <v>71.599999999999994</v>
      </c>
      <c r="O346">
        <v>206</v>
      </c>
      <c r="P346">
        <v>78</v>
      </c>
      <c r="Q346" s="8">
        <f t="shared" si="78"/>
        <v>78</v>
      </c>
      <c r="R346" s="8">
        <v>98</v>
      </c>
      <c r="S346" s="8">
        <f t="shared" si="79"/>
        <v>98</v>
      </c>
      <c r="T346" s="8">
        <f>(Table1[[#This Row],[Total Cholesterol (mg/dL)]]+Table1[[#This Row],[HDL (mg/dL)2]]+Table1[[#This Row],[Estimated LDL (mg/dL)2]])*5</f>
        <v>1910</v>
      </c>
      <c r="U346" s="8">
        <f>IF(O346="",Table1[[#This Row],[Estimated LDL (mg/dL)2]]+Table1[[#This Row],[HDL (mg/dL)2]]+(Table1[[#This Row],[Triglycerides]]/5),O346)</f>
        <v>206</v>
      </c>
      <c r="V346">
        <v>95</v>
      </c>
      <c r="W346" s="8">
        <f t="shared" si="80"/>
        <v>95</v>
      </c>
      <c r="X346" t="str">
        <f t="shared" si="81"/>
        <v>Normal</v>
      </c>
      <c r="Y346" t="s">
        <v>23</v>
      </c>
      <c r="Z346" t="s">
        <v>22</v>
      </c>
      <c r="AA346" t="s">
        <v>28</v>
      </c>
      <c r="AB346" s="3" t="s">
        <v>352</v>
      </c>
      <c r="AD346" s="3" t="str">
        <f t="shared" si="82"/>
        <v>108</v>
      </c>
      <c r="AE346">
        <v>65</v>
      </c>
      <c r="AF346" s="3" t="str">
        <f t="shared" si="83"/>
        <v>65</v>
      </c>
      <c r="AG346" t="s">
        <v>33</v>
      </c>
      <c r="AH346" s="3">
        <v>15.64</v>
      </c>
      <c r="AI346" s="3">
        <f t="shared" si="84"/>
        <v>15.64</v>
      </c>
      <c r="AJ346" t="s">
        <v>30</v>
      </c>
      <c r="AK346" t="str">
        <f>PROPER(Table1[[#This Row],[CVD Risk Level]])</f>
        <v>High</v>
      </c>
    </row>
    <row r="347" spans="1:37" x14ac:dyDescent="0.3">
      <c r="A347" t="s">
        <v>31</v>
      </c>
      <c r="B347">
        <v>34</v>
      </c>
      <c r="C347" s="8">
        <f t="shared" si="73"/>
        <v>34</v>
      </c>
      <c r="D347" s="5">
        <v>102.6</v>
      </c>
      <c r="E347" s="8">
        <f t="shared" si="74"/>
        <v>102.6</v>
      </c>
      <c r="F347">
        <v>1.75</v>
      </c>
      <c r="G347" s="3">
        <f t="shared" si="75"/>
        <v>1.75</v>
      </c>
      <c r="I347" s="5">
        <f t="shared" si="71"/>
        <v>33.502040816326527</v>
      </c>
      <c r="J347" s="16" t="str">
        <f t="shared" si="76"/>
        <v>Obese</v>
      </c>
      <c r="K347">
        <v>96.9</v>
      </c>
      <c r="L347">
        <v>0.58699999999999997</v>
      </c>
      <c r="M347" s="11">
        <f t="shared" si="72"/>
        <v>0.58699999999999997</v>
      </c>
      <c r="N347" s="5">
        <f t="shared" si="77"/>
        <v>96.9</v>
      </c>
      <c r="O347">
        <v>240</v>
      </c>
      <c r="P347">
        <v>77</v>
      </c>
      <c r="Q347" s="8">
        <f t="shared" si="78"/>
        <v>77</v>
      </c>
      <c r="R347" s="8">
        <v>133</v>
      </c>
      <c r="S347" s="8">
        <f t="shared" si="79"/>
        <v>133</v>
      </c>
      <c r="T347" s="8">
        <f>(Table1[[#This Row],[Total Cholesterol (mg/dL)]]+Table1[[#This Row],[HDL (mg/dL)2]]+Table1[[#This Row],[Estimated LDL (mg/dL)2]])*5</f>
        <v>2250</v>
      </c>
      <c r="U347" s="8">
        <f>IF(O347="",Table1[[#This Row],[Estimated LDL (mg/dL)2]]+Table1[[#This Row],[HDL (mg/dL)2]]+(Table1[[#This Row],[Triglycerides]]/5),O347)</f>
        <v>240</v>
      </c>
      <c r="V347">
        <v>120</v>
      </c>
      <c r="W347" s="8">
        <f t="shared" si="80"/>
        <v>120</v>
      </c>
      <c r="X347" t="str">
        <f t="shared" si="81"/>
        <v>Prediabetes</v>
      </c>
      <c r="Y347" t="s">
        <v>23</v>
      </c>
      <c r="Z347" t="s">
        <v>22</v>
      </c>
      <c r="AA347" t="s">
        <v>28</v>
      </c>
      <c r="AB347" s="3" t="s">
        <v>353</v>
      </c>
      <c r="AC347">
        <v>137</v>
      </c>
      <c r="AD347" s="3" t="str">
        <f t="shared" si="82"/>
        <v>137</v>
      </c>
      <c r="AE347">
        <v>81</v>
      </c>
      <c r="AF347" s="3" t="str">
        <f t="shared" si="83"/>
        <v>81</v>
      </c>
      <c r="AG347" t="s">
        <v>29</v>
      </c>
      <c r="AH347" s="3">
        <v>19.190000000000001</v>
      </c>
      <c r="AI347" s="3">
        <f t="shared" si="84"/>
        <v>19.190000000000001</v>
      </c>
      <c r="AJ347" t="s">
        <v>26</v>
      </c>
      <c r="AK347" t="str">
        <f>PROPER(Table1[[#This Row],[CVD Risk Level]])</f>
        <v>Intermediary</v>
      </c>
    </row>
    <row r="348" spans="1:37" x14ac:dyDescent="0.3">
      <c r="A348" t="s">
        <v>31</v>
      </c>
      <c r="B348">
        <v>35</v>
      </c>
      <c r="C348" s="8">
        <f t="shared" si="73"/>
        <v>35</v>
      </c>
      <c r="D348" s="5">
        <v>87.7</v>
      </c>
      <c r="E348" s="8">
        <f t="shared" si="74"/>
        <v>87.7</v>
      </c>
      <c r="F348">
        <v>1.86</v>
      </c>
      <c r="G348" s="3">
        <f t="shared" si="75"/>
        <v>1.86</v>
      </c>
      <c r="H348">
        <v>25.3</v>
      </c>
      <c r="I348" s="5">
        <f t="shared" si="71"/>
        <v>25.3</v>
      </c>
      <c r="J348" s="16" t="str">
        <f t="shared" si="76"/>
        <v>Overweight</v>
      </c>
      <c r="K348">
        <v>87.9</v>
      </c>
      <c r="L348">
        <v>0.47299999999999998</v>
      </c>
      <c r="M348" s="11">
        <f t="shared" si="72"/>
        <v>0.47299999999999998</v>
      </c>
      <c r="N348" s="5">
        <f t="shared" si="77"/>
        <v>87.9</v>
      </c>
      <c r="O348">
        <v>253</v>
      </c>
      <c r="P348">
        <v>74</v>
      </c>
      <c r="Q348" s="8">
        <f t="shared" si="78"/>
        <v>74</v>
      </c>
      <c r="R348" s="8">
        <v>149</v>
      </c>
      <c r="S348" s="8">
        <f t="shared" si="79"/>
        <v>149</v>
      </c>
      <c r="T348" s="8">
        <f>(Table1[[#This Row],[Total Cholesterol (mg/dL)]]+Table1[[#This Row],[HDL (mg/dL)2]]+Table1[[#This Row],[Estimated LDL (mg/dL)2]])*5</f>
        <v>2380</v>
      </c>
      <c r="U348" s="8">
        <f>IF(O348="",Table1[[#This Row],[Estimated LDL (mg/dL)2]]+Table1[[#This Row],[HDL (mg/dL)2]]+(Table1[[#This Row],[Triglycerides]]/5),O348)</f>
        <v>253</v>
      </c>
      <c r="V348">
        <v>124</v>
      </c>
      <c r="W348" s="8">
        <f t="shared" si="80"/>
        <v>124</v>
      </c>
      <c r="X348" t="str">
        <f t="shared" si="81"/>
        <v>Prediabetes</v>
      </c>
      <c r="Y348" t="s">
        <v>23</v>
      </c>
      <c r="Z348" t="s">
        <v>22</v>
      </c>
      <c r="AA348" t="s">
        <v>28</v>
      </c>
      <c r="AB348" s="3" t="s">
        <v>354</v>
      </c>
      <c r="AC348">
        <v>135</v>
      </c>
      <c r="AD348" s="3" t="str">
        <f t="shared" si="82"/>
        <v>135</v>
      </c>
      <c r="AE348">
        <v>91</v>
      </c>
      <c r="AF348" s="3" t="str">
        <f t="shared" si="83"/>
        <v>91</v>
      </c>
      <c r="AG348" t="s">
        <v>29</v>
      </c>
      <c r="AH348" s="3">
        <v>16.87</v>
      </c>
      <c r="AI348" s="3">
        <f t="shared" si="84"/>
        <v>16.87</v>
      </c>
      <c r="AJ348" t="s">
        <v>30</v>
      </c>
      <c r="AK348" t="str">
        <f>PROPER(Table1[[#This Row],[CVD Risk Level]])</f>
        <v>High</v>
      </c>
    </row>
    <row r="349" spans="1:37" x14ac:dyDescent="0.3">
      <c r="A349" t="s">
        <v>20</v>
      </c>
      <c r="B349">
        <v>30</v>
      </c>
      <c r="C349" s="8">
        <f t="shared" si="73"/>
        <v>30</v>
      </c>
      <c r="D349" s="5">
        <v>103.1</v>
      </c>
      <c r="E349" s="8">
        <f t="shared" si="74"/>
        <v>103.1</v>
      </c>
      <c r="F349">
        <v>1.81</v>
      </c>
      <c r="G349" s="3">
        <f t="shared" si="75"/>
        <v>1.81</v>
      </c>
      <c r="H349">
        <v>31.5</v>
      </c>
      <c r="I349" s="5">
        <f t="shared" si="71"/>
        <v>31.5</v>
      </c>
      <c r="J349" s="16" t="str">
        <f t="shared" si="76"/>
        <v>Obese</v>
      </c>
      <c r="K349">
        <v>74</v>
      </c>
      <c r="L349">
        <v>0.40899999999999997</v>
      </c>
      <c r="M349" s="11">
        <f t="shared" si="72"/>
        <v>0.40899999999999997</v>
      </c>
      <c r="N349" s="5">
        <f t="shared" si="77"/>
        <v>74</v>
      </c>
      <c r="O349">
        <v>120</v>
      </c>
      <c r="Q349" s="8">
        <f t="shared" si="78"/>
        <v>56.197377501725327</v>
      </c>
      <c r="R349" s="8">
        <v>53</v>
      </c>
      <c r="S349" s="8">
        <f>IF(R349&lt;=0,MEDIAN($R$2:$R$1530),R349)</f>
        <v>53</v>
      </c>
      <c r="T349" s="8">
        <f>(Table1[[#This Row],[Total Cholesterol (mg/dL)]]+Table1[[#This Row],[HDL (mg/dL)2]]+Table1[[#This Row],[Estimated LDL (mg/dL)2]])*5</f>
        <v>1145.9868875086268</v>
      </c>
      <c r="U349" s="8">
        <f>IF(O349="",Table1[[#This Row],[Estimated LDL (mg/dL)2]]+Table1[[#This Row],[HDL (mg/dL)2]]+(Table1[[#This Row],[Triglycerides]]/5),O349)</f>
        <v>120</v>
      </c>
      <c r="V349">
        <v>144</v>
      </c>
      <c r="W349" s="8">
        <f t="shared" si="80"/>
        <v>144</v>
      </c>
      <c r="X349" t="str">
        <f t="shared" si="81"/>
        <v>Diabetes</v>
      </c>
      <c r="Y349" t="s">
        <v>23</v>
      </c>
      <c r="Z349" t="s">
        <v>23</v>
      </c>
      <c r="AA349" t="s">
        <v>28</v>
      </c>
      <c r="AB349" s="3" t="s">
        <v>355</v>
      </c>
      <c r="AC349">
        <v>109</v>
      </c>
      <c r="AD349" s="3" t="str">
        <f t="shared" si="82"/>
        <v>109</v>
      </c>
      <c r="AE349">
        <v>70</v>
      </c>
      <c r="AF349" s="3" t="str">
        <f t="shared" si="83"/>
        <v>70</v>
      </c>
      <c r="AG349" t="s">
        <v>33</v>
      </c>
      <c r="AH349" s="3">
        <v>16.149999999999999</v>
      </c>
      <c r="AI349" s="3">
        <f t="shared" si="84"/>
        <v>16.149999999999999</v>
      </c>
      <c r="AJ349" t="s">
        <v>30</v>
      </c>
      <c r="AK349" t="str">
        <f>PROPER(Table1[[#This Row],[CVD Risk Level]])</f>
        <v>High</v>
      </c>
    </row>
    <row r="350" spans="1:37" x14ac:dyDescent="0.3">
      <c r="A350" t="s">
        <v>20</v>
      </c>
      <c r="C350" s="8">
        <f t="shared" si="73"/>
        <v>47.025499655410059</v>
      </c>
      <c r="D350" s="5">
        <v>59.8</v>
      </c>
      <c r="E350" s="8">
        <f t="shared" si="74"/>
        <v>59.8</v>
      </c>
      <c r="F350">
        <v>1.67</v>
      </c>
      <c r="G350" s="3">
        <f t="shared" si="75"/>
        <v>1.67</v>
      </c>
      <c r="H350">
        <v>21.4</v>
      </c>
      <c r="I350" s="5">
        <f t="shared" si="71"/>
        <v>21.4</v>
      </c>
      <c r="J350" s="16" t="str">
        <f t="shared" si="76"/>
        <v>Normal</v>
      </c>
      <c r="K350">
        <v>97.1</v>
      </c>
      <c r="L350">
        <v>0.58099999999999996</v>
      </c>
      <c r="M350" s="11">
        <f t="shared" si="72"/>
        <v>0.58099999999999996</v>
      </c>
      <c r="N350" s="5">
        <f t="shared" si="77"/>
        <v>97.1</v>
      </c>
      <c r="O350">
        <v>196</v>
      </c>
      <c r="P350">
        <v>41</v>
      </c>
      <c r="Q350" s="8">
        <f t="shared" si="78"/>
        <v>41</v>
      </c>
      <c r="R350" s="8">
        <v>125</v>
      </c>
      <c r="S350" s="8">
        <f t="shared" si="79"/>
        <v>125</v>
      </c>
      <c r="T350" s="8">
        <f>(Table1[[#This Row],[Total Cholesterol (mg/dL)]]+Table1[[#This Row],[HDL (mg/dL)2]]+Table1[[#This Row],[Estimated LDL (mg/dL)2]])*5</f>
        <v>1810</v>
      </c>
      <c r="U350" s="8">
        <f>IF(O350="",Table1[[#This Row],[Estimated LDL (mg/dL)2]]+Table1[[#This Row],[HDL (mg/dL)2]]+(Table1[[#This Row],[Triglycerides]]/5),O350)</f>
        <v>196</v>
      </c>
      <c r="V350">
        <v>125</v>
      </c>
      <c r="W350" s="8">
        <f t="shared" si="80"/>
        <v>125</v>
      </c>
      <c r="X350" t="str">
        <f t="shared" si="81"/>
        <v>Prediabetes</v>
      </c>
      <c r="Y350" t="s">
        <v>23</v>
      </c>
      <c r="Z350" t="s">
        <v>22</v>
      </c>
      <c r="AA350" t="s">
        <v>24</v>
      </c>
      <c r="AB350" s="3" t="s">
        <v>356</v>
      </c>
      <c r="AC350">
        <v>129</v>
      </c>
      <c r="AD350" s="3" t="str">
        <f t="shared" si="82"/>
        <v>129</v>
      </c>
      <c r="AE350">
        <v>80</v>
      </c>
      <c r="AF350" s="3" t="str">
        <f t="shared" si="83"/>
        <v>80</v>
      </c>
      <c r="AG350" t="s">
        <v>29</v>
      </c>
      <c r="AH350" s="3">
        <v>14.65</v>
      </c>
      <c r="AI350" s="3">
        <f t="shared" si="84"/>
        <v>14.65</v>
      </c>
      <c r="AJ350" t="s">
        <v>26</v>
      </c>
      <c r="AK350" t="str">
        <f>PROPER(Table1[[#This Row],[CVD Risk Level]])</f>
        <v>Intermediary</v>
      </c>
    </row>
    <row r="351" spans="1:37" x14ac:dyDescent="0.3">
      <c r="A351" t="s">
        <v>31</v>
      </c>
      <c r="B351">
        <v>35</v>
      </c>
      <c r="C351" s="8">
        <f t="shared" si="73"/>
        <v>35</v>
      </c>
      <c r="D351" s="5">
        <v>53.9</v>
      </c>
      <c r="E351" s="8">
        <f t="shared" si="74"/>
        <v>53.9</v>
      </c>
      <c r="F351">
        <v>1.79</v>
      </c>
      <c r="G351" s="3">
        <f t="shared" si="75"/>
        <v>1.79</v>
      </c>
      <c r="H351">
        <v>16.8</v>
      </c>
      <c r="I351" s="5">
        <f t="shared" si="71"/>
        <v>16.8</v>
      </c>
      <c r="J351" s="16" t="str">
        <f t="shared" si="76"/>
        <v>Underweight</v>
      </c>
      <c r="K351">
        <v>74.3</v>
      </c>
      <c r="L351">
        <v>0.41499999999999998</v>
      </c>
      <c r="M351" s="11">
        <f t="shared" si="72"/>
        <v>0.41499999999999998</v>
      </c>
      <c r="N351" s="5">
        <f t="shared" si="77"/>
        <v>74.3</v>
      </c>
      <c r="O351">
        <v>129</v>
      </c>
      <c r="P351">
        <v>47</v>
      </c>
      <c r="Q351" s="8">
        <f t="shared" si="78"/>
        <v>47</v>
      </c>
      <c r="R351" s="8">
        <v>52</v>
      </c>
      <c r="S351" s="8">
        <f t="shared" si="79"/>
        <v>52</v>
      </c>
      <c r="T351" s="8">
        <f>(Table1[[#This Row],[Total Cholesterol (mg/dL)]]+Table1[[#This Row],[HDL (mg/dL)2]]+Table1[[#This Row],[Estimated LDL (mg/dL)2]])*5</f>
        <v>1140</v>
      </c>
      <c r="U351" s="8">
        <f>IF(O351="",Table1[[#This Row],[Estimated LDL (mg/dL)2]]+Table1[[#This Row],[HDL (mg/dL)2]]+(Table1[[#This Row],[Triglycerides]]/5),O351)</f>
        <v>129</v>
      </c>
      <c r="V351">
        <v>138</v>
      </c>
      <c r="W351" s="8">
        <f t="shared" si="80"/>
        <v>138</v>
      </c>
      <c r="X351" t="str">
        <f t="shared" si="81"/>
        <v>Diabetes</v>
      </c>
      <c r="Y351" t="s">
        <v>22</v>
      </c>
      <c r="Z351" t="s">
        <v>23</v>
      </c>
      <c r="AA351" t="s">
        <v>28</v>
      </c>
      <c r="AB351" s="3" t="s">
        <v>357</v>
      </c>
      <c r="AC351">
        <v>136</v>
      </c>
      <c r="AD351" s="3" t="str">
        <f t="shared" si="82"/>
        <v>136</v>
      </c>
      <c r="AE351">
        <v>97</v>
      </c>
      <c r="AF351" s="3" t="str">
        <f t="shared" si="83"/>
        <v>97</v>
      </c>
      <c r="AG351" t="s">
        <v>29</v>
      </c>
      <c r="AH351" s="3">
        <v>14.74</v>
      </c>
      <c r="AI351" s="3">
        <f t="shared" si="84"/>
        <v>14.74</v>
      </c>
      <c r="AJ351" t="s">
        <v>52</v>
      </c>
      <c r="AK351" t="str">
        <f>PROPER(Table1[[#This Row],[CVD Risk Level]])</f>
        <v>Low</v>
      </c>
    </row>
    <row r="352" spans="1:37" x14ac:dyDescent="0.3">
      <c r="A352" t="s">
        <v>31</v>
      </c>
      <c r="B352">
        <v>51</v>
      </c>
      <c r="C352" s="8">
        <f t="shared" si="73"/>
        <v>51</v>
      </c>
      <c r="D352" s="5">
        <v>108.8</v>
      </c>
      <c r="E352" s="8">
        <f t="shared" si="74"/>
        <v>108.8</v>
      </c>
      <c r="F352">
        <v>1.77</v>
      </c>
      <c r="G352" s="3">
        <f t="shared" si="75"/>
        <v>1.77</v>
      </c>
      <c r="H352">
        <v>34.700000000000003</v>
      </c>
      <c r="I352" s="5">
        <f t="shared" si="71"/>
        <v>34.700000000000003</v>
      </c>
      <c r="J352" s="16" t="str">
        <f t="shared" si="76"/>
        <v>Obese</v>
      </c>
      <c r="K352">
        <v>104.2</v>
      </c>
      <c r="M352" s="11">
        <f t="shared" si="72"/>
        <v>0.58870056497175138</v>
      </c>
      <c r="N352" s="5">
        <f t="shared" si="77"/>
        <v>104.2</v>
      </c>
      <c r="O352">
        <v>277</v>
      </c>
      <c r="P352">
        <v>38</v>
      </c>
      <c r="Q352" s="8">
        <f t="shared" si="78"/>
        <v>38</v>
      </c>
      <c r="R352" s="8">
        <v>209</v>
      </c>
      <c r="S352" s="8">
        <f t="shared" si="79"/>
        <v>209</v>
      </c>
      <c r="T352" s="8">
        <f>(Table1[[#This Row],[Total Cholesterol (mg/dL)]]+Table1[[#This Row],[HDL (mg/dL)2]]+Table1[[#This Row],[Estimated LDL (mg/dL)2]])*5</f>
        <v>2620</v>
      </c>
      <c r="U352" s="8">
        <f>IF(O352="",Table1[[#This Row],[Estimated LDL (mg/dL)2]]+Table1[[#This Row],[HDL (mg/dL)2]]+(Table1[[#This Row],[Triglycerides]]/5),O352)</f>
        <v>277</v>
      </c>
      <c r="V352">
        <v>113</v>
      </c>
      <c r="W352" s="8">
        <f t="shared" si="80"/>
        <v>113</v>
      </c>
      <c r="X352" t="str">
        <f t="shared" si="81"/>
        <v>Prediabetes</v>
      </c>
      <c r="Y352" t="s">
        <v>23</v>
      </c>
      <c r="Z352" t="s">
        <v>23</v>
      </c>
      <c r="AA352" t="s">
        <v>37</v>
      </c>
      <c r="AB352" s="3" t="s">
        <v>358</v>
      </c>
      <c r="AC352">
        <v>96</v>
      </c>
      <c r="AD352" s="3" t="str">
        <f t="shared" si="82"/>
        <v>96</v>
      </c>
      <c r="AE352">
        <v>93</v>
      </c>
      <c r="AF352" s="3" t="str">
        <f t="shared" si="83"/>
        <v>93</v>
      </c>
      <c r="AG352" t="s">
        <v>38</v>
      </c>
      <c r="AH352" s="3">
        <v>19.28</v>
      </c>
      <c r="AI352" s="3">
        <f t="shared" si="84"/>
        <v>19.28</v>
      </c>
      <c r="AJ352" t="s">
        <v>30</v>
      </c>
      <c r="AK352" t="str">
        <f>PROPER(Table1[[#This Row],[CVD Risk Level]])</f>
        <v>High</v>
      </c>
    </row>
    <row r="353" spans="1:37" x14ac:dyDescent="0.3">
      <c r="A353" t="s">
        <v>20</v>
      </c>
      <c r="B353">
        <v>32</v>
      </c>
      <c r="C353" s="8">
        <f t="shared" si="73"/>
        <v>32</v>
      </c>
      <c r="D353" s="5">
        <v>51.3</v>
      </c>
      <c r="E353" s="8">
        <f t="shared" si="74"/>
        <v>51.3</v>
      </c>
      <c r="F353">
        <v>1.6</v>
      </c>
      <c r="G353" s="3">
        <f t="shared" si="75"/>
        <v>1.6</v>
      </c>
      <c r="H353">
        <v>20</v>
      </c>
      <c r="I353" s="5">
        <f t="shared" si="71"/>
        <v>20</v>
      </c>
      <c r="J353" s="16" t="str">
        <f t="shared" si="76"/>
        <v>Normal</v>
      </c>
      <c r="K353">
        <v>86.8</v>
      </c>
      <c r="L353">
        <v>0.54200000000000004</v>
      </c>
      <c r="M353" s="11">
        <f t="shared" si="72"/>
        <v>0.54200000000000004</v>
      </c>
      <c r="N353" s="5">
        <f t="shared" si="77"/>
        <v>86.8</v>
      </c>
      <c r="O353">
        <v>162</v>
      </c>
      <c r="P353">
        <v>46</v>
      </c>
      <c r="Q353" s="8">
        <f t="shared" si="78"/>
        <v>46</v>
      </c>
      <c r="R353" s="8">
        <v>86</v>
      </c>
      <c r="S353" s="8">
        <f t="shared" si="79"/>
        <v>86</v>
      </c>
      <c r="T353" s="8">
        <f>(Table1[[#This Row],[Total Cholesterol (mg/dL)]]+Table1[[#This Row],[HDL (mg/dL)2]]+Table1[[#This Row],[Estimated LDL (mg/dL)2]])*5</f>
        <v>1470</v>
      </c>
      <c r="U353" s="8">
        <f>IF(O353="",Table1[[#This Row],[Estimated LDL (mg/dL)2]]+Table1[[#This Row],[HDL (mg/dL)2]]+(Table1[[#This Row],[Triglycerides]]/5),O353)</f>
        <v>162</v>
      </c>
      <c r="V353">
        <v>88</v>
      </c>
      <c r="W353" s="8">
        <f t="shared" si="80"/>
        <v>88</v>
      </c>
      <c r="X353" t="str">
        <f t="shared" si="81"/>
        <v>Normal</v>
      </c>
      <c r="Y353" t="s">
        <v>23</v>
      </c>
      <c r="Z353" t="s">
        <v>22</v>
      </c>
      <c r="AA353" t="s">
        <v>28</v>
      </c>
      <c r="AB353" s="3" t="s">
        <v>183</v>
      </c>
      <c r="AC353">
        <v>136</v>
      </c>
      <c r="AD353" s="3" t="str">
        <f t="shared" si="82"/>
        <v>136</v>
      </c>
      <c r="AE353">
        <v>61</v>
      </c>
      <c r="AF353" s="3" t="str">
        <f t="shared" si="83"/>
        <v>61</v>
      </c>
      <c r="AG353" t="s">
        <v>29</v>
      </c>
      <c r="AH353" s="3">
        <v>14.04</v>
      </c>
      <c r="AI353" s="3">
        <f t="shared" si="84"/>
        <v>14.04</v>
      </c>
      <c r="AJ353" t="s">
        <v>52</v>
      </c>
      <c r="AK353" t="str">
        <f>PROPER(Table1[[#This Row],[CVD Risk Level]])</f>
        <v>Low</v>
      </c>
    </row>
    <row r="354" spans="1:37" x14ac:dyDescent="0.3">
      <c r="A354" t="s">
        <v>31</v>
      </c>
      <c r="B354">
        <v>47</v>
      </c>
      <c r="C354" s="8">
        <f t="shared" si="73"/>
        <v>47</v>
      </c>
      <c r="D354" s="5">
        <v>90.9</v>
      </c>
      <c r="E354" s="8">
        <f t="shared" si="74"/>
        <v>90.9</v>
      </c>
      <c r="F354">
        <v>1.61</v>
      </c>
      <c r="G354" s="3">
        <f t="shared" si="75"/>
        <v>1.61</v>
      </c>
      <c r="I354" s="5">
        <f t="shared" si="71"/>
        <v>35.068091508815243</v>
      </c>
      <c r="J354" s="16" t="str">
        <f t="shared" si="76"/>
        <v>Obese</v>
      </c>
      <c r="K354">
        <v>97.9</v>
      </c>
      <c r="L354">
        <v>0.60799999999999998</v>
      </c>
      <c r="M354" s="11">
        <f t="shared" si="72"/>
        <v>0.60799999999999998</v>
      </c>
      <c r="N354" s="5">
        <f t="shared" si="77"/>
        <v>97.9</v>
      </c>
      <c r="O354">
        <v>233</v>
      </c>
      <c r="P354">
        <v>72</v>
      </c>
      <c r="Q354" s="8">
        <f t="shared" si="78"/>
        <v>72</v>
      </c>
      <c r="R354" s="8">
        <v>131</v>
      </c>
      <c r="S354" s="8">
        <f>IF(R354&lt;=0,MEDIAN($R$2:$R$1530),R354)</f>
        <v>131</v>
      </c>
      <c r="T354" s="8">
        <f>(Table1[[#This Row],[Total Cholesterol (mg/dL)]]+Table1[[#This Row],[HDL (mg/dL)2]]+Table1[[#This Row],[Estimated LDL (mg/dL)2]])*5</f>
        <v>2180</v>
      </c>
      <c r="U354" s="8">
        <f>IF(O354="",Table1[[#This Row],[Estimated LDL (mg/dL)2]]+Table1[[#This Row],[HDL (mg/dL)2]]+(Table1[[#This Row],[Triglycerides]]/5),O354)</f>
        <v>233</v>
      </c>
      <c r="V354">
        <v>138</v>
      </c>
      <c r="W354" s="8">
        <f t="shared" si="80"/>
        <v>138</v>
      </c>
      <c r="X354" t="str">
        <f t="shared" si="81"/>
        <v>Diabetes</v>
      </c>
      <c r="Y354" t="s">
        <v>23</v>
      </c>
      <c r="Z354" t="s">
        <v>22</v>
      </c>
      <c r="AA354" t="s">
        <v>37</v>
      </c>
      <c r="AB354" s="3" t="s">
        <v>359</v>
      </c>
      <c r="AC354">
        <v>103</v>
      </c>
      <c r="AD354" s="3" t="str">
        <f t="shared" si="82"/>
        <v>103</v>
      </c>
      <c r="AE354">
        <v>69</v>
      </c>
      <c r="AF354" s="3" t="str">
        <f t="shared" si="83"/>
        <v>69</v>
      </c>
      <c r="AG354" t="s">
        <v>33</v>
      </c>
      <c r="AH354" s="3">
        <v>16.829999999999998</v>
      </c>
      <c r="AI354" s="3">
        <f t="shared" si="84"/>
        <v>16.829999999999998</v>
      </c>
      <c r="AJ354" t="s">
        <v>30</v>
      </c>
      <c r="AK354" t="str">
        <f>PROPER(Table1[[#This Row],[CVD Risk Level]])</f>
        <v>High</v>
      </c>
    </row>
    <row r="355" spans="1:37" x14ac:dyDescent="0.3">
      <c r="A355" t="s">
        <v>31</v>
      </c>
      <c r="B355">
        <v>58</v>
      </c>
      <c r="C355" s="8">
        <f t="shared" si="73"/>
        <v>58</v>
      </c>
      <c r="D355" s="5">
        <v>108.5</v>
      </c>
      <c r="E355" s="8">
        <f t="shared" si="74"/>
        <v>108.5</v>
      </c>
      <c r="G355" s="3">
        <f t="shared" si="75"/>
        <v>1.6307402385083274</v>
      </c>
      <c r="H355">
        <v>40.799999999999997</v>
      </c>
      <c r="I355" s="5">
        <f t="shared" si="71"/>
        <v>40.799999999999997</v>
      </c>
      <c r="J355" s="16" t="str">
        <f t="shared" si="76"/>
        <v>Obese</v>
      </c>
      <c r="K355">
        <v>90.3</v>
      </c>
      <c r="L355">
        <v>0.55400000000000005</v>
      </c>
      <c r="M355" s="11">
        <f t="shared" si="72"/>
        <v>0.55400000000000005</v>
      </c>
      <c r="N355" s="5">
        <f t="shared" si="77"/>
        <v>90.3</v>
      </c>
      <c r="O355">
        <v>208</v>
      </c>
      <c r="P355">
        <v>40</v>
      </c>
      <c r="Q355" s="8">
        <f t="shared" si="78"/>
        <v>40</v>
      </c>
      <c r="R355" s="8">
        <v>138</v>
      </c>
      <c r="S355" s="8">
        <f t="shared" si="79"/>
        <v>138</v>
      </c>
      <c r="T355" s="8">
        <f>(Table1[[#This Row],[Total Cholesterol (mg/dL)]]+Table1[[#This Row],[HDL (mg/dL)2]]+Table1[[#This Row],[Estimated LDL (mg/dL)2]])*5</f>
        <v>1930</v>
      </c>
      <c r="U355" s="8">
        <f>IF(O355="",Table1[[#This Row],[Estimated LDL (mg/dL)2]]+Table1[[#This Row],[HDL (mg/dL)2]]+(Table1[[#This Row],[Triglycerides]]/5),O355)</f>
        <v>208</v>
      </c>
      <c r="V355">
        <v>142</v>
      </c>
      <c r="W355" s="8">
        <f t="shared" si="80"/>
        <v>142</v>
      </c>
      <c r="X355" t="str">
        <f t="shared" si="81"/>
        <v>Diabetes</v>
      </c>
      <c r="Y355" t="s">
        <v>23</v>
      </c>
      <c r="Z355" t="s">
        <v>23</v>
      </c>
      <c r="AA355" t="s">
        <v>37</v>
      </c>
      <c r="AB355" s="3" t="s">
        <v>360</v>
      </c>
      <c r="AC355">
        <v>135</v>
      </c>
      <c r="AD355" s="3" t="str">
        <f t="shared" si="82"/>
        <v>135</v>
      </c>
      <c r="AF355" s="3" t="str">
        <f t="shared" si="83"/>
        <v>90</v>
      </c>
      <c r="AG355" t="s">
        <v>29</v>
      </c>
      <c r="AH355" s="3">
        <v>21.07</v>
      </c>
      <c r="AI355" s="3">
        <f t="shared" si="84"/>
        <v>21.07</v>
      </c>
      <c r="AJ355" t="s">
        <v>30</v>
      </c>
      <c r="AK355" t="str">
        <f>PROPER(Table1[[#This Row],[CVD Risk Level]])</f>
        <v>High</v>
      </c>
    </row>
    <row r="356" spans="1:37" x14ac:dyDescent="0.3">
      <c r="A356" t="s">
        <v>31</v>
      </c>
      <c r="B356">
        <v>41</v>
      </c>
      <c r="C356" s="8">
        <f t="shared" si="73"/>
        <v>41</v>
      </c>
      <c r="D356" s="5">
        <v>59.3</v>
      </c>
      <c r="E356" s="8">
        <f t="shared" si="74"/>
        <v>59.3</v>
      </c>
      <c r="F356">
        <v>1.61</v>
      </c>
      <c r="G356" s="3">
        <f t="shared" si="75"/>
        <v>1.61</v>
      </c>
      <c r="H356">
        <v>22.9</v>
      </c>
      <c r="I356" s="5">
        <f t="shared" si="71"/>
        <v>22.9</v>
      </c>
      <c r="J356" s="16" t="str">
        <f t="shared" si="76"/>
        <v>Normal</v>
      </c>
      <c r="K356">
        <v>87.6</v>
      </c>
      <c r="M356" s="11">
        <f t="shared" si="72"/>
        <v>0.54409937888198756</v>
      </c>
      <c r="N356" s="5">
        <f t="shared" si="77"/>
        <v>87.6</v>
      </c>
      <c r="O356">
        <v>168</v>
      </c>
      <c r="P356">
        <v>34</v>
      </c>
      <c r="Q356" s="8">
        <f t="shared" si="78"/>
        <v>34</v>
      </c>
      <c r="R356" s="8">
        <v>104</v>
      </c>
      <c r="S356" s="8">
        <f t="shared" si="79"/>
        <v>104</v>
      </c>
      <c r="T356" s="8">
        <f>(Table1[[#This Row],[Total Cholesterol (mg/dL)]]+Table1[[#This Row],[HDL (mg/dL)2]]+Table1[[#This Row],[Estimated LDL (mg/dL)2]])*5</f>
        <v>1530</v>
      </c>
      <c r="U356" s="8">
        <f>IF(O356="",Table1[[#This Row],[Estimated LDL (mg/dL)2]]+Table1[[#This Row],[HDL (mg/dL)2]]+(Table1[[#This Row],[Triglycerides]]/5),O356)</f>
        <v>168</v>
      </c>
      <c r="V356">
        <v>124</v>
      </c>
      <c r="W356" s="8">
        <f t="shared" si="80"/>
        <v>124</v>
      </c>
      <c r="X356" t="str">
        <f t="shared" si="81"/>
        <v>Prediabetes</v>
      </c>
      <c r="Y356" t="s">
        <v>22</v>
      </c>
      <c r="Z356" t="s">
        <v>23</v>
      </c>
      <c r="AA356" t="s">
        <v>28</v>
      </c>
      <c r="AB356" s="3" t="s">
        <v>268</v>
      </c>
      <c r="AC356">
        <v>121</v>
      </c>
      <c r="AD356" s="3" t="str">
        <f t="shared" si="82"/>
        <v>121</v>
      </c>
      <c r="AE356">
        <v>68</v>
      </c>
      <c r="AF356" s="3" t="str">
        <f t="shared" si="83"/>
        <v>68</v>
      </c>
      <c r="AG356" t="s">
        <v>25</v>
      </c>
      <c r="AH356" s="3">
        <v>15.99</v>
      </c>
      <c r="AI356" s="3">
        <f t="shared" si="84"/>
        <v>15.99</v>
      </c>
      <c r="AJ356" t="s">
        <v>26</v>
      </c>
      <c r="AK356" t="str">
        <f>PROPER(Table1[[#This Row],[CVD Risk Level]])</f>
        <v>Intermediary</v>
      </c>
    </row>
    <row r="357" spans="1:37" x14ac:dyDescent="0.3">
      <c r="A357" t="s">
        <v>31</v>
      </c>
      <c r="B357">
        <v>36</v>
      </c>
      <c r="C357" s="8">
        <f t="shared" si="73"/>
        <v>36</v>
      </c>
      <c r="D357" s="5">
        <v>110.5</v>
      </c>
      <c r="E357" s="8">
        <f t="shared" si="74"/>
        <v>110.5</v>
      </c>
      <c r="F357">
        <v>1.88</v>
      </c>
      <c r="G357" s="3">
        <f t="shared" si="75"/>
        <v>1.88</v>
      </c>
      <c r="H357">
        <v>31.3</v>
      </c>
      <c r="I357" s="5">
        <f t="shared" si="71"/>
        <v>31.3</v>
      </c>
      <c r="J357" s="16" t="str">
        <f t="shared" si="76"/>
        <v>Obese</v>
      </c>
      <c r="K357">
        <v>106.6</v>
      </c>
      <c r="L357">
        <v>0.56699999999999995</v>
      </c>
      <c r="M357" s="11">
        <f t="shared" si="72"/>
        <v>0.56699999999999995</v>
      </c>
      <c r="N357" s="5">
        <f t="shared" si="77"/>
        <v>106.6</v>
      </c>
      <c r="O357">
        <v>208</v>
      </c>
      <c r="P357">
        <v>52</v>
      </c>
      <c r="Q357" s="8">
        <f t="shared" si="78"/>
        <v>52</v>
      </c>
      <c r="R357" s="8">
        <v>126</v>
      </c>
      <c r="S357" s="8">
        <f t="shared" si="79"/>
        <v>126</v>
      </c>
      <c r="T357" s="8">
        <f>(Table1[[#This Row],[Total Cholesterol (mg/dL)]]+Table1[[#This Row],[HDL (mg/dL)2]]+Table1[[#This Row],[Estimated LDL (mg/dL)2]])*5</f>
        <v>1930</v>
      </c>
      <c r="U357" s="8">
        <f>IF(O357="",Table1[[#This Row],[Estimated LDL (mg/dL)2]]+Table1[[#This Row],[HDL (mg/dL)2]]+(Table1[[#This Row],[Triglycerides]]/5),O357)</f>
        <v>208</v>
      </c>
      <c r="V357">
        <v>135</v>
      </c>
      <c r="W357" s="8">
        <f t="shared" si="80"/>
        <v>135</v>
      </c>
      <c r="X357" t="str">
        <f t="shared" si="81"/>
        <v>Diabetes</v>
      </c>
      <c r="Y357" t="s">
        <v>22</v>
      </c>
      <c r="Z357" t="s">
        <v>22</v>
      </c>
      <c r="AA357" t="s">
        <v>28</v>
      </c>
      <c r="AB357" s="3" t="s">
        <v>361</v>
      </c>
      <c r="AC357">
        <v>148</v>
      </c>
      <c r="AD357" s="3" t="str">
        <f t="shared" si="82"/>
        <v>148</v>
      </c>
      <c r="AE357">
        <v>64</v>
      </c>
      <c r="AF357" s="3" t="str">
        <f t="shared" si="83"/>
        <v>64</v>
      </c>
      <c r="AG357" t="s">
        <v>38</v>
      </c>
      <c r="AH357" s="3">
        <v>17.82</v>
      </c>
      <c r="AI357" s="3">
        <f t="shared" si="84"/>
        <v>17.82</v>
      </c>
      <c r="AJ357" t="s">
        <v>26</v>
      </c>
      <c r="AK357" t="str">
        <f>PROPER(Table1[[#This Row],[CVD Risk Level]])</f>
        <v>Intermediary</v>
      </c>
    </row>
    <row r="358" spans="1:37" x14ac:dyDescent="0.3">
      <c r="A358" t="s">
        <v>31</v>
      </c>
      <c r="B358">
        <v>39</v>
      </c>
      <c r="C358" s="8">
        <f t="shared" si="73"/>
        <v>39</v>
      </c>
      <c r="E358" s="8">
        <f t="shared" si="74"/>
        <v>69.209070000000011</v>
      </c>
      <c r="F358">
        <v>1.61</v>
      </c>
      <c r="G358" s="3">
        <f t="shared" si="75"/>
        <v>1.61</v>
      </c>
      <c r="H358">
        <v>26.7</v>
      </c>
      <c r="I358" s="5">
        <f t="shared" si="71"/>
        <v>26.7</v>
      </c>
      <c r="J358" s="16" t="str">
        <f t="shared" si="76"/>
        <v>Overweight</v>
      </c>
      <c r="L358">
        <v>0.61199999999999999</v>
      </c>
      <c r="M358" s="11">
        <f t="shared" si="72"/>
        <v>0.61199999999999999</v>
      </c>
      <c r="N358" s="5">
        <f t="shared" si="77"/>
        <v>98.531999999999996</v>
      </c>
      <c r="O358">
        <v>269</v>
      </c>
      <c r="P358">
        <v>43</v>
      </c>
      <c r="Q358" s="8">
        <f t="shared" si="78"/>
        <v>43</v>
      </c>
      <c r="R358" s="8">
        <v>196</v>
      </c>
      <c r="S358" s="8">
        <f t="shared" si="79"/>
        <v>196</v>
      </c>
      <c r="T358" s="8">
        <f>(Table1[[#This Row],[Total Cholesterol (mg/dL)]]+Table1[[#This Row],[HDL (mg/dL)2]]+Table1[[#This Row],[Estimated LDL (mg/dL)2]])*5</f>
        <v>2540</v>
      </c>
      <c r="U358" s="8">
        <f>IF(O358="",Table1[[#This Row],[Estimated LDL (mg/dL)2]]+Table1[[#This Row],[HDL (mg/dL)2]]+(Table1[[#This Row],[Triglycerides]]/5),O358)</f>
        <v>269</v>
      </c>
      <c r="V358">
        <v>122</v>
      </c>
      <c r="W358" s="8">
        <f t="shared" si="80"/>
        <v>122</v>
      </c>
      <c r="X358" t="str">
        <f t="shared" si="81"/>
        <v>Prediabetes</v>
      </c>
      <c r="Y358" t="s">
        <v>22</v>
      </c>
      <c r="Z358" t="s">
        <v>23</v>
      </c>
      <c r="AA358" t="s">
        <v>28</v>
      </c>
      <c r="AB358" s="3" t="s">
        <v>362</v>
      </c>
      <c r="AC358">
        <v>150</v>
      </c>
      <c r="AD358" s="3" t="str">
        <f t="shared" si="82"/>
        <v>150</v>
      </c>
      <c r="AE358">
        <v>78</v>
      </c>
      <c r="AF358" s="3" t="str">
        <f t="shared" si="83"/>
        <v>78</v>
      </c>
      <c r="AG358" t="s">
        <v>38</v>
      </c>
      <c r="AH358" s="3">
        <v>20.22</v>
      </c>
      <c r="AI358" s="3">
        <f t="shared" si="84"/>
        <v>20.22</v>
      </c>
      <c r="AJ358" t="s">
        <v>30</v>
      </c>
      <c r="AK358" t="str">
        <f>PROPER(Table1[[#This Row],[CVD Risk Level]])</f>
        <v>High</v>
      </c>
    </row>
    <row r="359" spans="1:37" x14ac:dyDescent="0.3">
      <c r="A359" t="s">
        <v>20</v>
      </c>
      <c r="B359">
        <v>53</v>
      </c>
      <c r="C359" s="8">
        <f t="shared" si="73"/>
        <v>53</v>
      </c>
      <c r="D359" s="5">
        <v>59.8</v>
      </c>
      <c r="E359" s="8">
        <f t="shared" si="74"/>
        <v>59.8</v>
      </c>
      <c r="F359">
        <v>1.74</v>
      </c>
      <c r="G359" s="3">
        <f t="shared" si="75"/>
        <v>1.74</v>
      </c>
      <c r="I359" s="5">
        <f t="shared" si="71"/>
        <v>19.751618443651736</v>
      </c>
      <c r="J359" s="16" t="str">
        <f t="shared" si="76"/>
        <v>Normal</v>
      </c>
      <c r="K359">
        <v>103.9</v>
      </c>
      <c r="L359">
        <v>0.59699999999999998</v>
      </c>
      <c r="M359" s="11">
        <f t="shared" si="72"/>
        <v>0.59699999999999998</v>
      </c>
      <c r="N359" s="5">
        <f t="shared" si="77"/>
        <v>103.9</v>
      </c>
      <c r="O359">
        <v>208</v>
      </c>
      <c r="P359">
        <v>73</v>
      </c>
      <c r="Q359" s="8">
        <f t="shared" si="78"/>
        <v>73</v>
      </c>
      <c r="R359" s="8">
        <v>105</v>
      </c>
      <c r="S359" s="8">
        <f t="shared" si="79"/>
        <v>105</v>
      </c>
      <c r="T359" s="8">
        <f>(Table1[[#This Row],[Total Cholesterol (mg/dL)]]+Table1[[#This Row],[HDL (mg/dL)2]]+Table1[[#This Row],[Estimated LDL (mg/dL)2]])*5</f>
        <v>1930</v>
      </c>
      <c r="U359" s="8">
        <f>IF(O359="",Table1[[#This Row],[Estimated LDL (mg/dL)2]]+Table1[[#This Row],[HDL (mg/dL)2]]+(Table1[[#This Row],[Triglycerides]]/5),O359)</f>
        <v>208</v>
      </c>
      <c r="V359">
        <v>143</v>
      </c>
      <c r="W359" s="8">
        <f t="shared" si="80"/>
        <v>143</v>
      </c>
      <c r="X359" t="str">
        <f t="shared" si="81"/>
        <v>Diabetes</v>
      </c>
      <c r="Y359" t="s">
        <v>22</v>
      </c>
      <c r="Z359" t="s">
        <v>22</v>
      </c>
      <c r="AA359" t="s">
        <v>28</v>
      </c>
      <c r="AB359" s="3" t="s">
        <v>363</v>
      </c>
      <c r="AC359">
        <v>127</v>
      </c>
      <c r="AD359" s="3" t="str">
        <f t="shared" si="82"/>
        <v>127</v>
      </c>
      <c r="AE359">
        <v>78</v>
      </c>
      <c r="AF359" s="3" t="str">
        <f t="shared" si="83"/>
        <v>78</v>
      </c>
      <c r="AG359" t="s">
        <v>25</v>
      </c>
      <c r="AH359" s="3">
        <v>14.47</v>
      </c>
      <c r="AI359" s="3">
        <f t="shared" si="84"/>
        <v>14.47</v>
      </c>
      <c r="AJ359" t="s">
        <v>26</v>
      </c>
      <c r="AK359" t="str">
        <f>PROPER(Table1[[#This Row],[CVD Risk Level]])</f>
        <v>Intermediary</v>
      </c>
    </row>
    <row r="360" spans="1:37" x14ac:dyDescent="0.3">
      <c r="A360" t="s">
        <v>20</v>
      </c>
      <c r="B360">
        <v>43</v>
      </c>
      <c r="C360" s="8">
        <f t="shared" si="73"/>
        <v>43</v>
      </c>
      <c r="D360" s="5">
        <v>54.2</v>
      </c>
      <c r="E360" s="8">
        <f t="shared" si="74"/>
        <v>54.2</v>
      </c>
      <c r="F360">
        <v>1.78</v>
      </c>
      <c r="G360" s="3">
        <f t="shared" si="75"/>
        <v>1.78</v>
      </c>
      <c r="H360">
        <v>17.100000000000001</v>
      </c>
      <c r="I360" s="5">
        <f t="shared" si="71"/>
        <v>17.100000000000001</v>
      </c>
      <c r="J360" s="16" t="str">
        <f t="shared" si="76"/>
        <v>Underweight</v>
      </c>
      <c r="K360">
        <v>91.8</v>
      </c>
      <c r="L360">
        <v>0.51600000000000001</v>
      </c>
      <c r="M360" s="11">
        <f t="shared" si="72"/>
        <v>0.51600000000000001</v>
      </c>
      <c r="N360" s="5">
        <f t="shared" si="77"/>
        <v>91.8</v>
      </c>
      <c r="O360">
        <v>274</v>
      </c>
      <c r="P360">
        <v>38</v>
      </c>
      <c r="Q360" s="8">
        <f t="shared" si="78"/>
        <v>38</v>
      </c>
      <c r="R360" s="8">
        <v>206</v>
      </c>
      <c r="S360" s="8">
        <f t="shared" si="79"/>
        <v>206</v>
      </c>
      <c r="T360" s="8">
        <f>(Table1[[#This Row],[Total Cholesterol (mg/dL)]]+Table1[[#This Row],[HDL (mg/dL)2]]+Table1[[#This Row],[Estimated LDL (mg/dL)2]])*5</f>
        <v>2590</v>
      </c>
      <c r="U360" s="8">
        <f>IF(O360="",Table1[[#This Row],[Estimated LDL (mg/dL)2]]+Table1[[#This Row],[HDL (mg/dL)2]]+(Table1[[#This Row],[Triglycerides]]/5),O360)</f>
        <v>274</v>
      </c>
      <c r="V360">
        <v>144</v>
      </c>
      <c r="W360" s="8">
        <f t="shared" si="80"/>
        <v>144</v>
      </c>
      <c r="X360" t="str">
        <f t="shared" si="81"/>
        <v>Diabetes</v>
      </c>
      <c r="Y360" t="s">
        <v>23</v>
      </c>
      <c r="Z360" t="s">
        <v>23</v>
      </c>
      <c r="AA360" t="s">
        <v>28</v>
      </c>
      <c r="AB360" s="3" t="s">
        <v>364</v>
      </c>
      <c r="AC360">
        <v>117</v>
      </c>
      <c r="AD360" s="3" t="str">
        <f t="shared" si="82"/>
        <v>117</v>
      </c>
      <c r="AE360">
        <v>81</v>
      </c>
      <c r="AF360" s="3" t="str">
        <f t="shared" si="83"/>
        <v>81</v>
      </c>
      <c r="AG360" t="s">
        <v>29</v>
      </c>
      <c r="AH360" s="3">
        <v>16.75</v>
      </c>
      <c r="AI360" s="3">
        <f t="shared" si="84"/>
        <v>16.75</v>
      </c>
      <c r="AJ360" t="s">
        <v>30</v>
      </c>
      <c r="AK360" t="str">
        <f>PROPER(Table1[[#This Row],[CVD Risk Level]])</f>
        <v>High</v>
      </c>
    </row>
    <row r="361" spans="1:37" x14ac:dyDescent="0.3">
      <c r="A361" t="s">
        <v>31</v>
      </c>
      <c r="B361">
        <v>58</v>
      </c>
      <c r="C361" s="8">
        <f t="shared" si="73"/>
        <v>58</v>
      </c>
      <c r="D361" s="5">
        <v>91.2</v>
      </c>
      <c r="E361" s="8">
        <f t="shared" si="74"/>
        <v>91.2</v>
      </c>
      <c r="F361">
        <v>1.78</v>
      </c>
      <c r="G361" s="3">
        <f t="shared" si="75"/>
        <v>1.78</v>
      </c>
      <c r="I361" s="5">
        <f t="shared" si="71"/>
        <v>28.784244413584144</v>
      </c>
      <c r="J361" s="16" t="str">
        <f t="shared" si="76"/>
        <v>Overweight</v>
      </c>
      <c r="K361">
        <v>78.599999999999994</v>
      </c>
      <c r="L361">
        <v>0.442</v>
      </c>
      <c r="M361" s="11">
        <f t="shared" si="72"/>
        <v>0.442</v>
      </c>
      <c r="N361" s="5">
        <f t="shared" si="77"/>
        <v>78.599999999999994</v>
      </c>
      <c r="O361">
        <v>190</v>
      </c>
      <c r="P361">
        <v>74</v>
      </c>
      <c r="Q361" s="8">
        <f t="shared" si="78"/>
        <v>74</v>
      </c>
      <c r="R361" s="8">
        <v>86</v>
      </c>
      <c r="S361" s="8">
        <f t="shared" si="79"/>
        <v>86</v>
      </c>
      <c r="T361" s="8">
        <f>(Table1[[#This Row],[Total Cholesterol (mg/dL)]]+Table1[[#This Row],[HDL (mg/dL)2]]+Table1[[#This Row],[Estimated LDL (mg/dL)2]])*5</f>
        <v>1750</v>
      </c>
      <c r="U361" s="8">
        <f>IF(O361="",Table1[[#This Row],[Estimated LDL (mg/dL)2]]+Table1[[#This Row],[HDL (mg/dL)2]]+(Table1[[#This Row],[Triglycerides]]/5),O361)</f>
        <v>190</v>
      </c>
      <c r="V361">
        <v>89</v>
      </c>
      <c r="W361" s="8">
        <f t="shared" si="80"/>
        <v>89</v>
      </c>
      <c r="X361" t="str">
        <f t="shared" si="81"/>
        <v>Normal</v>
      </c>
      <c r="Y361" t="s">
        <v>23</v>
      </c>
      <c r="Z361" t="s">
        <v>23</v>
      </c>
      <c r="AA361" t="s">
        <v>24</v>
      </c>
      <c r="AB361" s="3" t="s">
        <v>365</v>
      </c>
      <c r="AC361">
        <v>125</v>
      </c>
      <c r="AD361" s="3" t="str">
        <f t="shared" si="82"/>
        <v>125</v>
      </c>
      <c r="AE361">
        <v>100</v>
      </c>
      <c r="AF361" s="3" t="str">
        <f t="shared" si="83"/>
        <v>100</v>
      </c>
      <c r="AG361" t="s">
        <v>38</v>
      </c>
      <c r="AH361" s="3">
        <v>17.809999999999999</v>
      </c>
      <c r="AI361" s="3">
        <f t="shared" si="84"/>
        <v>17.809999999999999</v>
      </c>
      <c r="AJ361" t="s">
        <v>30</v>
      </c>
      <c r="AK361" t="str">
        <f>PROPER(Table1[[#This Row],[CVD Risk Level]])</f>
        <v>High</v>
      </c>
    </row>
    <row r="362" spans="1:37" x14ac:dyDescent="0.3">
      <c r="A362" t="s">
        <v>31</v>
      </c>
      <c r="B362">
        <v>59</v>
      </c>
      <c r="C362" s="8">
        <f t="shared" si="73"/>
        <v>59</v>
      </c>
      <c r="D362" s="5">
        <v>98.7</v>
      </c>
      <c r="E362" s="8">
        <f t="shared" si="74"/>
        <v>98.7</v>
      </c>
      <c r="F362">
        <v>1.64</v>
      </c>
      <c r="G362" s="3">
        <f t="shared" si="75"/>
        <v>1.64</v>
      </c>
      <c r="I362" s="5">
        <f t="shared" si="71"/>
        <v>36.696906603212383</v>
      </c>
      <c r="J362" s="16" t="str">
        <f t="shared" si="76"/>
        <v>Obese</v>
      </c>
      <c r="K362">
        <v>72.599999999999994</v>
      </c>
      <c r="L362">
        <v>0.443</v>
      </c>
      <c r="M362" s="11">
        <f t="shared" si="72"/>
        <v>0.443</v>
      </c>
      <c r="N362" s="5">
        <f t="shared" si="77"/>
        <v>72.599999999999994</v>
      </c>
      <c r="O362">
        <v>234</v>
      </c>
      <c r="P362">
        <v>30</v>
      </c>
      <c r="Q362" s="8">
        <f t="shared" si="78"/>
        <v>30</v>
      </c>
      <c r="R362" s="8">
        <v>174</v>
      </c>
      <c r="S362" s="8">
        <f t="shared" si="79"/>
        <v>174</v>
      </c>
      <c r="T362" s="8">
        <f>(Table1[[#This Row],[Total Cholesterol (mg/dL)]]+Table1[[#This Row],[HDL (mg/dL)2]]+Table1[[#This Row],[Estimated LDL (mg/dL)2]])*5</f>
        <v>2190</v>
      </c>
      <c r="U362" s="8">
        <f>IF(O362="",Table1[[#This Row],[Estimated LDL (mg/dL)2]]+Table1[[#This Row],[HDL (mg/dL)2]]+(Table1[[#This Row],[Triglycerides]]/5),O362)</f>
        <v>234</v>
      </c>
      <c r="V362">
        <v>95</v>
      </c>
      <c r="W362" s="8">
        <f t="shared" si="80"/>
        <v>95</v>
      </c>
      <c r="X362" t="str">
        <f t="shared" si="81"/>
        <v>Normal</v>
      </c>
      <c r="Y362" t="s">
        <v>23</v>
      </c>
      <c r="Z362" t="s">
        <v>22</v>
      </c>
      <c r="AA362" t="s">
        <v>28</v>
      </c>
      <c r="AB362" s="3" t="s">
        <v>366</v>
      </c>
      <c r="AC362">
        <v>126</v>
      </c>
      <c r="AD362" s="3" t="str">
        <f t="shared" si="82"/>
        <v>126</v>
      </c>
      <c r="AE362">
        <v>80</v>
      </c>
      <c r="AF362" s="3" t="str">
        <f t="shared" si="83"/>
        <v>80</v>
      </c>
      <c r="AG362" t="s">
        <v>29</v>
      </c>
      <c r="AH362" s="3">
        <v>18.32</v>
      </c>
      <c r="AI362" s="3">
        <f t="shared" si="84"/>
        <v>18.32</v>
      </c>
      <c r="AJ362" t="s">
        <v>30</v>
      </c>
      <c r="AK362" t="str">
        <f>PROPER(Table1[[#This Row],[CVD Risk Level]])</f>
        <v>High</v>
      </c>
    </row>
    <row r="363" spans="1:37" x14ac:dyDescent="0.3">
      <c r="A363" t="s">
        <v>20</v>
      </c>
      <c r="B363">
        <v>42</v>
      </c>
      <c r="C363" s="8">
        <f t="shared" si="73"/>
        <v>42</v>
      </c>
      <c r="D363" s="5">
        <v>104.1</v>
      </c>
      <c r="E363" s="8">
        <f t="shared" si="74"/>
        <v>104.1</v>
      </c>
      <c r="F363">
        <v>1.88</v>
      </c>
      <c r="G363" s="3">
        <f t="shared" si="75"/>
        <v>1.88</v>
      </c>
      <c r="H363">
        <v>29.5</v>
      </c>
      <c r="I363" s="5">
        <f t="shared" si="71"/>
        <v>29.5</v>
      </c>
      <c r="J363" s="16" t="str">
        <f t="shared" si="76"/>
        <v>Overweight</v>
      </c>
      <c r="K363">
        <v>83.4</v>
      </c>
      <c r="M363" s="11">
        <f t="shared" si="72"/>
        <v>0.4436170212765958</v>
      </c>
      <c r="N363" s="5">
        <f t="shared" si="77"/>
        <v>83.4</v>
      </c>
      <c r="O363">
        <v>196</v>
      </c>
      <c r="P363">
        <v>68</v>
      </c>
      <c r="Q363" s="8">
        <f t="shared" si="78"/>
        <v>68</v>
      </c>
      <c r="R363" s="8">
        <v>98</v>
      </c>
      <c r="S363" s="8">
        <f t="shared" si="79"/>
        <v>98</v>
      </c>
      <c r="T363" s="8">
        <f>(Table1[[#This Row],[Total Cholesterol (mg/dL)]]+Table1[[#This Row],[HDL (mg/dL)2]]+Table1[[#This Row],[Estimated LDL (mg/dL)2]])*5</f>
        <v>1810</v>
      </c>
      <c r="U363" s="8">
        <f>IF(O363="",Table1[[#This Row],[Estimated LDL (mg/dL)2]]+Table1[[#This Row],[HDL (mg/dL)2]]+(Table1[[#This Row],[Triglycerides]]/5),O363)</f>
        <v>196</v>
      </c>
      <c r="V363">
        <v>110</v>
      </c>
      <c r="W363" s="8">
        <f t="shared" si="80"/>
        <v>110</v>
      </c>
      <c r="X363" t="str">
        <f t="shared" si="81"/>
        <v>Prediabetes</v>
      </c>
      <c r="Y363" t="s">
        <v>23</v>
      </c>
      <c r="Z363" t="s">
        <v>22</v>
      </c>
      <c r="AA363" t="s">
        <v>24</v>
      </c>
      <c r="AB363" s="3" t="s">
        <v>367</v>
      </c>
      <c r="AC363">
        <v>132</v>
      </c>
      <c r="AD363" s="3" t="str">
        <f t="shared" si="82"/>
        <v>132</v>
      </c>
      <c r="AE363">
        <v>86</v>
      </c>
      <c r="AF363" s="3" t="str">
        <f t="shared" si="83"/>
        <v>86</v>
      </c>
      <c r="AG363" t="s">
        <v>29</v>
      </c>
      <c r="AH363" s="3">
        <v>16.420000000000002</v>
      </c>
      <c r="AI363" s="3">
        <f t="shared" si="84"/>
        <v>16.420000000000002</v>
      </c>
      <c r="AJ363" t="s">
        <v>30</v>
      </c>
      <c r="AK363" t="str">
        <f>PROPER(Table1[[#This Row],[CVD Risk Level]])</f>
        <v>High</v>
      </c>
    </row>
    <row r="364" spans="1:37" x14ac:dyDescent="0.3">
      <c r="A364" t="s">
        <v>20</v>
      </c>
      <c r="B364">
        <v>46</v>
      </c>
      <c r="C364" s="8">
        <f t="shared" si="73"/>
        <v>46</v>
      </c>
      <c r="D364" s="5">
        <v>73.7</v>
      </c>
      <c r="E364" s="8">
        <f t="shared" si="74"/>
        <v>73.7</v>
      </c>
      <c r="F364">
        <v>1.66</v>
      </c>
      <c r="G364" s="3">
        <f t="shared" si="75"/>
        <v>1.66</v>
      </c>
      <c r="H364">
        <v>26.7</v>
      </c>
      <c r="I364" s="5">
        <f t="shared" si="71"/>
        <v>26.7</v>
      </c>
      <c r="J364" s="16" t="str">
        <f t="shared" si="76"/>
        <v>Overweight</v>
      </c>
      <c r="K364">
        <v>108.9</v>
      </c>
      <c r="L364">
        <v>0.65600000000000003</v>
      </c>
      <c r="M364" s="11">
        <f t="shared" si="72"/>
        <v>0.65600000000000003</v>
      </c>
      <c r="N364" s="5">
        <f t="shared" si="77"/>
        <v>108.9</v>
      </c>
      <c r="O364">
        <v>173</v>
      </c>
      <c r="P364">
        <v>45</v>
      </c>
      <c r="Q364" s="8">
        <f t="shared" si="78"/>
        <v>45</v>
      </c>
      <c r="R364" s="8">
        <v>98</v>
      </c>
      <c r="S364" s="8">
        <f t="shared" si="79"/>
        <v>98</v>
      </c>
      <c r="T364" s="8">
        <f>(Table1[[#This Row],[Total Cholesterol (mg/dL)]]+Table1[[#This Row],[HDL (mg/dL)2]]+Table1[[#This Row],[Estimated LDL (mg/dL)2]])*5</f>
        <v>1580</v>
      </c>
      <c r="U364" s="8">
        <f>IF(O364="",Table1[[#This Row],[Estimated LDL (mg/dL)2]]+Table1[[#This Row],[HDL (mg/dL)2]]+(Table1[[#This Row],[Triglycerides]]/5),O364)</f>
        <v>173</v>
      </c>
      <c r="V364">
        <v>80</v>
      </c>
      <c r="W364" s="8">
        <f t="shared" si="80"/>
        <v>80</v>
      </c>
      <c r="X364" t="str">
        <f t="shared" si="81"/>
        <v>Normal</v>
      </c>
      <c r="Y364" t="s">
        <v>23</v>
      </c>
      <c r="Z364" t="s">
        <v>23</v>
      </c>
      <c r="AA364" t="s">
        <v>28</v>
      </c>
      <c r="AB364" s="3" t="s">
        <v>368</v>
      </c>
      <c r="AC364">
        <v>92</v>
      </c>
      <c r="AD364" s="3" t="str">
        <f t="shared" si="82"/>
        <v>92</v>
      </c>
      <c r="AE364">
        <v>74</v>
      </c>
      <c r="AF364" s="3" t="str">
        <f t="shared" si="83"/>
        <v>74</v>
      </c>
      <c r="AG364" t="s">
        <v>33</v>
      </c>
      <c r="AH364" s="3">
        <v>15.4</v>
      </c>
      <c r="AI364" s="3">
        <f t="shared" si="84"/>
        <v>15.4</v>
      </c>
      <c r="AJ364" t="s">
        <v>30</v>
      </c>
      <c r="AK364" t="str">
        <f>PROPER(Table1[[#This Row],[CVD Risk Level]])</f>
        <v>High</v>
      </c>
    </row>
    <row r="365" spans="1:37" x14ac:dyDescent="0.3">
      <c r="A365" t="s">
        <v>20</v>
      </c>
      <c r="B365">
        <v>42</v>
      </c>
      <c r="C365" s="8">
        <f t="shared" si="73"/>
        <v>42</v>
      </c>
      <c r="D365" s="5">
        <v>114.1</v>
      </c>
      <c r="E365" s="8">
        <f t="shared" si="74"/>
        <v>114.1</v>
      </c>
      <c r="F365">
        <v>1.66</v>
      </c>
      <c r="G365" s="3">
        <f t="shared" si="75"/>
        <v>1.66</v>
      </c>
      <c r="H365">
        <v>41.4</v>
      </c>
      <c r="I365" s="5">
        <f t="shared" si="71"/>
        <v>41.4</v>
      </c>
      <c r="J365" s="16" t="str">
        <f t="shared" si="76"/>
        <v>Obese</v>
      </c>
      <c r="L365">
        <v>0.46700000000000003</v>
      </c>
      <c r="M365" s="11">
        <f t="shared" si="72"/>
        <v>0.46700000000000003</v>
      </c>
      <c r="N365" s="5">
        <f t="shared" si="77"/>
        <v>77.522000000000006</v>
      </c>
      <c r="O365">
        <v>222</v>
      </c>
      <c r="P365">
        <v>59</v>
      </c>
      <c r="Q365" s="8">
        <f t="shared" si="78"/>
        <v>59</v>
      </c>
      <c r="R365" s="8">
        <v>133</v>
      </c>
      <c r="S365" s="8">
        <f t="shared" si="79"/>
        <v>133</v>
      </c>
      <c r="T365" s="8">
        <f>(Table1[[#This Row],[Total Cholesterol (mg/dL)]]+Table1[[#This Row],[HDL (mg/dL)2]]+Table1[[#This Row],[Estimated LDL (mg/dL)2]])*5</f>
        <v>2070</v>
      </c>
      <c r="U365" s="8">
        <f>IF(O365="",Table1[[#This Row],[Estimated LDL (mg/dL)2]]+Table1[[#This Row],[HDL (mg/dL)2]]+(Table1[[#This Row],[Triglycerides]]/5),O365)</f>
        <v>222</v>
      </c>
      <c r="V365">
        <v>146</v>
      </c>
      <c r="W365" s="8">
        <f t="shared" si="80"/>
        <v>146</v>
      </c>
      <c r="X365" t="str">
        <f t="shared" si="81"/>
        <v>Diabetes</v>
      </c>
      <c r="Y365" t="s">
        <v>23</v>
      </c>
      <c r="Z365" t="s">
        <v>23</v>
      </c>
      <c r="AA365" t="s">
        <v>28</v>
      </c>
      <c r="AB365" s="3" t="s">
        <v>369</v>
      </c>
      <c r="AC365">
        <v>93</v>
      </c>
      <c r="AD365" s="3" t="str">
        <f t="shared" si="82"/>
        <v>93</v>
      </c>
      <c r="AE365">
        <v>88</v>
      </c>
      <c r="AF365" s="3" t="str">
        <f t="shared" si="83"/>
        <v>88</v>
      </c>
      <c r="AG365" t="s">
        <v>29</v>
      </c>
      <c r="AH365" s="3">
        <v>19.37</v>
      </c>
      <c r="AI365" s="3">
        <f t="shared" si="84"/>
        <v>19.37</v>
      </c>
      <c r="AJ365" t="s">
        <v>30</v>
      </c>
      <c r="AK365" t="str">
        <f>PROPER(Table1[[#This Row],[CVD Risk Level]])</f>
        <v>High</v>
      </c>
    </row>
    <row r="366" spans="1:37" x14ac:dyDescent="0.3">
      <c r="A366" t="s">
        <v>31</v>
      </c>
      <c r="B366">
        <v>54</v>
      </c>
      <c r="C366" s="8">
        <f t="shared" si="73"/>
        <v>54</v>
      </c>
      <c r="D366" s="5">
        <v>98.5</v>
      </c>
      <c r="E366" s="8">
        <f t="shared" si="74"/>
        <v>98.5</v>
      </c>
      <c r="F366">
        <v>1.69</v>
      </c>
      <c r="G366" s="3">
        <f t="shared" si="75"/>
        <v>1.69</v>
      </c>
      <c r="H366">
        <v>34.5</v>
      </c>
      <c r="I366" s="5">
        <f t="shared" si="71"/>
        <v>34.5</v>
      </c>
      <c r="J366" s="16" t="str">
        <f t="shared" si="76"/>
        <v>Obese</v>
      </c>
      <c r="K366">
        <v>105.8</v>
      </c>
      <c r="L366">
        <v>0.626</v>
      </c>
      <c r="M366" s="11">
        <f t="shared" si="72"/>
        <v>0.626</v>
      </c>
      <c r="N366" s="5">
        <f t="shared" si="77"/>
        <v>105.8</v>
      </c>
      <c r="O366">
        <v>257</v>
      </c>
      <c r="P366">
        <v>34</v>
      </c>
      <c r="Q366" s="8">
        <f t="shared" si="78"/>
        <v>34</v>
      </c>
      <c r="R366" s="8">
        <v>193</v>
      </c>
      <c r="S366" s="8">
        <f t="shared" si="79"/>
        <v>193</v>
      </c>
      <c r="T366" s="8">
        <f>(Table1[[#This Row],[Total Cholesterol (mg/dL)]]+Table1[[#This Row],[HDL (mg/dL)2]]+Table1[[#This Row],[Estimated LDL (mg/dL)2]])*5</f>
        <v>2420</v>
      </c>
      <c r="U366" s="8">
        <f>IF(O366="",Table1[[#This Row],[Estimated LDL (mg/dL)2]]+Table1[[#This Row],[HDL (mg/dL)2]]+(Table1[[#This Row],[Triglycerides]]/5),O366)</f>
        <v>257</v>
      </c>
      <c r="V366">
        <v>109</v>
      </c>
      <c r="W366" s="8">
        <f t="shared" si="80"/>
        <v>109</v>
      </c>
      <c r="X366" t="str">
        <f t="shared" si="81"/>
        <v>Prediabetes</v>
      </c>
      <c r="Y366" t="s">
        <v>23</v>
      </c>
      <c r="Z366" t="s">
        <v>23</v>
      </c>
      <c r="AA366" t="s">
        <v>37</v>
      </c>
      <c r="AB366" s="3" t="s">
        <v>370</v>
      </c>
      <c r="AC366">
        <v>126</v>
      </c>
      <c r="AD366" s="3" t="str">
        <f t="shared" si="82"/>
        <v>126</v>
      </c>
      <c r="AE366">
        <v>60</v>
      </c>
      <c r="AF366" s="3" t="str">
        <f t="shared" si="83"/>
        <v>60</v>
      </c>
      <c r="AG366" t="s">
        <v>25</v>
      </c>
      <c r="AH366" s="3">
        <v>20.34</v>
      </c>
      <c r="AI366" s="3">
        <f t="shared" si="84"/>
        <v>20.34</v>
      </c>
      <c r="AJ366" t="s">
        <v>30</v>
      </c>
      <c r="AK366" t="str">
        <f>PROPER(Table1[[#This Row],[CVD Risk Level]])</f>
        <v>High</v>
      </c>
    </row>
    <row r="367" spans="1:37" x14ac:dyDescent="0.3">
      <c r="A367" t="s">
        <v>31</v>
      </c>
      <c r="B367">
        <v>59</v>
      </c>
      <c r="C367" s="8">
        <f t="shared" si="73"/>
        <v>59</v>
      </c>
      <c r="D367" s="5">
        <v>75.3</v>
      </c>
      <c r="E367" s="8">
        <f t="shared" si="74"/>
        <v>75.3</v>
      </c>
      <c r="F367">
        <v>1.65</v>
      </c>
      <c r="G367" s="3">
        <f t="shared" si="75"/>
        <v>1.65</v>
      </c>
      <c r="H367">
        <v>27.7</v>
      </c>
      <c r="I367" s="5">
        <f t="shared" si="71"/>
        <v>27.7</v>
      </c>
      <c r="J367" s="16" t="str">
        <f t="shared" si="76"/>
        <v>Overweight</v>
      </c>
      <c r="K367">
        <v>95.6</v>
      </c>
      <c r="L367">
        <v>0.57899999999999996</v>
      </c>
      <c r="M367" s="11">
        <f t="shared" si="72"/>
        <v>0.57899999999999996</v>
      </c>
      <c r="N367" s="5">
        <f t="shared" si="77"/>
        <v>95.6</v>
      </c>
      <c r="O367">
        <v>131</v>
      </c>
      <c r="P367">
        <v>53</v>
      </c>
      <c r="Q367" s="8">
        <f t="shared" si="78"/>
        <v>53</v>
      </c>
      <c r="R367" s="8">
        <v>48</v>
      </c>
      <c r="S367" s="8">
        <f t="shared" si="79"/>
        <v>48</v>
      </c>
      <c r="T367" s="8">
        <f>(Table1[[#This Row],[Total Cholesterol (mg/dL)]]+Table1[[#This Row],[HDL (mg/dL)2]]+Table1[[#This Row],[Estimated LDL (mg/dL)2]])*5</f>
        <v>1160</v>
      </c>
      <c r="U367" s="8">
        <f>IF(O367="",Table1[[#This Row],[Estimated LDL (mg/dL)2]]+Table1[[#This Row],[HDL (mg/dL)2]]+(Table1[[#This Row],[Triglycerides]]/5),O367)</f>
        <v>131</v>
      </c>
      <c r="V367">
        <v>81</v>
      </c>
      <c r="W367" s="8">
        <f t="shared" si="80"/>
        <v>81</v>
      </c>
      <c r="X367" t="str">
        <f t="shared" si="81"/>
        <v>Normal</v>
      </c>
      <c r="Y367" t="s">
        <v>22</v>
      </c>
      <c r="Z367" t="s">
        <v>23</v>
      </c>
      <c r="AA367" t="s">
        <v>37</v>
      </c>
      <c r="AB367" s="3" t="s">
        <v>371</v>
      </c>
      <c r="AC367">
        <v>120</v>
      </c>
      <c r="AD367" s="3" t="str">
        <f t="shared" si="82"/>
        <v>120</v>
      </c>
      <c r="AF367" s="3" t="str">
        <f t="shared" si="83"/>
        <v>83</v>
      </c>
      <c r="AG367" t="s">
        <v>29</v>
      </c>
      <c r="AI367" s="3">
        <f t="shared" si="84"/>
        <v>16.960925291295425</v>
      </c>
      <c r="AJ367" t="s">
        <v>26</v>
      </c>
      <c r="AK367" t="str">
        <f>PROPER(Table1[[#This Row],[CVD Risk Level]])</f>
        <v>Intermediary</v>
      </c>
    </row>
    <row r="368" spans="1:37" x14ac:dyDescent="0.3">
      <c r="A368" t="s">
        <v>20</v>
      </c>
      <c r="B368">
        <v>54</v>
      </c>
      <c r="C368" s="8">
        <f t="shared" si="73"/>
        <v>54</v>
      </c>
      <c r="D368" s="5">
        <v>106.6</v>
      </c>
      <c r="E368" s="8">
        <f t="shared" si="74"/>
        <v>106.6</v>
      </c>
      <c r="F368">
        <v>1.69</v>
      </c>
      <c r="G368" s="3">
        <f t="shared" si="75"/>
        <v>1.69</v>
      </c>
      <c r="H368">
        <v>37.299999999999997</v>
      </c>
      <c r="I368" s="5">
        <f t="shared" si="71"/>
        <v>37.299999999999997</v>
      </c>
      <c r="J368" s="16" t="str">
        <f t="shared" si="76"/>
        <v>Obese</v>
      </c>
      <c r="K368">
        <v>101</v>
      </c>
      <c r="L368">
        <v>0.59799999999999998</v>
      </c>
      <c r="M368" s="11">
        <f t="shared" si="72"/>
        <v>0.59799999999999998</v>
      </c>
      <c r="N368" s="5">
        <f t="shared" si="77"/>
        <v>101</v>
      </c>
      <c r="O368">
        <v>252</v>
      </c>
      <c r="P368">
        <v>44</v>
      </c>
      <c r="Q368" s="8">
        <f t="shared" si="78"/>
        <v>44</v>
      </c>
      <c r="S368" s="8">
        <f t="shared" si="79"/>
        <v>109</v>
      </c>
      <c r="T368" s="8">
        <f>(Table1[[#This Row],[Total Cholesterol (mg/dL)]]+Table1[[#This Row],[HDL (mg/dL)2]]+Table1[[#This Row],[Estimated LDL (mg/dL)2]])*5</f>
        <v>2025</v>
      </c>
      <c r="U368" s="8">
        <f>IF(O368="",Table1[[#This Row],[Estimated LDL (mg/dL)2]]+Table1[[#This Row],[HDL (mg/dL)2]]+(Table1[[#This Row],[Triglycerides]]/5),O368)</f>
        <v>252</v>
      </c>
      <c r="V368">
        <v>124</v>
      </c>
      <c r="W368" s="8">
        <f t="shared" si="80"/>
        <v>124</v>
      </c>
      <c r="X368" t="str">
        <f t="shared" si="81"/>
        <v>Prediabetes</v>
      </c>
      <c r="Y368" t="s">
        <v>22</v>
      </c>
      <c r="Z368" t="s">
        <v>22</v>
      </c>
      <c r="AA368" t="s">
        <v>24</v>
      </c>
      <c r="AB368" s="3" t="s">
        <v>372</v>
      </c>
      <c r="AC368">
        <v>134</v>
      </c>
      <c r="AD368" s="3" t="str">
        <f t="shared" si="82"/>
        <v>134</v>
      </c>
      <c r="AE368">
        <v>82</v>
      </c>
      <c r="AF368" s="3" t="str">
        <f t="shared" si="83"/>
        <v>82</v>
      </c>
      <c r="AG368" t="s">
        <v>29</v>
      </c>
      <c r="AH368" s="3">
        <v>19.2</v>
      </c>
      <c r="AI368" s="3">
        <f t="shared" si="84"/>
        <v>19.2</v>
      </c>
      <c r="AJ368" t="s">
        <v>30</v>
      </c>
      <c r="AK368" t="str">
        <f>PROPER(Table1[[#This Row],[CVD Risk Level]])</f>
        <v>High</v>
      </c>
    </row>
    <row r="369" spans="1:37" x14ac:dyDescent="0.3">
      <c r="A369" t="s">
        <v>31</v>
      </c>
      <c r="B369">
        <v>47</v>
      </c>
      <c r="C369" s="8">
        <f t="shared" si="73"/>
        <v>47</v>
      </c>
      <c r="D369" s="5">
        <v>118.1</v>
      </c>
      <c r="E369" s="8">
        <f t="shared" si="74"/>
        <v>118.1</v>
      </c>
      <c r="G369" s="3">
        <f t="shared" si="75"/>
        <v>1.8188246889955391</v>
      </c>
      <c r="H369">
        <v>35.700000000000003</v>
      </c>
      <c r="I369" s="5">
        <f t="shared" si="71"/>
        <v>35.700000000000003</v>
      </c>
      <c r="J369" s="16" t="str">
        <f t="shared" si="76"/>
        <v>Obese</v>
      </c>
      <c r="K369">
        <v>93.4</v>
      </c>
      <c r="L369">
        <v>0.51300000000000001</v>
      </c>
      <c r="M369" s="11">
        <f t="shared" si="72"/>
        <v>0.51300000000000001</v>
      </c>
      <c r="N369" s="5">
        <f t="shared" si="77"/>
        <v>93.4</v>
      </c>
      <c r="O369">
        <v>151</v>
      </c>
      <c r="P369">
        <v>39</v>
      </c>
      <c r="Q369" s="8">
        <f t="shared" si="78"/>
        <v>39</v>
      </c>
      <c r="R369" s="8">
        <v>82</v>
      </c>
      <c r="S369" s="8">
        <f t="shared" si="79"/>
        <v>82</v>
      </c>
      <c r="T369" s="8">
        <f>(Table1[[#This Row],[Total Cholesterol (mg/dL)]]+Table1[[#This Row],[HDL (mg/dL)2]]+Table1[[#This Row],[Estimated LDL (mg/dL)2]])*5</f>
        <v>1360</v>
      </c>
      <c r="U369" s="8">
        <f>IF(O369="",Table1[[#This Row],[Estimated LDL (mg/dL)2]]+Table1[[#This Row],[HDL (mg/dL)2]]+(Table1[[#This Row],[Triglycerides]]/5),O369)</f>
        <v>151</v>
      </c>
      <c r="W369" s="8">
        <f t="shared" si="80"/>
        <v>117.48563611491107</v>
      </c>
      <c r="X369" t="str">
        <f t="shared" si="81"/>
        <v>Prediabetes</v>
      </c>
      <c r="Y369" t="s">
        <v>23</v>
      </c>
      <c r="Z369" t="s">
        <v>23</v>
      </c>
      <c r="AA369" t="s">
        <v>24</v>
      </c>
      <c r="AB369" s="3" t="s">
        <v>373</v>
      </c>
      <c r="AC369">
        <v>130</v>
      </c>
      <c r="AD369" s="3" t="str">
        <f t="shared" si="82"/>
        <v>130</v>
      </c>
      <c r="AE369">
        <v>87</v>
      </c>
      <c r="AF369" s="3" t="str">
        <f t="shared" si="83"/>
        <v>87</v>
      </c>
      <c r="AG369" t="s">
        <v>29</v>
      </c>
      <c r="AH369" s="3">
        <v>18.66</v>
      </c>
      <c r="AI369" s="3">
        <f t="shared" si="84"/>
        <v>18.66</v>
      </c>
      <c r="AJ369" t="s">
        <v>30</v>
      </c>
      <c r="AK369" t="str">
        <f>PROPER(Table1[[#This Row],[CVD Risk Level]])</f>
        <v>High</v>
      </c>
    </row>
    <row r="370" spans="1:37" x14ac:dyDescent="0.3">
      <c r="A370" t="s">
        <v>31</v>
      </c>
      <c r="B370">
        <v>46</v>
      </c>
      <c r="C370" s="8">
        <f t="shared" si="73"/>
        <v>46</v>
      </c>
      <c r="D370" s="5">
        <v>73</v>
      </c>
      <c r="E370" s="8">
        <f t="shared" si="74"/>
        <v>73</v>
      </c>
      <c r="F370">
        <v>1.79</v>
      </c>
      <c r="G370" s="3">
        <f t="shared" si="75"/>
        <v>1.79</v>
      </c>
      <c r="H370">
        <v>22.8</v>
      </c>
      <c r="I370" s="5">
        <f t="shared" si="71"/>
        <v>22.8</v>
      </c>
      <c r="J370" s="16" t="str">
        <f t="shared" si="76"/>
        <v>Normal</v>
      </c>
      <c r="L370">
        <v>0.434</v>
      </c>
      <c r="M370" s="11">
        <f t="shared" si="72"/>
        <v>0.434</v>
      </c>
      <c r="N370" s="5">
        <f t="shared" si="77"/>
        <v>77.685999999999993</v>
      </c>
      <c r="O370">
        <v>260</v>
      </c>
      <c r="P370">
        <v>61</v>
      </c>
      <c r="Q370" s="8">
        <f t="shared" si="78"/>
        <v>61</v>
      </c>
      <c r="R370" s="8">
        <v>169</v>
      </c>
      <c r="S370" s="8">
        <f t="shared" si="79"/>
        <v>169</v>
      </c>
      <c r="T370" s="8">
        <f>(Table1[[#This Row],[Total Cholesterol (mg/dL)]]+Table1[[#This Row],[HDL (mg/dL)2]]+Table1[[#This Row],[Estimated LDL (mg/dL)2]])*5</f>
        <v>2450</v>
      </c>
      <c r="U370" s="8">
        <f>IF(O370="",Table1[[#This Row],[Estimated LDL (mg/dL)2]]+Table1[[#This Row],[HDL (mg/dL)2]]+(Table1[[#This Row],[Triglycerides]]/5),O370)</f>
        <v>260</v>
      </c>
      <c r="V370">
        <v>72</v>
      </c>
      <c r="W370" s="8">
        <f t="shared" si="80"/>
        <v>72</v>
      </c>
      <c r="X370" t="str">
        <f t="shared" si="81"/>
        <v>Normal</v>
      </c>
      <c r="Y370" t="s">
        <v>23</v>
      </c>
      <c r="Z370" t="s">
        <v>22</v>
      </c>
      <c r="AA370" t="s">
        <v>37</v>
      </c>
      <c r="AB370" s="3" t="s">
        <v>374</v>
      </c>
      <c r="AC370">
        <v>95</v>
      </c>
      <c r="AD370" s="3" t="str">
        <f t="shared" si="82"/>
        <v>95</v>
      </c>
      <c r="AE370">
        <v>60</v>
      </c>
      <c r="AF370" s="3" t="str">
        <f t="shared" si="83"/>
        <v>60</v>
      </c>
      <c r="AG370" t="s">
        <v>33</v>
      </c>
      <c r="AH370" s="3">
        <v>14.51</v>
      </c>
      <c r="AI370" s="3">
        <f t="shared" si="84"/>
        <v>14.51</v>
      </c>
      <c r="AJ370" t="s">
        <v>30</v>
      </c>
      <c r="AK370" t="str">
        <f>PROPER(Table1[[#This Row],[CVD Risk Level]])</f>
        <v>High</v>
      </c>
    </row>
    <row r="371" spans="1:37" x14ac:dyDescent="0.3">
      <c r="A371" t="s">
        <v>31</v>
      </c>
      <c r="B371">
        <v>52</v>
      </c>
      <c r="C371" s="8">
        <f t="shared" si="73"/>
        <v>52</v>
      </c>
      <c r="E371" s="8">
        <f t="shared" si="74"/>
        <v>89.327250000000006</v>
      </c>
      <c r="F371">
        <v>1.85</v>
      </c>
      <c r="G371" s="3">
        <f t="shared" si="75"/>
        <v>1.85</v>
      </c>
      <c r="H371">
        <v>26.1</v>
      </c>
      <c r="I371" s="5">
        <f t="shared" si="71"/>
        <v>26.1</v>
      </c>
      <c r="J371" s="16" t="str">
        <f t="shared" si="76"/>
        <v>Overweight</v>
      </c>
      <c r="K371">
        <v>98.5</v>
      </c>
      <c r="L371">
        <v>0.53200000000000003</v>
      </c>
      <c r="M371" s="11">
        <f t="shared" si="72"/>
        <v>0.53200000000000003</v>
      </c>
      <c r="N371" s="5">
        <f t="shared" si="77"/>
        <v>98.5</v>
      </c>
      <c r="O371">
        <v>295</v>
      </c>
      <c r="P371">
        <v>39</v>
      </c>
      <c r="Q371" s="8">
        <f t="shared" si="78"/>
        <v>39</v>
      </c>
      <c r="R371" s="8">
        <v>226</v>
      </c>
      <c r="S371" s="8">
        <f t="shared" si="79"/>
        <v>226</v>
      </c>
      <c r="T371" s="8">
        <f>(Table1[[#This Row],[Total Cholesterol (mg/dL)]]+Table1[[#This Row],[HDL (mg/dL)2]]+Table1[[#This Row],[Estimated LDL (mg/dL)2]])*5</f>
        <v>2800</v>
      </c>
      <c r="U371" s="8">
        <f>IF(O371="",Table1[[#This Row],[Estimated LDL (mg/dL)2]]+Table1[[#This Row],[HDL (mg/dL)2]]+(Table1[[#This Row],[Triglycerides]]/5),O371)</f>
        <v>295</v>
      </c>
      <c r="W371" s="8">
        <f t="shared" si="80"/>
        <v>117.48563611491107</v>
      </c>
      <c r="X371" t="str">
        <f t="shared" si="81"/>
        <v>Prediabetes</v>
      </c>
      <c r="Y371" t="s">
        <v>22</v>
      </c>
      <c r="Z371" t="s">
        <v>22</v>
      </c>
      <c r="AA371" t="s">
        <v>37</v>
      </c>
      <c r="AB371" s="3" t="s">
        <v>233</v>
      </c>
      <c r="AC371">
        <v>114</v>
      </c>
      <c r="AD371" s="3" t="str">
        <f t="shared" si="82"/>
        <v>114</v>
      </c>
      <c r="AE371">
        <v>92</v>
      </c>
      <c r="AF371" s="3" t="str">
        <f t="shared" si="83"/>
        <v>92</v>
      </c>
      <c r="AG371" t="s">
        <v>38</v>
      </c>
      <c r="AH371" s="3">
        <v>16.82</v>
      </c>
      <c r="AI371" s="3">
        <f t="shared" si="84"/>
        <v>16.82</v>
      </c>
      <c r="AJ371" t="s">
        <v>30</v>
      </c>
      <c r="AK371" t="str">
        <f>PROPER(Table1[[#This Row],[CVD Risk Level]])</f>
        <v>High</v>
      </c>
    </row>
    <row r="372" spans="1:37" x14ac:dyDescent="0.3">
      <c r="A372" t="s">
        <v>31</v>
      </c>
      <c r="B372">
        <v>43</v>
      </c>
      <c r="C372" s="8">
        <f t="shared" si="73"/>
        <v>43</v>
      </c>
      <c r="D372" s="5">
        <v>108.8</v>
      </c>
      <c r="E372" s="8">
        <f t="shared" si="74"/>
        <v>108.8</v>
      </c>
      <c r="F372">
        <v>1.87</v>
      </c>
      <c r="G372" s="3">
        <f t="shared" si="75"/>
        <v>1.87</v>
      </c>
      <c r="H372">
        <v>31.1</v>
      </c>
      <c r="I372" s="5">
        <f t="shared" si="71"/>
        <v>31.1</v>
      </c>
      <c r="J372" s="16" t="str">
        <f t="shared" si="76"/>
        <v>Obese</v>
      </c>
      <c r="K372">
        <v>74.2</v>
      </c>
      <c r="L372">
        <v>0.39700000000000002</v>
      </c>
      <c r="M372" s="11">
        <f t="shared" si="72"/>
        <v>0.39700000000000002</v>
      </c>
      <c r="N372" s="5">
        <f t="shared" si="77"/>
        <v>74.2</v>
      </c>
      <c r="O372">
        <v>216</v>
      </c>
      <c r="P372">
        <v>55</v>
      </c>
      <c r="Q372" s="8">
        <f t="shared" si="78"/>
        <v>55</v>
      </c>
      <c r="R372" s="8">
        <v>131</v>
      </c>
      <c r="S372" s="8">
        <f t="shared" si="79"/>
        <v>131</v>
      </c>
      <c r="T372" s="8">
        <f>(Table1[[#This Row],[Total Cholesterol (mg/dL)]]+Table1[[#This Row],[HDL (mg/dL)2]]+Table1[[#This Row],[Estimated LDL (mg/dL)2]])*5</f>
        <v>2010</v>
      </c>
      <c r="U372" s="8">
        <f>IF(O372="",Table1[[#This Row],[Estimated LDL (mg/dL)2]]+Table1[[#This Row],[HDL (mg/dL)2]]+(Table1[[#This Row],[Triglycerides]]/5),O372)</f>
        <v>216</v>
      </c>
      <c r="V372">
        <v>115</v>
      </c>
      <c r="W372" s="8">
        <f t="shared" si="80"/>
        <v>115</v>
      </c>
      <c r="X372" t="str">
        <f t="shared" si="81"/>
        <v>Prediabetes</v>
      </c>
      <c r="Y372" t="s">
        <v>22</v>
      </c>
      <c r="Z372" t="s">
        <v>22</v>
      </c>
      <c r="AA372" t="s">
        <v>28</v>
      </c>
      <c r="AB372" s="3" t="s">
        <v>375</v>
      </c>
      <c r="AC372">
        <v>128</v>
      </c>
      <c r="AD372" s="3" t="str">
        <f t="shared" si="82"/>
        <v>128</v>
      </c>
      <c r="AE372">
        <v>75</v>
      </c>
      <c r="AF372" s="3" t="str">
        <f t="shared" si="83"/>
        <v>75</v>
      </c>
      <c r="AG372" t="s">
        <v>25</v>
      </c>
      <c r="AH372" s="3">
        <v>16.940000000000001</v>
      </c>
      <c r="AI372" s="3">
        <f t="shared" si="84"/>
        <v>16.940000000000001</v>
      </c>
      <c r="AJ372" t="s">
        <v>26</v>
      </c>
      <c r="AK372" t="str">
        <f>PROPER(Table1[[#This Row],[CVD Risk Level]])</f>
        <v>Intermediary</v>
      </c>
    </row>
    <row r="373" spans="1:37" x14ac:dyDescent="0.3">
      <c r="A373" t="s">
        <v>20</v>
      </c>
      <c r="B373">
        <v>42</v>
      </c>
      <c r="C373" s="8">
        <f t="shared" si="73"/>
        <v>42</v>
      </c>
      <c r="D373" s="5">
        <v>68.5</v>
      </c>
      <c r="E373" s="8">
        <f t="shared" si="74"/>
        <v>68.5</v>
      </c>
      <c r="F373">
        <v>1.83</v>
      </c>
      <c r="G373" s="3">
        <f t="shared" si="75"/>
        <v>1.83</v>
      </c>
      <c r="H373">
        <v>20.5</v>
      </c>
      <c r="I373" s="5">
        <f t="shared" si="71"/>
        <v>20.5</v>
      </c>
      <c r="J373" s="16" t="str">
        <f t="shared" si="76"/>
        <v>Normal</v>
      </c>
      <c r="K373">
        <v>84.1</v>
      </c>
      <c r="L373">
        <v>0.46</v>
      </c>
      <c r="M373" s="11">
        <f t="shared" si="72"/>
        <v>0.46</v>
      </c>
      <c r="N373" s="5">
        <f t="shared" si="77"/>
        <v>84.1</v>
      </c>
      <c r="O373">
        <v>184</v>
      </c>
      <c r="P373">
        <v>77</v>
      </c>
      <c r="Q373" s="8">
        <f t="shared" si="78"/>
        <v>77</v>
      </c>
      <c r="R373" s="8">
        <v>77</v>
      </c>
      <c r="S373" s="8">
        <f t="shared" si="79"/>
        <v>77</v>
      </c>
      <c r="T373" s="8">
        <f>(Table1[[#This Row],[Total Cholesterol (mg/dL)]]+Table1[[#This Row],[HDL (mg/dL)2]]+Table1[[#This Row],[Estimated LDL (mg/dL)2]])*5</f>
        <v>1690</v>
      </c>
      <c r="U373" s="8">
        <f>IF(O373="",Table1[[#This Row],[Estimated LDL (mg/dL)2]]+Table1[[#This Row],[HDL (mg/dL)2]]+(Table1[[#This Row],[Triglycerides]]/5),O373)</f>
        <v>184</v>
      </c>
      <c r="V373">
        <v>122</v>
      </c>
      <c r="W373" s="8">
        <f t="shared" si="80"/>
        <v>122</v>
      </c>
      <c r="X373" t="str">
        <f t="shared" si="81"/>
        <v>Prediabetes</v>
      </c>
      <c r="Y373" t="s">
        <v>23</v>
      </c>
      <c r="Z373" t="s">
        <v>23</v>
      </c>
      <c r="AA373" t="s">
        <v>28</v>
      </c>
      <c r="AB373" s="3" t="s">
        <v>376</v>
      </c>
      <c r="AC373">
        <v>140</v>
      </c>
      <c r="AD373" s="3" t="str">
        <f t="shared" si="82"/>
        <v>140</v>
      </c>
      <c r="AE373">
        <v>89</v>
      </c>
      <c r="AF373" s="3" t="str">
        <f t="shared" si="83"/>
        <v>89</v>
      </c>
      <c r="AG373" t="s">
        <v>29</v>
      </c>
      <c r="AH373" s="3">
        <v>16.78</v>
      </c>
      <c r="AI373" s="3">
        <f t="shared" si="84"/>
        <v>16.78</v>
      </c>
      <c r="AJ373" t="s">
        <v>26</v>
      </c>
      <c r="AK373" t="str">
        <f>PROPER(Table1[[#This Row],[CVD Risk Level]])</f>
        <v>Intermediary</v>
      </c>
    </row>
    <row r="374" spans="1:37" x14ac:dyDescent="0.3">
      <c r="A374" t="s">
        <v>20</v>
      </c>
      <c r="B374">
        <v>37</v>
      </c>
      <c r="C374" s="8">
        <f t="shared" si="73"/>
        <v>37</v>
      </c>
      <c r="D374" s="5">
        <v>60.7</v>
      </c>
      <c r="E374" s="8">
        <f t="shared" si="74"/>
        <v>60.7</v>
      </c>
      <c r="F374">
        <v>1.63</v>
      </c>
      <c r="G374" s="3">
        <f t="shared" si="75"/>
        <v>1.63</v>
      </c>
      <c r="H374">
        <v>22.8</v>
      </c>
      <c r="I374" s="5">
        <f t="shared" si="71"/>
        <v>22.8</v>
      </c>
      <c r="J374" s="16" t="str">
        <f t="shared" si="76"/>
        <v>Normal</v>
      </c>
      <c r="K374">
        <v>78.900000000000006</v>
      </c>
      <c r="L374">
        <v>0.48399999999999999</v>
      </c>
      <c r="M374" s="11">
        <f t="shared" si="72"/>
        <v>0.48399999999999999</v>
      </c>
      <c r="N374" s="5">
        <f t="shared" si="77"/>
        <v>78.900000000000006</v>
      </c>
      <c r="O374">
        <v>200</v>
      </c>
      <c r="P374">
        <v>68</v>
      </c>
      <c r="Q374" s="8">
        <f t="shared" si="78"/>
        <v>68</v>
      </c>
      <c r="R374" s="8">
        <v>102</v>
      </c>
      <c r="S374" s="8">
        <f t="shared" si="79"/>
        <v>102</v>
      </c>
      <c r="T374" s="8">
        <f>(Table1[[#This Row],[Total Cholesterol (mg/dL)]]+Table1[[#This Row],[HDL (mg/dL)2]]+Table1[[#This Row],[Estimated LDL (mg/dL)2]])*5</f>
        <v>1850</v>
      </c>
      <c r="U374" s="8">
        <f>IF(O374="",Table1[[#This Row],[Estimated LDL (mg/dL)2]]+Table1[[#This Row],[HDL (mg/dL)2]]+(Table1[[#This Row],[Triglycerides]]/5),O374)</f>
        <v>200</v>
      </c>
      <c r="V374">
        <v>136</v>
      </c>
      <c r="W374" s="8">
        <f t="shared" si="80"/>
        <v>136</v>
      </c>
      <c r="X374" t="str">
        <f t="shared" si="81"/>
        <v>Diabetes</v>
      </c>
      <c r="Y374" t="s">
        <v>23</v>
      </c>
      <c r="Z374" t="s">
        <v>22</v>
      </c>
      <c r="AA374" t="s">
        <v>37</v>
      </c>
      <c r="AB374" s="3" t="s">
        <v>377</v>
      </c>
      <c r="AC374">
        <v>116</v>
      </c>
      <c r="AD374" s="3" t="str">
        <f t="shared" si="82"/>
        <v>116</v>
      </c>
      <c r="AE374">
        <v>100</v>
      </c>
      <c r="AF374" s="3" t="str">
        <f t="shared" si="83"/>
        <v>100</v>
      </c>
      <c r="AG374" t="s">
        <v>38</v>
      </c>
      <c r="AH374" s="3">
        <v>14.36</v>
      </c>
      <c r="AI374" s="3">
        <f t="shared" si="84"/>
        <v>14.36</v>
      </c>
      <c r="AJ374" t="s">
        <v>52</v>
      </c>
      <c r="AK374" t="str">
        <f>PROPER(Table1[[#This Row],[CVD Risk Level]])</f>
        <v>Low</v>
      </c>
    </row>
    <row r="375" spans="1:37" x14ac:dyDescent="0.3">
      <c r="A375" t="s">
        <v>31</v>
      </c>
      <c r="B375">
        <v>33</v>
      </c>
      <c r="C375" s="8">
        <f t="shared" si="73"/>
        <v>33</v>
      </c>
      <c r="D375" s="5">
        <v>99.5</v>
      </c>
      <c r="E375" s="8">
        <f t="shared" si="74"/>
        <v>99.5</v>
      </c>
      <c r="F375">
        <v>1.75</v>
      </c>
      <c r="G375" s="3">
        <f t="shared" si="75"/>
        <v>1.75</v>
      </c>
      <c r="H375">
        <v>32.5</v>
      </c>
      <c r="I375" s="5">
        <f t="shared" si="71"/>
        <v>32.5</v>
      </c>
      <c r="J375" s="16" t="str">
        <f t="shared" si="76"/>
        <v>Obese</v>
      </c>
      <c r="K375">
        <v>73.2</v>
      </c>
      <c r="L375">
        <v>0.41799999999999998</v>
      </c>
      <c r="M375" s="11">
        <f t="shared" si="72"/>
        <v>0.41799999999999998</v>
      </c>
      <c r="N375" s="5">
        <f t="shared" si="77"/>
        <v>73.2</v>
      </c>
      <c r="O375">
        <v>149</v>
      </c>
      <c r="P375">
        <v>78</v>
      </c>
      <c r="Q375" s="8">
        <f t="shared" si="78"/>
        <v>78</v>
      </c>
      <c r="R375" s="8">
        <v>41</v>
      </c>
      <c r="S375" s="8">
        <f t="shared" si="79"/>
        <v>41</v>
      </c>
      <c r="T375" s="8">
        <f>(Table1[[#This Row],[Total Cholesterol (mg/dL)]]+Table1[[#This Row],[HDL (mg/dL)2]]+Table1[[#This Row],[Estimated LDL (mg/dL)2]])*5</f>
        <v>1340</v>
      </c>
      <c r="U375" s="8">
        <f>IF(O375="",Table1[[#This Row],[Estimated LDL (mg/dL)2]]+Table1[[#This Row],[HDL (mg/dL)2]]+(Table1[[#This Row],[Triglycerides]]/5),O375)</f>
        <v>149</v>
      </c>
      <c r="V375">
        <v>73</v>
      </c>
      <c r="W375" s="8">
        <f t="shared" si="80"/>
        <v>73</v>
      </c>
      <c r="X375" t="str">
        <f t="shared" si="81"/>
        <v>Normal</v>
      </c>
      <c r="Y375" t="s">
        <v>23</v>
      </c>
      <c r="Z375" t="s">
        <v>22</v>
      </c>
      <c r="AA375" t="s">
        <v>24</v>
      </c>
      <c r="AB375" s="3" t="s">
        <v>335</v>
      </c>
      <c r="AC375">
        <v>100</v>
      </c>
      <c r="AD375" s="3" t="str">
        <f t="shared" si="82"/>
        <v>100</v>
      </c>
      <c r="AE375">
        <v>80</v>
      </c>
      <c r="AF375" s="3" t="str">
        <f t="shared" si="83"/>
        <v>80</v>
      </c>
      <c r="AG375" t="s">
        <v>29</v>
      </c>
      <c r="AH375" s="3">
        <v>14.48</v>
      </c>
      <c r="AI375" s="3">
        <f t="shared" si="84"/>
        <v>14.48</v>
      </c>
      <c r="AJ375" t="s">
        <v>30</v>
      </c>
      <c r="AK375" t="str">
        <f>PROPER(Table1[[#This Row],[CVD Risk Level]])</f>
        <v>High</v>
      </c>
    </row>
    <row r="376" spans="1:37" x14ac:dyDescent="0.3">
      <c r="A376" t="s">
        <v>31</v>
      </c>
      <c r="B376">
        <v>48</v>
      </c>
      <c r="C376" s="8">
        <f t="shared" si="73"/>
        <v>48</v>
      </c>
      <c r="D376" s="5">
        <v>95.2</v>
      </c>
      <c r="E376" s="8">
        <f t="shared" si="74"/>
        <v>95.2</v>
      </c>
      <c r="F376">
        <v>1.89</v>
      </c>
      <c r="G376" s="3">
        <f t="shared" si="75"/>
        <v>1.89</v>
      </c>
      <c r="H376">
        <v>26.7</v>
      </c>
      <c r="I376" s="5">
        <f t="shared" si="71"/>
        <v>26.7</v>
      </c>
      <c r="J376" s="16" t="str">
        <f t="shared" si="76"/>
        <v>Overweight</v>
      </c>
      <c r="K376">
        <v>81.599999999999994</v>
      </c>
      <c r="L376">
        <v>0.432</v>
      </c>
      <c r="M376" s="11">
        <f t="shared" si="72"/>
        <v>0.432</v>
      </c>
      <c r="N376" s="5">
        <f t="shared" si="77"/>
        <v>81.599999999999994</v>
      </c>
      <c r="O376">
        <v>249</v>
      </c>
      <c r="P376">
        <v>53</v>
      </c>
      <c r="Q376" s="8">
        <f t="shared" si="78"/>
        <v>53</v>
      </c>
      <c r="S376" s="8">
        <f t="shared" si="79"/>
        <v>109</v>
      </c>
      <c r="T376" s="8">
        <f>(Table1[[#This Row],[Total Cholesterol (mg/dL)]]+Table1[[#This Row],[HDL (mg/dL)2]]+Table1[[#This Row],[Estimated LDL (mg/dL)2]])*5</f>
        <v>2055</v>
      </c>
      <c r="U376" s="8">
        <f>IF(O376="",Table1[[#This Row],[Estimated LDL (mg/dL)2]]+Table1[[#This Row],[HDL (mg/dL)2]]+(Table1[[#This Row],[Triglycerides]]/5),O376)</f>
        <v>249</v>
      </c>
      <c r="V376">
        <v>134</v>
      </c>
      <c r="W376" s="8">
        <f t="shared" si="80"/>
        <v>134</v>
      </c>
      <c r="X376" t="str">
        <f t="shared" si="81"/>
        <v>Diabetes</v>
      </c>
      <c r="Y376" t="s">
        <v>22</v>
      </c>
      <c r="Z376" t="s">
        <v>22</v>
      </c>
      <c r="AA376" t="s">
        <v>37</v>
      </c>
      <c r="AB376" s="3" t="s">
        <v>378</v>
      </c>
      <c r="AC376">
        <v>133</v>
      </c>
      <c r="AD376" s="3" t="str">
        <f t="shared" si="82"/>
        <v>133</v>
      </c>
      <c r="AE376">
        <v>94</v>
      </c>
      <c r="AF376" s="3" t="str">
        <f t="shared" si="83"/>
        <v>94</v>
      </c>
      <c r="AG376" t="s">
        <v>29</v>
      </c>
      <c r="AH376" s="3">
        <v>16.97</v>
      </c>
      <c r="AI376" s="3">
        <f t="shared" si="84"/>
        <v>16.97</v>
      </c>
      <c r="AJ376" t="s">
        <v>30</v>
      </c>
      <c r="AK376" t="str">
        <f>PROPER(Table1[[#This Row],[CVD Risk Level]])</f>
        <v>High</v>
      </c>
    </row>
    <row r="377" spans="1:37" x14ac:dyDescent="0.3">
      <c r="A377" t="s">
        <v>20</v>
      </c>
      <c r="B377">
        <v>40</v>
      </c>
      <c r="C377" s="8">
        <f t="shared" si="73"/>
        <v>40</v>
      </c>
      <c r="D377" s="5">
        <v>83.9</v>
      </c>
      <c r="E377" s="8">
        <f t="shared" si="74"/>
        <v>83.9</v>
      </c>
      <c r="F377">
        <v>1.85</v>
      </c>
      <c r="G377" s="3">
        <f t="shared" si="75"/>
        <v>1.85</v>
      </c>
      <c r="H377">
        <v>24.5</v>
      </c>
      <c r="I377" s="5">
        <f t="shared" si="71"/>
        <v>24.5</v>
      </c>
      <c r="J377" s="16" t="str">
        <f t="shared" si="76"/>
        <v>Normal</v>
      </c>
      <c r="K377">
        <v>109.2</v>
      </c>
      <c r="L377">
        <v>0.59</v>
      </c>
      <c r="M377" s="11">
        <f t="shared" si="72"/>
        <v>0.59</v>
      </c>
      <c r="N377" s="5">
        <f t="shared" si="77"/>
        <v>109.2</v>
      </c>
      <c r="O377">
        <v>179</v>
      </c>
      <c r="Q377" s="8">
        <f t="shared" si="78"/>
        <v>56.197377501725327</v>
      </c>
      <c r="R377" s="8">
        <v>107</v>
      </c>
      <c r="S377" s="8">
        <f>IF(R377&lt;=0,MEDIAN($R$2:$R$1530),R377)</f>
        <v>107</v>
      </c>
      <c r="T377" s="8">
        <f>(Table1[[#This Row],[Total Cholesterol (mg/dL)]]+Table1[[#This Row],[HDL (mg/dL)2]]+Table1[[#This Row],[Estimated LDL (mg/dL)2]])*5</f>
        <v>1710.9868875086268</v>
      </c>
      <c r="U377" s="8">
        <f>IF(O377="",Table1[[#This Row],[Estimated LDL (mg/dL)2]]+Table1[[#This Row],[HDL (mg/dL)2]]+(Table1[[#This Row],[Triglycerides]]/5),O377)</f>
        <v>179</v>
      </c>
      <c r="V377">
        <v>105</v>
      </c>
      <c r="W377" s="8">
        <f t="shared" si="80"/>
        <v>105</v>
      </c>
      <c r="X377" t="str">
        <f t="shared" si="81"/>
        <v>Prediabetes</v>
      </c>
      <c r="Y377" t="s">
        <v>22</v>
      </c>
      <c r="Z377" t="s">
        <v>23</v>
      </c>
      <c r="AA377" t="s">
        <v>24</v>
      </c>
      <c r="AB377" s="3" t="s">
        <v>379</v>
      </c>
      <c r="AC377">
        <v>143</v>
      </c>
      <c r="AD377" s="3" t="str">
        <f t="shared" si="82"/>
        <v>143</v>
      </c>
      <c r="AE377">
        <v>93</v>
      </c>
      <c r="AF377" s="3" t="str">
        <f t="shared" si="83"/>
        <v>93</v>
      </c>
      <c r="AG377" t="s">
        <v>38</v>
      </c>
      <c r="AH377" s="3">
        <v>17.63</v>
      </c>
      <c r="AI377" s="3">
        <f t="shared" si="84"/>
        <v>17.63</v>
      </c>
      <c r="AJ377" t="s">
        <v>26</v>
      </c>
      <c r="AK377" t="str">
        <f>PROPER(Table1[[#This Row],[CVD Risk Level]])</f>
        <v>Intermediary</v>
      </c>
    </row>
    <row r="378" spans="1:37" x14ac:dyDescent="0.3">
      <c r="A378" t="s">
        <v>31</v>
      </c>
      <c r="B378">
        <v>31</v>
      </c>
      <c r="C378" s="8">
        <f t="shared" si="73"/>
        <v>31</v>
      </c>
      <c r="D378" s="5">
        <v>73.7</v>
      </c>
      <c r="E378" s="8">
        <f t="shared" si="74"/>
        <v>73.7</v>
      </c>
      <c r="F378">
        <v>1.7</v>
      </c>
      <c r="G378" s="3">
        <f t="shared" si="75"/>
        <v>1.7</v>
      </c>
      <c r="H378">
        <v>25.5</v>
      </c>
      <c r="I378" s="5">
        <f t="shared" si="71"/>
        <v>25.5</v>
      </c>
      <c r="J378" s="16" t="str">
        <f t="shared" si="76"/>
        <v>Overweight</v>
      </c>
      <c r="K378">
        <v>88.2</v>
      </c>
      <c r="L378">
        <v>0.51900000000000002</v>
      </c>
      <c r="M378" s="11">
        <f t="shared" si="72"/>
        <v>0.51900000000000002</v>
      </c>
      <c r="N378" s="5">
        <f t="shared" si="77"/>
        <v>88.2</v>
      </c>
      <c r="O378">
        <v>190</v>
      </c>
      <c r="P378">
        <v>66</v>
      </c>
      <c r="Q378" s="8">
        <f t="shared" si="78"/>
        <v>66</v>
      </c>
      <c r="R378" s="8">
        <v>94</v>
      </c>
      <c r="S378" s="8">
        <f t="shared" si="79"/>
        <v>94</v>
      </c>
      <c r="T378" s="8">
        <f>(Table1[[#This Row],[Total Cholesterol (mg/dL)]]+Table1[[#This Row],[HDL (mg/dL)2]]+Table1[[#This Row],[Estimated LDL (mg/dL)2]])*5</f>
        <v>1750</v>
      </c>
      <c r="U378" s="8">
        <f>IF(O378="",Table1[[#This Row],[Estimated LDL (mg/dL)2]]+Table1[[#This Row],[HDL (mg/dL)2]]+(Table1[[#This Row],[Triglycerides]]/5),O378)</f>
        <v>190</v>
      </c>
      <c r="V378">
        <v>89</v>
      </c>
      <c r="W378" s="8">
        <f t="shared" si="80"/>
        <v>89</v>
      </c>
      <c r="X378" t="str">
        <f t="shared" si="81"/>
        <v>Normal</v>
      </c>
      <c r="Y378" t="s">
        <v>22</v>
      </c>
      <c r="Z378" t="s">
        <v>22</v>
      </c>
      <c r="AA378" t="s">
        <v>24</v>
      </c>
      <c r="AB378" s="3" t="s">
        <v>380</v>
      </c>
      <c r="AC378">
        <v>146</v>
      </c>
      <c r="AD378" s="3" t="str">
        <f t="shared" si="82"/>
        <v>146</v>
      </c>
      <c r="AE378">
        <v>61</v>
      </c>
      <c r="AF378" s="3" t="str">
        <f t="shared" si="83"/>
        <v>61</v>
      </c>
      <c r="AG378" t="s">
        <v>38</v>
      </c>
      <c r="AH378" s="3">
        <v>16.2</v>
      </c>
      <c r="AI378" s="3">
        <f t="shared" si="84"/>
        <v>16.2</v>
      </c>
      <c r="AJ378" t="s">
        <v>26</v>
      </c>
      <c r="AK378" t="str">
        <f>PROPER(Table1[[#This Row],[CVD Risk Level]])</f>
        <v>Intermediary</v>
      </c>
    </row>
    <row r="379" spans="1:37" x14ac:dyDescent="0.3">
      <c r="A379" t="s">
        <v>31</v>
      </c>
      <c r="B379">
        <v>47</v>
      </c>
      <c r="C379" s="8">
        <f t="shared" si="73"/>
        <v>47</v>
      </c>
      <c r="D379" s="5">
        <v>67.5</v>
      </c>
      <c r="E379" s="8">
        <f t="shared" si="74"/>
        <v>67.5</v>
      </c>
      <c r="F379">
        <v>1.83</v>
      </c>
      <c r="G379" s="3">
        <f t="shared" si="75"/>
        <v>1.83</v>
      </c>
      <c r="H379">
        <v>20.2</v>
      </c>
      <c r="I379" s="5">
        <f t="shared" si="71"/>
        <v>20.2</v>
      </c>
      <c r="J379" s="16" t="str">
        <f t="shared" si="76"/>
        <v>Normal</v>
      </c>
      <c r="K379">
        <v>100</v>
      </c>
      <c r="L379">
        <v>0.54600000000000004</v>
      </c>
      <c r="M379" s="11">
        <f t="shared" si="72"/>
        <v>0.54600000000000004</v>
      </c>
      <c r="N379" s="5">
        <f t="shared" si="77"/>
        <v>100</v>
      </c>
      <c r="O379">
        <v>185</v>
      </c>
      <c r="P379">
        <v>49</v>
      </c>
      <c r="Q379" s="8">
        <f t="shared" si="78"/>
        <v>49</v>
      </c>
      <c r="R379" s="8">
        <v>106</v>
      </c>
      <c r="S379" s="8">
        <f t="shared" si="79"/>
        <v>106</v>
      </c>
      <c r="T379" s="8">
        <f>(Table1[[#This Row],[Total Cholesterol (mg/dL)]]+Table1[[#This Row],[HDL (mg/dL)2]]+Table1[[#This Row],[Estimated LDL (mg/dL)2]])*5</f>
        <v>1700</v>
      </c>
      <c r="U379" s="8">
        <f>IF(O379="",Table1[[#This Row],[Estimated LDL (mg/dL)2]]+Table1[[#This Row],[HDL (mg/dL)2]]+(Table1[[#This Row],[Triglycerides]]/5),O379)</f>
        <v>185</v>
      </c>
      <c r="V379">
        <v>79</v>
      </c>
      <c r="W379" s="8">
        <f t="shared" si="80"/>
        <v>79</v>
      </c>
      <c r="X379" t="str">
        <f t="shared" si="81"/>
        <v>Normal</v>
      </c>
      <c r="Y379" t="s">
        <v>22</v>
      </c>
      <c r="Z379" t="s">
        <v>22</v>
      </c>
      <c r="AA379" t="s">
        <v>37</v>
      </c>
      <c r="AB379" s="3" t="s">
        <v>381</v>
      </c>
      <c r="AC379">
        <v>119</v>
      </c>
      <c r="AD379" s="3" t="str">
        <f t="shared" si="82"/>
        <v>119</v>
      </c>
      <c r="AF379" s="3" t="str">
        <f t="shared" si="83"/>
        <v>75</v>
      </c>
      <c r="AG379" t="s">
        <v>33</v>
      </c>
      <c r="AH379" s="3">
        <v>13.69</v>
      </c>
      <c r="AI379" s="3">
        <f t="shared" si="84"/>
        <v>13.69</v>
      </c>
      <c r="AJ379" t="s">
        <v>26</v>
      </c>
      <c r="AK379" t="str">
        <f>PROPER(Table1[[#This Row],[CVD Risk Level]])</f>
        <v>Intermediary</v>
      </c>
    </row>
    <row r="380" spans="1:37" x14ac:dyDescent="0.3">
      <c r="A380" t="s">
        <v>31</v>
      </c>
      <c r="B380">
        <v>49</v>
      </c>
      <c r="C380" s="8">
        <f t="shared" si="73"/>
        <v>49</v>
      </c>
      <c r="D380" s="5">
        <v>88.7</v>
      </c>
      <c r="E380" s="8">
        <f t="shared" si="74"/>
        <v>88.7</v>
      </c>
      <c r="F380">
        <v>1.62</v>
      </c>
      <c r="G380" s="3">
        <f t="shared" si="75"/>
        <v>1.62</v>
      </c>
      <c r="H380">
        <v>33.799999999999997</v>
      </c>
      <c r="I380" s="5">
        <f t="shared" si="71"/>
        <v>33.799999999999997</v>
      </c>
      <c r="J380" s="16" t="str">
        <f t="shared" si="76"/>
        <v>Obese</v>
      </c>
      <c r="K380">
        <v>99.9</v>
      </c>
      <c r="L380">
        <v>0.61699999999999999</v>
      </c>
      <c r="M380" s="11">
        <f t="shared" si="72"/>
        <v>0.61699999999999999</v>
      </c>
      <c r="N380" s="5">
        <f t="shared" si="77"/>
        <v>99.9</v>
      </c>
      <c r="O380">
        <v>257</v>
      </c>
      <c r="P380">
        <v>76</v>
      </c>
      <c r="Q380" s="8">
        <f t="shared" si="78"/>
        <v>76</v>
      </c>
      <c r="R380" s="8">
        <v>151</v>
      </c>
      <c r="S380" s="8">
        <f t="shared" si="79"/>
        <v>151</v>
      </c>
      <c r="T380" s="8">
        <f>(Table1[[#This Row],[Total Cholesterol (mg/dL)]]+Table1[[#This Row],[HDL (mg/dL)2]]+Table1[[#This Row],[Estimated LDL (mg/dL)2]])*5</f>
        <v>2420</v>
      </c>
      <c r="U380" s="8">
        <f>IF(O380="",Table1[[#This Row],[Estimated LDL (mg/dL)2]]+Table1[[#This Row],[HDL (mg/dL)2]]+(Table1[[#This Row],[Triglycerides]]/5),O380)</f>
        <v>257</v>
      </c>
      <c r="V380">
        <v>138</v>
      </c>
      <c r="W380" s="8">
        <f t="shared" si="80"/>
        <v>138</v>
      </c>
      <c r="X380" t="str">
        <f t="shared" si="81"/>
        <v>Diabetes</v>
      </c>
      <c r="Y380" t="s">
        <v>22</v>
      </c>
      <c r="Z380" t="s">
        <v>23</v>
      </c>
      <c r="AA380" t="s">
        <v>24</v>
      </c>
      <c r="AB380" s="3" t="s">
        <v>382</v>
      </c>
      <c r="AC380">
        <v>139</v>
      </c>
      <c r="AD380" s="3" t="str">
        <f t="shared" si="82"/>
        <v>139</v>
      </c>
      <c r="AF380" s="3" t="str">
        <f t="shared" si="83"/>
        <v>85</v>
      </c>
      <c r="AG380" t="s">
        <v>29</v>
      </c>
      <c r="AH380" s="3">
        <v>20.85</v>
      </c>
      <c r="AI380" s="3">
        <f t="shared" si="84"/>
        <v>20.85</v>
      </c>
      <c r="AJ380" t="s">
        <v>30</v>
      </c>
      <c r="AK380" t="str">
        <f>PROPER(Table1[[#This Row],[CVD Risk Level]])</f>
        <v>High</v>
      </c>
    </row>
    <row r="381" spans="1:37" x14ac:dyDescent="0.3">
      <c r="A381" t="s">
        <v>31</v>
      </c>
      <c r="B381">
        <v>42</v>
      </c>
      <c r="C381" s="8">
        <f t="shared" si="73"/>
        <v>42</v>
      </c>
      <c r="D381" s="5">
        <v>57.2</v>
      </c>
      <c r="E381" s="8">
        <f t="shared" si="74"/>
        <v>57.2</v>
      </c>
      <c r="F381">
        <v>1.61</v>
      </c>
      <c r="G381" s="3">
        <f t="shared" si="75"/>
        <v>1.61</v>
      </c>
      <c r="H381">
        <v>22.1</v>
      </c>
      <c r="I381" s="5">
        <f t="shared" si="71"/>
        <v>22.1</v>
      </c>
      <c r="J381" s="16" t="str">
        <f t="shared" si="76"/>
        <v>Normal</v>
      </c>
      <c r="K381">
        <v>98.1</v>
      </c>
      <c r="L381">
        <v>0.60899999999999999</v>
      </c>
      <c r="M381" s="11">
        <f t="shared" si="72"/>
        <v>0.60899999999999999</v>
      </c>
      <c r="N381" s="5">
        <f t="shared" si="77"/>
        <v>98.1</v>
      </c>
      <c r="O381">
        <v>137</v>
      </c>
      <c r="P381">
        <v>54</v>
      </c>
      <c r="Q381" s="8">
        <f t="shared" si="78"/>
        <v>54</v>
      </c>
      <c r="R381" s="8">
        <v>53</v>
      </c>
      <c r="S381" s="8">
        <f t="shared" si="79"/>
        <v>53</v>
      </c>
      <c r="T381" s="8">
        <f>(Table1[[#This Row],[Total Cholesterol (mg/dL)]]+Table1[[#This Row],[HDL (mg/dL)2]]+Table1[[#This Row],[Estimated LDL (mg/dL)2]])*5</f>
        <v>1220</v>
      </c>
      <c r="U381" s="8">
        <f>IF(O381="",Table1[[#This Row],[Estimated LDL (mg/dL)2]]+Table1[[#This Row],[HDL (mg/dL)2]]+(Table1[[#This Row],[Triglycerides]]/5),O381)</f>
        <v>137</v>
      </c>
      <c r="V381">
        <v>75</v>
      </c>
      <c r="W381" s="8">
        <f t="shared" si="80"/>
        <v>75</v>
      </c>
      <c r="X381" t="str">
        <f t="shared" si="81"/>
        <v>Normal</v>
      </c>
      <c r="Y381" t="s">
        <v>23</v>
      </c>
      <c r="Z381" t="s">
        <v>23</v>
      </c>
      <c r="AA381" t="s">
        <v>24</v>
      </c>
      <c r="AB381" s="3" t="s">
        <v>147</v>
      </c>
      <c r="AC381">
        <v>139</v>
      </c>
      <c r="AD381" s="3" t="str">
        <f t="shared" si="82"/>
        <v>139</v>
      </c>
      <c r="AF381" s="3" t="str">
        <f t="shared" si="83"/>
        <v>61</v>
      </c>
      <c r="AG381" t="s">
        <v>29</v>
      </c>
      <c r="AH381" s="3">
        <v>16.11</v>
      </c>
      <c r="AI381" s="3">
        <f t="shared" si="84"/>
        <v>16.11</v>
      </c>
      <c r="AJ381" t="s">
        <v>26</v>
      </c>
      <c r="AK381" t="str">
        <f>PROPER(Table1[[#This Row],[CVD Risk Level]])</f>
        <v>Intermediary</v>
      </c>
    </row>
    <row r="382" spans="1:37" x14ac:dyDescent="0.3">
      <c r="A382" t="s">
        <v>31</v>
      </c>
      <c r="B382">
        <v>58</v>
      </c>
      <c r="C382" s="8">
        <f t="shared" si="73"/>
        <v>58</v>
      </c>
      <c r="E382" s="8">
        <f t="shared" si="74"/>
        <v>87.348480000000009</v>
      </c>
      <c r="F382">
        <v>1.84</v>
      </c>
      <c r="G382" s="3">
        <f t="shared" si="75"/>
        <v>1.84</v>
      </c>
      <c r="H382">
        <v>25.8</v>
      </c>
      <c r="I382" s="5">
        <f t="shared" si="71"/>
        <v>25.8</v>
      </c>
      <c r="J382" s="16" t="str">
        <f t="shared" si="76"/>
        <v>Overweight</v>
      </c>
      <c r="K382">
        <v>70.599999999999994</v>
      </c>
      <c r="L382">
        <v>0.38400000000000001</v>
      </c>
      <c r="M382" s="11">
        <f t="shared" si="72"/>
        <v>0.38400000000000001</v>
      </c>
      <c r="N382" s="5">
        <f t="shared" si="77"/>
        <v>70.599999999999994</v>
      </c>
      <c r="O382">
        <v>276</v>
      </c>
      <c r="P382">
        <v>48</v>
      </c>
      <c r="Q382" s="8">
        <f t="shared" si="78"/>
        <v>48</v>
      </c>
      <c r="R382" s="8">
        <v>198</v>
      </c>
      <c r="S382" s="8">
        <f t="shared" si="79"/>
        <v>198</v>
      </c>
      <c r="T382" s="8">
        <f>(Table1[[#This Row],[Total Cholesterol (mg/dL)]]+Table1[[#This Row],[HDL (mg/dL)2]]+Table1[[#This Row],[Estimated LDL (mg/dL)2]])*5</f>
        <v>2610</v>
      </c>
      <c r="U382" s="8">
        <f>IF(O382="",Table1[[#This Row],[Estimated LDL (mg/dL)2]]+Table1[[#This Row],[HDL (mg/dL)2]]+(Table1[[#This Row],[Triglycerides]]/5),O382)</f>
        <v>276</v>
      </c>
      <c r="V382">
        <v>89</v>
      </c>
      <c r="W382" s="8">
        <f t="shared" si="80"/>
        <v>89</v>
      </c>
      <c r="X382" t="str">
        <f t="shared" si="81"/>
        <v>Normal</v>
      </c>
      <c r="Y382" t="s">
        <v>22</v>
      </c>
      <c r="Z382" t="s">
        <v>22</v>
      </c>
      <c r="AA382" t="s">
        <v>28</v>
      </c>
      <c r="AB382" s="3" t="s">
        <v>383</v>
      </c>
      <c r="AC382">
        <v>113</v>
      </c>
      <c r="AD382" s="3" t="str">
        <f t="shared" si="82"/>
        <v>113</v>
      </c>
      <c r="AE382">
        <v>96</v>
      </c>
      <c r="AF382" s="3" t="str">
        <f t="shared" si="83"/>
        <v>96</v>
      </c>
      <c r="AG382" t="s">
        <v>38</v>
      </c>
      <c r="AH382" s="3">
        <v>16.329999999999998</v>
      </c>
      <c r="AI382" s="3">
        <f t="shared" si="84"/>
        <v>16.329999999999998</v>
      </c>
      <c r="AJ382" t="s">
        <v>26</v>
      </c>
      <c r="AK382" t="str">
        <f>PROPER(Table1[[#This Row],[CVD Risk Level]])</f>
        <v>Intermediary</v>
      </c>
    </row>
    <row r="383" spans="1:37" x14ac:dyDescent="0.3">
      <c r="A383" t="s">
        <v>31</v>
      </c>
      <c r="B383">
        <v>53</v>
      </c>
      <c r="C383" s="8">
        <f t="shared" si="73"/>
        <v>53</v>
      </c>
      <c r="D383" s="5">
        <v>51.5</v>
      </c>
      <c r="E383" s="8">
        <f t="shared" si="74"/>
        <v>51.5</v>
      </c>
      <c r="F383">
        <v>1.85</v>
      </c>
      <c r="G383" s="3">
        <f t="shared" si="75"/>
        <v>1.85</v>
      </c>
      <c r="H383">
        <v>15</v>
      </c>
      <c r="I383" s="5">
        <f t="shared" si="71"/>
        <v>15</v>
      </c>
      <c r="J383" s="16" t="str">
        <f t="shared" si="76"/>
        <v>Underweight</v>
      </c>
      <c r="L383">
        <v>0.59299999999999997</v>
      </c>
      <c r="M383" s="11">
        <f t="shared" si="72"/>
        <v>0.59299999999999997</v>
      </c>
      <c r="N383" s="5">
        <f t="shared" si="77"/>
        <v>109.705</v>
      </c>
      <c r="O383">
        <v>167</v>
      </c>
      <c r="P383">
        <v>50</v>
      </c>
      <c r="Q383" s="8">
        <f t="shared" si="78"/>
        <v>50</v>
      </c>
      <c r="R383" s="8">
        <v>87</v>
      </c>
      <c r="S383" s="8">
        <f t="shared" si="79"/>
        <v>87</v>
      </c>
      <c r="T383" s="8">
        <f>(Table1[[#This Row],[Total Cholesterol (mg/dL)]]+Table1[[#This Row],[HDL (mg/dL)2]]+Table1[[#This Row],[Estimated LDL (mg/dL)2]])*5</f>
        <v>1520</v>
      </c>
      <c r="U383" s="8">
        <f>IF(O383="",Table1[[#This Row],[Estimated LDL (mg/dL)2]]+Table1[[#This Row],[HDL (mg/dL)2]]+(Table1[[#This Row],[Triglycerides]]/5),O383)</f>
        <v>167</v>
      </c>
      <c r="V383">
        <v>117</v>
      </c>
      <c r="W383" s="8">
        <f t="shared" si="80"/>
        <v>117</v>
      </c>
      <c r="X383" t="str">
        <f t="shared" si="81"/>
        <v>Prediabetes</v>
      </c>
      <c r="Y383" t="s">
        <v>22</v>
      </c>
      <c r="Z383" t="s">
        <v>22</v>
      </c>
      <c r="AA383" t="s">
        <v>24</v>
      </c>
      <c r="AB383" s="3" t="s">
        <v>384</v>
      </c>
      <c r="AC383">
        <v>108</v>
      </c>
      <c r="AD383" s="3" t="str">
        <f t="shared" si="82"/>
        <v>108</v>
      </c>
      <c r="AE383">
        <v>61</v>
      </c>
      <c r="AF383" s="3" t="str">
        <f t="shared" si="83"/>
        <v>61</v>
      </c>
      <c r="AG383" t="s">
        <v>33</v>
      </c>
      <c r="AH383" s="3">
        <v>11.74</v>
      </c>
      <c r="AI383" s="3">
        <f t="shared" si="84"/>
        <v>11.74</v>
      </c>
      <c r="AJ383" t="s">
        <v>26</v>
      </c>
      <c r="AK383" t="str">
        <f>PROPER(Table1[[#This Row],[CVD Risk Level]])</f>
        <v>Intermediary</v>
      </c>
    </row>
    <row r="384" spans="1:37" x14ac:dyDescent="0.3">
      <c r="A384" t="s">
        <v>31</v>
      </c>
      <c r="C384" s="8">
        <f t="shared" si="73"/>
        <v>47.025499655410059</v>
      </c>
      <c r="D384" s="5">
        <v>82.2</v>
      </c>
      <c r="E384" s="8">
        <f t="shared" si="74"/>
        <v>82.2</v>
      </c>
      <c r="F384">
        <v>1.77</v>
      </c>
      <c r="G384" s="3">
        <f t="shared" si="75"/>
        <v>1.77</v>
      </c>
      <c r="H384">
        <v>26.2</v>
      </c>
      <c r="I384" s="5">
        <f t="shared" si="71"/>
        <v>26.2</v>
      </c>
      <c r="J384" s="16" t="str">
        <f t="shared" si="76"/>
        <v>Overweight</v>
      </c>
      <c r="K384">
        <v>108.4</v>
      </c>
      <c r="L384">
        <v>0.61199999999999999</v>
      </c>
      <c r="M384" s="11">
        <f t="shared" si="72"/>
        <v>0.61199999999999999</v>
      </c>
      <c r="N384" s="5">
        <f t="shared" si="77"/>
        <v>108.4</v>
      </c>
      <c r="O384">
        <v>237</v>
      </c>
      <c r="P384">
        <v>72</v>
      </c>
      <c r="Q384" s="8">
        <f t="shared" si="78"/>
        <v>72</v>
      </c>
      <c r="R384" s="8">
        <v>135</v>
      </c>
      <c r="S384" s="8">
        <f>IF(R384&lt;=0,MEDIAN($R$2:$R$1530),R384)</f>
        <v>135</v>
      </c>
      <c r="T384" s="8">
        <f>(Table1[[#This Row],[Total Cholesterol (mg/dL)]]+Table1[[#This Row],[HDL (mg/dL)2]]+Table1[[#This Row],[Estimated LDL (mg/dL)2]])*5</f>
        <v>2220</v>
      </c>
      <c r="U384" s="8">
        <f>IF(O384="",Table1[[#This Row],[Estimated LDL (mg/dL)2]]+Table1[[#This Row],[HDL (mg/dL)2]]+(Table1[[#This Row],[Triglycerides]]/5),O384)</f>
        <v>237</v>
      </c>
      <c r="V384">
        <v>128</v>
      </c>
      <c r="W384" s="8">
        <f t="shared" si="80"/>
        <v>128</v>
      </c>
      <c r="X384" t="str">
        <f t="shared" si="81"/>
        <v>Diabetes</v>
      </c>
      <c r="Y384" t="s">
        <v>23</v>
      </c>
      <c r="Z384" t="s">
        <v>23</v>
      </c>
      <c r="AA384" t="s">
        <v>24</v>
      </c>
      <c r="AB384" s="3" t="s">
        <v>385</v>
      </c>
      <c r="AC384">
        <v>105</v>
      </c>
      <c r="AD384" s="3" t="str">
        <f t="shared" si="82"/>
        <v>105</v>
      </c>
      <c r="AE384">
        <v>88</v>
      </c>
      <c r="AF384" s="3" t="str">
        <f t="shared" si="83"/>
        <v>88</v>
      </c>
      <c r="AG384" t="s">
        <v>29</v>
      </c>
      <c r="AH384" s="3">
        <v>17.23</v>
      </c>
      <c r="AI384" s="3">
        <f t="shared" si="84"/>
        <v>17.23</v>
      </c>
      <c r="AJ384" t="s">
        <v>30</v>
      </c>
      <c r="AK384" t="str">
        <f>PROPER(Table1[[#This Row],[CVD Risk Level]])</f>
        <v>High</v>
      </c>
    </row>
    <row r="385" spans="1:37" x14ac:dyDescent="0.3">
      <c r="A385" t="s">
        <v>20</v>
      </c>
      <c r="B385">
        <v>35</v>
      </c>
      <c r="C385" s="8">
        <f t="shared" si="73"/>
        <v>35</v>
      </c>
      <c r="D385" s="5">
        <v>101.7</v>
      </c>
      <c r="E385" s="8">
        <f t="shared" si="74"/>
        <v>101.7</v>
      </c>
      <c r="F385">
        <v>1.68</v>
      </c>
      <c r="G385" s="3">
        <f t="shared" si="75"/>
        <v>1.68</v>
      </c>
      <c r="H385">
        <v>36</v>
      </c>
      <c r="I385" s="5">
        <f t="shared" si="71"/>
        <v>36</v>
      </c>
      <c r="J385" s="16" t="str">
        <f t="shared" si="76"/>
        <v>Obese</v>
      </c>
      <c r="K385">
        <v>107.2</v>
      </c>
      <c r="L385">
        <v>0.63800000000000001</v>
      </c>
      <c r="M385" s="11">
        <f t="shared" si="72"/>
        <v>0.63800000000000001</v>
      </c>
      <c r="N385" s="5">
        <f t="shared" si="77"/>
        <v>107.2</v>
      </c>
      <c r="O385">
        <v>160</v>
      </c>
      <c r="P385">
        <v>41</v>
      </c>
      <c r="Q385" s="8">
        <f t="shared" si="78"/>
        <v>41</v>
      </c>
      <c r="R385" s="8">
        <v>89</v>
      </c>
      <c r="S385" s="8">
        <f t="shared" si="79"/>
        <v>89</v>
      </c>
      <c r="T385" s="8">
        <f>(Table1[[#This Row],[Total Cholesterol (mg/dL)]]+Table1[[#This Row],[HDL (mg/dL)2]]+Table1[[#This Row],[Estimated LDL (mg/dL)2]])*5</f>
        <v>1450</v>
      </c>
      <c r="U385" s="8">
        <f>IF(O385="",Table1[[#This Row],[Estimated LDL (mg/dL)2]]+Table1[[#This Row],[HDL (mg/dL)2]]+(Table1[[#This Row],[Triglycerides]]/5),O385)</f>
        <v>160</v>
      </c>
      <c r="V385">
        <v>86</v>
      </c>
      <c r="W385" s="8">
        <f t="shared" si="80"/>
        <v>86</v>
      </c>
      <c r="X385" t="str">
        <f t="shared" si="81"/>
        <v>Normal</v>
      </c>
      <c r="Y385" t="s">
        <v>22</v>
      </c>
      <c r="Z385" t="s">
        <v>22</v>
      </c>
      <c r="AA385" t="s">
        <v>28</v>
      </c>
      <c r="AB385" s="3" t="s">
        <v>386</v>
      </c>
      <c r="AC385">
        <v>143</v>
      </c>
      <c r="AD385" s="3" t="str">
        <f t="shared" si="82"/>
        <v>143</v>
      </c>
      <c r="AE385">
        <v>98</v>
      </c>
      <c r="AF385" s="3" t="str">
        <f t="shared" si="83"/>
        <v>98</v>
      </c>
      <c r="AG385" t="s">
        <v>38</v>
      </c>
      <c r="AH385" s="3">
        <v>17.55</v>
      </c>
      <c r="AI385" s="3">
        <f t="shared" si="84"/>
        <v>17.55</v>
      </c>
      <c r="AJ385" t="s">
        <v>26</v>
      </c>
      <c r="AK385" t="str">
        <f>PROPER(Table1[[#This Row],[CVD Risk Level]])</f>
        <v>Intermediary</v>
      </c>
    </row>
    <row r="386" spans="1:37" x14ac:dyDescent="0.3">
      <c r="A386" t="s">
        <v>20</v>
      </c>
      <c r="B386">
        <v>60</v>
      </c>
      <c r="C386" s="8">
        <f t="shared" si="73"/>
        <v>60</v>
      </c>
      <c r="D386" s="5">
        <v>93</v>
      </c>
      <c r="E386" s="8">
        <f t="shared" si="74"/>
        <v>93</v>
      </c>
      <c r="F386">
        <v>1.89</v>
      </c>
      <c r="G386" s="3">
        <f t="shared" si="75"/>
        <v>1.89</v>
      </c>
      <c r="H386">
        <v>26</v>
      </c>
      <c r="I386" s="5">
        <f t="shared" ref="I386:I449" si="85" xml:space="preserve"> IF(H386="",E386 / (G386^2),H386)</f>
        <v>26</v>
      </c>
      <c r="J386" s="16" t="str">
        <f t="shared" si="76"/>
        <v>Overweight</v>
      </c>
      <c r="K386">
        <v>85.3</v>
      </c>
      <c r="L386">
        <v>0.45100000000000001</v>
      </c>
      <c r="M386" s="11">
        <f t="shared" ref="M386:M449" si="86">IF(L386="",K386/(G386*100),L386)</f>
        <v>0.45100000000000001</v>
      </c>
      <c r="N386" s="5">
        <f t="shared" si="77"/>
        <v>85.3</v>
      </c>
      <c r="O386">
        <v>124</v>
      </c>
      <c r="P386">
        <v>49</v>
      </c>
      <c r="Q386" s="8">
        <f t="shared" si="78"/>
        <v>49</v>
      </c>
      <c r="R386" s="8">
        <v>45</v>
      </c>
      <c r="S386" s="8">
        <f t="shared" si="79"/>
        <v>45</v>
      </c>
      <c r="T386" s="8">
        <f>(Table1[[#This Row],[Total Cholesterol (mg/dL)]]+Table1[[#This Row],[HDL (mg/dL)2]]+Table1[[#This Row],[Estimated LDL (mg/dL)2]])*5</f>
        <v>1090</v>
      </c>
      <c r="U386" s="8">
        <f>IF(O386="",Table1[[#This Row],[Estimated LDL (mg/dL)2]]+Table1[[#This Row],[HDL (mg/dL)2]]+(Table1[[#This Row],[Triglycerides]]/5),O386)</f>
        <v>124</v>
      </c>
      <c r="V386">
        <v>103</v>
      </c>
      <c r="W386" s="8">
        <f t="shared" si="80"/>
        <v>103</v>
      </c>
      <c r="X386" t="str">
        <f t="shared" si="81"/>
        <v>Prediabetes</v>
      </c>
      <c r="Y386" t="s">
        <v>23</v>
      </c>
      <c r="Z386" t="s">
        <v>23</v>
      </c>
      <c r="AA386" t="s">
        <v>37</v>
      </c>
      <c r="AB386" s="3" t="s">
        <v>387</v>
      </c>
      <c r="AC386">
        <v>117</v>
      </c>
      <c r="AD386" s="3" t="str">
        <f t="shared" si="82"/>
        <v>117</v>
      </c>
      <c r="AE386">
        <v>84</v>
      </c>
      <c r="AF386" s="3" t="str">
        <f t="shared" si="83"/>
        <v>84</v>
      </c>
      <c r="AG386" t="s">
        <v>29</v>
      </c>
      <c r="AH386" s="3">
        <v>15.53</v>
      </c>
      <c r="AI386" s="3">
        <f t="shared" si="84"/>
        <v>15.53</v>
      </c>
      <c r="AJ386" t="s">
        <v>30</v>
      </c>
      <c r="AK386" t="str">
        <f>PROPER(Table1[[#This Row],[CVD Risk Level]])</f>
        <v>High</v>
      </c>
    </row>
    <row r="387" spans="1:37" x14ac:dyDescent="0.3">
      <c r="A387" t="s">
        <v>20</v>
      </c>
      <c r="B387">
        <v>30</v>
      </c>
      <c r="C387" s="8">
        <f t="shared" ref="C387:C450" si="87">IF(B387="",AVERAGE($B$2:$B$1530),B387)</f>
        <v>30</v>
      </c>
      <c r="D387" s="5">
        <v>115</v>
      </c>
      <c r="E387" s="8">
        <f t="shared" ref="E387:E450" si="88">IF(D387="", H387*(F387^2),D387)</f>
        <v>115</v>
      </c>
      <c r="F387">
        <v>1.83</v>
      </c>
      <c r="G387" s="3">
        <f t="shared" ref="G387:G450" si="89">IF(F387="", SQRT(E387 / H387),F387)</f>
        <v>1.83</v>
      </c>
      <c r="H387">
        <v>34.299999999999997</v>
      </c>
      <c r="I387" s="5">
        <f t="shared" si="85"/>
        <v>34.299999999999997</v>
      </c>
      <c r="J387" s="16" t="str">
        <f t="shared" ref="J387:J450" si="90">IF(I387&lt;18.5,"Underweight",IF(I387&lt;25,"Normal",IF(I387&lt;30,"Overweight","Obese")))</f>
        <v>Obese</v>
      </c>
      <c r="K387">
        <v>93.6</v>
      </c>
      <c r="L387">
        <v>0.51100000000000001</v>
      </c>
      <c r="M387" s="11">
        <f t="shared" si="86"/>
        <v>0.51100000000000001</v>
      </c>
      <c r="N387" s="5">
        <f t="shared" ref="N387:N450" si="91">IF(K387="",M387*(G387*100),K387)</f>
        <v>93.6</v>
      </c>
      <c r="O387">
        <v>100</v>
      </c>
      <c r="P387">
        <v>31</v>
      </c>
      <c r="Q387" s="8">
        <f t="shared" ref="Q387:Q450" si="92">IF(P387="",AVERAGE($P$2:$P$1530),P387)</f>
        <v>31</v>
      </c>
      <c r="R387" s="8">
        <v>39</v>
      </c>
      <c r="S387" s="8">
        <f t="shared" ref="S387:S450" si="93">IF(R387&lt;=0,MEDIAN($R$2:$R$1530),R387)</f>
        <v>39</v>
      </c>
      <c r="T387" s="8">
        <f>(Table1[[#This Row],[Total Cholesterol (mg/dL)]]+Table1[[#This Row],[HDL (mg/dL)2]]+Table1[[#This Row],[Estimated LDL (mg/dL)2]])*5</f>
        <v>850</v>
      </c>
      <c r="U387" s="8">
        <f>IF(O387="",Table1[[#This Row],[Estimated LDL (mg/dL)2]]+Table1[[#This Row],[HDL (mg/dL)2]]+(Table1[[#This Row],[Triglycerides]]/5),O387)</f>
        <v>100</v>
      </c>
      <c r="V387">
        <v>125</v>
      </c>
      <c r="W387" s="8">
        <f t="shared" ref="W387:W450" si="94">IF(V387="",AVERAGE($V$2:$V$1530),V387)</f>
        <v>125</v>
      </c>
      <c r="X387" t="str">
        <f t="shared" ref="X387:X450" si="95">IF(W387&lt;100,"Normal",IF(W387&lt;126,"Prediabetes","Diabetes"))</f>
        <v>Prediabetes</v>
      </c>
      <c r="Y387" t="s">
        <v>23</v>
      </c>
      <c r="Z387" t="s">
        <v>22</v>
      </c>
      <c r="AA387" t="s">
        <v>37</v>
      </c>
      <c r="AB387" s="3" t="s">
        <v>388</v>
      </c>
      <c r="AC387">
        <v>139</v>
      </c>
      <c r="AD387" s="3" t="str">
        <f t="shared" ref="AD387:AD450" si="96">LEFT(AB387,FIND("/",AB387)-1)</f>
        <v>139</v>
      </c>
      <c r="AE387">
        <v>79</v>
      </c>
      <c r="AF387" s="3" t="str">
        <f t="shared" ref="AF387:AF450" si="97">RIGHT(AB387,LEN(AB387)-FIND("/",AB387))</f>
        <v>79</v>
      </c>
      <c r="AG387" t="s">
        <v>29</v>
      </c>
      <c r="AH387" s="3">
        <v>15.81</v>
      </c>
      <c r="AI387" s="3">
        <f t="shared" ref="AI387:AI450" si="98">IF(AH387="",AVERAGE($AH$2:$AH$1530),AH387)</f>
        <v>15.81</v>
      </c>
      <c r="AJ387" t="s">
        <v>26</v>
      </c>
      <c r="AK387" t="str">
        <f>PROPER(Table1[[#This Row],[CVD Risk Level]])</f>
        <v>Intermediary</v>
      </c>
    </row>
    <row r="388" spans="1:37" x14ac:dyDescent="0.3">
      <c r="A388" t="s">
        <v>31</v>
      </c>
      <c r="B388">
        <v>58</v>
      </c>
      <c r="C388" s="8">
        <f t="shared" si="87"/>
        <v>58</v>
      </c>
      <c r="D388" s="5">
        <v>77.400000000000006</v>
      </c>
      <c r="E388" s="8">
        <f t="shared" si="88"/>
        <v>77.400000000000006</v>
      </c>
      <c r="F388">
        <v>1.65</v>
      </c>
      <c r="G388" s="3">
        <f t="shared" si="89"/>
        <v>1.65</v>
      </c>
      <c r="H388">
        <v>28.4</v>
      </c>
      <c r="I388" s="5">
        <f t="shared" si="85"/>
        <v>28.4</v>
      </c>
      <c r="J388" s="16" t="str">
        <f t="shared" si="90"/>
        <v>Overweight</v>
      </c>
      <c r="K388">
        <v>80.5</v>
      </c>
      <c r="L388">
        <v>0.48799999999999999</v>
      </c>
      <c r="M388" s="11">
        <f t="shared" si="86"/>
        <v>0.48799999999999999</v>
      </c>
      <c r="N388" s="5">
        <f t="shared" si="91"/>
        <v>80.5</v>
      </c>
      <c r="O388">
        <v>265</v>
      </c>
      <c r="P388">
        <v>31</v>
      </c>
      <c r="Q388" s="8">
        <f t="shared" si="92"/>
        <v>31</v>
      </c>
      <c r="R388" s="8">
        <v>204</v>
      </c>
      <c r="S388" s="8">
        <f t="shared" si="93"/>
        <v>204</v>
      </c>
      <c r="T388" s="8">
        <f>(Table1[[#This Row],[Total Cholesterol (mg/dL)]]+Table1[[#This Row],[HDL (mg/dL)2]]+Table1[[#This Row],[Estimated LDL (mg/dL)2]])*5</f>
        <v>2500</v>
      </c>
      <c r="U388" s="8">
        <f>IF(O388="",Table1[[#This Row],[Estimated LDL (mg/dL)2]]+Table1[[#This Row],[HDL (mg/dL)2]]+(Table1[[#This Row],[Triglycerides]]/5),O388)</f>
        <v>265</v>
      </c>
      <c r="V388">
        <v>79</v>
      </c>
      <c r="W388" s="8">
        <f t="shared" si="94"/>
        <v>79</v>
      </c>
      <c r="X388" t="str">
        <f t="shared" si="95"/>
        <v>Normal</v>
      </c>
      <c r="Y388" t="s">
        <v>22</v>
      </c>
      <c r="Z388" t="s">
        <v>22</v>
      </c>
      <c r="AA388" t="s">
        <v>37</v>
      </c>
      <c r="AB388" s="3" t="s">
        <v>109</v>
      </c>
      <c r="AC388">
        <v>98</v>
      </c>
      <c r="AD388" s="3" t="str">
        <f t="shared" si="96"/>
        <v>98</v>
      </c>
      <c r="AE388">
        <v>63</v>
      </c>
      <c r="AF388" s="3" t="str">
        <f t="shared" si="97"/>
        <v>63</v>
      </c>
      <c r="AG388" t="s">
        <v>33</v>
      </c>
      <c r="AH388" s="3">
        <v>15.88</v>
      </c>
      <c r="AI388" s="3">
        <f t="shared" si="98"/>
        <v>15.88</v>
      </c>
      <c r="AJ388" t="s">
        <v>30</v>
      </c>
      <c r="AK388" t="str">
        <f>PROPER(Table1[[#This Row],[CVD Risk Level]])</f>
        <v>High</v>
      </c>
    </row>
    <row r="389" spans="1:37" x14ac:dyDescent="0.3">
      <c r="A389" t="s">
        <v>31</v>
      </c>
      <c r="B389">
        <v>48</v>
      </c>
      <c r="C389" s="8">
        <f t="shared" si="87"/>
        <v>48</v>
      </c>
      <c r="D389" s="5">
        <v>110.8</v>
      </c>
      <c r="E389" s="8">
        <f t="shared" si="88"/>
        <v>110.8</v>
      </c>
      <c r="F389">
        <v>1.82</v>
      </c>
      <c r="G389" s="3">
        <f t="shared" si="89"/>
        <v>1.82</v>
      </c>
      <c r="H389">
        <v>33.5</v>
      </c>
      <c r="I389" s="5">
        <f t="shared" si="85"/>
        <v>33.5</v>
      </c>
      <c r="J389" s="16" t="str">
        <f t="shared" si="90"/>
        <v>Obese</v>
      </c>
      <c r="K389">
        <v>108.3</v>
      </c>
      <c r="L389">
        <v>0.59499999999999997</v>
      </c>
      <c r="M389" s="11">
        <f t="shared" si="86"/>
        <v>0.59499999999999997</v>
      </c>
      <c r="N389" s="5">
        <f t="shared" si="91"/>
        <v>108.3</v>
      </c>
      <c r="O389">
        <v>177</v>
      </c>
      <c r="P389">
        <v>39</v>
      </c>
      <c r="Q389" s="8">
        <f t="shared" si="92"/>
        <v>39</v>
      </c>
      <c r="R389" s="8">
        <v>108</v>
      </c>
      <c r="S389" s="8">
        <f t="shared" si="93"/>
        <v>108</v>
      </c>
      <c r="T389" s="8">
        <f>(Table1[[#This Row],[Total Cholesterol (mg/dL)]]+Table1[[#This Row],[HDL (mg/dL)2]]+Table1[[#This Row],[Estimated LDL (mg/dL)2]])*5</f>
        <v>1620</v>
      </c>
      <c r="U389" s="8">
        <f>IF(O389="",Table1[[#This Row],[Estimated LDL (mg/dL)2]]+Table1[[#This Row],[HDL (mg/dL)2]]+(Table1[[#This Row],[Triglycerides]]/5),O389)</f>
        <v>177</v>
      </c>
      <c r="V389">
        <v>82</v>
      </c>
      <c r="W389" s="8">
        <f t="shared" si="94"/>
        <v>82</v>
      </c>
      <c r="X389" t="str">
        <f t="shared" si="95"/>
        <v>Normal</v>
      </c>
      <c r="Y389" t="s">
        <v>22</v>
      </c>
      <c r="Z389" t="s">
        <v>23</v>
      </c>
      <c r="AA389" t="s">
        <v>28</v>
      </c>
      <c r="AB389" s="3" t="s">
        <v>389</v>
      </c>
      <c r="AC389">
        <v>120</v>
      </c>
      <c r="AD389" s="3" t="str">
        <f t="shared" si="96"/>
        <v>120</v>
      </c>
      <c r="AE389">
        <v>72</v>
      </c>
      <c r="AF389" s="3" t="str">
        <f t="shared" si="97"/>
        <v>72</v>
      </c>
      <c r="AG389" t="s">
        <v>25</v>
      </c>
      <c r="AH389" s="3">
        <v>18.239999999999998</v>
      </c>
      <c r="AI389" s="3">
        <f t="shared" si="98"/>
        <v>18.239999999999998</v>
      </c>
      <c r="AJ389" t="s">
        <v>30</v>
      </c>
      <c r="AK389" t="str">
        <f>PROPER(Table1[[#This Row],[CVD Risk Level]])</f>
        <v>High</v>
      </c>
    </row>
    <row r="390" spans="1:37" x14ac:dyDescent="0.3">
      <c r="A390" t="s">
        <v>20</v>
      </c>
      <c r="B390">
        <v>58</v>
      </c>
      <c r="C390" s="8">
        <f t="shared" si="87"/>
        <v>58</v>
      </c>
      <c r="E390" s="8">
        <f t="shared" si="88"/>
        <v>97.387500000000003</v>
      </c>
      <c r="F390">
        <v>1.75</v>
      </c>
      <c r="G390" s="3">
        <f t="shared" si="89"/>
        <v>1.75</v>
      </c>
      <c r="H390">
        <v>31.8</v>
      </c>
      <c r="I390" s="5">
        <f t="shared" si="85"/>
        <v>31.8</v>
      </c>
      <c r="J390" s="16" t="str">
        <f t="shared" si="90"/>
        <v>Obese</v>
      </c>
      <c r="K390">
        <v>71.400000000000006</v>
      </c>
      <c r="L390">
        <v>0.40799999999999997</v>
      </c>
      <c r="M390" s="11">
        <f t="shared" si="86"/>
        <v>0.40799999999999997</v>
      </c>
      <c r="N390" s="5">
        <f t="shared" si="91"/>
        <v>71.400000000000006</v>
      </c>
      <c r="O390">
        <v>272</v>
      </c>
      <c r="P390">
        <v>58</v>
      </c>
      <c r="Q390" s="8">
        <f t="shared" si="92"/>
        <v>58</v>
      </c>
      <c r="R390" s="8">
        <v>184</v>
      </c>
      <c r="S390" s="8">
        <f t="shared" si="93"/>
        <v>184</v>
      </c>
      <c r="T390" s="8">
        <f>(Table1[[#This Row],[Total Cholesterol (mg/dL)]]+Table1[[#This Row],[HDL (mg/dL)2]]+Table1[[#This Row],[Estimated LDL (mg/dL)2]])*5</f>
        <v>2570</v>
      </c>
      <c r="U390" s="8">
        <f>IF(O390="",Table1[[#This Row],[Estimated LDL (mg/dL)2]]+Table1[[#This Row],[HDL (mg/dL)2]]+(Table1[[#This Row],[Triglycerides]]/5),O390)</f>
        <v>272</v>
      </c>
      <c r="V390">
        <v>132</v>
      </c>
      <c r="W390" s="8">
        <f t="shared" si="94"/>
        <v>132</v>
      </c>
      <c r="X390" t="str">
        <f t="shared" si="95"/>
        <v>Diabetes</v>
      </c>
      <c r="Y390" t="s">
        <v>22</v>
      </c>
      <c r="Z390" t="s">
        <v>22</v>
      </c>
      <c r="AA390" t="s">
        <v>24</v>
      </c>
      <c r="AB390" s="3" t="s">
        <v>390</v>
      </c>
      <c r="AC390">
        <v>135</v>
      </c>
      <c r="AD390" s="3" t="str">
        <f t="shared" si="96"/>
        <v>135</v>
      </c>
      <c r="AE390">
        <v>88</v>
      </c>
      <c r="AF390" s="3" t="str">
        <f t="shared" si="97"/>
        <v>88</v>
      </c>
      <c r="AG390" t="s">
        <v>29</v>
      </c>
      <c r="AH390" s="3">
        <v>18.55</v>
      </c>
      <c r="AI390" s="3">
        <f t="shared" si="98"/>
        <v>18.55</v>
      </c>
      <c r="AJ390" t="s">
        <v>30</v>
      </c>
      <c r="AK390" t="str">
        <f>PROPER(Table1[[#This Row],[CVD Risk Level]])</f>
        <v>High</v>
      </c>
    </row>
    <row r="391" spans="1:37" x14ac:dyDescent="0.3">
      <c r="A391" t="s">
        <v>31</v>
      </c>
      <c r="B391">
        <v>53</v>
      </c>
      <c r="C391" s="8">
        <f t="shared" si="87"/>
        <v>53</v>
      </c>
      <c r="D391" s="5">
        <v>82.4</v>
      </c>
      <c r="E391" s="8">
        <f t="shared" si="88"/>
        <v>82.4</v>
      </c>
      <c r="F391">
        <v>1.74</v>
      </c>
      <c r="G391" s="3">
        <f t="shared" si="89"/>
        <v>1.74</v>
      </c>
      <c r="H391">
        <v>27.2</v>
      </c>
      <c r="I391" s="5">
        <f t="shared" si="85"/>
        <v>27.2</v>
      </c>
      <c r="J391" s="16" t="str">
        <f t="shared" si="90"/>
        <v>Overweight</v>
      </c>
      <c r="K391">
        <v>100.7</v>
      </c>
      <c r="L391">
        <v>0.57899999999999996</v>
      </c>
      <c r="M391" s="11">
        <f t="shared" si="86"/>
        <v>0.57899999999999996</v>
      </c>
      <c r="N391" s="5">
        <f t="shared" si="91"/>
        <v>100.7</v>
      </c>
      <c r="P391">
        <v>37</v>
      </c>
      <c r="Q391" s="8">
        <f t="shared" si="92"/>
        <v>37</v>
      </c>
      <c r="R391" s="8">
        <v>226</v>
      </c>
      <c r="S391" s="8">
        <f t="shared" si="93"/>
        <v>226</v>
      </c>
      <c r="T391" s="8">
        <f>(Table1[[#This Row],[Total Cholesterol (mg/dL)]]+Table1[[#This Row],[HDL (mg/dL)2]]+Table1[[#This Row],[Estimated LDL (mg/dL)2]])*5</f>
        <v>1315</v>
      </c>
      <c r="U391" s="8">
        <f>IF(O391="",Table1[[#This Row],[Estimated LDL (mg/dL)2]]+Table1[[#This Row],[HDL (mg/dL)2]]+(Table1[[#This Row],[Triglycerides]]/5),O391)</f>
        <v>526</v>
      </c>
      <c r="V391">
        <v>140</v>
      </c>
      <c r="W391" s="8">
        <f t="shared" si="94"/>
        <v>140</v>
      </c>
      <c r="X391" t="str">
        <f t="shared" si="95"/>
        <v>Diabetes</v>
      </c>
      <c r="Y391" t="s">
        <v>22</v>
      </c>
      <c r="Z391" t="s">
        <v>23</v>
      </c>
      <c r="AA391" t="s">
        <v>28</v>
      </c>
      <c r="AB391" s="3" t="s">
        <v>391</v>
      </c>
      <c r="AC391">
        <v>139</v>
      </c>
      <c r="AD391" s="3" t="str">
        <f t="shared" si="96"/>
        <v>139</v>
      </c>
      <c r="AE391">
        <v>63</v>
      </c>
      <c r="AF391" s="3" t="str">
        <f t="shared" si="97"/>
        <v>63</v>
      </c>
      <c r="AG391" t="s">
        <v>29</v>
      </c>
      <c r="AH391" s="3">
        <v>20.25</v>
      </c>
      <c r="AI391" s="3">
        <f t="shared" si="98"/>
        <v>20.25</v>
      </c>
      <c r="AJ391" t="s">
        <v>30</v>
      </c>
      <c r="AK391" t="str">
        <f>PROPER(Table1[[#This Row],[CVD Risk Level]])</f>
        <v>High</v>
      </c>
    </row>
    <row r="392" spans="1:37" x14ac:dyDescent="0.3">
      <c r="A392" t="s">
        <v>31</v>
      </c>
      <c r="B392">
        <v>52</v>
      </c>
      <c r="C392" s="8">
        <f t="shared" si="87"/>
        <v>52</v>
      </c>
      <c r="D392" s="5">
        <v>50.7</v>
      </c>
      <c r="E392" s="8">
        <f t="shared" si="88"/>
        <v>50.7</v>
      </c>
      <c r="F392">
        <v>1.69</v>
      </c>
      <c r="G392" s="3">
        <f t="shared" si="89"/>
        <v>1.69</v>
      </c>
      <c r="H392">
        <v>17.8</v>
      </c>
      <c r="I392" s="5">
        <f t="shared" si="85"/>
        <v>17.8</v>
      </c>
      <c r="J392" s="16" t="str">
        <f t="shared" si="90"/>
        <v>Underweight</v>
      </c>
      <c r="K392">
        <v>72.7</v>
      </c>
      <c r="L392">
        <v>0.43</v>
      </c>
      <c r="M392" s="11">
        <f t="shared" si="86"/>
        <v>0.43</v>
      </c>
      <c r="N392" s="5">
        <f t="shared" si="91"/>
        <v>72.7</v>
      </c>
      <c r="O392">
        <v>274</v>
      </c>
      <c r="P392">
        <v>33</v>
      </c>
      <c r="Q392" s="8">
        <f t="shared" si="92"/>
        <v>33</v>
      </c>
      <c r="R392" s="8">
        <v>211</v>
      </c>
      <c r="S392" s="8">
        <f t="shared" si="93"/>
        <v>211</v>
      </c>
      <c r="T392" s="8">
        <f>(Table1[[#This Row],[Total Cholesterol (mg/dL)]]+Table1[[#This Row],[HDL (mg/dL)2]]+Table1[[#This Row],[Estimated LDL (mg/dL)2]])*5</f>
        <v>2590</v>
      </c>
      <c r="U392" s="8">
        <f>IF(O392="",Table1[[#This Row],[Estimated LDL (mg/dL)2]]+Table1[[#This Row],[HDL (mg/dL)2]]+(Table1[[#This Row],[Triglycerides]]/5),O392)</f>
        <v>274</v>
      </c>
      <c r="V392">
        <v>143</v>
      </c>
      <c r="W392" s="8">
        <f t="shared" si="94"/>
        <v>143</v>
      </c>
      <c r="X392" t="str">
        <f t="shared" si="95"/>
        <v>Diabetes</v>
      </c>
      <c r="Y392" t="s">
        <v>22</v>
      </c>
      <c r="Z392" t="s">
        <v>23</v>
      </c>
      <c r="AA392" t="s">
        <v>24</v>
      </c>
      <c r="AB392" s="3" t="s">
        <v>392</v>
      </c>
      <c r="AC392">
        <v>107</v>
      </c>
      <c r="AD392" s="3" t="str">
        <f t="shared" si="96"/>
        <v>107</v>
      </c>
      <c r="AE392">
        <v>74</v>
      </c>
      <c r="AF392" s="3" t="str">
        <f t="shared" si="97"/>
        <v>74</v>
      </c>
      <c r="AG392" t="s">
        <v>33</v>
      </c>
      <c r="AH392" s="3">
        <v>16.39</v>
      </c>
      <c r="AI392" s="3">
        <f t="shared" si="98"/>
        <v>16.39</v>
      </c>
      <c r="AJ392" t="s">
        <v>30</v>
      </c>
      <c r="AK392" t="str">
        <f>PROPER(Table1[[#This Row],[CVD Risk Level]])</f>
        <v>High</v>
      </c>
    </row>
    <row r="393" spans="1:37" x14ac:dyDescent="0.3">
      <c r="A393" t="s">
        <v>31</v>
      </c>
      <c r="B393">
        <v>36</v>
      </c>
      <c r="C393" s="8">
        <f t="shared" si="87"/>
        <v>36</v>
      </c>
      <c r="D393" s="5">
        <v>110.4</v>
      </c>
      <c r="E393" s="8">
        <f t="shared" si="88"/>
        <v>110.4</v>
      </c>
      <c r="F393">
        <v>1.6</v>
      </c>
      <c r="G393" s="3">
        <f t="shared" si="89"/>
        <v>1.6</v>
      </c>
      <c r="H393">
        <v>43.1</v>
      </c>
      <c r="I393" s="5">
        <f t="shared" si="85"/>
        <v>43.1</v>
      </c>
      <c r="J393" s="16" t="str">
        <f t="shared" si="90"/>
        <v>Obese</v>
      </c>
      <c r="K393">
        <v>92.5</v>
      </c>
      <c r="L393">
        <v>0.57799999999999996</v>
      </c>
      <c r="M393" s="11">
        <f t="shared" si="86"/>
        <v>0.57799999999999996</v>
      </c>
      <c r="N393" s="5">
        <f t="shared" si="91"/>
        <v>92.5</v>
      </c>
      <c r="O393">
        <v>159</v>
      </c>
      <c r="P393">
        <v>38</v>
      </c>
      <c r="Q393" s="8">
        <f t="shared" si="92"/>
        <v>38</v>
      </c>
      <c r="R393" s="8">
        <v>91</v>
      </c>
      <c r="S393" s="8">
        <f t="shared" si="93"/>
        <v>91</v>
      </c>
      <c r="T393" s="8">
        <f>(Table1[[#This Row],[Total Cholesterol (mg/dL)]]+Table1[[#This Row],[HDL (mg/dL)2]]+Table1[[#This Row],[Estimated LDL (mg/dL)2]])*5</f>
        <v>1440</v>
      </c>
      <c r="U393" s="8">
        <f>IF(O393="",Table1[[#This Row],[Estimated LDL (mg/dL)2]]+Table1[[#This Row],[HDL (mg/dL)2]]+(Table1[[#This Row],[Triglycerides]]/5),O393)</f>
        <v>159</v>
      </c>
      <c r="V393">
        <v>95</v>
      </c>
      <c r="W393" s="8">
        <f t="shared" si="94"/>
        <v>95</v>
      </c>
      <c r="X393" t="str">
        <f t="shared" si="95"/>
        <v>Normal</v>
      </c>
      <c r="Y393" t="s">
        <v>23</v>
      </c>
      <c r="Z393" t="s">
        <v>23</v>
      </c>
      <c r="AA393" t="s">
        <v>37</v>
      </c>
      <c r="AB393" s="3" t="s">
        <v>393</v>
      </c>
      <c r="AC393">
        <v>123</v>
      </c>
      <c r="AD393" s="3" t="str">
        <f t="shared" si="96"/>
        <v>123</v>
      </c>
      <c r="AE393">
        <v>93</v>
      </c>
      <c r="AF393" s="3" t="str">
        <f t="shared" si="97"/>
        <v>93</v>
      </c>
      <c r="AG393" t="s">
        <v>38</v>
      </c>
      <c r="AH393" s="3">
        <v>19.95</v>
      </c>
      <c r="AI393" s="3">
        <f t="shared" si="98"/>
        <v>19.95</v>
      </c>
      <c r="AJ393" t="s">
        <v>30</v>
      </c>
      <c r="AK393" t="str">
        <f>PROPER(Table1[[#This Row],[CVD Risk Level]])</f>
        <v>High</v>
      </c>
    </row>
    <row r="394" spans="1:37" x14ac:dyDescent="0.3">
      <c r="A394" t="s">
        <v>20</v>
      </c>
      <c r="B394">
        <v>43</v>
      </c>
      <c r="C394" s="8">
        <f t="shared" si="87"/>
        <v>43</v>
      </c>
      <c r="D394" s="5">
        <v>62.7</v>
      </c>
      <c r="E394" s="8">
        <f t="shared" si="88"/>
        <v>62.7</v>
      </c>
      <c r="F394">
        <v>1.83</v>
      </c>
      <c r="G394" s="3">
        <f t="shared" si="89"/>
        <v>1.83</v>
      </c>
      <c r="I394" s="5">
        <f t="shared" si="85"/>
        <v>18.722565618561315</v>
      </c>
      <c r="J394" s="16" t="str">
        <f t="shared" si="90"/>
        <v>Normal</v>
      </c>
      <c r="K394">
        <v>72.5</v>
      </c>
      <c r="M394" s="11">
        <f t="shared" si="86"/>
        <v>0.39617486338797814</v>
      </c>
      <c r="N394" s="5">
        <f t="shared" si="91"/>
        <v>72.5</v>
      </c>
      <c r="O394">
        <v>134</v>
      </c>
      <c r="P394">
        <v>55</v>
      </c>
      <c r="Q394" s="8">
        <f t="shared" si="92"/>
        <v>55</v>
      </c>
      <c r="R394" s="8">
        <v>49</v>
      </c>
      <c r="S394" s="8">
        <f t="shared" si="93"/>
        <v>49</v>
      </c>
      <c r="T394" s="8">
        <f>(Table1[[#This Row],[Total Cholesterol (mg/dL)]]+Table1[[#This Row],[HDL (mg/dL)2]]+Table1[[#This Row],[Estimated LDL (mg/dL)2]])*5</f>
        <v>1190</v>
      </c>
      <c r="U394" s="8">
        <f>IF(O394="",Table1[[#This Row],[Estimated LDL (mg/dL)2]]+Table1[[#This Row],[HDL (mg/dL)2]]+(Table1[[#This Row],[Triglycerides]]/5),O394)</f>
        <v>134</v>
      </c>
      <c r="V394">
        <v>92</v>
      </c>
      <c r="W394" s="8">
        <f t="shared" si="94"/>
        <v>92</v>
      </c>
      <c r="X394" t="str">
        <f t="shared" si="95"/>
        <v>Normal</v>
      </c>
      <c r="Y394" t="s">
        <v>23</v>
      </c>
      <c r="Z394" t="s">
        <v>23</v>
      </c>
      <c r="AA394" t="s">
        <v>24</v>
      </c>
      <c r="AB394" s="3" t="s">
        <v>394</v>
      </c>
      <c r="AC394">
        <v>148</v>
      </c>
      <c r="AD394" s="3" t="str">
        <f t="shared" si="96"/>
        <v>148</v>
      </c>
      <c r="AE394">
        <v>85</v>
      </c>
      <c r="AF394" s="3" t="str">
        <f t="shared" si="97"/>
        <v>85</v>
      </c>
      <c r="AG394" t="s">
        <v>29</v>
      </c>
      <c r="AH394" s="3">
        <v>15.82</v>
      </c>
      <c r="AI394" s="3">
        <f t="shared" si="98"/>
        <v>15.82</v>
      </c>
      <c r="AJ394" t="s">
        <v>26</v>
      </c>
      <c r="AK394" t="str">
        <f>PROPER(Table1[[#This Row],[CVD Risk Level]])</f>
        <v>Intermediary</v>
      </c>
    </row>
    <row r="395" spans="1:37" x14ac:dyDescent="0.3">
      <c r="A395" t="s">
        <v>20</v>
      </c>
      <c r="B395">
        <v>60</v>
      </c>
      <c r="C395" s="8">
        <f t="shared" si="87"/>
        <v>60</v>
      </c>
      <c r="D395" s="5">
        <v>96.7</v>
      </c>
      <c r="E395" s="8">
        <f t="shared" si="88"/>
        <v>96.7</v>
      </c>
      <c r="F395">
        <v>1.82</v>
      </c>
      <c r="G395" s="3">
        <f t="shared" si="89"/>
        <v>1.82</v>
      </c>
      <c r="H395">
        <v>29.2</v>
      </c>
      <c r="I395" s="5">
        <f t="shared" si="85"/>
        <v>29.2</v>
      </c>
      <c r="J395" s="16" t="str">
        <f t="shared" si="90"/>
        <v>Overweight</v>
      </c>
      <c r="L395">
        <v>0.40100000000000002</v>
      </c>
      <c r="M395" s="11">
        <f t="shared" si="86"/>
        <v>0.40100000000000002</v>
      </c>
      <c r="N395" s="5">
        <f t="shared" si="91"/>
        <v>72.981999999999999</v>
      </c>
      <c r="O395">
        <v>195</v>
      </c>
      <c r="P395">
        <v>57</v>
      </c>
      <c r="Q395" s="8">
        <f t="shared" si="92"/>
        <v>57</v>
      </c>
      <c r="R395" s="8">
        <v>108</v>
      </c>
      <c r="S395" s="8">
        <f t="shared" si="93"/>
        <v>108</v>
      </c>
      <c r="T395" s="8">
        <f>(Table1[[#This Row],[Total Cholesterol (mg/dL)]]+Table1[[#This Row],[HDL (mg/dL)2]]+Table1[[#This Row],[Estimated LDL (mg/dL)2]])*5</f>
        <v>1800</v>
      </c>
      <c r="U395" s="8">
        <f>IF(O395="",Table1[[#This Row],[Estimated LDL (mg/dL)2]]+Table1[[#This Row],[HDL (mg/dL)2]]+(Table1[[#This Row],[Triglycerides]]/5),O395)</f>
        <v>195</v>
      </c>
      <c r="V395">
        <v>120</v>
      </c>
      <c r="W395" s="8">
        <f t="shared" si="94"/>
        <v>120</v>
      </c>
      <c r="X395" t="str">
        <f t="shared" si="95"/>
        <v>Prediabetes</v>
      </c>
      <c r="Y395" t="s">
        <v>23</v>
      </c>
      <c r="Z395" t="s">
        <v>22</v>
      </c>
      <c r="AA395" t="s">
        <v>28</v>
      </c>
      <c r="AB395" s="3" t="s">
        <v>395</v>
      </c>
      <c r="AC395">
        <v>122</v>
      </c>
      <c r="AD395" s="3" t="str">
        <f t="shared" si="96"/>
        <v>122</v>
      </c>
      <c r="AE395">
        <v>71</v>
      </c>
      <c r="AF395" s="3" t="str">
        <f t="shared" si="97"/>
        <v>71</v>
      </c>
      <c r="AG395" t="s">
        <v>25</v>
      </c>
      <c r="AH395" s="3">
        <v>15.84</v>
      </c>
      <c r="AI395" s="3">
        <f t="shared" si="98"/>
        <v>15.84</v>
      </c>
      <c r="AJ395" t="s">
        <v>26</v>
      </c>
      <c r="AK395" t="str">
        <f>PROPER(Table1[[#This Row],[CVD Risk Level]])</f>
        <v>Intermediary</v>
      </c>
    </row>
    <row r="396" spans="1:37" x14ac:dyDescent="0.3">
      <c r="A396" t="s">
        <v>20</v>
      </c>
      <c r="B396">
        <v>49</v>
      </c>
      <c r="C396" s="8">
        <f t="shared" si="87"/>
        <v>49</v>
      </c>
      <c r="D396" s="5">
        <v>110.5</v>
      </c>
      <c r="E396" s="8">
        <f t="shared" si="88"/>
        <v>110.5</v>
      </c>
      <c r="F396">
        <v>1.72</v>
      </c>
      <c r="G396" s="3">
        <f t="shared" si="89"/>
        <v>1.72</v>
      </c>
      <c r="H396">
        <v>37.4</v>
      </c>
      <c r="I396" s="5">
        <f t="shared" si="85"/>
        <v>37.4</v>
      </c>
      <c r="J396" s="16" t="str">
        <f t="shared" si="90"/>
        <v>Obese</v>
      </c>
      <c r="K396">
        <v>70.8</v>
      </c>
      <c r="L396">
        <v>0.41199999999999998</v>
      </c>
      <c r="M396" s="11">
        <f t="shared" si="86"/>
        <v>0.41199999999999998</v>
      </c>
      <c r="N396" s="5">
        <f t="shared" si="91"/>
        <v>70.8</v>
      </c>
      <c r="P396">
        <v>33</v>
      </c>
      <c r="Q396" s="8">
        <f t="shared" si="92"/>
        <v>33</v>
      </c>
      <c r="R396" s="8">
        <v>91</v>
      </c>
      <c r="S396" s="8">
        <f t="shared" si="93"/>
        <v>91</v>
      </c>
      <c r="T396" s="8">
        <f>(Table1[[#This Row],[Total Cholesterol (mg/dL)]]+Table1[[#This Row],[HDL (mg/dL)2]]+Table1[[#This Row],[Estimated LDL (mg/dL)2]])*5</f>
        <v>620</v>
      </c>
      <c r="U396" s="8">
        <f>IF(O396="",Table1[[#This Row],[Estimated LDL (mg/dL)2]]+Table1[[#This Row],[HDL (mg/dL)2]]+(Table1[[#This Row],[Triglycerides]]/5),O396)</f>
        <v>248</v>
      </c>
      <c r="V396">
        <v>104</v>
      </c>
      <c r="W396" s="8">
        <f t="shared" si="94"/>
        <v>104</v>
      </c>
      <c r="X396" t="str">
        <f t="shared" si="95"/>
        <v>Prediabetes</v>
      </c>
      <c r="Y396" t="s">
        <v>23</v>
      </c>
      <c r="Z396" t="s">
        <v>22</v>
      </c>
      <c r="AA396" t="s">
        <v>28</v>
      </c>
      <c r="AB396" s="3" t="s">
        <v>396</v>
      </c>
      <c r="AC396">
        <v>96</v>
      </c>
      <c r="AD396" s="3" t="str">
        <f t="shared" si="96"/>
        <v>96</v>
      </c>
      <c r="AE396">
        <v>72</v>
      </c>
      <c r="AF396" s="3" t="str">
        <f t="shared" si="97"/>
        <v>72</v>
      </c>
      <c r="AG396" t="s">
        <v>33</v>
      </c>
      <c r="AH396" s="3">
        <v>15.36</v>
      </c>
      <c r="AI396" s="3">
        <f t="shared" si="98"/>
        <v>15.36</v>
      </c>
      <c r="AJ396" t="s">
        <v>30</v>
      </c>
      <c r="AK396" t="str">
        <f>PROPER(Table1[[#This Row],[CVD Risk Level]])</f>
        <v>High</v>
      </c>
    </row>
    <row r="397" spans="1:37" x14ac:dyDescent="0.3">
      <c r="A397" t="s">
        <v>20</v>
      </c>
      <c r="B397">
        <v>39</v>
      </c>
      <c r="C397" s="8">
        <f t="shared" si="87"/>
        <v>39</v>
      </c>
      <c r="D397" s="5">
        <v>94.1</v>
      </c>
      <c r="E397" s="8">
        <f t="shared" si="88"/>
        <v>94.1</v>
      </c>
      <c r="F397">
        <v>1.79</v>
      </c>
      <c r="G397" s="3">
        <f t="shared" si="89"/>
        <v>1.79</v>
      </c>
      <c r="H397">
        <v>29.4</v>
      </c>
      <c r="I397" s="5">
        <f t="shared" si="85"/>
        <v>29.4</v>
      </c>
      <c r="J397" s="16" t="str">
        <f t="shared" si="90"/>
        <v>Overweight</v>
      </c>
      <c r="K397">
        <v>101.6</v>
      </c>
      <c r="L397">
        <v>0.56799999999999995</v>
      </c>
      <c r="M397" s="11">
        <f t="shared" si="86"/>
        <v>0.56799999999999995</v>
      </c>
      <c r="N397" s="5">
        <f t="shared" si="91"/>
        <v>101.6</v>
      </c>
      <c r="O397">
        <v>276</v>
      </c>
      <c r="P397">
        <v>36</v>
      </c>
      <c r="Q397" s="8">
        <f t="shared" si="92"/>
        <v>36</v>
      </c>
      <c r="R397" s="8">
        <v>210</v>
      </c>
      <c r="S397" s="8">
        <f t="shared" si="93"/>
        <v>210</v>
      </c>
      <c r="T397" s="8">
        <f>(Table1[[#This Row],[Total Cholesterol (mg/dL)]]+Table1[[#This Row],[HDL (mg/dL)2]]+Table1[[#This Row],[Estimated LDL (mg/dL)2]])*5</f>
        <v>2610</v>
      </c>
      <c r="U397" s="8">
        <f>IF(O397="",Table1[[#This Row],[Estimated LDL (mg/dL)2]]+Table1[[#This Row],[HDL (mg/dL)2]]+(Table1[[#This Row],[Triglycerides]]/5),O397)</f>
        <v>276</v>
      </c>
      <c r="V397">
        <v>98</v>
      </c>
      <c r="W397" s="8">
        <f t="shared" si="94"/>
        <v>98</v>
      </c>
      <c r="X397" t="str">
        <f t="shared" si="95"/>
        <v>Normal</v>
      </c>
      <c r="Y397" t="s">
        <v>23</v>
      </c>
      <c r="Z397" t="s">
        <v>22</v>
      </c>
      <c r="AA397" t="s">
        <v>37</v>
      </c>
      <c r="AB397" s="3" t="s">
        <v>397</v>
      </c>
      <c r="AC397">
        <v>119</v>
      </c>
      <c r="AD397" s="3" t="str">
        <f t="shared" si="96"/>
        <v>119</v>
      </c>
      <c r="AE397">
        <v>69</v>
      </c>
      <c r="AF397" s="3" t="str">
        <f t="shared" si="97"/>
        <v>69</v>
      </c>
      <c r="AG397" t="s">
        <v>33</v>
      </c>
      <c r="AI397" s="3">
        <f t="shared" si="98"/>
        <v>16.960925291295425</v>
      </c>
      <c r="AJ397" t="s">
        <v>30</v>
      </c>
      <c r="AK397" t="str">
        <f>PROPER(Table1[[#This Row],[CVD Risk Level]])</f>
        <v>High</v>
      </c>
    </row>
    <row r="398" spans="1:37" x14ac:dyDescent="0.3">
      <c r="A398" t="s">
        <v>31</v>
      </c>
      <c r="B398">
        <v>36</v>
      </c>
      <c r="C398" s="8">
        <f t="shared" si="87"/>
        <v>36</v>
      </c>
      <c r="D398" s="5">
        <v>117.6</v>
      </c>
      <c r="E398" s="8">
        <f t="shared" si="88"/>
        <v>117.6</v>
      </c>
      <c r="F398">
        <v>1.89</v>
      </c>
      <c r="G398" s="3">
        <f t="shared" si="89"/>
        <v>1.89</v>
      </c>
      <c r="H398">
        <v>32.9</v>
      </c>
      <c r="I398" s="5">
        <f t="shared" si="85"/>
        <v>32.9</v>
      </c>
      <c r="J398" s="16" t="str">
        <f t="shared" si="90"/>
        <v>Obese</v>
      </c>
      <c r="K398">
        <v>76</v>
      </c>
      <c r="L398">
        <v>0.40200000000000002</v>
      </c>
      <c r="M398" s="11">
        <f t="shared" si="86"/>
        <v>0.40200000000000002</v>
      </c>
      <c r="N398" s="5">
        <f t="shared" si="91"/>
        <v>76</v>
      </c>
      <c r="O398">
        <v>272</v>
      </c>
      <c r="P398">
        <v>45</v>
      </c>
      <c r="Q398" s="8">
        <f t="shared" si="92"/>
        <v>45</v>
      </c>
      <c r="R398" s="8">
        <v>197</v>
      </c>
      <c r="S398" s="8">
        <f t="shared" si="93"/>
        <v>197</v>
      </c>
      <c r="T398" s="8">
        <f>(Table1[[#This Row],[Total Cholesterol (mg/dL)]]+Table1[[#This Row],[HDL (mg/dL)2]]+Table1[[#This Row],[Estimated LDL (mg/dL)2]])*5</f>
        <v>2570</v>
      </c>
      <c r="U398" s="8">
        <f>IF(O398="",Table1[[#This Row],[Estimated LDL (mg/dL)2]]+Table1[[#This Row],[HDL (mg/dL)2]]+(Table1[[#This Row],[Triglycerides]]/5),O398)</f>
        <v>272</v>
      </c>
      <c r="V398">
        <v>143</v>
      </c>
      <c r="W398" s="8">
        <f t="shared" si="94"/>
        <v>143</v>
      </c>
      <c r="X398" t="str">
        <f t="shared" si="95"/>
        <v>Diabetes</v>
      </c>
      <c r="Y398" t="s">
        <v>22</v>
      </c>
      <c r="Z398" t="s">
        <v>22</v>
      </c>
      <c r="AA398" t="s">
        <v>37</v>
      </c>
      <c r="AB398" s="3" t="s">
        <v>398</v>
      </c>
      <c r="AC398">
        <v>97</v>
      </c>
      <c r="AD398" s="3" t="str">
        <f t="shared" si="96"/>
        <v>97</v>
      </c>
      <c r="AE398">
        <v>87</v>
      </c>
      <c r="AF398" s="3" t="str">
        <f t="shared" si="97"/>
        <v>87</v>
      </c>
      <c r="AG398" t="s">
        <v>29</v>
      </c>
      <c r="AH398" s="3">
        <v>16.87</v>
      </c>
      <c r="AI398" s="3">
        <f t="shared" si="98"/>
        <v>16.87</v>
      </c>
      <c r="AJ398" t="s">
        <v>26</v>
      </c>
      <c r="AK398" t="str">
        <f>PROPER(Table1[[#This Row],[CVD Risk Level]])</f>
        <v>Intermediary</v>
      </c>
    </row>
    <row r="399" spans="1:37" x14ac:dyDescent="0.3">
      <c r="A399" t="s">
        <v>20</v>
      </c>
      <c r="B399">
        <v>49</v>
      </c>
      <c r="C399" s="8">
        <f t="shared" si="87"/>
        <v>49</v>
      </c>
      <c r="D399" s="5">
        <v>93.4</v>
      </c>
      <c r="E399" s="8">
        <f t="shared" si="88"/>
        <v>93.4</v>
      </c>
      <c r="F399">
        <v>1.73</v>
      </c>
      <c r="G399" s="3">
        <f t="shared" si="89"/>
        <v>1.73</v>
      </c>
      <c r="H399">
        <v>31.2</v>
      </c>
      <c r="I399" s="5">
        <f t="shared" si="85"/>
        <v>31.2</v>
      </c>
      <c r="J399" s="16" t="str">
        <f t="shared" si="90"/>
        <v>Obese</v>
      </c>
      <c r="K399">
        <v>86.9</v>
      </c>
      <c r="L399">
        <v>0.502</v>
      </c>
      <c r="M399" s="11">
        <f t="shared" si="86"/>
        <v>0.502</v>
      </c>
      <c r="N399" s="5">
        <f t="shared" si="91"/>
        <v>86.9</v>
      </c>
      <c r="O399">
        <v>167</v>
      </c>
      <c r="P399">
        <v>36</v>
      </c>
      <c r="Q399" s="8">
        <f t="shared" si="92"/>
        <v>36</v>
      </c>
      <c r="R399" s="8">
        <v>101</v>
      </c>
      <c r="S399" s="8">
        <f t="shared" si="93"/>
        <v>101</v>
      </c>
      <c r="T399" s="8">
        <f>(Table1[[#This Row],[Total Cholesterol (mg/dL)]]+Table1[[#This Row],[HDL (mg/dL)2]]+Table1[[#This Row],[Estimated LDL (mg/dL)2]])*5</f>
        <v>1520</v>
      </c>
      <c r="U399" s="8">
        <f>IF(O399="",Table1[[#This Row],[Estimated LDL (mg/dL)2]]+Table1[[#This Row],[HDL (mg/dL)2]]+(Table1[[#This Row],[Triglycerides]]/5),O399)</f>
        <v>167</v>
      </c>
      <c r="V399">
        <v>106</v>
      </c>
      <c r="W399" s="8">
        <f t="shared" si="94"/>
        <v>106</v>
      </c>
      <c r="X399" t="str">
        <f t="shared" si="95"/>
        <v>Prediabetes</v>
      </c>
      <c r="Y399" t="s">
        <v>22</v>
      </c>
      <c r="Z399" t="s">
        <v>23</v>
      </c>
      <c r="AA399" t="s">
        <v>37</v>
      </c>
      <c r="AB399" s="3" t="s">
        <v>399</v>
      </c>
      <c r="AC399">
        <v>111</v>
      </c>
      <c r="AD399" s="3" t="str">
        <f t="shared" si="96"/>
        <v>111</v>
      </c>
      <c r="AE399">
        <v>90</v>
      </c>
      <c r="AF399" s="3" t="str">
        <f t="shared" si="97"/>
        <v>90</v>
      </c>
      <c r="AG399" t="s">
        <v>38</v>
      </c>
      <c r="AH399" s="3">
        <v>17.13</v>
      </c>
      <c r="AI399" s="3">
        <f t="shared" si="98"/>
        <v>17.13</v>
      </c>
      <c r="AJ399" t="s">
        <v>30</v>
      </c>
      <c r="AK399" t="str">
        <f>PROPER(Table1[[#This Row],[CVD Risk Level]])</f>
        <v>High</v>
      </c>
    </row>
    <row r="400" spans="1:37" x14ac:dyDescent="0.3">
      <c r="A400" t="s">
        <v>31</v>
      </c>
      <c r="B400">
        <v>38</v>
      </c>
      <c r="C400" s="8">
        <f t="shared" si="87"/>
        <v>38</v>
      </c>
      <c r="E400" s="8">
        <f t="shared" si="88"/>
        <v>74.860240000000005</v>
      </c>
      <c r="F400">
        <v>1.82</v>
      </c>
      <c r="G400" s="3">
        <f t="shared" si="89"/>
        <v>1.82</v>
      </c>
      <c r="H400">
        <v>22.6</v>
      </c>
      <c r="I400" s="5">
        <f t="shared" si="85"/>
        <v>22.6</v>
      </c>
      <c r="J400" s="16" t="str">
        <f t="shared" si="90"/>
        <v>Normal</v>
      </c>
      <c r="L400">
        <v>0.54100000000000004</v>
      </c>
      <c r="M400" s="11">
        <f t="shared" si="86"/>
        <v>0.54100000000000004</v>
      </c>
      <c r="N400" s="5">
        <f t="shared" si="91"/>
        <v>98.462000000000003</v>
      </c>
      <c r="O400">
        <v>165</v>
      </c>
      <c r="P400">
        <v>56</v>
      </c>
      <c r="Q400" s="8">
        <f t="shared" si="92"/>
        <v>56</v>
      </c>
      <c r="R400" s="8">
        <v>79</v>
      </c>
      <c r="S400" s="8">
        <f t="shared" si="93"/>
        <v>79</v>
      </c>
      <c r="T400" s="8">
        <f>(Table1[[#This Row],[Total Cholesterol (mg/dL)]]+Table1[[#This Row],[HDL (mg/dL)2]]+Table1[[#This Row],[Estimated LDL (mg/dL)2]])*5</f>
        <v>1500</v>
      </c>
      <c r="U400" s="8">
        <f>IF(O400="",Table1[[#This Row],[Estimated LDL (mg/dL)2]]+Table1[[#This Row],[HDL (mg/dL)2]]+(Table1[[#This Row],[Triglycerides]]/5),O400)</f>
        <v>165</v>
      </c>
      <c r="V400">
        <v>137</v>
      </c>
      <c r="W400" s="8">
        <f t="shared" si="94"/>
        <v>137</v>
      </c>
      <c r="X400" t="str">
        <f t="shared" si="95"/>
        <v>Diabetes</v>
      </c>
      <c r="Y400" t="s">
        <v>23</v>
      </c>
      <c r="Z400" t="s">
        <v>22</v>
      </c>
      <c r="AA400" t="s">
        <v>37</v>
      </c>
      <c r="AB400" s="3" t="s">
        <v>219</v>
      </c>
      <c r="AC400">
        <v>113</v>
      </c>
      <c r="AD400" s="3" t="str">
        <f t="shared" si="96"/>
        <v>113</v>
      </c>
      <c r="AE400">
        <v>94</v>
      </c>
      <c r="AF400" s="3" t="str">
        <f t="shared" si="97"/>
        <v>94</v>
      </c>
      <c r="AG400" t="s">
        <v>38</v>
      </c>
      <c r="AH400" s="3">
        <v>13.47</v>
      </c>
      <c r="AI400" s="3">
        <f t="shared" si="98"/>
        <v>13.47</v>
      </c>
      <c r="AJ400" t="s">
        <v>26</v>
      </c>
      <c r="AK400" t="str">
        <f>PROPER(Table1[[#This Row],[CVD Risk Level]])</f>
        <v>Intermediary</v>
      </c>
    </row>
    <row r="401" spans="1:37" x14ac:dyDescent="0.3">
      <c r="A401" t="s">
        <v>20</v>
      </c>
      <c r="B401">
        <v>49</v>
      </c>
      <c r="C401" s="8">
        <f t="shared" si="87"/>
        <v>49</v>
      </c>
      <c r="D401" s="5">
        <v>52.5</v>
      </c>
      <c r="E401" s="8">
        <f t="shared" si="88"/>
        <v>52.5</v>
      </c>
      <c r="F401">
        <v>1.83</v>
      </c>
      <c r="G401" s="3">
        <f t="shared" si="89"/>
        <v>1.83</v>
      </c>
      <c r="H401">
        <v>15.7</v>
      </c>
      <c r="I401" s="5">
        <f t="shared" si="85"/>
        <v>15.7</v>
      </c>
      <c r="J401" s="16" t="str">
        <f t="shared" si="90"/>
        <v>Underweight</v>
      </c>
      <c r="K401">
        <v>75</v>
      </c>
      <c r="L401">
        <v>0.41</v>
      </c>
      <c r="M401" s="11">
        <f t="shared" si="86"/>
        <v>0.41</v>
      </c>
      <c r="N401" s="5">
        <f t="shared" si="91"/>
        <v>75</v>
      </c>
      <c r="O401">
        <v>243</v>
      </c>
      <c r="P401">
        <v>38</v>
      </c>
      <c r="Q401" s="8">
        <f t="shared" si="92"/>
        <v>38</v>
      </c>
      <c r="R401" s="8">
        <v>175</v>
      </c>
      <c r="S401" s="8">
        <f t="shared" si="93"/>
        <v>175</v>
      </c>
      <c r="T401" s="8">
        <f>(Table1[[#This Row],[Total Cholesterol (mg/dL)]]+Table1[[#This Row],[HDL (mg/dL)2]]+Table1[[#This Row],[Estimated LDL (mg/dL)2]])*5</f>
        <v>2280</v>
      </c>
      <c r="U401" s="8">
        <f>IF(O401="",Table1[[#This Row],[Estimated LDL (mg/dL)2]]+Table1[[#This Row],[HDL (mg/dL)2]]+(Table1[[#This Row],[Triglycerides]]/5),O401)</f>
        <v>243</v>
      </c>
      <c r="V401">
        <v>115</v>
      </c>
      <c r="W401" s="8">
        <f t="shared" si="94"/>
        <v>115</v>
      </c>
      <c r="X401" t="str">
        <f t="shared" si="95"/>
        <v>Prediabetes</v>
      </c>
      <c r="Y401" t="s">
        <v>23</v>
      </c>
      <c r="Z401" t="s">
        <v>22</v>
      </c>
      <c r="AA401" t="s">
        <v>37</v>
      </c>
      <c r="AB401" s="3" t="s">
        <v>400</v>
      </c>
      <c r="AC401">
        <v>113</v>
      </c>
      <c r="AD401" s="3" t="str">
        <f t="shared" si="96"/>
        <v>113</v>
      </c>
      <c r="AE401">
        <v>95</v>
      </c>
      <c r="AF401" s="3" t="str">
        <f t="shared" si="97"/>
        <v>95</v>
      </c>
      <c r="AG401" t="s">
        <v>38</v>
      </c>
      <c r="AH401" s="3">
        <v>13.65</v>
      </c>
      <c r="AI401" s="3">
        <f t="shared" si="98"/>
        <v>13.65</v>
      </c>
      <c r="AJ401" t="s">
        <v>30</v>
      </c>
      <c r="AK401" t="str">
        <f>PROPER(Table1[[#This Row],[CVD Risk Level]])</f>
        <v>High</v>
      </c>
    </row>
    <row r="402" spans="1:37" x14ac:dyDescent="0.3">
      <c r="A402" t="s">
        <v>31</v>
      </c>
      <c r="B402">
        <v>50</v>
      </c>
      <c r="C402" s="8">
        <f t="shared" si="87"/>
        <v>50</v>
      </c>
      <c r="D402" s="5">
        <v>66.2</v>
      </c>
      <c r="E402" s="8">
        <f t="shared" si="88"/>
        <v>66.2</v>
      </c>
      <c r="F402">
        <v>1.86</v>
      </c>
      <c r="G402" s="3">
        <f t="shared" si="89"/>
        <v>1.86</v>
      </c>
      <c r="H402">
        <v>19.100000000000001</v>
      </c>
      <c r="I402" s="5">
        <f t="shared" si="85"/>
        <v>19.100000000000001</v>
      </c>
      <c r="J402" s="16" t="str">
        <f t="shared" si="90"/>
        <v>Normal</v>
      </c>
      <c r="K402">
        <v>93.1</v>
      </c>
      <c r="L402">
        <v>0.501</v>
      </c>
      <c r="M402" s="11">
        <f t="shared" si="86"/>
        <v>0.501</v>
      </c>
      <c r="N402" s="5">
        <f t="shared" si="91"/>
        <v>93.1</v>
      </c>
      <c r="O402">
        <v>166</v>
      </c>
      <c r="P402">
        <v>30</v>
      </c>
      <c r="Q402" s="8">
        <f t="shared" si="92"/>
        <v>30</v>
      </c>
      <c r="R402" s="8">
        <v>106</v>
      </c>
      <c r="S402" s="8">
        <f t="shared" si="93"/>
        <v>106</v>
      </c>
      <c r="T402" s="8">
        <f>(Table1[[#This Row],[Total Cholesterol (mg/dL)]]+Table1[[#This Row],[HDL (mg/dL)2]]+Table1[[#This Row],[Estimated LDL (mg/dL)2]])*5</f>
        <v>1510</v>
      </c>
      <c r="U402" s="8">
        <f>IF(O402="",Table1[[#This Row],[Estimated LDL (mg/dL)2]]+Table1[[#This Row],[HDL (mg/dL)2]]+(Table1[[#This Row],[Triglycerides]]/5),O402)</f>
        <v>166</v>
      </c>
      <c r="V402">
        <v>132</v>
      </c>
      <c r="W402" s="8">
        <f t="shared" si="94"/>
        <v>132</v>
      </c>
      <c r="X402" t="str">
        <f t="shared" si="95"/>
        <v>Diabetes</v>
      </c>
      <c r="Y402" t="s">
        <v>22</v>
      </c>
      <c r="Z402" t="s">
        <v>23</v>
      </c>
      <c r="AA402" t="s">
        <v>24</v>
      </c>
      <c r="AB402" s="3" t="s">
        <v>401</v>
      </c>
      <c r="AC402">
        <v>133</v>
      </c>
      <c r="AD402" s="3" t="str">
        <f t="shared" si="96"/>
        <v>133</v>
      </c>
      <c r="AE402">
        <v>87</v>
      </c>
      <c r="AF402" s="3" t="str">
        <f t="shared" si="97"/>
        <v>87</v>
      </c>
      <c r="AG402" t="s">
        <v>29</v>
      </c>
      <c r="AH402" s="3">
        <v>15.79</v>
      </c>
      <c r="AI402" s="3">
        <f t="shared" si="98"/>
        <v>15.79</v>
      </c>
      <c r="AJ402" t="s">
        <v>30</v>
      </c>
      <c r="AK402" t="str">
        <f>PROPER(Table1[[#This Row],[CVD Risk Level]])</f>
        <v>High</v>
      </c>
    </row>
    <row r="403" spans="1:37" x14ac:dyDescent="0.3">
      <c r="A403" t="s">
        <v>31</v>
      </c>
      <c r="B403">
        <v>43</v>
      </c>
      <c r="C403" s="8">
        <f t="shared" si="87"/>
        <v>43</v>
      </c>
      <c r="D403" s="5">
        <v>111.9</v>
      </c>
      <c r="E403" s="8">
        <f t="shared" si="88"/>
        <v>111.9</v>
      </c>
      <c r="F403">
        <v>1.71</v>
      </c>
      <c r="G403" s="3">
        <f t="shared" si="89"/>
        <v>1.71</v>
      </c>
      <c r="H403">
        <v>38.299999999999997</v>
      </c>
      <c r="I403" s="5">
        <f t="shared" si="85"/>
        <v>38.299999999999997</v>
      </c>
      <c r="J403" s="16" t="str">
        <f t="shared" si="90"/>
        <v>Obese</v>
      </c>
      <c r="K403">
        <v>109.4</v>
      </c>
      <c r="L403">
        <v>0.64</v>
      </c>
      <c r="M403" s="11">
        <f t="shared" si="86"/>
        <v>0.64</v>
      </c>
      <c r="N403" s="5">
        <f t="shared" si="91"/>
        <v>109.4</v>
      </c>
      <c r="O403">
        <v>241</v>
      </c>
      <c r="P403">
        <v>49</v>
      </c>
      <c r="Q403" s="8">
        <f t="shared" si="92"/>
        <v>49</v>
      </c>
      <c r="R403" s="8">
        <v>162</v>
      </c>
      <c r="S403" s="8">
        <f t="shared" si="93"/>
        <v>162</v>
      </c>
      <c r="T403" s="8">
        <f>(Table1[[#This Row],[Total Cholesterol (mg/dL)]]+Table1[[#This Row],[HDL (mg/dL)2]]+Table1[[#This Row],[Estimated LDL (mg/dL)2]])*5</f>
        <v>2260</v>
      </c>
      <c r="U403" s="8">
        <f>IF(O403="",Table1[[#This Row],[Estimated LDL (mg/dL)2]]+Table1[[#This Row],[HDL (mg/dL)2]]+(Table1[[#This Row],[Triglycerides]]/5),O403)</f>
        <v>241</v>
      </c>
      <c r="V403">
        <v>96</v>
      </c>
      <c r="W403" s="8">
        <f t="shared" si="94"/>
        <v>96</v>
      </c>
      <c r="X403" t="str">
        <f t="shared" si="95"/>
        <v>Normal</v>
      </c>
      <c r="Y403" t="s">
        <v>22</v>
      </c>
      <c r="Z403" t="s">
        <v>23</v>
      </c>
      <c r="AA403" t="s">
        <v>24</v>
      </c>
      <c r="AB403" s="3" t="s">
        <v>402</v>
      </c>
      <c r="AC403">
        <v>102</v>
      </c>
      <c r="AD403" s="3" t="str">
        <f t="shared" si="96"/>
        <v>102</v>
      </c>
      <c r="AF403" s="3" t="str">
        <f t="shared" si="97"/>
        <v>91</v>
      </c>
      <c r="AG403" t="s">
        <v>38</v>
      </c>
      <c r="AH403" s="3">
        <v>19.579999999999998</v>
      </c>
      <c r="AI403" s="3">
        <f t="shared" si="98"/>
        <v>19.579999999999998</v>
      </c>
      <c r="AJ403" t="s">
        <v>30</v>
      </c>
      <c r="AK403" t="str">
        <f>PROPER(Table1[[#This Row],[CVD Risk Level]])</f>
        <v>High</v>
      </c>
    </row>
    <row r="404" spans="1:37" x14ac:dyDescent="0.3">
      <c r="A404" t="s">
        <v>31</v>
      </c>
      <c r="B404">
        <v>39</v>
      </c>
      <c r="C404" s="8">
        <f t="shared" si="87"/>
        <v>39</v>
      </c>
      <c r="D404" s="5">
        <v>54.7</v>
      </c>
      <c r="E404" s="8">
        <f t="shared" si="88"/>
        <v>54.7</v>
      </c>
      <c r="F404">
        <v>1.83</v>
      </c>
      <c r="G404" s="3">
        <f t="shared" si="89"/>
        <v>1.83</v>
      </c>
      <c r="H404">
        <v>16.3</v>
      </c>
      <c r="I404" s="5">
        <f t="shared" si="85"/>
        <v>16.3</v>
      </c>
      <c r="J404" s="16" t="str">
        <f t="shared" si="90"/>
        <v>Underweight</v>
      </c>
      <c r="K404">
        <v>101.1</v>
      </c>
      <c r="L404">
        <v>0.55200000000000005</v>
      </c>
      <c r="M404" s="11">
        <f t="shared" si="86"/>
        <v>0.55200000000000005</v>
      </c>
      <c r="N404" s="5">
        <f t="shared" si="91"/>
        <v>101.1</v>
      </c>
      <c r="O404">
        <v>270</v>
      </c>
      <c r="P404">
        <v>31</v>
      </c>
      <c r="Q404" s="8">
        <f t="shared" si="92"/>
        <v>31</v>
      </c>
      <c r="R404" s="8">
        <v>209</v>
      </c>
      <c r="S404" s="8">
        <f t="shared" si="93"/>
        <v>209</v>
      </c>
      <c r="T404" s="8">
        <f>(Table1[[#This Row],[Total Cholesterol (mg/dL)]]+Table1[[#This Row],[HDL (mg/dL)2]]+Table1[[#This Row],[Estimated LDL (mg/dL)2]])*5</f>
        <v>2550</v>
      </c>
      <c r="U404" s="8">
        <f>IF(O404="",Table1[[#This Row],[Estimated LDL (mg/dL)2]]+Table1[[#This Row],[HDL (mg/dL)2]]+(Table1[[#This Row],[Triglycerides]]/5),O404)</f>
        <v>270</v>
      </c>
      <c r="V404">
        <v>97</v>
      </c>
      <c r="W404" s="8">
        <f t="shared" si="94"/>
        <v>97</v>
      </c>
      <c r="X404" t="str">
        <f t="shared" si="95"/>
        <v>Normal</v>
      </c>
      <c r="Y404" t="s">
        <v>22</v>
      </c>
      <c r="Z404" t="s">
        <v>23</v>
      </c>
      <c r="AA404" t="s">
        <v>24</v>
      </c>
      <c r="AB404" s="3" t="s">
        <v>403</v>
      </c>
      <c r="AC404">
        <v>103</v>
      </c>
      <c r="AD404" s="3" t="str">
        <f t="shared" si="96"/>
        <v>103</v>
      </c>
      <c r="AE404">
        <v>88</v>
      </c>
      <c r="AF404" s="3" t="str">
        <f t="shared" si="97"/>
        <v>88</v>
      </c>
      <c r="AG404" t="s">
        <v>29</v>
      </c>
      <c r="AH404" s="3">
        <v>15.81</v>
      </c>
      <c r="AI404" s="3">
        <f t="shared" si="98"/>
        <v>15.81</v>
      </c>
      <c r="AJ404" t="s">
        <v>30</v>
      </c>
      <c r="AK404" t="str">
        <f>PROPER(Table1[[#This Row],[CVD Risk Level]])</f>
        <v>High</v>
      </c>
    </row>
    <row r="405" spans="1:37" x14ac:dyDescent="0.3">
      <c r="A405" t="s">
        <v>31</v>
      </c>
      <c r="B405">
        <v>50</v>
      </c>
      <c r="C405" s="8">
        <f t="shared" si="87"/>
        <v>50</v>
      </c>
      <c r="D405" s="5">
        <v>66</v>
      </c>
      <c r="E405" s="8">
        <f t="shared" si="88"/>
        <v>66</v>
      </c>
      <c r="F405">
        <v>1.75</v>
      </c>
      <c r="G405" s="3">
        <f t="shared" si="89"/>
        <v>1.75</v>
      </c>
      <c r="H405">
        <v>21.6</v>
      </c>
      <c r="I405" s="5">
        <f t="shared" si="85"/>
        <v>21.6</v>
      </c>
      <c r="J405" s="16" t="str">
        <f t="shared" si="90"/>
        <v>Normal</v>
      </c>
      <c r="K405">
        <v>76.3</v>
      </c>
      <c r="L405">
        <v>0.436</v>
      </c>
      <c r="M405" s="11">
        <f t="shared" si="86"/>
        <v>0.436</v>
      </c>
      <c r="N405" s="5">
        <f t="shared" si="91"/>
        <v>76.3</v>
      </c>
      <c r="O405">
        <v>241</v>
      </c>
      <c r="P405">
        <v>41</v>
      </c>
      <c r="Q405" s="8">
        <f t="shared" si="92"/>
        <v>41</v>
      </c>
      <c r="R405" s="8">
        <v>170</v>
      </c>
      <c r="S405" s="8">
        <f t="shared" si="93"/>
        <v>170</v>
      </c>
      <c r="T405" s="8">
        <f>(Table1[[#This Row],[Total Cholesterol (mg/dL)]]+Table1[[#This Row],[HDL (mg/dL)2]]+Table1[[#This Row],[Estimated LDL (mg/dL)2]])*5</f>
        <v>2260</v>
      </c>
      <c r="U405" s="8">
        <f>IF(O405="",Table1[[#This Row],[Estimated LDL (mg/dL)2]]+Table1[[#This Row],[HDL (mg/dL)2]]+(Table1[[#This Row],[Triglycerides]]/5),O405)</f>
        <v>241</v>
      </c>
      <c r="V405">
        <v>141</v>
      </c>
      <c r="W405" s="8">
        <f t="shared" si="94"/>
        <v>141</v>
      </c>
      <c r="X405" t="str">
        <f t="shared" si="95"/>
        <v>Diabetes</v>
      </c>
      <c r="Y405" t="s">
        <v>22</v>
      </c>
      <c r="Z405" t="s">
        <v>23</v>
      </c>
      <c r="AA405" t="s">
        <v>37</v>
      </c>
      <c r="AB405" s="3" t="s">
        <v>404</v>
      </c>
      <c r="AC405">
        <v>135</v>
      </c>
      <c r="AD405" s="3" t="str">
        <f t="shared" si="96"/>
        <v>135</v>
      </c>
      <c r="AE405">
        <v>85</v>
      </c>
      <c r="AF405" s="3" t="str">
        <f t="shared" si="97"/>
        <v>85</v>
      </c>
      <c r="AG405" t="s">
        <v>29</v>
      </c>
      <c r="AH405" s="3">
        <v>17.89</v>
      </c>
      <c r="AI405" s="3">
        <f t="shared" si="98"/>
        <v>17.89</v>
      </c>
      <c r="AJ405" t="s">
        <v>30</v>
      </c>
      <c r="AK405" t="str">
        <f>PROPER(Table1[[#This Row],[CVD Risk Level]])</f>
        <v>High</v>
      </c>
    </row>
    <row r="406" spans="1:37" x14ac:dyDescent="0.3">
      <c r="A406" t="s">
        <v>31</v>
      </c>
      <c r="B406">
        <v>60</v>
      </c>
      <c r="C406" s="8">
        <f t="shared" si="87"/>
        <v>60</v>
      </c>
      <c r="D406" s="5">
        <v>95.2</v>
      </c>
      <c r="E406" s="8">
        <f t="shared" si="88"/>
        <v>95.2</v>
      </c>
      <c r="F406">
        <v>1.67</v>
      </c>
      <c r="G406" s="3">
        <f t="shared" si="89"/>
        <v>1.67</v>
      </c>
      <c r="H406">
        <v>34.1</v>
      </c>
      <c r="I406" s="5">
        <f t="shared" si="85"/>
        <v>34.1</v>
      </c>
      <c r="J406" s="16" t="str">
        <f t="shared" si="90"/>
        <v>Obese</v>
      </c>
      <c r="K406">
        <v>91.6</v>
      </c>
      <c r="L406">
        <v>0.54900000000000004</v>
      </c>
      <c r="M406" s="11">
        <f t="shared" si="86"/>
        <v>0.54900000000000004</v>
      </c>
      <c r="N406" s="5">
        <f t="shared" si="91"/>
        <v>91.6</v>
      </c>
      <c r="O406">
        <v>279</v>
      </c>
      <c r="P406">
        <v>42</v>
      </c>
      <c r="Q406" s="8">
        <f t="shared" si="92"/>
        <v>42</v>
      </c>
      <c r="S406" s="8">
        <f t="shared" si="93"/>
        <v>109</v>
      </c>
      <c r="T406" s="8">
        <f>(Table1[[#This Row],[Total Cholesterol (mg/dL)]]+Table1[[#This Row],[HDL (mg/dL)2]]+Table1[[#This Row],[Estimated LDL (mg/dL)2]])*5</f>
        <v>2150</v>
      </c>
      <c r="U406" s="8">
        <f>IF(O406="",Table1[[#This Row],[Estimated LDL (mg/dL)2]]+Table1[[#This Row],[HDL (mg/dL)2]]+(Table1[[#This Row],[Triglycerides]]/5),O406)</f>
        <v>279</v>
      </c>
      <c r="V406">
        <v>98</v>
      </c>
      <c r="W406" s="8">
        <f t="shared" si="94"/>
        <v>98</v>
      </c>
      <c r="X406" t="str">
        <f t="shared" si="95"/>
        <v>Normal</v>
      </c>
      <c r="Y406" t="s">
        <v>23</v>
      </c>
      <c r="Z406" t="s">
        <v>22</v>
      </c>
      <c r="AA406" t="s">
        <v>37</v>
      </c>
      <c r="AB406" s="3" t="s">
        <v>405</v>
      </c>
      <c r="AC406">
        <v>97</v>
      </c>
      <c r="AD406" s="3" t="str">
        <f t="shared" si="96"/>
        <v>97</v>
      </c>
      <c r="AE406">
        <v>71</v>
      </c>
      <c r="AF406" s="3" t="str">
        <f t="shared" si="97"/>
        <v>71</v>
      </c>
      <c r="AG406" t="s">
        <v>33</v>
      </c>
      <c r="AH406" s="3">
        <v>17.25</v>
      </c>
      <c r="AI406" s="3">
        <f t="shared" si="98"/>
        <v>17.25</v>
      </c>
      <c r="AJ406" t="s">
        <v>30</v>
      </c>
      <c r="AK406" t="str">
        <f>PROPER(Table1[[#This Row],[CVD Risk Level]])</f>
        <v>High</v>
      </c>
    </row>
    <row r="407" spans="1:37" x14ac:dyDescent="0.3">
      <c r="A407" t="s">
        <v>20</v>
      </c>
      <c r="B407">
        <v>38</v>
      </c>
      <c r="C407" s="8">
        <f t="shared" si="87"/>
        <v>38</v>
      </c>
      <c r="D407" s="5">
        <v>61.8</v>
      </c>
      <c r="E407" s="8">
        <f t="shared" si="88"/>
        <v>61.8</v>
      </c>
      <c r="F407">
        <v>1.78</v>
      </c>
      <c r="G407" s="3">
        <f t="shared" si="89"/>
        <v>1.78</v>
      </c>
      <c r="H407">
        <v>19.5</v>
      </c>
      <c r="I407" s="5">
        <f t="shared" si="85"/>
        <v>19.5</v>
      </c>
      <c r="J407" s="16" t="str">
        <f t="shared" si="90"/>
        <v>Normal</v>
      </c>
      <c r="K407">
        <v>71</v>
      </c>
      <c r="L407">
        <v>0.39900000000000002</v>
      </c>
      <c r="M407" s="11">
        <f t="shared" si="86"/>
        <v>0.39900000000000002</v>
      </c>
      <c r="N407" s="5">
        <f t="shared" si="91"/>
        <v>71</v>
      </c>
      <c r="O407">
        <v>225</v>
      </c>
      <c r="P407">
        <v>75</v>
      </c>
      <c r="Q407" s="8">
        <f t="shared" si="92"/>
        <v>75</v>
      </c>
      <c r="R407" s="8">
        <v>120</v>
      </c>
      <c r="S407" s="8">
        <f t="shared" si="93"/>
        <v>120</v>
      </c>
      <c r="T407" s="8">
        <f>(Table1[[#This Row],[Total Cholesterol (mg/dL)]]+Table1[[#This Row],[HDL (mg/dL)2]]+Table1[[#This Row],[Estimated LDL (mg/dL)2]])*5</f>
        <v>2100</v>
      </c>
      <c r="U407" s="8">
        <f>IF(O407="",Table1[[#This Row],[Estimated LDL (mg/dL)2]]+Table1[[#This Row],[HDL (mg/dL)2]]+(Table1[[#This Row],[Triglycerides]]/5),O407)</f>
        <v>225</v>
      </c>
      <c r="V407">
        <v>138</v>
      </c>
      <c r="W407" s="8">
        <f t="shared" si="94"/>
        <v>138</v>
      </c>
      <c r="X407" t="str">
        <f t="shared" si="95"/>
        <v>Diabetes</v>
      </c>
      <c r="Y407" t="s">
        <v>23</v>
      </c>
      <c r="Z407" t="s">
        <v>22</v>
      </c>
      <c r="AA407" t="s">
        <v>28</v>
      </c>
      <c r="AB407" s="3" t="s">
        <v>406</v>
      </c>
      <c r="AC407">
        <v>108</v>
      </c>
      <c r="AD407" s="3" t="str">
        <f t="shared" si="96"/>
        <v>108</v>
      </c>
      <c r="AE407">
        <v>87</v>
      </c>
      <c r="AF407" s="3" t="str">
        <f t="shared" si="97"/>
        <v>87</v>
      </c>
      <c r="AG407" t="s">
        <v>29</v>
      </c>
      <c r="AH407" s="3">
        <v>13.8</v>
      </c>
      <c r="AI407" s="3">
        <f t="shared" si="98"/>
        <v>13.8</v>
      </c>
      <c r="AJ407" t="s">
        <v>26</v>
      </c>
      <c r="AK407" t="str">
        <f>PROPER(Table1[[#This Row],[CVD Risk Level]])</f>
        <v>Intermediary</v>
      </c>
    </row>
    <row r="408" spans="1:37" x14ac:dyDescent="0.3">
      <c r="A408" t="s">
        <v>31</v>
      </c>
      <c r="B408">
        <v>51</v>
      </c>
      <c r="C408" s="8">
        <f t="shared" si="87"/>
        <v>51</v>
      </c>
      <c r="D408" s="5">
        <v>100.3</v>
      </c>
      <c r="E408" s="8">
        <f t="shared" si="88"/>
        <v>100.3</v>
      </c>
      <c r="F408">
        <v>1.66</v>
      </c>
      <c r="G408" s="3">
        <f t="shared" si="89"/>
        <v>1.66</v>
      </c>
      <c r="H408">
        <v>36.4</v>
      </c>
      <c r="I408" s="5">
        <f t="shared" si="85"/>
        <v>36.4</v>
      </c>
      <c r="J408" s="16" t="str">
        <f t="shared" si="90"/>
        <v>Obese</v>
      </c>
      <c r="K408">
        <v>101.3</v>
      </c>
      <c r="L408">
        <v>0.61</v>
      </c>
      <c r="M408" s="11">
        <f t="shared" si="86"/>
        <v>0.61</v>
      </c>
      <c r="N408" s="5">
        <f t="shared" si="91"/>
        <v>101.3</v>
      </c>
      <c r="O408">
        <v>213</v>
      </c>
      <c r="P408">
        <v>64</v>
      </c>
      <c r="Q408" s="8">
        <f t="shared" si="92"/>
        <v>64</v>
      </c>
      <c r="R408" s="8">
        <v>119</v>
      </c>
      <c r="S408" s="8">
        <f t="shared" si="93"/>
        <v>119</v>
      </c>
      <c r="T408" s="8">
        <f>(Table1[[#This Row],[Total Cholesterol (mg/dL)]]+Table1[[#This Row],[HDL (mg/dL)2]]+Table1[[#This Row],[Estimated LDL (mg/dL)2]])*5</f>
        <v>1980</v>
      </c>
      <c r="U408" s="8">
        <f>IF(O408="",Table1[[#This Row],[Estimated LDL (mg/dL)2]]+Table1[[#This Row],[HDL (mg/dL)2]]+(Table1[[#This Row],[Triglycerides]]/5),O408)</f>
        <v>213</v>
      </c>
      <c r="V408">
        <v>135</v>
      </c>
      <c r="W408" s="8">
        <f t="shared" si="94"/>
        <v>135</v>
      </c>
      <c r="X408" t="str">
        <f t="shared" si="95"/>
        <v>Diabetes</v>
      </c>
      <c r="Y408" t="s">
        <v>22</v>
      </c>
      <c r="Z408" t="s">
        <v>22</v>
      </c>
      <c r="AA408" t="s">
        <v>24</v>
      </c>
      <c r="AB408" s="3" t="s">
        <v>384</v>
      </c>
      <c r="AC408">
        <v>108</v>
      </c>
      <c r="AD408" s="3" t="str">
        <f t="shared" si="96"/>
        <v>108</v>
      </c>
      <c r="AE408">
        <v>61</v>
      </c>
      <c r="AF408" s="3" t="str">
        <f t="shared" si="97"/>
        <v>61</v>
      </c>
      <c r="AG408" t="s">
        <v>33</v>
      </c>
      <c r="AH408" s="3">
        <v>16.940000000000001</v>
      </c>
      <c r="AI408" s="3">
        <f t="shared" si="98"/>
        <v>16.940000000000001</v>
      </c>
      <c r="AJ408" t="s">
        <v>30</v>
      </c>
      <c r="AK408" t="str">
        <f>PROPER(Table1[[#This Row],[CVD Risk Level]])</f>
        <v>High</v>
      </c>
    </row>
    <row r="409" spans="1:37" x14ac:dyDescent="0.3">
      <c r="A409" t="s">
        <v>20</v>
      </c>
      <c r="B409">
        <v>50</v>
      </c>
      <c r="C409" s="8">
        <f t="shared" si="87"/>
        <v>50</v>
      </c>
      <c r="D409" s="5">
        <v>66.5</v>
      </c>
      <c r="E409" s="8">
        <f t="shared" si="88"/>
        <v>66.5</v>
      </c>
      <c r="F409">
        <v>1.83</v>
      </c>
      <c r="G409" s="3">
        <f t="shared" si="89"/>
        <v>1.83</v>
      </c>
      <c r="H409">
        <v>19.899999999999999</v>
      </c>
      <c r="I409" s="5">
        <f t="shared" si="85"/>
        <v>19.899999999999999</v>
      </c>
      <c r="J409" s="16" t="str">
        <f t="shared" si="90"/>
        <v>Normal</v>
      </c>
      <c r="K409">
        <v>98</v>
      </c>
      <c r="L409">
        <v>0.53600000000000003</v>
      </c>
      <c r="M409" s="11">
        <f t="shared" si="86"/>
        <v>0.53600000000000003</v>
      </c>
      <c r="N409" s="5">
        <f t="shared" si="91"/>
        <v>98</v>
      </c>
      <c r="O409">
        <v>200</v>
      </c>
      <c r="P409">
        <v>39</v>
      </c>
      <c r="Q409" s="8">
        <f t="shared" si="92"/>
        <v>39</v>
      </c>
      <c r="R409" s="8">
        <v>131</v>
      </c>
      <c r="S409" s="8">
        <f t="shared" si="93"/>
        <v>131</v>
      </c>
      <c r="T409" s="8">
        <f>(Table1[[#This Row],[Total Cholesterol (mg/dL)]]+Table1[[#This Row],[HDL (mg/dL)2]]+Table1[[#This Row],[Estimated LDL (mg/dL)2]])*5</f>
        <v>1850</v>
      </c>
      <c r="U409" s="8">
        <f>IF(O409="",Table1[[#This Row],[Estimated LDL (mg/dL)2]]+Table1[[#This Row],[HDL (mg/dL)2]]+(Table1[[#This Row],[Triglycerides]]/5),O409)</f>
        <v>200</v>
      </c>
      <c r="V409">
        <v>98</v>
      </c>
      <c r="W409" s="8">
        <f t="shared" si="94"/>
        <v>98</v>
      </c>
      <c r="X409" t="str">
        <f t="shared" si="95"/>
        <v>Normal</v>
      </c>
      <c r="Y409" t="s">
        <v>22</v>
      </c>
      <c r="Z409" t="s">
        <v>23</v>
      </c>
      <c r="AA409" t="s">
        <v>28</v>
      </c>
      <c r="AB409" s="3" t="s">
        <v>407</v>
      </c>
      <c r="AC409">
        <v>127</v>
      </c>
      <c r="AD409" s="3" t="str">
        <f t="shared" si="96"/>
        <v>127</v>
      </c>
      <c r="AE409">
        <v>75</v>
      </c>
      <c r="AF409" s="3" t="str">
        <f t="shared" si="97"/>
        <v>75</v>
      </c>
      <c r="AG409" t="s">
        <v>25</v>
      </c>
      <c r="AH409" s="3">
        <v>16.329999999999998</v>
      </c>
      <c r="AI409" s="3">
        <f t="shared" si="98"/>
        <v>16.329999999999998</v>
      </c>
      <c r="AJ409" t="s">
        <v>30</v>
      </c>
      <c r="AK409" t="str">
        <f>PROPER(Table1[[#This Row],[CVD Risk Level]])</f>
        <v>High</v>
      </c>
    </row>
    <row r="410" spans="1:37" x14ac:dyDescent="0.3">
      <c r="A410" t="s">
        <v>20</v>
      </c>
      <c r="B410">
        <v>37</v>
      </c>
      <c r="C410" s="8">
        <f t="shared" si="87"/>
        <v>37</v>
      </c>
      <c r="D410" s="5">
        <v>75.400000000000006</v>
      </c>
      <c r="E410" s="8">
        <f t="shared" si="88"/>
        <v>75.400000000000006</v>
      </c>
      <c r="F410">
        <v>1.8</v>
      </c>
      <c r="G410" s="3">
        <f t="shared" si="89"/>
        <v>1.8</v>
      </c>
      <c r="H410">
        <v>23.3</v>
      </c>
      <c r="I410" s="5">
        <f t="shared" si="85"/>
        <v>23.3</v>
      </c>
      <c r="J410" s="16" t="str">
        <f t="shared" si="90"/>
        <v>Normal</v>
      </c>
      <c r="K410">
        <v>86.5</v>
      </c>
      <c r="L410">
        <v>0.48099999999999998</v>
      </c>
      <c r="M410" s="11">
        <f t="shared" si="86"/>
        <v>0.48099999999999998</v>
      </c>
      <c r="N410" s="5">
        <f t="shared" si="91"/>
        <v>86.5</v>
      </c>
      <c r="O410">
        <v>296</v>
      </c>
      <c r="Q410" s="8">
        <f t="shared" si="92"/>
        <v>56.197377501725327</v>
      </c>
      <c r="R410" s="8">
        <v>209</v>
      </c>
      <c r="S410" s="8">
        <f>IF(R410&lt;=0,MEDIAN($R$2:$R$1530),R410)</f>
        <v>209</v>
      </c>
      <c r="T410" s="8">
        <f>(Table1[[#This Row],[Total Cholesterol (mg/dL)]]+Table1[[#This Row],[HDL (mg/dL)2]]+Table1[[#This Row],[Estimated LDL (mg/dL)2]])*5</f>
        <v>2805.9868875086268</v>
      </c>
      <c r="U410" s="8">
        <f>IF(O410="",Table1[[#This Row],[Estimated LDL (mg/dL)2]]+Table1[[#This Row],[HDL (mg/dL)2]]+(Table1[[#This Row],[Triglycerides]]/5),O410)</f>
        <v>296</v>
      </c>
      <c r="V410">
        <v>137</v>
      </c>
      <c r="W410" s="8">
        <f t="shared" si="94"/>
        <v>137</v>
      </c>
      <c r="X410" t="str">
        <f t="shared" si="95"/>
        <v>Diabetes</v>
      </c>
      <c r="Y410" t="s">
        <v>22</v>
      </c>
      <c r="Z410" t="s">
        <v>23</v>
      </c>
      <c r="AA410" t="s">
        <v>28</v>
      </c>
      <c r="AB410" s="3" t="s">
        <v>408</v>
      </c>
      <c r="AC410">
        <v>149</v>
      </c>
      <c r="AD410" s="3" t="str">
        <f t="shared" si="96"/>
        <v>149</v>
      </c>
      <c r="AF410" s="3" t="str">
        <f t="shared" si="97"/>
        <v>78</v>
      </c>
      <c r="AG410" t="s">
        <v>38</v>
      </c>
      <c r="AH410" s="3">
        <v>20.03</v>
      </c>
      <c r="AI410" s="3">
        <f t="shared" si="98"/>
        <v>20.03</v>
      </c>
      <c r="AJ410" t="s">
        <v>26</v>
      </c>
      <c r="AK410" t="str">
        <f>PROPER(Table1[[#This Row],[CVD Risk Level]])</f>
        <v>Intermediary</v>
      </c>
    </row>
    <row r="411" spans="1:37" x14ac:dyDescent="0.3">
      <c r="A411" t="s">
        <v>20</v>
      </c>
      <c r="B411">
        <v>38</v>
      </c>
      <c r="C411" s="8">
        <f t="shared" si="87"/>
        <v>38</v>
      </c>
      <c r="D411" s="5">
        <v>108.3</v>
      </c>
      <c r="E411" s="8">
        <f t="shared" si="88"/>
        <v>108.3</v>
      </c>
      <c r="F411">
        <v>1.8</v>
      </c>
      <c r="G411" s="3">
        <f t="shared" si="89"/>
        <v>1.8</v>
      </c>
      <c r="H411">
        <v>33.4</v>
      </c>
      <c r="I411" s="5">
        <f t="shared" si="85"/>
        <v>33.4</v>
      </c>
      <c r="J411" s="16" t="str">
        <f t="shared" si="90"/>
        <v>Obese</v>
      </c>
      <c r="K411">
        <v>76.2</v>
      </c>
      <c r="L411">
        <v>0.42299999999999999</v>
      </c>
      <c r="M411" s="11">
        <f t="shared" si="86"/>
        <v>0.42299999999999999</v>
      </c>
      <c r="N411" s="5">
        <f t="shared" si="91"/>
        <v>76.2</v>
      </c>
      <c r="O411">
        <v>278</v>
      </c>
      <c r="P411">
        <v>61</v>
      </c>
      <c r="Q411" s="8">
        <f t="shared" si="92"/>
        <v>61</v>
      </c>
      <c r="R411" s="8">
        <v>187</v>
      </c>
      <c r="S411" s="8">
        <f t="shared" si="93"/>
        <v>187</v>
      </c>
      <c r="T411" s="8">
        <f>(Table1[[#This Row],[Total Cholesterol (mg/dL)]]+Table1[[#This Row],[HDL (mg/dL)2]]+Table1[[#This Row],[Estimated LDL (mg/dL)2]])*5</f>
        <v>2630</v>
      </c>
      <c r="U411" s="8">
        <f>IF(O411="",Table1[[#This Row],[Estimated LDL (mg/dL)2]]+Table1[[#This Row],[HDL (mg/dL)2]]+(Table1[[#This Row],[Triglycerides]]/5),O411)</f>
        <v>278</v>
      </c>
      <c r="V411">
        <v>106</v>
      </c>
      <c r="W411" s="8">
        <f t="shared" si="94"/>
        <v>106</v>
      </c>
      <c r="X411" t="str">
        <f t="shared" si="95"/>
        <v>Prediabetes</v>
      </c>
      <c r="Y411" t="s">
        <v>23</v>
      </c>
      <c r="Z411" t="s">
        <v>22</v>
      </c>
      <c r="AA411" t="s">
        <v>28</v>
      </c>
      <c r="AB411" s="3" t="s">
        <v>409</v>
      </c>
      <c r="AC411">
        <v>149</v>
      </c>
      <c r="AD411" s="3" t="str">
        <f t="shared" si="96"/>
        <v>149</v>
      </c>
      <c r="AE411">
        <v>91</v>
      </c>
      <c r="AF411" s="3" t="str">
        <f t="shared" si="97"/>
        <v>91</v>
      </c>
      <c r="AG411" t="s">
        <v>38</v>
      </c>
      <c r="AH411" s="3">
        <v>19.690000000000001</v>
      </c>
      <c r="AI411" s="3">
        <f t="shared" si="98"/>
        <v>19.690000000000001</v>
      </c>
      <c r="AJ411" t="s">
        <v>30</v>
      </c>
      <c r="AK411" t="str">
        <f>PROPER(Table1[[#This Row],[CVD Risk Level]])</f>
        <v>High</v>
      </c>
    </row>
    <row r="412" spans="1:37" x14ac:dyDescent="0.3">
      <c r="A412" t="s">
        <v>31</v>
      </c>
      <c r="B412">
        <v>59</v>
      </c>
      <c r="C412" s="8">
        <f t="shared" si="87"/>
        <v>59</v>
      </c>
      <c r="D412" s="5">
        <v>69.2</v>
      </c>
      <c r="E412" s="8">
        <f t="shared" si="88"/>
        <v>69.2</v>
      </c>
      <c r="F412">
        <v>1.87</v>
      </c>
      <c r="G412" s="3">
        <f t="shared" si="89"/>
        <v>1.87</v>
      </c>
      <c r="H412">
        <v>19.8</v>
      </c>
      <c r="I412" s="5">
        <f t="shared" si="85"/>
        <v>19.8</v>
      </c>
      <c r="J412" s="16" t="str">
        <f t="shared" si="90"/>
        <v>Normal</v>
      </c>
      <c r="K412">
        <v>96.8</v>
      </c>
      <c r="L412">
        <v>0.51800000000000002</v>
      </c>
      <c r="M412" s="11">
        <f t="shared" si="86"/>
        <v>0.51800000000000002</v>
      </c>
      <c r="N412" s="5">
        <f t="shared" si="91"/>
        <v>96.8</v>
      </c>
      <c r="O412">
        <v>218</v>
      </c>
      <c r="P412">
        <v>56</v>
      </c>
      <c r="Q412" s="8">
        <f t="shared" si="92"/>
        <v>56</v>
      </c>
      <c r="R412" s="8">
        <v>132</v>
      </c>
      <c r="S412" s="8">
        <f t="shared" si="93"/>
        <v>132</v>
      </c>
      <c r="T412" s="8">
        <f>(Table1[[#This Row],[Total Cholesterol (mg/dL)]]+Table1[[#This Row],[HDL (mg/dL)2]]+Table1[[#This Row],[Estimated LDL (mg/dL)2]])*5</f>
        <v>2030</v>
      </c>
      <c r="U412" s="8">
        <f>IF(O412="",Table1[[#This Row],[Estimated LDL (mg/dL)2]]+Table1[[#This Row],[HDL (mg/dL)2]]+(Table1[[#This Row],[Triglycerides]]/5),O412)</f>
        <v>218</v>
      </c>
      <c r="V412">
        <v>71</v>
      </c>
      <c r="W412" s="8">
        <f t="shared" si="94"/>
        <v>71</v>
      </c>
      <c r="X412" t="str">
        <f t="shared" si="95"/>
        <v>Normal</v>
      </c>
      <c r="Y412" t="s">
        <v>22</v>
      </c>
      <c r="Z412" t="s">
        <v>23</v>
      </c>
      <c r="AA412" t="s">
        <v>37</v>
      </c>
      <c r="AB412" s="3" t="s">
        <v>410</v>
      </c>
      <c r="AC412">
        <v>93</v>
      </c>
      <c r="AD412" s="3" t="str">
        <f t="shared" si="96"/>
        <v>93</v>
      </c>
      <c r="AE412">
        <v>78</v>
      </c>
      <c r="AF412" s="3" t="str">
        <f t="shared" si="97"/>
        <v>78</v>
      </c>
      <c r="AG412" t="s">
        <v>33</v>
      </c>
      <c r="AH412" s="3">
        <v>14.97</v>
      </c>
      <c r="AI412" s="3">
        <f t="shared" si="98"/>
        <v>14.97</v>
      </c>
      <c r="AJ412" t="s">
        <v>26</v>
      </c>
      <c r="AK412" t="str">
        <f>PROPER(Table1[[#This Row],[CVD Risk Level]])</f>
        <v>Intermediary</v>
      </c>
    </row>
    <row r="413" spans="1:37" x14ac:dyDescent="0.3">
      <c r="A413" t="s">
        <v>20</v>
      </c>
      <c r="B413">
        <v>43</v>
      </c>
      <c r="C413" s="8">
        <f t="shared" si="87"/>
        <v>43</v>
      </c>
      <c r="D413" s="5">
        <v>90.5</v>
      </c>
      <c r="E413" s="8">
        <f t="shared" si="88"/>
        <v>90.5</v>
      </c>
      <c r="F413">
        <v>1.79</v>
      </c>
      <c r="G413" s="3">
        <f t="shared" si="89"/>
        <v>1.79</v>
      </c>
      <c r="H413">
        <v>28.2</v>
      </c>
      <c r="I413" s="5">
        <f t="shared" si="85"/>
        <v>28.2</v>
      </c>
      <c r="J413" s="16" t="str">
        <f t="shared" si="90"/>
        <v>Overweight</v>
      </c>
      <c r="K413">
        <v>82.1</v>
      </c>
      <c r="L413">
        <v>0.45900000000000002</v>
      </c>
      <c r="M413" s="11">
        <f t="shared" si="86"/>
        <v>0.45900000000000002</v>
      </c>
      <c r="N413" s="5">
        <f t="shared" si="91"/>
        <v>82.1</v>
      </c>
      <c r="O413">
        <v>282</v>
      </c>
      <c r="P413">
        <v>34</v>
      </c>
      <c r="Q413" s="8">
        <f t="shared" si="92"/>
        <v>34</v>
      </c>
      <c r="R413" s="8">
        <v>218</v>
      </c>
      <c r="S413" s="8">
        <f t="shared" si="93"/>
        <v>218</v>
      </c>
      <c r="T413" s="8">
        <f>(Table1[[#This Row],[Total Cholesterol (mg/dL)]]+Table1[[#This Row],[HDL (mg/dL)2]]+Table1[[#This Row],[Estimated LDL (mg/dL)2]])*5</f>
        <v>2670</v>
      </c>
      <c r="U413" s="8">
        <f>IF(O413="",Table1[[#This Row],[Estimated LDL (mg/dL)2]]+Table1[[#This Row],[HDL (mg/dL)2]]+(Table1[[#This Row],[Triglycerides]]/5),O413)</f>
        <v>282</v>
      </c>
      <c r="V413">
        <v>101</v>
      </c>
      <c r="W413" s="8">
        <f t="shared" si="94"/>
        <v>101</v>
      </c>
      <c r="X413" t="str">
        <f t="shared" si="95"/>
        <v>Prediabetes</v>
      </c>
      <c r="Y413" t="s">
        <v>22</v>
      </c>
      <c r="Z413" t="s">
        <v>23</v>
      </c>
      <c r="AA413" t="s">
        <v>37</v>
      </c>
      <c r="AB413" s="3" t="s">
        <v>411</v>
      </c>
      <c r="AC413">
        <v>141</v>
      </c>
      <c r="AD413" s="3" t="str">
        <f t="shared" si="96"/>
        <v>141</v>
      </c>
      <c r="AE413">
        <v>95</v>
      </c>
      <c r="AF413" s="3" t="str">
        <f t="shared" si="97"/>
        <v>95</v>
      </c>
      <c r="AG413" t="s">
        <v>38</v>
      </c>
      <c r="AH413" s="3">
        <v>20.329999999999998</v>
      </c>
      <c r="AI413" s="3">
        <f t="shared" si="98"/>
        <v>20.329999999999998</v>
      </c>
      <c r="AJ413" t="s">
        <v>30</v>
      </c>
      <c r="AK413" t="str">
        <f>PROPER(Table1[[#This Row],[CVD Risk Level]])</f>
        <v>High</v>
      </c>
    </row>
    <row r="414" spans="1:37" x14ac:dyDescent="0.3">
      <c r="A414" t="s">
        <v>31</v>
      </c>
      <c r="C414" s="8">
        <f t="shared" si="87"/>
        <v>47.025499655410059</v>
      </c>
      <c r="D414" s="5">
        <v>100.8</v>
      </c>
      <c r="E414" s="8">
        <f t="shared" si="88"/>
        <v>100.8</v>
      </c>
      <c r="F414">
        <v>1.87</v>
      </c>
      <c r="G414" s="3">
        <f t="shared" si="89"/>
        <v>1.87</v>
      </c>
      <c r="H414">
        <v>28.8</v>
      </c>
      <c r="I414" s="5">
        <f t="shared" si="85"/>
        <v>28.8</v>
      </c>
      <c r="J414" s="16" t="str">
        <f t="shared" si="90"/>
        <v>Overweight</v>
      </c>
      <c r="K414">
        <v>96.5</v>
      </c>
      <c r="L414">
        <v>0.51600000000000001</v>
      </c>
      <c r="M414" s="11">
        <f t="shared" si="86"/>
        <v>0.51600000000000001</v>
      </c>
      <c r="N414" s="5">
        <f t="shared" si="91"/>
        <v>96.5</v>
      </c>
      <c r="O414">
        <v>130</v>
      </c>
      <c r="P414">
        <v>41</v>
      </c>
      <c r="Q414" s="8">
        <f t="shared" si="92"/>
        <v>41</v>
      </c>
      <c r="R414" s="8">
        <v>59</v>
      </c>
      <c r="S414" s="8">
        <f t="shared" si="93"/>
        <v>59</v>
      </c>
      <c r="T414" s="8">
        <f>(Table1[[#This Row],[Total Cholesterol (mg/dL)]]+Table1[[#This Row],[HDL (mg/dL)2]]+Table1[[#This Row],[Estimated LDL (mg/dL)2]])*5</f>
        <v>1150</v>
      </c>
      <c r="U414" s="8">
        <f>IF(O414="",Table1[[#This Row],[Estimated LDL (mg/dL)2]]+Table1[[#This Row],[HDL (mg/dL)2]]+(Table1[[#This Row],[Triglycerides]]/5),O414)</f>
        <v>130</v>
      </c>
      <c r="V414">
        <v>84</v>
      </c>
      <c r="W414" s="8">
        <f t="shared" si="94"/>
        <v>84</v>
      </c>
      <c r="X414" t="str">
        <f t="shared" si="95"/>
        <v>Normal</v>
      </c>
      <c r="Y414" t="s">
        <v>23</v>
      </c>
      <c r="Z414" t="s">
        <v>23</v>
      </c>
      <c r="AA414" t="s">
        <v>28</v>
      </c>
      <c r="AB414" s="3" t="s">
        <v>412</v>
      </c>
      <c r="AC414">
        <v>112</v>
      </c>
      <c r="AD414" s="3" t="str">
        <f t="shared" si="96"/>
        <v>112</v>
      </c>
      <c r="AE414">
        <v>97</v>
      </c>
      <c r="AF414" s="3" t="str">
        <f t="shared" si="97"/>
        <v>97</v>
      </c>
      <c r="AG414" t="s">
        <v>38</v>
      </c>
      <c r="AH414" s="3">
        <v>15.96</v>
      </c>
      <c r="AI414" s="3">
        <f t="shared" si="98"/>
        <v>15.96</v>
      </c>
      <c r="AJ414" t="s">
        <v>30</v>
      </c>
      <c r="AK414" t="str">
        <f>PROPER(Table1[[#This Row],[CVD Risk Level]])</f>
        <v>High</v>
      </c>
    </row>
    <row r="415" spans="1:37" x14ac:dyDescent="0.3">
      <c r="A415" t="s">
        <v>31</v>
      </c>
      <c r="B415">
        <v>32</v>
      </c>
      <c r="C415" s="8">
        <f t="shared" si="87"/>
        <v>32</v>
      </c>
      <c r="D415" s="5">
        <v>98.5</v>
      </c>
      <c r="E415" s="8">
        <f t="shared" si="88"/>
        <v>98.5</v>
      </c>
      <c r="F415">
        <v>1.72</v>
      </c>
      <c r="G415" s="3">
        <f t="shared" si="89"/>
        <v>1.72</v>
      </c>
      <c r="H415">
        <v>33.299999999999997</v>
      </c>
      <c r="I415" s="5">
        <f t="shared" si="85"/>
        <v>33.299999999999997</v>
      </c>
      <c r="J415" s="16" t="str">
        <f t="shared" si="90"/>
        <v>Obese</v>
      </c>
      <c r="K415">
        <v>87.6</v>
      </c>
      <c r="L415">
        <v>0.50900000000000001</v>
      </c>
      <c r="M415" s="11">
        <f t="shared" si="86"/>
        <v>0.50900000000000001</v>
      </c>
      <c r="N415" s="5">
        <f t="shared" si="91"/>
        <v>87.6</v>
      </c>
      <c r="O415">
        <v>245</v>
      </c>
      <c r="P415">
        <v>60</v>
      </c>
      <c r="Q415" s="8">
        <f t="shared" si="92"/>
        <v>60</v>
      </c>
      <c r="R415" s="8">
        <v>155</v>
      </c>
      <c r="S415" s="8">
        <f t="shared" si="93"/>
        <v>155</v>
      </c>
      <c r="T415" s="8">
        <f>(Table1[[#This Row],[Total Cholesterol (mg/dL)]]+Table1[[#This Row],[HDL (mg/dL)2]]+Table1[[#This Row],[Estimated LDL (mg/dL)2]])*5</f>
        <v>2300</v>
      </c>
      <c r="U415" s="8">
        <f>IF(O415="",Table1[[#This Row],[Estimated LDL (mg/dL)2]]+Table1[[#This Row],[HDL (mg/dL)2]]+(Table1[[#This Row],[Triglycerides]]/5),O415)</f>
        <v>245</v>
      </c>
      <c r="V415">
        <v>131</v>
      </c>
      <c r="W415" s="8">
        <f t="shared" si="94"/>
        <v>131</v>
      </c>
      <c r="X415" t="str">
        <f t="shared" si="95"/>
        <v>Diabetes</v>
      </c>
      <c r="Y415" t="s">
        <v>23</v>
      </c>
      <c r="Z415" t="s">
        <v>23</v>
      </c>
      <c r="AA415" t="s">
        <v>37</v>
      </c>
      <c r="AB415" s="3" t="s">
        <v>177</v>
      </c>
      <c r="AC415">
        <v>127</v>
      </c>
      <c r="AD415" s="3" t="str">
        <f t="shared" si="96"/>
        <v>127</v>
      </c>
      <c r="AE415">
        <v>77</v>
      </c>
      <c r="AF415" s="3" t="str">
        <f t="shared" si="97"/>
        <v>77</v>
      </c>
      <c r="AG415" t="s">
        <v>25</v>
      </c>
      <c r="AH415" s="3">
        <v>19.91</v>
      </c>
      <c r="AI415" s="3">
        <f t="shared" si="98"/>
        <v>19.91</v>
      </c>
      <c r="AJ415" t="s">
        <v>30</v>
      </c>
      <c r="AK415" t="str">
        <f>PROPER(Table1[[#This Row],[CVD Risk Level]])</f>
        <v>High</v>
      </c>
    </row>
    <row r="416" spans="1:37" x14ac:dyDescent="0.3">
      <c r="A416" t="s">
        <v>31</v>
      </c>
      <c r="B416">
        <v>32</v>
      </c>
      <c r="C416" s="8">
        <f t="shared" si="87"/>
        <v>32</v>
      </c>
      <c r="D416" s="5">
        <v>68.099999999999994</v>
      </c>
      <c r="E416" s="8">
        <f t="shared" si="88"/>
        <v>68.099999999999994</v>
      </c>
      <c r="F416">
        <v>1.88</v>
      </c>
      <c r="G416" s="3">
        <f t="shared" si="89"/>
        <v>1.88</v>
      </c>
      <c r="H416">
        <v>19.3</v>
      </c>
      <c r="I416" s="5">
        <f t="shared" si="85"/>
        <v>19.3</v>
      </c>
      <c r="J416" s="16" t="str">
        <f t="shared" si="90"/>
        <v>Normal</v>
      </c>
      <c r="K416">
        <v>70.900000000000006</v>
      </c>
      <c r="L416">
        <v>0.377</v>
      </c>
      <c r="M416" s="11">
        <f t="shared" si="86"/>
        <v>0.377</v>
      </c>
      <c r="N416" s="5">
        <f t="shared" si="91"/>
        <v>70.900000000000006</v>
      </c>
      <c r="O416">
        <v>285</v>
      </c>
      <c r="P416">
        <v>32</v>
      </c>
      <c r="Q416" s="8">
        <f t="shared" si="92"/>
        <v>32</v>
      </c>
      <c r="R416" s="8">
        <v>223</v>
      </c>
      <c r="S416" s="8">
        <f t="shared" si="93"/>
        <v>223</v>
      </c>
      <c r="T416" s="8">
        <f>(Table1[[#This Row],[Total Cholesterol (mg/dL)]]+Table1[[#This Row],[HDL (mg/dL)2]]+Table1[[#This Row],[Estimated LDL (mg/dL)2]])*5</f>
        <v>2700</v>
      </c>
      <c r="U416" s="8">
        <f>IF(O416="",Table1[[#This Row],[Estimated LDL (mg/dL)2]]+Table1[[#This Row],[HDL (mg/dL)2]]+(Table1[[#This Row],[Triglycerides]]/5),O416)</f>
        <v>285</v>
      </c>
      <c r="V416">
        <v>77</v>
      </c>
      <c r="W416" s="8">
        <f t="shared" si="94"/>
        <v>77</v>
      </c>
      <c r="X416" t="str">
        <f t="shared" si="95"/>
        <v>Normal</v>
      </c>
      <c r="Y416" t="s">
        <v>22</v>
      </c>
      <c r="Z416" t="s">
        <v>23</v>
      </c>
      <c r="AA416" t="s">
        <v>37</v>
      </c>
      <c r="AB416" s="3" t="s">
        <v>176</v>
      </c>
      <c r="AC416">
        <v>145</v>
      </c>
      <c r="AD416" s="3" t="str">
        <f t="shared" si="96"/>
        <v>145</v>
      </c>
      <c r="AE416">
        <v>96</v>
      </c>
      <c r="AF416" s="3" t="str">
        <f t="shared" si="97"/>
        <v>96</v>
      </c>
      <c r="AG416" t="s">
        <v>38</v>
      </c>
      <c r="AH416" s="3">
        <v>18.809999999999999</v>
      </c>
      <c r="AI416" s="3">
        <f t="shared" si="98"/>
        <v>18.809999999999999</v>
      </c>
      <c r="AJ416" t="s">
        <v>30</v>
      </c>
      <c r="AK416" t="str">
        <f>PROPER(Table1[[#This Row],[CVD Risk Level]])</f>
        <v>High</v>
      </c>
    </row>
    <row r="417" spans="1:37" x14ac:dyDescent="0.3">
      <c r="A417" t="s">
        <v>20</v>
      </c>
      <c r="B417">
        <v>32</v>
      </c>
      <c r="C417" s="8">
        <f t="shared" si="87"/>
        <v>32</v>
      </c>
      <c r="D417" s="5">
        <v>54.2</v>
      </c>
      <c r="E417" s="8">
        <f t="shared" si="88"/>
        <v>54.2</v>
      </c>
      <c r="F417">
        <v>1.85</v>
      </c>
      <c r="G417" s="3">
        <f t="shared" si="89"/>
        <v>1.85</v>
      </c>
      <c r="H417">
        <v>15.8</v>
      </c>
      <c r="I417" s="5">
        <f t="shared" si="85"/>
        <v>15.8</v>
      </c>
      <c r="J417" s="16" t="str">
        <f t="shared" si="90"/>
        <v>Underweight</v>
      </c>
      <c r="K417">
        <v>89.8</v>
      </c>
      <c r="L417">
        <v>0.48499999999999999</v>
      </c>
      <c r="M417" s="11">
        <f t="shared" si="86"/>
        <v>0.48499999999999999</v>
      </c>
      <c r="N417" s="5">
        <f t="shared" si="91"/>
        <v>89.8</v>
      </c>
      <c r="O417">
        <v>223</v>
      </c>
      <c r="P417">
        <v>78</v>
      </c>
      <c r="Q417" s="8">
        <f t="shared" si="92"/>
        <v>78</v>
      </c>
      <c r="R417" s="8">
        <v>115</v>
      </c>
      <c r="S417" s="8">
        <f t="shared" si="93"/>
        <v>115</v>
      </c>
      <c r="T417" s="8">
        <f>(Table1[[#This Row],[Total Cholesterol (mg/dL)]]+Table1[[#This Row],[HDL (mg/dL)2]]+Table1[[#This Row],[Estimated LDL (mg/dL)2]])*5</f>
        <v>2080</v>
      </c>
      <c r="U417" s="8">
        <f>IF(O417="",Table1[[#This Row],[Estimated LDL (mg/dL)2]]+Table1[[#This Row],[HDL (mg/dL)2]]+(Table1[[#This Row],[Triglycerides]]/5),O417)</f>
        <v>223</v>
      </c>
      <c r="V417">
        <v>71</v>
      </c>
      <c r="W417" s="8">
        <f t="shared" si="94"/>
        <v>71</v>
      </c>
      <c r="X417" t="str">
        <f t="shared" si="95"/>
        <v>Normal</v>
      </c>
      <c r="Y417" t="s">
        <v>22</v>
      </c>
      <c r="Z417" t="s">
        <v>23</v>
      </c>
      <c r="AA417" t="s">
        <v>37</v>
      </c>
      <c r="AB417" s="3" t="s">
        <v>112</v>
      </c>
      <c r="AC417">
        <v>94</v>
      </c>
      <c r="AD417" s="3" t="str">
        <f t="shared" si="96"/>
        <v>94</v>
      </c>
      <c r="AE417">
        <v>78</v>
      </c>
      <c r="AF417" s="3" t="str">
        <f t="shared" si="97"/>
        <v>78</v>
      </c>
      <c r="AG417" t="s">
        <v>33</v>
      </c>
      <c r="AH417" s="3">
        <v>14.32</v>
      </c>
      <c r="AI417" s="3">
        <f t="shared" si="98"/>
        <v>14.32</v>
      </c>
      <c r="AJ417" t="s">
        <v>26</v>
      </c>
      <c r="AK417" t="str">
        <f>PROPER(Table1[[#This Row],[CVD Risk Level]])</f>
        <v>Intermediary</v>
      </c>
    </row>
    <row r="418" spans="1:37" x14ac:dyDescent="0.3">
      <c r="A418" t="s">
        <v>31</v>
      </c>
      <c r="B418">
        <v>47</v>
      </c>
      <c r="C418" s="8">
        <f t="shared" si="87"/>
        <v>47</v>
      </c>
      <c r="D418" s="5">
        <v>89.7</v>
      </c>
      <c r="E418" s="8">
        <f t="shared" si="88"/>
        <v>89.7</v>
      </c>
      <c r="F418">
        <v>1.6</v>
      </c>
      <c r="G418" s="3">
        <f t="shared" si="89"/>
        <v>1.6</v>
      </c>
      <c r="H418">
        <v>35</v>
      </c>
      <c r="I418" s="5">
        <f t="shared" si="85"/>
        <v>35</v>
      </c>
      <c r="J418" s="16" t="str">
        <f t="shared" si="90"/>
        <v>Obese</v>
      </c>
      <c r="K418">
        <v>95.5</v>
      </c>
      <c r="L418">
        <v>0.59699999999999998</v>
      </c>
      <c r="M418" s="11">
        <f t="shared" si="86"/>
        <v>0.59699999999999998</v>
      </c>
      <c r="N418" s="5">
        <f t="shared" si="91"/>
        <v>95.5</v>
      </c>
      <c r="O418">
        <v>172</v>
      </c>
      <c r="P418">
        <v>45</v>
      </c>
      <c r="Q418" s="8">
        <f t="shared" si="92"/>
        <v>45</v>
      </c>
      <c r="R418" s="8">
        <v>97</v>
      </c>
      <c r="S418" s="8">
        <f t="shared" si="93"/>
        <v>97</v>
      </c>
      <c r="T418" s="8">
        <f>(Table1[[#This Row],[Total Cholesterol (mg/dL)]]+Table1[[#This Row],[HDL (mg/dL)2]]+Table1[[#This Row],[Estimated LDL (mg/dL)2]])*5</f>
        <v>1570</v>
      </c>
      <c r="U418" s="8">
        <f>IF(O418="",Table1[[#This Row],[Estimated LDL (mg/dL)2]]+Table1[[#This Row],[HDL (mg/dL)2]]+(Table1[[#This Row],[Triglycerides]]/5),O418)</f>
        <v>172</v>
      </c>
      <c r="V418">
        <v>142</v>
      </c>
      <c r="W418" s="8">
        <f t="shared" si="94"/>
        <v>142</v>
      </c>
      <c r="X418" t="str">
        <f t="shared" si="95"/>
        <v>Diabetes</v>
      </c>
      <c r="Y418" t="s">
        <v>22</v>
      </c>
      <c r="Z418" t="s">
        <v>22</v>
      </c>
      <c r="AA418" t="s">
        <v>24</v>
      </c>
      <c r="AB418" s="3" t="s">
        <v>413</v>
      </c>
      <c r="AC418">
        <v>133</v>
      </c>
      <c r="AD418" s="3" t="str">
        <f t="shared" si="96"/>
        <v>133</v>
      </c>
      <c r="AE418">
        <v>64</v>
      </c>
      <c r="AF418" s="3" t="str">
        <f t="shared" si="97"/>
        <v>64</v>
      </c>
      <c r="AG418" t="s">
        <v>29</v>
      </c>
      <c r="AH418" s="3">
        <v>17.09</v>
      </c>
      <c r="AI418" s="3">
        <f t="shared" si="98"/>
        <v>17.09</v>
      </c>
      <c r="AJ418" t="s">
        <v>30</v>
      </c>
      <c r="AK418" t="str">
        <f>PROPER(Table1[[#This Row],[CVD Risk Level]])</f>
        <v>High</v>
      </c>
    </row>
    <row r="419" spans="1:37" x14ac:dyDescent="0.3">
      <c r="A419" t="s">
        <v>20</v>
      </c>
      <c r="B419">
        <v>37</v>
      </c>
      <c r="C419" s="8">
        <f t="shared" si="87"/>
        <v>37</v>
      </c>
      <c r="D419" s="5">
        <v>85.1</v>
      </c>
      <c r="E419" s="8">
        <f t="shared" si="88"/>
        <v>85.1</v>
      </c>
      <c r="F419">
        <v>1.73</v>
      </c>
      <c r="G419" s="3">
        <f t="shared" si="89"/>
        <v>1.73</v>
      </c>
      <c r="H419">
        <v>28.4</v>
      </c>
      <c r="I419" s="5">
        <f t="shared" si="85"/>
        <v>28.4</v>
      </c>
      <c r="J419" s="16" t="str">
        <f t="shared" si="90"/>
        <v>Overweight</v>
      </c>
      <c r="K419">
        <v>75.099999999999994</v>
      </c>
      <c r="L419">
        <v>0.434</v>
      </c>
      <c r="M419" s="11">
        <f t="shared" si="86"/>
        <v>0.434</v>
      </c>
      <c r="N419" s="5">
        <f t="shared" si="91"/>
        <v>75.099999999999994</v>
      </c>
      <c r="O419">
        <v>292</v>
      </c>
      <c r="P419">
        <v>59</v>
      </c>
      <c r="Q419" s="8">
        <f t="shared" si="92"/>
        <v>59</v>
      </c>
      <c r="R419" s="8">
        <v>203</v>
      </c>
      <c r="S419" s="8">
        <f t="shared" si="93"/>
        <v>203</v>
      </c>
      <c r="T419" s="8">
        <f>(Table1[[#This Row],[Total Cholesterol (mg/dL)]]+Table1[[#This Row],[HDL (mg/dL)2]]+Table1[[#This Row],[Estimated LDL (mg/dL)2]])*5</f>
        <v>2770</v>
      </c>
      <c r="U419" s="8">
        <f>IF(O419="",Table1[[#This Row],[Estimated LDL (mg/dL)2]]+Table1[[#This Row],[HDL (mg/dL)2]]+(Table1[[#This Row],[Triglycerides]]/5),O419)</f>
        <v>292</v>
      </c>
      <c r="V419">
        <v>89</v>
      </c>
      <c r="W419" s="8">
        <f t="shared" si="94"/>
        <v>89</v>
      </c>
      <c r="X419" t="str">
        <f t="shared" si="95"/>
        <v>Normal</v>
      </c>
      <c r="Y419" t="s">
        <v>23</v>
      </c>
      <c r="Z419" t="s">
        <v>22</v>
      </c>
      <c r="AA419" t="s">
        <v>37</v>
      </c>
      <c r="AB419" s="3" t="s">
        <v>414</v>
      </c>
      <c r="AC419">
        <v>150</v>
      </c>
      <c r="AD419" s="3" t="str">
        <f t="shared" si="96"/>
        <v>150</v>
      </c>
      <c r="AE419">
        <v>64</v>
      </c>
      <c r="AF419" s="3" t="str">
        <f t="shared" si="97"/>
        <v>64</v>
      </c>
      <c r="AG419" t="s">
        <v>38</v>
      </c>
      <c r="AH419" s="3">
        <v>19.02</v>
      </c>
      <c r="AI419" s="3">
        <f t="shared" si="98"/>
        <v>19.02</v>
      </c>
      <c r="AJ419" t="s">
        <v>30</v>
      </c>
      <c r="AK419" t="str">
        <f>PROPER(Table1[[#This Row],[CVD Risk Level]])</f>
        <v>High</v>
      </c>
    </row>
    <row r="420" spans="1:37" x14ac:dyDescent="0.3">
      <c r="A420" t="s">
        <v>20</v>
      </c>
      <c r="B420">
        <v>33</v>
      </c>
      <c r="C420" s="8">
        <f t="shared" si="87"/>
        <v>33</v>
      </c>
      <c r="D420" s="5">
        <v>94.7</v>
      </c>
      <c r="E420" s="8">
        <f t="shared" si="88"/>
        <v>94.7</v>
      </c>
      <c r="F420">
        <v>1.82</v>
      </c>
      <c r="G420" s="3">
        <f t="shared" si="89"/>
        <v>1.82</v>
      </c>
      <c r="H420">
        <v>28.6</v>
      </c>
      <c r="I420" s="5">
        <f t="shared" si="85"/>
        <v>28.6</v>
      </c>
      <c r="J420" s="16" t="str">
        <f t="shared" si="90"/>
        <v>Overweight</v>
      </c>
      <c r="K420">
        <v>76.7</v>
      </c>
      <c r="L420">
        <v>0.42099999999999999</v>
      </c>
      <c r="M420" s="11">
        <f t="shared" si="86"/>
        <v>0.42099999999999999</v>
      </c>
      <c r="N420" s="5">
        <f t="shared" si="91"/>
        <v>76.7</v>
      </c>
      <c r="O420">
        <v>243</v>
      </c>
      <c r="P420">
        <v>34</v>
      </c>
      <c r="Q420" s="8">
        <f t="shared" si="92"/>
        <v>34</v>
      </c>
      <c r="R420" s="8">
        <v>179</v>
      </c>
      <c r="S420" s="8">
        <f t="shared" si="93"/>
        <v>179</v>
      </c>
      <c r="T420" s="8">
        <f>(Table1[[#This Row],[Total Cholesterol (mg/dL)]]+Table1[[#This Row],[HDL (mg/dL)2]]+Table1[[#This Row],[Estimated LDL (mg/dL)2]])*5</f>
        <v>2280</v>
      </c>
      <c r="U420" s="8">
        <f>IF(O420="",Table1[[#This Row],[Estimated LDL (mg/dL)2]]+Table1[[#This Row],[HDL (mg/dL)2]]+(Table1[[#This Row],[Triglycerides]]/5),O420)</f>
        <v>243</v>
      </c>
      <c r="V420">
        <v>121</v>
      </c>
      <c r="W420" s="8">
        <f t="shared" si="94"/>
        <v>121</v>
      </c>
      <c r="X420" t="str">
        <f t="shared" si="95"/>
        <v>Prediabetes</v>
      </c>
      <c r="Y420" t="s">
        <v>23</v>
      </c>
      <c r="Z420" t="s">
        <v>22</v>
      </c>
      <c r="AA420" t="s">
        <v>37</v>
      </c>
      <c r="AB420" s="3" t="s">
        <v>54</v>
      </c>
      <c r="AC420">
        <v>132</v>
      </c>
      <c r="AD420" s="3" t="str">
        <f t="shared" si="96"/>
        <v>132</v>
      </c>
      <c r="AE420">
        <v>92</v>
      </c>
      <c r="AF420" s="3" t="str">
        <f t="shared" si="97"/>
        <v>92</v>
      </c>
      <c r="AG420" t="s">
        <v>29</v>
      </c>
      <c r="AH420" s="3">
        <v>17.18</v>
      </c>
      <c r="AI420" s="3">
        <f t="shared" si="98"/>
        <v>17.18</v>
      </c>
      <c r="AJ420" t="s">
        <v>30</v>
      </c>
      <c r="AK420" t="str">
        <f>PROPER(Table1[[#This Row],[CVD Risk Level]])</f>
        <v>High</v>
      </c>
    </row>
    <row r="421" spans="1:37" x14ac:dyDescent="0.3">
      <c r="A421" t="s">
        <v>20</v>
      </c>
      <c r="B421">
        <v>47</v>
      </c>
      <c r="C421" s="8">
        <f t="shared" si="87"/>
        <v>47</v>
      </c>
      <c r="D421" s="5">
        <v>110.2</v>
      </c>
      <c r="E421" s="8">
        <f t="shared" si="88"/>
        <v>110.2</v>
      </c>
      <c r="F421">
        <v>1.75</v>
      </c>
      <c r="G421" s="3">
        <f t="shared" si="89"/>
        <v>1.75</v>
      </c>
      <c r="H421">
        <v>36</v>
      </c>
      <c r="I421" s="5">
        <f t="shared" si="85"/>
        <v>36</v>
      </c>
      <c r="J421" s="16" t="str">
        <f t="shared" si="90"/>
        <v>Obese</v>
      </c>
      <c r="K421">
        <v>93.4</v>
      </c>
      <c r="L421">
        <v>0.53400000000000003</v>
      </c>
      <c r="M421" s="11">
        <f t="shared" si="86"/>
        <v>0.53400000000000003</v>
      </c>
      <c r="N421" s="5">
        <f t="shared" si="91"/>
        <v>93.4</v>
      </c>
      <c r="O421">
        <v>269</v>
      </c>
      <c r="P421">
        <v>73</v>
      </c>
      <c r="Q421" s="8">
        <f t="shared" si="92"/>
        <v>73</v>
      </c>
      <c r="S421" s="8">
        <f t="shared" si="93"/>
        <v>109</v>
      </c>
      <c r="T421" s="8">
        <f>(Table1[[#This Row],[Total Cholesterol (mg/dL)]]+Table1[[#This Row],[HDL (mg/dL)2]]+Table1[[#This Row],[Estimated LDL (mg/dL)2]])*5</f>
        <v>2255</v>
      </c>
      <c r="U421" s="8">
        <f>IF(O421="",Table1[[#This Row],[Estimated LDL (mg/dL)2]]+Table1[[#This Row],[HDL (mg/dL)2]]+(Table1[[#This Row],[Triglycerides]]/5),O421)</f>
        <v>269</v>
      </c>
      <c r="V421">
        <v>77</v>
      </c>
      <c r="W421" s="8">
        <f t="shared" si="94"/>
        <v>77</v>
      </c>
      <c r="X421" t="str">
        <f t="shared" si="95"/>
        <v>Normal</v>
      </c>
      <c r="Y421" t="s">
        <v>22</v>
      </c>
      <c r="Z421" t="s">
        <v>23</v>
      </c>
      <c r="AA421" t="s">
        <v>24</v>
      </c>
      <c r="AB421" s="3" t="s">
        <v>227</v>
      </c>
      <c r="AC421">
        <v>143</v>
      </c>
      <c r="AD421" s="3" t="str">
        <f t="shared" si="96"/>
        <v>143</v>
      </c>
      <c r="AE421">
        <v>89</v>
      </c>
      <c r="AF421" s="3" t="str">
        <f t="shared" si="97"/>
        <v>89</v>
      </c>
      <c r="AG421" t="s">
        <v>29</v>
      </c>
      <c r="AH421" s="3">
        <v>21.73</v>
      </c>
      <c r="AI421" s="3">
        <f t="shared" si="98"/>
        <v>21.73</v>
      </c>
      <c r="AJ421" t="s">
        <v>30</v>
      </c>
      <c r="AK421" t="str">
        <f>PROPER(Table1[[#This Row],[CVD Risk Level]])</f>
        <v>High</v>
      </c>
    </row>
    <row r="422" spans="1:37" x14ac:dyDescent="0.3">
      <c r="A422" t="s">
        <v>20</v>
      </c>
      <c r="B422">
        <v>58</v>
      </c>
      <c r="C422" s="8">
        <f t="shared" si="87"/>
        <v>58</v>
      </c>
      <c r="D422" s="5">
        <v>91.2</v>
      </c>
      <c r="E422" s="8">
        <f t="shared" si="88"/>
        <v>91.2</v>
      </c>
      <c r="G422" s="3">
        <f t="shared" si="89"/>
        <v>1.6499660783487315</v>
      </c>
      <c r="H422">
        <v>33.5</v>
      </c>
      <c r="I422" s="5">
        <f t="shared" si="85"/>
        <v>33.5</v>
      </c>
      <c r="J422" s="16" t="str">
        <f t="shared" si="90"/>
        <v>Obese</v>
      </c>
      <c r="K422">
        <v>76.400000000000006</v>
      </c>
      <c r="L422">
        <v>0.46300000000000002</v>
      </c>
      <c r="M422" s="11">
        <f t="shared" si="86"/>
        <v>0.46300000000000002</v>
      </c>
      <c r="N422" s="5">
        <f t="shared" si="91"/>
        <v>76.400000000000006</v>
      </c>
      <c r="O422">
        <v>189</v>
      </c>
      <c r="P422">
        <v>45</v>
      </c>
      <c r="Q422" s="8">
        <f t="shared" si="92"/>
        <v>45</v>
      </c>
      <c r="R422" s="8">
        <v>114</v>
      </c>
      <c r="S422" s="8">
        <f t="shared" si="93"/>
        <v>114</v>
      </c>
      <c r="T422" s="8">
        <f>(Table1[[#This Row],[Total Cholesterol (mg/dL)]]+Table1[[#This Row],[HDL (mg/dL)2]]+Table1[[#This Row],[Estimated LDL (mg/dL)2]])*5</f>
        <v>1740</v>
      </c>
      <c r="U422" s="8">
        <f>IF(O422="",Table1[[#This Row],[Estimated LDL (mg/dL)2]]+Table1[[#This Row],[HDL (mg/dL)2]]+(Table1[[#This Row],[Triglycerides]]/5),O422)</f>
        <v>189</v>
      </c>
      <c r="V422">
        <v>141</v>
      </c>
      <c r="W422" s="8">
        <f t="shared" si="94"/>
        <v>141</v>
      </c>
      <c r="X422" t="str">
        <f t="shared" si="95"/>
        <v>Diabetes</v>
      </c>
      <c r="Y422" t="s">
        <v>22</v>
      </c>
      <c r="Z422" t="s">
        <v>23</v>
      </c>
      <c r="AA422" t="s">
        <v>24</v>
      </c>
      <c r="AB422" s="3" t="s">
        <v>415</v>
      </c>
      <c r="AC422">
        <v>98</v>
      </c>
      <c r="AD422" s="3" t="str">
        <f t="shared" si="96"/>
        <v>98</v>
      </c>
      <c r="AE422">
        <v>88</v>
      </c>
      <c r="AF422" s="3" t="str">
        <f t="shared" si="97"/>
        <v>88</v>
      </c>
      <c r="AG422" t="s">
        <v>29</v>
      </c>
      <c r="AH422" s="3">
        <v>17.38</v>
      </c>
      <c r="AI422" s="3">
        <f t="shared" si="98"/>
        <v>17.38</v>
      </c>
      <c r="AJ422" t="s">
        <v>30</v>
      </c>
      <c r="AK422" t="str">
        <f>PROPER(Table1[[#This Row],[CVD Risk Level]])</f>
        <v>High</v>
      </c>
    </row>
    <row r="423" spans="1:37" x14ac:dyDescent="0.3">
      <c r="A423" t="s">
        <v>31</v>
      </c>
      <c r="B423">
        <v>42</v>
      </c>
      <c r="C423" s="8">
        <f t="shared" si="87"/>
        <v>42</v>
      </c>
      <c r="D423" s="5">
        <v>61.7</v>
      </c>
      <c r="E423" s="8">
        <f t="shared" si="88"/>
        <v>61.7</v>
      </c>
      <c r="F423">
        <v>1.86</v>
      </c>
      <c r="G423" s="3">
        <f t="shared" si="89"/>
        <v>1.86</v>
      </c>
      <c r="H423">
        <v>17.8</v>
      </c>
      <c r="I423" s="5">
        <f t="shared" si="85"/>
        <v>17.8</v>
      </c>
      <c r="J423" s="16" t="str">
        <f t="shared" si="90"/>
        <v>Underweight</v>
      </c>
      <c r="K423">
        <v>74.400000000000006</v>
      </c>
      <c r="L423">
        <v>0.4</v>
      </c>
      <c r="M423" s="11">
        <f t="shared" si="86"/>
        <v>0.4</v>
      </c>
      <c r="N423" s="5">
        <f t="shared" si="91"/>
        <v>74.400000000000006</v>
      </c>
      <c r="O423">
        <v>181</v>
      </c>
      <c r="P423">
        <v>46</v>
      </c>
      <c r="Q423" s="8">
        <f t="shared" si="92"/>
        <v>46</v>
      </c>
      <c r="R423" s="8">
        <v>105</v>
      </c>
      <c r="S423" s="8">
        <f t="shared" si="93"/>
        <v>105</v>
      </c>
      <c r="T423" s="8">
        <f>(Table1[[#This Row],[Total Cholesterol (mg/dL)]]+Table1[[#This Row],[HDL (mg/dL)2]]+Table1[[#This Row],[Estimated LDL (mg/dL)2]])*5</f>
        <v>1660</v>
      </c>
      <c r="U423" s="8">
        <f>IF(O423="",Table1[[#This Row],[Estimated LDL (mg/dL)2]]+Table1[[#This Row],[HDL (mg/dL)2]]+(Table1[[#This Row],[Triglycerides]]/5),O423)</f>
        <v>181</v>
      </c>
      <c r="V423">
        <v>71</v>
      </c>
      <c r="W423" s="8">
        <f t="shared" si="94"/>
        <v>71</v>
      </c>
      <c r="X423" t="str">
        <f t="shared" si="95"/>
        <v>Normal</v>
      </c>
      <c r="Y423" t="s">
        <v>22</v>
      </c>
      <c r="Z423" t="s">
        <v>23</v>
      </c>
      <c r="AA423" t="s">
        <v>37</v>
      </c>
      <c r="AB423" s="3" t="s">
        <v>416</v>
      </c>
      <c r="AC423">
        <v>128</v>
      </c>
      <c r="AD423" s="3" t="str">
        <f t="shared" si="96"/>
        <v>128</v>
      </c>
      <c r="AE423">
        <v>64</v>
      </c>
      <c r="AF423" s="3" t="str">
        <f t="shared" si="97"/>
        <v>64</v>
      </c>
      <c r="AG423" t="s">
        <v>25</v>
      </c>
      <c r="AI423" s="3">
        <f t="shared" si="98"/>
        <v>16.960925291295425</v>
      </c>
      <c r="AJ423" t="s">
        <v>52</v>
      </c>
      <c r="AK423" t="str">
        <f>PROPER(Table1[[#This Row],[CVD Risk Level]])</f>
        <v>Low</v>
      </c>
    </row>
    <row r="424" spans="1:37" x14ac:dyDescent="0.3">
      <c r="A424" t="s">
        <v>20</v>
      </c>
      <c r="B424">
        <v>59</v>
      </c>
      <c r="C424" s="8">
        <f t="shared" si="87"/>
        <v>59</v>
      </c>
      <c r="D424" s="5">
        <v>87</v>
      </c>
      <c r="E424" s="8">
        <f t="shared" si="88"/>
        <v>87</v>
      </c>
      <c r="F424">
        <v>1.62</v>
      </c>
      <c r="G424" s="3">
        <f t="shared" si="89"/>
        <v>1.62</v>
      </c>
      <c r="H424">
        <v>33.200000000000003</v>
      </c>
      <c r="I424" s="5">
        <f t="shared" si="85"/>
        <v>33.200000000000003</v>
      </c>
      <c r="J424" s="16" t="str">
        <f t="shared" si="90"/>
        <v>Obese</v>
      </c>
      <c r="K424">
        <v>109.8</v>
      </c>
      <c r="L424">
        <v>0.67800000000000005</v>
      </c>
      <c r="M424" s="11">
        <f t="shared" si="86"/>
        <v>0.67800000000000005</v>
      </c>
      <c r="N424" s="5">
        <f t="shared" si="91"/>
        <v>109.8</v>
      </c>
      <c r="O424">
        <v>120</v>
      </c>
      <c r="P424">
        <v>78</v>
      </c>
      <c r="Q424" s="8">
        <f t="shared" si="92"/>
        <v>78</v>
      </c>
      <c r="R424" s="8">
        <v>12</v>
      </c>
      <c r="S424" s="8">
        <f t="shared" si="93"/>
        <v>12</v>
      </c>
      <c r="T424" s="8">
        <f>(Table1[[#This Row],[Total Cholesterol (mg/dL)]]+Table1[[#This Row],[HDL (mg/dL)2]]+Table1[[#This Row],[Estimated LDL (mg/dL)2]])*5</f>
        <v>1050</v>
      </c>
      <c r="U424" s="8">
        <f>IF(O424="",Table1[[#This Row],[Estimated LDL (mg/dL)2]]+Table1[[#This Row],[HDL (mg/dL)2]]+(Table1[[#This Row],[Triglycerides]]/5),O424)</f>
        <v>120</v>
      </c>
      <c r="V424">
        <v>85</v>
      </c>
      <c r="W424" s="8">
        <f t="shared" si="94"/>
        <v>85</v>
      </c>
      <c r="X424" t="str">
        <f t="shared" si="95"/>
        <v>Normal</v>
      </c>
      <c r="Y424" t="s">
        <v>23</v>
      </c>
      <c r="Z424" t="s">
        <v>22</v>
      </c>
      <c r="AA424" t="s">
        <v>28</v>
      </c>
      <c r="AB424" s="3" t="s">
        <v>417</v>
      </c>
      <c r="AD424" s="3" t="str">
        <f t="shared" si="96"/>
        <v>142</v>
      </c>
      <c r="AE424">
        <v>87</v>
      </c>
      <c r="AF424" s="3" t="str">
        <f t="shared" si="97"/>
        <v>87</v>
      </c>
      <c r="AG424" t="s">
        <v>29</v>
      </c>
      <c r="AH424" s="3">
        <v>16.14</v>
      </c>
      <c r="AI424" s="3">
        <f t="shared" si="98"/>
        <v>16.14</v>
      </c>
      <c r="AJ424" t="s">
        <v>30</v>
      </c>
      <c r="AK424" t="str">
        <f>PROPER(Table1[[#This Row],[CVD Risk Level]])</f>
        <v>High</v>
      </c>
    </row>
    <row r="425" spans="1:37" x14ac:dyDescent="0.3">
      <c r="A425" t="s">
        <v>31</v>
      </c>
      <c r="B425">
        <v>56</v>
      </c>
      <c r="C425" s="8">
        <f t="shared" si="87"/>
        <v>56</v>
      </c>
      <c r="D425" s="5">
        <v>77</v>
      </c>
      <c r="E425" s="8">
        <f t="shared" si="88"/>
        <v>77</v>
      </c>
      <c r="F425">
        <v>1.61</v>
      </c>
      <c r="G425" s="3">
        <f t="shared" si="89"/>
        <v>1.61</v>
      </c>
      <c r="H425">
        <v>29.7</v>
      </c>
      <c r="I425" s="5">
        <f t="shared" si="85"/>
        <v>29.7</v>
      </c>
      <c r="J425" s="16" t="str">
        <f t="shared" si="90"/>
        <v>Overweight</v>
      </c>
      <c r="K425">
        <v>99.7</v>
      </c>
      <c r="L425">
        <v>0.61899999999999999</v>
      </c>
      <c r="M425" s="11">
        <f t="shared" si="86"/>
        <v>0.61899999999999999</v>
      </c>
      <c r="N425" s="5">
        <f t="shared" si="91"/>
        <v>99.7</v>
      </c>
      <c r="O425">
        <v>220</v>
      </c>
      <c r="P425">
        <v>55</v>
      </c>
      <c r="Q425" s="8">
        <f t="shared" si="92"/>
        <v>55</v>
      </c>
      <c r="R425" s="8">
        <v>135</v>
      </c>
      <c r="S425" s="8">
        <f t="shared" si="93"/>
        <v>135</v>
      </c>
      <c r="T425" s="8">
        <f>(Table1[[#This Row],[Total Cholesterol (mg/dL)]]+Table1[[#This Row],[HDL (mg/dL)2]]+Table1[[#This Row],[Estimated LDL (mg/dL)2]])*5</f>
        <v>2050</v>
      </c>
      <c r="U425" s="8">
        <f>IF(O425="",Table1[[#This Row],[Estimated LDL (mg/dL)2]]+Table1[[#This Row],[HDL (mg/dL)2]]+(Table1[[#This Row],[Triglycerides]]/5),O425)</f>
        <v>220</v>
      </c>
      <c r="V425">
        <v>105</v>
      </c>
      <c r="W425" s="8">
        <f t="shared" si="94"/>
        <v>105</v>
      </c>
      <c r="X425" t="str">
        <f t="shared" si="95"/>
        <v>Prediabetes</v>
      </c>
      <c r="Y425" t="s">
        <v>23</v>
      </c>
      <c r="Z425" t="s">
        <v>22</v>
      </c>
      <c r="AA425" t="s">
        <v>24</v>
      </c>
      <c r="AB425" s="3" t="s">
        <v>418</v>
      </c>
      <c r="AC425">
        <v>96</v>
      </c>
      <c r="AD425" s="3" t="str">
        <f t="shared" si="96"/>
        <v>96</v>
      </c>
      <c r="AE425">
        <v>85</v>
      </c>
      <c r="AF425" s="3" t="str">
        <f t="shared" si="97"/>
        <v>85</v>
      </c>
      <c r="AG425" t="s">
        <v>29</v>
      </c>
      <c r="AH425" s="3">
        <v>15.14</v>
      </c>
      <c r="AI425" s="3">
        <f t="shared" si="98"/>
        <v>15.14</v>
      </c>
      <c r="AJ425" t="s">
        <v>30</v>
      </c>
      <c r="AK425" t="str">
        <f>PROPER(Table1[[#This Row],[CVD Risk Level]])</f>
        <v>High</v>
      </c>
    </row>
    <row r="426" spans="1:37" x14ac:dyDescent="0.3">
      <c r="A426" t="s">
        <v>31</v>
      </c>
      <c r="B426">
        <v>33</v>
      </c>
      <c r="C426" s="8">
        <f t="shared" si="87"/>
        <v>33</v>
      </c>
      <c r="D426" s="5">
        <v>79.8</v>
      </c>
      <c r="E426" s="8">
        <f t="shared" si="88"/>
        <v>79.8</v>
      </c>
      <c r="F426">
        <v>1.67</v>
      </c>
      <c r="G426" s="3">
        <f t="shared" si="89"/>
        <v>1.67</v>
      </c>
      <c r="H426">
        <v>28.6</v>
      </c>
      <c r="I426" s="5">
        <f t="shared" si="85"/>
        <v>28.6</v>
      </c>
      <c r="J426" s="16" t="str">
        <f t="shared" si="90"/>
        <v>Overweight</v>
      </c>
      <c r="K426">
        <v>93.5</v>
      </c>
      <c r="L426">
        <v>0.56000000000000005</v>
      </c>
      <c r="M426" s="11">
        <f t="shared" si="86"/>
        <v>0.56000000000000005</v>
      </c>
      <c r="N426" s="5">
        <f t="shared" si="91"/>
        <v>93.5</v>
      </c>
      <c r="O426">
        <v>174</v>
      </c>
      <c r="P426">
        <v>56</v>
      </c>
      <c r="Q426" s="8">
        <f t="shared" si="92"/>
        <v>56</v>
      </c>
      <c r="R426" s="8">
        <v>88</v>
      </c>
      <c r="S426" s="8">
        <f t="shared" si="93"/>
        <v>88</v>
      </c>
      <c r="T426" s="8">
        <f>(Table1[[#This Row],[Total Cholesterol (mg/dL)]]+Table1[[#This Row],[HDL (mg/dL)2]]+Table1[[#This Row],[Estimated LDL (mg/dL)2]])*5</f>
        <v>1590</v>
      </c>
      <c r="U426" s="8">
        <f>IF(O426="",Table1[[#This Row],[Estimated LDL (mg/dL)2]]+Table1[[#This Row],[HDL (mg/dL)2]]+(Table1[[#This Row],[Triglycerides]]/5),O426)</f>
        <v>174</v>
      </c>
      <c r="V426">
        <v>119</v>
      </c>
      <c r="W426" s="8">
        <f t="shared" si="94"/>
        <v>119</v>
      </c>
      <c r="X426" t="str">
        <f t="shared" si="95"/>
        <v>Prediabetes</v>
      </c>
      <c r="Y426" t="s">
        <v>23</v>
      </c>
      <c r="Z426" t="s">
        <v>23</v>
      </c>
      <c r="AA426" t="s">
        <v>37</v>
      </c>
      <c r="AB426" s="3" t="s">
        <v>419</v>
      </c>
      <c r="AC426">
        <v>104</v>
      </c>
      <c r="AD426" s="3" t="str">
        <f t="shared" si="96"/>
        <v>104</v>
      </c>
      <c r="AE426">
        <v>84</v>
      </c>
      <c r="AF426" s="3" t="str">
        <f t="shared" si="97"/>
        <v>84</v>
      </c>
      <c r="AG426" t="s">
        <v>29</v>
      </c>
      <c r="AH426" s="3">
        <v>16.399999999999999</v>
      </c>
      <c r="AI426" s="3">
        <f t="shared" si="98"/>
        <v>16.399999999999999</v>
      </c>
      <c r="AJ426" t="s">
        <v>30</v>
      </c>
      <c r="AK426" t="str">
        <f>PROPER(Table1[[#This Row],[CVD Risk Level]])</f>
        <v>High</v>
      </c>
    </row>
    <row r="427" spans="1:37" x14ac:dyDescent="0.3">
      <c r="A427" t="s">
        <v>31</v>
      </c>
      <c r="B427">
        <v>56</v>
      </c>
      <c r="C427" s="8">
        <f t="shared" si="87"/>
        <v>56</v>
      </c>
      <c r="D427" s="5">
        <v>70.400000000000006</v>
      </c>
      <c r="E427" s="8">
        <f t="shared" si="88"/>
        <v>70.400000000000006</v>
      </c>
      <c r="F427">
        <v>1.69</v>
      </c>
      <c r="G427" s="3">
        <f t="shared" si="89"/>
        <v>1.69</v>
      </c>
      <c r="H427">
        <v>24.6</v>
      </c>
      <c r="I427" s="5">
        <f t="shared" si="85"/>
        <v>24.6</v>
      </c>
      <c r="J427" s="16" t="str">
        <f t="shared" si="90"/>
        <v>Normal</v>
      </c>
      <c r="K427">
        <v>75.900000000000006</v>
      </c>
      <c r="L427">
        <v>0.44900000000000001</v>
      </c>
      <c r="M427" s="11">
        <f t="shared" si="86"/>
        <v>0.44900000000000001</v>
      </c>
      <c r="N427" s="5">
        <f t="shared" si="91"/>
        <v>75.900000000000006</v>
      </c>
      <c r="O427">
        <v>113</v>
      </c>
      <c r="P427">
        <v>33</v>
      </c>
      <c r="Q427" s="8">
        <f t="shared" si="92"/>
        <v>33</v>
      </c>
      <c r="R427" s="8">
        <v>50</v>
      </c>
      <c r="S427" s="8">
        <f t="shared" si="93"/>
        <v>50</v>
      </c>
      <c r="T427" s="8">
        <f>(Table1[[#This Row],[Total Cholesterol (mg/dL)]]+Table1[[#This Row],[HDL (mg/dL)2]]+Table1[[#This Row],[Estimated LDL (mg/dL)2]])*5</f>
        <v>980</v>
      </c>
      <c r="U427" s="8">
        <f>IF(O427="",Table1[[#This Row],[Estimated LDL (mg/dL)2]]+Table1[[#This Row],[HDL (mg/dL)2]]+(Table1[[#This Row],[Triglycerides]]/5),O427)</f>
        <v>113</v>
      </c>
      <c r="V427">
        <v>130</v>
      </c>
      <c r="W427" s="8">
        <f t="shared" si="94"/>
        <v>130</v>
      </c>
      <c r="X427" t="str">
        <f t="shared" si="95"/>
        <v>Diabetes</v>
      </c>
      <c r="Y427" t="s">
        <v>22</v>
      </c>
      <c r="Z427" t="s">
        <v>22</v>
      </c>
      <c r="AA427" t="s">
        <v>24</v>
      </c>
      <c r="AB427" s="3" t="s">
        <v>420</v>
      </c>
      <c r="AC427">
        <v>132</v>
      </c>
      <c r="AD427" s="3" t="str">
        <f t="shared" si="96"/>
        <v>132</v>
      </c>
      <c r="AE427">
        <v>87</v>
      </c>
      <c r="AF427" s="3" t="str">
        <f t="shared" si="97"/>
        <v>87</v>
      </c>
      <c r="AG427" t="s">
        <v>29</v>
      </c>
      <c r="AH427" s="3">
        <v>13.78</v>
      </c>
      <c r="AI427" s="3">
        <f t="shared" si="98"/>
        <v>13.78</v>
      </c>
      <c r="AJ427" t="s">
        <v>30</v>
      </c>
      <c r="AK427" t="str">
        <f>PROPER(Table1[[#This Row],[CVD Risk Level]])</f>
        <v>High</v>
      </c>
    </row>
    <row r="428" spans="1:37" x14ac:dyDescent="0.3">
      <c r="A428" t="s">
        <v>20</v>
      </c>
      <c r="B428">
        <v>44</v>
      </c>
      <c r="C428" s="8">
        <f t="shared" si="87"/>
        <v>44</v>
      </c>
      <c r="D428" s="5">
        <v>113.6</v>
      </c>
      <c r="E428" s="8">
        <f t="shared" si="88"/>
        <v>113.6</v>
      </c>
      <c r="F428">
        <v>1.85</v>
      </c>
      <c r="G428" s="3">
        <f t="shared" si="89"/>
        <v>1.85</v>
      </c>
      <c r="H428">
        <v>33.200000000000003</v>
      </c>
      <c r="I428" s="5">
        <f t="shared" si="85"/>
        <v>33.200000000000003</v>
      </c>
      <c r="J428" s="16" t="str">
        <f t="shared" si="90"/>
        <v>Obese</v>
      </c>
      <c r="K428">
        <v>107.6</v>
      </c>
      <c r="L428">
        <v>0.58199999999999996</v>
      </c>
      <c r="M428" s="11">
        <f t="shared" si="86"/>
        <v>0.58199999999999996</v>
      </c>
      <c r="N428" s="5">
        <f t="shared" si="91"/>
        <v>107.6</v>
      </c>
      <c r="O428">
        <v>123</v>
      </c>
      <c r="Q428" s="8">
        <f t="shared" si="92"/>
        <v>56.197377501725327</v>
      </c>
      <c r="R428" s="8">
        <v>15</v>
      </c>
      <c r="S428" s="8">
        <f>IF(R428&lt;=0,MEDIAN($R$2:$R$1530),R428)</f>
        <v>15</v>
      </c>
      <c r="T428" s="8">
        <f>(Table1[[#This Row],[Total Cholesterol (mg/dL)]]+Table1[[#This Row],[HDL (mg/dL)2]]+Table1[[#This Row],[Estimated LDL (mg/dL)2]])*5</f>
        <v>970.98688750862664</v>
      </c>
      <c r="U428" s="8">
        <f>IF(O428="",Table1[[#This Row],[Estimated LDL (mg/dL)2]]+Table1[[#This Row],[HDL (mg/dL)2]]+(Table1[[#This Row],[Triglycerides]]/5),O428)</f>
        <v>123</v>
      </c>
      <c r="V428">
        <v>132</v>
      </c>
      <c r="W428" s="8">
        <f t="shared" si="94"/>
        <v>132</v>
      </c>
      <c r="X428" t="str">
        <f t="shared" si="95"/>
        <v>Diabetes</v>
      </c>
      <c r="Y428" t="s">
        <v>22</v>
      </c>
      <c r="Z428" t="s">
        <v>23</v>
      </c>
      <c r="AA428" t="s">
        <v>28</v>
      </c>
      <c r="AB428" s="3" t="s">
        <v>421</v>
      </c>
      <c r="AC428">
        <v>131</v>
      </c>
      <c r="AD428" s="3" t="str">
        <f t="shared" si="96"/>
        <v>131</v>
      </c>
      <c r="AE428">
        <v>88</v>
      </c>
      <c r="AF428" s="3" t="str">
        <f t="shared" si="97"/>
        <v>88</v>
      </c>
      <c r="AG428" t="s">
        <v>29</v>
      </c>
      <c r="AH428" s="3">
        <v>17.649999999999999</v>
      </c>
      <c r="AI428" s="3">
        <f t="shared" si="98"/>
        <v>17.649999999999999</v>
      </c>
      <c r="AJ428" t="s">
        <v>26</v>
      </c>
      <c r="AK428" t="str">
        <f>PROPER(Table1[[#This Row],[CVD Risk Level]])</f>
        <v>Intermediary</v>
      </c>
    </row>
    <row r="429" spans="1:37" x14ac:dyDescent="0.3">
      <c r="A429" t="s">
        <v>31</v>
      </c>
      <c r="B429">
        <v>32</v>
      </c>
      <c r="C429" s="8">
        <f t="shared" si="87"/>
        <v>32</v>
      </c>
      <c r="D429" s="5">
        <v>108.8</v>
      </c>
      <c r="E429" s="8">
        <f t="shared" si="88"/>
        <v>108.8</v>
      </c>
      <c r="F429">
        <v>1.89</v>
      </c>
      <c r="G429" s="3">
        <f t="shared" si="89"/>
        <v>1.89</v>
      </c>
      <c r="H429">
        <v>30.5</v>
      </c>
      <c r="I429" s="5">
        <f t="shared" si="85"/>
        <v>30.5</v>
      </c>
      <c r="J429" s="16" t="str">
        <f t="shared" si="90"/>
        <v>Obese</v>
      </c>
      <c r="K429">
        <v>83</v>
      </c>
      <c r="L429">
        <v>0.439</v>
      </c>
      <c r="M429" s="11">
        <f t="shared" si="86"/>
        <v>0.439</v>
      </c>
      <c r="N429" s="5">
        <f t="shared" si="91"/>
        <v>83</v>
      </c>
      <c r="O429">
        <v>228</v>
      </c>
      <c r="P429">
        <v>46</v>
      </c>
      <c r="Q429" s="8">
        <f t="shared" si="92"/>
        <v>46</v>
      </c>
      <c r="R429" s="8">
        <v>152</v>
      </c>
      <c r="S429" s="8">
        <f t="shared" si="93"/>
        <v>152</v>
      </c>
      <c r="T429" s="8">
        <f>(Table1[[#This Row],[Total Cholesterol (mg/dL)]]+Table1[[#This Row],[HDL (mg/dL)2]]+Table1[[#This Row],[Estimated LDL (mg/dL)2]])*5</f>
        <v>2130</v>
      </c>
      <c r="U429" s="8">
        <f>IF(O429="",Table1[[#This Row],[Estimated LDL (mg/dL)2]]+Table1[[#This Row],[HDL (mg/dL)2]]+(Table1[[#This Row],[Triglycerides]]/5),O429)</f>
        <v>228</v>
      </c>
      <c r="V429">
        <v>116</v>
      </c>
      <c r="W429" s="8">
        <f t="shared" si="94"/>
        <v>116</v>
      </c>
      <c r="X429" t="str">
        <f t="shared" si="95"/>
        <v>Prediabetes</v>
      </c>
      <c r="Y429" t="s">
        <v>23</v>
      </c>
      <c r="Z429" t="s">
        <v>23</v>
      </c>
      <c r="AA429" t="s">
        <v>24</v>
      </c>
      <c r="AB429" s="3" t="s">
        <v>422</v>
      </c>
      <c r="AC429">
        <v>122</v>
      </c>
      <c r="AD429" s="3" t="str">
        <f t="shared" si="96"/>
        <v>122</v>
      </c>
      <c r="AE429">
        <v>75</v>
      </c>
      <c r="AF429" s="3" t="str">
        <f t="shared" si="97"/>
        <v>75</v>
      </c>
      <c r="AG429" t="s">
        <v>25</v>
      </c>
      <c r="AH429" s="3">
        <v>18.760000000000002</v>
      </c>
      <c r="AI429" s="3">
        <f t="shared" si="98"/>
        <v>18.760000000000002</v>
      </c>
      <c r="AJ429" t="s">
        <v>30</v>
      </c>
      <c r="AK429" t="str">
        <f>PROPER(Table1[[#This Row],[CVD Risk Level]])</f>
        <v>High</v>
      </c>
    </row>
    <row r="430" spans="1:37" x14ac:dyDescent="0.3">
      <c r="A430" t="s">
        <v>31</v>
      </c>
      <c r="B430">
        <v>58</v>
      </c>
      <c r="C430" s="8">
        <f t="shared" si="87"/>
        <v>58</v>
      </c>
      <c r="D430" s="5">
        <v>118.1</v>
      </c>
      <c r="E430" s="8">
        <f t="shared" si="88"/>
        <v>118.1</v>
      </c>
      <c r="F430">
        <v>1.66</v>
      </c>
      <c r="G430" s="3">
        <f t="shared" si="89"/>
        <v>1.66</v>
      </c>
      <c r="H430">
        <v>42.9</v>
      </c>
      <c r="I430" s="5">
        <f t="shared" si="85"/>
        <v>42.9</v>
      </c>
      <c r="J430" s="16" t="str">
        <f t="shared" si="90"/>
        <v>Obese</v>
      </c>
      <c r="K430">
        <v>99.9</v>
      </c>
      <c r="L430">
        <v>0.60199999999999998</v>
      </c>
      <c r="M430" s="11">
        <f t="shared" si="86"/>
        <v>0.60199999999999998</v>
      </c>
      <c r="N430" s="5">
        <f t="shared" si="91"/>
        <v>99.9</v>
      </c>
      <c r="O430">
        <v>295</v>
      </c>
      <c r="P430">
        <v>60</v>
      </c>
      <c r="Q430" s="8">
        <f t="shared" si="92"/>
        <v>60</v>
      </c>
      <c r="R430" s="8">
        <v>205</v>
      </c>
      <c r="S430" s="8">
        <f t="shared" si="93"/>
        <v>205</v>
      </c>
      <c r="T430" s="8">
        <f>(Table1[[#This Row],[Total Cholesterol (mg/dL)]]+Table1[[#This Row],[HDL (mg/dL)2]]+Table1[[#This Row],[Estimated LDL (mg/dL)2]])*5</f>
        <v>2800</v>
      </c>
      <c r="U430" s="8">
        <f>IF(O430="",Table1[[#This Row],[Estimated LDL (mg/dL)2]]+Table1[[#This Row],[HDL (mg/dL)2]]+(Table1[[#This Row],[Triglycerides]]/5),O430)</f>
        <v>295</v>
      </c>
      <c r="V430">
        <v>115</v>
      </c>
      <c r="W430" s="8">
        <f t="shared" si="94"/>
        <v>115</v>
      </c>
      <c r="X430" t="str">
        <f t="shared" si="95"/>
        <v>Prediabetes</v>
      </c>
      <c r="Y430" t="s">
        <v>22</v>
      </c>
      <c r="Z430" t="s">
        <v>23</v>
      </c>
      <c r="AA430" t="s">
        <v>28</v>
      </c>
      <c r="AB430" s="3" t="s">
        <v>195</v>
      </c>
      <c r="AC430">
        <v>142</v>
      </c>
      <c r="AD430" s="3" t="str">
        <f t="shared" si="96"/>
        <v>142</v>
      </c>
      <c r="AE430">
        <v>79</v>
      </c>
      <c r="AF430" s="3" t="str">
        <f t="shared" si="97"/>
        <v>79</v>
      </c>
      <c r="AG430" t="s">
        <v>38</v>
      </c>
      <c r="AH430" s="3">
        <v>23.58</v>
      </c>
      <c r="AI430" s="3">
        <f t="shared" si="98"/>
        <v>23.58</v>
      </c>
      <c r="AJ430" t="s">
        <v>30</v>
      </c>
      <c r="AK430" t="str">
        <f>PROPER(Table1[[#This Row],[CVD Risk Level]])</f>
        <v>High</v>
      </c>
    </row>
    <row r="431" spans="1:37" x14ac:dyDescent="0.3">
      <c r="A431" t="s">
        <v>20</v>
      </c>
      <c r="B431">
        <v>60</v>
      </c>
      <c r="C431" s="8">
        <f t="shared" si="87"/>
        <v>60</v>
      </c>
      <c r="D431" s="5">
        <v>85.7</v>
      </c>
      <c r="E431" s="8">
        <f t="shared" si="88"/>
        <v>85.7</v>
      </c>
      <c r="F431">
        <v>1.62</v>
      </c>
      <c r="G431" s="3">
        <f t="shared" si="89"/>
        <v>1.62</v>
      </c>
      <c r="I431" s="5">
        <f t="shared" si="85"/>
        <v>32.655083066605698</v>
      </c>
      <c r="J431" s="16" t="str">
        <f t="shared" si="90"/>
        <v>Obese</v>
      </c>
      <c r="K431">
        <v>87.2</v>
      </c>
      <c r="L431">
        <v>0.53800000000000003</v>
      </c>
      <c r="M431" s="11">
        <f t="shared" si="86"/>
        <v>0.53800000000000003</v>
      </c>
      <c r="N431" s="5">
        <f t="shared" si="91"/>
        <v>87.2</v>
      </c>
      <c r="O431">
        <v>174</v>
      </c>
      <c r="P431">
        <v>71</v>
      </c>
      <c r="Q431" s="8">
        <f t="shared" si="92"/>
        <v>71</v>
      </c>
      <c r="R431" s="8">
        <v>73</v>
      </c>
      <c r="S431" s="8">
        <f>IF(R431&lt;=0,MEDIAN($R$2:$R$1530),R431)</f>
        <v>73</v>
      </c>
      <c r="T431" s="8">
        <f>(Table1[[#This Row],[Total Cholesterol (mg/dL)]]+Table1[[#This Row],[HDL (mg/dL)2]]+Table1[[#This Row],[Estimated LDL (mg/dL)2]])*5</f>
        <v>1590</v>
      </c>
      <c r="U431" s="8">
        <f>IF(O431="",Table1[[#This Row],[Estimated LDL (mg/dL)2]]+Table1[[#This Row],[HDL (mg/dL)2]]+(Table1[[#This Row],[Triglycerides]]/5),O431)</f>
        <v>174</v>
      </c>
      <c r="V431">
        <v>94</v>
      </c>
      <c r="W431" s="8">
        <f t="shared" si="94"/>
        <v>94</v>
      </c>
      <c r="X431" t="str">
        <f t="shared" si="95"/>
        <v>Normal</v>
      </c>
      <c r="Y431" t="s">
        <v>22</v>
      </c>
      <c r="Z431" t="s">
        <v>23</v>
      </c>
      <c r="AA431" t="s">
        <v>24</v>
      </c>
      <c r="AB431" s="3" t="s">
        <v>423</v>
      </c>
      <c r="AC431">
        <v>141</v>
      </c>
      <c r="AD431" s="3" t="str">
        <f t="shared" si="96"/>
        <v>141</v>
      </c>
      <c r="AE431">
        <v>70</v>
      </c>
      <c r="AF431" s="3" t="str">
        <f t="shared" si="97"/>
        <v>70</v>
      </c>
      <c r="AG431" t="s">
        <v>38</v>
      </c>
      <c r="AH431" s="3">
        <v>17.89</v>
      </c>
      <c r="AI431" s="3">
        <f t="shared" si="98"/>
        <v>17.89</v>
      </c>
      <c r="AJ431" t="s">
        <v>30</v>
      </c>
      <c r="AK431" t="str">
        <f>PROPER(Table1[[#This Row],[CVD Risk Level]])</f>
        <v>High</v>
      </c>
    </row>
    <row r="432" spans="1:37" x14ac:dyDescent="0.3">
      <c r="A432" t="s">
        <v>31</v>
      </c>
      <c r="B432">
        <v>35</v>
      </c>
      <c r="C432" s="8">
        <f t="shared" si="87"/>
        <v>35</v>
      </c>
      <c r="D432" s="5">
        <v>105.7</v>
      </c>
      <c r="E432" s="8">
        <f t="shared" si="88"/>
        <v>105.7</v>
      </c>
      <c r="G432" s="3">
        <f t="shared" si="89"/>
        <v>1.7111334954746167</v>
      </c>
      <c r="H432">
        <v>36.1</v>
      </c>
      <c r="I432" s="5">
        <f t="shared" si="85"/>
        <v>36.1</v>
      </c>
      <c r="J432" s="16" t="str">
        <f t="shared" si="90"/>
        <v>Obese</v>
      </c>
      <c r="K432">
        <v>78.8</v>
      </c>
      <c r="L432">
        <v>0.46100000000000002</v>
      </c>
      <c r="M432" s="11">
        <f t="shared" si="86"/>
        <v>0.46100000000000002</v>
      </c>
      <c r="N432" s="5">
        <f t="shared" si="91"/>
        <v>78.8</v>
      </c>
      <c r="O432">
        <v>232</v>
      </c>
      <c r="P432">
        <v>79</v>
      </c>
      <c r="Q432" s="8">
        <f t="shared" si="92"/>
        <v>79</v>
      </c>
      <c r="R432" s="8">
        <v>123</v>
      </c>
      <c r="S432" s="8">
        <f t="shared" si="93"/>
        <v>123</v>
      </c>
      <c r="T432" s="8">
        <f>(Table1[[#This Row],[Total Cholesterol (mg/dL)]]+Table1[[#This Row],[HDL (mg/dL)2]]+Table1[[#This Row],[Estimated LDL (mg/dL)2]])*5</f>
        <v>2170</v>
      </c>
      <c r="U432" s="8">
        <f>IF(O432="",Table1[[#This Row],[Estimated LDL (mg/dL)2]]+Table1[[#This Row],[HDL (mg/dL)2]]+(Table1[[#This Row],[Triglycerides]]/5),O432)</f>
        <v>232</v>
      </c>
      <c r="V432">
        <v>82</v>
      </c>
      <c r="W432" s="8">
        <f t="shared" si="94"/>
        <v>82</v>
      </c>
      <c r="X432" t="str">
        <f t="shared" si="95"/>
        <v>Normal</v>
      </c>
      <c r="Y432" t="s">
        <v>22</v>
      </c>
      <c r="Z432" t="s">
        <v>22</v>
      </c>
      <c r="AA432" t="s">
        <v>37</v>
      </c>
      <c r="AB432" s="3" t="s">
        <v>105</v>
      </c>
      <c r="AC432">
        <v>101</v>
      </c>
      <c r="AD432" s="3" t="str">
        <f t="shared" si="96"/>
        <v>101</v>
      </c>
      <c r="AE432">
        <v>81</v>
      </c>
      <c r="AF432" s="3" t="str">
        <f t="shared" si="97"/>
        <v>81</v>
      </c>
      <c r="AG432" t="s">
        <v>29</v>
      </c>
      <c r="AH432" s="3">
        <v>16.91</v>
      </c>
      <c r="AI432" s="3">
        <f t="shared" si="98"/>
        <v>16.91</v>
      </c>
      <c r="AJ432" t="s">
        <v>26</v>
      </c>
      <c r="AK432" t="str">
        <f>PROPER(Table1[[#This Row],[CVD Risk Level]])</f>
        <v>Intermediary</v>
      </c>
    </row>
    <row r="433" spans="1:37" x14ac:dyDescent="0.3">
      <c r="A433" t="s">
        <v>31</v>
      </c>
      <c r="B433">
        <v>55</v>
      </c>
      <c r="C433" s="8">
        <f t="shared" si="87"/>
        <v>55</v>
      </c>
      <c r="D433" s="5">
        <v>67.400000000000006</v>
      </c>
      <c r="E433" s="8">
        <f t="shared" si="88"/>
        <v>67.400000000000006</v>
      </c>
      <c r="F433">
        <v>1.75</v>
      </c>
      <c r="G433" s="3">
        <f t="shared" si="89"/>
        <v>1.75</v>
      </c>
      <c r="H433">
        <v>22</v>
      </c>
      <c r="I433" s="5">
        <f t="shared" si="85"/>
        <v>22</v>
      </c>
      <c r="J433" s="16" t="str">
        <f t="shared" si="90"/>
        <v>Normal</v>
      </c>
      <c r="K433">
        <v>71.099999999999994</v>
      </c>
      <c r="L433">
        <v>0.40600000000000003</v>
      </c>
      <c r="M433" s="11">
        <f t="shared" si="86"/>
        <v>0.40600000000000003</v>
      </c>
      <c r="N433" s="5">
        <f t="shared" si="91"/>
        <v>71.099999999999994</v>
      </c>
      <c r="O433">
        <v>293</v>
      </c>
      <c r="P433">
        <v>70</v>
      </c>
      <c r="Q433" s="8">
        <f t="shared" si="92"/>
        <v>70</v>
      </c>
      <c r="R433" s="8">
        <v>193</v>
      </c>
      <c r="S433" s="8">
        <f t="shared" si="93"/>
        <v>193</v>
      </c>
      <c r="T433" s="8">
        <f>(Table1[[#This Row],[Total Cholesterol (mg/dL)]]+Table1[[#This Row],[HDL (mg/dL)2]]+Table1[[#This Row],[Estimated LDL (mg/dL)2]])*5</f>
        <v>2780</v>
      </c>
      <c r="U433" s="8">
        <f>IF(O433="",Table1[[#This Row],[Estimated LDL (mg/dL)2]]+Table1[[#This Row],[HDL (mg/dL)2]]+(Table1[[#This Row],[Triglycerides]]/5),O433)</f>
        <v>293</v>
      </c>
      <c r="V433">
        <v>87</v>
      </c>
      <c r="W433" s="8">
        <f t="shared" si="94"/>
        <v>87</v>
      </c>
      <c r="X433" t="str">
        <f t="shared" si="95"/>
        <v>Normal</v>
      </c>
      <c r="Y433" t="s">
        <v>23</v>
      </c>
      <c r="Z433" t="s">
        <v>22</v>
      </c>
      <c r="AA433" t="s">
        <v>37</v>
      </c>
      <c r="AB433" s="3" t="s">
        <v>424</v>
      </c>
      <c r="AC433">
        <v>95</v>
      </c>
      <c r="AD433" s="3" t="str">
        <f t="shared" si="96"/>
        <v>95</v>
      </c>
      <c r="AE433">
        <v>97</v>
      </c>
      <c r="AF433" s="3" t="str">
        <f t="shared" si="97"/>
        <v>97</v>
      </c>
      <c r="AG433" t="s">
        <v>38</v>
      </c>
      <c r="AH433" s="3">
        <v>15.01</v>
      </c>
      <c r="AI433" s="3">
        <f t="shared" si="98"/>
        <v>15.01</v>
      </c>
      <c r="AJ433" t="s">
        <v>30</v>
      </c>
      <c r="AK433" t="str">
        <f>PROPER(Table1[[#This Row],[CVD Risk Level]])</f>
        <v>High</v>
      </c>
    </row>
    <row r="434" spans="1:37" x14ac:dyDescent="0.3">
      <c r="A434" t="s">
        <v>20</v>
      </c>
      <c r="B434">
        <v>42</v>
      </c>
      <c r="C434" s="8">
        <f t="shared" si="87"/>
        <v>42</v>
      </c>
      <c r="D434" s="5">
        <v>107.6</v>
      </c>
      <c r="E434" s="8">
        <f t="shared" si="88"/>
        <v>107.6</v>
      </c>
      <c r="F434">
        <v>1.87</v>
      </c>
      <c r="G434" s="3">
        <f t="shared" si="89"/>
        <v>1.87</v>
      </c>
      <c r="H434">
        <v>30.8</v>
      </c>
      <c r="I434" s="5">
        <f t="shared" si="85"/>
        <v>30.8</v>
      </c>
      <c r="J434" s="16" t="str">
        <f t="shared" si="90"/>
        <v>Obese</v>
      </c>
      <c r="K434">
        <v>97.8</v>
      </c>
      <c r="L434">
        <v>0.52300000000000002</v>
      </c>
      <c r="M434" s="11">
        <f t="shared" si="86"/>
        <v>0.52300000000000002</v>
      </c>
      <c r="N434" s="5">
        <f t="shared" si="91"/>
        <v>97.8</v>
      </c>
      <c r="O434">
        <v>176</v>
      </c>
      <c r="P434">
        <v>73</v>
      </c>
      <c r="Q434" s="8">
        <f t="shared" si="92"/>
        <v>73</v>
      </c>
      <c r="R434" s="8">
        <v>73</v>
      </c>
      <c r="S434" s="8">
        <f t="shared" si="93"/>
        <v>73</v>
      </c>
      <c r="T434" s="8">
        <f>(Table1[[#This Row],[Total Cholesterol (mg/dL)]]+Table1[[#This Row],[HDL (mg/dL)2]]+Table1[[#This Row],[Estimated LDL (mg/dL)2]])*5</f>
        <v>1610</v>
      </c>
      <c r="U434" s="8">
        <f>IF(O434="",Table1[[#This Row],[Estimated LDL (mg/dL)2]]+Table1[[#This Row],[HDL (mg/dL)2]]+(Table1[[#This Row],[Triglycerides]]/5),O434)</f>
        <v>176</v>
      </c>
      <c r="V434">
        <v>98</v>
      </c>
      <c r="W434" s="8">
        <f t="shared" si="94"/>
        <v>98</v>
      </c>
      <c r="X434" t="str">
        <f t="shared" si="95"/>
        <v>Normal</v>
      </c>
      <c r="Y434" t="s">
        <v>23</v>
      </c>
      <c r="Z434" t="s">
        <v>22</v>
      </c>
      <c r="AA434" t="s">
        <v>24</v>
      </c>
      <c r="AB434" s="3" t="s">
        <v>425</v>
      </c>
      <c r="AC434">
        <v>108</v>
      </c>
      <c r="AD434" s="3" t="str">
        <f t="shared" si="96"/>
        <v>108</v>
      </c>
      <c r="AE434">
        <v>64</v>
      </c>
      <c r="AF434" s="3" t="str">
        <f t="shared" si="97"/>
        <v>64</v>
      </c>
      <c r="AG434" t="s">
        <v>33</v>
      </c>
      <c r="AH434" s="3">
        <v>15.08</v>
      </c>
      <c r="AI434" s="3">
        <f t="shared" si="98"/>
        <v>15.08</v>
      </c>
      <c r="AJ434" t="s">
        <v>26</v>
      </c>
      <c r="AK434" t="str">
        <f>PROPER(Table1[[#This Row],[CVD Risk Level]])</f>
        <v>Intermediary</v>
      </c>
    </row>
    <row r="435" spans="1:37" x14ac:dyDescent="0.3">
      <c r="A435" t="s">
        <v>20</v>
      </c>
      <c r="B435">
        <v>39</v>
      </c>
      <c r="C435" s="8">
        <f t="shared" si="87"/>
        <v>39</v>
      </c>
      <c r="D435" s="5">
        <v>89.8</v>
      </c>
      <c r="E435" s="8">
        <f t="shared" si="88"/>
        <v>89.8</v>
      </c>
      <c r="F435">
        <v>1.84</v>
      </c>
      <c r="G435" s="3">
        <f t="shared" si="89"/>
        <v>1.84</v>
      </c>
      <c r="H435">
        <v>26.5</v>
      </c>
      <c r="I435" s="5">
        <f t="shared" si="85"/>
        <v>26.5</v>
      </c>
      <c r="J435" s="16" t="str">
        <f t="shared" si="90"/>
        <v>Overweight</v>
      </c>
      <c r="K435">
        <v>97.7</v>
      </c>
      <c r="L435">
        <v>0.53100000000000003</v>
      </c>
      <c r="M435" s="11">
        <f t="shared" si="86"/>
        <v>0.53100000000000003</v>
      </c>
      <c r="N435" s="5">
        <f t="shared" si="91"/>
        <v>97.7</v>
      </c>
      <c r="O435">
        <v>260</v>
      </c>
      <c r="P435">
        <v>75</v>
      </c>
      <c r="Q435" s="8">
        <f t="shared" si="92"/>
        <v>75</v>
      </c>
      <c r="R435" s="8">
        <v>155</v>
      </c>
      <c r="S435" s="8">
        <f t="shared" si="93"/>
        <v>155</v>
      </c>
      <c r="T435" s="8">
        <f>(Table1[[#This Row],[Total Cholesterol (mg/dL)]]+Table1[[#This Row],[HDL (mg/dL)2]]+Table1[[#This Row],[Estimated LDL (mg/dL)2]])*5</f>
        <v>2450</v>
      </c>
      <c r="U435" s="8">
        <f>IF(O435="",Table1[[#This Row],[Estimated LDL (mg/dL)2]]+Table1[[#This Row],[HDL (mg/dL)2]]+(Table1[[#This Row],[Triglycerides]]/5),O435)</f>
        <v>260</v>
      </c>
      <c r="V435">
        <v>85</v>
      </c>
      <c r="W435" s="8">
        <f t="shared" si="94"/>
        <v>85</v>
      </c>
      <c r="X435" t="str">
        <f t="shared" si="95"/>
        <v>Normal</v>
      </c>
      <c r="Y435" t="s">
        <v>23</v>
      </c>
      <c r="Z435" t="s">
        <v>23</v>
      </c>
      <c r="AA435" t="s">
        <v>37</v>
      </c>
      <c r="AB435" s="3" t="s">
        <v>426</v>
      </c>
      <c r="AC435">
        <v>91</v>
      </c>
      <c r="AD435" s="3" t="str">
        <f t="shared" si="96"/>
        <v>91</v>
      </c>
      <c r="AE435">
        <v>65</v>
      </c>
      <c r="AF435" s="3" t="str">
        <f t="shared" si="97"/>
        <v>65</v>
      </c>
      <c r="AG435" t="s">
        <v>33</v>
      </c>
      <c r="AH435" s="3">
        <v>17.05</v>
      </c>
      <c r="AI435" s="3">
        <f t="shared" si="98"/>
        <v>17.05</v>
      </c>
      <c r="AJ435" t="s">
        <v>30</v>
      </c>
      <c r="AK435" t="str">
        <f>PROPER(Table1[[#This Row],[CVD Risk Level]])</f>
        <v>High</v>
      </c>
    </row>
    <row r="436" spans="1:37" x14ac:dyDescent="0.3">
      <c r="A436" t="s">
        <v>31</v>
      </c>
      <c r="B436">
        <v>50</v>
      </c>
      <c r="C436" s="8">
        <f t="shared" si="87"/>
        <v>50</v>
      </c>
      <c r="D436" s="5">
        <v>116.2</v>
      </c>
      <c r="E436" s="8">
        <f t="shared" si="88"/>
        <v>116.2</v>
      </c>
      <c r="F436">
        <v>1.9</v>
      </c>
      <c r="G436" s="3">
        <f t="shared" si="89"/>
        <v>1.9</v>
      </c>
      <c r="H436">
        <v>32.200000000000003</v>
      </c>
      <c r="I436" s="5">
        <f t="shared" si="85"/>
        <v>32.200000000000003</v>
      </c>
      <c r="J436" s="16" t="str">
        <f t="shared" si="90"/>
        <v>Obese</v>
      </c>
      <c r="K436">
        <v>96.2</v>
      </c>
      <c r="L436">
        <v>0.50600000000000001</v>
      </c>
      <c r="M436" s="11">
        <f t="shared" si="86"/>
        <v>0.50600000000000001</v>
      </c>
      <c r="N436" s="5">
        <f t="shared" si="91"/>
        <v>96.2</v>
      </c>
      <c r="O436">
        <v>105</v>
      </c>
      <c r="P436">
        <v>40</v>
      </c>
      <c r="Q436" s="8">
        <f t="shared" si="92"/>
        <v>40</v>
      </c>
      <c r="R436" s="8">
        <v>35</v>
      </c>
      <c r="S436" s="8">
        <f t="shared" si="93"/>
        <v>35</v>
      </c>
      <c r="T436" s="8">
        <f>(Table1[[#This Row],[Total Cholesterol (mg/dL)]]+Table1[[#This Row],[HDL (mg/dL)2]]+Table1[[#This Row],[Estimated LDL (mg/dL)2]])*5</f>
        <v>900</v>
      </c>
      <c r="U436" s="8">
        <f>IF(O436="",Table1[[#This Row],[Estimated LDL (mg/dL)2]]+Table1[[#This Row],[HDL (mg/dL)2]]+(Table1[[#This Row],[Triglycerides]]/5),O436)</f>
        <v>105</v>
      </c>
      <c r="V436">
        <v>130</v>
      </c>
      <c r="W436" s="8">
        <f t="shared" si="94"/>
        <v>130</v>
      </c>
      <c r="X436" t="str">
        <f t="shared" si="95"/>
        <v>Diabetes</v>
      </c>
      <c r="Y436" t="s">
        <v>23</v>
      </c>
      <c r="Z436" t="s">
        <v>23</v>
      </c>
      <c r="AA436" t="s">
        <v>24</v>
      </c>
      <c r="AB436" s="3" t="s">
        <v>427</v>
      </c>
      <c r="AC436">
        <v>143</v>
      </c>
      <c r="AD436" s="3" t="str">
        <f t="shared" si="96"/>
        <v>143</v>
      </c>
      <c r="AF436" s="3" t="str">
        <f t="shared" si="97"/>
        <v>70</v>
      </c>
      <c r="AG436" t="s">
        <v>38</v>
      </c>
      <c r="AH436" s="3">
        <v>17.690000000000001</v>
      </c>
      <c r="AI436" s="3">
        <f t="shared" si="98"/>
        <v>17.690000000000001</v>
      </c>
      <c r="AJ436" t="s">
        <v>30</v>
      </c>
      <c r="AK436" t="str">
        <f>PROPER(Table1[[#This Row],[CVD Risk Level]])</f>
        <v>High</v>
      </c>
    </row>
    <row r="437" spans="1:37" x14ac:dyDescent="0.3">
      <c r="A437" t="s">
        <v>20</v>
      </c>
      <c r="B437">
        <v>30</v>
      </c>
      <c r="C437" s="8">
        <f t="shared" si="87"/>
        <v>30</v>
      </c>
      <c r="D437" s="5">
        <v>105</v>
      </c>
      <c r="E437" s="8">
        <f t="shared" si="88"/>
        <v>105</v>
      </c>
      <c r="F437">
        <v>1.73</v>
      </c>
      <c r="G437" s="3">
        <f t="shared" si="89"/>
        <v>1.73</v>
      </c>
      <c r="H437">
        <v>35.1</v>
      </c>
      <c r="I437" s="5">
        <f t="shared" si="85"/>
        <v>35.1</v>
      </c>
      <c r="J437" s="16" t="str">
        <f t="shared" si="90"/>
        <v>Obese</v>
      </c>
      <c r="K437">
        <v>93.4</v>
      </c>
      <c r="L437">
        <v>0.54</v>
      </c>
      <c r="M437" s="11">
        <f t="shared" si="86"/>
        <v>0.54</v>
      </c>
      <c r="N437" s="5">
        <f t="shared" si="91"/>
        <v>93.4</v>
      </c>
      <c r="P437">
        <v>34</v>
      </c>
      <c r="Q437" s="8">
        <f t="shared" si="92"/>
        <v>34</v>
      </c>
      <c r="R437" s="8">
        <v>66</v>
      </c>
      <c r="S437" s="8">
        <f t="shared" si="93"/>
        <v>66</v>
      </c>
      <c r="T437" s="8">
        <f>(Table1[[#This Row],[Total Cholesterol (mg/dL)]]+Table1[[#This Row],[HDL (mg/dL)2]]+Table1[[#This Row],[Estimated LDL (mg/dL)2]])*5</f>
        <v>500</v>
      </c>
      <c r="U437" s="8">
        <f>IF(O437="",Table1[[#This Row],[Estimated LDL (mg/dL)2]]+Table1[[#This Row],[HDL (mg/dL)2]]+(Table1[[#This Row],[Triglycerides]]/5),O437)</f>
        <v>200</v>
      </c>
      <c r="V437">
        <v>94</v>
      </c>
      <c r="W437" s="8">
        <f t="shared" si="94"/>
        <v>94</v>
      </c>
      <c r="X437" t="str">
        <f t="shared" si="95"/>
        <v>Normal</v>
      </c>
      <c r="Y437" t="s">
        <v>22</v>
      </c>
      <c r="Z437" t="s">
        <v>23</v>
      </c>
      <c r="AA437" t="s">
        <v>24</v>
      </c>
      <c r="AB437" s="3" t="s">
        <v>428</v>
      </c>
      <c r="AC437">
        <v>126</v>
      </c>
      <c r="AD437" s="3" t="str">
        <f t="shared" si="96"/>
        <v>126</v>
      </c>
      <c r="AE437">
        <v>74</v>
      </c>
      <c r="AF437" s="3" t="str">
        <f t="shared" si="97"/>
        <v>74</v>
      </c>
      <c r="AG437" t="s">
        <v>25</v>
      </c>
      <c r="AH437" s="3">
        <v>17.920000000000002</v>
      </c>
      <c r="AI437" s="3">
        <f t="shared" si="98"/>
        <v>17.920000000000002</v>
      </c>
      <c r="AJ437" t="s">
        <v>30</v>
      </c>
      <c r="AK437" t="str">
        <f>PROPER(Table1[[#This Row],[CVD Risk Level]])</f>
        <v>High</v>
      </c>
    </row>
    <row r="438" spans="1:37" x14ac:dyDescent="0.3">
      <c r="A438" t="s">
        <v>31</v>
      </c>
      <c r="B438">
        <v>37</v>
      </c>
      <c r="C438" s="8">
        <f t="shared" si="87"/>
        <v>37</v>
      </c>
      <c r="D438" s="5">
        <v>74.099999999999994</v>
      </c>
      <c r="E438" s="8">
        <f t="shared" si="88"/>
        <v>74.099999999999994</v>
      </c>
      <c r="F438">
        <v>1.89</v>
      </c>
      <c r="G438" s="3">
        <f t="shared" si="89"/>
        <v>1.89</v>
      </c>
      <c r="H438">
        <v>20.7</v>
      </c>
      <c r="I438" s="5">
        <f t="shared" si="85"/>
        <v>20.7</v>
      </c>
      <c r="J438" s="16" t="str">
        <f t="shared" si="90"/>
        <v>Normal</v>
      </c>
      <c r="K438">
        <v>105.9</v>
      </c>
      <c r="L438">
        <v>0.56000000000000005</v>
      </c>
      <c r="M438" s="11">
        <f t="shared" si="86"/>
        <v>0.56000000000000005</v>
      </c>
      <c r="N438" s="5">
        <f t="shared" si="91"/>
        <v>105.9</v>
      </c>
      <c r="O438">
        <v>147</v>
      </c>
      <c r="P438">
        <v>64</v>
      </c>
      <c r="Q438" s="8">
        <f t="shared" si="92"/>
        <v>64</v>
      </c>
      <c r="R438" s="8">
        <v>53</v>
      </c>
      <c r="S438" s="8">
        <f t="shared" si="93"/>
        <v>53</v>
      </c>
      <c r="T438" s="8">
        <f>(Table1[[#This Row],[Total Cholesterol (mg/dL)]]+Table1[[#This Row],[HDL (mg/dL)2]]+Table1[[#This Row],[Estimated LDL (mg/dL)2]])*5</f>
        <v>1320</v>
      </c>
      <c r="U438" s="8">
        <f>IF(O438="",Table1[[#This Row],[Estimated LDL (mg/dL)2]]+Table1[[#This Row],[HDL (mg/dL)2]]+(Table1[[#This Row],[Triglycerides]]/5),O438)</f>
        <v>147</v>
      </c>
      <c r="V438">
        <v>142</v>
      </c>
      <c r="W438" s="8">
        <f t="shared" si="94"/>
        <v>142</v>
      </c>
      <c r="X438" t="str">
        <f t="shared" si="95"/>
        <v>Diabetes</v>
      </c>
      <c r="Y438" t="s">
        <v>22</v>
      </c>
      <c r="Z438" t="s">
        <v>22</v>
      </c>
      <c r="AA438" t="s">
        <v>24</v>
      </c>
      <c r="AB438" s="3" t="s">
        <v>429</v>
      </c>
      <c r="AC438">
        <v>135</v>
      </c>
      <c r="AD438" s="3" t="str">
        <f t="shared" si="96"/>
        <v>135</v>
      </c>
      <c r="AE438">
        <v>66</v>
      </c>
      <c r="AF438" s="3" t="str">
        <f t="shared" si="97"/>
        <v>66</v>
      </c>
      <c r="AG438" t="s">
        <v>29</v>
      </c>
      <c r="AH438" s="3">
        <v>13.83</v>
      </c>
      <c r="AI438" s="3">
        <f t="shared" si="98"/>
        <v>13.83</v>
      </c>
      <c r="AJ438" t="s">
        <v>52</v>
      </c>
      <c r="AK438" t="str">
        <f>PROPER(Table1[[#This Row],[CVD Risk Level]])</f>
        <v>Low</v>
      </c>
    </row>
    <row r="439" spans="1:37" x14ac:dyDescent="0.3">
      <c r="A439" t="s">
        <v>31</v>
      </c>
      <c r="B439">
        <v>44</v>
      </c>
      <c r="C439" s="8">
        <f t="shared" si="87"/>
        <v>44</v>
      </c>
      <c r="D439" s="5">
        <v>112.6</v>
      </c>
      <c r="E439" s="8">
        <f t="shared" si="88"/>
        <v>112.6</v>
      </c>
      <c r="F439">
        <v>1.87</v>
      </c>
      <c r="G439" s="3">
        <f t="shared" si="89"/>
        <v>1.87</v>
      </c>
      <c r="H439">
        <v>32.200000000000003</v>
      </c>
      <c r="I439" s="5">
        <f t="shared" si="85"/>
        <v>32.200000000000003</v>
      </c>
      <c r="J439" s="16" t="str">
        <f t="shared" si="90"/>
        <v>Obese</v>
      </c>
      <c r="K439">
        <v>82.8</v>
      </c>
      <c r="L439">
        <v>0.443</v>
      </c>
      <c r="M439" s="11">
        <f t="shared" si="86"/>
        <v>0.443</v>
      </c>
      <c r="N439" s="5">
        <f t="shared" si="91"/>
        <v>82.8</v>
      </c>
      <c r="O439">
        <v>226</v>
      </c>
      <c r="P439">
        <v>33</v>
      </c>
      <c r="Q439" s="8">
        <f t="shared" si="92"/>
        <v>33</v>
      </c>
      <c r="R439" s="8">
        <v>163</v>
      </c>
      <c r="S439" s="8">
        <f t="shared" si="93"/>
        <v>163</v>
      </c>
      <c r="T439" s="8">
        <f>(Table1[[#This Row],[Total Cholesterol (mg/dL)]]+Table1[[#This Row],[HDL (mg/dL)2]]+Table1[[#This Row],[Estimated LDL (mg/dL)2]])*5</f>
        <v>2110</v>
      </c>
      <c r="U439" s="8">
        <f>IF(O439="",Table1[[#This Row],[Estimated LDL (mg/dL)2]]+Table1[[#This Row],[HDL (mg/dL)2]]+(Table1[[#This Row],[Triglycerides]]/5),O439)</f>
        <v>226</v>
      </c>
      <c r="V439">
        <v>112</v>
      </c>
      <c r="W439" s="8">
        <f t="shared" si="94"/>
        <v>112</v>
      </c>
      <c r="X439" t="str">
        <f t="shared" si="95"/>
        <v>Prediabetes</v>
      </c>
      <c r="Y439" t="s">
        <v>22</v>
      </c>
      <c r="Z439" t="s">
        <v>23</v>
      </c>
      <c r="AA439" t="s">
        <v>37</v>
      </c>
      <c r="AB439" s="3" t="s">
        <v>430</v>
      </c>
      <c r="AC439">
        <v>115</v>
      </c>
      <c r="AD439" s="3" t="str">
        <f t="shared" si="96"/>
        <v>115</v>
      </c>
      <c r="AE439">
        <v>64</v>
      </c>
      <c r="AF439" s="3" t="str">
        <f t="shared" si="97"/>
        <v>64</v>
      </c>
      <c r="AG439" t="s">
        <v>33</v>
      </c>
      <c r="AH439" s="3">
        <v>18.71</v>
      </c>
      <c r="AI439" s="3">
        <f t="shared" si="98"/>
        <v>18.71</v>
      </c>
      <c r="AJ439" t="s">
        <v>30</v>
      </c>
      <c r="AK439" t="str">
        <f>PROPER(Table1[[#This Row],[CVD Risk Level]])</f>
        <v>High</v>
      </c>
    </row>
    <row r="440" spans="1:37" x14ac:dyDescent="0.3">
      <c r="A440" t="s">
        <v>31</v>
      </c>
      <c r="B440">
        <v>47</v>
      </c>
      <c r="C440" s="8">
        <f t="shared" si="87"/>
        <v>47</v>
      </c>
      <c r="D440" s="5">
        <v>71.900000000000006</v>
      </c>
      <c r="E440" s="8">
        <f t="shared" si="88"/>
        <v>71.900000000000006</v>
      </c>
      <c r="F440">
        <v>1.86</v>
      </c>
      <c r="G440" s="3">
        <f t="shared" si="89"/>
        <v>1.86</v>
      </c>
      <c r="H440">
        <v>20.8</v>
      </c>
      <c r="I440" s="5">
        <f t="shared" si="85"/>
        <v>20.8</v>
      </c>
      <c r="J440" s="16" t="str">
        <f t="shared" si="90"/>
        <v>Normal</v>
      </c>
      <c r="K440">
        <v>88.6</v>
      </c>
      <c r="L440">
        <v>0.47599999999999998</v>
      </c>
      <c r="M440" s="11">
        <f t="shared" si="86"/>
        <v>0.47599999999999998</v>
      </c>
      <c r="N440" s="5">
        <f t="shared" si="91"/>
        <v>88.6</v>
      </c>
      <c r="O440">
        <v>211</v>
      </c>
      <c r="P440">
        <v>45</v>
      </c>
      <c r="Q440" s="8">
        <f t="shared" si="92"/>
        <v>45</v>
      </c>
      <c r="R440" s="8">
        <v>136</v>
      </c>
      <c r="S440" s="8">
        <f t="shared" si="93"/>
        <v>136</v>
      </c>
      <c r="T440" s="8">
        <f>(Table1[[#This Row],[Total Cholesterol (mg/dL)]]+Table1[[#This Row],[HDL (mg/dL)2]]+Table1[[#This Row],[Estimated LDL (mg/dL)2]])*5</f>
        <v>1960</v>
      </c>
      <c r="U440" s="8">
        <f>IF(O440="",Table1[[#This Row],[Estimated LDL (mg/dL)2]]+Table1[[#This Row],[HDL (mg/dL)2]]+(Table1[[#This Row],[Triglycerides]]/5),O440)</f>
        <v>211</v>
      </c>
      <c r="V440">
        <v>106</v>
      </c>
      <c r="W440" s="8">
        <f t="shared" si="94"/>
        <v>106</v>
      </c>
      <c r="X440" t="str">
        <f t="shared" si="95"/>
        <v>Prediabetes</v>
      </c>
      <c r="Y440" t="s">
        <v>23</v>
      </c>
      <c r="Z440" t="s">
        <v>23</v>
      </c>
      <c r="AA440" t="s">
        <v>37</v>
      </c>
      <c r="AB440" s="3" t="s">
        <v>431</v>
      </c>
      <c r="AC440">
        <v>121</v>
      </c>
      <c r="AD440" s="3" t="str">
        <f t="shared" si="96"/>
        <v>121</v>
      </c>
      <c r="AE440">
        <v>92</v>
      </c>
      <c r="AF440" s="3" t="str">
        <f t="shared" si="97"/>
        <v>92</v>
      </c>
      <c r="AG440" t="s">
        <v>38</v>
      </c>
      <c r="AH440" s="3">
        <v>16.43</v>
      </c>
      <c r="AI440" s="3">
        <f t="shared" si="98"/>
        <v>16.43</v>
      </c>
      <c r="AJ440" t="s">
        <v>30</v>
      </c>
      <c r="AK440" t="str">
        <f>PROPER(Table1[[#This Row],[CVD Risk Level]])</f>
        <v>High</v>
      </c>
    </row>
    <row r="441" spans="1:37" x14ac:dyDescent="0.3">
      <c r="A441" t="s">
        <v>31</v>
      </c>
      <c r="B441">
        <v>47</v>
      </c>
      <c r="C441" s="8">
        <f t="shared" si="87"/>
        <v>47</v>
      </c>
      <c r="E441" s="8">
        <f t="shared" si="88"/>
        <v>102.85104</v>
      </c>
      <c r="F441">
        <v>1.88</v>
      </c>
      <c r="G441" s="3">
        <f t="shared" si="89"/>
        <v>1.88</v>
      </c>
      <c r="H441">
        <v>29.1</v>
      </c>
      <c r="I441" s="5">
        <f t="shared" si="85"/>
        <v>29.1</v>
      </c>
      <c r="J441" s="16" t="str">
        <f t="shared" si="90"/>
        <v>Overweight</v>
      </c>
      <c r="K441">
        <v>78.400000000000006</v>
      </c>
      <c r="L441">
        <v>0.41699999999999998</v>
      </c>
      <c r="M441" s="11">
        <f t="shared" si="86"/>
        <v>0.41699999999999998</v>
      </c>
      <c r="N441" s="5">
        <f t="shared" si="91"/>
        <v>78.400000000000006</v>
      </c>
      <c r="O441">
        <v>213</v>
      </c>
      <c r="P441">
        <v>54</v>
      </c>
      <c r="Q441" s="8">
        <f t="shared" si="92"/>
        <v>54</v>
      </c>
      <c r="R441" s="8">
        <v>129</v>
      </c>
      <c r="S441" s="8">
        <f t="shared" si="93"/>
        <v>129</v>
      </c>
      <c r="T441" s="8">
        <f>(Table1[[#This Row],[Total Cholesterol (mg/dL)]]+Table1[[#This Row],[HDL (mg/dL)2]]+Table1[[#This Row],[Estimated LDL (mg/dL)2]])*5</f>
        <v>1980</v>
      </c>
      <c r="U441" s="8">
        <f>IF(O441="",Table1[[#This Row],[Estimated LDL (mg/dL)2]]+Table1[[#This Row],[HDL (mg/dL)2]]+(Table1[[#This Row],[Triglycerides]]/5),O441)</f>
        <v>213</v>
      </c>
      <c r="W441" s="8">
        <f t="shared" si="94"/>
        <v>117.48563611491107</v>
      </c>
      <c r="X441" t="str">
        <f t="shared" si="95"/>
        <v>Prediabetes</v>
      </c>
      <c r="Y441" t="s">
        <v>22</v>
      </c>
      <c r="Z441" t="s">
        <v>23</v>
      </c>
      <c r="AA441" t="s">
        <v>37</v>
      </c>
      <c r="AB441" s="3" t="s">
        <v>432</v>
      </c>
      <c r="AC441">
        <v>119</v>
      </c>
      <c r="AD441" s="3" t="str">
        <f t="shared" si="96"/>
        <v>119</v>
      </c>
      <c r="AE441">
        <v>99</v>
      </c>
      <c r="AF441" s="3" t="str">
        <f t="shared" si="97"/>
        <v>99</v>
      </c>
      <c r="AG441" t="s">
        <v>38</v>
      </c>
      <c r="AH441" s="3">
        <v>18.03</v>
      </c>
      <c r="AI441" s="3">
        <f t="shared" si="98"/>
        <v>18.03</v>
      </c>
      <c r="AJ441" t="s">
        <v>30</v>
      </c>
      <c r="AK441" t="str">
        <f>PROPER(Table1[[#This Row],[CVD Risk Level]])</f>
        <v>High</v>
      </c>
    </row>
    <row r="442" spans="1:37" x14ac:dyDescent="0.3">
      <c r="A442" t="s">
        <v>31</v>
      </c>
      <c r="B442">
        <v>39</v>
      </c>
      <c r="C442" s="8">
        <f t="shared" si="87"/>
        <v>39</v>
      </c>
      <c r="D442" s="5">
        <v>112.8</v>
      </c>
      <c r="E442" s="8">
        <f t="shared" si="88"/>
        <v>112.8</v>
      </c>
      <c r="F442">
        <v>1.88</v>
      </c>
      <c r="G442" s="3">
        <f t="shared" si="89"/>
        <v>1.88</v>
      </c>
      <c r="H442">
        <v>31.9</v>
      </c>
      <c r="I442" s="5">
        <f t="shared" si="85"/>
        <v>31.9</v>
      </c>
      <c r="J442" s="16" t="str">
        <f t="shared" si="90"/>
        <v>Obese</v>
      </c>
      <c r="K442">
        <v>90.6</v>
      </c>
      <c r="L442">
        <v>0.48199999999999998</v>
      </c>
      <c r="M442" s="11">
        <f t="shared" si="86"/>
        <v>0.48199999999999998</v>
      </c>
      <c r="N442" s="5">
        <f t="shared" si="91"/>
        <v>90.6</v>
      </c>
      <c r="O442">
        <v>123</v>
      </c>
      <c r="P442">
        <v>30</v>
      </c>
      <c r="Q442" s="8">
        <f t="shared" si="92"/>
        <v>30</v>
      </c>
      <c r="R442" s="8">
        <v>63</v>
      </c>
      <c r="S442" s="8">
        <f t="shared" si="93"/>
        <v>63</v>
      </c>
      <c r="T442" s="8">
        <f>(Table1[[#This Row],[Total Cholesterol (mg/dL)]]+Table1[[#This Row],[HDL (mg/dL)2]]+Table1[[#This Row],[Estimated LDL (mg/dL)2]])*5</f>
        <v>1080</v>
      </c>
      <c r="U442" s="8">
        <f>IF(O442="",Table1[[#This Row],[Estimated LDL (mg/dL)2]]+Table1[[#This Row],[HDL (mg/dL)2]]+(Table1[[#This Row],[Triglycerides]]/5),O442)</f>
        <v>123</v>
      </c>
      <c r="V442">
        <v>131</v>
      </c>
      <c r="W442" s="8">
        <f t="shared" si="94"/>
        <v>131</v>
      </c>
      <c r="X442" t="str">
        <f t="shared" si="95"/>
        <v>Diabetes</v>
      </c>
      <c r="Y442" t="s">
        <v>23</v>
      </c>
      <c r="Z442" t="s">
        <v>22</v>
      </c>
      <c r="AA442" t="s">
        <v>28</v>
      </c>
      <c r="AB442" s="3" t="s">
        <v>433</v>
      </c>
      <c r="AC442">
        <v>134</v>
      </c>
      <c r="AD442" s="3" t="str">
        <f t="shared" si="96"/>
        <v>134</v>
      </c>
      <c r="AE442">
        <v>89</v>
      </c>
      <c r="AF442" s="3" t="str">
        <f t="shared" si="97"/>
        <v>89</v>
      </c>
      <c r="AG442" t="s">
        <v>29</v>
      </c>
      <c r="AH442" s="3">
        <v>15.54</v>
      </c>
      <c r="AI442" s="3">
        <f t="shared" si="98"/>
        <v>15.54</v>
      </c>
      <c r="AJ442" t="s">
        <v>30</v>
      </c>
      <c r="AK442" t="str">
        <f>PROPER(Table1[[#This Row],[CVD Risk Level]])</f>
        <v>High</v>
      </c>
    </row>
    <row r="443" spans="1:37" x14ac:dyDescent="0.3">
      <c r="A443" t="s">
        <v>20</v>
      </c>
      <c r="B443">
        <v>36</v>
      </c>
      <c r="C443" s="8">
        <f t="shared" si="87"/>
        <v>36</v>
      </c>
      <c r="D443" s="5">
        <v>81.2</v>
      </c>
      <c r="E443" s="8">
        <f t="shared" si="88"/>
        <v>81.2</v>
      </c>
      <c r="F443">
        <v>1.75</v>
      </c>
      <c r="G443" s="3">
        <f t="shared" si="89"/>
        <v>1.75</v>
      </c>
      <c r="H443">
        <v>26.5</v>
      </c>
      <c r="I443" s="5">
        <f t="shared" si="85"/>
        <v>26.5</v>
      </c>
      <c r="J443" s="16" t="str">
        <f t="shared" si="90"/>
        <v>Overweight</v>
      </c>
      <c r="K443">
        <v>74</v>
      </c>
      <c r="L443">
        <v>0.42299999999999999</v>
      </c>
      <c r="M443" s="11">
        <f t="shared" si="86"/>
        <v>0.42299999999999999</v>
      </c>
      <c r="N443" s="5">
        <f t="shared" si="91"/>
        <v>74</v>
      </c>
      <c r="O443">
        <v>225</v>
      </c>
      <c r="P443">
        <v>31</v>
      </c>
      <c r="Q443" s="8">
        <f t="shared" si="92"/>
        <v>31</v>
      </c>
      <c r="R443" s="8">
        <v>164</v>
      </c>
      <c r="S443" s="8">
        <f t="shared" si="93"/>
        <v>164</v>
      </c>
      <c r="T443" s="8">
        <f>(Table1[[#This Row],[Total Cholesterol (mg/dL)]]+Table1[[#This Row],[HDL (mg/dL)2]]+Table1[[#This Row],[Estimated LDL (mg/dL)2]])*5</f>
        <v>2100</v>
      </c>
      <c r="U443" s="8">
        <f>IF(O443="",Table1[[#This Row],[Estimated LDL (mg/dL)2]]+Table1[[#This Row],[HDL (mg/dL)2]]+(Table1[[#This Row],[Triglycerides]]/5),O443)</f>
        <v>225</v>
      </c>
      <c r="V443">
        <v>124</v>
      </c>
      <c r="W443" s="8">
        <f t="shared" si="94"/>
        <v>124</v>
      </c>
      <c r="X443" t="str">
        <f t="shared" si="95"/>
        <v>Prediabetes</v>
      </c>
      <c r="Y443" t="s">
        <v>23</v>
      </c>
      <c r="Z443" t="s">
        <v>22</v>
      </c>
      <c r="AA443" t="s">
        <v>37</v>
      </c>
      <c r="AB443" s="3" t="s">
        <v>434</v>
      </c>
      <c r="AC443">
        <v>141</v>
      </c>
      <c r="AD443" s="3" t="str">
        <f t="shared" si="96"/>
        <v>141</v>
      </c>
      <c r="AF443" s="3" t="str">
        <f t="shared" si="97"/>
        <v>76</v>
      </c>
      <c r="AG443" t="s">
        <v>38</v>
      </c>
      <c r="AH443" s="3">
        <v>16.850000000000001</v>
      </c>
      <c r="AI443" s="3">
        <f t="shared" si="98"/>
        <v>16.850000000000001</v>
      </c>
      <c r="AJ443" t="s">
        <v>30</v>
      </c>
      <c r="AK443" t="str">
        <f>PROPER(Table1[[#This Row],[CVD Risk Level]])</f>
        <v>High</v>
      </c>
    </row>
    <row r="444" spans="1:37" x14ac:dyDescent="0.3">
      <c r="A444" t="s">
        <v>20</v>
      </c>
      <c r="B444">
        <v>50</v>
      </c>
      <c r="C444" s="8">
        <f t="shared" si="87"/>
        <v>50</v>
      </c>
      <c r="D444" s="5">
        <v>73.900000000000006</v>
      </c>
      <c r="E444" s="8">
        <f t="shared" si="88"/>
        <v>73.900000000000006</v>
      </c>
      <c r="F444">
        <v>1.75</v>
      </c>
      <c r="G444" s="3">
        <f t="shared" si="89"/>
        <v>1.75</v>
      </c>
      <c r="H444">
        <v>24.1</v>
      </c>
      <c r="I444" s="5">
        <f t="shared" si="85"/>
        <v>24.1</v>
      </c>
      <c r="J444" s="16" t="str">
        <f t="shared" si="90"/>
        <v>Normal</v>
      </c>
      <c r="K444">
        <v>95.8</v>
      </c>
      <c r="L444">
        <v>0.54700000000000004</v>
      </c>
      <c r="M444" s="11">
        <f t="shared" si="86"/>
        <v>0.54700000000000004</v>
      </c>
      <c r="N444" s="5">
        <f t="shared" si="91"/>
        <v>95.8</v>
      </c>
      <c r="Q444" s="8">
        <f t="shared" si="92"/>
        <v>56.197377501725327</v>
      </c>
      <c r="R444" s="8">
        <v>31</v>
      </c>
      <c r="S444" s="8">
        <f>IF(R444&lt;=0,MEDIAN($R$2:$R$1530),R444)</f>
        <v>31</v>
      </c>
      <c r="T444" s="8">
        <f>(Table1[[#This Row],[Total Cholesterol (mg/dL)]]+Table1[[#This Row],[HDL (mg/dL)2]]+Table1[[#This Row],[Estimated LDL (mg/dL)2]])*5</f>
        <v>435.98688750862664</v>
      </c>
      <c r="U444" s="8">
        <f>IF(O444="",Table1[[#This Row],[Estimated LDL (mg/dL)2]]+Table1[[#This Row],[HDL (mg/dL)2]]+(Table1[[#This Row],[Triglycerides]]/5),O444)</f>
        <v>174.39475500345065</v>
      </c>
      <c r="V444">
        <v>144</v>
      </c>
      <c r="W444" s="8">
        <f t="shared" si="94"/>
        <v>144</v>
      </c>
      <c r="X444" t="str">
        <f t="shared" si="95"/>
        <v>Diabetes</v>
      </c>
      <c r="Y444" t="s">
        <v>23</v>
      </c>
      <c r="Z444" t="s">
        <v>22</v>
      </c>
      <c r="AA444" t="s">
        <v>28</v>
      </c>
      <c r="AB444" s="3" t="s">
        <v>435</v>
      </c>
      <c r="AC444">
        <v>145</v>
      </c>
      <c r="AD444" s="3" t="str">
        <f t="shared" si="96"/>
        <v>145</v>
      </c>
      <c r="AE444">
        <v>71</v>
      </c>
      <c r="AF444" s="3" t="str">
        <f t="shared" si="97"/>
        <v>71</v>
      </c>
      <c r="AG444" t="s">
        <v>38</v>
      </c>
      <c r="AH444" s="3">
        <v>14.67</v>
      </c>
      <c r="AI444" s="3">
        <f t="shared" si="98"/>
        <v>14.67</v>
      </c>
      <c r="AJ444" t="s">
        <v>26</v>
      </c>
      <c r="AK444" t="str">
        <f>PROPER(Table1[[#This Row],[CVD Risk Level]])</f>
        <v>Intermediary</v>
      </c>
    </row>
    <row r="445" spans="1:37" x14ac:dyDescent="0.3">
      <c r="A445" t="s">
        <v>31</v>
      </c>
      <c r="B445">
        <v>40</v>
      </c>
      <c r="C445" s="8">
        <f t="shared" si="87"/>
        <v>40</v>
      </c>
      <c r="D445" s="5">
        <v>110.6</v>
      </c>
      <c r="E445" s="8">
        <f t="shared" si="88"/>
        <v>110.6</v>
      </c>
      <c r="F445">
        <v>1.7</v>
      </c>
      <c r="G445" s="3">
        <f t="shared" si="89"/>
        <v>1.7</v>
      </c>
      <c r="H445">
        <v>38.299999999999997</v>
      </c>
      <c r="I445" s="5">
        <f t="shared" si="85"/>
        <v>38.299999999999997</v>
      </c>
      <c r="J445" s="16" t="str">
        <f t="shared" si="90"/>
        <v>Obese</v>
      </c>
      <c r="K445">
        <v>80.3</v>
      </c>
      <c r="L445">
        <v>0.47199999999999998</v>
      </c>
      <c r="M445" s="11">
        <f t="shared" si="86"/>
        <v>0.47199999999999998</v>
      </c>
      <c r="N445" s="5">
        <f t="shared" si="91"/>
        <v>80.3</v>
      </c>
      <c r="O445">
        <v>177</v>
      </c>
      <c r="P445">
        <v>65</v>
      </c>
      <c r="Q445" s="8">
        <f t="shared" si="92"/>
        <v>65</v>
      </c>
      <c r="R445" s="8">
        <v>82</v>
      </c>
      <c r="S445" s="8">
        <f t="shared" si="93"/>
        <v>82</v>
      </c>
      <c r="T445" s="8">
        <f>(Table1[[#This Row],[Total Cholesterol (mg/dL)]]+Table1[[#This Row],[HDL (mg/dL)2]]+Table1[[#This Row],[Estimated LDL (mg/dL)2]])*5</f>
        <v>1620</v>
      </c>
      <c r="U445" s="8">
        <f>IF(O445="",Table1[[#This Row],[Estimated LDL (mg/dL)2]]+Table1[[#This Row],[HDL (mg/dL)2]]+(Table1[[#This Row],[Triglycerides]]/5),O445)</f>
        <v>177</v>
      </c>
      <c r="V445">
        <v>121</v>
      </c>
      <c r="W445" s="8">
        <f t="shared" si="94"/>
        <v>121</v>
      </c>
      <c r="X445" t="str">
        <f t="shared" si="95"/>
        <v>Prediabetes</v>
      </c>
      <c r="Y445" t="s">
        <v>23</v>
      </c>
      <c r="Z445" t="s">
        <v>23</v>
      </c>
      <c r="AA445" t="s">
        <v>24</v>
      </c>
      <c r="AB445" s="3" t="s">
        <v>436</v>
      </c>
      <c r="AC445">
        <v>148</v>
      </c>
      <c r="AD445" s="3" t="str">
        <f t="shared" si="96"/>
        <v>148</v>
      </c>
      <c r="AE445">
        <v>95</v>
      </c>
      <c r="AF445" s="3" t="str">
        <f t="shared" si="97"/>
        <v>95</v>
      </c>
      <c r="AG445" t="s">
        <v>38</v>
      </c>
      <c r="AH445" s="3">
        <v>20.6</v>
      </c>
      <c r="AI445" s="3">
        <f t="shared" si="98"/>
        <v>20.6</v>
      </c>
      <c r="AJ445" t="s">
        <v>30</v>
      </c>
      <c r="AK445" t="str">
        <f>PROPER(Table1[[#This Row],[CVD Risk Level]])</f>
        <v>High</v>
      </c>
    </row>
    <row r="446" spans="1:37" x14ac:dyDescent="0.3">
      <c r="A446" t="s">
        <v>20</v>
      </c>
      <c r="B446">
        <v>52</v>
      </c>
      <c r="C446" s="8">
        <f t="shared" si="87"/>
        <v>52</v>
      </c>
      <c r="D446" s="5">
        <v>107.8</v>
      </c>
      <c r="E446" s="8">
        <f t="shared" si="88"/>
        <v>107.8</v>
      </c>
      <c r="F446">
        <v>1.78</v>
      </c>
      <c r="G446" s="3">
        <f t="shared" si="89"/>
        <v>1.78</v>
      </c>
      <c r="H446">
        <v>34</v>
      </c>
      <c r="I446" s="5">
        <f t="shared" si="85"/>
        <v>34</v>
      </c>
      <c r="J446" s="16" t="str">
        <f t="shared" si="90"/>
        <v>Obese</v>
      </c>
      <c r="K446">
        <v>103.5</v>
      </c>
      <c r="L446">
        <v>0.58099999999999996</v>
      </c>
      <c r="M446" s="11">
        <f t="shared" si="86"/>
        <v>0.58099999999999996</v>
      </c>
      <c r="N446" s="5">
        <f t="shared" si="91"/>
        <v>103.5</v>
      </c>
      <c r="O446">
        <v>179</v>
      </c>
      <c r="P446">
        <v>73</v>
      </c>
      <c r="Q446" s="8">
        <f t="shared" si="92"/>
        <v>73</v>
      </c>
      <c r="R446" s="8">
        <v>76</v>
      </c>
      <c r="S446" s="8">
        <f t="shared" si="93"/>
        <v>76</v>
      </c>
      <c r="T446" s="8">
        <f>(Table1[[#This Row],[Total Cholesterol (mg/dL)]]+Table1[[#This Row],[HDL (mg/dL)2]]+Table1[[#This Row],[Estimated LDL (mg/dL)2]])*5</f>
        <v>1640</v>
      </c>
      <c r="U446" s="8">
        <f>IF(O446="",Table1[[#This Row],[Estimated LDL (mg/dL)2]]+Table1[[#This Row],[HDL (mg/dL)2]]+(Table1[[#This Row],[Triglycerides]]/5),O446)</f>
        <v>179</v>
      </c>
      <c r="V446">
        <v>132</v>
      </c>
      <c r="W446" s="8">
        <f t="shared" si="94"/>
        <v>132</v>
      </c>
      <c r="X446" t="str">
        <f t="shared" si="95"/>
        <v>Diabetes</v>
      </c>
      <c r="Y446" t="s">
        <v>22</v>
      </c>
      <c r="Z446" t="s">
        <v>22</v>
      </c>
      <c r="AA446" t="s">
        <v>24</v>
      </c>
      <c r="AB446" s="3" t="s">
        <v>437</v>
      </c>
      <c r="AC446">
        <v>111</v>
      </c>
      <c r="AD446" s="3" t="str">
        <f t="shared" si="96"/>
        <v>111</v>
      </c>
      <c r="AE446">
        <v>69</v>
      </c>
      <c r="AF446" s="3" t="str">
        <f t="shared" si="97"/>
        <v>69</v>
      </c>
      <c r="AG446" t="s">
        <v>33</v>
      </c>
      <c r="AH446" s="3">
        <v>15.93</v>
      </c>
      <c r="AI446" s="3">
        <f t="shared" si="98"/>
        <v>15.93</v>
      </c>
      <c r="AJ446" t="s">
        <v>30</v>
      </c>
      <c r="AK446" t="str">
        <f>PROPER(Table1[[#This Row],[CVD Risk Level]])</f>
        <v>High</v>
      </c>
    </row>
    <row r="447" spans="1:37" x14ac:dyDescent="0.3">
      <c r="A447" t="s">
        <v>20</v>
      </c>
      <c r="B447">
        <v>39</v>
      </c>
      <c r="C447" s="8">
        <f t="shared" si="87"/>
        <v>39</v>
      </c>
      <c r="D447" s="5">
        <v>61.4</v>
      </c>
      <c r="E447" s="8">
        <f t="shared" si="88"/>
        <v>61.4</v>
      </c>
      <c r="F447">
        <v>1.71</v>
      </c>
      <c r="G447" s="3">
        <f t="shared" si="89"/>
        <v>1.71</v>
      </c>
      <c r="H447">
        <v>21</v>
      </c>
      <c r="I447" s="5">
        <f t="shared" si="85"/>
        <v>21</v>
      </c>
      <c r="J447" s="16" t="str">
        <f t="shared" si="90"/>
        <v>Normal</v>
      </c>
      <c r="K447">
        <v>83.6</v>
      </c>
      <c r="L447">
        <v>0.48899999999999999</v>
      </c>
      <c r="M447" s="11">
        <f t="shared" si="86"/>
        <v>0.48899999999999999</v>
      </c>
      <c r="N447" s="5">
        <f t="shared" si="91"/>
        <v>83.6</v>
      </c>
      <c r="O447">
        <v>246</v>
      </c>
      <c r="P447">
        <v>72</v>
      </c>
      <c r="Q447" s="8">
        <f t="shared" si="92"/>
        <v>72</v>
      </c>
      <c r="R447" s="8">
        <v>144</v>
      </c>
      <c r="S447" s="8">
        <f>IF(R447&lt;=0,MEDIAN($R$2:$R$1530),R447)</f>
        <v>144</v>
      </c>
      <c r="T447" s="8">
        <f>(Table1[[#This Row],[Total Cholesterol (mg/dL)]]+Table1[[#This Row],[HDL (mg/dL)2]]+Table1[[#This Row],[Estimated LDL (mg/dL)2]])*5</f>
        <v>2310</v>
      </c>
      <c r="U447" s="8">
        <f>IF(O447="",Table1[[#This Row],[Estimated LDL (mg/dL)2]]+Table1[[#This Row],[HDL (mg/dL)2]]+(Table1[[#This Row],[Triglycerides]]/5),O447)</f>
        <v>246</v>
      </c>
      <c r="V447">
        <v>136</v>
      </c>
      <c r="W447" s="8">
        <f t="shared" si="94"/>
        <v>136</v>
      </c>
      <c r="X447" t="str">
        <f t="shared" si="95"/>
        <v>Diabetes</v>
      </c>
      <c r="Y447" t="s">
        <v>22</v>
      </c>
      <c r="Z447" t="s">
        <v>23</v>
      </c>
      <c r="AA447" t="s">
        <v>28</v>
      </c>
      <c r="AB447" s="3" t="s">
        <v>438</v>
      </c>
      <c r="AC447">
        <v>134</v>
      </c>
      <c r="AD447" s="3" t="str">
        <f t="shared" si="96"/>
        <v>134</v>
      </c>
      <c r="AE447">
        <v>69</v>
      </c>
      <c r="AF447" s="3" t="str">
        <f t="shared" si="97"/>
        <v>69</v>
      </c>
      <c r="AG447" t="s">
        <v>29</v>
      </c>
      <c r="AH447" s="3">
        <v>17.82</v>
      </c>
      <c r="AI447" s="3">
        <f t="shared" si="98"/>
        <v>17.82</v>
      </c>
      <c r="AJ447" t="s">
        <v>26</v>
      </c>
      <c r="AK447" t="str">
        <f>PROPER(Table1[[#This Row],[CVD Risk Level]])</f>
        <v>Intermediary</v>
      </c>
    </row>
    <row r="448" spans="1:37" x14ac:dyDescent="0.3">
      <c r="A448" t="s">
        <v>20</v>
      </c>
      <c r="B448">
        <v>46</v>
      </c>
      <c r="C448" s="8">
        <f t="shared" si="87"/>
        <v>46</v>
      </c>
      <c r="E448" s="8">
        <f t="shared" si="88"/>
        <v>118.58391999999999</v>
      </c>
      <c r="F448">
        <v>1.82</v>
      </c>
      <c r="G448" s="3">
        <f t="shared" si="89"/>
        <v>1.82</v>
      </c>
      <c r="H448">
        <v>35.799999999999997</v>
      </c>
      <c r="I448" s="5">
        <f t="shared" si="85"/>
        <v>35.799999999999997</v>
      </c>
      <c r="J448" s="16" t="str">
        <f t="shared" si="90"/>
        <v>Obese</v>
      </c>
      <c r="K448">
        <v>93.5</v>
      </c>
      <c r="L448">
        <v>0.51400000000000001</v>
      </c>
      <c r="M448" s="11">
        <f t="shared" si="86"/>
        <v>0.51400000000000001</v>
      </c>
      <c r="N448" s="5">
        <f t="shared" si="91"/>
        <v>93.5</v>
      </c>
      <c r="O448">
        <v>260</v>
      </c>
      <c r="P448">
        <v>37</v>
      </c>
      <c r="Q448" s="8">
        <f t="shared" si="92"/>
        <v>37</v>
      </c>
      <c r="R448" s="8">
        <v>193</v>
      </c>
      <c r="S448" s="8">
        <f t="shared" si="93"/>
        <v>193</v>
      </c>
      <c r="T448" s="8">
        <f>(Table1[[#This Row],[Total Cholesterol (mg/dL)]]+Table1[[#This Row],[HDL (mg/dL)2]]+Table1[[#This Row],[Estimated LDL (mg/dL)2]])*5</f>
        <v>2450</v>
      </c>
      <c r="U448" s="8">
        <f>IF(O448="",Table1[[#This Row],[Estimated LDL (mg/dL)2]]+Table1[[#This Row],[HDL (mg/dL)2]]+(Table1[[#This Row],[Triglycerides]]/5),O448)</f>
        <v>260</v>
      </c>
      <c r="V448">
        <v>125</v>
      </c>
      <c r="W448" s="8">
        <f t="shared" si="94"/>
        <v>125</v>
      </c>
      <c r="X448" t="str">
        <f t="shared" si="95"/>
        <v>Prediabetes</v>
      </c>
      <c r="Y448" t="s">
        <v>23</v>
      </c>
      <c r="Z448" t="s">
        <v>22</v>
      </c>
      <c r="AA448" t="s">
        <v>28</v>
      </c>
      <c r="AB448" s="3" t="s">
        <v>439</v>
      </c>
      <c r="AC448">
        <v>120</v>
      </c>
      <c r="AD448" s="3" t="str">
        <f t="shared" si="96"/>
        <v>120</v>
      </c>
      <c r="AE448">
        <v>70</v>
      </c>
      <c r="AF448" s="3" t="str">
        <f t="shared" si="97"/>
        <v>70</v>
      </c>
      <c r="AG448" t="s">
        <v>25</v>
      </c>
      <c r="AH448" s="3">
        <v>18.36</v>
      </c>
      <c r="AI448" s="3">
        <f t="shared" si="98"/>
        <v>18.36</v>
      </c>
      <c r="AJ448" t="s">
        <v>30</v>
      </c>
      <c r="AK448" t="str">
        <f>PROPER(Table1[[#This Row],[CVD Risk Level]])</f>
        <v>High</v>
      </c>
    </row>
    <row r="449" spans="1:37" x14ac:dyDescent="0.3">
      <c r="A449" t="s">
        <v>31</v>
      </c>
      <c r="B449">
        <v>39</v>
      </c>
      <c r="C449" s="8">
        <f t="shared" si="87"/>
        <v>39</v>
      </c>
      <c r="D449" s="5">
        <v>80</v>
      </c>
      <c r="E449" s="8">
        <f t="shared" si="88"/>
        <v>80</v>
      </c>
      <c r="F449">
        <v>1.64</v>
      </c>
      <c r="G449" s="3">
        <f t="shared" si="89"/>
        <v>1.64</v>
      </c>
      <c r="H449">
        <v>29.7</v>
      </c>
      <c r="I449" s="5">
        <f t="shared" si="85"/>
        <v>29.7</v>
      </c>
      <c r="J449" s="16" t="str">
        <f t="shared" si="90"/>
        <v>Overweight</v>
      </c>
      <c r="K449">
        <v>103.6</v>
      </c>
      <c r="L449">
        <v>0.63200000000000001</v>
      </c>
      <c r="M449" s="11">
        <f t="shared" si="86"/>
        <v>0.63200000000000001</v>
      </c>
      <c r="N449" s="5">
        <f t="shared" si="91"/>
        <v>103.6</v>
      </c>
      <c r="O449">
        <v>299</v>
      </c>
      <c r="P449">
        <v>46</v>
      </c>
      <c r="Q449" s="8">
        <f t="shared" si="92"/>
        <v>46</v>
      </c>
      <c r="R449" s="8">
        <v>223</v>
      </c>
      <c r="S449" s="8">
        <f t="shared" si="93"/>
        <v>223</v>
      </c>
      <c r="T449" s="8">
        <f>(Table1[[#This Row],[Total Cholesterol (mg/dL)]]+Table1[[#This Row],[HDL (mg/dL)2]]+Table1[[#This Row],[Estimated LDL (mg/dL)2]])*5</f>
        <v>2840</v>
      </c>
      <c r="U449" s="8">
        <f>IF(O449="",Table1[[#This Row],[Estimated LDL (mg/dL)2]]+Table1[[#This Row],[HDL (mg/dL)2]]+(Table1[[#This Row],[Triglycerides]]/5),O449)</f>
        <v>299</v>
      </c>
      <c r="V449">
        <v>148</v>
      </c>
      <c r="W449" s="8">
        <f t="shared" si="94"/>
        <v>148</v>
      </c>
      <c r="X449" t="str">
        <f t="shared" si="95"/>
        <v>Diabetes</v>
      </c>
      <c r="Y449" t="s">
        <v>22</v>
      </c>
      <c r="Z449" t="s">
        <v>22</v>
      </c>
      <c r="AA449" t="s">
        <v>24</v>
      </c>
      <c r="AB449" s="3" t="s">
        <v>440</v>
      </c>
      <c r="AC449">
        <v>114</v>
      </c>
      <c r="AD449" s="3" t="str">
        <f t="shared" si="96"/>
        <v>114</v>
      </c>
      <c r="AE449">
        <v>70</v>
      </c>
      <c r="AF449" s="3" t="str">
        <f t="shared" si="97"/>
        <v>70</v>
      </c>
      <c r="AG449" t="s">
        <v>33</v>
      </c>
      <c r="AH449" s="3">
        <v>17.62</v>
      </c>
      <c r="AI449" s="3">
        <f t="shared" si="98"/>
        <v>17.62</v>
      </c>
      <c r="AJ449" t="s">
        <v>30</v>
      </c>
      <c r="AK449" t="str">
        <f>PROPER(Table1[[#This Row],[CVD Risk Level]])</f>
        <v>High</v>
      </c>
    </row>
    <row r="450" spans="1:37" x14ac:dyDescent="0.3">
      <c r="A450" t="s">
        <v>20</v>
      </c>
      <c r="B450">
        <v>35</v>
      </c>
      <c r="C450" s="8">
        <f t="shared" si="87"/>
        <v>35</v>
      </c>
      <c r="D450" s="5">
        <v>64.2</v>
      </c>
      <c r="E450" s="8">
        <f t="shared" si="88"/>
        <v>64.2</v>
      </c>
      <c r="F450">
        <v>1.87</v>
      </c>
      <c r="G450" s="3">
        <f t="shared" si="89"/>
        <v>1.87</v>
      </c>
      <c r="H450">
        <v>18.399999999999999</v>
      </c>
      <c r="I450" s="5">
        <f t="shared" ref="I450:I513" si="99" xml:space="preserve"> IF(H450="",E450 / (G450^2),H450)</f>
        <v>18.399999999999999</v>
      </c>
      <c r="J450" s="16" t="str">
        <f t="shared" si="90"/>
        <v>Underweight</v>
      </c>
      <c r="K450">
        <v>100.8</v>
      </c>
      <c r="L450">
        <v>0.53900000000000003</v>
      </c>
      <c r="M450" s="11">
        <f t="shared" ref="M450:M513" si="100">IF(L450="",K450/(G450*100),L450)</f>
        <v>0.53900000000000003</v>
      </c>
      <c r="N450" s="5">
        <f t="shared" si="91"/>
        <v>100.8</v>
      </c>
      <c r="O450">
        <v>193</v>
      </c>
      <c r="P450">
        <v>49</v>
      </c>
      <c r="Q450" s="8">
        <f t="shared" si="92"/>
        <v>49</v>
      </c>
      <c r="R450" s="8">
        <v>114</v>
      </c>
      <c r="S450" s="8">
        <f t="shared" si="93"/>
        <v>114</v>
      </c>
      <c r="T450" s="8">
        <f>(Table1[[#This Row],[Total Cholesterol (mg/dL)]]+Table1[[#This Row],[HDL (mg/dL)2]]+Table1[[#This Row],[Estimated LDL (mg/dL)2]])*5</f>
        <v>1780</v>
      </c>
      <c r="U450" s="8">
        <f>IF(O450="",Table1[[#This Row],[Estimated LDL (mg/dL)2]]+Table1[[#This Row],[HDL (mg/dL)2]]+(Table1[[#This Row],[Triglycerides]]/5),O450)</f>
        <v>193</v>
      </c>
      <c r="V450">
        <v>134</v>
      </c>
      <c r="W450" s="8">
        <f t="shared" si="94"/>
        <v>134</v>
      </c>
      <c r="X450" t="str">
        <f t="shared" si="95"/>
        <v>Diabetes</v>
      </c>
      <c r="Y450" t="s">
        <v>23</v>
      </c>
      <c r="Z450" t="s">
        <v>23</v>
      </c>
      <c r="AA450" t="s">
        <v>37</v>
      </c>
      <c r="AB450" s="3" t="s">
        <v>441</v>
      </c>
      <c r="AD450" s="3" t="str">
        <f t="shared" si="96"/>
        <v>134</v>
      </c>
      <c r="AE450">
        <v>67</v>
      </c>
      <c r="AF450" s="3" t="str">
        <f t="shared" si="97"/>
        <v>67</v>
      </c>
      <c r="AG450" t="s">
        <v>29</v>
      </c>
      <c r="AH450" s="3">
        <v>16.239999999999998</v>
      </c>
      <c r="AI450" s="3">
        <f t="shared" si="98"/>
        <v>16.239999999999998</v>
      </c>
      <c r="AJ450" t="s">
        <v>26</v>
      </c>
      <c r="AK450" t="str">
        <f>PROPER(Table1[[#This Row],[CVD Risk Level]])</f>
        <v>Intermediary</v>
      </c>
    </row>
    <row r="451" spans="1:37" x14ac:dyDescent="0.3">
      <c r="A451" t="s">
        <v>31</v>
      </c>
      <c r="B451">
        <v>53</v>
      </c>
      <c r="C451" s="8">
        <f t="shared" ref="C451:C514" si="101">IF(B451="",AVERAGE($B$2:$B$1530),B451)</f>
        <v>53</v>
      </c>
      <c r="D451" s="5">
        <v>62.3</v>
      </c>
      <c r="E451" s="8">
        <f t="shared" ref="E451:E514" si="102">IF(D451="", H451*(F451^2),D451)</f>
        <v>62.3</v>
      </c>
      <c r="F451">
        <v>1.84</v>
      </c>
      <c r="G451" s="3">
        <f t="shared" ref="G451:G514" si="103">IF(F451="", SQRT(E451 / H451),F451)</f>
        <v>1.84</v>
      </c>
      <c r="H451">
        <v>18.399999999999999</v>
      </c>
      <c r="I451" s="5">
        <f t="shared" si="99"/>
        <v>18.399999999999999</v>
      </c>
      <c r="J451" s="16" t="str">
        <f t="shared" ref="J451:J514" si="104">IF(I451&lt;18.5,"Underweight",IF(I451&lt;25,"Normal",IF(I451&lt;30,"Overweight","Obese")))</f>
        <v>Underweight</v>
      </c>
      <c r="K451">
        <v>90.9</v>
      </c>
      <c r="L451">
        <v>0.49399999999999999</v>
      </c>
      <c r="M451" s="11">
        <f t="shared" si="100"/>
        <v>0.49399999999999999</v>
      </c>
      <c r="N451" s="5">
        <f t="shared" ref="N451:N514" si="105">IF(K451="",M451*(G451*100),K451)</f>
        <v>90.9</v>
      </c>
      <c r="O451">
        <v>208</v>
      </c>
      <c r="P451">
        <v>30</v>
      </c>
      <c r="Q451" s="8">
        <f t="shared" ref="Q451:Q514" si="106">IF(P451="",AVERAGE($P$2:$P$1530),P451)</f>
        <v>30</v>
      </c>
      <c r="R451" s="8">
        <v>148</v>
      </c>
      <c r="S451" s="8">
        <f t="shared" ref="S451:S514" si="107">IF(R451&lt;=0,MEDIAN($R$2:$R$1530),R451)</f>
        <v>148</v>
      </c>
      <c r="T451" s="8">
        <f>(Table1[[#This Row],[Total Cholesterol (mg/dL)]]+Table1[[#This Row],[HDL (mg/dL)2]]+Table1[[#This Row],[Estimated LDL (mg/dL)2]])*5</f>
        <v>1930</v>
      </c>
      <c r="U451" s="8">
        <f>IF(O451="",Table1[[#This Row],[Estimated LDL (mg/dL)2]]+Table1[[#This Row],[HDL (mg/dL)2]]+(Table1[[#This Row],[Triglycerides]]/5),O451)</f>
        <v>208</v>
      </c>
      <c r="V451">
        <v>101</v>
      </c>
      <c r="W451" s="8">
        <f t="shared" ref="W451:W514" si="108">IF(V451="",AVERAGE($V$2:$V$1530),V451)</f>
        <v>101</v>
      </c>
      <c r="X451" t="str">
        <f t="shared" ref="X451:X514" si="109">IF(W451&lt;100,"Normal",IF(W451&lt;126,"Prediabetes","Diabetes"))</f>
        <v>Prediabetes</v>
      </c>
      <c r="Y451" t="s">
        <v>23</v>
      </c>
      <c r="Z451" t="s">
        <v>22</v>
      </c>
      <c r="AA451" t="s">
        <v>24</v>
      </c>
      <c r="AB451" s="3" t="s">
        <v>442</v>
      </c>
      <c r="AC451">
        <v>95</v>
      </c>
      <c r="AD451" s="3" t="str">
        <f t="shared" ref="AD451:AD514" si="110">LEFT(AB451,FIND("/",AB451)-1)</f>
        <v>95</v>
      </c>
      <c r="AE451">
        <v>94</v>
      </c>
      <c r="AF451" s="3" t="str">
        <f t="shared" ref="AF451:AF514" si="111">RIGHT(AB451,LEN(AB451)-FIND("/",AB451))</f>
        <v>94</v>
      </c>
      <c r="AG451" t="s">
        <v>38</v>
      </c>
      <c r="AH451" s="3">
        <v>12.59</v>
      </c>
      <c r="AI451" s="3">
        <f t="shared" ref="AI451:AI514" si="112">IF(AH451="",AVERAGE($AH$2:$AH$1530),AH451)</f>
        <v>12.59</v>
      </c>
      <c r="AJ451" t="s">
        <v>30</v>
      </c>
      <c r="AK451" t="str">
        <f>PROPER(Table1[[#This Row],[CVD Risk Level]])</f>
        <v>High</v>
      </c>
    </row>
    <row r="452" spans="1:37" x14ac:dyDescent="0.3">
      <c r="A452" t="s">
        <v>20</v>
      </c>
      <c r="B452">
        <v>54</v>
      </c>
      <c r="C452" s="8">
        <f t="shared" si="101"/>
        <v>54</v>
      </c>
      <c r="D452" s="5">
        <v>78.2</v>
      </c>
      <c r="E452" s="8">
        <f t="shared" si="102"/>
        <v>78.2</v>
      </c>
      <c r="F452">
        <v>1.83</v>
      </c>
      <c r="G452" s="3">
        <f t="shared" si="103"/>
        <v>1.83</v>
      </c>
      <c r="H452">
        <v>23.4</v>
      </c>
      <c r="I452" s="5">
        <f t="shared" si="99"/>
        <v>23.4</v>
      </c>
      <c r="J452" s="16" t="str">
        <f t="shared" si="104"/>
        <v>Normal</v>
      </c>
      <c r="K452">
        <v>82.8</v>
      </c>
      <c r="L452">
        <v>0.45200000000000001</v>
      </c>
      <c r="M452" s="11">
        <f t="shared" si="100"/>
        <v>0.45200000000000001</v>
      </c>
      <c r="N452" s="5">
        <f t="shared" si="105"/>
        <v>82.8</v>
      </c>
      <c r="O452">
        <v>180</v>
      </c>
      <c r="P452">
        <v>33</v>
      </c>
      <c r="Q452" s="8">
        <f t="shared" si="106"/>
        <v>33</v>
      </c>
      <c r="R452" s="8">
        <v>117</v>
      </c>
      <c r="S452" s="8">
        <f t="shared" si="107"/>
        <v>117</v>
      </c>
      <c r="T452" s="8">
        <f>(Table1[[#This Row],[Total Cholesterol (mg/dL)]]+Table1[[#This Row],[HDL (mg/dL)2]]+Table1[[#This Row],[Estimated LDL (mg/dL)2]])*5</f>
        <v>1650</v>
      </c>
      <c r="U452" s="8">
        <f>IF(O452="",Table1[[#This Row],[Estimated LDL (mg/dL)2]]+Table1[[#This Row],[HDL (mg/dL)2]]+(Table1[[#This Row],[Triglycerides]]/5),O452)</f>
        <v>180</v>
      </c>
      <c r="V452">
        <v>89</v>
      </c>
      <c r="W452" s="8">
        <f t="shared" si="108"/>
        <v>89</v>
      </c>
      <c r="X452" t="str">
        <f t="shared" si="109"/>
        <v>Normal</v>
      </c>
      <c r="Y452" t="s">
        <v>23</v>
      </c>
      <c r="Z452" t="s">
        <v>22</v>
      </c>
      <c r="AA452" t="s">
        <v>37</v>
      </c>
      <c r="AB452" s="3" t="s">
        <v>443</v>
      </c>
      <c r="AC452">
        <v>116</v>
      </c>
      <c r="AD452" s="3" t="str">
        <f t="shared" si="110"/>
        <v>116</v>
      </c>
      <c r="AE452">
        <v>86</v>
      </c>
      <c r="AF452" s="3" t="str">
        <f t="shared" si="111"/>
        <v>86</v>
      </c>
      <c r="AG452" t="s">
        <v>29</v>
      </c>
      <c r="AH452" s="3">
        <v>14.08</v>
      </c>
      <c r="AI452" s="3">
        <f t="shared" si="112"/>
        <v>14.08</v>
      </c>
      <c r="AJ452" t="s">
        <v>30</v>
      </c>
      <c r="AK452" t="str">
        <f>PROPER(Table1[[#This Row],[CVD Risk Level]])</f>
        <v>High</v>
      </c>
    </row>
    <row r="453" spans="1:37" x14ac:dyDescent="0.3">
      <c r="A453" t="s">
        <v>31</v>
      </c>
      <c r="B453">
        <v>48</v>
      </c>
      <c r="C453" s="8">
        <f t="shared" si="101"/>
        <v>48</v>
      </c>
      <c r="D453" s="5">
        <v>50.1</v>
      </c>
      <c r="E453" s="8">
        <f t="shared" si="102"/>
        <v>50.1</v>
      </c>
      <c r="F453">
        <v>1.77</v>
      </c>
      <c r="G453" s="3">
        <f t="shared" si="103"/>
        <v>1.77</v>
      </c>
      <c r="H453">
        <v>16</v>
      </c>
      <c r="I453" s="5">
        <f t="shared" si="99"/>
        <v>16</v>
      </c>
      <c r="J453" s="16" t="str">
        <f t="shared" si="104"/>
        <v>Underweight</v>
      </c>
      <c r="K453">
        <v>104.1</v>
      </c>
      <c r="L453">
        <v>0.58799999999999997</v>
      </c>
      <c r="M453" s="11">
        <f t="shared" si="100"/>
        <v>0.58799999999999997</v>
      </c>
      <c r="N453" s="5">
        <f t="shared" si="105"/>
        <v>104.1</v>
      </c>
      <c r="O453">
        <v>210</v>
      </c>
      <c r="P453">
        <v>70</v>
      </c>
      <c r="Q453" s="8">
        <f t="shared" si="106"/>
        <v>70</v>
      </c>
      <c r="R453" s="8">
        <v>110</v>
      </c>
      <c r="S453" s="8">
        <f t="shared" si="107"/>
        <v>110</v>
      </c>
      <c r="T453" s="8">
        <f>(Table1[[#This Row],[Total Cholesterol (mg/dL)]]+Table1[[#This Row],[HDL (mg/dL)2]]+Table1[[#This Row],[Estimated LDL (mg/dL)2]])*5</f>
        <v>1950</v>
      </c>
      <c r="U453" s="8">
        <f>IF(O453="",Table1[[#This Row],[Estimated LDL (mg/dL)2]]+Table1[[#This Row],[HDL (mg/dL)2]]+(Table1[[#This Row],[Triglycerides]]/5),O453)</f>
        <v>210</v>
      </c>
      <c r="V453">
        <v>108</v>
      </c>
      <c r="W453" s="8">
        <f t="shared" si="108"/>
        <v>108</v>
      </c>
      <c r="X453" t="str">
        <f t="shared" si="109"/>
        <v>Prediabetes</v>
      </c>
      <c r="Y453" t="s">
        <v>22</v>
      </c>
      <c r="Z453" t="s">
        <v>22</v>
      </c>
      <c r="AA453" t="s">
        <v>24</v>
      </c>
      <c r="AB453" s="3" t="s">
        <v>444</v>
      </c>
      <c r="AC453">
        <v>146</v>
      </c>
      <c r="AD453" s="3" t="str">
        <f t="shared" si="110"/>
        <v>146</v>
      </c>
      <c r="AF453" s="3" t="str">
        <f t="shared" si="111"/>
        <v>95</v>
      </c>
      <c r="AG453" t="s">
        <v>38</v>
      </c>
      <c r="AI453" s="3">
        <f t="shared" si="112"/>
        <v>16.960925291295425</v>
      </c>
      <c r="AJ453" t="s">
        <v>30</v>
      </c>
      <c r="AK453" t="str">
        <f>PROPER(Table1[[#This Row],[CVD Risk Level]])</f>
        <v>High</v>
      </c>
    </row>
    <row r="454" spans="1:37" x14ac:dyDescent="0.3">
      <c r="A454" t="s">
        <v>31</v>
      </c>
      <c r="B454">
        <v>36</v>
      </c>
      <c r="C454" s="8">
        <f t="shared" si="101"/>
        <v>36</v>
      </c>
      <c r="D454" s="5">
        <v>53.9</v>
      </c>
      <c r="E454" s="8">
        <f t="shared" si="102"/>
        <v>53.9</v>
      </c>
      <c r="F454">
        <v>1.67</v>
      </c>
      <c r="G454" s="3">
        <f t="shared" si="103"/>
        <v>1.67</v>
      </c>
      <c r="H454">
        <v>19.3</v>
      </c>
      <c r="I454" s="5">
        <f t="shared" si="99"/>
        <v>19.3</v>
      </c>
      <c r="J454" s="16" t="str">
        <f t="shared" si="104"/>
        <v>Normal</v>
      </c>
      <c r="K454">
        <v>79.3</v>
      </c>
      <c r="L454">
        <v>0.47499999999999998</v>
      </c>
      <c r="M454" s="11">
        <f t="shared" si="100"/>
        <v>0.47499999999999998</v>
      </c>
      <c r="N454" s="5">
        <f t="shared" si="105"/>
        <v>79.3</v>
      </c>
      <c r="O454">
        <v>193</v>
      </c>
      <c r="P454">
        <v>69</v>
      </c>
      <c r="Q454" s="8">
        <f t="shared" si="106"/>
        <v>69</v>
      </c>
      <c r="R454" s="8">
        <v>94</v>
      </c>
      <c r="S454" s="8">
        <f t="shared" si="107"/>
        <v>94</v>
      </c>
      <c r="T454" s="8">
        <f>(Table1[[#This Row],[Total Cholesterol (mg/dL)]]+Table1[[#This Row],[HDL (mg/dL)2]]+Table1[[#This Row],[Estimated LDL (mg/dL)2]])*5</f>
        <v>1780</v>
      </c>
      <c r="U454" s="8">
        <f>IF(O454="",Table1[[#This Row],[Estimated LDL (mg/dL)2]]+Table1[[#This Row],[HDL (mg/dL)2]]+(Table1[[#This Row],[Triglycerides]]/5),O454)</f>
        <v>193</v>
      </c>
      <c r="V454">
        <v>131</v>
      </c>
      <c r="W454" s="8">
        <f t="shared" si="108"/>
        <v>131</v>
      </c>
      <c r="X454" t="str">
        <f t="shared" si="109"/>
        <v>Diabetes</v>
      </c>
      <c r="Y454" t="s">
        <v>23</v>
      </c>
      <c r="Z454" t="s">
        <v>23</v>
      </c>
      <c r="AA454" t="s">
        <v>24</v>
      </c>
      <c r="AB454" s="3" t="s">
        <v>32</v>
      </c>
      <c r="AC454">
        <v>104</v>
      </c>
      <c r="AD454" s="3" t="str">
        <f t="shared" si="110"/>
        <v>104</v>
      </c>
      <c r="AE454">
        <v>77</v>
      </c>
      <c r="AF454" s="3" t="str">
        <f t="shared" si="111"/>
        <v>77</v>
      </c>
      <c r="AG454" t="s">
        <v>33</v>
      </c>
      <c r="AH454" s="3">
        <v>14.92</v>
      </c>
      <c r="AI454" s="3">
        <f t="shared" si="112"/>
        <v>14.92</v>
      </c>
      <c r="AJ454" t="s">
        <v>30</v>
      </c>
      <c r="AK454" t="str">
        <f>PROPER(Table1[[#This Row],[CVD Risk Level]])</f>
        <v>High</v>
      </c>
    </row>
    <row r="455" spans="1:37" x14ac:dyDescent="0.3">
      <c r="A455" t="s">
        <v>31</v>
      </c>
      <c r="B455">
        <v>52</v>
      </c>
      <c r="C455" s="8">
        <f t="shared" si="101"/>
        <v>52</v>
      </c>
      <c r="D455" s="5">
        <v>59</v>
      </c>
      <c r="E455" s="8">
        <f t="shared" si="102"/>
        <v>59</v>
      </c>
      <c r="F455">
        <v>1.86</v>
      </c>
      <c r="G455" s="3">
        <f t="shared" si="103"/>
        <v>1.86</v>
      </c>
      <c r="H455">
        <v>17.100000000000001</v>
      </c>
      <c r="I455" s="5">
        <f t="shared" si="99"/>
        <v>17.100000000000001</v>
      </c>
      <c r="J455" s="16" t="str">
        <f t="shared" si="104"/>
        <v>Underweight</v>
      </c>
      <c r="K455">
        <v>92</v>
      </c>
      <c r="L455">
        <v>0.495</v>
      </c>
      <c r="M455" s="11">
        <f t="shared" si="100"/>
        <v>0.495</v>
      </c>
      <c r="N455" s="5">
        <f t="shared" si="105"/>
        <v>92</v>
      </c>
      <c r="O455">
        <v>156</v>
      </c>
      <c r="Q455" s="8">
        <f t="shared" si="106"/>
        <v>56.197377501725327</v>
      </c>
      <c r="R455" s="8">
        <v>81</v>
      </c>
      <c r="S455" s="8">
        <f>IF(R455&lt;=0,MEDIAN($R$2:$R$1530),R455)</f>
        <v>81</v>
      </c>
      <c r="T455" s="8">
        <f>(Table1[[#This Row],[Total Cholesterol (mg/dL)]]+Table1[[#This Row],[HDL (mg/dL)2]]+Table1[[#This Row],[Estimated LDL (mg/dL)2]])*5</f>
        <v>1465.9868875086268</v>
      </c>
      <c r="U455" s="8">
        <f>IF(O455="",Table1[[#This Row],[Estimated LDL (mg/dL)2]]+Table1[[#This Row],[HDL (mg/dL)2]]+(Table1[[#This Row],[Triglycerides]]/5),O455)</f>
        <v>156</v>
      </c>
      <c r="V455">
        <v>134</v>
      </c>
      <c r="W455" s="8">
        <f t="shared" si="108"/>
        <v>134</v>
      </c>
      <c r="X455" t="str">
        <f t="shared" si="109"/>
        <v>Diabetes</v>
      </c>
      <c r="Y455" t="s">
        <v>22</v>
      </c>
      <c r="Z455" t="s">
        <v>23</v>
      </c>
      <c r="AA455" t="s">
        <v>24</v>
      </c>
      <c r="AB455" s="3" t="s">
        <v>92</v>
      </c>
      <c r="AC455">
        <v>98</v>
      </c>
      <c r="AD455" s="3" t="str">
        <f t="shared" si="110"/>
        <v>98</v>
      </c>
      <c r="AE455">
        <v>73</v>
      </c>
      <c r="AF455" s="3" t="str">
        <f t="shared" si="111"/>
        <v>73</v>
      </c>
      <c r="AG455" t="s">
        <v>33</v>
      </c>
      <c r="AH455" s="3">
        <v>13.44</v>
      </c>
      <c r="AI455" s="3">
        <f t="shared" si="112"/>
        <v>13.44</v>
      </c>
      <c r="AJ455" t="s">
        <v>26</v>
      </c>
      <c r="AK455" t="str">
        <f>PROPER(Table1[[#This Row],[CVD Risk Level]])</f>
        <v>Intermediary</v>
      </c>
    </row>
    <row r="456" spans="1:37" x14ac:dyDescent="0.3">
      <c r="A456" t="s">
        <v>31</v>
      </c>
      <c r="B456">
        <v>39</v>
      </c>
      <c r="C456" s="8">
        <f t="shared" si="101"/>
        <v>39</v>
      </c>
      <c r="D456" s="5">
        <v>109.9</v>
      </c>
      <c r="E456" s="8">
        <f t="shared" si="102"/>
        <v>109.9</v>
      </c>
      <c r="F456">
        <v>1.8</v>
      </c>
      <c r="G456" s="3">
        <f t="shared" si="103"/>
        <v>1.8</v>
      </c>
      <c r="H456">
        <v>33.9</v>
      </c>
      <c r="I456" s="5">
        <f t="shared" si="99"/>
        <v>33.9</v>
      </c>
      <c r="J456" s="16" t="str">
        <f t="shared" si="104"/>
        <v>Obese</v>
      </c>
      <c r="K456">
        <v>89.4</v>
      </c>
      <c r="L456">
        <v>0.497</v>
      </c>
      <c r="M456" s="11">
        <f t="shared" si="100"/>
        <v>0.497</v>
      </c>
      <c r="N456" s="5">
        <f t="shared" si="105"/>
        <v>89.4</v>
      </c>
      <c r="O456">
        <v>267</v>
      </c>
      <c r="P456">
        <v>35</v>
      </c>
      <c r="Q456" s="8">
        <f t="shared" si="106"/>
        <v>35</v>
      </c>
      <c r="R456" s="8">
        <v>202</v>
      </c>
      <c r="S456" s="8">
        <f t="shared" si="107"/>
        <v>202</v>
      </c>
      <c r="T456" s="8">
        <f>(Table1[[#This Row],[Total Cholesterol (mg/dL)]]+Table1[[#This Row],[HDL (mg/dL)2]]+Table1[[#This Row],[Estimated LDL (mg/dL)2]])*5</f>
        <v>2520</v>
      </c>
      <c r="U456" s="8">
        <f>IF(O456="",Table1[[#This Row],[Estimated LDL (mg/dL)2]]+Table1[[#This Row],[HDL (mg/dL)2]]+(Table1[[#This Row],[Triglycerides]]/5),O456)</f>
        <v>267</v>
      </c>
      <c r="V456">
        <v>116</v>
      </c>
      <c r="W456" s="8">
        <f t="shared" si="108"/>
        <v>116</v>
      </c>
      <c r="X456" t="str">
        <f t="shared" si="109"/>
        <v>Prediabetes</v>
      </c>
      <c r="Y456" t="s">
        <v>23</v>
      </c>
      <c r="Z456" t="s">
        <v>22</v>
      </c>
      <c r="AA456" t="s">
        <v>24</v>
      </c>
      <c r="AB456" s="3" t="s">
        <v>445</v>
      </c>
      <c r="AC456">
        <v>130</v>
      </c>
      <c r="AD456" s="3" t="str">
        <f t="shared" si="110"/>
        <v>130</v>
      </c>
      <c r="AE456">
        <v>94</v>
      </c>
      <c r="AF456" s="3" t="str">
        <f t="shared" si="111"/>
        <v>94</v>
      </c>
      <c r="AG456" t="s">
        <v>29</v>
      </c>
      <c r="AH456" s="3">
        <v>18.62</v>
      </c>
      <c r="AI456" s="3">
        <f t="shared" si="112"/>
        <v>18.62</v>
      </c>
      <c r="AJ456" t="s">
        <v>30</v>
      </c>
      <c r="AK456" t="str">
        <f>PROPER(Table1[[#This Row],[CVD Risk Level]])</f>
        <v>High</v>
      </c>
    </row>
    <row r="457" spans="1:37" x14ac:dyDescent="0.3">
      <c r="A457" t="s">
        <v>31</v>
      </c>
      <c r="B457">
        <v>38</v>
      </c>
      <c r="C457" s="8">
        <f t="shared" si="101"/>
        <v>38</v>
      </c>
      <c r="D457" s="5">
        <v>109.2</v>
      </c>
      <c r="E457" s="8">
        <f t="shared" si="102"/>
        <v>109.2</v>
      </c>
      <c r="F457">
        <v>1.87</v>
      </c>
      <c r="G457" s="3">
        <f t="shared" si="103"/>
        <v>1.87</v>
      </c>
      <c r="H457">
        <v>31.2</v>
      </c>
      <c r="I457" s="5">
        <f t="shared" si="99"/>
        <v>31.2</v>
      </c>
      <c r="J457" s="16" t="str">
        <f t="shared" si="104"/>
        <v>Obese</v>
      </c>
      <c r="K457">
        <v>81</v>
      </c>
      <c r="L457">
        <v>0.433</v>
      </c>
      <c r="M457" s="11">
        <f t="shared" si="100"/>
        <v>0.433</v>
      </c>
      <c r="N457" s="5">
        <f t="shared" si="105"/>
        <v>81</v>
      </c>
      <c r="O457">
        <v>159</v>
      </c>
      <c r="P457">
        <v>51</v>
      </c>
      <c r="Q457" s="8">
        <f t="shared" si="106"/>
        <v>51</v>
      </c>
      <c r="R457" s="8">
        <v>78</v>
      </c>
      <c r="S457" s="8">
        <f t="shared" si="107"/>
        <v>78</v>
      </c>
      <c r="T457" s="8">
        <f>(Table1[[#This Row],[Total Cholesterol (mg/dL)]]+Table1[[#This Row],[HDL (mg/dL)2]]+Table1[[#This Row],[Estimated LDL (mg/dL)2]])*5</f>
        <v>1440</v>
      </c>
      <c r="U457" s="8">
        <f>IF(O457="",Table1[[#This Row],[Estimated LDL (mg/dL)2]]+Table1[[#This Row],[HDL (mg/dL)2]]+(Table1[[#This Row],[Triglycerides]]/5),O457)</f>
        <v>159</v>
      </c>
      <c r="V457">
        <v>123</v>
      </c>
      <c r="W457" s="8">
        <f t="shared" si="108"/>
        <v>123</v>
      </c>
      <c r="X457" t="str">
        <f t="shared" si="109"/>
        <v>Prediabetes</v>
      </c>
      <c r="Y457" t="s">
        <v>22</v>
      </c>
      <c r="Z457" t="s">
        <v>22</v>
      </c>
      <c r="AA457" t="s">
        <v>28</v>
      </c>
      <c r="AB457" s="3" t="s">
        <v>446</v>
      </c>
      <c r="AC457">
        <v>129</v>
      </c>
      <c r="AD457" s="3" t="str">
        <f t="shared" si="110"/>
        <v>129</v>
      </c>
      <c r="AE457">
        <v>61</v>
      </c>
      <c r="AF457" s="3" t="str">
        <f t="shared" si="111"/>
        <v>61</v>
      </c>
      <c r="AG457" t="s">
        <v>25</v>
      </c>
      <c r="AH457" s="3">
        <v>15.87</v>
      </c>
      <c r="AI457" s="3">
        <f t="shared" si="112"/>
        <v>15.87</v>
      </c>
      <c r="AJ457" t="s">
        <v>26</v>
      </c>
      <c r="AK457" t="str">
        <f>PROPER(Table1[[#This Row],[CVD Risk Level]])</f>
        <v>Intermediary</v>
      </c>
    </row>
    <row r="458" spans="1:37" x14ac:dyDescent="0.3">
      <c r="A458" t="s">
        <v>31</v>
      </c>
      <c r="B458">
        <v>38</v>
      </c>
      <c r="C458" s="8">
        <f t="shared" si="101"/>
        <v>38</v>
      </c>
      <c r="D458" s="5">
        <v>58.8</v>
      </c>
      <c r="E458" s="8">
        <f t="shared" si="102"/>
        <v>58.8</v>
      </c>
      <c r="F458">
        <v>1.79</v>
      </c>
      <c r="G458" s="3">
        <f t="shared" si="103"/>
        <v>1.79</v>
      </c>
      <c r="H458">
        <v>18.399999999999999</v>
      </c>
      <c r="I458" s="5">
        <f t="shared" si="99"/>
        <v>18.399999999999999</v>
      </c>
      <c r="J458" s="16" t="str">
        <f t="shared" si="104"/>
        <v>Underweight</v>
      </c>
      <c r="K458">
        <v>93.6</v>
      </c>
      <c r="L458">
        <v>0.52300000000000002</v>
      </c>
      <c r="M458" s="11">
        <f t="shared" si="100"/>
        <v>0.52300000000000002</v>
      </c>
      <c r="N458" s="5">
        <f t="shared" si="105"/>
        <v>93.6</v>
      </c>
      <c r="O458">
        <v>201</v>
      </c>
      <c r="P458">
        <v>57</v>
      </c>
      <c r="Q458" s="8">
        <f t="shared" si="106"/>
        <v>57</v>
      </c>
      <c r="R458" s="8">
        <v>114</v>
      </c>
      <c r="S458" s="8">
        <f t="shared" si="107"/>
        <v>114</v>
      </c>
      <c r="T458" s="8">
        <f>(Table1[[#This Row],[Total Cholesterol (mg/dL)]]+Table1[[#This Row],[HDL (mg/dL)2]]+Table1[[#This Row],[Estimated LDL (mg/dL)2]])*5</f>
        <v>1860</v>
      </c>
      <c r="U458" s="8">
        <f>IF(O458="",Table1[[#This Row],[Estimated LDL (mg/dL)2]]+Table1[[#This Row],[HDL (mg/dL)2]]+(Table1[[#This Row],[Triglycerides]]/5),O458)</f>
        <v>201</v>
      </c>
      <c r="V458">
        <v>103</v>
      </c>
      <c r="W458" s="8">
        <f t="shared" si="108"/>
        <v>103</v>
      </c>
      <c r="X458" t="str">
        <f t="shared" si="109"/>
        <v>Prediabetes</v>
      </c>
      <c r="Y458" t="s">
        <v>23</v>
      </c>
      <c r="Z458" t="s">
        <v>22</v>
      </c>
      <c r="AA458" t="s">
        <v>37</v>
      </c>
      <c r="AB458" s="3" t="s">
        <v>447</v>
      </c>
      <c r="AD458" s="3" t="str">
        <f t="shared" si="110"/>
        <v>112</v>
      </c>
      <c r="AE458">
        <v>85</v>
      </c>
      <c r="AF458" s="3" t="str">
        <f t="shared" si="111"/>
        <v>85</v>
      </c>
      <c r="AG458" t="s">
        <v>29</v>
      </c>
      <c r="AH458" s="3">
        <v>13.3</v>
      </c>
      <c r="AI458" s="3">
        <f t="shared" si="112"/>
        <v>13.3</v>
      </c>
      <c r="AJ458" t="s">
        <v>26</v>
      </c>
      <c r="AK458" t="str">
        <f>PROPER(Table1[[#This Row],[CVD Risk Level]])</f>
        <v>Intermediary</v>
      </c>
    </row>
    <row r="459" spans="1:37" x14ac:dyDescent="0.3">
      <c r="A459" t="s">
        <v>20</v>
      </c>
      <c r="B459">
        <v>57</v>
      </c>
      <c r="C459" s="8">
        <f t="shared" si="101"/>
        <v>57</v>
      </c>
      <c r="D459" s="5">
        <v>80</v>
      </c>
      <c r="E459" s="8">
        <f t="shared" si="102"/>
        <v>80</v>
      </c>
      <c r="F459">
        <v>1.61</v>
      </c>
      <c r="G459" s="3">
        <f t="shared" si="103"/>
        <v>1.61</v>
      </c>
      <c r="H459">
        <v>30.9</v>
      </c>
      <c r="I459" s="5">
        <f t="shared" si="99"/>
        <v>30.9</v>
      </c>
      <c r="J459" s="16" t="str">
        <f t="shared" si="104"/>
        <v>Obese</v>
      </c>
      <c r="K459">
        <v>93</v>
      </c>
      <c r="L459">
        <v>0.57799999999999996</v>
      </c>
      <c r="M459" s="11">
        <f t="shared" si="100"/>
        <v>0.57799999999999996</v>
      </c>
      <c r="N459" s="5">
        <f t="shared" si="105"/>
        <v>93</v>
      </c>
      <c r="O459">
        <v>296</v>
      </c>
      <c r="P459">
        <v>67</v>
      </c>
      <c r="Q459" s="8">
        <f t="shared" si="106"/>
        <v>67</v>
      </c>
      <c r="R459" s="8">
        <v>199</v>
      </c>
      <c r="S459" s="8">
        <f>IF(R459&lt;=0,MEDIAN($R$2:$R$1530),R459)</f>
        <v>199</v>
      </c>
      <c r="T459" s="8">
        <f>(Table1[[#This Row],[Total Cholesterol (mg/dL)]]+Table1[[#This Row],[HDL (mg/dL)2]]+Table1[[#This Row],[Estimated LDL (mg/dL)2]])*5</f>
        <v>2810</v>
      </c>
      <c r="U459" s="8">
        <f>IF(O459="",Table1[[#This Row],[Estimated LDL (mg/dL)2]]+Table1[[#This Row],[HDL (mg/dL)2]]+(Table1[[#This Row],[Triglycerides]]/5),O459)</f>
        <v>296</v>
      </c>
      <c r="V459">
        <v>101</v>
      </c>
      <c r="W459" s="8">
        <f t="shared" si="108"/>
        <v>101</v>
      </c>
      <c r="X459" t="str">
        <f t="shared" si="109"/>
        <v>Prediabetes</v>
      </c>
      <c r="Y459" t="s">
        <v>23</v>
      </c>
      <c r="Z459" t="s">
        <v>22</v>
      </c>
      <c r="AA459" t="s">
        <v>24</v>
      </c>
      <c r="AB459" s="3" t="s">
        <v>448</v>
      </c>
      <c r="AC459">
        <v>112</v>
      </c>
      <c r="AD459" s="3" t="str">
        <f t="shared" si="110"/>
        <v>112</v>
      </c>
      <c r="AE459">
        <v>71</v>
      </c>
      <c r="AF459" s="3" t="str">
        <f t="shared" si="111"/>
        <v>71</v>
      </c>
      <c r="AG459" t="s">
        <v>33</v>
      </c>
      <c r="AH459" s="3">
        <v>17.7</v>
      </c>
      <c r="AI459" s="3">
        <f t="shared" si="112"/>
        <v>17.7</v>
      </c>
      <c r="AJ459" t="s">
        <v>30</v>
      </c>
      <c r="AK459" t="str">
        <f>PROPER(Table1[[#This Row],[CVD Risk Level]])</f>
        <v>High</v>
      </c>
    </row>
    <row r="460" spans="1:37" x14ac:dyDescent="0.3">
      <c r="A460" t="s">
        <v>31</v>
      </c>
      <c r="B460">
        <v>44</v>
      </c>
      <c r="C460" s="8">
        <f t="shared" si="101"/>
        <v>44</v>
      </c>
      <c r="D460" s="5">
        <v>63.7</v>
      </c>
      <c r="E460" s="8">
        <f t="shared" si="102"/>
        <v>63.7</v>
      </c>
      <c r="F460">
        <v>1.86</v>
      </c>
      <c r="G460" s="3">
        <f t="shared" si="103"/>
        <v>1.86</v>
      </c>
      <c r="I460" s="5">
        <f t="shared" si="99"/>
        <v>18.412533240837089</v>
      </c>
      <c r="J460" s="16" t="str">
        <f t="shared" si="104"/>
        <v>Underweight</v>
      </c>
      <c r="K460">
        <v>70.5</v>
      </c>
      <c r="L460">
        <v>0.379</v>
      </c>
      <c r="M460" s="11">
        <f t="shared" si="100"/>
        <v>0.379</v>
      </c>
      <c r="N460" s="5">
        <f t="shared" si="105"/>
        <v>70.5</v>
      </c>
      <c r="O460">
        <v>262</v>
      </c>
      <c r="P460">
        <v>48</v>
      </c>
      <c r="Q460" s="8">
        <f t="shared" si="106"/>
        <v>48</v>
      </c>
      <c r="R460" s="8">
        <v>184</v>
      </c>
      <c r="S460" s="8">
        <f t="shared" si="107"/>
        <v>184</v>
      </c>
      <c r="T460" s="8">
        <f>(Table1[[#This Row],[Total Cholesterol (mg/dL)]]+Table1[[#This Row],[HDL (mg/dL)2]]+Table1[[#This Row],[Estimated LDL (mg/dL)2]])*5</f>
        <v>2470</v>
      </c>
      <c r="U460" s="8">
        <f>IF(O460="",Table1[[#This Row],[Estimated LDL (mg/dL)2]]+Table1[[#This Row],[HDL (mg/dL)2]]+(Table1[[#This Row],[Triglycerides]]/5),O460)</f>
        <v>262</v>
      </c>
      <c r="V460">
        <v>106</v>
      </c>
      <c r="W460" s="8">
        <f t="shared" si="108"/>
        <v>106</v>
      </c>
      <c r="X460" t="str">
        <f t="shared" si="109"/>
        <v>Prediabetes</v>
      </c>
      <c r="Y460" t="s">
        <v>23</v>
      </c>
      <c r="Z460" t="s">
        <v>22</v>
      </c>
      <c r="AA460" t="s">
        <v>28</v>
      </c>
      <c r="AB460" s="3" t="s">
        <v>449</v>
      </c>
      <c r="AC460">
        <v>123</v>
      </c>
      <c r="AD460" s="3" t="str">
        <f t="shared" si="110"/>
        <v>123</v>
      </c>
      <c r="AE460">
        <v>83</v>
      </c>
      <c r="AF460" s="3" t="str">
        <f t="shared" si="111"/>
        <v>83</v>
      </c>
      <c r="AG460" t="s">
        <v>29</v>
      </c>
      <c r="AH460" s="3">
        <v>15.07</v>
      </c>
      <c r="AI460" s="3">
        <f t="shared" si="112"/>
        <v>15.07</v>
      </c>
      <c r="AJ460" t="s">
        <v>26</v>
      </c>
      <c r="AK460" t="str">
        <f>PROPER(Table1[[#This Row],[CVD Risk Level]])</f>
        <v>Intermediary</v>
      </c>
    </row>
    <row r="461" spans="1:37" x14ac:dyDescent="0.3">
      <c r="A461" t="s">
        <v>20</v>
      </c>
      <c r="C461" s="8">
        <f t="shared" si="101"/>
        <v>47.025499655410059</v>
      </c>
      <c r="D461" s="5">
        <v>65.8</v>
      </c>
      <c r="E461" s="8">
        <f t="shared" si="102"/>
        <v>65.8</v>
      </c>
      <c r="F461">
        <v>1.9</v>
      </c>
      <c r="G461" s="3">
        <f t="shared" si="103"/>
        <v>1.9</v>
      </c>
      <c r="H461">
        <v>18.2</v>
      </c>
      <c r="I461" s="5">
        <f t="shared" si="99"/>
        <v>18.2</v>
      </c>
      <c r="J461" s="16" t="str">
        <f t="shared" si="104"/>
        <v>Underweight</v>
      </c>
      <c r="K461">
        <v>102.8</v>
      </c>
      <c r="L461">
        <v>0.54100000000000004</v>
      </c>
      <c r="M461" s="11">
        <f t="shared" si="100"/>
        <v>0.54100000000000004</v>
      </c>
      <c r="N461" s="5">
        <f t="shared" si="105"/>
        <v>102.8</v>
      </c>
      <c r="O461">
        <v>136</v>
      </c>
      <c r="P461">
        <v>35</v>
      </c>
      <c r="Q461" s="8">
        <f t="shared" si="106"/>
        <v>35</v>
      </c>
      <c r="R461" s="8">
        <v>71</v>
      </c>
      <c r="S461" s="8">
        <f t="shared" si="107"/>
        <v>71</v>
      </c>
      <c r="T461" s="8">
        <f>(Table1[[#This Row],[Total Cholesterol (mg/dL)]]+Table1[[#This Row],[HDL (mg/dL)2]]+Table1[[#This Row],[Estimated LDL (mg/dL)2]])*5</f>
        <v>1210</v>
      </c>
      <c r="U461" s="8">
        <f>IF(O461="",Table1[[#This Row],[Estimated LDL (mg/dL)2]]+Table1[[#This Row],[HDL (mg/dL)2]]+(Table1[[#This Row],[Triglycerides]]/5),O461)</f>
        <v>136</v>
      </c>
      <c r="V461">
        <v>128</v>
      </c>
      <c r="W461" s="8">
        <f t="shared" si="108"/>
        <v>128</v>
      </c>
      <c r="X461" t="str">
        <f t="shared" si="109"/>
        <v>Diabetes</v>
      </c>
      <c r="Y461" t="s">
        <v>22</v>
      </c>
      <c r="Z461" t="s">
        <v>22</v>
      </c>
      <c r="AA461" t="s">
        <v>37</v>
      </c>
      <c r="AB461" s="3" t="s">
        <v>450</v>
      </c>
      <c r="AC461">
        <v>116</v>
      </c>
      <c r="AD461" s="3" t="str">
        <f t="shared" si="110"/>
        <v>116</v>
      </c>
      <c r="AE461">
        <v>89</v>
      </c>
      <c r="AF461" s="3" t="str">
        <f t="shared" si="111"/>
        <v>89</v>
      </c>
      <c r="AG461" t="s">
        <v>29</v>
      </c>
      <c r="AH461" s="3">
        <v>12.16</v>
      </c>
      <c r="AI461" s="3">
        <f t="shared" si="112"/>
        <v>12.16</v>
      </c>
      <c r="AJ461" t="s">
        <v>26</v>
      </c>
      <c r="AK461" t="str">
        <f>PROPER(Table1[[#This Row],[CVD Risk Level]])</f>
        <v>Intermediary</v>
      </c>
    </row>
    <row r="462" spans="1:37" x14ac:dyDescent="0.3">
      <c r="A462" t="s">
        <v>20</v>
      </c>
      <c r="B462">
        <v>46</v>
      </c>
      <c r="C462" s="8">
        <f t="shared" si="101"/>
        <v>46</v>
      </c>
      <c r="D462" s="5">
        <v>96.9</v>
      </c>
      <c r="E462" s="8">
        <f t="shared" si="102"/>
        <v>96.9</v>
      </c>
      <c r="F462">
        <v>1.81</v>
      </c>
      <c r="G462" s="3">
        <f t="shared" si="103"/>
        <v>1.81</v>
      </c>
      <c r="H462">
        <v>29.6</v>
      </c>
      <c r="I462" s="5">
        <f t="shared" si="99"/>
        <v>29.6</v>
      </c>
      <c r="J462" s="16" t="str">
        <f t="shared" si="104"/>
        <v>Overweight</v>
      </c>
      <c r="K462">
        <v>77.599999999999994</v>
      </c>
      <c r="L462">
        <v>0.42899999999999999</v>
      </c>
      <c r="M462" s="11">
        <f t="shared" si="100"/>
        <v>0.42899999999999999</v>
      </c>
      <c r="N462" s="5">
        <f t="shared" si="105"/>
        <v>77.599999999999994</v>
      </c>
      <c r="O462">
        <v>167</v>
      </c>
      <c r="P462">
        <v>49</v>
      </c>
      <c r="Q462" s="8">
        <f t="shared" si="106"/>
        <v>49</v>
      </c>
      <c r="R462" s="8">
        <v>88</v>
      </c>
      <c r="S462" s="8">
        <f t="shared" si="107"/>
        <v>88</v>
      </c>
      <c r="T462" s="8">
        <f>(Table1[[#This Row],[Total Cholesterol (mg/dL)]]+Table1[[#This Row],[HDL (mg/dL)2]]+Table1[[#This Row],[Estimated LDL (mg/dL)2]])*5</f>
        <v>1520</v>
      </c>
      <c r="U462" s="8">
        <f>IF(O462="",Table1[[#This Row],[Estimated LDL (mg/dL)2]]+Table1[[#This Row],[HDL (mg/dL)2]]+(Table1[[#This Row],[Triglycerides]]/5),O462)</f>
        <v>167</v>
      </c>
      <c r="V462">
        <v>111</v>
      </c>
      <c r="W462" s="8">
        <f t="shared" si="108"/>
        <v>111</v>
      </c>
      <c r="X462" t="str">
        <f t="shared" si="109"/>
        <v>Prediabetes</v>
      </c>
      <c r="Y462" t="s">
        <v>23</v>
      </c>
      <c r="Z462" t="s">
        <v>22</v>
      </c>
      <c r="AA462" t="s">
        <v>28</v>
      </c>
      <c r="AB462" s="3" t="s">
        <v>451</v>
      </c>
      <c r="AC462">
        <v>122</v>
      </c>
      <c r="AD462" s="3" t="str">
        <f t="shared" si="110"/>
        <v>122</v>
      </c>
      <c r="AE462">
        <v>91</v>
      </c>
      <c r="AF462" s="3" t="str">
        <f t="shared" si="111"/>
        <v>91</v>
      </c>
      <c r="AG462" t="s">
        <v>38</v>
      </c>
      <c r="AH462" s="3">
        <v>15.36</v>
      </c>
      <c r="AI462" s="3">
        <f t="shared" si="112"/>
        <v>15.36</v>
      </c>
      <c r="AJ462" t="s">
        <v>30</v>
      </c>
      <c r="AK462" t="str">
        <f>PROPER(Table1[[#This Row],[CVD Risk Level]])</f>
        <v>High</v>
      </c>
    </row>
    <row r="463" spans="1:37" x14ac:dyDescent="0.3">
      <c r="A463" t="s">
        <v>31</v>
      </c>
      <c r="B463">
        <v>39</v>
      </c>
      <c r="C463" s="8">
        <f t="shared" si="101"/>
        <v>39</v>
      </c>
      <c r="D463" s="5">
        <v>102.5</v>
      </c>
      <c r="E463" s="8">
        <f t="shared" si="102"/>
        <v>102.5</v>
      </c>
      <c r="F463">
        <v>1.87</v>
      </c>
      <c r="G463" s="3">
        <f t="shared" si="103"/>
        <v>1.87</v>
      </c>
      <c r="H463">
        <v>29.3</v>
      </c>
      <c r="I463" s="5">
        <f t="shared" si="99"/>
        <v>29.3</v>
      </c>
      <c r="J463" s="16" t="str">
        <f t="shared" si="104"/>
        <v>Overweight</v>
      </c>
      <c r="K463">
        <v>97.3</v>
      </c>
      <c r="L463">
        <v>0.52</v>
      </c>
      <c r="M463" s="11">
        <f t="shared" si="100"/>
        <v>0.52</v>
      </c>
      <c r="N463" s="5">
        <f t="shared" si="105"/>
        <v>97.3</v>
      </c>
      <c r="O463">
        <v>239</v>
      </c>
      <c r="P463">
        <v>41</v>
      </c>
      <c r="Q463" s="8">
        <f t="shared" si="106"/>
        <v>41</v>
      </c>
      <c r="S463" s="8">
        <f t="shared" si="107"/>
        <v>109</v>
      </c>
      <c r="T463" s="8">
        <f>(Table1[[#This Row],[Total Cholesterol (mg/dL)]]+Table1[[#This Row],[HDL (mg/dL)2]]+Table1[[#This Row],[Estimated LDL (mg/dL)2]])*5</f>
        <v>1945</v>
      </c>
      <c r="U463" s="8">
        <f>IF(O463="",Table1[[#This Row],[Estimated LDL (mg/dL)2]]+Table1[[#This Row],[HDL (mg/dL)2]]+(Table1[[#This Row],[Triglycerides]]/5),O463)</f>
        <v>239</v>
      </c>
      <c r="V463">
        <v>118</v>
      </c>
      <c r="W463" s="8">
        <f t="shared" si="108"/>
        <v>118</v>
      </c>
      <c r="X463" t="str">
        <f t="shared" si="109"/>
        <v>Prediabetes</v>
      </c>
      <c r="Y463" t="s">
        <v>23</v>
      </c>
      <c r="Z463" t="s">
        <v>22</v>
      </c>
      <c r="AA463" t="s">
        <v>37</v>
      </c>
      <c r="AB463" s="3" t="s">
        <v>452</v>
      </c>
      <c r="AC463">
        <v>99</v>
      </c>
      <c r="AD463" s="3" t="str">
        <f t="shared" si="110"/>
        <v>99</v>
      </c>
      <c r="AE463">
        <v>89</v>
      </c>
      <c r="AF463" s="3" t="str">
        <f t="shared" si="111"/>
        <v>89</v>
      </c>
      <c r="AG463" t="s">
        <v>29</v>
      </c>
      <c r="AH463" s="3">
        <v>15.59</v>
      </c>
      <c r="AI463" s="3">
        <f t="shared" si="112"/>
        <v>15.59</v>
      </c>
      <c r="AJ463" t="s">
        <v>26</v>
      </c>
      <c r="AK463" t="str">
        <f>PROPER(Table1[[#This Row],[CVD Risk Level]])</f>
        <v>Intermediary</v>
      </c>
    </row>
    <row r="464" spans="1:37" x14ac:dyDescent="0.3">
      <c r="A464" t="s">
        <v>31</v>
      </c>
      <c r="B464">
        <v>60</v>
      </c>
      <c r="C464" s="8">
        <f t="shared" si="101"/>
        <v>60</v>
      </c>
      <c r="E464" s="8">
        <f t="shared" si="102"/>
        <v>102.75912</v>
      </c>
      <c r="F464">
        <v>1.77</v>
      </c>
      <c r="G464" s="3">
        <f t="shared" si="103"/>
        <v>1.77</v>
      </c>
      <c r="H464">
        <v>32.799999999999997</v>
      </c>
      <c r="I464" s="5">
        <f t="shared" si="99"/>
        <v>32.799999999999997</v>
      </c>
      <c r="J464" s="16" t="str">
        <f t="shared" si="104"/>
        <v>Obese</v>
      </c>
      <c r="K464">
        <v>102.9</v>
      </c>
      <c r="L464">
        <v>0.58099999999999996</v>
      </c>
      <c r="M464" s="11">
        <f t="shared" si="100"/>
        <v>0.58099999999999996</v>
      </c>
      <c r="N464" s="5">
        <f t="shared" si="105"/>
        <v>102.9</v>
      </c>
      <c r="O464">
        <v>235</v>
      </c>
      <c r="P464">
        <v>68</v>
      </c>
      <c r="Q464" s="8">
        <f t="shared" si="106"/>
        <v>68</v>
      </c>
      <c r="R464" s="8">
        <v>137</v>
      </c>
      <c r="S464" s="8">
        <f t="shared" si="107"/>
        <v>137</v>
      </c>
      <c r="T464" s="8">
        <f>(Table1[[#This Row],[Total Cholesterol (mg/dL)]]+Table1[[#This Row],[HDL (mg/dL)2]]+Table1[[#This Row],[Estimated LDL (mg/dL)2]])*5</f>
        <v>2200</v>
      </c>
      <c r="U464" s="8">
        <f>IF(O464="",Table1[[#This Row],[Estimated LDL (mg/dL)2]]+Table1[[#This Row],[HDL (mg/dL)2]]+(Table1[[#This Row],[Triglycerides]]/5),O464)</f>
        <v>235</v>
      </c>
      <c r="V464">
        <v>126</v>
      </c>
      <c r="W464" s="8">
        <f t="shared" si="108"/>
        <v>126</v>
      </c>
      <c r="X464" t="str">
        <f t="shared" si="109"/>
        <v>Diabetes</v>
      </c>
      <c r="Y464" t="s">
        <v>23</v>
      </c>
      <c r="Z464" t="s">
        <v>23</v>
      </c>
      <c r="AA464" t="s">
        <v>28</v>
      </c>
      <c r="AB464" s="3" t="s">
        <v>453</v>
      </c>
      <c r="AC464">
        <v>102</v>
      </c>
      <c r="AD464" s="3" t="str">
        <f t="shared" si="110"/>
        <v>102</v>
      </c>
      <c r="AE464">
        <v>93</v>
      </c>
      <c r="AF464" s="3" t="str">
        <f t="shared" si="111"/>
        <v>93</v>
      </c>
      <c r="AG464" t="s">
        <v>38</v>
      </c>
      <c r="AH464" s="3">
        <v>18.36</v>
      </c>
      <c r="AI464" s="3">
        <f t="shared" si="112"/>
        <v>18.36</v>
      </c>
      <c r="AJ464" t="s">
        <v>30</v>
      </c>
      <c r="AK464" t="str">
        <f>PROPER(Table1[[#This Row],[CVD Risk Level]])</f>
        <v>High</v>
      </c>
    </row>
    <row r="465" spans="1:37" x14ac:dyDescent="0.3">
      <c r="A465" t="s">
        <v>20</v>
      </c>
      <c r="B465">
        <v>58</v>
      </c>
      <c r="C465" s="8">
        <f t="shared" si="101"/>
        <v>58</v>
      </c>
      <c r="D465" s="5">
        <v>111.7</v>
      </c>
      <c r="E465" s="8">
        <f t="shared" si="102"/>
        <v>111.7</v>
      </c>
      <c r="F465">
        <v>1.88</v>
      </c>
      <c r="G465" s="3">
        <f t="shared" si="103"/>
        <v>1.88</v>
      </c>
      <c r="H465">
        <v>31.6</v>
      </c>
      <c r="I465" s="5">
        <f t="shared" si="99"/>
        <v>31.6</v>
      </c>
      <c r="J465" s="16" t="str">
        <f t="shared" si="104"/>
        <v>Obese</v>
      </c>
      <c r="K465">
        <v>107.3</v>
      </c>
      <c r="M465" s="11">
        <f t="shared" si="100"/>
        <v>0.57074468085106378</v>
      </c>
      <c r="N465" s="5">
        <f t="shared" si="105"/>
        <v>107.3</v>
      </c>
      <c r="O465">
        <v>290</v>
      </c>
      <c r="P465">
        <v>46</v>
      </c>
      <c r="Q465" s="8">
        <f t="shared" si="106"/>
        <v>46</v>
      </c>
      <c r="R465" s="8">
        <v>214</v>
      </c>
      <c r="S465" s="8">
        <f t="shared" si="107"/>
        <v>214</v>
      </c>
      <c r="T465" s="8">
        <f>(Table1[[#This Row],[Total Cholesterol (mg/dL)]]+Table1[[#This Row],[HDL (mg/dL)2]]+Table1[[#This Row],[Estimated LDL (mg/dL)2]])*5</f>
        <v>2750</v>
      </c>
      <c r="U465" s="8">
        <f>IF(O465="",Table1[[#This Row],[Estimated LDL (mg/dL)2]]+Table1[[#This Row],[HDL (mg/dL)2]]+(Table1[[#This Row],[Triglycerides]]/5),O465)</f>
        <v>290</v>
      </c>
      <c r="V465">
        <v>148</v>
      </c>
      <c r="W465" s="8">
        <f t="shared" si="108"/>
        <v>148</v>
      </c>
      <c r="X465" t="str">
        <f t="shared" si="109"/>
        <v>Diabetes</v>
      </c>
      <c r="Y465" t="s">
        <v>22</v>
      </c>
      <c r="Z465" t="s">
        <v>22</v>
      </c>
      <c r="AA465" t="s">
        <v>28</v>
      </c>
      <c r="AB465" s="3" t="s">
        <v>454</v>
      </c>
      <c r="AC465">
        <v>126</v>
      </c>
      <c r="AD465" s="3" t="str">
        <f t="shared" si="110"/>
        <v>126</v>
      </c>
      <c r="AF465" s="3" t="str">
        <f t="shared" si="111"/>
        <v>66</v>
      </c>
      <c r="AG465" t="s">
        <v>25</v>
      </c>
      <c r="AH465" s="3">
        <v>18.420000000000002</v>
      </c>
      <c r="AI465" s="3">
        <f t="shared" si="112"/>
        <v>18.420000000000002</v>
      </c>
      <c r="AJ465" t="s">
        <v>30</v>
      </c>
      <c r="AK465" t="str">
        <f>PROPER(Table1[[#This Row],[CVD Risk Level]])</f>
        <v>High</v>
      </c>
    </row>
    <row r="466" spans="1:37" x14ac:dyDescent="0.3">
      <c r="A466" t="s">
        <v>31</v>
      </c>
      <c r="B466">
        <v>51</v>
      </c>
      <c r="C466" s="8">
        <f t="shared" si="101"/>
        <v>51</v>
      </c>
      <c r="D466" s="5">
        <v>116</v>
      </c>
      <c r="E466" s="8">
        <f t="shared" si="102"/>
        <v>116</v>
      </c>
      <c r="F466">
        <v>1.64</v>
      </c>
      <c r="G466" s="3">
        <f t="shared" si="103"/>
        <v>1.64</v>
      </c>
      <c r="H466">
        <v>43.1</v>
      </c>
      <c r="I466" s="5">
        <f t="shared" si="99"/>
        <v>43.1</v>
      </c>
      <c r="J466" s="16" t="str">
        <f t="shared" si="104"/>
        <v>Obese</v>
      </c>
      <c r="K466">
        <v>80.3</v>
      </c>
      <c r="L466">
        <v>0.49</v>
      </c>
      <c r="M466" s="11">
        <f t="shared" si="100"/>
        <v>0.49</v>
      </c>
      <c r="N466" s="5">
        <f t="shared" si="105"/>
        <v>80.3</v>
      </c>
      <c r="O466">
        <v>252</v>
      </c>
      <c r="P466">
        <v>49</v>
      </c>
      <c r="Q466" s="8">
        <f t="shared" si="106"/>
        <v>49</v>
      </c>
      <c r="R466" s="8">
        <v>173</v>
      </c>
      <c r="S466" s="8">
        <f t="shared" si="107"/>
        <v>173</v>
      </c>
      <c r="T466" s="8">
        <f>(Table1[[#This Row],[Total Cholesterol (mg/dL)]]+Table1[[#This Row],[HDL (mg/dL)2]]+Table1[[#This Row],[Estimated LDL (mg/dL)2]])*5</f>
        <v>2370</v>
      </c>
      <c r="U466" s="8">
        <f>IF(O466="",Table1[[#This Row],[Estimated LDL (mg/dL)2]]+Table1[[#This Row],[HDL (mg/dL)2]]+(Table1[[#This Row],[Triglycerides]]/5),O466)</f>
        <v>252</v>
      </c>
      <c r="V466">
        <v>119</v>
      </c>
      <c r="W466" s="8">
        <f t="shared" si="108"/>
        <v>119</v>
      </c>
      <c r="X466" t="str">
        <f t="shared" si="109"/>
        <v>Prediabetes</v>
      </c>
      <c r="Y466" t="s">
        <v>23</v>
      </c>
      <c r="Z466" t="s">
        <v>23</v>
      </c>
      <c r="AA466" t="s">
        <v>28</v>
      </c>
      <c r="AB466" s="3" t="s">
        <v>410</v>
      </c>
      <c r="AC466">
        <v>93</v>
      </c>
      <c r="AD466" s="3" t="str">
        <f t="shared" si="110"/>
        <v>93</v>
      </c>
      <c r="AE466">
        <v>78</v>
      </c>
      <c r="AF466" s="3" t="str">
        <f t="shared" si="111"/>
        <v>78</v>
      </c>
      <c r="AG466" t="s">
        <v>33</v>
      </c>
      <c r="AH466" s="3">
        <v>20.309999999999999</v>
      </c>
      <c r="AI466" s="3">
        <f t="shared" si="112"/>
        <v>20.309999999999999</v>
      </c>
      <c r="AJ466" t="s">
        <v>30</v>
      </c>
      <c r="AK466" t="str">
        <f>PROPER(Table1[[#This Row],[CVD Risk Level]])</f>
        <v>High</v>
      </c>
    </row>
    <row r="467" spans="1:37" x14ac:dyDescent="0.3">
      <c r="A467" t="s">
        <v>20</v>
      </c>
      <c r="B467">
        <v>39</v>
      </c>
      <c r="C467" s="8">
        <f t="shared" si="101"/>
        <v>39</v>
      </c>
      <c r="D467" s="5">
        <v>91</v>
      </c>
      <c r="E467" s="8">
        <f t="shared" si="102"/>
        <v>91</v>
      </c>
      <c r="F467">
        <v>1.78</v>
      </c>
      <c r="G467" s="3">
        <f t="shared" si="103"/>
        <v>1.78</v>
      </c>
      <c r="H467">
        <v>28.7</v>
      </c>
      <c r="I467" s="5">
        <f t="shared" si="99"/>
        <v>28.7</v>
      </c>
      <c r="J467" s="16" t="str">
        <f t="shared" si="104"/>
        <v>Overweight</v>
      </c>
      <c r="K467">
        <v>91</v>
      </c>
      <c r="M467" s="11">
        <f t="shared" si="100"/>
        <v>0.5112359550561798</v>
      </c>
      <c r="N467" s="5">
        <f t="shared" si="105"/>
        <v>91</v>
      </c>
      <c r="O467">
        <v>274</v>
      </c>
      <c r="P467">
        <v>62</v>
      </c>
      <c r="Q467" s="8">
        <f t="shared" si="106"/>
        <v>62</v>
      </c>
      <c r="R467" s="8">
        <v>182</v>
      </c>
      <c r="S467" s="8">
        <f t="shared" si="107"/>
        <v>182</v>
      </c>
      <c r="T467" s="8">
        <f>(Table1[[#This Row],[Total Cholesterol (mg/dL)]]+Table1[[#This Row],[HDL (mg/dL)2]]+Table1[[#This Row],[Estimated LDL (mg/dL)2]])*5</f>
        <v>2590</v>
      </c>
      <c r="U467" s="8">
        <f>IF(O467="",Table1[[#This Row],[Estimated LDL (mg/dL)2]]+Table1[[#This Row],[HDL (mg/dL)2]]+(Table1[[#This Row],[Triglycerides]]/5),O467)</f>
        <v>274</v>
      </c>
      <c r="V467">
        <v>81</v>
      </c>
      <c r="W467" s="8">
        <f t="shared" si="108"/>
        <v>81</v>
      </c>
      <c r="X467" t="str">
        <f t="shared" si="109"/>
        <v>Normal</v>
      </c>
      <c r="Y467" t="s">
        <v>23</v>
      </c>
      <c r="Z467" t="s">
        <v>23</v>
      </c>
      <c r="AA467" t="s">
        <v>28</v>
      </c>
      <c r="AB467" s="3" t="s">
        <v>55</v>
      </c>
      <c r="AC467">
        <v>120</v>
      </c>
      <c r="AD467" s="3" t="str">
        <f t="shared" si="110"/>
        <v>120</v>
      </c>
      <c r="AE467">
        <v>89</v>
      </c>
      <c r="AF467" s="3" t="str">
        <f t="shared" si="111"/>
        <v>89</v>
      </c>
      <c r="AG467" t="s">
        <v>29</v>
      </c>
      <c r="AI467" s="3">
        <f t="shared" si="112"/>
        <v>16.960925291295425</v>
      </c>
      <c r="AJ467" t="s">
        <v>30</v>
      </c>
      <c r="AK467" t="str">
        <f>PROPER(Table1[[#This Row],[CVD Risk Level]])</f>
        <v>High</v>
      </c>
    </row>
    <row r="468" spans="1:37" x14ac:dyDescent="0.3">
      <c r="A468" t="s">
        <v>20</v>
      </c>
      <c r="B468">
        <v>42</v>
      </c>
      <c r="C468" s="8">
        <f t="shared" si="101"/>
        <v>42</v>
      </c>
      <c r="D468" s="5">
        <v>106.3</v>
      </c>
      <c r="E468" s="8">
        <f t="shared" si="102"/>
        <v>106.3</v>
      </c>
      <c r="F468">
        <v>1.84</v>
      </c>
      <c r="G468" s="3">
        <f t="shared" si="103"/>
        <v>1.84</v>
      </c>
      <c r="H468">
        <v>31.4</v>
      </c>
      <c r="I468" s="5">
        <f t="shared" si="99"/>
        <v>31.4</v>
      </c>
      <c r="J468" s="16" t="str">
        <f t="shared" si="104"/>
        <v>Obese</v>
      </c>
      <c r="K468">
        <v>97.5</v>
      </c>
      <c r="L468">
        <v>0.53</v>
      </c>
      <c r="M468" s="11">
        <f t="shared" si="100"/>
        <v>0.53</v>
      </c>
      <c r="N468" s="5">
        <f t="shared" si="105"/>
        <v>97.5</v>
      </c>
      <c r="O468">
        <v>203</v>
      </c>
      <c r="P468">
        <v>75</v>
      </c>
      <c r="Q468" s="8">
        <f t="shared" si="106"/>
        <v>75</v>
      </c>
      <c r="S468" s="8">
        <f t="shared" si="107"/>
        <v>109</v>
      </c>
      <c r="T468" s="8">
        <f>(Table1[[#This Row],[Total Cholesterol (mg/dL)]]+Table1[[#This Row],[HDL (mg/dL)2]]+Table1[[#This Row],[Estimated LDL (mg/dL)2]])*5</f>
        <v>1935</v>
      </c>
      <c r="U468" s="8">
        <f>IF(O468="",Table1[[#This Row],[Estimated LDL (mg/dL)2]]+Table1[[#This Row],[HDL (mg/dL)2]]+(Table1[[#This Row],[Triglycerides]]/5),O468)</f>
        <v>203</v>
      </c>
      <c r="V468">
        <v>146</v>
      </c>
      <c r="W468" s="8">
        <f t="shared" si="108"/>
        <v>146</v>
      </c>
      <c r="X468" t="str">
        <f t="shared" si="109"/>
        <v>Diabetes</v>
      </c>
      <c r="Y468" t="s">
        <v>22</v>
      </c>
      <c r="Z468" t="s">
        <v>23</v>
      </c>
      <c r="AA468" t="s">
        <v>24</v>
      </c>
      <c r="AB468" s="3" t="s">
        <v>154</v>
      </c>
      <c r="AC468">
        <v>149</v>
      </c>
      <c r="AD468" s="3" t="str">
        <f t="shared" si="110"/>
        <v>149</v>
      </c>
      <c r="AE468">
        <v>66</v>
      </c>
      <c r="AF468" s="3" t="str">
        <f t="shared" si="111"/>
        <v>66</v>
      </c>
      <c r="AG468" t="s">
        <v>38</v>
      </c>
      <c r="AH468" s="3">
        <v>19.79</v>
      </c>
      <c r="AI468" s="3">
        <f t="shared" si="112"/>
        <v>19.79</v>
      </c>
      <c r="AJ468" t="s">
        <v>30</v>
      </c>
      <c r="AK468" t="str">
        <f>PROPER(Table1[[#This Row],[CVD Risk Level]])</f>
        <v>High</v>
      </c>
    </row>
    <row r="469" spans="1:37" x14ac:dyDescent="0.3">
      <c r="A469" t="s">
        <v>31</v>
      </c>
      <c r="B469">
        <v>31</v>
      </c>
      <c r="C469" s="8">
        <f t="shared" si="101"/>
        <v>31</v>
      </c>
      <c r="D469" s="5">
        <v>112.9</v>
      </c>
      <c r="E469" s="8">
        <f t="shared" si="102"/>
        <v>112.9</v>
      </c>
      <c r="F469">
        <v>1.69</v>
      </c>
      <c r="G469" s="3">
        <f t="shared" si="103"/>
        <v>1.69</v>
      </c>
      <c r="H469">
        <v>39.5</v>
      </c>
      <c r="I469" s="5">
        <f t="shared" si="99"/>
        <v>39.5</v>
      </c>
      <c r="J469" s="16" t="str">
        <f t="shared" si="104"/>
        <v>Obese</v>
      </c>
      <c r="K469">
        <v>84.4</v>
      </c>
      <c r="L469">
        <v>0.499</v>
      </c>
      <c r="M469" s="11">
        <f t="shared" si="100"/>
        <v>0.499</v>
      </c>
      <c r="N469" s="5">
        <f t="shared" si="105"/>
        <v>84.4</v>
      </c>
      <c r="O469">
        <v>132</v>
      </c>
      <c r="P469">
        <v>74</v>
      </c>
      <c r="Q469" s="8">
        <f t="shared" si="106"/>
        <v>74</v>
      </c>
      <c r="R469" s="8">
        <v>28</v>
      </c>
      <c r="S469" s="8">
        <f t="shared" si="107"/>
        <v>28</v>
      </c>
      <c r="T469" s="8">
        <f>(Table1[[#This Row],[Total Cholesterol (mg/dL)]]+Table1[[#This Row],[HDL (mg/dL)2]]+Table1[[#This Row],[Estimated LDL (mg/dL)2]])*5</f>
        <v>1170</v>
      </c>
      <c r="U469" s="8">
        <f>IF(O469="",Table1[[#This Row],[Estimated LDL (mg/dL)2]]+Table1[[#This Row],[HDL (mg/dL)2]]+(Table1[[#This Row],[Triglycerides]]/5),O469)</f>
        <v>132</v>
      </c>
      <c r="V469">
        <v>92</v>
      </c>
      <c r="W469" s="8">
        <f t="shared" si="108"/>
        <v>92</v>
      </c>
      <c r="X469" t="str">
        <f t="shared" si="109"/>
        <v>Normal</v>
      </c>
      <c r="Y469" t="s">
        <v>22</v>
      </c>
      <c r="Z469" t="s">
        <v>23</v>
      </c>
      <c r="AA469" t="s">
        <v>24</v>
      </c>
      <c r="AB469" s="3" t="s">
        <v>198</v>
      </c>
      <c r="AC469">
        <v>125</v>
      </c>
      <c r="AD469" s="3" t="str">
        <f t="shared" si="110"/>
        <v>125</v>
      </c>
      <c r="AE469">
        <v>73</v>
      </c>
      <c r="AF469" s="3" t="str">
        <f t="shared" si="111"/>
        <v>73</v>
      </c>
      <c r="AG469" t="s">
        <v>25</v>
      </c>
      <c r="AH469" s="3">
        <v>18.79</v>
      </c>
      <c r="AI469" s="3">
        <f t="shared" si="112"/>
        <v>18.79</v>
      </c>
      <c r="AJ469" t="s">
        <v>30</v>
      </c>
      <c r="AK469" t="str">
        <f>PROPER(Table1[[#This Row],[CVD Risk Level]])</f>
        <v>High</v>
      </c>
    </row>
    <row r="470" spans="1:37" x14ac:dyDescent="0.3">
      <c r="A470" t="s">
        <v>31</v>
      </c>
      <c r="B470">
        <v>31</v>
      </c>
      <c r="C470" s="8">
        <f t="shared" si="101"/>
        <v>31</v>
      </c>
      <c r="D470" s="5">
        <v>67.5</v>
      </c>
      <c r="E470" s="8">
        <f t="shared" si="102"/>
        <v>67.5</v>
      </c>
      <c r="F470">
        <v>1.86</v>
      </c>
      <c r="G470" s="3">
        <f t="shared" si="103"/>
        <v>1.86</v>
      </c>
      <c r="H470">
        <v>19.5</v>
      </c>
      <c r="I470" s="5">
        <f t="shared" si="99"/>
        <v>19.5</v>
      </c>
      <c r="J470" s="16" t="str">
        <f t="shared" si="104"/>
        <v>Normal</v>
      </c>
      <c r="K470">
        <v>87.7</v>
      </c>
      <c r="L470">
        <v>0.47199999999999998</v>
      </c>
      <c r="M470" s="11">
        <f t="shared" si="100"/>
        <v>0.47199999999999998</v>
      </c>
      <c r="N470" s="5">
        <f t="shared" si="105"/>
        <v>87.7</v>
      </c>
      <c r="O470">
        <v>101</v>
      </c>
      <c r="P470">
        <v>67</v>
      </c>
      <c r="Q470" s="8">
        <f t="shared" si="106"/>
        <v>67</v>
      </c>
      <c r="S470" s="8">
        <f>IF(R470&lt;=0,MEDIAN($R$2:$R$1530),R470)</f>
        <v>109</v>
      </c>
      <c r="T470" s="8">
        <f>(Table1[[#This Row],[Total Cholesterol (mg/dL)]]+Table1[[#This Row],[HDL (mg/dL)2]]+Table1[[#This Row],[Estimated LDL (mg/dL)2]])*5</f>
        <v>1385</v>
      </c>
      <c r="U470" s="8">
        <f>IF(O470="",Table1[[#This Row],[Estimated LDL (mg/dL)2]]+Table1[[#This Row],[HDL (mg/dL)2]]+(Table1[[#This Row],[Triglycerides]]/5),O470)</f>
        <v>101</v>
      </c>
      <c r="V470">
        <v>103</v>
      </c>
      <c r="W470" s="8">
        <f t="shared" si="108"/>
        <v>103</v>
      </c>
      <c r="X470" t="str">
        <f t="shared" si="109"/>
        <v>Prediabetes</v>
      </c>
      <c r="Y470" t="s">
        <v>23</v>
      </c>
      <c r="Z470" t="s">
        <v>22</v>
      </c>
      <c r="AA470" t="s">
        <v>24</v>
      </c>
      <c r="AB470" s="3" t="s">
        <v>455</v>
      </c>
      <c r="AC470">
        <v>139</v>
      </c>
      <c r="AD470" s="3" t="str">
        <f t="shared" si="110"/>
        <v>139</v>
      </c>
      <c r="AE470">
        <v>82</v>
      </c>
      <c r="AF470" s="3" t="str">
        <f t="shared" si="111"/>
        <v>82</v>
      </c>
      <c r="AG470" t="s">
        <v>29</v>
      </c>
      <c r="AH470" s="3">
        <v>12.87</v>
      </c>
      <c r="AI470" s="3">
        <f t="shared" si="112"/>
        <v>12.87</v>
      </c>
      <c r="AJ470" t="s">
        <v>26</v>
      </c>
      <c r="AK470" t="str">
        <f>PROPER(Table1[[#This Row],[CVD Risk Level]])</f>
        <v>Intermediary</v>
      </c>
    </row>
    <row r="471" spans="1:37" x14ac:dyDescent="0.3">
      <c r="A471" t="s">
        <v>20</v>
      </c>
      <c r="B471">
        <v>37</v>
      </c>
      <c r="C471" s="8">
        <f t="shared" si="101"/>
        <v>37</v>
      </c>
      <c r="D471" s="5">
        <v>73.2</v>
      </c>
      <c r="E471" s="8">
        <f t="shared" si="102"/>
        <v>73.2</v>
      </c>
      <c r="F471">
        <v>1.65</v>
      </c>
      <c r="G471" s="3">
        <f t="shared" si="103"/>
        <v>1.65</v>
      </c>
      <c r="H471">
        <v>26.9</v>
      </c>
      <c r="I471" s="5">
        <f t="shared" si="99"/>
        <v>26.9</v>
      </c>
      <c r="J471" s="16" t="str">
        <f t="shared" si="104"/>
        <v>Overweight</v>
      </c>
      <c r="K471">
        <v>91</v>
      </c>
      <c r="L471">
        <v>0.55200000000000005</v>
      </c>
      <c r="M471" s="11">
        <f t="shared" si="100"/>
        <v>0.55200000000000005</v>
      </c>
      <c r="N471" s="5">
        <f t="shared" si="105"/>
        <v>91</v>
      </c>
      <c r="O471">
        <v>109</v>
      </c>
      <c r="P471">
        <v>69</v>
      </c>
      <c r="Q471" s="8">
        <f t="shared" si="106"/>
        <v>69</v>
      </c>
      <c r="R471" s="8">
        <v>10</v>
      </c>
      <c r="S471" s="8">
        <f t="shared" si="107"/>
        <v>10</v>
      </c>
      <c r="T471" s="8">
        <f>(Table1[[#This Row],[Total Cholesterol (mg/dL)]]+Table1[[#This Row],[HDL (mg/dL)2]]+Table1[[#This Row],[Estimated LDL (mg/dL)2]])*5</f>
        <v>940</v>
      </c>
      <c r="U471" s="8">
        <f>IF(O471="",Table1[[#This Row],[Estimated LDL (mg/dL)2]]+Table1[[#This Row],[HDL (mg/dL)2]]+(Table1[[#This Row],[Triglycerides]]/5),O471)</f>
        <v>109</v>
      </c>
      <c r="V471">
        <v>90</v>
      </c>
      <c r="W471" s="8">
        <f t="shared" si="108"/>
        <v>90</v>
      </c>
      <c r="X471" t="str">
        <f t="shared" si="109"/>
        <v>Normal</v>
      </c>
      <c r="Y471" t="s">
        <v>23</v>
      </c>
      <c r="Z471" t="s">
        <v>23</v>
      </c>
      <c r="AA471" t="s">
        <v>24</v>
      </c>
      <c r="AB471" s="3" t="s">
        <v>456</v>
      </c>
      <c r="AC471">
        <v>141</v>
      </c>
      <c r="AD471" s="3" t="str">
        <f t="shared" si="110"/>
        <v>141</v>
      </c>
      <c r="AE471">
        <v>82</v>
      </c>
      <c r="AF471" s="3" t="str">
        <f t="shared" si="111"/>
        <v>82</v>
      </c>
      <c r="AG471" t="s">
        <v>29</v>
      </c>
      <c r="AH471" s="3">
        <v>16.61</v>
      </c>
      <c r="AI471" s="3">
        <f t="shared" si="112"/>
        <v>16.61</v>
      </c>
      <c r="AJ471" t="s">
        <v>30</v>
      </c>
      <c r="AK471" t="str">
        <f>PROPER(Table1[[#This Row],[CVD Risk Level]])</f>
        <v>High</v>
      </c>
    </row>
    <row r="472" spans="1:37" x14ac:dyDescent="0.3">
      <c r="A472" t="s">
        <v>20</v>
      </c>
      <c r="C472" s="8">
        <f t="shared" si="101"/>
        <v>47.025499655410059</v>
      </c>
      <c r="D472" s="5">
        <v>73.7</v>
      </c>
      <c r="E472" s="8">
        <f t="shared" si="102"/>
        <v>73.7</v>
      </c>
      <c r="F472">
        <v>1.7</v>
      </c>
      <c r="G472" s="3">
        <f t="shared" si="103"/>
        <v>1.7</v>
      </c>
      <c r="H472">
        <v>25.5</v>
      </c>
      <c r="I472" s="5">
        <f t="shared" si="99"/>
        <v>25.5</v>
      </c>
      <c r="J472" s="16" t="str">
        <f t="shared" si="104"/>
        <v>Overweight</v>
      </c>
      <c r="K472">
        <v>84.2</v>
      </c>
      <c r="L472">
        <v>0.495</v>
      </c>
      <c r="M472" s="11">
        <f t="shared" si="100"/>
        <v>0.495</v>
      </c>
      <c r="N472" s="5">
        <f t="shared" si="105"/>
        <v>84.2</v>
      </c>
      <c r="O472">
        <v>192</v>
      </c>
      <c r="P472">
        <v>74</v>
      </c>
      <c r="Q472" s="8">
        <f t="shared" si="106"/>
        <v>74</v>
      </c>
      <c r="R472" s="8">
        <v>88</v>
      </c>
      <c r="S472" s="8">
        <f t="shared" si="107"/>
        <v>88</v>
      </c>
      <c r="T472" s="8">
        <f>(Table1[[#This Row],[Total Cholesterol (mg/dL)]]+Table1[[#This Row],[HDL (mg/dL)2]]+Table1[[#This Row],[Estimated LDL (mg/dL)2]])*5</f>
        <v>1770</v>
      </c>
      <c r="U472" s="8">
        <f>IF(O472="",Table1[[#This Row],[Estimated LDL (mg/dL)2]]+Table1[[#This Row],[HDL (mg/dL)2]]+(Table1[[#This Row],[Triglycerides]]/5),O472)</f>
        <v>192</v>
      </c>
      <c r="V472">
        <v>144</v>
      </c>
      <c r="W472" s="8">
        <f t="shared" si="108"/>
        <v>144</v>
      </c>
      <c r="X472" t="str">
        <f t="shared" si="109"/>
        <v>Diabetes</v>
      </c>
      <c r="Y472" t="s">
        <v>23</v>
      </c>
      <c r="Z472" t="s">
        <v>23</v>
      </c>
      <c r="AA472" t="s">
        <v>37</v>
      </c>
      <c r="AB472" s="3" t="s">
        <v>457</v>
      </c>
      <c r="AC472">
        <v>129</v>
      </c>
      <c r="AD472" s="3" t="str">
        <f t="shared" si="110"/>
        <v>129</v>
      </c>
      <c r="AE472">
        <v>92</v>
      </c>
      <c r="AF472" s="3" t="str">
        <f t="shared" si="111"/>
        <v>92</v>
      </c>
      <c r="AG472" t="s">
        <v>38</v>
      </c>
      <c r="AH472" s="3">
        <v>17.39</v>
      </c>
      <c r="AI472" s="3">
        <f t="shared" si="112"/>
        <v>17.39</v>
      </c>
      <c r="AJ472" t="s">
        <v>30</v>
      </c>
      <c r="AK472" t="str">
        <f>PROPER(Table1[[#This Row],[CVD Risk Level]])</f>
        <v>High</v>
      </c>
    </row>
    <row r="473" spans="1:37" x14ac:dyDescent="0.3">
      <c r="A473" t="s">
        <v>31</v>
      </c>
      <c r="B473">
        <v>32</v>
      </c>
      <c r="C473" s="8">
        <f t="shared" si="101"/>
        <v>32</v>
      </c>
      <c r="D473" s="5">
        <v>111.8</v>
      </c>
      <c r="E473" s="8">
        <f t="shared" si="102"/>
        <v>111.8</v>
      </c>
      <c r="G473" s="3">
        <f t="shared" si="103"/>
        <v>1.6393596310755001</v>
      </c>
      <c r="H473">
        <v>41.6</v>
      </c>
      <c r="I473" s="5">
        <f t="shared" si="99"/>
        <v>41.6</v>
      </c>
      <c r="J473" s="16" t="str">
        <f t="shared" si="104"/>
        <v>Obese</v>
      </c>
      <c r="K473">
        <v>95.8</v>
      </c>
      <c r="L473">
        <v>0.58399999999999996</v>
      </c>
      <c r="M473" s="11">
        <f t="shared" si="100"/>
        <v>0.58399999999999996</v>
      </c>
      <c r="N473" s="5">
        <f t="shared" si="105"/>
        <v>95.8</v>
      </c>
      <c r="O473">
        <v>199</v>
      </c>
      <c r="P473">
        <v>41</v>
      </c>
      <c r="Q473" s="8">
        <f t="shared" si="106"/>
        <v>41</v>
      </c>
      <c r="R473" s="8">
        <v>128</v>
      </c>
      <c r="S473" s="8">
        <f t="shared" si="107"/>
        <v>128</v>
      </c>
      <c r="T473" s="8">
        <f>(Table1[[#This Row],[Total Cholesterol (mg/dL)]]+Table1[[#This Row],[HDL (mg/dL)2]]+Table1[[#This Row],[Estimated LDL (mg/dL)2]])*5</f>
        <v>1840</v>
      </c>
      <c r="U473" s="8">
        <f>IF(O473="",Table1[[#This Row],[Estimated LDL (mg/dL)2]]+Table1[[#This Row],[HDL (mg/dL)2]]+(Table1[[#This Row],[Triglycerides]]/5),O473)</f>
        <v>199</v>
      </c>
      <c r="V473">
        <v>122</v>
      </c>
      <c r="W473" s="8">
        <f t="shared" si="108"/>
        <v>122</v>
      </c>
      <c r="X473" t="str">
        <f t="shared" si="109"/>
        <v>Prediabetes</v>
      </c>
      <c r="Y473" t="s">
        <v>23</v>
      </c>
      <c r="Z473" t="s">
        <v>22</v>
      </c>
      <c r="AA473" t="s">
        <v>28</v>
      </c>
      <c r="AB473" s="3" t="s">
        <v>458</v>
      </c>
      <c r="AC473">
        <v>95</v>
      </c>
      <c r="AD473" s="3" t="str">
        <f t="shared" si="110"/>
        <v>95</v>
      </c>
      <c r="AE473">
        <v>96</v>
      </c>
      <c r="AF473" s="3" t="str">
        <f t="shared" si="111"/>
        <v>96</v>
      </c>
      <c r="AG473" t="s">
        <v>38</v>
      </c>
      <c r="AH473" s="3">
        <v>17.05</v>
      </c>
      <c r="AI473" s="3">
        <f t="shared" si="112"/>
        <v>17.05</v>
      </c>
      <c r="AJ473" t="s">
        <v>26</v>
      </c>
      <c r="AK473" t="str">
        <f>PROPER(Table1[[#This Row],[CVD Risk Level]])</f>
        <v>Intermediary</v>
      </c>
    </row>
    <row r="474" spans="1:37" x14ac:dyDescent="0.3">
      <c r="A474" t="s">
        <v>20</v>
      </c>
      <c r="B474">
        <v>37</v>
      </c>
      <c r="C474" s="8">
        <f t="shared" si="101"/>
        <v>37</v>
      </c>
      <c r="D474" s="5">
        <v>92.9</v>
      </c>
      <c r="E474" s="8">
        <f t="shared" si="102"/>
        <v>92.9</v>
      </c>
      <c r="F474">
        <v>1.87</v>
      </c>
      <c r="G474" s="3">
        <f t="shared" si="103"/>
        <v>1.87</v>
      </c>
      <c r="H474">
        <v>26.6</v>
      </c>
      <c r="I474" s="5">
        <f t="shared" si="99"/>
        <v>26.6</v>
      </c>
      <c r="J474" s="16" t="str">
        <f t="shared" si="104"/>
        <v>Overweight</v>
      </c>
      <c r="K474">
        <v>71.8</v>
      </c>
      <c r="L474">
        <v>0.38400000000000001</v>
      </c>
      <c r="M474" s="11">
        <f t="shared" si="100"/>
        <v>0.38400000000000001</v>
      </c>
      <c r="N474" s="5">
        <f t="shared" si="105"/>
        <v>71.8</v>
      </c>
      <c r="O474">
        <v>115</v>
      </c>
      <c r="P474">
        <v>79</v>
      </c>
      <c r="Q474" s="8">
        <f t="shared" si="106"/>
        <v>79</v>
      </c>
      <c r="R474" s="8">
        <v>6</v>
      </c>
      <c r="S474" s="8">
        <f t="shared" si="107"/>
        <v>6</v>
      </c>
      <c r="T474" s="8">
        <f>(Table1[[#This Row],[Total Cholesterol (mg/dL)]]+Table1[[#This Row],[HDL (mg/dL)2]]+Table1[[#This Row],[Estimated LDL (mg/dL)2]])*5</f>
        <v>1000</v>
      </c>
      <c r="U474" s="8">
        <f>IF(O474="",Table1[[#This Row],[Estimated LDL (mg/dL)2]]+Table1[[#This Row],[HDL (mg/dL)2]]+(Table1[[#This Row],[Triglycerides]]/5),O474)</f>
        <v>115</v>
      </c>
      <c r="V474">
        <v>125</v>
      </c>
      <c r="W474" s="8">
        <f t="shared" si="108"/>
        <v>125</v>
      </c>
      <c r="X474" t="str">
        <f t="shared" si="109"/>
        <v>Prediabetes</v>
      </c>
      <c r="Y474" t="s">
        <v>22</v>
      </c>
      <c r="Z474" t="s">
        <v>22</v>
      </c>
      <c r="AA474" t="s">
        <v>28</v>
      </c>
      <c r="AB474" s="3" t="s">
        <v>459</v>
      </c>
      <c r="AC474">
        <v>113</v>
      </c>
      <c r="AD474" s="3" t="str">
        <f t="shared" si="110"/>
        <v>113</v>
      </c>
      <c r="AE474">
        <v>79</v>
      </c>
      <c r="AF474" s="3" t="str">
        <f t="shared" si="111"/>
        <v>79</v>
      </c>
      <c r="AG474" t="s">
        <v>33</v>
      </c>
      <c r="AH474" s="3">
        <v>13.27</v>
      </c>
      <c r="AI474" s="3">
        <f t="shared" si="112"/>
        <v>13.27</v>
      </c>
      <c r="AJ474" t="s">
        <v>26</v>
      </c>
      <c r="AK474" t="str">
        <f>PROPER(Table1[[#This Row],[CVD Risk Level]])</f>
        <v>Intermediary</v>
      </c>
    </row>
    <row r="475" spans="1:37" x14ac:dyDescent="0.3">
      <c r="A475" t="s">
        <v>20</v>
      </c>
      <c r="B475">
        <v>57</v>
      </c>
      <c r="C475" s="8">
        <f t="shared" si="101"/>
        <v>57</v>
      </c>
      <c r="D475" s="5">
        <v>106.3</v>
      </c>
      <c r="E475" s="8">
        <f t="shared" si="102"/>
        <v>106.3</v>
      </c>
      <c r="F475">
        <v>1.88</v>
      </c>
      <c r="G475" s="3">
        <f t="shared" si="103"/>
        <v>1.88</v>
      </c>
      <c r="H475">
        <v>30.1</v>
      </c>
      <c r="I475" s="5">
        <f t="shared" si="99"/>
        <v>30.1</v>
      </c>
      <c r="J475" s="16" t="str">
        <f t="shared" si="104"/>
        <v>Obese</v>
      </c>
      <c r="K475">
        <v>102.2</v>
      </c>
      <c r="L475">
        <v>0.54400000000000004</v>
      </c>
      <c r="M475" s="11">
        <f t="shared" si="100"/>
        <v>0.54400000000000004</v>
      </c>
      <c r="N475" s="5">
        <f t="shared" si="105"/>
        <v>102.2</v>
      </c>
      <c r="P475">
        <v>40</v>
      </c>
      <c r="Q475" s="8">
        <f t="shared" si="106"/>
        <v>40</v>
      </c>
      <c r="R475" s="8">
        <v>74</v>
      </c>
      <c r="S475" s="8">
        <f t="shared" si="107"/>
        <v>74</v>
      </c>
      <c r="T475" s="8">
        <f>(Table1[[#This Row],[Total Cholesterol (mg/dL)]]+Table1[[#This Row],[HDL (mg/dL)2]]+Table1[[#This Row],[Estimated LDL (mg/dL)2]])*5</f>
        <v>570</v>
      </c>
      <c r="U475" s="8">
        <f>IF(O475="",Table1[[#This Row],[Estimated LDL (mg/dL)2]]+Table1[[#This Row],[HDL (mg/dL)2]]+(Table1[[#This Row],[Triglycerides]]/5),O475)</f>
        <v>228</v>
      </c>
      <c r="V475">
        <v>82</v>
      </c>
      <c r="W475" s="8">
        <f t="shared" si="108"/>
        <v>82</v>
      </c>
      <c r="X475" t="str">
        <f t="shared" si="109"/>
        <v>Normal</v>
      </c>
      <c r="Y475" t="s">
        <v>22</v>
      </c>
      <c r="Z475" t="s">
        <v>23</v>
      </c>
      <c r="AA475" t="s">
        <v>28</v>
      </c>
      <c r="AB475" s="3" t="s">
        <v>460</v>
      </c>
      <c r="AC475">
        <v>140</v>
      </c>
      <c r="AD475" s="3" t="str">
        <f t="shared" si="110"/>
        <v>140</v>
      </c>
      <c r="AE475">
        <v>98</v>
      </c>
      <c r="AF475" s="3" t="str">
        <f t="shared" si="111"/>
        <v>98</v>
      </c>
      <c r="AG475" t="s">
        <v>38</v>
      </c>
      <c r="AH475" s="3">
        <v>17.899999999999999</v>
      </c>
      <c r="AI475" s="3">
        <f t="shared" si="112"/>
        <v>17.899999999999999</v>
      </c>
      <c r="AJ475" t="s">
        <v>26</v>
      </c>
      <c r="AK475" t="str">
        <f>PROPER(Table1[[#This Row],[CVD Risk Level]])</f>
        <v>Intermediary</v>
      </c>
    </row>
    <row r="476" spans="1:37" x14ac:dyDescent="0.3">
      <c r="A476" t="s">
        <v>20</v>
      </c>
      <c r="B476">
        <v>56</v>
      </c>
      <c r="C476" s="8">
        <f t="shared" si="101"/>
        <v>56</v>
      </c>
      <c r="D476" s="5">
        <v>50.4</v>
      </c>
      <c r="E476" s="8">
        <f t="shared" si="102"/>
        <v>50.4</v>
      </c>
      <c r="F476">
        <v>1.61</v>
      </c>
      <c r="G476" s="3">
        <f t="shared" si="103"/>
        <v>1.61</v>
      </c>
      <c r="H476">
        <v>19.399999999999999</v>
      </c>
      <c r="I476" s="5">
        <f t="shared" si="99"/>
        <v>19.399999999999999</v>
      </c>
      <c r="J476" s="16" t="str">
        <f t="shared" si="104"/>
        <v>Normal</v>
      </c>
      <c r="K476">
        <v>97.3</v>
      </c>
      <c r="L476">
        <v>0.60399999999999998</v>
      </c>
      <c r="M476" s="11">
        <f t="shared" si="100"/>
        <v>0.60399999999999998</v>
      </c>
      <c r="N476" s="5">
        <f t="shared" si="105"/>
        <v>97.3</v>
      </c>
      <c r="O476">
        <v>104</v>
      </c>
      <c r="P476">
        <v>39</v>
      </c>
      <c r="Q476" s="8">
        <f t="shared" si="106"/>
        <v>39</v>
      </c>
      <c r="R476" s="8">
        <v>35</v>
      </c>
      <c r="S476" s="8">
        <f t="shared" si="107"/>
        <v>35</v>
      </c>
      <c r="T476" s="8">
        <f>(Table1[[#This Row],[Total Cholesterol (mg/dL)]]+Table1[[#This Row],[HDL (mg/dL)2]]+Table1[[#This Row],[Estimated LDL (mg/dL)2]])*5</f>
        <v>890</v>
      </c>
      <c r="U476" s="8">
        <f>IF(O476="",Table1[[#This Row],[Estimated LDL (mg/dL)2]]+Table1[[#This Row],[HDL (mg/dL)2]]+(Table1[[#This Row],[Triglycerides]]/5),O476)</f>
        <v>104</v>
      </c>
      <c r="V476">
        <v>117</v>
      </c>
      <c r="W476" s="8">
        <f t="shared" si="108"/>
        <v>117</v>
      </c>
      <c r="X476" t="str">
        <f t="shared" si="109"/>
        <v>Prediabetes</v>
      </c>
      <c r="Y476" t="s">
        <v>22</v>
      </c>
      <c r="Z476" t="s">
        <v>23</v>
      </c>
      <c r="AA476" t="s">
        <v>28</v>
      </c>
      <c r="AB476" s="3" t="s">
        <v>461</v>
      </c>
      <c r="AD476" s="3" t="str">
        <f t="shared" si="110"/>
        <v>106</v>
      </c>
      <c r="AE476">
        <v>73</v>
      </c>
      <c r="AF476" s="3" t="str">
        <f t="shared" si="111"/>
        <v>73</v>
      </c>
      <c r="AG476" t="s">
        <v>33</v>
      </c>
      <c r="AH476" s="3">
        <v>13.26</v>
      </c>
      <c r="AI476" s="3">
        <f t="shared" si="112"/>
        <v>13.26</v>
      </c>
      <c r="AJ476" t="s">
        <v>26</v>
      </c>
      <c r="AK476" t="str">
        <f>PROPER(Table1[[#This Row],[CVD Risk Level]])</f>
        <v>Intermediary</v>
      </c>
    </row>
    <row r="477" spans="1:37" x14ac:dyDescent="0.3">
      <c r="A477" t="s">
        <v>31</v>
      </c>
      <c r="B477">
        <v>60</v>
      </c>
      <c r="C477" s="8">
        <f t="shared" si="101"/>
        <v>60</v>
      </c>
      <c r="D477" s="5">
        <v>110.4</v>
      </c>
      <c r="E477" s="8">
        <f t="shared" si="102"/>
        <v>110.4</v>
      </c>
      <c r="F477">
        <v>1.68</v>
      </c>
      <c r="G477" s="3">
        <f t="shared" si="103"/>
        <v>1.68</v>
      </c>
      <c r="H477">
        <v>39.1</v>
      </c>
      <c r="I477" s="5">
        <f t="shared" si="99"/>
        <v>39.1</v>
      </c>
      <c r="J477" s="16" t="str">
        <f t="shared" si="104"/>
        <v>Obese</v>
      </c>
      <c r="K477">
        <v>102.1</v>
      </c>
      <c r="L477">
        <v>0.60799999999999998</v>
      </c>
      <c r="M477" s="11">
        <f t="shared" si="100"/>
        <v>0.60799999999999998</v>
      </c>
      <c r="N477" s="5">
        <f t="shared" si="105"/>
        <v>102.1</v>
      </c>
      <c r="O477">
        <v>113</v>
      </c>
      <c r="P477">
        <v>59</v>
      </c>
      <c r="Q477" s="8">
        <f t="shared" si="106"/>
        <v>59</v>
      </c>
      <c r="R477" s="8">
        <v>24</v>
      </c>
      <c r="S477" s="8">
        <f t="shared" si="107"/>
        <v>24</v>
      </c>
      <c r="T477" s="8">
        <f>(Table1[[#This Row],[Total Cholesterol (mg/dL)]]+Table1[[#This Row],[HDL (mg/dL)2]]+Table1[[#This Row],[Estimated LDL (mg/dL)2]])*5</f>
        <v>980</v>
      </c>
      <c r="U477" s="8">
        <f>IF(O477="",Table1[[#This Row],[Estimated LDL (mg/dL)2]]+Table1[[#This Row],[HDL (mg/dL)2]]+(Table1[[#This Row],[Triglycerides]]/5),O477)</f>
        <v>113</v>
      </c>
      <c r="V477">
        <v>136</v>
      </c>
      <c r="W477" s="8">
        <f t="shared" si="108"/>
        <v>136</v>
      </c>
      <c r="X477" t="str">
        <f t="shared" si="109"/>
        <v>Diabetes</v>
      </c>
      <c r="Y477" t="s">
        <v>23</v>
      </c>
      <c r="Z477" t="s">
        <v>23</v>
      </c>
      <c r="AA477" t="s">
        <v>28</v>
      </c>
      <c r="AB477" s="3" t="s">
        <v>462</v>
      </c>
      <c r="AC477">
        <v>115</v>
      </c>
      <c r="AD477" s="3" t="str">
        <f t="shared" si="110"/>
        <v>115</v>
      </c>
      <c r="AF477" s="3" t="str">
        <f t="shared" si="111"/>
        <v>94</v>
      </c>
      <c r="AG477" t="s">
        <v>38</v>
      </c>
      <c r="AH477" s="3">
        <v>17.829999999999998</v>
      </c>
      <c r="AI477" s="3">
        <f t="shared" si="112"/>
        <v>17.829999999999998</v>
      </c>
      <c r="AJ477" t="s">
        <v>30</v>
      </c>
      <c r="AK477" t="str">
        <f>PROPER(Table1[[#This Row],[CVD Risk Level]])</f>
        <v>High</v>
      </c>
    </row>
    <row r="478" spans="1:37" x14ac:dyDescent="0.3">
      <c r="A478" t="s">
        <v>20</v>
      </c>
      <c r="B478">
        <v>54</v>
      </c>
      <c r="C478" s="8">
        <f t="shared" si="101"/>
        <v>54</v>
      </c>
      <c r="D478" s="5">
        <v>51.8</v>
      </c>
      <c r="E478" s="8">
        <f t="shared" si="102"/>
        <v>51.8</v>
      </c>
      <c r="F478">
        <v>1.61</v>
      </c>
      <c r="G478" s="3">
        <f t="shared" si="103"/>
        <v>1.61</v>
      </c>
      <c r="H478">
        <v>20</v>
      </c>
      <c r="I478" s="5">
        <f t="shared" si="99"/>
        <v>20</v>
      </c>
      <c r="J478" s="16" t="str">
        <f t="shared" si="104"/>
        <v>Normal</v>
      </c>
      <c r="K478">
        <v>73.5</v>
      </c>
      <c r="L478">
        <v>0.45700000000000002</v>
      </c>
      <c r="M478" s="11">
        <f t="shared" si="100"/>
        <v>0.45700000000000002</v>
      </c>
      <c r="N478" s="5">
        <f t="shared" si="105"/>
        <v>73.5</v>
      </c>
      <c r="O478">
        <v>209</v>
      </c>
      <c r="P478">
        <v>41</v>
      </c>
      <c r="Q478" s="8">
        <f t="shared" si="106"/>
        <v>41</v>
      </c>
      <c r="R478" s="8">
        <v>138</v>
      </c>
      <c r="S478" s="8">
        <f t="shared" si="107"/>
        <v>138</v>
      </c>
      <c r="T478" s="8">
        <f>(Table1[[#This Row],[Total Cholesterol (mg/dL)]]+Table1[[#This Row],[HDL (mg/dL)2]]+Table1[[#This Row],[Estimated LDL (mg/dL)2]])*5</f>
        <v>1940</v>
      </c>
      <c r="U478" s="8">
        <f>IF(O478="",Table1[[#This Row],[Estimated LDL (mg/dL)2]]+Table1[[#This Row],[HDL (mg/dL)2]]+(Table1[[#This Row],[Triglycerides]]/5),O478)</f>
        <v>209</v>
      </c>
      <c r="W478" s="8">
        <f t="shared" si="108"/>
        <v>117.48563611491107</v>
      </c>
      <c r="X478" t="str">
        <f t="shared" si="109"/>
        <v>Prediabetes</v>
      </c>
      <c r="Y478" t="s">
        <v>23</v>
      </c>
      <c r="Z478" t="s">
        <v>23</v>
      </c>
      <c r="AA478" t="s">
        <v>37</v>
      </c>
      <c r="AB478" s="3" t="s">
        <v>227</v>
      </c>
      <c r="AC478">
        <v>143</v>
      </c>
      <c r="AD478" s="3" t="str">
        <f t="shared" si="110"/>
        <v>143</v>
      </c>
      <c r="AE478">
        <v>89</v>
      </c>
      <c r="AF478" s="3" t="str">
        <f t="shared" si="111"/>
        <v>89</v>
      </c>
      <c r="AG478" t="s">
        <v>29</v>
      </c>
      <c r="AH478" s="3">
        <v>17.329999999999998</v>
      </c>
      <c r="AI478" s="3">
        <f t="shared" si="112"/>
        <v>17.329999999999998</v>
      </c>
      <c r="AJ478" t="s">
        <v>30</v>
      </c>
      <c r="AK478" t="str">
        <f>PROPER(Table1[[#This Row],[CVD Risk Level]])</f>
        <v>High</v>
      </c>
    </row>
    <row r="479" spans="1:37" x14ac:dyDescent="0.3">
      <c r="A479" t="s">
        <v>20</v>
      </c>
      <c r="B479">
        <v>36</v>
      </c>
      <c r="C479" s="8">
        <f t="shared" si="101"/>
        <v>36</v>
      </c>
      <c r="D479" s="5">
        <v>84.2</v>
      </c>
      <c r="E479" s="8">
        <f t="shared" si="102"/>
        <v>84.2</v>
      </c>
      <c r="F479">
        <v>1.66</v>
      </c>
      <c r="G479" s="3">
        <f t="shared" si="103"/>
        <v>1.66</v>
      </c>
      <c r="H479">
        <v>30.6</v>
      </c>
      <c r="I479" s="5">
        <f t="shared" si="99"/>
        <v>30.6</v>
      </c>
      <c r="J479" s="16" t="str">
        <f t="shared" si="104"/>
        <v>Obese</v>
      </c>
      <c r="K479">
        <v>96.1</v>
      </c>
      <c r="L479">
        <v>0.57899999999999996</v>
      </c>
      <c r="M479" s="11">
        <f t="shared" si="100"/>
        <v>0.57899999999999996</v>
      </c>
      <c r="N479" s="5">
        <f t="shared" si="105"/>
        <v>96.1</v>
      </c>
      <c r="O479">
        <v>281</v>
      </c>
      <c r="P479">
        <v>59</v>
      </c>
      <c r="Q479" s="8">
        <f t="shared" si="106"/>
        <v>59</v>
      </c>
      <c r="R479" s="8">
        <v>192</v>
      </c>
      <c r="S479" s="8">
        <f t="shared" si="107"/>
        <v>192</v>
      </c>
      <c r="T479" s="8">
        <f>(Table1[[#This Row],[Total Cholesterol (mg/dL)]]+Table1[[#This Row],[HDL (mg/dL)2]]+Table1[[#This Row],[Estimated LDL (mg/dL)2]])*5</f>
        <v>2660</v>
      </c>
      <c r="U479" s="8">
        <f>IF(O479="",Table1[[#This Row],[Estimated LDL (mg/dL)2]]+Table1[[#This Row],[HDL (mg/dL)2]]+(Table1[[#This Row],[Triglycerides]]/5),O479)</f>
        <v>281</v>
      </c>
      <c r="V479">
        <v>136</v>
      </c>
      <c r="W479" s="8">
        <f t="shared" si="108"/>
        <v>136</v>
      </c>
      <c r="X479" t="str">
        <f t="shared" si="109"/>
        <v>Diabetes</v>
      </c>
      <c r="Y479" t="s">
        <v>22</v>
      </c>
      <c r="Z479" t="s">
        <v>23</v>
      </c>
      <c r="AA479" t="s">
        <v>28</v>
      </c>
      <c r="AB479" s="3" t="s">
        <v>147</v>
      </c>
      <c r="AC479">
        <v>139</v>
      </c>
      <c r="AD479" s="3" t="str">
        <f t="shared" si="110"/>
        <v>139</v>
      </c>
      <c r="AE479">
        <v>61</v>
      </c>
      <c r="AF479" s="3" t="str">
        <f t="shared" si="111"/>
        <v>61</v>
      </c>
      <c r="AG479" t="s">
        <v>29</v>
      </c>
      <c r="AH479" s="3">
        <v>20.69</v>
      </c>
      <c r="AI479" s="3">
        <f t="shared" si="112"/>
        <v>20.69</v>
      </c>
      <c r="AJ479" t="s">
        <v>26</v>
      </c>
      <c r="AK479" t="str">
        <f>PROPER(Table1[[#This Row],[CVD Risk Level]])</f>
        <v>Intermediary</v>
      </c>
    </row>
    <row r="480" spans="1:37" x14ac:dyDescent="0.3">
      <c r="A480" t="s">
        <v>31</v>
      </c>
      <c r="B480">
        <v>58</v>
      </c>
      <c r="C480" s="8">
        <f t="shared" si="101"/>
        <v>58</v>
      </c>
      <c r="E480" s="8">
        <f t="shared" si="102"/>
        <v>118.19522000000001</v>
      </c>
      <c r="F480">
        <v>1.87</v>
      </c>
      <c r="G480" s="3">
        <f t="shared" si="103"/>
        <v>1.87</v>
      </c>
      <c r="H480">
        <v>33.799999999999997</v>
      </c>
      <c r="I480" s="5">
        <f t="shared" si="99"/>
        <v>33.799999999999997</v>
      </c>
      <c r="J480" s="16" t="str">
        <f t="shared" si="104"/>
        <v>Obese</v>
      </c>
      <c r="K480">
        <v>99.6</v>
      </c>
      <c r="L480">
        <v>0.53300000000000003</v>
      </c>
      <c r="M480" s="11">
        <f t="shared" si="100"/>
        <v>0.53300000000000003</v>
      </c>
      <c r="N480" s="5">
        <f t="shared" si="105"/>
        <v>99.6</v>
      </c>
      <c r="O480">
        <v>106</v>
      </c>
      <c r="Q480" s="8">
        <f t="shared" si="106"/>
        <v>56.197377501725327</v>
      </c>
      <c r="R480" s="8">
        <v>33</v>
      </c>
      <c r="S480" s="8">
        <f t="shared" si="107"/>
        <v>33</v>
      </c>
      <c r="T480" s="8">
        <f>(Table1[[#This Row],[Total Cholesterol (mg/dL)]]+Table1[[#This Row],[HDL (mg/dL)2]]+Table1[[#This Row],[Estimated LDL (mg/dL)2]])*5</f>
        <v>975.98688750862664</v>
      </c>
      <c r="U480" s="8">
        <f>IF(O480="",Table1[[#This Row],[Estimated LDL (mg/dL)2]]+Table1[[#This Row],[HDL (mg/dL)2]]+(Table1[[#This Row],[Triglycerides]]/5),O480)</f>
        <v>106</v>
      </c>
      <c r="V480">
        <v>115</v>
      </c>
      <c r="W480" s="8">
        <f t="shared" si="108"/>
        <v>115</v>
      </c>
      <c r="X480" t="str">
        <f t="shared" si="109"/>
        <v>Prediabetes</v>
      </c>
      <c r="Y480" t="s">
        <v>23</v>
      </c>
      <c r="Z480" t="s">
        <v>23</v>
      </c>
      <c r="AA480" t="s">
        <v>24</v>
      </c>
      <c r="AB480" s="3" t="s">
        <v>463</v>
      </c>
      <c r="AD480" s="3" t="str">
        <f t="shared" si="110"/>
        <v>113</v>
      </c>
      <c r="AE480">
        <v>91</v>
      </c>
      <c r="AF480" s="3" t="str">
        <f t="shared" si="111"/>
        <v>91</v>
      </c>
      <c r="AG480" t="s">
        <v>38</v>
      </c>
      <c r="AH480" s="3">
        <v>16.53</v>
      </c>
      <c r="AI480" s="3">
        <f t="shared" si="112"/>
        <v>16.53</v>
      </c>
      <c r="AJ480" t="s">
        <v>30</v>
      </c>
      <c r="AK480" t="str">
        <f>PROPER(Table1[[#This Row],[CVD Risk Level]])</f>
        <v>High</v>
      </c>
    </row>
    <row r="481" spans="1:37" x14ac:dyDescent="0.3">
      <c r="A481" t="s">
        <v>20</v>
      </c>
      <c r="B481">
        <v>40</v>
      </c>
      <c r="C481" s="8">
        <f t="shared" si="101"/>
        <v>40</v>
      </c>
      <c r="D481" s="5">
        <v>86.8</v>
      </c>
      <c r="E481" s="8">
        <f t="shared" si="102"/>
        <v>86.8</v>
      </c>
      <c r="F481">
        <v>1.81</v>
      </c>
      <c r="G481" s="3">
        <f t="shared" si="103"/>
        <v>1.81</v>
      </c>
      <c r="H481">
        <v>26.5</v>
      </c>
      <c r="I481" s="5">
        <f t="shared" si="99"/>
        <v>26.5</v>
      </c>
      <c r="J481" s="16" t="str">
        <f t="shared" si="104"/>
        <v>Overweight</v>
      </c>
      <c r="K481">
        <v>101.6</v>
      </c>
      <c r="L481">
        <v>0.56100000000000005</v>
      </c>
      <c r="M481" s="11">
        <f t="shared" si="100"/>
        <v>0.56100000000000005</v>
      </c>
      <c r="N481" s="5">
        <f t="shared" si="105"/>
        <v>101.6</v>
      </c>
      <c r="O481">
        <v>128</v>
      </c>
      <c r="Q481" s="8">
        <f t="shared" si="106"/>
        <v>56.197377501725327</v>
      </c>
      <c r="R481" s="8">
        <v>49</v>
      </c>
      <c r="S481" s="8">
        <f t="shared" si="107"/>
        <v>49</v>
      </c>
      <c r="T481" s="8">
        <f>(Table1[[#This Row],[Total Cholesterol (mg/dL)]]+Table1[[#This Row],[HDL (mg/dL)2]]+Table1[[#This Row],[Estimated LDL (mg/dL)2]])*5</f>
        <v>1165.9868875086268</v>
      </c>
      <c r="U481" s="8">
        <f>IF(O481="",Table1[[#This Row],[Estimated LDL (mg/dL)2]]+Table1[[#This Row],[HDL (mg/dL)2]]+(Table1[[#This Row],[Triglycerides]]/5),O481)</f>
        <v>128</v>
      </c>
      <c r="V481">
        <v>140</v>
      </c>
      <c r="W481" s="8">
        <f t="shared" si="108"/>
        <v>140</v>
      </c>
      <c r="X481" t="str">
        <f t="shared" si="109"/>
        <v>Diabetes</v>
      </c>
      <c r="Y481" t="s">
        <v>22</v>
      </c>
      <c r="Z481" t="s">
        <v>22</v>
      </c>
      <c r="AA481" t="s">
        <v>28</v>
      </c>
      <c r="AB481" s="3" t="s">
        <v>464</v>
      </c>
      <c r="AC481">
        <v>92</v>
      </c>
      <c r="AD481" s="3" t="str">
        <f t="shared" si="110"/>
        <v>92</v>
      </c>
      <c r="AE481">
        <v>66</v>
      </c>
      <c r="AF481" s="3" t="str">
        <f t="shared" si="111"/>
        <v>66</v>
      </c>
      <c r="AG481" t="s">
        <v>33</v>
      </c>
      <c r="AH481" s="3">
        <v>12.46</v>
      </c>
      <c r="AI481" s="3">
        <f t="shared" si="112"/>
        <v>12.46</v>
      </c>
      <c r="AJ481" t="s">
        <v>26</v>
      </c>
      <c r="AK481" t="str">
        <f>PROPER(Table1[[#This Row],[CVD Risk Level]])</f>
        <v>Intermediary</v>
      </c>
    </row>
    <row r="482" spans="1:37" x14ac:dyDescent="0.3">
      <c r="A482" t="s">
        <v>20</v>
      </c>
      <c r="B482">
        <v>55</v>
      </c>
      <c r="C482" s="8">
        <f t="shared" si="101"/>
        <v>55</v>
      </c>
      <c r="D482" s="5">
        <v>82.4</v>
      </c>
      <c r="E482" s="8">
        <f t="shared" si="102"/>
        <v>82.4</v>
      </c>
      <c r="F482">
        <v>1.6</v>
      </c>
      <c r="G482" s="3">
        <f t="shared" si="103"/>
        <v>1.6</v>
      </c>
      <c r="H482">
        <v>32.200000000000003</v>
      </c>
      <c r="I482" s="5">
        <f t="shared" si="99"/>
        <v>32.200000000000003</v>
      </c>
      <c r="J482" s="16" t="str">
        <f t="shared" si="104"/>
        <v>Obese</v>
      </c>
      <c r="L482">
        <v>0.52400000000000002</v>
      </c>
      <c r="M482" s="11">
        <f t="shared" si="100"/>
        <v>0.52400000000000002</v>
      </c>
      <c r="N482" s="5">
        <f t="shared" si="105"/>
        <v>83.84</v>
      </c>
      <c r="O482">
        <v>175</v>
      </c>
      <c r="P482">
        <v>73</v>
      </c>
      <c r="Q482" s="8">
        <f t="shared" si="106"/>
        <v>73</v>
      </c>
      <c r="S482" s="8">
        <f t="shared" si="107"/>
        <v>109</v>
      </c>
      <c r="T482" s="8">
        <f>(Table1[[#This Row],[Total Cholesterol (mg/dL)]]+Table1[[#This Row],[HDL (mg/dL)2]]+Table1[[#This Row],[Estimated LDL (mg/dL)2]])*5</f>
        <v>1785</v>
      </c>
      <c r="U482" s="8">
        <f>IF(O482="",Table1[[#This Row],[Estimated LDL (mg/dL)2]]+Table1[[#This Row],[HDL (mg/dL)2]]+(Table1[[#This Row],[Triglycerides]]/5),O482)</f>
        <v>175</v>
      </c>
      <c r="V482">
        <v>148</v>
      </c>
      <c r="W482" s="8">
        <f t="shared" si="108"/>
        <v>148</v>
      </c>
      <c r="X482" t="str">
        <f t="shared" si="109"/>
        <v>Diabetes</v>
      </c>
      <c r="Y482" t="s">
        <v>22</v>
      </c>
      <c r="Z482" t="s">
        <v>22</v>
      </c>
      <c r="AA482" t="s">
        <v>37</v>
      </c>
      <c r="AB482" s="3" t="s">
        <v>465</v>
      </c>
      <c r="AC482">
        <v>115</v>
      </c>
      <c r="AD482" s="3" t="str">
        <f t="shared" si="110"/>
        <v>115</v>
      </c>
      <c r="AE482">
        <v>75</v>
      </c>
      <c r="AF482" s="3" t="str">
        <f t="shared" si="111"/>
        <v>75</v>
      </c>
      <c r="AG482" t="s">
        <v>33</v>
      </c>
      <c r="AH482" s="3">
        <v>15.69</v>
      </c>
      <c r="AI482" s="3">
        <f t="shared" si="112"/>
        <v>15.69</v>
      </c>
      <c r="AJ482" t="s">
        <v>26</v>
      </c>
      <c r="AK482" t="str">
        <f>PROPER(Table1[[#This Row],[CVD Risk Level]])</f>
        <v>Intermediary</v>
      </c>
    </row>
    <row r="483" spans="1:37" x14ac:dyDescent="0.3">
      <c r="A483" t="s">
        <v>31</v>
      </c>
      <c r="B483">
        <v>42</v>
      </c>
      <c r="C483" s="8">
        <f t="shared" si="101"/>
        <v>42</v>
      </c>
      <c r="D483" s="5">
        <v>110.5</v>
      </c>
      <c r="E483" s="8">
        <f t="shared" si="102"/>
        <v>110.5</v>
      </c>
      <c r="F483">
        <v>1.61</v>
      </c>
      <c r="G483" s="3">
        <f t="shared" si="103"/>
        <v>1.61</v>
      </c>
      <c r="H483">
        <v>42.6</v>
      </c>
      <c r="I483" s="5">
        <f t="shared" si="99"/>
        <v>42.6</v>
      </c>
      <c r="J483" s="16" t="str">
        <f t="shared" si="104"/>
        <v>Obese</v>
      </c>
      <c r="K483">
        <v>96.1</v>
      </c>
      <c r="L483">
        <v>0.59699999999999998</v>
      </c>
      <c r="M483" s="11">
        <f t="shared" si="100"/>
        <v>0.59699999999999998</v>
      </c>
      <c r="N483" s="5">
        <f t="shared" si="105"/>
        <v>96.1</v>
      </c>
      <c r="O483">
        <v>114</v>
      </c>
      <c r="P483">
        <v>77</v>
      </c>
      <c r="Q483" s="8">
        <f t="shared" si="106"/>
        <v>77</v>
      </c>
      <c r="R483" s="8">
        <v>7</v>
      </c>
      <c r="S483" s="8">
        <f t="shared" si="107"/>
        <v>7</v>
      </c>
      <c r="T483" s="8">
        <f>(Table1[[#This Row],[Total Cholesterol (mg/dL)]]+Table1[[#This Row],[HDL (mg/dL)2]]+Table1[[#This Row],[Estimated LDL (mg/dL)2]])*5</f>
        <v>990</v>
      </c>
      <c r="U483" s="8">
        <f>IF(O483="",Table1[[#This Row],[Estimated LDL (mg/dL)2]]+Table1[[#This Row],[HDL (mg/dL)2]]+(Table1[[#This Row],[Triglycerides]]/5),O483)</f>
        <v>114</v>
      </c>
      <c r="V483">
        <v>115</v>
      </c>
      <c r="W483" s="8">
        <f t="shared" si="108"/>
        <v>115</v>
      </c>
      <c r="X483" t="str">
        <f t="shared" si="109"/>
        <v>Prediabetes</v>
      </c>
      <c r="Y483" t="s">
        <v>22</v>
      </c>
      <c r="Z483" t="s">
        <v>22</v>
      </c>
      <c r="AA483" t="s">
        <v>37</v>
      </c>
      <c r="AB483" s="3" t="s">
        <v>466</v>
      </c>
      <c r="AC483">
        <v>132</v>
      </c>
      <c r="AD483" s="3" t="str">
        <f t="shared" si="110"/>
        <v>132</v>
      </c>
      <c r="AE483">
        <v>69</v>
      </c>
      <c r="AF483" s="3" t="str">
        <f t="shared" si="111"/>
        <v>69</v>
      </c>
      <c r="AG483" t="s">
        <v>29</v>
      </c>
      <c r="AH483" s="3">
        <v>17.399999999999999</v>
      </c>
      <c r="AI483" s="3">
        <f t="shared" si="112"/>
        <v>17.399999999999999</v>
      </c>
      <c r="AJ483" t="s">
        <v>26</v>
      </c>
      <c r="AK483" t="str">
        <f>PROPER(Table1[[#This Row],[CVD Risk Level]])</f>
        <v>Intermediary</v>
      </c>
    </row>
    <row r="484" spans="1:37" x14ac:dyDescent="0.3">
      <c r="A484" t="s">
        <v>31</v>
      </c>
      <c r="B484">
        <v>42</v>
      </c>
      <c r="C484" s="8">
        <f t="shared" si="101"/>
        <v>42</v>
      </c>
      <c r="D484" s="5">
        <v>107.5</v>
      </c>
      <c r="E484" s="8">
        <f t="shared" si="102"/>
        <v>107.5</v>
      </c>
      <c r="F484">
        <v>1.65</v>
      </c>
      <c r="G484" s="3">
        <f t="shared" si="103"/>
        <v>1.65</v>
      </c>
      <c r="H484">
        <v>39.5</v>
      </c>
      <c r="I484" s="5">
        <f t="shared" si="99"/>
        <v>39.5</v>
      </c>
      <c r="J484" s="16" t="str">
        <f t="shared" si="104"/>
        <v>Obese</v>
      </c>
      <c r="K484">
        <v>106.7</v>
      </c>
      <c r="L484">
        <v>0.64700000000000002</v>
      </c>
      <c r="M484" s="11">
        <f t="shared" si="100"/>
        <v>0.64700000000000002</v>
      </c>
      <c r="N484" s="5">
        <f t="shared" si="105"/>
        <v>106.7</v>
      </c>
      <c r="O484">
        <v>186</v>
      </c>
      <c r="P484">
        <v>79</v>
      </c>
      <c r="Q484" s="8">
        <f t="shared" si="106"/>
        <v>79</v>
      </c>
      <c r="R484" s="8">
        <v>77</v>
      </c>
      <c r="S484" s="8">
        <f t="shared" si="107"/>
        <v>77</v>
      </c>
      <c r="T484" s="8">
        <f>(Table1[[#This Row],[Total Cholesterol (mg/dL)]]+Table1[[#This Row],[HDL (mg/dL)2]]+Table1[[#This Row],[Estimated LDL (mg/dL)2]])*5</f>
        <v>1710</v>
      </c>
      <c r="U484" s="8">
        <f>IF(O484="",Table1[[#This Row],[Estimated LDL (mg/dL)2]]+Table1[[#This Row],[HDL (mg/dL)2]]+(Table1[[#This Row],[Triglycerides]]/5),O484)</f>
        <v>186</v>
      </c>
      <c r="V484">
        <v>73</v>
      </c>
      <c r="W484" s="8">
        <f t="shared" si="108"/>
        <v>73</v>
      </c>
      <c r="X484" t="str">
        <f t="shared" si="109"/>
        <v>Normal</v>
      </c>
      <c r="Y484" t="s">
        <v>22</v>
      </c>
      <c r="Z484" t="s">
        <v>23</v>
      </c>
      <c r="AA484" t="s">
        <v>28</v>
      </c>
      <c r="AB484" s="3" t="s">
        <v>467</v>
      </c>
      <c r="AC484">
        <v>103</v>
      </c>
      <c r="AD484" s="3" t="str">
        <f t="shared" si="110"/>
        <v>103</v>
      </c>
      <c r="AF484" s="3" t="str">
        <f t="shared" si="111"/>
        <v>64</v>
      </c>
      <c r="AG484" t="s">
        <v>33</v>
      </c>
      <c r="AH484" s="3">
        <v>18.77</v>
      </c>
      <c r="AI484" s="3">
        <f t="shared" si="112"/>
        <v>18.77</v>
      </c>
      <c r="AJ484" t="s">
        <v>26</v>
      </c>
      <c r="AK484" t="str">
        <f>PROPER(Table1[[#This Row],[CVD Risk Level]])</f>
        <v>Intermediary</v>
      </c>
    </row>
    <row r="485" spans="1:37" x14ac:dyDescent="0.3">
      <c r="A485" t="s">
        <v>31</v>
      </c>
      <c r="B485">
        <v>35</v>
      </c>
      <c r="C485" s="8">
        <f t="shared" si="101"/>
        <v>35</v>
      </c>
      <c r="D485" s="5">
        <v>107.8</v>
      </c>
      <c r="E485" s="8">
        <f t="shared" si="102"/>
        <v>107.8</v>
      </c>
      <c r="F485">
        <v>1.82</v>
      </c>
      <c r="G485" s="3">
        <f t="shared" si="103"/>
        <v>1.82</v>
      </c>
      <c r="H485">
        <v>32.5</v>
      </c>
      <c r="I485" s="5">
        <f t="shared" si="99"/>
        <v>32.5</v>
      </c>
      <c r="J485" s="16" t="str">
        <f t="shared" si="104"/>
        <v>Obese</v>
      </c>
      <c r="K485">
        <v>87.8</v>
      </c>
      <c r="L485">
        <v>0.48199999999999998</v>
      </c>
      <c r="M485" s="11">
        <f t="shared" si="100"/>
        <v>0.48199999999999998</v>
      </c>
      <c r="N485" s="5">
        <f t="shared" si="105"/>
        <v>87.8</v>
      </c>
      <c r="Q485" s="8">
        <f t="shared" si="106"/>
        <v>56.197377501725327</v>
      </c>
      <c r="R485" s="8">
        <v>39</v>
      </c>
      <c r="S485" s="8">
        <f>IF(R485&lt;=0,MEDIAN($R$2:$R$1530),R485)</f>
        <v>39</v>
      </c>
      <c r="T485" s="8">
        <f>(Table1[[#This Row],[Total Cholesterol (mg/dL)]]+Table1[[#This Row],[HDL (mg/dL)2]]+Table1[[#This Row],[Estimated LDL (mg/dL)2]])*5</f>
        <v>475.98688750862664</v>
      </c>
      <c r="U485" s="8">
        <f>IF(O485="",Table1[[#This Row],[Estimated LDL (mg/dL)2]]+Table1[[#This Row],[HDL (mg/dL)2]]+(Table1[[#This Row],[Triglycerides]]/5),O485)</f>
        <v>190.39475500345065</v>
      </c>
      <c r="V485">
        <v>103</v>
      </c>
      <c r="W485" s="8">
        <f t="shared" si="108"/>
        <v>103</v>
      </c>
      <c r="X485" t="str">
        <f t="shared" si="109"/>
        <v>Prediabetes</v>
      </c>
      <c r="Y485" t="s">
        <v>23</v>
      </c>
      <c r="Z485" t="s">
        <v>23</v>
      </c>
      <c r="AA485" t="s">
        <v>28</v>
      </c>
      <c r="AB485" s="3" t="s">
        <v>405</v>
      </c>
      <c r="AC485">
        <v>97</v>
      </c>
      <c r="AD485" s="3" t="str">
        <f t="shared" si="110"/>
        <v>97</v>
      </c>
      <c r="AE485">
        <v>71</v>
      </c>
      <c r="AF485" s="3" t="str">
        <f t="shared" si="111"/>
        <v>71</v>
      </c>
      <c r="AG485" t="s">
        <v>33</v>
      </c>
      <c r="AH485" s="3">
        <v>15.87</v>
      </c>
      <c r="AI485" s="3">
        <f t="shared" si="112"/>
        <v>15.87</v>
      </c>
      <c r="AJ485" t="s">
        <v>26</v>
      </c>
      <c r="AK485" t="str">
        <f>PROPER(Table1[[#This Row],[CVD Risk Level]])</f>
        <v>Intermediary</v>
      </c>
    </row>
    <row r="486" spans="1:37" x14ac:dyDescent="0.3">
      <c r="A486" t="s">
        <v>20</v>
      </c>
      <c r="B486">
        <v>51</v>
      </c>
      <c r="C486" s="8">
        <f t="shared" si="101"/>
        <v>51</v>
      </c>
      <c r="D486" s="5">
        <v>86.9</v>
      </c>
      <c r="E486" s="8">
        <f t="shared" si="102"/>
        <v>86.9</v>
      </c>
      <c r="F486">
        <v>1.76</v>
      </c>
      <c r="G486" s="3">
        <f t="shared" si="103"/>
        <v>1.76</v>
      </c>
      <c r="H486">
        <v>28.1</v>
      </c>
      <c r="I486" s="5">
        <f t="shared" si="99"/>
        <v>28.1</v>
      </c>
      <c r="J486" s="16" t="str">
        <f t="shared" si="104"/>
        <v>Overweight</v>
      </c>
      <c r="L486">
        <v>0.53200000000000003</v>
      </c>
      <c r="M486" s="11">
        <f t="shared" si="100"/>
        <v>0.53200000000000003</v>
      </c>
      <c r="N486" s="5">
        <f t="shared" si="105"/>
        <v>93.632000000000005</v>
      </c>
      <c r="O486">
        <v>179</v>
      </c>
      <c r="P486">
        <v>37</v>
      </c>
      <c r="Q486" s="8">
        <f t="shared" si="106"/>
        <v>37</v>
      </c>
      <c r="R486" s="8">
        <v>112</v>
      </c>
      <c r="S486" s="8">
        <f t="shared" si="107"/>
        <v>112</v>
      </c>
      <c r="T486" s="8">
        <f>(Table1[[#This Row],[Total Cholesterol (mg/dL)]]+Table1[[#This Row],[HDL (mg/dL)2]]+Table1[[#This Row],[Estimated LDL (mg/dL)2]])*5</f>
        <v>1640</v>
      </c>
      <c r="U486" s="8">
        <f>IF(O486="",Table1[[#This Row],[Estimated LDL (mg/dL)2]]+Table1[[#This Row],[HDL (mg/dL)2]]+(Table1[[#This Row],[Triglycerides]]/5),O486)</f>
        <v>179</v>
      </c>
      <c r="V486">
        <v>96</v>
      </c>
      <c r="W486" s="8">
        <f t="shared" si="108"/>
        <v>96</v>
      </c>
      <c r="X486" t="str">
        <f t="shared" si="109"/>
        <v>Normal</v>
      </c>
      <c r="Y486" t="s">
        <v>22</v>
      </c>
      <c r="Z486" t="s">
        <v>23</v>
      </c>
      <c r="AA486" t="s">
        <v>24</v>
      </c>
      <c r="AB486" s="3" t="s">
        <v>468</v>
      </c>
      <c r="AC486">
        <v>96</v>
      </c>
      <c r="AD486" s="3" t="str">
        <f t="shared" si="110"/>
        <v>96</v>
      </c>
      <c r="AE486">
        <v>78</v>
      </c>
      <c r="AF486" s="3" t="str">
        <f t="shared" si="111"/>
        <v>78</v>
      </c>
      <c r="AG486" t="s">
        <v>33</v>
      </c>
      <c r="AH486" s="3">
        <v>16</v>
      </c>
      <c r="AI486" s="3">
        <f t="shared" si="112"/>
        <v>16</v>
      </c>
      <c r="AJ486" t="s">
        <v>30</v>
      </c>
      <c r="AK486" t="str">
        <f>PROPER(Table1[[#This Row],[CVD Risk Level]])</f>
        <v>High</v>
      </c>
    </row>
    <row r="487" spans="1:37" x14ac:dyDescent="0.3">
      <c r="A487" t="s">
        <v>20</v>
      </c>
      <c r="B487">
        <v>47</v>
      </c>
      <c r="C487" s="8">
        <f t="shared" si="101"/>
        <v>47</v>
      </c>
      <c r="D487" s="5">
        <v>55.7</v>
      </c>
      <c r="E487" s="8">
        <f t="shared" si="102"/>
        <v>55.7</v>
      </c>
      <c r="F487">
        <v>1.76</v>
      </c>
      <c r="G487" s="3">
        <f t="shared" si="103"/>
        <v>1.76</v>
      </c>
      <c r="H487">
        <v>18</v>
      </c>
      <c r="I487" s="5">
        <f t="shared" si="99"/>
        <v>18</v>
      </c>
      <c r="J487" s="16" t="str">
        <f t="shared" si="104"/>
        <v>Underweight</v>
      </c>
      <c r="K487">
        <v>106.8</v>
      </c>
      <c r="L487">
        <v>0.60699999999999998</v>
      </c>
      <c r="M487" s="11">
        <f t="shared" si="100"/>
        <v>0.60699999999999998</v>
      </c>
      <c r="N487" s="5">
        <f t="shared" si="105"/>
        <v>106.8</v>
      </c>
      <c r="O487">
        <v>105</v>
      </c>
      <c r="P487">
        <v>31</v>
      </c>
      <c r="Q487" s="8">
        <f t="shared" si="106"/>
        <v>31</v>
      </c>
      <c r="R487" s="8">
        <v>44</v>
      </c>
      <c r="S487" s="8">
        <f t="shared" si="107"/>
        <v>44</v>
      </c>
      <c r="T487" s="8">
        <f>(Table1[[#This Row],[Total Cholesterol (mg/dL)]]+Table1[[#This Row],[HDL (mg/dL)2]]+Table1[[#This Row],[Estimated LDL (mg/dL)2]])*5</f>
        <v>900</v>
      </c>
      <c r="U487" s="8">
        <f>IF(O487="",Table1[[#This Row],[Estimated LDL (mg/dL)2]]+Table1[[#This Row],[HDL (mg/dL)2]]+(Table1[[#This Row],[Triglycerides]]/5),O487)</f>
        <v>105</v>
      </c>
      <c r="V487">
        <v>146</v>
      </c>
      <c r="W487" s="8">
        <f t="shared" si="108"/>
        <v>146</v>
      </c>
      <c r="X487" t="str">
        <f t="shared" si="109"/>
        <v>Diabetes</v>
      </c>
      <c r="Y487" t="s">
        <v>23</v>
      </c>
      <c r="Z487" t="s">
        <v>22</v>
      </c>
      <c r="AA487" t="s">
        <v>24</v>
      </c>
      <c r="AB487" s="3" t="s">
        <v>469</v>
      </c>
      <c r="AC487">
        <v>111</v>
      </c>
      <c r="AD487" s="3" t="str">
        <f t="shared" si="110"/>
        <v>111</v>
      </c>
      <c r="AE487">
        <v>85</v>
      </c>
      <c r="AF487" s="3" t="str">
        <f t="shared" si="111"/>
        <v>85</v>
      </c>
      <c r="AG487" t="s">
        <v>29</v>
      </c>
      <c r="AH487" s="3">
        <v>11.25</v>
      </c>
      <c r="AI487" s="3">
        <f t="shared" si="112"/>
        <v>11.25</v>
      </c>
      <c r="AJ487" t="s">
        <v>30</v>
      </c>
      <c r="AK487" t="str">
        <f>PROPER(Table1[[#This Row],[CVD Risk Level]])</f>
        <v>High</v>
      </c>
    </row>
    <row r="488" spans="1:37" x14ac:dyDescent="0.3">
      <c r="A488" t="s">
        <v>20</v>
      </c>
      <c r="B488">
        <v>34</v>
      </c>
      <c r="C488" s="8">
        <f t="shared" si="101"/>
        <v>34</v>
      </c>
      <c r="D488" s="5">
        <v>52.9</v>
      </c>
      <c r="E488" s="8">
        <f t="shared" si="102"/>
        <v>52.9</v>
      </c>
      <c r="F488">
        <v>1.88</v>
      </c>
      <c r="G488" s="3">
        <f t="shared" si="103"/>
        <v>1.88</v>
      </c>
      <c r="H488">
        <v>15</v>
      </c>
      <c r="I488" s="5">
        <f t="shared" si="99"/>
        <v>15</v>
      </c>
      <c r="J488" s="16" t="str">
        <f t="shared" si="104"/>
        <v>Underweight</v>
      </c>
      <c r="K488">
        <v>75.099999999999994</v>
      </c>
      <c r="L488">
        <v>0.39900000000000002</v>
      </c>
      <c r="M488" s="11">
        <f t="shared" si="100"/>
        <v>0.39900000000000002</v>
      </c>
      <c r="N488" s="5">
        <f t="shared" si="105"/>
        <v>75.099999999999994</v>
      </c>
      <c r="O488">
        <v>203</v>
      </c>
      <c r="P488">
        <v>70</v>
      </c>
      <c r="Q488" s="8">
        <f t="shared" si="106"/>
        <v>70</v>
      </c>
      <c r="R488" s="8">
        <v>103</v>
      </c>
      <c r="S488" s="8">
        <f t="shared" si="107"/>
        <v>103</v>
      </c>
      <c r="T488" s="8">
        <f>(Table1[[#This Row],[Total Cholesterol (mg/dL)]]+Table1[[#This Row],[HDL (mg/dL)2]]+Table1[[#This Row],[Estimated LDL (mg/dL)2]])*5</f>
        <v>1880</v>
      </c>
      <c r="U488" s="8">
        <f>IF(O488="",Table1[[#This Row],[Estimated LDL (mg/dL)2]]+Table1[[#This Row],[HDL (mg/dL)2]]+(Table1[[#This Row],[Triglycerides]]/5),O488)</f>
        <v>203</v>
      </c>
      <c r="V488">
        <v>124</v>
      </c>
      <c r="W488" s="8">
        <f t="shared" si="108"/>
        <v>124</v>
      </c>
      <c r="X488" t="str">
        <f t="shared" si="109"/>
        <v>Prediabetes</v>
      </c>
      <c r="Y488" t="s">
        <v>23</v>
      </c>
      <c r="Z488" t="s">
        <v>22</v>
      </c>
      <c r="AA488" t="s">
        <v>28</v>
      </c>
      <c r="AB488" s="3" t="s">
        <v>470</v>
      </c>
      <c r="AC488">
        <v>132</v>
      </c>
      <c r="AD488" s="3" t="str">
        <f t="shared" si="110"/>
        <v>132</v>
      </c>
      <c r="AE488">
        <v>95</v>
      </c>
      <c r="AF488" s="3" t="str">
        <f t="shared" si="111"/>
        <v>95</v>
      </c>
      <c r="AG488" t="s">
        <v>29</v>
      </c>
      <c r="AH488" s="3">
        <v>13.66</v>
      </c>
      <c r="AI488" s="3">
        <f t="shared" si="112"/>
        <v>13.66</v>
      </c>
      <c r="AJ488" t="s">
        <v>26</v>
      </c>
      <c r="AK488" t="str">
        <f>PROPER(Table1[[#This Row],[CVD Risk Level]])</f>
        <v>Intermediary</v>
      </c>
    </row>
    <row r="489" spans="1:37" x14ac:dyDescent="0.3">
      <c r="A489" t="s">
        <v>20</v>
      </c>
      <c r="B489">
        <v>57</v>
      </c>
      <c r="C489" s="8">
        <f t="shared" si="101"/>
        <v>57</v>
      </c>
      <c r="D489" s="5">
        <v>58.5</v>
      </c>
      <c r="E489" s="8">
        <f t="shared" si="102"/>
        <v>58.5</v>
      </c>
      <c r="F489">
        <v>1.82</v>
      </c>
      <c r="G489" s="3">
        <f t="shared" si="103"/>
        <v>1.82</v>
      </c>
      <c r="H489">
        <v>17.7</v>
      </c>
      <c r="I489" s="5">
        <f t="shared" si="99"/>
        <v>17.7</v>
      </c>
      <c r="J489" s="16" t="str">
        <f t="shared" si="104"/>
        <v>Underweight</v>
      </c>
      <c r="K489">
        <v>83.9</v>
      </c>
      <c r="L489">
        <v>0.46100000000000002</v>
      </c>
      <c r="M489" s="11">
        <f t="shared" si="100"/>
        <v>0.46100000000000002</v>
      </c>
      <c r="N489" s="5">
        <f t="shared" si="105"/>
        <v>83.9</v>
      </c>
      <c r="P489">
        <v>55</v>
      </c>
      <c r="Q489" s="8">
        <f t="shared" si="106"/>
        <v>55</v>
      </c>
      <c r="R489" s="8">
        <v>206</v>
      </c>
      <c r="S489" s="8">
        <f t="shared" si="107"/>
        <v>206</v>
      </c>
      <c r="T489" s="8">
        <f>(Table1[[#This Row],[Total Cholesterol (mg/dL)]]+Table1[[#This Row],[HDL (mg/dL)2]]+Table1[[#This Row],[Estimated LDL (mg/dL)2]])*5</f>
        <v>1305</v>
      </c>
      <c r="U489" s="8">
        <f>IF(O489="",Table1[[#This Row],[Estimated LDL (mg/dL)2]]+Table1[[#This Row],[HDL (mg/dL)2]]+(Table1[[#This Row],[Triglycerides]]/5),O489)</f>
        <v>522</v>
      </c>
      <c r="V489">
        <v>112</v>
      </c>
      <c r="W489" s="8">
        <f t="shared" si="108"/>
        <v>112</v>
      </c>
      <c r="X489" t="str">
        <f t="shared" si="109"/>
        <v>Prediabetes</v>
      </c>
      <c r="Y489" t="s">
        <v>22</v>
      </c>
      <c r="Z489" t="s">
        <v>22</v>
      </c>
      <c r="AA489" t="s">
        <v>37</v>
      </c>
      <c r="AB489" s="3" t="s">
        <v>471</v>
      </c>
      <c r="AC489">
        <v>97</v>
      </c>
      <c r="AD489" s="3" t="str">
        <f t="shared" si="110"/>
        <v>97</v>
      </c>
      <c r="AE489">
        <v>80</v>
      </c>
      <c r="AF489" s="3" t="str">
        <f t="shared" si="111"/>
        <v>80</v>
      </c>
      <c r="AG489" t="s">
        <v>29</v>
      </c>
      <c r="AH489" s="3">
        <v>14.21</v>
      </c>
      <c r="AI489" s="3">
        <f t="shared" si="112"/>
        <v>14.21</v>
      </c>
      <c r="AJ489" t="s">
        <v>26</v>
      </c>
      <c r="AK489" t="str">
        <f>PROPER(Table1[[#This Row],[CVD Risk Level]])</f>
        <v>Intermediary</v>
      </c>
    </row>
    <row r="490" spans="1:37" x14ac:dyDescent="0.3">
      <c r="A490" t="s">
        <v>20</v>
      </c>
      <c r="B490">
        <v>39</v>
      </c>
      <c r="C490" s="8">
        <f t="shared" si="101"/>
        <v>39</v>
      </c>
      <c r="D490" s="5">
        <v>65.7</v>
      </c>
      <c r="E490" s="8">
        <f t="shared" si="102"/>
        <v>65.7</v>
      </c>
      <c r="F490">
        <v>1.81</v>
      </c>
      <c r="G490" s="3">
        <f t="shared" si="103"/>
        <v>1.81</v>
      </c>
      <c r="H490">
        <v>20.100000000000001</v>
      </c>
      <c r="I490" s="5">
        <f t="shared" si="99"/>
        <v>20.100000000000001</v>
      </c>
      <c r="J490" s="16" t="str">
        <f t="shared" si="104"/>
        <v>Normal</v>
      </c>
      <c r="K490">
        <v>102.4</v>
      </c>
      <c r="L490">
        <v>0.56599999999999995</v>
      </c>
      <c r="M490" s="11">
        <f t="shared" si="100"/>
        <v>0.56599999999999995</v>
      </c>
      <c r="N490" s="5">
        <f t="shared" si="105"/>
        <v>102.4</v>
      </c>
      <c r="O490">
        <v>297</v>
      </c>
      <c r="P490">
        <v>65</v>
      </c>
      <c r="Q490" s="8">
        <f t="shared" si="106"/>
        <v>65</v>
      </c>
      <c r="R490" s="8">
        <v>202</v>
      </c>
      <c r="S490" s="8">
        <f t="shared" si="107"/>
        <v>202</v>
      </c>
      <c r="T490" s="8">
        <f>(Table1[[#This Row],[Total Cholesterol (mg/dL)]]+Table1[[#This Row],[HDL (mg/dL)2]]+Table1[[#This Row],[Estimated LDL (mg/dL)2]])*5</f>
        <v>2820</v>
      </c>
      <c r="U490" s="8">
        <f>IF(O490="",Table1[[#This Row],[Estimated LDL (mg/dL)2]]+Table1[[#This Row],[HDL (mg/dL)2]]+(Table1[[#This Row],[Triglycerides]]/5),O490)</f>
        <v>297</v>
      </c>
      <c r="V490">
        <v>115</v>
      </c>
      <c r="W490" s="8">
        <f t="shared" si="108"/>
        <v>115</v>
      </c>
      <c r="X490" t="str">
        <f t="shared" si="109"/>
        <v>Prediabetes</v>
      </c>
      <c r="Y490" t="s">
        <v>22</v>
      </c>
      <c r="Z490" t="s">
        <v>23</v>
      </c>
      <c r="AA490" t="s">
        <v>24</v>
      </c>
      <c r="AB490" s="3" t="s">
        <v>472</v>
      </c>
      <c r="AC490">
        <v>92</v>
      </c>
      <c r="AD490" s="3" t="str">
        <f t="shared" si="110"/>
        <v>92</v>
      </c>
      <c r="AE490">
        <v>96</v>
      </c>
      <c r="AF490" s="3" t="str">
        <f t="shared" si="111"/>
        <v>96</v>
      </c>
      <c r="AG490" t="s">
        <v>38</v>
      </c>
      <c r="AH490" s="3">
        <v>16.559999999999999</v>
      </c>
      <c r="AI490" s="3">
        <f t="shared" si="112"/>
        <v>16.559999999999999</v>
      </c>
      <c r="AJ490" t="s">
        <v>30</v>
      </c>
      <c r="AK490" t="str">
        <f>PROPER(Table1[[#This Row],[CVD Risk Level]])</f>
        <v>High</v>
      </c>
    </row>
    <row r="491" spans="1:37" x14ac:dyDescent="0.3">
      <c r="A491" t="s">
        <v>31</v>
      </c>
      <c r="B491">
        <v>57</v>
      </c>
      <c r="C491" s="8">
        <f t="shared" si="101"/>
        <v>57</v>
      </c>
      <c r="D491" s="5">
        <v>53.1</v>
      </c>
      <c r="E491" s="8">
        <f t="shared" si="102"/>
        <v>53.1</v>
      </c>
      <c r="F491">
        <v>1.63</v>
      </c>
      <c r="G491" s="3">
        <f t="shared" si="103"/>
        <v>1.63</v>
      </c>
      <c r="H491">
        <v>20</v>
      </c>
      <c r="I491" s="5">
        <f t="shared" si="99"/>
        <v>20</v>
      </c>
      <c r="J491" s="16" t="str">
        <f t="shared" si="104"/>
        <v>Normal</v>
      </c>
      <c r="K491">
        <v>105.9</v>
      </c>
      <c r="L491">
        <v>0.65</v>
      </c>
      <c r="M491" s="11">
        <f t="shared" si="100"/>
        <v>0.65</v>
      </c>
      <c r="N491" s="5">
        <f t="shared" si="105"/>
        <v>105.9</v>
      </c>
      <c r="O491">
        <v>153</v>
      </c>
      <c r="P491">
        <v>80</v>
      </c>
      <c r="Q491" s="8">
        <f t="shared" si="106"/>
        <v>80</v>
      </c>
      <c r="R491" s="8">
        <v>43</v>
      </c>
      <c r="S491" s="8">
        <f t="shared" si="107"/>
        <v>43</v>
      </c>
      <c r="T491" s="8">
        <f>(Table1[[#This Row],[Total Cholesterol (mg/dL)]]+Table1[[#This Row],[HDL (mg/dL)2]]+Table1[[#This Row],[Estimated LDL (mg/dL)2]])*5</f>
        <v>1380</v>
      </c>
      <c r="U491" s="8">
        <f>IF(O491="",Table1[[#This Row],[Estimated LDL (mg/dL)2]]+Table1[[#This Row],[HDL (mg/dL)2]]+(Table1[[#This Row],[Triglycerides]]/5),O491)</f>
        <v>153</v>
      </c>
      <c r="V491">
        <v>114</v>
      </c>
      <c r="W491" s="8">
        <f t="shared" si="108"/>
        <v>114</v>
      </c>
      <c r="X491" t="str">
        <f t="shared" si="109"/>
        <v>Prediabetes</v>
      </c>
      <c r="Y491" t="s">
        <v>22</v>
      </c>
      <c r="Z491" t="s">
        <v>23</v>
      </c>
      <c r="AA491" t="s">
        <v>24</v>
      </c>
      <c r="AB491" s="3" t="s">
        <v>166</v>
      </c>
      <c r="AC491">
        <v>140</v>
      </c>
      <c r="AD491" s="3" t="str">
        <f t="shared" si="110"/>
        <v>140</v>
      </c>
      <c r="AE491">
        <v>85</v>
      </c>
      <c r="AF491" s="3" t="str">
        <f t="shared" si="111"/>
        <v>85</v>
      </c>
      <c r="AG491" t="s">
        <v>29</v>
      </c>
      <c r="AI491" s="3">
        <f t="shared" si="112"/>
        <v>16.960925291295425</v>
      </c>
      <c r="AJ491" t="s">
        <v>30</v>
      </c>
      <c r="AK491" t="str">
        <f>PROPER(Table1[[#This Row],[CVD Risk Level]])</f>
        <v>High</v>
      </c>
    </row>
    <row r="492" spans="1:37" x14ac:dyDescent="0.3">
      <c r="A492" t="s">
        <v>31</v>
      </c>
      <c r="B492">
        <v>30</v>
      </c>
      <c r="C492" s="8">
        <f t="shared" si="101"/>
        <v>30</v>
      </c>
      <c r="D492" s="5">
        <v>106.2</v>
      </c>
      <c r="E492" s="8">
        <f t="shared" si="102"/>
        <v>106.2</v>
      </c>
      <c r="F492">
        <v>1.87</v>
      </c>
      <c r="G492" s="3">
        <f t="shared" si="103"/>
        <v>1.87</v>
      </c>
      <c r="H492">
        <v>30.4</v>
      </c>
      <c r="I492" s="5">
        <f t="shared" si="99"/>
        <v>30.4</v>
      </c>
      <c r="J492" s="16" t="str">
        <f t="shared" si="104"/>
        <v>Obese</v>
      </c>
      <c r="K492">
        <v>105.5</v>
      </c>
      <c r="L492">
        <v>0.56399999999999995</v>
      </c>
      <c r="M492" s="11">
        <f t="shared" si="100"/>
        <v>0.56399999999999995</v>
      </c>
      <c r="N492" s="5">
        <f t="shared" si="105"/>
        <v>105.5</v>
      </c>
      <c r="O492">
        <v>268</v>
      </c>
      <c r="P492">
        <v>50</v>
      </c>
      <c r="Q492" s="8">
        <f t="shared" si="106"/>
        <v>50</v>
      </c>
      <c r="R492" s="8">
        <v>188</v>
      </c>
      <c r="S492" s="8">
        <f t="shared" si="107"/>
        <v>188</v>
      </c>
      <c r="T492" s="8">
        <f>(Table1[[#This Row],[Total Cholesterol (mg/dL)]]+Table1[[#This Row],[HDL (mg/dL)2]]+Table1[[#This Row],[Estimated LDL (mg/dL)2]])*5</f>
        <v>2530</v>
      </c>
      <c r="U492" s="8">
        <f>IF(O492="",Table1[[#This Row],[Estimated LDL (mg/dL)2]]+Table1[[#This Row],[HDL (mg/dL)2]]+(Table1[[#This Row],[Triglycerides]]/5),O492)</f>
        <v>268</v>
      </c>
      <c r="V492">
        <v>139</v>
      </c>
      <c r="W492" s="8">
        <f t="shared" si="108"/>
        <v>139</v>
      </c>
      <c r="X492" t="str">
        <f t="shared" si="109"/>
        <v>Diabetes</v>
      </c>
      <c r="Y492" t="s">
        <v>23</v>
      </c>
      <c r="Z492" t="s">
        <v>23</v>
      </c>
      <c r="AA492" t="s">
        <v>37</v>
      </c>
      <c r="AB492" s="3" t="s">
        <v>190</v>
      </c>
      <c r="AD492" s="3" t="str">
        <f t="shared" si="110"/>
        <v>119</v>
      </c>
      <c r="AE492">
        <v>92</v>
      </c>
      <c r="AF492" s="3" t="str">
        <f t="shared" si="111"/>
        <v>92</v>
      </c>
      <c r="AG492" t="s">
        <v>38</v>
      </c>
      <c r="AH492" s="3">
        <v>19.39</v>
      </c>
      <c r="AI492" s="3">
        <f t="shared" si="112"/>
        <v>19.39</v>
      </c>
      <c r="AJ492" t="s">
        <v>30</v>
      </c>
      <c r="AK492" t="str">
        <f>PROPER(Table1[[#This Row],[CVD Risk Level]])</f>
        <v>High</v>
      </c>
    </row>
    <row r="493" spans="1:37" x14ac:dyDescent="0.3">
      <c r="A493" t="s">
        <v>20</v>
      </c>
      <c r="B493">
        <v>51</v>
      </c>
      <c r="C493" s="8">
        <f t="shared" si="101"/>
        <v>51</v>
      </c>
      <c r="D493" s="5">
        <v>118.4</v>
      </c>
      <c r="E493" s="8">
        <f t="shared" si="102"/>
        <v>118.4</v>
      </c>
      <c r="F493">
        <v>1.9</v>
      </c>
      <c r="G493" s="3">
        <f t="shared" si="103"/>
        <v>1.9</v>
      </c>
      <c r="H493">
        <v>32.799999999999997</v>
      </c>
      <c r="I493" s="5">
        <f t="shared" si="99"/>
        <v>32.799999999999997</v>
      </c>
      <c r="J493" s="16" t="str">
        <f t="shared" si="104"/>
        <v>Obese</v>
      </c>
      <c r="K493">
        <v>80.900000000000006</v>
      </c>
      <c r="L493">
        <v>0.42599999999999999</v>
      </c>
      <c r="M493" s="11">
        <f t="shared" si="100"/>
        <v>0.42599999999999999</v>
      </c>
      <c r="N493" s="5">
        <f t="shared" si="105"/>
        <v>80.900000000000006</v>
      </c>
      <c r="O493">
        <v>202</v>
      </c>
      <c r="P493">
        <v>48</v>
      </c>
      <c r="Q493" s="8">
        <f t="shared" si="106"/>
        <v>48</v>
      </c>
      <c r="R493" s="8">
        <v>124</v>
      </c>
      <c r="S493" s="8">
        <f t="shared" si="107"/>
        <v>124</v>
      </c>
      <c r="T493" s="8">
        <f>(Table1[[#This Row],[Total Cholesterol (mg/dL)]]+Table1[[#This Row],[HDL (mg/dL)2]]+Table1[[#This Row],[Estimated LDL (mg/dL)2]])*5</f>
        <v>1870</v>
      </c>
      <c r="U493" s="8">
        <f>IF(O493="",Table1[[#This Row],[Estimated LDL (mg/dL)2]]+Table1[[#This Row],[HDL (mg/dL)2]]+(Table1[[#This Row],[Triglycerides]]/5),O493)</f>
        <v>202</v>
      </c>
      <c r="V493">
        <v>148</v>
      </c>
      <c r="W493" s="8">
        <f t="shared" si="108"/>
        <v>148</v>
      </c>
      <c r="X493" t="str">
        <f t="shared" si="109"/>
        <v>Diabetes</v>
      </c>
      <c r="Y493" t="s">
        <v>22</v>
      </c>
      <c r="Z493" t="s">
        <v>23</v>
      </c>
      <c r="AA493" t="s">
        <v>28</v>
      </c>
      <c r="AB493" s="3" t="s">
        <v>473</v>
      </c>
      <c r="AC493">
        <v>91</v>
      </c>
      <c r="AD493" s="3" t="str">
        <f t="shared" si="110"/>
        <v>91</v>
      </c>
      <c r="AE493">
        <v>71</v>
      </c>
      <c r="AF493" s="3" t="str">
        <f t="shared" si="111"/>
        <v>71</v>
      </c>
      <c r="AG493" t="s">
        <v>33</v>
      </c>
      <c r="AH493" s="3">
        <v>17.149999999999999</v>
      </c>
      <c r="AI493" s="3">
        <f t="shared" si="112"/>
        <v>17.149999999999999</v>
      </c>
      <c r="AJ493" t="s">
        <v>30</v>
      </c>
      <c r="AK493" t="str">
        <f>PROPER(Table1[[#This Row],[CVD Risk Level]])</f>
        <v>High</v>
      </c>
    </row>
    <row r="494" spans="1:37" x14ac:dyDescent="0.3">
      <c r="A494" t="s">
        <v>31</v>
      </c>
      <c r="B494">
        <v>55</v>
      </c>
      <c r="C494" s="8">
        <f t="shared" si="101"/>
        <v>55</v>
      </c>
      <c r="D494" s="5">
        <v>70.2</v>
      </c>
      <c r="E494" s="8">
        <f t="shared" si="102"/>
        <v>70.2</v>
      </c>
      <c r="F494">
        <v>1.72</v>
      </c>
      <c r="G494" s="3">
        <f t="shared" si="103"/>
        <v>1.72</v>
      </c>
      <c r="H494">
        <v>23.7</v>
      </c>
      <c r="I494" s="5">
        <f t="shared" si="99"/>
        <v>23.7</v>
      </c>
      <c r="J494" s="16" t="str">
        <f t="shared" si="104"/>
        <v>Normal</v>
      </c>
      <c r="K494">
        <v>70</v>
      </c>
      <c r="L494">
        <v>0.40699999999999997</v>
      </c>
      <c r="M494" s="11">
        <f t="shared" si="100"/>
        <v>0.40699999999999997</v>
      </c>
      <c r="N494" s="5">
        <f t="shared" si="105"/>
        <v>70</v>
      </c>
      <c r="O494">
        <v>300</v>
      </c>
      <c r="P494">
        <v>77</v>
      </c>
      <c r="Q494" s="8">
        <f t="shared" si="106"/>
        <v>77</v>
      </c>
      <c r="R494" s="8">
        <v>193</v>
      </c>
      <c r="S494" s="8">
        <f t="shared" si="107"/>
        <v>193</v>
      </c>
      <c r="T494" s="8">
        <f>(Table1[[#This Row],[Total Cholesterol (mg/dL)]]+Table1[[#This Row],[HDL (mg/dL)2]]+Table1[[#This Row],[Estimated LDL (mg/dL)2]])*5</f>
        <v>2850</v>
      </c>
      <c r="U494" s="8">
        <f>IF(O494="",Table1[[#This Row],[Estimated LDL (mg/dL)2]]+Table1[[#This Row],[HDL (mg/dL)2]]+(Table1[[#This Row],[Triglycerides]]/5),O494)</f>
        <v>300</v>
      </c>
      <c r="V494">
        <v>141</v>
      </c>
      <c r="W494" s="8">
        <f t="shared" si="108"/>
        <v>141</v>
      </c>
      <c r="X494" t="str">
        <f t="shared" si="109"/>
        <v>Diabetes</v>
      </c>
      <c r="Y494" t="s">
        <v>23</v>
      </c>
      <c r="Z494" t="s">
        <v>22</v>
      </c>
      <c r="AA494" t="s">
        <v>28</v>
      </c>
      <c r="AB494" s="3" t="s">
        <v>268</v>
      </c>
      <c r="AC494">
        <v>121</v>
      </c>
      <c r="AD494" s="3" t="str">
        <f t="shared" si="110"/>
        <v>121</v>
      </c>
      <c r="AF494" s="3" t="str">
        <f t="shared" si="111"/>
        <v>68</v>
      </c>
      <c r="AG494" t="s">
        <v>25</v>
      </c>
      <c r="AH494" s="3">
        <v>16.79</v>
      </c>
      <c r="AI494" s="3">
        <f t="shared" si="112"/>
        <v>16.79</v>
      </c>
      <c r="AJ494" t="s">
        <v>30</v>
      </c>
      <c r="AK494" t="str">
        <f>PROPER(Table1[[#This Row],[CVD Risk Level]])</f>
        <v>High</v>
      </c>
    </row>
    <row r="495" spans="1:37" x14ac:dyDescent="0.3">
      <c r="A495" t="s">
        <v>20</v>
      </c>
      <c r="B495">
        <v>46</v>
      </c>
      <c r="C495" s="8">
        <f t="shared" si="101"/>
        <v>46</v>
      </c>
      <c r="D495" s="5">
        <v>76.099999999999994</v>
      </c>
      <c r="E495" s="8">
        <f t="shared" si="102"/>
        <v>76.099999999999994</v>
      </c>
      <c r="F495">
        <v>1.88</v>
      </c>
      <c r="G495" s="3">
        <f t="shared" si="103"/>
        <v>1.88</v>
      </c>
      <c r="H495">
        <v>21.5</v>
      </c>
      <c r="I495" s="5">
        <f t="shared" si="99"/>
        <v>21.5</v>
      </c>
      <c r="J495" s="16" t="str">
        <f t="shared" si="104"/>
        <v>Normal</v>
      </c>
      <c r="K495">
        <v>98.2</v>
      </c>
      <c r="L495">
        <v>0.52200000000000002</v>
      </c>
      <c r="M495" s="11">
        <f t="shared" si="100"/>
        <v>0.52200000000000002</v>
      </c>
      <c r="N495" s="5">
        <f t="shared" si="105"/>
        <v>98.2</v>
      </c>
      <c r="O495">
        <v>149</v>
      </c>
      <c r="P495">
        <v>64</v>
      </c>
      <c r="Q495" s="8">
        <f t="shared" si="106"/>
        <v>64</v>
      </c>
      <c r="R495" s="8">
        <v>55</v>
      </c>
      <c r="S495" s="8">
        <f t="shared" si="107"/>
        <v>55</v>
      </c>
      <c r="T495" s="8">
        <f>(Table1[[#This Row],[Total Cholesterol (mg/dL)]]+Table1[[#This Row],[HDL (mg/dL)2]]+Table1[[#This Row],[Estimated LDL (mg/dL)2]])*5</f>
        <v>1340</v>
      </c>
      <c r="U495" s="8">
        <f>IF(O495="",Table1[[#This Row],[Estimated LDL (mg/dL)2]]+Table1[[#This Row],[HDL (mg/dL)2]]+(Table1[[#This Row],[Triglycerides]]/5),O495)</f>
        <v>149</v>
      </c>
      <c r="V495">
        <v>105</v>
      </c>
      <c r="W495" s="8">
        <f t="shared" si="108"/>
        <v>105</v>
      </c>
      <c r="X495" t="str">
        <f t="shared" si="109"/>
        <v>Prediabetes</v>
      </c>
      <c r="Y495" t="s">
        <v>23</v>
      </c>
      <c r="Z495" t="s">
        <v>22</v>
      </c>
      <c r="AA495" t="s">
        <v>24</v>
      </c>
      <c r="AB495" s="3" t="s">
        <v>474</v>
      </c>
      <c r="AC495">
        <v>98</v>
      </c>
      <c r="AD495" s="3" t="str">
        <f t="shared" si="110"/>
        <v>98</v>
      </c>
      <c r="AE495">
        <v>90</v>
      </c>
      <c r="AF495" s="3" t="str">
        <f t="shared" si="111"/>
        <v>90</v>
      </c>
      <c r="AG495" t="s">
        <v>38</v>
      </c>
      <c r="AH495" s="3">
        <v>12.18</v>
      </c>
      <c r="AI495" s="3">
        <f t="shared" si="112"/>
        <v>12.18</v>
      </c>
      <c r="AJ495" t="s">
        <v>30</v>
      </c>
      <c r="AK495" t="str">
        <f>PROPER(Table1[[#This Row],[CVD Risk Level]])</f>
        <v>High</v>
      </c>
    </row>
    <row r="496" spans="1:37" x14ac:dyDescent="0.3">
      <c r="A496" t="s">
        <v>20</v>
      </c>
      <c r="B496">
        <v>57</v>
      </c>
      <c r="C496" s="8">
        <f t="shared" si="101"/>
        <v>57</v>
      </c>
      <c r="D496" s="5">
        <v>104.8</v>
      </c>
      <c r="E496" s="8">
        <f t="shared" si="102"/>
        <v>104.8</v>
      </c>
      <c r="F496">
        <v>1.84</v>
      </c>
      <c r="G496" s="3">
        <f t="shared" si="103"/>
        <v>1.84</v>
      </c>
      <c r="H496">
        <v>31</v>
      </c>
      <c r="I496" s="5">
        <f t="shared" si="99"/>
        <v>31</v>
      </c>
      <c r="J496" s="16" t="str">
        <f t="shared" si="104"/>
        <v>Obese</v>
      </c>
      <c r="K496">
        <v>104.6</v>
      </c>
      <c r="L496">
        <v>0.56799999999999995</v>
      </c>
      <c r="M496" s="11">
        <f t="shared" si="100"/>
        <v>0.56799999999999995</v>
      </c>
      <c r="N496" s="5">
        <f t="shared" si="105"/>
        <v>104.6</v>
      </c>
      <c r="O496">
        <v>192</v>
      </c>
      <c r="P496">
        <v>78</v>
      </c>
      <c r="Q496" s="8">
        <f t="shared" si="106"/>
        <v>78</v>
      </c>
      <c r="R496" s="8">
        <v>84</v>
      </c>
      <c r="S496" s="8">
        <f t="shared" si="107"/>
        <v>84</v>
      </c>
      <c r="T496" s="8">
        <f>(Table1[[#This Row],[Total Cholesterol (mg/dL)]]+Table1[[#This Row],[HDL (mg/dL)2]]+Table1[[#This Row],[Estimated LDL (mg/dL)2]])*5</f>
        <v>1770</v>
      </c>
      <c r="U496" s="8">
        <f>IF(O496="",Table1[[#This Row],[Estimated LDL (mg/dL)2]]+Table1[[#This Row],[HDL (mg/dL)2]]+(Table1[[#This Row],[Triglycerides]]/5),O496)</f>
        <v>192</v>
      </c>
      <c r="V496">
        <v>106</v>
      </c>
      <c r="W496" s="8">
        <f t="shared" si="108"/>
        <v>106</v>
      </c>
      <c r="X496" t="str">
        <f t="shared" si="109"/>
        <v>Prediabetes</v>
      </c>
      <c r="Y496" t="s">
        <v>23</v>
      </c>
      <c r="Z496" t="s">
        <v>23</v>
      </c>
      <c r="AA496" t="s">
        <v>28</v>
      </c>
      <c r="AB496" s="3" t="s">
        <v>475</v>
      </c>
      <c r="AC496">
        <v>150</v>
      </c>
      <c r="AD496" s="3" t="str">
        <f t="shared" si="110"/>
        <v>150</v>
      </c>
      <c r="AE496">
        <v>97</v>
      </c>
      <c r="AF496" s="3" t="str">
        <f t="shared" si="111"/>
        <v>97</v>
      </c>
      <c r="AG496" t="s">
        <v>38</v>
      </c>
      <c r="AH496" s="3">
        <v>19.54</v>
      </c>
      <c r="AI496" s="3">
        <f t="shared" si="112"/>
        <v>19.54</v>
      </c>
      <c r="AJ496" t="s">
        <v>30</v>
      </c>
      <c r="AK496" t="str">
        <f>PROPER(Table1[[#This Row],[CVD Risk Level]])</f>
        <v>High</v>
      </c>
    </row>
    <row r="497" spans="1:37" x14ac:dyDescent="0.3">
      <c r="A497" t="s">
        <v>31</v>
      </c>
      <c r="B497">
        <v>35</v>
      </c>
      <c r="C497" s="8">
        <f t="shared" si="101"/>
        <v>35</v>
      </c>
      <c r="D497" s="5">
        <v>50.4</v>
      </c>
      <c r="E497" s="8">
        <f t="shared" si="102"/>
        <v>50.4</v>
      </c>
      <c r="F497">
        <v>1.67</v>
      </c>
      <c r="G497" s="3">
        <f t="shared" si="103"/>
        <v>1.67</v>
      </c>
      <c r="H497">
        <v>18.100000000000001</v>
      </c>
      <c r="I497" s="5">
        <f t="shared" si="99"/>
        <v>18.100000000000001</v>
      </c>
      <c r="J497" s="16" t="str">
        <f t="shared" si="104"/>
        <v>Underweight</v>
      </c>
      <c r="K497">
        <v>108.8</v>
      </c>
      <c r="L497">
        <v>0.65100000000000002</v>
      </c>
      <c r="M497" s="11">
        <f t="shared" si="100"/>
        <v>0.65100000000000002</v>
      </c>
      <c r="N497" s="5">
        <f t="shared" si="105"/>
        <v>108.8</v>
      </c>
      <c r="P497">
        <v>39</v>
      </c>
      <c r="Q497" s="8">
        <f t="shared" si="106"/>
        <v>39</v>
      </c>
      <c r="R497" s="8">
        <v>188</v>
      </c>
      <c r="S497" s="8">
        <f t="shared" si="107"/>
        <v>188</v>
      </c>
      <c r="T497" s="8">
        <f>(Table1[[#This Row],[Total Cholesterol (mg/dL)]]+Table1[[#This Row],[HDL (mg/dL)2]]+Table1[[#This Row],[Estimated LDL (mg/dL)2]])*5</f>
        <v>1135</v>
      </c>
      <c r="U497" s="8">
        <f>IF(O497="",Table1[[#This Row],[Estimated LDL (mg/dL)2]]+Table1[[#This Row],[HDL (mg/dL)2]]+(Table1[[#This Row],[Triglycerides]]/5),O497)</f>
        <v>454</v>
      </c>
      <c r="V497">
        <v>144</v>
      </c>
      <c r="W497" s="8">
        <f t="shared" si="108"/>
        <v>144</v>
      </c>
      <c r="X497" t="str">
        <f t="shared" si="109"/>
        <v>Diabetes</v>
      </c>
      <c r="Y497" t="s">
        <v>23</v>
      </c>
      <c r="Z497" t="s">
        <v>22</v>
      </c>
      <c r="AA497" t="s">
        <v>37</v>
      </c>
      <c r="AB497" s="3" t="s">
        <v>476</v>
      </c>
      <c r="AC497">
        <v>133</v>
      </c>
      <c r="AD497" s="3" t="str">
        <f t="shared" si="110"/>
        <v>133</v>
      </c>
      <c r="AE497">
        <v>71</v>
      </c>
      <c r="AF497" s="3" t="str">
        <f t="shared" si="111"/>
        <v>71</v>
      </c>
      <c r="AG497" t="s">
        <v>29</v>
      </c>
      <c r="AH497" s="3">
        <v>15.41</v>
      </c>
      <c r="AI497" s="3">
        <f t="shared" si="112"/>
        <v>15.41</v>
      </c>
      <c r="AJ497" t="s">
        <v>30</v>
      </c>
      <c r="AK497" t="str">
        <f>PROPER(Table1[[#This Row],[CVD Risk Level]])</f>
        <v>High</v>
      </c>
    </row>
    <row r="498" spans="1:37" x14ac:dyDescent="0.3">
      <c r="A498" t="s">
        <v>31</v>
      </c>
      <c r="B498">
        <v>51</v>
      </c>
      <c r="C498" s="8">
        <f t="shared" si="101"/>
        <v>51</v>
      </c>
      <c r="D498" s="5">
        <v>113.8</v>
      </c>
      <c r="E498" s="8">
        <f t="shared" si="102"/>
        <v>113.8</v>
      </c>
      <c r="F498">
        <v>1.8</v>
      </c>
      <c r="G498" s="3">
        <f t="shared" si="103"/>
        <v>1.8</v>
      </c>
      <c r="H498">
        <v>35.1</v>
      </c>
      <c r="I498" s="5">
        <f t="shared" si="99"/>
        <v>35.1</v>
      </c>
      <c r="J498" s="16" t="str">
        <f t="shared" si="104"/>
        <v>Obese</v>
      </c>
      <c r="K498">
        <v>109</v>
      </c>
      <c r="L498">
        <v>0.60599999999999998</v>
      </c>
      <c r="M498" s="11">
        <f t="shared" si="100"/>
        <v>0.60599999999999998</v>
      </c>
      <c r="N498" s="5">
        <f t="shared" si="105"/>
        <v>109</v>
      </c>
      <c r="O498">
        <v>237</v>
      </c>
      <c r="P498">
        <v>40</v>
      </c>
      <c r="Q498" s="8">
        <f t="shared" si="106"/>
        <v>40</v>
      </c>
      <c r="R498" s="8">
        <v>167</v>
      </c>
      <c r="S498" s="8">
        <f t="shared" si="107"/>
        <v>167</v>
      </c>
      <c r="T498" s="8">
        <f>(Table1[[#This Row],[Total Cholesterol (mg/dL)]]+Table1[[#This Row],[HDL (mg/dL)2]]+Table1[[#This Row],[Estimated LDL (mg/dL)2]])*5</f>
        <v>2220</v>
      </c>
      <c r="U498" s="8">
        <f>IF(O498="",Table1[[#This Row],[Estimated LDL (mg/dL)2]]+Table1[[#This Row],[HDL (mg/dL)2]]+(Table1[[#This Row],[Triglycerides]]/5),O498)</f>
        <v>237</v>
      </c>
      <c r="V498">
        <v>129</v>
      </c>
      <c r="W498" s="8">
        <f t="shared" si="108"/>
        <v>129</v>
      </c>
      <c r="X498" t="str">
        <f t="shared" si="109"/>
        <v>Diabetes</v>
      </c>
      <c r="Y498" t="s">
        <v>23</v>
      </c>
      <c r="Z498" t="s">
        <v>23</v>
      </c>
      <c r="AA498" t="s">
        <v>28</v>
      </c>
      <c r="AB498" s="3" t="s">
        <v>477</v>
      </c>
      <c r="AC498">
        <v>127</v>
      </c>
      <c r="AD498" s="3" t="str">
        <f t="shared" si="110"/>
        <v>127</v>
      </c>
      <c r="AE498">
        <v>80</v>
      </c>
      <c r="AF498" s="3" t="str">
        <f t="shared" si="111"/>
        <v>80</v>
      </c>
      <c r="AG498" t="s">
        <v>29</v>
      </c>
      <c r="AH498" s="3">
        <v>20.11</v>
      </c>
      <c r="AI498" s="3">
        <f t="shared" si="112"/>
        <v>20.11</v>
      </c>
      <c r="AJ498" t="s">
        <v>30</v>
      </c>
      <c r="AK498" t="str">
        <f>PROPER(Table1[[#This Row],[CVD Risk Level]])</f>
        <v>High</v>
      </c>
    </row>
    <row r="499" spans="1:37" x14ac:dyDescent="0.3">
      <c r="A499" t="s">
        <v>20</v>
      </c>
      <c r="B499">
        <v>58</v>
      </c>
      <c r="C499" s="8">
        <f t="shared" si="101"/>
        <v>58</v>
      </c>
      <c r="D499" s="5">
        <v>73.3</v>
      </c>
      <c r="E499" s="8">
        <f t="shared" si="102"/>
        <v>73.3</v>
      </c>
      <c r="F499">
        <v>1.87</v>
      </c>
      <c r="G499" s="3">
        <f t="shared" si="103"/>
        <v>1.87</v>
      </c>
      <c r="I499" s="5">
        <f t="shared" si="99"/>
        <v>20.961422974634672</v>
      </c>
      <c r="J499" s="16" t="str">
        <f t="shared" si="104"/>
        <v>Normal</v>
      </c>
      <c r="K499">
        <v>74.599999999999994</v>
      </c>
      <c r="L499">
        <v>0.39900000000000002</v>
      </c>
      <c r="M499" s="11">
        <f t="shared" si="100"/>
        <v>0.39900000000000002</v>
      </c>
      <c r="N499" s="5">
        <f t="shared" si="105"/>
        <v>74.599999999999994</v>
      </c>
      <c r="O499">
        <v>144</v>
      </c>
      <c r="P499">
        <v>73</v>
      </c>
      <c r="Q499" s="8">
        <f t="shared" si="106"/>
        <v>73</v>
      </c>
      <c r="R499" s="8">
        <v>41</v>
      </c>
      <c r="S499" s="8">
        <f t="shared" si="107"/>
        <v>41</v>
      </c>
      <c r="T499" s="8">
        <f>(Table1[[#This Row],[Total Cholesterol (mg/dL)]]+Table1[[#This Row],[HDL (mg/dL)2]]+Table1[[#This Row],[Estimated LDL (mg/dL)2]])*5</f>
        <v>1290</v>
      </c>
      <c r="U499" s="8">
        <f>IF(O499="",Table1[[#This Row],[Estimated LDL (mg/dL)2]]+Table1[[#This Row],[HDL (mg/dL)2]]+(Table1[[#This Row],[Triglycerides]]/5),O499)</f>
        <v>144</v>
      </c>
      <c r="V499">
        <v>129</v>
      </c>
      <c r="W499" s="8">
        <f t="shared" si="108"/>
        <v>129</v>
      </c>
      <c r="X499" t="str">
        <f t="shared" si="109"/>
        <v>Diabetes</v>
      </c>
      <c r="Y499" t="s">
        <v>22</v>
      </c>
      <c r="Z499" t="s">
        <v>23</v>
      </c>
      <c r="AA499" t="s">
        <v>37</v>
      </c>
      <c r="AB499" s="3" t="s">
        <v>459</v>
      </c>
      <c r="AC499">
        <v>113</v>
      </c>
      <c r="AD499" s="3" t="str">
        <f t="shared" si="110"/>
        <v>113</v>
      </c>
      <c r="AE499">
        <v>79</v>
      </c>
      <c r="AF499" s="3" t="str">
        <f t="shared" si="111"/>
        <v>79</v>
      </c>
      <c r="AG499" t="s">
        <v>33</v>
      </c>
      <c r="AH499" s="3">
        <v>14.73</v>
      </c>
      <c r="AI499" s="3">
        <f t="shared" si="112"/>
        <v>14.73</v>
      </c>
      <c r="AJ499" t="s">
        <v>26</v>
      </c>
      <c r="AK499" t="str">
        <f>PROPER(Table1[[#This Row],[CVD Risk Level]])</f>
        <v>Intermediary</v>
      </c>
    </row>
    <row r="500" spans="1:37" x14ac:dyDescent="0.3">
      <c r="A500" t="s">
        <v>20</v>
      </c>
      <c r="B500">
        <v>36</v>
      </c>
      <c r="C500" s="8">
        <f t="shared" si="101"/>
        <v>36</v>
      </c>
      <c r="D500" s="5">
        <v>78.400000000000006</v>
      </c>
      <c r="E500" s="8">
        <f t="shared" si="102"/>
        <v>78.400000000000006</v>
      </c>
      <c r="F500">
        <v>1.89</v>
      </c>
      <c r="G500" s="3">
        <f t="shared" si="103"/>
        <v>1.89</v>
      </c>
      <c r="H500">
        <v>21.9</v>
      </c>
      <c r="I500" s="5">
        <f t="shared" si="99"/>
        <v>21.9</v>
      </c>
      <c r="J500" s="16" t="str">
        <f t="shared" si="104"/>
        <v>Normal</v>
      </c>
      <c r="K500">
        <v>106.4</v>
      </c>
      <c r="L500">
        <v>0.56299999999999994</v>
      </c>
      <c r="M500" s="11">
        <f t="shared" si="100"/>
        <v>0.56299999999999994</v>
      </c>
      <c r="N500" s="5">
        <f t="shared" si="105"/>
        <v>106.4</v>
      </c>
      <c r="O500">
        <v>295</v>
      </c>
      <c r="P500">
        <v>36</v>
      </c>
      <c r="Q500" s="8">
        <f t="shared" si="106"/>
        <v>36</v>
      </c>
      <c r="R500" s="8">
        <v>229</v>
      </c>
      <c r="S500" s="8">
        <f t="shared" si="107"/>
        <v>229</v>
      </c>
      <c r="T500" s="8">
        <f>(Table1[[#This Row],[Total Cholesterol (mg/dL)]]+Table1[[#This Row],[HDL (mg/dL)2]]+Table1[[#This Row],[Estimated LDL (mg/dL)2]])*5</f>
        <v>2800</v>
      </c>
      <c r="U500" s="8">
        <f>IF(O500="",Table1[[#This Row],[Estimated LDL (mg/dL)2]]+Table1[[#This Row],[HDL (mg/dL)2]]+(Table1[[#This Row],[Triglycerides]]/5),O500)</f>
        <v>295</v>
      </c>
      <c r="V500">
        <v>77</v>
      </c>
      <c r="W500" s="8">
        <f t="shared" si="108"/>
        <v>77</v>
      </c>
      <c r="X500" t="str">
        <f t="shared" si="109"/>
        <v>Normal</v>
      </c>
      <c r="Y500" t="s">
        <v>23</v>
      </c>
      <c r="Z500" t="s">
        <v>23</v>
      </c>
      <c r="AA500" t="s">
        <v>28</v>
      </c>
      <c r="AB500" s="3" t="s">
        <v>478</v>
      </c>
      <c r="AC500">
        <v>143</v>
      </c>
      <c r="AD500" s="3" t="str">
        <f t="shared" si="110"/>
        <v>143</v>
      </c>
      <c r="AE500">
        <v>75</v>
      </c>
      <c r="AF500" s="3" t="str">
        <f t="shared" si="111"/>
        <v>75</v>
      </c>
      <c r="AG500" t="s">
        <v>38</v>
      </c>
      <c r="AH500" s="3">
        <v>19.43</v>
      </c>
      <c r="AI500" s="3">
        <f t="shared" si="112"/>
        <v>19.43</v>
      </c>
      <c r="AJ500" t="s">
        <v>30</v>
      </c>
      <c r="AK500" t="str">
        <f>PROPER(Table1[[#This Row],[CVD Risk Level]])</f>
        <v>High</v>
      </c>
    </row>
    <row r="501" spans="1:37" x14ac:dyDescent="0.3">
      <c r="A501" t="s">
        <v>31</v>
      </c>
      <c r="B501">
        <v>34</v>
      </c>
      <c r="C501" s="8">
        <f t="shared" si="101"/>
        <v>34</v>
      </c>
      <c r="D501" s="5">
        <v>103.8</v>
      </c>
      <c r="E501" s="8">
        <f t="shared" si="102"/>
        <v>103.8</v>
      </c>
      <c r="F501">
        <v>1.84</v>
      </c>
      <c r="G501" s="3">
        <f t="shared" si="103"/>
        <v>1.84</v>
      </c>
      <c r="H501">
        <v>30.7</v>
      </c>
      <c r="I501" s="5">
        <f t="shared" si="99"/>
        <v>30.7</v>
      </c>
      <c r="J501" s="16" t="str">
        <f t="shared" si="104"/>
        <v>Obese</v>
      </c>
      <c r="K501">
        <v>82.1</v>
      </c>
      <c r="L501">
        <v>0.44600000000000001</v>
      </c>
      <c r="M501" s="11">
        <f t="shared" si="100"/>
        <v>0.44600000000000001</v>
      </c>
      <c r="N501" s="5">
        <f t="shared" si="105"/>
        <v>82.1</v>
      </c>
      <c r="O501">
        <v>267</v>
      </c>
      <c r="P501">
        <v>68</v>
      </c>
      <c r="Q501" s="8">
        <f t="shared" si="106"/>
        <v>68</v>
      </c>
      <c r="R501" s="8">
        <v>169</v>
      </c>
      <c r="S501" s="8">
        <f t="shared" si="107"/>
        <v>169</v>
      </c>
      <c r="T501" s="8">
        <f>(Table1[[#This Row],[Total Cholesterol (mg/dL)]]+Table1[[#This Row],[HDL (mg/dL)2]]+Table1[[#This Row],[Estimated LDL (mg/dL)2]])*5</f>
        <v>2520</v>
      </c>
      <c r="U501" s="8">
        <f>IF(O501="",Table1[[#This Row],[Estimated LDL (mg/dL)2]]+Table1[[#This Row],[HDL (mg/dL)2]]+(Table1[[#This Row],[Triglycerides]]/5),O501)</f>
        <v>267</v>
      </c>
      <c r="V501">
        <v>75</v>
      </c>
      <c r="W501" s="8">
        <f t="shared" si="108"/>
        <v>75</v>
      </c>
      <c r="X501" t="str">
        <f t="shared" si="109"/>
        <v>Normal</v>
      </c>
      <c r="Y501" t="s">
        <v>22</v>
      </c>
      <c r="Z501" t="s">
        <v>22</v>
      </c>
      <c r="AA501" t="s">
        <v>37</v>
      </c>
      <c r="AB501" s="3" t="s">
        <v>479</v>
      </c>
      <c r="AC501">
        <v>123</v>
      </c>
      <c r="AD501" s="3" t="str">
        <f t="shared" si="110"/>
        <v>123</v>
      </c>
      <c r="AE501">
        <v>87</v>
      </c>
      <c r="AF501" s="3" t="str">
        <f t="shared" si="111"/>
        <v>87</v>
      </c>
      <c r="AG501" t="s">
        <v>29</v>
      </c>
      <c r="AH501" s="3">
        <v>17.63</v>
      </c>
      <c r="AI501" s="3">
        <f t="shared" si="112"/>
        <v>17.63</v>
      </c>
      <c r="AJ501" t="s">
        <v>26</v>
      </c>
      <c r="AK501" t="str">
        <f>PROPER(Table1[[#This Row],[CVD Risk Level]])</f>
        <v>Intermediary</v>
      </c>
    </row>
    <row r="502" spans="1:37" x14ac:dyDescent="0.3">
      <c r="A502" t="s">
        <v>20</v>
      </c>
      <c r="B502">
        <v>30</v>
      </c>
      <c r="C502" s="8">
        <f t="shared" si="101"/>
        <v>30</v>
      </c>
      <c r="D502" s="5">
        <v>68</v>
      </c>
      <c r="E502" s="8">
        <f t="shared" si="102"/>
        <v>68</v>
      </c>
      <c r="F502">
        <v>1.86</v>
      </c>
      <c r="G502" s="3">
        <f t="shared" si="103"/>
        <v>1.86</v>
      </c>
      <c r="H502">
        <v>19.7</v>
      </c>
      <c r="I502" s="5">
        <f t="shared" si="99"/>
        <v>19.7</v>
      </c>
      <c r="J502" s="16" t="str">
        <f t="shared" si="104"/>
        <v>Normal</v>
      </c>
      <c r="K502">
        <v>72.5</v>
      </c>
      <c r="L502">
        <v>0.39</v>
      </c>
      <c r="M502" s="11">
        <f t="shared" si="100"/>
        <v>0.39</v>
      </c>
      <c r="N502" s="5">
        <f t="shared" si="105"/>
        <v>72.5</v>
      </c>
      <c r="O502">
        <v>267</v>
      </c>
      <c r="P502">
        <v>69</v>
      </c>
      <c r="Q502" s="8">
        <f t="shared" si="106"/>
        <v>69</v>
      </c>
      <c r="R502" s="8">
        <v>168</v>
      </c>
      <c r="S502" s="8">
        <f t="shared" si="107"/>
        <v>168</v>
      </c>
      <c r="T502" s="8">
        <f>(Table1[[#This Row],[Total Cholesterol (mg/dL)]]+Table1[[#This Row],[HDL (mg/dL)2]]+Table1[[#This Row],[Estimated LDL (mg/dL)2]])*5</f>
        <v>2520</v>
      </c>
      <c r="U502" s="8">
        <f>IF(O502="",Table1[[#This Row],[Estimated LDL (mg/dL)2]]+Table1[[#This Row],[HDL (mg/dL)2]]+(Table1[[#This Row],[Triglycerides]]/5),O502)</f>
        <v>267</v>
      </c>
      <c r="V502">
        <v>101</v>
      </c>
      <c r="W502" s="8">
        <f t="shared" si="108"/>
        <v>101</v>
      </c>
      <c r="X502" t="str">
        <f t="shared" si="109"/>
        <v>Prediabetes</v>
      </c>
      <c r="Y502" t="s">
        <v>23</v>
      </c>
      <c r="Z502" t="s">
        <v>23</v>
      </c>
      <c r="AA502" t="s">
        <v>24</v>
      </c>
      <c r="AB502" s="3" t="s">
        <v>480</v>
      </c>
      <c r="AC502">
        <v>125</v>
      </c>
      <c r="AD502" s="3" t="str">
        <f t="shared" si="110"/>
        <v>125</v>
      </c>
      <c r="AE502">
        <v>63</v>
      </c>
      <c r="AF502" s="3" t="str">
        <f t="shared" si="111"/>
        <v>63</v>
      </c>
      <c r="AG502" t="s">
        <v>25</v>
      </c>
      <c r="AH502" s="3">
        <v>17.53</v>
      </c>
      <c r="AI502" s="3">
        <f t="shared" si="112"/>
        <v>17.53</v>
      </c>
      <c r="AJ502" t="s">
        <v>30</v>
      </c>
      <c r="AK502" t="str">
        <f>PROPER(Table1[[#This Row],[CVD Risk Level]])</f>
        <v>High</v>
      </c>
    </row>
    <row r="503" spans="1:37" x14ac:dyDescent="0.3">
      <c r="A503" t="s">
        <v>31</v>
      </c>
      <c r="B503">
        <v>38</v>
      </c>
      <c r="C503" s="8">
        <f t="shared" si="101"/>
        <v>38</v>
      </c>
      <c r="D503" s="5">
        <v>58.3</v>
      </c>
      <c r="E503" s="8">
        <f t="shared" si="102"/>
        <v>58.3</v>
      </c>
      <c r="F503">
        <v>1.81</v>
      </c>
      <c r="G503" s="3">
        <f t="shared" si="103"/>
        <v>1.81</v>
      </c>
      <c r="H503">
        <v>17.8</v>
      </c>
      <c r="I503" s="5">
        <f t="shared" si="99"/>
        <v>17.8</v>
      </c>
      <c r="J503" s="16" t="str">
        <f t="shared" si="104"/>
        <v>Underweight</v>
      </c>
      <c r="K503">
        <v>94.4</v>
      </c>
      <c r="L503">
        <v>0.52200000000000002</v>
      </c>
      <c r="M503" s="11">
        <f t="shared" si="100"/>
        <v>0.52200000000000002</v>
      </c>
      <c r="N503" s="5">
        <f t="shared" si="105"/>
        <v>94.4</v>
      </c>
      <c r="O503">
        <v>182</v>
      </c>
      <c r="P503">
        <v>61</v>
      </c>
      <c r="Q503" s="8">
        <f t="shared" si="106"/>
        <v>61</v>
      </c>
      <c r="R503" s="8">
        <v>91</v>
      </c>
      <c r="S503" s="8">
        <f t="shared" si="107"/>
        <v>91</v>
      </c>
      <c r="T503" s="8">
        <f>(Table1[[#This Row],[Total Cholesterol (mg/dL)]]+Table1[[#This Row],[HDL (mg/dL)2]]+Table1[[#This Row],[Estimated LDL (mg/dL)2]])*5</f>
        <v>1670</v>
      </c>
      <c r="U503" s="8">
        <f>IF(O503="",Table1[[#This Row],[Estimated LDL (mg/dL)2]]+Table1[[#This Row],[HDL (mg/dL)2]]+(Table1[[#This Row],[Triglycerides]]/5),O503)</f>
        <v>182</v>
      </c>
      <c r="V503">
        <v>125</v>
      </c>
      <c r="W503" s="8">
        <f t="shared" si="108"/>
        <v>125</v>
      </c>
      <c r="X503" t="str">
        <f t="shared" si="109"/>
        <v>Prediabetes</v>
      </c>
      <c r="Y503" t="s">
        <v>22</v>
      </c>
      <c r="Z503" t="s">
        <v>23</v>
      </c>
      <c r="AA503" t="s">
        <v>24</v>
      </c>
      <c r="AB503" s="3" t="s">
        <v>481</v>
      </c>
      <c r="AD503" s="3" t="str">
        <f t="shared" si="110"/>
        <v>115</v>
      </c>
      <c r="AE503">
        <v>71</v>
      </c>
      <c r="AF503" s="3" t="str">
        <f t="shared" si="111"/>
        <v>71</v>
      </c>
      <c r="AG503" t="s">
        <v>33</v>
      </c>
      <c r="AH503" s="3">
        <v>14.95</v>
      </c>
      <c r="AI503" s="3">
        <f t="shared" si="112"/>
        <v>14.95</v>
      </c>
      <c r="AJ503" t="s">
        <v>26</v>
      </c>
      <c r="AK503" t="str">
        <f>PROPER(Table1[[#This Row],[CVD Risk Level]])</f>
        <v>Intermediary</v>
      </c>
    </row>
    <row r="504" spans="1:37" x14ac:dyDescent="0.3">
      <c r="A504" t="s">
        <v>31</v>
      </c>
      <c r="B504">
        <v>51</v>
      </c>
      <c r="C504" s="8">
        <f t="shared" si="101"/>
        <v>51</v>
      </c>
      <c r="D504" s="5">
        <v>75.8</v>
      </c>
      <c r="E504" s="8">
        <f t="shared" si="102"/>
        <v>75.8</v>
      </c>
      <c r="F504">
        <v>1.9</v>
      </c>
      <c r="G504" s="3">
        <f t="shared" si="103"/>
        <v>1.9</v>
      </c>
      <c r="H504">
        <v>21</v>
      </c>
      <c r="I504" s="5">
        <f t="shared" si="99"/>
        <v>21</v>
      </c>
      <c r="J504" s="16" t="str">
        <f t="shared" si="104"/>
        <v>Normal</v>
      </c>
      <c r="K504">
        <v>96.8</v>
      </c>
      <c r="L504">
        <v>0.50900000000000001</v>
      </c>
      <c r="M504" s="11">
        <f t="shared" si="100"/>
        <v>0.50900000000000001</v>
      </c>
      <c r="N504" s="5">
        <f t="shared" si="105"/>
        <v>96.8</v>
      </c>
      <c r="O504">
        <v>280</v>
      </c>
      <c r="P504">
        <v>52</v>
      </c>
      <c r="Q504" s="8">
        <f t="shared" si="106"/>
        <v>52</v>
      </c>
      <c r="R504" s="8">
        <v>198</v>
      </c>
      <c r="S504" s="8">
        <f t="shared" si="107"/>
        <v>198</v>
      </c>
      <c r="T504" s="8">
        <f>(Table1[[#This Row],[Total Cholesterol (mg/dL)]]+Table1[[#This Row],[HDL (mg/dL)2]]+Table1[[#This Row],[Estimated LDL (mg/dL)2]])*5</f>
        <v>2650</v>
      </c>
      <c r="U504" s="8">
        <f>IF(O504="",Table1[[#This Row],[Estimated LDL (mg/dL)2]]+Table1[[#This Row],[HDL (mg/dL)2]]+(Table1[[#This Row],[Triglycerides]]/5),O504)</f>
        <v>280</v>
      </c>
      <c r="V504">
        <v>91</v>
      </c>
      <c r="W504" s="8">
        <f t="shared" si="108"/>
        <v>91</v>
      </c>
      <c r="X504" t="str">
        <f t="shared" si="109"/>
        <v>Normal</v>
      </c>
      <c r="Y504" t="s">
        <v>22</v>
      </c>
      <c r="Z504" t="s">
        <v>23</v>
      </c>
      <c r="AA504" t="s">
        <v>24</v>
      </c>
      <c r="AB504" s="3" t="s">
        <v>100</v>
      </c>
      <c r="AC504">
        <v>142</v>
      </c>
      <c r="AD504" s="3" t="str">
        <f t="shared" si="110"/>
        <v>142</v>
      </c>
      <c r="AE504">
        <v>66</v>
      </c>
      <c r="AF504" s="3" t="str">
        <f t="shared" si="111"/>
        <v>66</v>
      </c>
      <c r="AG504" t="s">
        <v>38</v>
      </c>
      <c r="AH504" s="3">
        <v>18.899999999999999</v>
      </c>
      <c r="AI504" s="3">
        <f t="shared" si="112"/>
        <v>18.899999999999999</v>
      </c>
      <c r="AJ504" t="s">
        <v>30</v>
      </c>
      <c r="AK504" t="str">
        <f>PROPER(Table1[[#This Row],[CVD Risk Level]])</f>
        <v>High</v>
      </c>
    </row>
    <row r="505" spans="1:37" x14ac:dyDescent="0.3">
      <c r="A505" t="s">
        <v>20</v>
      </c>
      <c r="B505">
        <v>35</v>
      </c>
      <c r="C505" s="8">
        <f t="shared" si="101"/>
        <v>35</v>
      </c>
      <c r="D505" s="5">
        <v>66.599999999999994</v>
      </c>
      <c r="E505" s="8">
        <f t="shared" si="102"/>
        <v>66.599999999999994</v>
      </c>
      <c r="F505">
        <v>1.75</v>
      </c>
      <c r="G505" s="3">
        <f t="shared" si="103"/>
        <v>1.75</v>
      </c>
      <c r="H505">
        <v>21.7</v>
      </c>
      <c r="I505" s="5">
        <f t="shared" si="99"/>
        <v>21.7</v>
      </c>
      <c r="J505" s="16" t="str">
        <f t="shared" si="104"/>
        <v>Normal</v>
      </c>
      <c r="K505">
        <v>109</v>
      </c>
      <c r="L505">
        <v>0.623</v>
      </c>
      <c r="M505" s="11">
        <f t="shared" si="100"/>
        <v>0.623</v>
      </c>
      <c r="N505" s="5">
        <f t="shared" si="105"/>
        <v>109</v>
      </c>
      <c r="O505">
        <v>160</v>
      </c>
      <c r="P505">
        <v>73</v>
      </c>
      <c r="Q505" s="8">
        <f t="shared" si="106"/>
        <v>73</v>
      </c>
      <c r="R505" s="8">
        <v>57</v>
      </c>
      <c r="S505" s="8">
        <f t="shared" si="107"/>
        <v>57</v>
      </c>
      <c r="T505" s="8">
        <f>(Table1[[#This Row],[Total Cholesterol (mg/dL)]]+Table1[[#This Row],[HDL (mg/dL)2]]+Table1[[#This Row],[Estimated LDL (mg/dL)2]])*5</f>
        <v>1450</v>
      </c>
      <c r="U505" s="8">
        <f>IF(O505="",Table1[[#This Row],[Estimated LDL (mg/dL)2]]+Table1[[#This Row],[HDL (mg/dL)2]]+(Table1[[#This Row],[Triglycerides]]/5),O505)</f>
        <v>160</v>
      </c>
      <c r="V505">
        <v>114</v>
      </c>
      <c r="W505" s="8">
        <f t="shared" si="108"/>
        <v>114</v>
      </c>
      <c r="X505" t="str">
        <f t="shared" si="109"/>
        <v>Prediabetes</v>
      </c>
      <c r="Y505" t="s">
        <v>23</v>
      </c>
      <c r="Z505" t="s">
        <v>22</v>
      </c>
      <c r="AA505" t="s">
        <v>28</v>
      </c>
      <c r="AB505" s="3" t="s">
        <v>283</v>
      </c>
      <c r="AD505" s="3" t="str">
        <f t="shared" si="110"/>
        <v>124</v>
      </c>
      <c r="AE505">
        <v>66</v>
      </c>
      <c r="AF505" s="3" t="str">
        <f t="shared" si="111"/>
        <v>66</v>
      </c>
      <c r="AG505" t="s">
        <v>25</v>
      </c>
      <c r="AH505" s="3">
        <v>13.74</v>
      </c>
      <c r="AI505" s="3">
        <f t="shared" si="112"/>
        <v>13.74</v>
      </c>
      <c r="AJ505" t="s">
        <v>52</v>
      </c>
      <c r="AK505" t="str">
        <f>PROPER(Table1[[#This Row],[CVD Risk Level]])</f>
        <v>Low</v>
      </c>
    </row>
    <row r="506" spans="1:37" x14ac:dyDescent="0.3">
      <c r="A506" t="s">
        <v>31</v>
      </c>
      <c r="C506" s="8">
        <f t="shared" si="101"/>
        <v>47.025499655410059</v>
      </c>
      <c r="D506" s="5">
        <v>92.5</v>
      </c>
      <c r="E506" s="8">
        <f t="shared" si="102"/>
        <v>92.5</v>
      </c>
      <c r="F506">
        <v>1.66</v>
      </c>
      <c r="G506" s="3">
        <f t="shared" si="103"/>
        <v>1.66</v>
      </c>
      <c r="H506">
        <v>33.6</v>
      </c>
      <c r="I506" s="5">
        <f t="shared" si="99"/>
        <v>33.6</v>
      </c>
      <c r="J506" s="16" t="str">
        <f t="shared" si="104"/>
        <v>Obese</v>
      </c>
      <c r="K506">
        <v>95.8</v>
      </c>
      <c r="L506">
        <v>0.57699999999999996</v>
      </c>
      <c r="M506" s="11">
        <f t="shared" si="100"/>
        <v>0.57699999999999996</v>
      </c>
      <c r="N506" s="5">
        <f t="shared" si="105"/>
        <v>95.8</v>
      </c>
      <c r="O506">
        <v>217</v>
      </c>
      <c r="P506">
        <v>37</v>
      </c>
      <c r="Q506" s="8">
        <f t="shared" si="106"/>
        <v>37</v>
      </c>
      <c r="R506" s="8">
        <v>150</v>
      </c>
      <c r="S506" s="8">
        <f t="shared" si="107"/>
        <v>150</v>
      </c>
      <c r="T506" s="8">
        <f>(Table1[[#This Row],[Total Cholesterol (mg/dL)]]+Table1[[#This Row],[HDL (mg/dL)2]]+Table1[[#This Row],[Estimated LDL (mg/dL)2]])*5</f>
        <v>2020</v>
      </c>
      <c r="U506" s="8">
        <f>IF(O506="",Table1[[#This Row],[Estimated LDL (mg/dL)2]]+Table1[[#This Row],[HDL (mg/dL)2]]+(Table1[[#This Row],[Triglycerides]]/5),O506)</f>
        <v>217</v>
      </c>
      <c r="V506">
        <v>148</v>
      </c>
      <c r="W506" s="8">
        <f t="shared" si="108"/>
        <v>148</v>
      </c>
      <c r="X506" t="str">
        <f t="shared" si="109"/>
        <v>Diabetes</v>
      </c>
      <c r="Y506" t="s">
        <v>23</v>
      </c>
      <c r="Z506" t="s">
        <v>23</v>
      </c>
      <c r="AA506" t="s">
        <v>37</v>
      </c>
      <c r="AB506" s="3" t="s">
        <v>482</v>
      </c>
      <c r="AC506">
        <v>147</v>
      </c>
      <c r="AD506" s="3" t="str">
        <f t="shared" si="110"/>
        <v>147</v>
      </c>
      <c r="AE506">
        <v>63</v>
      </c>
      <c r="AF506" s="3" t="str">
        <f t="shared" si="111"/>
        <v>63</v>
      </c>
      <c r="AG506" t="s">
        <v>38</v>
      </c>
      <c r="AH506" s="3">
        <v>20.41</v>
      </c>
      <c r="AI506" s="3">
        <f t="shared" si="112"/>
        <v>20.41</v>
      </c>
      <c r="AJ506" t="s">
        <v>30</v>
      </c>
      <c r="AK506" t="str">
        <f>PROPER(Table1[[#This Row],[CVD Risk Level]])</f>
        <v>High</v>
      </c>
    </row>
    <row r="507" spans="1:37" x14ac:dyDescent="0.3">
      <c r="A507" t="s">
        <v>20</v>
      </c>
      <c r="B507">
        <v>56</v>
      </c>
      <c r="C507" s="8">
        <f t="shared" si="101"/>
        <v>56</v>
      </c>
      <c r="D507" s="5">
        <v>94</v>
      </c>
      <c r="E507" s="8">
        <f t="shared" si="102"/>
        <v>94</v>
      </c>
      <c r="F507">
        <v>1.9</v>
      </c>
      <c r="G507" s="3">
        <f t="shared" si="103"/>
        <v>1.9</v>
      </c>
      <c r="H507">
        <v>26</v>
      </c>
      <c r="I507" s="5">
        <f t="shared" si="99"/>
        <v>26</v>
      </c>
      <c r="J507" s="16" t="str">
        <f t="shared" si="104"/>
        <v>Overweight</v>
      </c>
      <c r="K507">
        <v>78.8</v>
      </c>
      <c r="L507">
        <v>0.41499999999999998</v>
      </c>
      <c r="M507" s="11">
        <f t="shared" si="100"/>
        <v>0.41499999999999998</v>
      </c>
      <c r="N507" s="5">
        <f t="shared" si="105"/>
        <v>78.8</v>
      </c>
      <c r="O507">
        <v>184</v>
      </c>
      <c r="P507">
        <v>30</v>
      </c>
      <c r="Q507" s="8">
        <f t="shared" si="106"/>
        <v>30</v>
      </c>
      <c r="R507" s="8">
        <v>124</v>
      </c>
      <c r="S507" s="8">
        <f t="shared" si="107"/>
        <v>124</v>
      </c>
      <c r="T507" s="8">
        <f>(Table1[[#This Row],[Total Cholesterol (mg/dL)]]+Table1[[#This Row],[HDL (mg/dL)2]]+Table1[[#This Row],[Estimated LDL (mg/dL)2]])*5</f>
        <v>1690</v>
      </c>
      <c r="U507" s="8">
        <f>IF(O507="",Table1[[#This Row],[Estimated LDL (mg/dL)2]]+Table1[[#This Row],[HDL (mg/dL)2]]+(Table1[[#This Row],[Triglycerides]]/5),O507)</f>
        <v>184</v>
      </c>
      <c r="V507">
        <v>102</v>
      </c>
      <c r="W507" s="8">
        <f t="shared" si="108"/>
        <v>102</v>
      </c>
      <c r="X507" t="str">
        <f t="shared" si="109"/>
        <v>Prediabetes</v>
      </c>
      <c r="Y507" t="s">
        <v>23</v>
      </c>
      <c r="Z507" t="s">
        <v>22</v>
      </c>
      <c r="AA507" t="s">
        <v>37</v>
      </c>
      <c r="AB507" s="3" t="s">
        <v>483</v>
      </c>
      <c r="AC507">
        <v>149</v>
      </c>
      <c r="AD507" s="3" t="str">
        <f t="shared" si="110"/>
        <v>149</v>
      </c>
      <c r="AE507">
        <v>89</v>
      </c>
      <c r="AF507" s="3" t="str">
        <f t="shared" si="111"/>
        <v>89</v>
      </c>
      <c r="AG507" t="s">
        <v>29</v>
      </c>
      <c r="AH507" s="3">
        <v>16.329999999999998</v>
      </c>
      <c r="AI507" s="3">
        <f t="shared" si="112"/>
        <v>16.329999999999998</v>
      </c>
      <c r="AJ507" t="s">
        <v>30</v>
      </c>
      <c r="AK507" t="str">
        <f>PROPER(Table1[[#This Row],[CVD Risk Level]])</f>
        <v>High</v>
      </c>
    </row>
    <row r="508" spans="1:37" x14ac:dyDescent="0.3">
      <c r="A508" t="s">
        <v>31</v>
      </c>
      <c r="B508">
        <v>43</v>
      </c>
      <c r="C508" s="8">
        <f t="shared" si="101"/>
        <v>43</v>
      </c>
      <c r="D508" s="5">
        <v>92.9</v>
      </c>
      <c r="E508" s="8">
        <f t="shared" si="102"/>
        <v>92.9</v>
      </c>
      <c r="F508">
        <v>1.82</v>
      </c>
      <c r="G508" s="3">
        <f t="shared" si="103"/>
        <v>1.82</v>
      </c>
      <c r="H508">
        <v>28</v>
      </c>
      <c r="I508" s="5">
        <f t="shared" si="99"/>
        <v>28</v>
      </c>
      <c r="J508" s="16" t="str">
        <f t="shared" si="104"/>
        <v>Overweight</v>
      </c>
      <c r="K508">
        <v>95.4</v>
      </c>
      <c r="L508">
        <v>0.52400000000000002</v>
      </c>
      <c r="M508" s="11">
        <f t="shared" si="100"/>
        <v>0.52400000000000002</v>
      </c>
      <c r="N508" s="5">
        <f t="shared" si="105"/>
        <v>95.4</v>
      </c>
      <c r="O508">
        <v>132</v>
      </c>
      <c r="P508">
        <v>71</v>
      </c>
      <c r="Q508" s="8">
        <f t="shared" si="106"/>
        <v>71</v>
      </c>
      <c r="R508" s="8">
        <v>31</v>
      </c>
      <c r="S508" s="8">
        <f>IF(R508&lt;=0,MEDIAN($R$2:$R$1530),R508)</f>
        <v>31</v>
      </c>
      <c r="T508" s="8">
        <f>(Table1[[#This Row],[Total Cholesterol (mg/dL)]]+Table1[[#This Row],[HDL (mg/dL)2]]+Table1[[#This Row],[Estimated LDL (mg/dL)2]])*5</f>
        <v>1170</v>
      </c>
      <c r="U508" s="8">
        <f>IF(O508="",Table1[[#This Row],[Estimated LDL (mg/dL)2]]+Table1[[#This Row],[HDL (mg/dL)2]]+(Table1[[#This Row],[Triglycerides]]/5),O508)</f>
        <v>132</v>
      </c>
      <c r="V508">
        <v>86</v>
      </c>
      <c r="W508" s="8">
        <f t="shared" si="108"/>
        <v>86</v>
      </c>
      <c r="X508" t="str">
        <f t="shared" si="109"/>
        <v>Normal</v>
      </c>
      <c r="Y508" t="s">
        <v>22</v>
      </c>
      <c r="Z508" t="s">
        <v>22</v>
      </c>
      <c r="AA508" t="s">
        <v>24</v>
      </c>
      <c r="AB508" s="3" t="s">
        <v>484</v>
      </c>
      <c r="AC508">
        <v>145</v>
      </c>
      <c r="AD508" s="3" t="str">
        <f t="shared" si="110"/>
        <v>145</v>
      </c>
      <c r="AE508">
        <v>63</v>
      </c>
      <c r="AF508" s="3" t="str">
        <f t="shared" si="111"/>
        <v>63</v>
      </c>
      <c r="AG508" t="s">
        <v>38</v>
      </c>
      <c r="AH508" s="3">
        <v>15.49</v>
      </c>
      <c r="AI508" s="3">
        <f t="shared" si="112"/>
        <v>15.49</v>
      </c>
      <c r="AJ508" t="s">
        <v>26</v>
      </c>
      <c r="AK508" t="str">
        <f>PROPER(Table1[[#This Row],[CVD Risk Level]])</f>
        <v>Intermediary</v>
      </c>
    </row>
    <row r="509" spans="1:37" x14ac:dyDescent="0.3">
      <c r="A509" t="s">
        <v>31</v>
      </c>
      <c r="B509">
        <v>49</v>
      </c>
      <c r="C509" s="8">
        <f t="shared" si="101"/>
        <v>49</v>
      </c>
      <c r="E509" s="8">
        <f t="shared" si="102"/>
        <v>53.660879999999999</v>
      </c>
      <c r="F509">
        <v>1.82</v>
      </c>
      <c r="G509" s="3">
        <f t="shared" si="103"/>
        <v>1.82</v>
      </c>
      <c r="H509">
        <v>16.2</v>
      </c>
      <c r="I509" s="5">
        <f t="shared" si="99"/>
        <v>16.2</v>
      </c>
      <c r="J509" s="16" t="str">
        <f t="shared" si="104"/>
        <v>Underweight</v>
      </c>
      <c r="K509">
        <v>82.2</v>
      </c>
      <c r="L509">
        <v>0.45200000000000001</v>
      </c>
      <c r="M509" s="11">
        <f t="shared" si="100"/>
        <v>0.45200000000000001</v>
      </c>
      <c r="N509" s="5">
        <f t="shared" si="105"/>
        <v>82.2</v>
      </c>
      <c r="P509">
        <v>32</v>
      </c>
      <c r="Q509" s="8">
        <f t="shared" si="106"/>
        <v>32</v>
      </c>
      <c r="R509" s="8">
        <v>136</v>
      </c>
      <c r="S509" s="8">
        <f t="shared" si="107"/>
        <v>136</v>
      </c>
      <c r="T509" s="8">
        <f>(Table1[[#This Row],[Total Cholesterol (mg/dL)]]+Table1[[#This Row],[HDL (mg/dL)2]]+Table1[[#This Row],[Estimated LDL (mg/dL)2]])*5</f>
        <v>840</v>
      </c>
      <c r="U509" s="8">
        <f>IF(O509="",Table1[[#This Row],[Estimated LDL (mg/dL)2]]+Table1[[#This Row],[HDL (mg/dL)2]]+(Table1[[#This Row],[Triglycerides]]/5),O509)</f>
        <v>336</v>
      </c>
      <c r="V509">
        <v>124</v>
      </c>
      <c r="W509" s="8">
        <f t="shared" si="108"/>
        <v>124</v>
      </c>
      <c r="X509" t="str">
        <f t="shared" si="109"/>
        <v>Prediabetes</v>
      </c>
      <c r="Y509" t="s">
        <v>23</v>
      </c>
      <c r="Z509" t="s">
        <v>22</v>
      </c>
      <c r="AA509" t="s">
        <v>28</v>
      </c>
      <c r="AB509" s="3" t="s">
        <v>485</v>
      </c>
      <c r="AC509">
        <v>136</v>
      </c>
      <c r="AD509" s="3" t="str">
        <f t="shared" si="110"/>
        <v>136</v>
      </c>
      <c r="AE509">
        <v>95</v>
      </c>
      <c r="AF509" s="3" t="str">
        <f t="shared" si="111"/>
        <v>95</v>
      </c>
      <c r="AG509" t="s">
        <v>29</v>
      </c>
      <c r="AH509" s="3">
        <v>14</v>
      </c>
      <c r="AI509" s="3">
        <f t="shared" si="112"/>
        <v>14</v>
      </c>
      <c r="AJ509" t="s">
        <v>26</v>
      </c>
      <c r="AK509" t="str">
        <f>PROPER(Table1[[#This Row],[CVD Risk Level]])</f>
        <v>Intermediary</v>
      </c>
    </row>
    <row r="510" spans="1:37" x14ac:dyDescent="0.3">
      <c r="A510" t="s">
        <v>20</v>
      </c>
      <c r="B510">
        <v>36</v>
      </c>
      <c r="C510" s="8">
        <f t="shared" si="101"/>
        <v>36</v>
      </c>
      <c r="D510" s="5">
        <v>51.9</v>
      </c>
      <c r="E510" s="8">
        <f t="shared" si="102"/>
        <v>51.9</v>
      </c>
      <c r="F510">
        <v>1.67</v>
      </c>
      <c r="G510" s="3">
        <f t="shared" si="103"/>
        <v>1.67</v>
      </c>
      <c r="H510">
        <v>18.600000000000001</v>
      </c>
      <c r="I510" s="5">
        <f t="shared" si="99"/>
        <v>18.600000000000001</v>
      </c>
      <c r="J510" s="16" t="str">
        <f t="shared" si="104"/>
        <v>Normal</v>
      </c>
      <c r="K510">
        <v>101.2</v>
      </c>
      <c r="L510">
        <v>0.60599999999999998</v>
      </c>
      <c r="M510" s="11">
        <f t="shared" si="100"/>
        <v>0.60599999999999998</v>
      </c>
      <c r="N510" s="5">
        <f t="shared" si="105"/>
        <v>101.2</v>
      </c>
      <c r="O510">
        <v>225</v>
      </c>
      <c r="P510">
        <v>58</v>
      </c>
      <c r="Q510" s="8">
        <f t="shared" si="106"/>
        <v>58</v>
      </c>
      <c r="R510" s="8">
        <v>137</v>
      </c>
      <c r="S510" s="8">
        <f t="shared" si="107"/>
        <v>137</v>
      </c>
      <c r="T510" s="8">
        <f>(Table1[[#This Row],[Total Cholesterol (mg/dL)]]+Table1[[#This Row],[HDL (mg/dL)2]]+Table1[[#This Row],[Estimated LDL (mg/dL)2]])*5</f>
        <v>2100</v>
      </c>
      <c r="U510" s="8">
        <f>IF(O510="",Table1[[#This Row],[Estimated LDL (mg/dL)2]]+Table1[[#This Row],[HDL (mg/dL)2]]+(Table1[[#This Row],[Triglycerides]]/5),O510)</f>
        <v>225</v>
      </c>
      <c r="W510" s="8">
        <f t="shared" si="108"/>
        <v>117.48563611491107</v>
      </c>
      <c r="X510" t="str">
        <f t="shared" si="109"/>
        <v>Prediabetes</v>
      </c>
      <c r="Y510" t="s">
        <v>23</v>
      </c>
      <c r="Z510" t="s">
        <v>22</v>
      </c>
      <c r="AA510" t="s">
        <v>28</v>
      </c>
      <c r="AB510" s="3" t="s">
        <v>486</v>
      </c>
      <c r="AC510">
        <v>103</v>
      </c>
      <c r="AD510" s="3" t="str">
        <f t="shared" si="110"/>
        <v>103</v>
      </c>
      <c r="AE510">
        <v>80</v>
      </c>
      <c r="AF510" s="3" t="str">
        <f t="shared" si="111"/>
        <v>80</v>
      </c>
      <c r="AG510" t="s">
        <v>29</v>
      </c>
      <c r="AH510" s="3">
        <v>13.37</v>
      </c>
      <c r="AI510" s="3">
        <f t="shared" si="112"/>
        <v>13.37</v>
      </c>
      <c r="AJ510" t="s">
        <v>26</v>
      </c>
      <c r="AK510" t="str">
        <f>PROPER(Table1[[#This Row],[CVD Risk Level]])</f>
        <v>Intermediary</v>
      </c>
    </row>
    <row r="511" spans="1:37" x14ac:dyDescent="0.3">
      <c r="A511" t="s">
        <v>20</v>
      </c>
      <c r="B511">
        <v>44</v>
      </c>
      <c r="C511" s="8">
        <f t="shared" si="101"/>
        <v>44</v>
      </c>
      <c r="D511" s="5">
        <v>65.8</v>
      </c>
      <c r="E511" s="8">
        <f t="shared" si="102"/>
        <v>65.8</v>
      </c>
      <c r="F511">
        <v>1.89</v>
      </c>
      <c r="G511" s="3">
        <f t="shared" si="103"/>
        <v>1.89</v>
      </c>
      <c r="H511">
        <v>18.399999999999999</v>
      </c>
      <c r="I511" s="5">
        <f t="shared" si="99"/>
        <v>18.399999999999999</v>
      </c>
      <c r="J511" s="16" t="str">
        <f t="shared" si="104"/>
        <v>Underweight</v>
      </c>
      <c r="K511">
        <v>109</v>
      </c>
      <c r="L511">
        <v>0.57699999999999996</v>
      </c>
      <c r="M511" s="11">
        <f t="shared" si="100"/>
        <v>0.57699999999999996</v>
      </c>
      <c r="N511" s="5">
        <f t="shared" si="105"/>
        <v>109</v>
      </c>
      <c r="O511">
        <v>271</v>
      </c>
      <c r="P511">
        <v>33</v>
      </c>
      <c r="Q511" s="8">
        <f t="shared" si="106"/>
        <v>33</v>
      </c>
      <c r="R511" s="8">
        <v>208</v>
      </c>
      <c r="S511" s="8">
        <f t="shared" si="107"/>
        <v>208</v>
      </c>
      <c r="T511" s="8">
        <f>(Table1[[#This Row],[Total Cholesterol (mg/dL)]]+Table1[[#This Row],[HDL (mg/dL)2]]+Table1[[#This Row],[Estimated LDL (mg/dL)2]])*5</f>
        <v>2560</v>
      </c>
      <c r="U511" s="8">
        <f>IF(O511="",Table1[[#This Row],[Estimated LDL (mg/dL)2]]+Table1[[#This Row],[HDL (mg/dL)2]]+(Table1[[#This Row],[Triglycerides]]/5),O511)</f>
        <v>271</v>
      </c>
      <c r="V511">
        <v>147</v>
      </c>
      <c r="W511" s="8">
        <f t="shared" si="108"/>
        <v>147</v>
      </c>
      <c r="X511" t="str">
        <f t="shared" si="109"/>
        <v>Diabetes</v>
      </c>
      <c r="Y511" t="s">
        <v>23</v>
      </c>
      <c r="Z511" t="s">
        <v>23</v>
      </c>
      <c r="AA511" t="s">
        <v>24</v>
      </c>
      <c r="AB511" s="3" t="s">
        <v>487</v>
      </c>
      <c r="AD511" s="3" t="str">
        <f t="shared" si="110"/>
        <v>107</v>
      </c>
      <c r="AE511">
        <v>64</v>
      </c>
      <c r="AF511" s="3" t="str">
        <f t="shared" si="111"/>
        <v>64</v>
      </c>
      <c r="AG511" t="s">
        <v>33</v>
      </c>
      <c r="AH511" s="3">
        <v>16.45</v>
      </c>
      <c r="AI511" s="3">
        <f t="shared" si="112"/>
        <v>16.45</v>
      </c>
      <c r="AJ511" t="s">
        <v>30</v>
      </c>
      <c r="AK511" t="str">
        <f>PROPER(Table1[[#This Row],[CVD Risk Level]])</f>
        <v>High</v>
      </c>
    </row>
    <row r="512" spans="1:37" x14ac:dyDescent="0.3">
      <c r="A512" t="s">
        <v>31</v>
      </c>
      <c r="B512">
        <v>35</v>
      </c>
      <c r="C512" s="8">
        <f t="shared" si="101"/>
        <v>35</v>
      </c>
      <c r="D512" s="5">
        <v>83.6</v>
      </c>
      <c r="E512" s="8">
        <f t="shared" si="102"/>
        <v>83.6</v>
      </c>
      <c r="F512">
        <v>1.7</v>
      </c>
      <c r="G512" s="3">
        <f t="shared" si="103"/>
        <v>1.7</v>
      </c>
      <c r="H512">
        <v>28.9</v>
      </c>
      <c r="I512" s="5">
        <f t="shared" si="99"/>
        <v>28.9</v>
      </c>
      <c r="J512" s="16" t="str">
        <f t="shared" si="104"/>
        <v>Overweight</v>
      </c>
      <c r="K512">
        <v>101.8</v>
      </c>
      <c r="L512">
        <v>0.59899999999999998</v>
      </c>
      <c r="M512" s="11">
        <f t="shared" si="100"/>
        <v>0.59899999999999998</v>
      </c>
      <c r="N512" s="5">
        <f t="shared" si="105"/>
        <v>101.8</v>
      </c>
      <c r="O512">
        <v>118</v>
      </c>
      <c r="P512">
        <v>58</v>
      </c>
      <c r="Q512" s="8">
        <f t="shared" si="106"/>
        <v>58</v>
      </c>
      <c r="R512" s="8">
        <v>30</v>
      </c>
      <c r="S512" s="8">
        <f t="shared" si="107"/>
        <v>30</v>
      </c>
      <c r="T512" s="8">
        <f>(Table1[[#This Row],[Total Cholesterol (mg/dL)]]+Table1[[#This Row],[HDL (mg/dL)2]]+Table1[[#This Row],[Estimated LDL (mg/dL)2]])*5</f>
        <v>1030</v>
      </c>
      <c r="U512" s="8">
        <f>IF(O512="",Table1[[#This Row],[Estimated LDL (mg/dL)2]]+Table1[[#This Row],[HDL (mg/dL)2]]+(Table1[[#This Row],[Triglycerides]]/5),O512)</f>
        <v>118</v>
      </c>
      <c r="V512">
        <v>91</v>
      </c>
      <c r="W512" s="8">
        <f t="shared" si="108"/>
        <v>91</v>
      </c>
      <c r="X512" t="str">
        <f t="shared" si="109"/>
        <v>Normal</v>
      </c>
      <c r="Y512" t="s">
        <v>22</v>
      </c>
      <c r="Z512" t="s">
        <v>22</v>
      </c>
      <c r="AA512" t="s">
        <v>28</v>
      </c>
      <c r="AB512" s="3" t="s">
        <v>488</v>
      </c>
      <c r="AC512">
        <v>141</v>
      </c>
      <c r="AD512" s="3" t="str">
        <f t="shared" si="110"/>
        <v>141</v>
      </c>
      <c r="AE512">
        <v>81</v>
      </c>
      <c r="AF512" s="3" t="str">
        <f t="shared" si="111"/>
        <v>81</v>
      </c>
      <c r="AG512" t="s">
        <v>29</v>
      </c>
      <c r="AH512" s="3">
        <v>15.19</v>
      </c>
      <c r="AI512" s="3">
        <f t="shared" si="112"/>
        <v>15.19</v>
      </c>
      <c r="AJ512" t="s">
        <v>26</v>
      </c>
      <c r="AK512" t="str">
        <f>PROPER(Table1[[#This Row],[CVD Risk Level]])</f>
        <v>Intermediary</v>
      </c>
    </row>
    <row r="513" spans="1:37" x14ac:dyDescent="0.3">
      <c r="A513" t="s">
        <v>20</v>
      </c>
      <c r="B513">
        <v>43</v>
      </c>
      <c r="C513" s="8">
        <f t="shared" si="101"/>
        <v>43</v>
      </c>
      <c r="D513" s="5">
        <v>119.9</v>
      </c>
      <c r="E513" s="8">
        <f t="shared" si="102"/>
        <v>119.9</v>
      </c>
      <c r="F513">
        <v>1.85</v>
      </c>
      <c r="G513" s="3">
        <f t="shared" si="103"/>
        <v>1.85</v>
      </c>
      <c r="I513" s="5">
        <f t="shared" si="99"/>
        <v>35.032870708546383</v>
      </c>
      <c r="J513" s="16" t="str">
        <f t="shared" si="104"/>
        <v>Obese</v>
      </c>
      <c r="L513">
        <v>0.41399999999999998</v>
      </c>
      <c r="M513" s="11">
        <f t="shared" si="100"/>
        <v>0.41399999999999998</v>
      </c>
      <c r="N513" s="5">
        <f t="shared" si="105"/>
        <v>76.589999999999989</v>
      </c>
      <c r="O513">
        <v>220</v>
      </c>
      <c r="P513">
        <v>44</v>
      </c>
      <c r="Q513" s="8">
        <f t="shared" si="106"/>
        <v>44</v>
      </c>
      <c r="R513" s="8">
        <v>146</v>
      </c>
      <c r="S513" s="8">
        <f t="shared" si="107"/>
        <v>146</v>
      </c>
      <c r="T513" s="8">
        <f>(Table1[[#This Row],[Total Cholesterol (mg/dL)]]+Table1[[#This Row],[HDL (mg/dL)2]]+Table1[[#This Row],[Estimated LDL (mg/dL)2]])*5</f>
        <v>2050</v>
      </c>
      <c r="U513" s="8">
        <f>IF(O513="",Table1[[#This Row],[Estimated LDL (mg/dL)2]]+Table1[[#This Row],[HDL (mg/dL)2]]+(Table1[[#This Row],[Triglycerides]]/5),O513)</f>
        <v>220</v>
      </c>
      <c r="V513">
        <v>85</v>
      </c>
      <c r="W513" s="8">
        <f t="shared" si="108"/>
        <v>85</v>
      </c>
      <c r="X513" t="str">
        <f t="shared" si="109"/>
        <v>Normal</v>
      </c>
      <c r="Y513" t="s">
        <v>22</v>
      </c>
      <c r="Z513" t="s">
        <v>22</v>
      </c>
      <c r="AA513" t="s">
        <v>37</v>
      </c>
      <c r="AB513" s="3" t="s">
        <v>489</v>
      </c>
      <c r="AC513">
        <v>126</v>
      </c>
      <c r="AD513" s="3" t="str">
        <f t="shared" si="110"/>
        <v>126</v>
      </c>
      <c r="AE513">
        <v>62</v>
      </c>
      <c r="AF513" s="3" t="str">
        <f t="shared" si="111"/>
        <v>62</v>
      </c>
      <c r="AG513" t="s">
        <v>25</v>
      </c>
      <c r="AH513" s="3">
        <v>17.7</v>
      </c>
      <c r="AI513" s="3">
        <f t="shared" si="112"/>
        <v>17.7</v>
      </c>
      <c r="AJ513" t="s">
        <v>26</v>
      </c>
      <c r="AK513" t="str">
        <f>PROPER(Table1[[#This Row],[CVD Risk Level]])</f>
        <v>Intermediary</v>
      </c>
    </row>
    <row r="514" spans="1:37" x14ac:dyDescent="0.3">
      <c r="A514" t="s">
        <v>31</v>
      </c>
      <c r="B514">
        <v>34</v>
      </c>
      <c r="C514" s="8">
        <f t="shared" si="101"/>
        <v>34</v>
      </c>
      <c r="D514" s="5">
        <v>118.2</v>
      </c>
      <c r="E514" s="8">
        <f t="shared" si="102"/>
        <v>118.2</v>
      </c>
      <c r="F514">
        <v>1.72</v>
      </c>
      <c r="G514" s="3">
        <f t="shared" si="103"/>
        <v>1.72</v>
      </c>
      <c r="H514">
        <v>40</v>
      </c>
      <c r="I514" s="5">
        <f t="shared" ref="I514:I577" si="113" xml:space="preserve"> IF(H514="",E514 / (G514^2),H514)</f>
        <v>40</v>
      </c>
      <c r="J514" s="16" t="str">
        <f t="shared" si="104"/>
        <v>Obese</v>
      </c>
      <c r="K514">
        <v>77.5</v>
      </c>
      <c r="L514">
        <v>0.45100000000000001</v>
      </c>
      <c r="M514" s="11">
        <f t="shared" ref="M514:M577" si="114">IF(L514="",K514/(G514*100),L514)</f>
        <v>0.45100000000000001</v>
      </c>
      <c r="N514" s="5">
        <f t="shared" si="105"/>
        <v>77.5</v>
      </c>
      <c r="O514">
        <v>290</v>
      </c>
      <c r="P514">
        <v>68</v>
      </c>
      <c r="Q514" s="8">
        <f t="shared" si="106"/>
        <v>68</v>
      </c>
      <c r="R514" s="8">
        <v>192</v>
      </c>
      <c r="S514" s="8">
        <f t="shared" si="107"/>
        <v>192</v>
      </c>
      <c r="T514" s="8">
        <f>(Table1[[#This Row],[Total Cholesterol (mg/dL)]]+Table1[[#This Row],[HDL (mg/dL)2]]+Table1[[#This Row],[Estimated LDL (mg/dL)2]])*5</f>
        <v>2750</v>
      </c>
      <c r="U514" s="8">
        <f>IF(O514="",Table1[[#This Row],[Estimated LDL (mg/dL)2]]+Table1[[#This Row],[HDL (mg/dL)2]]+(Table1[[#This Row],[Triglycerides]]/5),O514)</f>
        <v>290</v>
      </c>
      <c r="V514">
        <v>92</v>
      </c>
      <c r="W514" s="8">
        <f t="shared" si="108"/>
        <v>92</v>
      </c>
      <c r="X514" t="str">
        <f t="shared" si="109"/>
        <v>Normal</v>
      </c>
      <c r="Y514" t="s">
        <v>23</v>
      </c>
      <c r="Z514" t="s">
        <v>22</v>
      </c>
      <c r="AA514" t="s">
        <v>24</v>
      </c>
      <c r="AB514" s="3" t="s">
        <v>490</v>
      </c>
      <c r="AC514">
        <v>136</v>
      </c>
      <c r="AD514" s="3" t="str">
        <f t="shared" si="110"/>
        <v>136</v>
      </c>
      <c r="AE514">
        <v>83</v>
      </c>
      <c r="AF514" s="3" t="str">
        <f t="shared" si="111"/>
        <v>83</v>
      </c>
      <c r="AG514" t="s">
        <v>29</v>
      </c>
      <c r="AH514" s="3">
        <v>20.6</v>
      </c>
      <c r="AI514" s="3">
        <f t="shared" si="112"/>
        <v>20.6</v>
      </c>
      <c r="AJ514" t="s">
        <v>30</v>
      </c>
      <c r="AK514" t="str">
        <f>PROPER(Table1[[#This Row],[CVD Risk Level]])</f>
        <v>High</v>
      </c>
    </row>
    <row r="515" spans="1:37" x14ac:dyDescent="0.3">
      <c r="A515" t="s">
        <v>31</v>
      </c>
      <c r="B515">
        <v>48</v>
      </c>
      <c r="C515" s="8">
        <f t="shared" ref="C515:C578" si="115">IF(B515="",AVERAGE($B$2:$B$1530),B515)</f>
        <v>48</v>
      </c>
      <c r="D515" s="5">
        <v>116.5</v>
      </c>
      <c r="E515" s="8">
        <f t="shared" ref="E515:E578" si="116">IF(D515="", H515*(F515^2),D515)</f>
        <v>116.5</v>
      </c>
      <c r="F515">
        <v>1.81</v>
      </c>
      <c r="G515" s="3">
        <f t="shared" ref="G515:G578" si="117">IF(F515="", SQRT(E515 / H515),F515)</f>
        <v>1.81</v>
      </c>
      <c r="H515">
        <v>35.6</v>
      </c>
      <c r="I515" s="5">
        <f t="shared" si="113"/>
        <v>35.6</v>
      </c>
      <c r="J515" s="16" t="str">
        <f t="shared" ref="J515:J578" si="118">IF(I515&lt;18.5,"Underweight",IF(I515&lt;25,"Normal",IF(I515&lt;30,"Overweight","Obese")))</f>
        <v>Obese</v>
      </c>
      <c r="K515">
        <v>107.9</v>
      </c>
      <c r="L515">
        <v>0.59599999999999997</v>
      </c>
      <c r="M515" s="11">
        <f t="shared" si="114"/>
        <v>0.59599999999999997</v>
      </c>
      <c r="N515" s="5">
        <f t="shared" ref="N515:N578" si="119">IF(K515="",M515*(G515*100),K515)</f>
        <v>107.9</v>
      </c>
      <c r="O515">
        <v>270</v>
      </c>
      <c r="P515">
        <v>32</v>
      </c>
      <c r="Q515" s="8">
        <f t="shared" ref="Q515:Q578" si="120">IF(P515="",AVERAGE($P$2:$P$1530),P515)</f>
        <v>32</v>
      </c>
      <c r="R515" s="8">
        <v>208</v>
      </c>
      <c r="S515" s="8">
        <f t="shared" ref="S515:S578" si="121">IF(R515&lt;=0,MEDIAN($R$2:$R$1530),R515)</f>
        <v>208</v>
      </c>
      <c r="T515" s="8">
        <f>(Table1[[#This Row],[Total Cholesterol (mg/dL)]]+Table1[[#This Row],[HDL (mg/dL)2]]+Table1[[#This Row],[Estimated LDL (mg/dL)2]])*5</f>
        <v>2550</v>
      </c>
      <c r="U515" s="8">
        <f>IF(O515="",Table1[[#This Row],[Estimated LDL (mg/dL)2]]+Table1[[#This Row],[HDL (mg/dL)2]]+(Table1[[#This Row],[Triglycerides]]/5),O515)</f>
        <v>270</v>
      </c>
      <c r="V515">
        <v>135</v>
      </c>
      <c r="W515" s="8">
        <f t="shared" ref="W515:W578" si="122">IF(V515="",AVERAGE($V$2:$V$1530),V515)</f>
        <v>135</v>
      </c>
      <c r="X515" t="str">
        <f t="shared" ref="X515:X578" si="123">IF(W515&lt;100,"Normal",IF(W515&lt;126,"Prediabetes","Diabetes"))</f>
        <v>Diabetes</v>
      </c>
      <c r="Y515" t="s">
        <v>22</v>
      </c>
      <c r="Z515" t="s">
        <v>23</v>
      </c>
      <c r="AA515" t="s">
        <v>28</v>
      </c>
      <c r="AB515" s="3" t="s">
        <v>491</v>
      </c>
      <c r="AC515">
        <v>135</v>
      </c>
      <c r="AD515" s="3" t="str">
        <f t="shared" ref="AD515:AD578" si="124">LEFT(AB515,FIND("/",AB515)-1)</f>
        <v>135</v>
      </c>
      <c r="AE515">
        <v>87</v>
      </c>
      <c r="AF515" s="3" t="str">
        <f t="shared" ref="AF515:AF578" si="125">RIGHT(AB515,LEN(AB515)-FIND("/",AB515))</f>
        <v>87</v>
      </c>
      <c r="AG515" t="s">
        <v>29</v>
      </c>
      <c r="AH515" s="3">
        <v>21.27</v>
      </c>
      <c r="AI515" s="3">
        <f t="shared" ref="AI515:AI578" si="126">IF(AH515="",AVERAGE($AH$2:$AH$1530),AH515)</f>
        <v>21.27</v>
      </c>
      <c r="AJ515" t="s">
        <v>30</v>
      </c>
      <c r="AK515" t="str">
        <f>PROPER(Table1[[#This Row],[CVD Risk Level]])</f>
        <v>High</v>
      </c>
    </row>
    <row r="516" spans="1:37" x14ac:dyDescent="0.3">
      <c r="A516" t="s">
        <v>31</v>
      </c>
      <c r="B516">
        <v>34</v>
      </c>
      <c r="C516" s="8">
        <f t="shared" si="115"/>
        <v>34</v>
      </c>
      <c r="D516" s="5">
        <v>94.4</v>
      </c>
      <c r="E516" s="8">
        <f t="shared" si="116"/>
        <v>94.4</v>
      </c>
      <c r="F516">
        <v>1.62</v>
      </c>
      <c r="G516" s="3">
        <f t="shared" si="117"/>
        <v>1.62</v>
      </c>
      <c r="H516">
        <v>36</v>
      </c>
      <c r="I516" s="5">
        <f t="shared" si="113"/>
        <v>36</v>
      </c>
      <c r="J516" s="16" t="str">
        <f t="shared" si="118"/>
        <v>Obese</v>
      </c>
      <c r="K516">
        <v>91</v>
      </c>
      <c r="L516">
        <v>0.56200000000000006</v>
      </c>
      <c r="M516" s="11">
        <f t="shared" si="114"/>
        <v>0.56200000000000006</v>
      </c>
      <c r="N516" s="5">
        <f t="shared" si="119"/>
        <v>91</v>
      </c>
      <c r="O516">
        <v>207</v>
      </c>
      <c r="P516">
        <v>63</v>
      </c>
      <c r="Q516" s="8">
        <f t="shared" si="120"/>
        <v>63</v>
      </c>
      <c r="R516" s="8">
        <v>114</v>
      </c>
      <c r="S516" s="8">
        <f t="shared" si="121"/>
        <v>114</v>
      </c>
      <c r="T516" s="8">
        <f>(Table1[[#This Row],[Total Cholesterol (mg/dL)]]+Table1[[#This Row],[HDL (mg/dL)2]]+Table1[[#This Row],[Estimated LDL (mg/dL)2]])*5</f>
        <v>1920</v>
      </c>
      <c r="U516" s="8">
        <f>IF(O516="",Table1[[#This Row],[Estimated LDL (mg/dL)2]]+Table1[[#This Row],[HDL (mg/dL)2]]+(Table1[[#This Row],[Triglycerides]]/5),O516)</f>
        <v>207</v>
      </c>
      <c r="V516">
        <v>93</v>
      </c>
      <c r="W516" s="8">
        <f t="shared" si="122"/>
        <v>93</v>
      </c>
      <c r="X516" t="str">
        <f t="shared" si="123"/>
        <v>Normal</v>
      </c>
      <c r="Y516" t="s">
        <v>22</v>
      </c>
      <c r="Z516" t="s">
        <v>22</v>
      </c>
      <c r="AA516" t="s">
        <v>28</v>
      </c>
      <c r="AB516" s="3" t="s">
        <v>492</v>
      </c>
      <c r="AC516">
        <v>100</v>
      </c>
      <c r="AD516" s="3" t="str">
        <f t="shared" si="124"/>
        <v>100</v>
      </c>
      <c r="AE516">
        <v>63</v>
      </c>
      <c r="AF516" s="3" t="str">
        <f t="shared" si="125"/>
        <v>63</v>
      </c>
      <c r="AG516" t="s">
        <v>33</v>
      </c>
      <c r="AH516" s="3">
        <v>16.34</v>
      </c>
      <c r="AI516" s="3">
        <f t="shared" si="126"/>
        <v>16.34</v>
      </c>
      <c r="AJ516" t="s">
        <v>26</v>
      </c>
      <c r="AK516" t="str">
        <f>PROPER(Table1[[#This Row],[CVD Risk Level]])</f>
        <v>Intermediary</v>
      </c>
    </row>
    <row r="517" spans="1:37" x14ac:dyDescent="0.3">
      <c r="A517" t="s">
        <v>20</v>
      </c>
      <c r="B517">
        <v>48</v>
      </c>
      <c r="C517" s="8">
        <f t="shared" si="115"/>
        <v>48</v>
      </c>
      <c r="D517" s="5">
        <v>66.3</v>
      </c>
      <c r="E517" s="8">
        <f t="shared" si="116"/>
        <v>66.3</v>
      </c>
      <c r="F517">
        <v>1.72</v>
      </c>
      <c r="G517" s="3">
        <f t="shared" si="117"/>
        <v>1.72</v>
      </c>
      <c r="H517">
        <v>22.4</v>
      </c>
      <c r="I517" s="5">
        <f t="shared" si="113"/>
        <v>22.4</v>
      </c>
      <c r="J517" s="16" t="str">
        <f t="shared" si="118"/>
        <v>Normal</v>
      </c>
      <c r="K517">
        <v>87</v>
      </c>
      <c r="L517">
        <v>0.50600000000000001</v>
      </c>
      <c r="M517" s="11">
        <f t="shared" si="114"/>
        <v>0.50600000000000001</v>
      </c>
      <c r="N517" s="5">
        <f t="shared" si="119"/>
        <v>87</v>
      </c>
      <c r="O517">
        <v>255</v>
      </c>
      <c r="P517">
        <v>42</v>
      </c>
      <c r="Q517" s="8">
        <f t="shared" si="120"/>
        <v>42</v>
      </c>
      <c r="R517" s="8">
        <v>183</v>
      </c>
      <c r="S517" s="8">
        <f t="shared" si="121"/>
        <v>183</v>
      </c>
      <c r="T517" s="8">
        <f>(Table1[[#This Row],[Total Cholesterol (mg/dL)]]+Table1[[#This Row],[HDL (mg/dL)2]]+Table1[[#This Row],[Estimated LDL (mg/dL)2]])*5</f>
        <v>2400</v>
      </c>
      <c r="U517" s="8">
        <f>IF(O517="",Table1[[#This Row],[Estimated LDL (mg/dL)2]]+Table1[[#This Row],[HDL (mg/dL)2]]+(Table1[[#This Row],[Triglycerides]]/5),O517)</f>
        <v>255</v>
      </c>
      <c r="V517">
        <v>80</v>
      </c>
      <c r="W517" s="8">
        <f t="shared" si="122"/>
        <v>80</v>
      </c>
      <c r="X517" t="str">
        <f t="shared" si="123"/>
        <v>Normal</v>
      </c>
      <c r="Y517" t="s">
        <v>23</v>
      </c>
      <c r="Z517" t="s">
        <v>23</v>
      </c>
      <c r="AA517" t="s">
        <v>28</v>
      </c>
      <c r="AB517" s="3" t="s">
        <v>493</v>
      </c>
      <c r="AC517">
        <v>94</v>
      </c>
      <c r="AD517" s="3" t="str">
        <f t="shared" si="124"/>
        <v>94</v>
      </c>
      <c r="AE517">
        <v>86</v>
      </c>
      <c r="AF517" s="3" t="str">
        <f t="shared" si="125"/>
        <v>86</v>
      </c>
      <c r="AG517" t="s">
        <v>29</v>
      </c>
      <c r="AH517" s="3">
        <v>16.28</v>
      </c>
      <c r="AI517" s="3">
        <f t="shared" si="126"/>
        <v>16.28</v>
      </c>
      <c r="AJ517" t="s">
        <v>30</v>
      </c>
      <c r="AK517" t="str">
        <f>PROPER(Table1[[#This Row],[CVD Risk Level]])</f>
        <v>High</v>
      </c>
    </row>
    <row r="518" spans="1:37" x14ac:dyDescent="0.3">
      <c r="A518" t="s">
        <v>20</v>
      </c>
      <c r="B518">
        <v>33</v>
      </c>
      <c r="C518" s="8">
        <f t="shared" si="115"/>
        <v>33</v>
      </c>
      <c r="D518" s="5">
        <v>66.400000000000006</v>
      </c>
      <c r="E518" s="8">
        <f t="shared" si="116"/>
        <v>66.400000000000006</v>
      </c>
      <c r="F518">
        <v>1.7</v>
      </c>
      <c r="G518" s="3">
        <f t="shared" si="117"/>
        <v>1.7</v>
      </c>
      <c r="H518">
        <v>23</v>
      </c>
      <c r="I518" s="5">
        <f t="shared" si="113"/>
        <v>23</v>
      </c>
      <c r="J518" s="16" t="str">
        <f t="shared" si="118"/>
        <v>Normal</v>
      </c>
      <c r="K518">
        <v>84.7</v>
      </c>
      <c r="L518">
        <v>0.498</v>
      </c>
      <c r="M518" s="11">
        <f t="shared" si="114"/>
        <v>0.498</v>
      </c>
      <c r="N518" s="5">
        <f t="shared" si="119"/>
        <v>84.7</v>
      </c>
      <c r="O518">
        <v>204</v>
      </c>
      <c r="P518">
        <v>71</v>
      </c>
      <c r="Q518" s="8">
        <f t="shared" si="120"/>
        <v>71</v>
      </c>
      <c r="R518" s="8">
        <v>103</v>
      </c>
      <c r="S518" s="8">
        <f>IF(R518&lt;=0,MEDIAN($R$2:$R$1530),R518)</f>
        <v>103</v>
      </c>
      <c r="T518" s="8">
        <f>(Table1[[#This Row],[Total Cholesterol (mg/dL)]]+Table1[[#This Row],[HDL (mg/dL)2]]+Table1[[#This Row],[Estimated LDL (mg/dL)2]])*5</f>
        <v>1890</v>
      </c>
      <c r="U518" s="8">
        <f>IF(O518="",Table1[[#This Row],[Estimated LDL (mg/dL)2]]+Table1[[#This Row],[HDL (mg/dL)2]]+(Table1[[#This Row],[Triglycerides]]/5),O518)</f>
        <v>204</v>
      </c>
      <c r="V518">
        <v>150</v>
      </c>
      <c r="W518" s="8">
        <f t="shared" si="122"/>
        <v>150</v>
      </c>
      <c r="X518" t="str">
        <f t="shared" si="123"/>
        <v>Diabetes</v>
      </c>
      <c r="Y518" t="s">
        <v>22</v>
      </c>
      <c r="Z518" t="s">
        <v>22</v>
      </c>
      <c r="AA518" t="s">
        <v>24</v>
      </c>
      <c r="AB518" s="3" t="s">
        <v>494</v>
      </c>
      <c r="AC518">
        <v>102</v>
      </c>
      <c r="AD518" s="3" t="str">
        <f t="shared" si="124"/>
        <v>102</v>
      </c>
      <c r="AE518">
        <v>62</v>
      </c>
      <c r="AF518" s="3" t="str">
        <f t="shared" si="125"/>
        <v>62</v>
      </c>
      <c r="AG518" t="s">
        <v>33</v>
      </c>
      <c r="AH518" s="3">
        <v>13.78</v>
      </c>
      <c r="AI518" s="3">
        <f t="shared" si="126"/>
        <v>13.78</v>
      </c>
      <c r="AJ518" t="s">
        <v>26</v>
      </c>
      <c r="AK518" t="str">
        <f>PROPER(Table1[[#This Row],[CVD Risk Level]])</f>
        <v>Intermediary</v>
      </c>
    </row>
    <row r="519" spans="1:37" x14ac:dyDescent="0.3">
      <c r="A519" t="s">
        <v>20</v>
      </c>
      <c r="B519">
        <v>46</v>
      </c>
      <c r="C519" s="8">
        <f t="shared" si="115"/>
        <v>46</v>
      </c>
      <c r="D519" s="5">
        <v>91</v>
      </c>
      <c r="E519" s="8">
        <f t="shared" si="116"/>
        <v>91</v>
      </c>
      <c r="F519">
        <v>1.84</v>
      </c>
      <c r="G519" s="3">
        <f t="shared" si="117"/>
        <v>1.84</v>
      </c>
      <c r="H519">
        <v>26.9</v>
      </c>
      <c r="I519" s="5">
        <f t="shared" si="113"/>
        <v>26.9</v>
      </c>
      <c r="J519" s="16" t="str">
        <f t="shared" si="118"/>
        <v>Overweight</v>
      </c>
      <c r="K519">
        <v>99.6</v>
      </c>
      <c r="L519">
        <v>0.54100000000000004</v>
      </c>
      <c r="M519" s="11">
        <f t="shared" si="114"/>
        <v>0.54100000000000004</v>
      </c>
      <c r="N519" s="5">
        <f t="shared" si="119"/>
        <v>99.6</v>
      </c>
      <c r="O519">
        <v>185</v>
      </c>
      <c r="P519">
        <v>74</v>
      </c>
      <c r="Q519" s="8">
        <f t="shared" si="120"/>
        <v>74</v>
      </c>
      <c r="R519" s="8">
        <v>81</v>
      </c>
      <c r="S519" s="8">
        <f t="shared" si="121"/>
        <v>81</v>
      </c>
      <c r="T519" s="8">
        <f>(Table1[[#This Row],[Total Cholesterol (mg/dL)]]+Table1[[#This Row],[HDL (mg/dL)2]]+Table1[[#This Row],[Estimated LDL (mg/dL)2]])*5</f>
        <v>1700</v>
      </c>
      <c r="U519" s="8">
        <f>IF(O519="",Table1[[#This Row],[Estimated LDL (mg/dL)2]]+Table1[[#This Row],[HDL (mg/dL)2]]+(Table1[[#This Row],[Triglycerides]]/5),O519)</f>
        <v>185</v>
      </c>
      <c r="V519">
        <v>123</v>
      </c>
      <c r="W519" s="8">
        <f t="shared" si="122"/>
        <v>123</v>
      </c>
      <c r="X519" t="str">
        <f t="shared" si="123"/>
        <v>Prediabetes</v>
      </c>
      <c r="Y519" t="s">
        <v>22</v>
      </c>
      <c r="Z519" t="s">
        <v>23</v>
      </c>
      <c r="AA519" t="s">
        <v>24</v>
      </c>
      <c r="AB519" s="3" t="s">
        <v>495</v>
      </c>
      <c r="AC519">
        <v>135</v>
      </c>
      <c r="AD519" s="3" t="str">
        <f t="shared" si="124"/>
        <v>135</v>
      </c>
      <c r="AE519">
        <v>76</v>
      </c>
      <c r="AF519" s="3" t="str">
        <f t="shared" si="125"/>
        <v>76</v>
      </c>
      <c r="AG519" t="s">
        <v>29</v>
      </c>
      <c r="AH519" s="3">
        <v>17.829999999999998</v>
      </c>
      <c r="AI519" s="3">
        <f t="shared" si="126"/>
        <v>17.829999999999998</v>
      </c>
      <c r="AJ519" t="s">
        <v>30</v>
      </c>
      <c r="AK519" t="str">
        <f>PROPER(Table1[[#This Row],[CVD Risk Level]])</f>
        <v>High</v>
      </c>
    </row>
    <row r="520" spans="1:37" x14ac:dyDescent="0.3">
      <c r="A520" t="s">
        <v>31</v>
      </c>
      <c r="B520">
        <v>60</v>
      </c>
      <c r="C520" s="8">
        <f t="shared" si="115"/>
        <v>60</v>
      </c>
      <c r="D520" s="5">
        <v>113.4</v>
      </c>
      <c r="E520" s="8">
        <f t="shared" si="116"/>
        <v>113.4</v>
      </c>
      <c r="F520">
        <v>1.79</v>
      </c>
      <c r="G520" s="3">
        <f t="shared" si="117"/>
        <v>1.79</v>
      </c>
      <c r="H520">
        <v>35.4</v>
      </c>
      <c r="I520" s="5">
        <f t="shared" si="113"/>
        <v>35.4</v>
      </c>
      <c r="J520" s="16" t="str">
        <f t="shared" si="118"/>
        <v>Obese</v>
      </c>
      <c r="K520">
        <v>72.900000000000006</v>
      </c>
      <c r="L520">
        <v>0.40699999999999997</v>
      </c>
      <c r="M520" s="11">
        <f t="shared" si="114"/>
        <v>0.40699999999999997</v>
      </c>
      <c r="N520" s="5">
        <f t="shared" si="119"/>
        <v>72.900000000000006</v>
      </c>
      <c r="O520">
        <v>230</v>
      </c>
      <c r="P520">
        <v>42</v>
      </c>
      <c r="Q520" s="8">
        <f t="shared" si="120"/>
        <v>42</v>
      </c>
      <c r="R520" s="8">
        <v>158</v>
      </c>
      <c r="S520" s="8">
        <f t="shared" si="121"/>
        <v>158</v>
      </c>
      <c r="T520" s="8">
        <f>(Table1[[#This Row],[Total Cholesterol (mg/dL)]]+Table1[[#This Row],[HDL (mg/dL)2]]+Table1[[#This Row],[Estimated LDL (mg/dL)2]])*5</f>
        <v>2150</v>
      </c>
      <c r="U520" s="8">
        <f>IF(O520="",Table1[[#This Row],[Estimated LDL (mg/dL)2]]+Table1[[#This Row],[HDL (mg/dL)2]]+(Table1[[#This Row],[Triglycerides]]/5),O520)</f>
        <v>230</v>
      </c>
      <c r="V520">
        <v>145</v>
      </c>
      <c r="W520" s="8">
        <f t="shared" si="122"/>
        <v>145</v>
      </c>
      <c r="X520" t="str">
        <f t="shared" si="123"/>
        <v>Diabetes</v>
      </c>
      <c r="Y520" t="s">
        <v>23</v>
      </c>
      <c r="Z520" t="s">
        <v>22</v>
      </c>
      <c r="AA520" t="s">
        <v>37</v>
      </c>
      <c r="AB520" s="3" t="s">
        <v>132</v>
      </c>
      <c r="AC520">
        <v>103</v>
      </c>
      <c r="AD520" s="3" t="str">
        <f t="shared" si="124"/>
        <v>103</v>
      </c>
      <c r="AF520" s="3" t="str">
        <f t="shared" si="125"/>
        <v>96</v>
      </c>
      <c r="AG520" t="s">
        <v>38</v>
      </c>
      <c r="AH520" s="3">
        <v>16.829999999999998</v>
      </c>
      <c r="AI520" s="3">
        <f t="shared" si="126"/>
        <v>16.829999999999998</v>
      </c>
      <c r="AJ520" t="s">
        <v>30</v>
      </c>
      <c r="AK520" t="str">
        <f>PROPER(Table1[[#This Row],[CVD Risk Level]])</f>
        <v>High</v>
      </c>
    </row>
    <row r="521" spans="1:37" x14ac:dyDescent="0.3">
      <c r="A521" t="s">
        <v>20</v>
      </c>
      <c r="B521">
        <v>54</v>
      </c>
      <c r="C521" s="8">
        <f t="shared" si="115"/>
        <v>54</v>
      </c>
      <c r="D521" s="5">
        <v>87.4</v>
      </c>
      <c r="E521" s="8">
        <f t="shared" si="116"/>
        <v>87.4</v>
      </c>
      <c r="F521">
        <v>1.85</v>
      </c>
      <c r="G521" s="3">
        <f t="shared" si="117"/>
        <v>1.85</v>
      </c>
      <c r="H521">
        <v>25.5</v>
      </c>
      <c r="I521" s="5">
        <f t="shared" si="113"/>
        <v>25.5</v>
      </c>
      <c r="J521" s="16" t="str">
        <f t="shared" si="118"/>
        <v>Overweight</v>
      </c>
      <c r="K521">
        <v>107.2</v>
      </c>
      <c r="L521">
        <v>0.57899999999999996</v>
      </c>
      <c r="M521" s="11">
        <f t="shared" si="114"/>
        <v>0.57899999999999996</v>
      </c>
      <c r="N521" s="5">
        <f t="shared" si="119"/>
        <v>107.2</v>
      </c>
      <c r="O521">
        <v>113</v>
      </c>
      <c r="P521">
        <v>32</v>
      </c>
      <c r="Q521" s="8">
        <f t="shared" si="120"/>
        <v>32</v>
      </c>
      <c r="R521" s="8">
        <v>51</v>
      </c>
      <c r="S521" s="8">
        <f t="shared" si="121"/>
        <v>51</v>
      </c>
      <c r="T521" s="8">
        <f>(Table1[[#This Row],[Total Cholesterol (mg/dL)]]+Table1[[#This Row],[HDL (mg/dL)2]]+Table1[[#This Row],[Estimated LDL (mg/dL)2]])*5</f>
        <v>980</v>
      </c>
      <c r="U521" s="8">
        <f>IF(O521="",Table1[[#This Row],[Estimated LDL (mg/dL)2]]+Table1[[#This Row],[HDL (mg/dL)2]]+(Table1[[#This Row],[Triglycerides]]/5),O521)</f>
        <v>113</v>
      </c>
      <c r="V521">
        <v>92</v>
      </c>
      <c r="W521" s="8">
        <f t="shared" si="122"/>
        <v>92</v>
      </c>
      <c r="X521" t="str">
        <f t="shared" si="123"/>
        <v>Normal</v>
      </c>
      <c r="Y521" t="s">
        <v>22</v>
      </c>
      <c r="Z521" t="s">
        <v>22</v>
      </c>
      <c r="AA521" t="s">
        <v>24</v>
      </c>
      <c r="AB521" s="3" t="s">
        <v>496</v>
      </c>
      <c r="AC521">
        <v>126</v>
      </c>
      <c r="AD521" s="3" t="str">
        <f t="shared" si="124"/>
        <v>126</v>
      </c>
      <c r="AE521">
        <v>76</v>
      </c>
      <c r="AF521" s="3" t="str">
        <f t="shared" si="125"/>
        <v>76</v>
      </c>
      <c r="AG521" t="s">
        <v>25</v>
      </c>
      <c r="AH521" s="3">
        <v>13.66</v>
      </c>
      <c r="AI521" s="3">
        <f t="shared" si="126"/>
        <v>13.66</v>
      </c>
      <c r="AJ521" t="s">
        <v>30</v>
      </c>
      <c r="AK521" t="str">
        <f>PROPER(Table1[[#This Row],[CVD Risk Level]])</f>
        <v>High</v>
      </c>
    </row>
    <row r="522" spans="1:37" x14ac:dyDescent="0.3">
      <c r="A522" t="s">
        <v>31</v>
      </c>
      <c r="B522">
        <v>34</v>
      </c>
      <c r="C522" s="8">
        <f t="shared" si="115"/>
        <v>34</v>
      </c>
      <c r="D522" s="5">
        <v>119.6</v>
      </c>
      <c r="E522" s="8">
        <f t="shared" si="116"/>
        <v>119.6</v>
      </c>
      <c r="F522">
        <v>1.75</v>
      </c>
      <c r="G522" s="3">
        <f t="shared" si="117"/>
        <v>1.75</v>
      </c>
      <c r="H522">
        <v>39.1</v>
      </c>
      <c r="I522" s="5">
        <f t="shared" si="113"/>
        <v>39.1</v>
      </c>
      <c r="J522" s="16" t="str">
        <f t="shared" si="118"/>
        <v>Obese</v>
      </c>
      <c r="K522">
        <v>105.6</v>
      </c>
      <c r="L522">
        <v>0.60299999999999998</v>
      </c>
      <c r="M522" s="11">
        <f t="shared" si="114"/>
        <v>0.60299999999999998</v>
      </c>
      <c r="N522" s="5">
        <f t="shared" si="119"/>
        <v>105.6</v>
      </c>
      <c r="O522">
        <v>234</v>
      </c>
      <c r="P522">
        <v>79</v>
      </c>
      <c r="Q522" s="8">
        <f t="shared" si="120"/>
        <v>79</v>
      </c>
      <c r="R522" s="8">
        <v>125</v>
      </c>
      <c r="S522" s="8">
        <f t="shared" si="121"/>
        <v>125</v>
      </c>
      <c r="T522" s="8">
        <f>(Table1[[#This Row],[Total Cholesterol (mg/dL)]]+Table1[[#This Row],[HDL (mg/dL)2]]+Table1[[#This Row],[Estimated LDL (mg/dL)2]])*5</f>
        <v>2190</v>
      </c>
      <c r="U522" s="8">
        <f>IF(O522="",Table1[[#This Row],[Estimated LDL (mg/dL)2]]+Table1[[#This Row],[HDL (mg/dL)2]]+(Table1[[#This Row],[Triglycerides]]/5),O522)</f>
        <v>234</v>
      </c>
      <c r="V522">
        <v>109</v>
      </c>
      <c r="W522" s="8">
        <f t="shared" si="122"/>
        <v>109</v>
      </c>
      <c r="X522" t="str">
        <f t="shared" si="123"/>
        <v>Prediabetes</v>
      </c>
      <c r="Y522" t="s">
        <v>22</v>
      </c>
      <c r="Z522" t="s">
        <v>23</v>
      </c>
      <c r="AA522" t="s">
        <v>37</v>
      </c>
      <c r="AB522" s="3" t="s">
        <v>497</v>
      </c>
      <c r="AC522">
        <v>90</v>
      </c>
      <c r="AD522" s="3" t="str">
        <f t="shared" si="124"/>
        <v>90</v>
      </c>
      <c r="AE522">
        <v>82</v>
      </c>
      <c r="AF522" s="3" t="str">
        <f t="shared" si="125"/>
        <v>82</v>
      </c>
      <c r="AG522" t="s">
        <v>29</v>
      </c>
      <c r="AH522" s="3">
        <v>19</v>
      </c>
      <c r="AI522" s="3">
        <f t="shared" si="126"/>
        <v>19</v>
      </c>
      <c r="AJ522" t="s">
        <v>30</v>
      </c>
      <c r="AK522" t="str">
        <f>PROPER(Table1[[#This Row],[CVD Risk Level]])</f>
        <v>High</v>
      </c>
    </row>
    <row r="523" spans="1:37" x14ac:dyDescent="0.3">
      <c r="A523" t="s">
        <v>20</v>
      </c>
      <c r="B523">
        <v>37</v>
      </c>
      <c r="C523" s="8">
        <f t="shared" si="115"/>
        <v>37</v>
      </c>
      <c r="D523" s="5">
        <v>95</v>
      </c>
      <c r="E523" s="8">
        <f t="shared" si="116"/>
        <v>95</v>
      </c>
      <c r="F523">
        <v>1.86</v>
      </c>
      <c r="G523" s="3">
        <f t="shared" si="117"/>
        <v>1.86</v>
      </c>
      <c r="H523">
        <v>27.5</v>
      </c>
      <c r="I523" s="5">
        <f t="shared" si="113"/>
        <v>27.5</v>
      </c>
      <c r="J523" s="16" t="str">
        <f t="shared" si="118"/>
        <v>Overweight</v>
      </c>
      <c r="K523">
        <v>104.4</v>
      </c>
      <c r="L523">
        <v>0.56100000000000005</v>
      </c>
      <c r="M523" s="11">
        <f t="shared" si="114"/>
        <v>0.56100000000000005</v>
      </c>
      <c r="N523" s="5">
        <f t="shared" si="119"/>
        <v>104.4</v>
      </c>
      <c r="O523">
        <v>181</v>
      </c>
      <c r="P523">
        <v>35</v>
      </c>
      <c r="Q523" s="8">
        <f t="shared" si="120"/>
        <v>35</v>
      </c>
      <c r="R523" s="8">
        <v>116</v>
      </c>
      <c r="S523" s="8">
        <f t="shared" si="121"/>
        <v>116</v>
      </c>
      <c r="T523" s="8">
        <f>(Table1[[#This Row],[Total Cholesterol (mg/dL)]]+Table1[[#This Row],[HDL (mg/dL)2]]+Table1[[#This Row],[Estimated LDL (mg/dL)2]])*5</f>
        <v>1660</v>
      </c>
      <c r="U523" s="8">
        <f>IF(O523="",Table1[[#This Row],[Estimated LDL (mg/dL)2]]+Table1[[#This Row],[HDL (mg/dL)2]]+(Table1[[#This Row],[Triglycerides]]/5),O523)</f>
        <v>181</v>
      </c>
      <c r="V523">
        <v>96</v>
      </c>
      <c r="W523" s="8">
        <f t="shared" si="122"/>
        <v>96</v>
      </c>
      <c r="X523" t="str">
        <f t="shared" si="123"/>
        <v>Normal</v>
      </c>
      <c r="Y523" t="s">
        <v>22</v>
      </c>
      <c r="Z523" t="s">
        <v>22</v>
      </c>
      <c r="AA523" t="s">
        <v>28</v>
      </c>
      <c r="AB523" s="3" t="s">
        <v>498</v>
      </c>
      <c r="AC523">
        <v>131</v>
      </c>
      <c r="AD523" s="3" t="str">
        <f t="shared" si="124"/>
        <v>131</v>
      </c>
      <c r="AE523">
        <v>80</v>
      </c>
      <c r="AF523" s="3" t="str">
        <f t="shared" si="125"/>
        <v>80</v>
      </c>
      <c r="AG523" t="s">
        <v>29</v>
      </c>
      <c r="AH523" s="3">
        <v>15.67</v>
      </c>
      <c r="AI523" s="3">
        <f t="shared" si="126"/>
        <v>15.67</v>
      </c>
      <c r="AJ523" t="s">
        <v>26</v>
      </c>
      <c r="AK523" t="str">
        <f>PROPER(Table1[[#This Row],[CVD Risk Level]])</f>
        <v>Intermediary</v>
      </c>
    </row>
    <row r="524" spans="1:37" x14ac:dyDescent="0.3">
      <c r="A524" t="s">
        <v>20</v>
      </c>
      <c r="B524">
        <v>54</v>
      </c>
      <c r="C524" s="8">
        <f t="shared" si="115"/>
        <v>54</v>
      </c>
      <c r="D524" s="5">
        <v>73.900000000000006</v>
      </c>
      <c r="E524" s="8">
        <f t="shared" si="116"/>
        <v>73.900000000000006</v>
      </c>
      <c r="F524">
        <v>1.82</v>
      </c>
      <c r="G524" s="3">
        <f t="shared" si="117"/>
        <v>1.82</v>
      </c>
      <c r="H524">
        <v>22.3</v>
      </c>
      <c r="I524" s="5">
        <f t="shared" si="113"/>
        <v>22.3</v>
      </c>
      <c r="J524" s="16" t="str">
        <f t="shared" si="118"/>
        <v>Normal</v>
      </c>
      <c r="K524">
        <v>72.7</v>
      </c>
      <c r="L524">
        <v>0.39900000000000002</v>
      </c>
      <c r="M524" s="11">
        <f t="shared" si="114"/>
        <v>0.39900000000000002</v>
      </c>
      <c r="N524" s="5">
        <f t="shared" si="119"/>
        <v>72.7</v>
      </c>
      <c r="O524">
        <v>247</v>
      </c>
      <c r="Q524" s="8">
        <f t="shared" si="120"/>
        <v>56.197377501725327</v>
      </c>
      <c r="R524" s="8">
        <v>140</v>
      </c>
      <c r="S524" s="8">
        <f>IF(R524&lt;=0,MEDIAN($R$2:$R$1530),R524)</f>
        <v>140</v>
      </c>
      <c r="T524" s="8">
        <f>(Table1[[#This Row],[Total Cholesterol (mg/dL)]]+Table1[[#This Row],[HDL (mg/dL)2]]+Table1[[#This Row],[Estimated LDL (mg/dL)2]])*5</f>
        <v>2215.9868875086268</v>
      </c>
      <c r="U524" s="8">
        <f>IF(O524="",Table1[[#This Row],[Estimated LDL (mg/dL)2]]+Table1[[#This Row],[HDL (mg/dL)2]]+(Table1[[#This Row],[Triglycerides]]/5),O524)</f>
        <v>247</v>
      </c>
      <c r="V524">
        <v>107</v>
      </c>
      <c r="W524" s="8">
        <f t="shared" si="122"/>
        <v>107</v>
      </c>
      <c r="X524" t="str">
        <f t="shared" si="123"/>
        <v>Prediabetes</v>
      </c>
      <c r="Y524" t="s">
        <v>23</v>
      </c>
      <c r="Z524" t="s">
        <v>23</v>
      </c>
      <c r="AA524" t="s">
        <v>24</v>
      </c>
      <c r="AB524" s="3" t="s">
        <v>89</v>
      </c>
      <c r="AC524">
        <v>94</v>
      </c>
      <c r="AD524" s="3" t="str">
        <f t="shared" si="124"/>
        <v>94</v>
      </c>
      <c r="AE524">
        <v>81</v>
      </c>
      <c r="AF524" s="3" t="str">
        <f t="shared" si="125"/>
        <v>81</v>
      </c>
      <c r="AG524" t="s">
        <v>29</v>
      </c>
      <c r="AH524" s="3">
        <v>16.100000000000001</v>
      </c>
      <c r="AI524" s="3">
        <f t="shared" si="126"/>
        <v>16.100000000000001</v>
      </c>
      <c r="AJ524" t="s">
        <v>30</v>
      </c>
      <c r="AK524" t="str">
        <f>PROPER(Table1[[#This Row],[CVD Risk Level]])</f>
        <v>High</v>
      </c>
    </row>
    <row r="525" spans="1:37" x14ac:dyDescent="0.3">
      <c r="A525" t="s">
        <v>20</v>
      </c>
      <c r="C525" s="8">
        <f t="shared" si="115"/>
        <v>47.025499655410059</v>
      </c>
      <c r="D525" s="5">
        <v>100.6</v>
      </c>
      <c r="E525" s="8">
        <f t="shared" si="116"/>
        <v>100.6</v>
      </c>
      <c r="F525">
        <v>1.6</v>
      </c>
      <c r="G525" s="3">
        <f t="shared" si="117"/>
        <v>1.6</v>
      </c>
      <c r="H525">
        <v>39.299999999999997</v>
      </c>
      <c r="I525" s="5">
        <f t="shared" si="113"/>
        <v>39.299999999999997</v>
      </c>
      <c r="J525" s="16" t="str">
        <f t="shared" si="118"/>
        <v>Obese</v>
      </c>
      <c r="L525">
        <v>0.54500000000000004</v>
      </c>
      <c r="M525" s="11">
        <f t="shared" si="114"/>
        <v>0.54500000000000004</v>
      </c>
      <c r="N525" s="5">
        <f t="shared" si="119"/>
        <v>87.2</v>
      </c>
      <c r="O525">
        <v>298</v>
      </c>
      <c r="P525">
        <v>60</v>
      </c>
      <c r="Q525" s="8">
        <f t="shared" si="120"/>
        <v>60</v>
      </c>
      <c r="R525" s="8">
        <v>208</v>
      </c>
      <c r="S525" s="8">
        <f t="shared" si="121"/>
        <v>208</v>
      </c>
      <c r="T525" s="8">
        <f>(Table1[[#This Row],[Total Cholesterol (mg/dL)]]+Table1[[#This Row],[HDL (mg/dL)2]]+Table1[[#This Row],[Estimated LDL (mg/dL)2]])*5</f>
        <v>2830</v>
      </c>
      <c r="U525" s="8">
        <f>IF(O525="",Table1[[#This Row],[Estimated LDL (mg/dL)2]]+Table1[[#This Row],[HDL (mg/dL)2]]+(Table1[[#This Row],[Triglycerides]]/5),O525)</f>
        <v>298</v>
      </c>
      <c r="V525">
        <v>76</v>
      </c>
      <c r="W525" s="8">
        <f t="shared" si="122"/>
        <v>76</v>
      </c>
      <c r="X525" t="str">
        <f t="shared" si="123"/>
        <v>Normal</v>
      </c>
      <c r="Y525" t="s">
        <v>23</v>
      </c>
      <c r="Z525" t="s">
        <v>22</v>
      </c>
      <c r="AA525" t="s">
        <v>37</v>
      </c>
      <c r="AB525" s="3" t="s">
        <v>499</v>
      </c>
      <c r="AC525">
        <v>91</v>
      </c>
      <c r="AD525" s="3" t="str">
        <f t="shared" si="124"/>
        <v>91</v>
      </c>
      <c r="AE525">
        <v>66</v>
      </c>
      <c r="AF525" s="3" t="str">
        <f t="shared" si="125"/>
        <v>66</v>
      </c>
      <c r="AG525" t="s">
        <v>33</v>
      </c>
      <c r="AH525" s="3">
        <v>18.37</v>
      </c>
      <c r="AI525" s="3">
        <f t="shared" si="126"/>
        <v>18.37</v>
      </c>
      <c r="AJ525" t="s">
        <v>30</v>
      </c>
      <c r="AK525" t="str">
        <f>PROPER(Table1[[#This Row],[CVD Risk Level]])</f>
        <v>High</v>
      </c>
    </row>
    <row r="526" spans="1:37" x14ac:dyDescent="0.3">
      <c r="A526" t="s">
        <v>20</v>
      </c>
      <c r="B526">
        <v>49</v>
      </c>
      <c r="C526" s="8">
        <f t="shared" si="115"/>
        <v>49</v>
      </c>
      <c r="D526" s="5">
        <v>95.7</v>
      </c>
      <c r="E526" s="8">
        <f t="shared" si="116"/>
        <v>95.7</v>
      </c>
      <c r="F526">
        <v>1.65</v>
      </c>
      <c r="G526" s="3">
        <f t="shared" si="117"/>
        <v>1.65</v>
      </c>
      <c r="H526">
        <v>35.200000000000003</v>
      </c>
      <c r="I526" s="5">
        <f t="shared" si="113"/>
        <v>35.200000000000003</v>
      </c>
      <c r="J526" s="16" t="str">
        <f t="shared" si="118"/>
        <v>Obese</v>
      </c>
      <c r="K526">
        <v>84.9</v>
      </c>
      <c r="L526">
        <v>0.51500000000000001</v>
      </c>
      <c r="M526" s="11">
        <f t="shared" si="114"/>
        <v>0.51500000000000001</v>
      </c>
      <c r="N526" s="5">
        <f t="shared" si="119"/>
        <v>84.9</v>
      </c>
      <c r="O526">
        <v>291</v>
      </c>
      <c r="P526">
        <v>34</v>
      </c>
      <c r="Q526" s="8">
        <f t="shared" si="120"/>
        <v>34</v>
      </c>
      <c r="R526" s="8">
        <v>227</v>
      </c>
      <c r="S526" s="8">
        <f t="shared" si="121"/>
        <v>227</v>
      </c>
      <c r="T526" s="8">
        <f>(Table1[[#This Row],[Total Cholesterol (mg/dL)]]+Table1[[#This Row],[HDL (mg/dL)2]]+Table1[[#This Row],[Estimated LDL (mg/dL)2]])*5</f>
        <v>2760</v>
      </c>
      <c r="U526" s="8">
        <f>IF(O526="",Table1[[#This Row],[Estimated LDL (mg/dL)2]]+Table1[[#This Row],[HDL (mg/dL)2]]+(Table1[[#This Row],[Triglycerides]]/5),O526)</f>
        <v>291</v>
      </c>
      <c r="V526">
        <v>111</v>
      </c>
      <c r="W526" s="8">
        <f t="shared" si="122"/>
        <v>111</v>
      </c>
      <c r="X526" t="str">
        <f t="shared" si="123"/>
        <v>Prediabetes</v>
      </c>
      <c r="Y526" t="s">
        <v>23</v>
      </c>
      <c r="Z526" t="s">
        <v>23</v>
      </c>
      <c r="AA526" t="s">
        <v>24</v>
      </c>
      <c r="AB526" s="3" t="s">
        <v>500</v>
      </c>
      <c r="AC526">
        <v>104</v>
      </c>
      <c r="AD526" s="3" t="str">
        <f t="shared" si="124"/>
        <v>104</v>
      </c>
      <c r="AE526">
        <v>93</v>
      </c>
      <c r="AF526" s="3" t="str">
        <f t="shared" si="125"/>
        <v>93</v>
      </c>
      <c r="AG526" t="s">
        <v>38</v>
      </c>
      <c r="AH526" s="3">
        <v>20.059999999999999</v>
      </c>
      <c r="AI526" s="3">
        <f t="shared" si="126"/>
        <v>20.059999999999999</v>
      </c>
      <c r="AJ526" t="s">
        <v>30</v>
      </c>
      <c r="AK526" t="str">
        <f>PROPER(Table1[[#This Row],[CVD Risk Level]])</f>
        <v>High</v>
      </c>
    </row>
    <row r="527" spans="1:37" x14ac:dyDescent="0.3">
      <c r="A527" t="s">
        <v>31</v>
      </c>
      <c r="B527">
        <v>32</v>
      </c>
      <c r="C527" s="8">
        <f t="shared" si="115"/>
        <v>32</v>
      </c>
      <c r="D527" s="5">
        <v>108</v>
      </c>
      <c r="E527" s="8">
        <f t="shared" si="116"/>
        <v>108</v>
      </c>
      <c r="F527">
        <v>1.79</v>
      </c>
      <c r="G527" s="3">
        <f t="shared" si="117"/>
        <v>1.79</v>
      </c>
      <c r="H527">
        <v>33.700000000000003</v>
      </c>
      <c r="I527" s="5">
        <f t="shared" si="113"/>
        <v>33.700000000000003</v>
      </c>
      <c r="J527" s="16" t="str">
        <f t="shared" si="118"/>
        <v>Obese</v>
      </c>
      <c r="K527">
        <v>74.099999999999994</v>
      </c>
      <c r="L527">
        <v>0.41399999999999998</v>
      </c>
      <c r="M527" s="11">
        <f t="shared" si="114"/>
        <v>0.41399999999999998</v>
      </c>
      <c r="N527" s="5">
        <f t="shared" si="119"/>
        <v>74.099999999999994</v>
      </c>
      <c r="O527">
        <v>174</v>
      </c>
      <c r="P527">
        <v>55</v>
      </c>
      <c r="Q527" s="8">
        <f t="shared" si="120"/>
        <v>55</v>
      </c>
      <c r="R527" s="8">
        <v>89</v>
      </c>
      <c r="S527" s="8">
        <f t="shared" si="121"/>
        <v>89</v>
      </c>
      <c r="T527" s="8">
        <f>(Table1[[#This Row],[Total Cholesterol (mg/dL)]]+Table1[[#This Row],[HDL (mg/dL)2]]+Table1[[#This Row],[Estimated LDL (mg/dL)2]])*5</f>
        <v>1590</v>
      </c>
      <c r="U527" s="8">
        <f>IF(O527="",Table1[[#This Row],[Estimated LDL (mg/dL)2]]+Table1[[#This Row],[HDL (mg/dL)2]]+(Table1[[#This Row],[Triglycerides]]/5),O527)</f>
        <v>174</v>
      </c>
      <c r="V527">
        <v>139</v>
      </c>
      <c r="W527" s="8">
        <f t="shared" si="122"/>
        <v>139</v>
      </c>
      <c r="X527" t="str">
        <f t="shared" si="123"/>
        <v>Diabetes</v>
      </c>
      <c r="Y527" t="s">
        <v>22</v>
      </c>
      <c r="Z527" t="s">
        <v>22</v>
      </c>
      <c r="AA527" t="s">
        <v>28</v>
      </c>
      <c r="AB527" s="3" t="s">
        <v>501</v>
      </c>
      <c r="AC527">
        <v>148</v>
      </c>
      <c r="AD527" s="3" t="str">
        <f t="shared" si="124"/>
        <v>148</v>
      </c>
      <c r="AF527" s="3" t="str">
        <f t="shared" si="125"/>
        <v>87</v>
      </c>
      <c r="AG527" t="s">
        <v>29</v>
      </c>
      <c r="AH527" s="3">
        <v>17.62</v>
      </c>
      <c r="AI527" s="3">
        <f t="shared" si="126"/>
        <v>17.62</v>
      </c>
      <c r="AJ527" t="s">
        <v>26</v>
      </c>
      <c r="AK527" t="str">
        <f>PROPER(Table1[[#This Row],[CVD Risk Level]])</f>
        <v>Intermediary</v>
      </c>
    </row>
    <row r="528" spans="1:37" x14ac:dyDescent="0.3">
      <c r="A528" t="s">
        <v>31</v>
      </c>
      <c r="B528">
        <v>58</v>
      </c>
      <c r="C528" s="8">
        <f t="shared" si="115"/>
        <v>58</v>
      </c>
      <c r="D528" s="5">
        <v>85.5</v>
      </c>
      <c r="E528" s="8">
        <f t="shared" si="116"/>
        <v>85.5</v>
      </c>
      <c r="F528">
        <v>1.83</v>
      </c>
      <c r="G528" s="3">
        <f t="shared" si="117"/>
        <v>1.83</v>
      </c>
      <c r="H528">
        <v>25.5</v>
      </c>
      <c r="I528" s="5">
        <f t="shared" si="113"/>
        <v>25.5</v>
      </c>
      <c r="J528" s="16" t="str">
        <f t="shared" si="118"/>
        <v>Overweight</v>
      </c>
      <c r="K528">
        <v>102.1</v>
      </c>
      <c r="L528">
        <v>0.55800000000000005</v>
      </c>
      <c r="M528" s="11">
        <f t="shared" si="114"/>
        <v>0.55800000000000005</v>
      </c>
      <c r="N528" s="5">
        <f t="shared" si="119"/>
        <v>102.1</v>
      </c>
      <c r="O528">
        <v>111</v>
      </c>
      <c r="Q528" s="8">
        <f t="shared" si="120"/>
        <v>56.197377501725327</v>
      </c>
      <c r="R528" s="8">
        <v>48</v>
      </c>
      <c r="S528" s="8">
        <f>IF(R528&lt;=0,MEDIAN($R$2:$R$1530),R528)</f>
        <v>48</v>
      </c>
      <c r="T528" s="8">
        <f>(Table1[[#This Row],[Total Cholesterol (mg/dL)]]+Table1[[#This Row],[HDL (mg/dL)2]]+Table1[[#This Row],[Estimated LDL (mg/dL)2]])*5</f>
        <v>1075.9868875086268</v>
      </c>
      <c r="U528" s="8">
        <f>IF(O528="",Table1[[#This Row],[Estimated LDL (mg/dL)2]]+Table1[[#This Row],[HDL (mg/dL)2]]+(Table1[[#This Row],[Triglycerides]]/5),O528)</f>
        <v>111</v>
      </c>
      <c r="V528">
        <v>124</v>
      </c>
      <c r="W528" s="8">
        <f t="shared" si="122"/>
        <v>124</v>
      </c>
      <c r="X528" t="str">
        <f t="shared" si="123"/>
        <v>Prediabetes</v>
      </c>
      <c r="Y528" t="s">
        <v>23</v>
      </c>
      <c r="Z528" t="s">
        <v>23</v>
      </c>
      <c r="AA528" t="s">
        <v>24</v>
      </c>
      <c r="AB528" s="3" t="s">
        <v>178</v>
      </c>
      <c r="AC528">
        <v>98</v>
      </c>
      <c r="AD528" s="3" t="str">
        <f t="shared" si="124"/>
        <v>98</v>
      </c>
      <c r="AE528">
        <v>60</v>
      </c>
      <c r="AF528" s="3" t="str">
        <f t="shared" si="125"/>
        <v>60</v>
      </c>
      <c r="AG528" t="s">
        <v>33</v>
      </c>
      <c r="AH528" s="3">
        <v>14.22</v>
      </c>
      <c r="AI528" s="3">
        <f t="shared" si="126"/>
        <v>14.22</v>
      </c>
      <c r="AJ528" t="s">
        <v>30</v>
      </c>
      <c r="AK528" t="str">
        <f>PROPER(Table1[[#This Row],[CVD Risk Level]])</f>
        <v>High</v>
      </c>
    </row>
    <row r="529" spans="1:37" x14ac:dyDescent="0.3">
      <c r="A529" t="s">
        <v>31</v>
      </c>
      <c r="B529">
        <v>52</v>
      </c>
      <c r="C529" s="8">
        <f t="shared" si="115"/>
        <v>52</v>
      </c>
      <c r="D529" s="5">
        <v>83.6</v>
      </c>
      <c r="E529" s="8">
        <f t="shared" si="116"/>
        <v>83.6</v>
      </c>
      <c r="F529">
        <v>1.64</v>
      </c>
      <c r="G529" s="3">
        <f t="shared" si="117"/>
        <v>1.64</v>
      </c>
      <c r="H529">
        <v>31.1</v>
      </c>
      <c r="I529" s="5">
        <f t="shared" si="113"/>
        <v>31.1</v>
      </c>
      <c r="J529" s="16" t="str">
        <f t="shared" si="118"/>
        <v>Obese</v>
      </c>
      <c r="K529">
        <v>98.2</v>
      </c>
      <c r="L529">
        <v>0.59899999999999998</v>
      </c>
      <c r="M529" s="11">
        <f t="shared" si="114"/>
        <v>0.59899999999999998</v>
      </c>
      <c r="N529" s="5">
        <f t="shared" si="119"/>
        <v>98.2</v>
      </c>
      <c r="O529">
        <v>109</v>
      </c>
      <c r="P529">
        <v>78</v>
      </c>
      <c r="Q529" s="8">
        <f t="shared" si="120"/>
        <v>78</v>
      </c>
      <c r="R529" s="8">
        <v>1</v>
      </c>
      <c r="S529" s="8">
        <f t="shared" si="121"/>
        <v>1</v>
      </c>
      <c r="T529" s="8">
        <f>(Table1[[#This Row],[Total Cholesterol (mg/dL)]]+Table1[[#This Row],[HDL (mg/dL)2]]+Table1[[#This Row],[Estimated LDL (mg/dL)2]])*5</f>
        <v>940</v>
      </c>
      <c r="U529" s="8">
        <f>IF(O529="",Table1[[#This Row],[Estimated LDL (mg/dL)2]]+Table1[[#This Row],[HDL (mg/dL)2]]+(Table1[[#This Row],[Triglycerides]]/5),O529)</f>
        <v>109</v>
      </c>
      <c r="V529">
        <v>107</v>
      </c>
      <c r="W529" s="8">
        <f t="shared" si="122"/>
        <v>107</v>
      </c>
      <c r="X529" t="str">
        <f t="shared" si="123"/>
        <v>Prediabetes</v>
      </c>
      <c r="Y529" t="s">
        <v>22</v>
      </c>
      <c r="Z529" t="s">
        <v>22</v>
      </c>
      <c r="AA529" t="s">
        <v>37</v>
      </c>
      <c r="AB529" s="3" t="s">
        <v>502</v>
      </c>
      <c r="AC529">
        <v>120</v>
      </c>
      <c r="AD529" s="3" t="str">
        <f t="shared" si="124"/>
        <v>120</v>
      </c>
      <c r="AE529">
        <v>94</v>
      </c>
      <c r="AF529" s="3" t="str">
        <f t="shared" si="125"/>
        <v>94</v>
      </c>
      <c r="AG529" t="s">
        <v>38</v>
      </c>
      <c r="AH529" s="3">
        <v>14.4</v>
      </c>
      <c r="AI529" s="3">
        <f t="shared" si="126"/>
        <v>14.4</v>
      </c>
      <c r="AJ529" t="s">
        <v>26</v>
      </c>
      <c r="AK529" t="str">
        <f>PROPER(Table1[[#This Row],[CVD Risk Level]])</f>
        <v>Intermediary</v>
      </c>
    </row>
    <row r="530" spans="1:37" x14ac:dyDescent="0.3">
      <c r="A530" t="s">
        <v>20</v>
      </c>
      <c r="B530">
        <v>58</v>
      </c>
      <c r="C530" s="8">
        <f t="shared" si="115"/>
        <v>58</v>
      </c>
      <c r="D530" s="5">
        <v>110.1</v>
      </c>
      <c r="E530" s="8">
        <f t="shared" si="116"/>
        <v>110.1</v>
      </c>
      <c r="F530">
        <v>1.63</v>
      </c>
      <c r="G530" s="3">
        <f t="shared" si="117"/>
        <v>1.63</v>
      </c>
      <c r="H530">
        <v>41.4</v>
      </c>
      <c r="I530" s="5">
        <f t="shared" si="113"/>
        <v>41.4</v>
      </c>
      <c r="J530" s="16" t="str">
        <f t="shared" si="118"/>
        <v>Obese</v>
      </c>
      <c r="K530">
        <v>80.5</v>
      </c>
      <c r="L530">
        <v>0.49399999999999999</v>
      </c>
      <c r="M530" s="11">
        <f t="shared" si="114"/>
        <v>0.49399999999999999</v>
      </c>
      <c r="N530" s="5">
        <f t="shared" si="119"/>
        <v>80.5</v>
      </c>
      <c r="P530">
        <v>53</v>
      </c>
      <c r="Q530" s="8">
        <f t="shared" si="120"/>
        <v>53</v>
      </c>
      <c r="R530" s="8">
        <v>45</v>
      </c>
      <c r="S530" s="8">
        <f t="shared" si="121"/>
        <v>45</v>
      </c>
      <c r="T530" s="8">
        <f>(Table1[[#This Row],[Total Cholesterol (mg/dL)]]+Table1[[#This Row],[HDL (mg/dL)2]]+Table1[[#This Row],[Estimated LDL (mg/dL)2]])*5</f>
        <v>490</v>
      </c>
      <c r="U530" s="8">
        <f>IF(O530="",Table1[[#This Row],[Estimated LDL (mg/dL)2]]+Table1[[#This Row],[HDL (mg/dL)2]]+(Table1[[#This Row],[Triglycerides]]/5),O530)</f>
        <v>196</v>
      </c>
      <c r="V530">
        <v>115</v>
      </c>
      <c r="W530" s="8">
        <f t="shared" si="122"/>
        <v>115</v>
      </c>
      <c r="X530" t="str">
        <f t="shared" si="123"/>
        <v>Prediabetes</v>
      </c>
      <c r="Y530" t="s">
        <v>22</v>
      </c>
      <c r="Z530" t="s">
        <v>22</v>
      </c>
      <c r="AA530" t="s">
        <v>37</v>
      </c>
      <c r="AB530" s="3" t="s">
        <v>503</v>
      </c>
      <c r="AC530">
        <v>96</v>
      </c>
      <c r="AD530" s="3" t="str">
        <f t="shared" si="124"/>
        <v>96</v>
      </c>
      <c r="AE530">
        <v>98</v>
      </c>
      <c r="AF530" s="3" t="str">
        <f t="shared" si="125"/>
        <v>98</v>
      </c>
      <c r="AG530" t="s">
        <v>38</v>
      </c>
      <c r="AH530" s="3">
        <v>15.64</v>
      </c>
      <c r="AI530" s="3">
        <f t="shared" si="126"/>
        <v>15.64</v>
      </c>
      <c r="AJ530" t="s">
        <v>26</v>
      </c>
      <c r="AK530" t="str">
        <f>PROPER(Table1[[#This Row],[CVD Risk Level]])</f>
        <v>Intermediary</v>
      </c>
    </row>
    <row r="531" spans="1:37" x14ac:dyDescent="0.3">
      <c r="A531" t="s">
        <v>31</v>
      </c>
      <c r="B531">
        <v>36</v>
      </c>
      <c r="C531" s="8">
        <f t="shared" si="115"/>
        <v>36</v>
      </c>
      <c r="D531" s="5">
        <v>83.6</v>
      </c>
      <c r="E531" s="8">
        <f t="shared" si="116"/>
        <v>83.6</v>
      </c>
      <c r="F531">
        <v>1.86</v>
      </c>
      <c r="G531" s="3">
        <f t="shared" si="117"/>
        <v>1.86</v>
      </c>
      <c r="H531">
        <v>24.2</v>
      </c>
      <c r="I531" s="5">
        <f t="shared" si="113"/>
        <v>24.2</v>
      </c>
      <c r="J531" s="16" t="str">
        <f t="shared" si="118"/>
        <v>Normal</v>
      </c>
      <c r="K531">
        <v>99.3</v>
      </c>
      <c r="L531">
        <v>0.53400000000000003</v>
      </c>
      <c r="M531" s="11">
        <f t="shared" si="114"/>
        <v>0.53400000000000003</v>
      </c>
      <c r="N531" s="5">
        <f t="shared" si="119"/>
        <v>99.3</v>
      </c>
      <c r="O531">
        <v>200</v>
      </c>
      <c r="P531">
        <v>46</v>
      </c>
      <c r="Q531" s="8">
        <f t="shared" si="120"/>
        <v>46</v>
      </c>
      <c r="R531" s="8">
        <v>124</v>
      </c>
      <c r="S531" s="8">
        <f t="shared" si="121"/>
        <v>124</v>
      </c>
      <c r="T531" s="8">
        <f>(Table1[[#This Row],[Total Cholesterol (mg/dL)]]+Table1[[#This Row],[HDL (mg/dL)2]]+Table1[[#This Row],[Estimated LDL (mg/dL)2]])*5</f>
        <v>1850</v>
      </c>
      <c r="U531" s="8">
        <f>IF(O531="",Table1[[#This Row],[Estimated LDL (mg/dL)2]]+Table1[[#This Row],[HDL (mg/dL)2]]+(Table1[[#This Row],[Triglycerides]]/5),O531)</f>
        <v>200</v>
      </c>
      <c r="V531">
        <v>118</v>
      </c>
      <c r="W531" s="8">
        <f t="shared" si="122"/>
        <v>118</v>
      </c>
      <c r="X531" t="str">
        <f t="shared" si="123"/>
        <v>Prediabetes</v>
      </c>
      <c r="Y531" t="s">
        <v>22</v>
      </c>
      <c r="Z531" t="s">
        <v>22</v>
      </c>
      <c r="AA531" t="s">
        <v>28</v>
      </c>
      <c r="AB531" s="3" t="s">
        <v>385</v>
      </c>
      <c r="AC531">
        <v>105</v>
      </c>
      <c r="AD531" s="3" t="str">
        <f t="shared" si="124"/>
        <v>105</v>
      </c>
      <c r="AE531">
        <v>88</v>
      </c>
      <c r="AF531" s="3" t="str">
        <f t="shared" si="125"/>
        <v>88</v>
      </c>
      <c r="AG531" t="s">
        <v>29</v>
      </c>
      <c r="AH531" s="3">
        <v>14.09</v>
      </c>
      <c r="AI531" s="3">
        <f t="shared" si="126"/>
        <v>14.09</v>
      </c>
      <c r="AJ531" t="s">
        <v>52</v>
      </c>
      <c r="AK531" t="str">
        <f>PROPER(Table1[[#This Row],[CVD Risk Level]])</f>
        <v>Low</v>
      </c>
    </row>
    <row r="532" spans="1:37" x14ac:dyDescent="0.3">
      <c r="A532" t="s">
        <v>20</v>
      </c>
      <c r="B532">
        <v>41</v>
      </c>
      <c r="C532" s="8">
        <f t="shared" si="115"/>
        <v>41</v>
      </c>
      <c r="D532" s="5">
        <v>114.6</v>
      </c>
      <c r="E532" s="8">
        <f t="shared" si="116"/>
        <v>114.6</v>
      </c>
      <c r="F532">
        <v>1.7</v>
      </c>
      <c r="G532" s="3">
        <f t="shared" si="117"/>
        <v>1.7</v>
      </c>
      <c r="I532" s="5">
        <f t="shared" si="113"/>
        <v>39.653979238754324</v>
      </c>
      <c r="J532" s="16" t="str">
        <f t="shared" si="118"/>
        <v>Obese</v>
      </c>
      <c r="K532">
        <v>94</v>
      </c>
      <c r="L532">
        <v>0.55300000000000005</v>
      </c>
      <c r="M532" s="11">
        <f t="shared" si="114"/>
        <v>0.55300000000000005</v>
      </c>
      <c r="N532" s="5">
        <f t="shared" si="119"/>
        <v>94</v>
      </c>
      <c r="P532">
        <v>78</v>
      </c>
      <c r="Q532" s="8">
        <f t="shared" si="120"/>
        <v>78</v>
      </c>
      <c r="R532" s="8">
        <v>131</v>
      </c>
      <c r="S532" s="8">
        <f t="shared" si="121"/>
        <v>131</v>
      </c>
      <c r="T532" s="8">
        <f>(Table1[[#This Row],[Total Cholesterol (mg/dL)]]+Table1[[#This Row],[HDL (mg/dL)2]]+Table1[[#This Row],[Estimated LDL (mg/dL)2]])*5</f>
        <v>1045</v>
      </c>
      <c r="U532" s="8">
        <f>IF(O532="",Table1[[#This Row],[Estimated LDL (mg/dL)2]]+Table1[[#This Row],[HDL (mg/dL)2]]+(Table1[[#This Row],[Triglycerides]]/5),O532)</f>
        <v>418</v>
      </c>
      <c r="V532">
        <v>120</v>
      </c>
      <c r="W532" s="8">
        <f t="shared" si="122"/>
        <v>120</v>
      </c>
      <c r="X532" t="str">
        <f t="shared" si="123"/>
        <v>Prediabetes</v>
      </c>
      <c r="Y532" t="s">
        <v>22</v>
      </c>
      <c r="Z532" t="s">
        <v>22</v>
      </c>
      <c r="AA532" t="s">
        <v>28</v>
      </c>
      <c r="AB532" s="3" t="s">
        <v>417</v>
      </c>
      <c r="AC532">
        <v>142</v>
      </c>
      <c r="AD532" s="3" t="str">
        <f t="shared" si="124"/>
        <v>142</v>
      </c>
      <c r="AE532">
        <v>87</v>
      </c>
      <c r="AF532" s="3" t="str">
        <f t="shared" si="125"/>
        <v>87</v>
      </c>
      <c r="AG532" t="s">
        <v>29</v>
      </c>
      <c r="AH532" s="3">
        <v>19.82</v>
      </c>
      <c r="AI532" s="3">
        <f t="shared" si="126"/>
        <v>19.82</v>
      </c>
      <c r="AJ532" t="s">
        <v>26</v>
      </c>
      <c r="AK532" t="str">
        <f>PROPER(Table1[[#This Row],[CVD Risk Level]])</f>
        <v>Intermediary</v>
      </c>
    </row>
    <row r="533" spans="1:37" x14ac:dyDescent="0.3">
      <c r="A533" t="s">
        <v>31</v>
      </c>
      <c r="B533">
        <v>46</v>
      </c>
      <c r="C533" s="8">
        <f t="shared" si="115"/>
        <v>46</v>
      </c>
      <c r="D533" s="5">
        <v>109</v>
      </c>
      <c r="E533" s="8">
        <f t="shared" si="116"/>
        <v>109</v>
      </c>
      <c r="F533">
        <v>1.7</v>
      </c>
      <c r="G533" s="3">
        <f t="shared" si="117"/>
        <v>1.7</v>
      </c>
      <c r="I533" s="5">
        <f t="shared" si="113"/>
        <v>37.716262975778548</v>
      </c>
      <c r="J533" s="16" t="str">
        <f t="shared" si="118"/>
        <v>Obese</v>
      </c>
      <c r="K533">
        <v>95.7</v>
      </c>
      <c r="L533">
        <v>0.56299999999999994</v>
      </c>
      <c r="M533" s="11">
        <f t="shared" si="114"/>
        <v>0.56299999999999994</v>
      </c>
      <c r="N533" s="5">
        <f t="shared" si="119"/>
        <v>95.7</v>
      </c>
      <c r="O533">
        <v>164</v>
      </c>
      <c r="P533">
        <v>67</v>
      </c>
      <c r="Q533" s="8">
        <f t="shared" si="120"/>
        <v>67</v>
      </c>
      <c r="R533" s="8">
        <v>67</v>
      </c>
      <c r="S533" s="8">
        <f>IF(R533&lt;=0,MEDIAN($R$2:$R$1530),R533)</f>
        <v>67</v>
      </c>
      <c r="T533" s="8">
        <f>(Table1[[#This Row],[Total Cholesterol (mg/dL)]]+Table1[[#This Row],[HDL (mg/dL)2]]+Table1[[#This Row],[Estimated LDL (mg/dL)2]])*5</f>
        <v>1490</v>
      </c>
      <c r="U533" s="8">
        <f>IF(O533="",Table1[[#This Row],[Estimated LDL (mg/dL)2]]+Table1[[#This Row],[HDL (mg/dL)2]]+(Table1[[#This Row],[Triglycerides]]/5),O533)</f>
        <v>164</v>
      </c>
      <c r="V533">
        <v>84</v>
      </c>
      <c r="W533" s="8">
        <f t="shared" si="122"/>
        <v>84</v>
      </c>
      <c r="X533" t="str">
        <f t="shared" si="123"/>
        <v>Normal</v>
      </c>
      <c r="Y533" t="s">
        <v>23</v>
      </c>
      <c r="Z533" t="s">
        <v>22</v>
      </c>
      <c r="AA533" t="s">
        <v>37</v>
      </c>
      <c r="AB533" s="3" t="s">
        <v>504</v>
      </c>
      <c r="AC533">
        <v>117</v>
      </c>
      <c r="AD533" s="3" t="str">
        <f t="shared" si="124"/>
        <v>117</v>
      </c>
      <c r="AE533">
        <v>98</v>
      </c>
      <c r="AF533" s="3" t="str">
        <f t="shared" si="125"/>
        <v>98</v>
      </c>
      <c r="AG533" t="s">
        <v>38</v>
      </c>
      <c r="AH533" s="3">
        <v>16.670000000000002</v>
      </c>
      <c r="AI533" s="3">
        <f t="shared" si="126"/>
        <v>16.670000000000002</v>
      </c>
      <c r="AJ533" t="s">
        <v>26</v>
      </c>
      <c r="AK533" t="str">
        <f>PROPER(Table1[[#This Row],[CVD Risk Level]])</f>
        <v>Intermediary</v>
      </c>
    </row>
    <row r="534" spans="1:37" x14ac:dyDescent="0.3">
      <c r="A534" t="s">
        <v>20</v>
      </c>
      <c r="B534">
        <v>40</v>
      </c>
      <c r="C534" s="8">
        <f t="shared" si="115"/>
        <v>40</v>
      </c>
      <c r="D534" s="5">
        <v>112.9</v>
      </c>
      <c r="E534" s="8">
        <f t="shared" si="116"/>
        <v>112.9</v>
      </c>
      <c r="F534">
        <v>1.85</v>
      </c>
      <c r="G534" s="3">
        <f t="shared" si="117"/>
        <v>1.85</v>
      </c>
      <c r="H534">
        <v>33</v>
      </c>
      <c r="I534" s="5">
        <f t="shared" si="113"/>
        <v>33</v>
      </c>
      <c r="J534" s="16" t="str">
        <f t="shared" si="118"/>
        <v>Obese</v>
      </c>
      <c r="K534">
        <v>90.9</v>
      </c>
      <c r="L534">
        <v>0.49099999999999999</v>
      </c>
      <c r="M534" s="11">
        <f t="shared" si="114"/>
        <v>0.49099999999999999</v>
      </c>
      <c r="N534" s="5">
        <f t="shared" si="119"/>
        <v>90.9</v>
      </c>
      <c r="O534">
        <v>153</v>
      </c>
      <c r="P534">
        <v>36</v>
      </c>
      <c r="Q534" s="8">
        <f t="shared" si="120"/>
        <v>36</v>
      </c>
      <c r="R534" s="8">
        <v>87</v>
      </c>
      <c r="S534" s="8">
        <f t="shared" si="121"/>
        <v>87</v>
      </c>
      <c r="T534" s="8">
        <f>(Table1[[#This Row],[Total Cholesterol (mg/dL)]]+Table1[[#This Row],[HDL (mg/dL)2]]+Table1[[#This Row],[Estimated LDL (mg/dL)2]])*5</f>
        <v>1380</v>
      </c>
      <c r="U534" s="8">
        <f>IF(O534="",Table1[[#This Row],[Estimated LDL (mg/dL)2]]+Table1[[#This Row],[HDL (mg/dL)2]]+(Table1[[#This Row],[Triglycerides]]/5),O534)</f>
        <v>153</v>
      </c>
      <c r="V534">
        <v>133</v>
      </c>
      <c r="W534" s="8">
        <f t="shared" si="122"/>
        <v>133</v>
      </c>
      <c r="X534" t="str">
        <f t="shared" si="123"/>
        <v>Diabetes</v>
      </c>
      <c r="Y534" t="s">
        <v>23</v>
      </c>
      <c r="Z534" t="s">
        <v>22</v>
      </c>
      <c r="AA534" t="s">
        <v>24</v>
      </c>
      <c r="AB534" s="3" t="s">
        <v>378</v>
      </c>
      <c r="AC534">
        <v>133</v>
      </c>
      <c r="AD534" s="3" t="str">
        <f t="shared" si="124"/>
        <v>133</v>
      </c>
      <c r="AE534">
        <v>94</v>
      </c>
      <c r="AF534" s="3" t="str">
        <f t="shared" si="125"/>
        <v>94</v>
      </c>
      <c r="AG534" t="s">
        <v>29</v>
      </c>
      <c r="AH534" s="3">
        <v>16.309999999999999</v>
      </c>
      <c r="AI534" s="3">
        <f t="shared" si="126"/>
        <v>16.309999999999999</v>
      </c>
      <c r="AJ534" t="s">
        <v>30</v>
      </c>
      <c r="AK534" t="str">
        <f>PROPER(Table1[[#This Row],[CVD Risk Level]])</f>
        <v>High</v>
      </c>
    </row>
    <row r="535" spans="1:37" x14ac:dyDescent="0.3">
      <c r="A535" t="s">
        <v>20</v>
      </c>
      <c r="B535">
        <v>60</v>
      </c>
      <c r="C535" s="8">
        <f t="shared" si="115"/>
        <v>60</v>
      </c>
      <c r="D535" s="5">
        <v>76.2</v>
      </c>
      <c r="E535" s="8">
        <f t="shared" si="116"/>
        <v>76.2</v>
      </c>
      <c r="F535">
        <v>1.63</v>
      </c>
      <c r="G535" s="3">
        <f t="shared" si="117"/>
        <v>1.63</v>
      </c>
      <c r="H535">
        <v>28.7</v>
      </c>
      <c r="I535" s="5">
        <f t="shared" si="113"/>
        <v>28.7</v>
      </c>
      <c r="J535" s="16" t="str">
        <f t="shared" si="118"/>
        <v>Overweight</v>
      </c>
      <c r="K535">
        <v>83.6</v>
      </c>
      <c r="L535">
        <v>0.51300000000000001</v>
      </c>
      <c r="M535" s="11">
        <f t="shared" si="114"/>
        <v>0.51300000000000001</v>
      </c>
      <c r="N535" s="5">
        <f t="shared" si="119"/>
        <v>83.6</v>
      </c>
      <c r="O535">
        <v>217</v>
      </c>
      <c r="P535">
        <v>37</v>
      </c>
      <c r="Q535" s="8">
        <f t="shared" si="120"/>
        <v>37</v>
      </c>
      <c r="R535" s="8">
        <v>150</v>
      </c>
      <c r="S535" s="8">
        <f t="shared" si="121"/>
        <v>150</v>
      </c>
      <c r="T535" s="8">
        <f>(Table1[[#This Row],[Total Cholesterol (mg/dL)]]+Table1[[#This Row],[HDL (mg/dL)2]]+Table1[[#This Row],[Estimated LDL (mg/dL)2]])*5</f>
        <v>2020</v>
      </c>
      <c r="U535" s="8">
        <f>IF(O535="",Table1[[#This Row],[Estimated LDL (mg/dL)2]]+Table1[[#This Row],[HDL (mg/dL)2]]+(Table1[[#This Row],[Triglycerides]]/5),O535)</f>
        <v>217</v>
      </c>
      <c r="V535">
        <v>118</v>
      </c>
      <c r="W535" s="8">
        <f t="shared" si="122"/>
        <v>118</v>
      </c>
      <c r="X535" t="str">
        <f t="shared" si="123"/>
        <v>Prediabetes</v>
      </c>
      <c r="Y535" t="s">
        <v>22</v>
      </c>
      <c r="Z535" t="s">
        <v>22</v>
      </c>
      <c r="AA535" t="s">
        <v>37</v>
      </c>
      <c r="AB535" s="3" t="s">
        <v>505</v>
      </c>
      <c r="AC535">
        <v>144</v>
      </c>
      <c r="AD535" s="3" t="str">
        <f t="shared" si="124"/>
        <v>144</v>
      </c>
      <c r="AE535">
        <v>86</v>
      </c>
      <c r="AF535" s="3" t="str">
        <f t="shared" si="125"/>
        <v>86</v>
      </c>
      <c r="AG535" t="s">
        <v>29</v>
      </c>
      <c r="AH535" s="3">
        <v>17.28</v>
      </c>
      <c r="AI535" s="3">
        <f t="shared" si="126"/>
        <v>17.28</v>
      </c>
      <c r="AJ535" t="s">
        <v>30</v>
      </c>
      <c r="AK535" t="str">
        <f>PROPER(Table1[[#This Row],[CVD Risk Level]])</f>
        <v>High</v>
      </c>
    </row>
    <row r="536" spans="1:37" x14ac:dyDescent="0.3">
      <c r="A536" t="s">
        <v>20</v>
      </c>
      <c r="B536">
        <v>47</v>
      </c>
      <c r="C536" s="8">
        <f t="shared" si="115"/>
        <v>47</v>
      </c>
      <c r="E536" s="8">
        <f t="shared" si="116"/>
        <v>57.004139999999992</v>
      </c>
      <c r="F536">
        <v>1.81</v>
      </c>
      <c r="G536" s="3">
        <f t="shared" si="117"/>
        <v>1.81</v>
      </c>
      <c r="H536">
        <v>17.399999999999999</v>
      </c>
      <c r="I536" s="5">
        <f t="shared" si="113"/>
        <v>17.399999999999999</v>
      </c>
      <c r="J536" s="16" t="str">
        <f t="shared" si="118"/>
        <v>Underweight</v>
      </c>
      <c r="K536">
        <v>90</v>
      </c>
      <c r="L536">
        <v>0.497</v>
      </c>
      <c r="M536" s="11">
        <f t="shared" si="114"/>
        <v>0.497</v>
      </c>
      <c r="N536" s="5">
        <f t="shared" si="119"/>
        <v>90</v>
      </c>
      <c r="O536">
        <v>148</v>
      </c>
      <c r="P536">
        <v>52</v>
      </c>
      <c r="Q536" s="8">
        <f t="shared" si="120"/>
        <v>52</v>
      </c>
      <c r="R536" s="8">
        <v>66</v>
      </c>
      <c r="S536" s="8">
        <f t="shared" si="121"/>
        <v>66</v>
      </c>
      <c r="T536" s="8">
        <f>(Table1[[#This Row],[Total Cholesterol (mg/dL)]]+Table1[[#This Row],[HDL (mg/dL)2]]+Table1[[#This Row],[Estimated LDL (mg/dL)2]])*5</f>
        <v>1330</v>
      </c>
      <c r="U536" s="8">
        <f>IF(O536="",Table1[[#This Row],[Estimated LDL (mg/dL)2]]+Table1[[#This Row],[HDL (mg/dL)2]]+(Table1[[#This Row],[Triglycerides]]/5),O536)</f>
        <v>148</v>
      </c>
      <c r="V536">
        <v>130</v>
      </c>
      <c r="W536" s="8">
        <f t="shared" si="122"/>
        <v>130</v>
      </c>
      <c r="X536" t="str">
        <f t="shared" si="123"/>
        <v>Diabetes</v>
      </c>
      <c r="Y536" t="s">
        <v>22</v>
      </c>
      <c r="Z536" t="s">
        <v>23</v>
      </c>
      <c r="AA536" t="s">
        <v>28</v>
      </c>
      <c r="AB536" s="3" t="s">
        <v>506</v>
      </c>
      <c r="AC536">
        <v>102</v>
      </c>
      <c r="AD536" s="3" t="str">
        <f t="shared" si="124"/>
        <v>102</v>
      </c>
      <c r="AE536">
        <v>86</v>
      </c>
      <c r="AF536" s="3" t="str">
        <f t="shared" si="125"/>
        <v>86</v>
      </c>
      <c r="AG536" t="s">
        <v>29</v>
      </c>
      <c r="AH536" s="3">
        <v>13.54</v>
      </c>
      <c r="AI536" s="3">
        <f t="shared" si="126"/>
        <v>13.54</v>
      </c>
      <c r="AJ536" t="s">
        <v>26</v>
      </c>
      <c r="AK536" t="str">
        <f>PROPER(Table1[[#This Row],[CVD Risk Level]])</f>
        <v>Intermediary</v>
      </c>
    </row>
    <row r="537" spans="1:37" x14ac:dyDescent="0.3">
      <c r="A537" t="s">
        <v>31</v>
      </c>
      <c r="B537">
        <v>49</v>
      </c>
      <c r="C537" s="8">
        <f t="shared" si="115"/>
        <v>49</v>
      </c>
      <c r="D537" s="5">
        <v>73.8</v>
      </c>
      <c r="E537" s="8">
        <f t="shared" si="116"/>
        <v>73.8</v>
      </c>
      <c r="F537">
        <v>1.74</v>
      </c>
      <c r="G537" s="3">
        <f t="shared" si="117"/>
        <v>1.74</v>
      </c>
      <c r="H537">
        <v>24.4</v>
      </c>
      <c r="I537" s="5">
        <f t="shared" si="113"/>
        <v>24.4</v>
      </c>
      <c r="J537" s="16" t="str">
        <f t="shared" si="118"/>
        <v>Normal</v>
      </c>
      <c r="K537">
        <v>100.3</v>
      </c>
      <c r="L537">
        <v>0.57599999999999996</v>
      </c>
      <c r="M537" s="11">
        <f t="shared" si="114"/>
        <v>0.57599999999999996</v>
      </c>
      <c r="N537" s="5">
        <f t="shared" si="119"/>
        <v>100.3</v>
      </c>
      <c r="O537">
        <v>291</v>
      </c>
      <c r="P537">
        <v>78</v>
      </c>
      <c r="Q537" s="8">
        <f t="shared" si="120"/>
        <v>78</v>
      </c>
      <c r="R537" s="8">
        <v>183</v>
      </c>
      <c r="S537" s="8">
        <f t="shared" si="121"/>
        <v>183</v>
      </c>
      <c r="T537" s="8">
        <f>(Table1[[#This Row],[Total Cholesterol (mg/dL)]]+Table1[[#This Row],[HDL (mg/dL)2]]+Table1[[#This Row],[Estimated LDL (mg/dL)2]])*5</f>
        <v>2760</v>
      </c>
      <c r="U537" s="8">
        <f>IF(O537="",Table1[[#This Row],[Estimated LDL (mg/dL)2]]+Table1[[#This Row],[HDL (mg/dL)2]]+(Table1[[#This Row],[Triglycerides]]/5),O537)</f>
        <v>291</v>
      </c>
      <c r="V537">
        <v>92</v>
      </c>
      <c r="W537" s="8">
        <f t="shared" si="122"/>
        <v>92</v>
      </c>
      <c r="X537" t="str">
        <f t="shared" si="123"/>
        <v>Normal</v>
      </c>
      <c r="Y537" t="s">
        <v>23</v>
      </c>
      <c r="Z537" t="s">
        <v>23</v>
      </c>
      <c r="AA537" t="s">
        <v>28</v>
      </c>
      <c r="AB537" s="3" t="s">
        <v>507</v>
      </c>
      <c r="AC537">
        <v>111</v>
      </c>
      <c r="AD537" s="3" t="str">
        <f t="shared" si="124"/>
        <v>111</v>
      </c>
      <c r="AE537">
        <v>83</v>
      </c>
      <c r="AF537" s="3" t="str">
        <f t="shared" si="125"/>
        <v>83</v>
      </c>
      <c r="AG537" t="s">
        <v>29</v>
      </c>
      <c r="AI537" s="3">
        <f t="shared" si="126"/>
        <v>16.960925291295425</v>
      </c>
      <c r="AJ537" t="s">
        <v>30</v>
      </c>
      <c r="AK537" t="str">
        <f>PROPER(Table1[[#This Row],[CVD Risk Level]])</f>
        <v>High</v>
      </c>
    </row>
    <row r="538" spans="1:37" x14ac:dyDescent="0.3">
      <c r="A538" t="s">
        <v>31</v>
      </c>
      <c r="B538">
        <v>49</v>
      </c>
      <c r="C538" s="8">
        <f t="shared" si="115"/>
        <v>49</v>
      </c>
      <c r="D538" s="5">
        <v>115.6</v>
      </c>
      <c r="E538" s="8">
        <f t="shared" si="116"/>
        <v>115.6</v>
      </c>
      <c r="F538">
        <v>1.74</v>
      </c>
      <c r="G538" s="3">
        <f t="shared" si="117"/>
        <v>1.74</v>
      </c>
      <c r="H538">
        <v>38.200000000000003</v>
      </c>
      <c r="I538" s="5">
        <f t="shared" si="113"/>
        <v>38.200000000000003</v>
      </c>
      <c r="J538" s="16" t="str">
        <f t="shared" si="118"/>
        <v>Obese</v>
      </c>
      <c r="K538">
        <v>109.7</v>
      </c>
      <c r="L538">
        <v>0.63</v>
      </c>
      <c r="M538" s="11">
        <f t="shared" si="114"/>
        <v>0.63</v>
      </c>
      <c r="N538" s="5">
        <f t="shared" si="119"/>
        <v>109.7</v>
      </c>
      <c r="O538">
        <v>290</v>
      </c>
      <c r="P538">
        <v>73</v>
      </c>
      <c r="Q538" s="8">
        <f t="shared" si="120"/>
        <v>73</v>
      </c>
      <c r="R538" s="8">
        <v>187</v>
      </c>
      <c r="S538" s="8">
        <f t="shared" si="121"/>
        <v>187</v>
      </c>
      <c r="T538" s="8">
        <f>(Table1[[#This Row],[Total Cholesterol (mg/dL)]]+Table1[[#This Row],[HDL (mg/dL)2]]+Table1[[#This Row],[Estimated LDL (mg/dL)2]])*5</f>
        <v>2750</v>
      </c>
      <c r="U538" s="8">
        <f>IF(O538="",Table1[[#This Row],[Estimated LDL (mg/dL)2]]+Table1[[#This Row],[HDL (mg/dL)2]]+(Table1[[#This Row],[Triglycerides]]/5),O538)</f>
        <v>290</v>
      </c>
      <c r="V538">
        <v>119</v>
      </c>
      <c r="W538" s="8">
        <f t="shared" si="122"/>
        <v>119</v>
      </c>
      <c r="X538" t="str">
        <f t="shared" si="123"/>
        <v>Prediabetes</v>
      </c>
      <c r="Y538" t="s">
        <v>23</v>
      </c>
      <c r="Z538" t="s">
        <v>22</v>
      </c>
      <c r="AA538" t="s">
        <v>24</v>
      </c>
      <c r="AB538" s="3" t="s">
        <v>262</v>
      </c>
      <c r="AC538">
        <v>126</v>
      </c>
      <c r="AD538" s="3" t="str">
        <f t="shared" si="124"/>
        <v>126</v>
      </c>
      <c r="AE538">
        <v>86</v>
      </c>
      <c r="AF538" s="3" t="str">
        <f t="shared" si="125"/>
        <v>86</v>
      </c>
      <c r="AG538" t="s">
        <v>29</v>
      </c>
      <c r="AH538" s="3">
        <v>19.739999999999998</v>
      </c>
      <c r="AI538" s="3">
        <f t="shared" si="126"/>
        <v>19.739999999999998</v>
      </c>
      <c r="AJ538" t="s">
        <v>30</v>
      </c>
      <c r="AK538" t="str">
        <f>PROPER(Table1[[#This Row],[CVD Risk Level]])</f>
        <v>High</v>
      </c>
    </row>
    <row r="539" spans="1:37" x14ac:dyDescent="0.3">
      <c r="A539" t="s">
        <v>20</v>
      </c>
      <c r="B539">
        <v>58</v>
      </c>
      <c r="C539" s="8">
        <f t="shared" si="115"/>
        <v>58</v>
      </c>
      <c r="D539" s="5">
        <v>98.3</v>
      </c>
      <c r="E539" s="8">
        <f t="shared" si="116"/>
        <v>98.3</v>
      </c>
      <c r="F539">
        <v>1.9</v>
      </c>
      <c r="G539" s="3">
        <f t="shared" si="117"/>
        <v>1.9</v>
      </c>
      <c r="I539" s="5">
        <f t="shared" si="113"/>
        <v>27.229916897506925</v>
      </c>
      <c r="J539" s="16" t="str">
        <f t="shared" si="118"/>
        <v>Overweight</v>
      </c>
      <c r="K539">
        <v>86.9</v>
      </c>
      <c r="L539">
        <v>0.45700000000000002</v>
      </c>
      <c r="M539" s="11">
        <f t="shared" si="114"/>
        <v>0.45700000000000002</v>
      </c>
      <c r="N539" s="5">
        <f t="shared" si="119"/>
        <v>86.9</v>
      </c>
      <c r="O539">
        <v>168</v>
      </c>
      <c r="P539">
        <v>74</v>
      </c>
      <c r="Q539" s="8">
        <f t="shared" si="120"/>
        <v>74</v>
      </c>
      <c r="R539" s="8">
        <v>64</v>
      </c>
      <c r="S539" s="8">
        <f t="shared" si="121"/>
        <v>64</v>
      </c>
      <c r="T539" s="8">
        <f>(Table1[[#This Row],[Total Cholesterol (mg/dL)]]+Table1[[#This Row],[HDL (mg/dL)2]]+Table1[[#This Row],[Estimated LDL (mg/dL)2]])*5</f>
        <v>1530</v>
      </c>
      <c r="U539" s="8">
        <f>IF(O539="",Table1[[#This Row],[Estimated LDL (mg/dL)2]]+Table1[[#This Row],[HDL (mg/dL)2]]+(Table1[[#This Row],[Triglycerides]]/5),O539)</f>
        <v>168</v>
      </c>
      <c r="V539">
        <v>78</v>
      </c>
      <c r="W539" s="8">
        <f t="shared" si="122"/>
        <v>78</v>
      </c>
      <c r="X539" t="str">
        <f t="shared" si="123"/>
        <v>Normal</v>
      </c>
      <c r="Y539" t="s">
        <v>22</v>
      </c>
      <c r="Z539" t="s">
        <v>22</v>
      </c>
      <c r="AA539" t="s">
        <v>28</v>
      </c>
      <c r="AB539" s="3" t="s">
        <v>508</v>
      </c>
      <c r="AC539">
        <v>112</v>
      </c>
      <c r="AD539" s="3" t="str">
        <f t="shared" si="124"/>
        <v>112</v>
      </c>
      <c r="AE539">
        <v>84</v>
      </c>
      <c r="AF539" s="3" t="str">
        <f t="shared" si="125"/>
        <v>84</v>
      </c>
      <c r="AG539" t="s">
        <v>29</v>
      </c>
      <c r="AH539" s="3">
        <v>14.4</v>
      </c>
      <c r="AI539" s="3">
        <f t="shared" si="126"/>
        <v>14.4</v>
      </c>
      <c r="AJ539" t="s">
        <v>26</v>
      </c>
      <c r="AK539" t="str">
        <f>PROPER(Table1[[#This Row],[CVD Risk Level]])</f>
        <v>Intermediary</v>
      </c>
    </row>
    <row r="540" spans="1:37" x14ac:dyDescent="0.3">
      <c r="A540" t="s">
        <v>20</v>
      </c>
      <c r="B540">
        <v>56</v>
      </c>
      <c r="C540" s="8">
        <f t="shared" si="115"/>
        <v>56</v>
      </c>
      <c r="D540" s="5">
        <v>100.4</v>
      </c>
      <c r="E540" s="8">
        <f t="shared" si="116"/>
        <v>100.4</v>
      </c>
      <c r="F540">
        <v>1.65</v>
      </c>
      <c r="G540" s="3">
        <f t="shared" si="117"/>
        <v>1.65</v>
      </c>
      <c r="H540">
        <v>36.9</v>
      </c>
      <c r="I540" s="5">
        <f t="shared" si="113"/>
        <v>36.9</v>
      </c>
      <c r="J540" s="16" t="str">
        <f t="shared" si="118"/>
        <v>Obese</v>
      </c>
      <c r="K540">
        <v>74.3</v>
      </c>
      <c r="L540">
        <v>0.45</v>
      </c>
      <c r="M540" s="11">
        <f t="shared" si="114"/>
        <v>0.45</v>
      </c>
      <c r="N540" s="5">
        <f t="shared" si="119"/>
        <v>74.3</v>
      </c>
      <c r="O540">
        <v>193</v>
      </c>
      <c r="P540">
        <v>63</v>
      </c>
      <c r="Q540" s="8">
        <f t="shared" si="120"/>
        <v>63</v>
      </c>
      <c r="R540" s="8">
        <v>100</v>
      </c>
      <c r="S540" s="8">
        <f t="shared" si="121"/>
        <v>100</v>
      </c>
      <c r="T540" s="8">
        <f>(Table1[[#This Row],[Total Cholesterol (mg/dL)]]+Table1[[#This Row],[HDL (mg/dL)2]]+Table1[[#This Row],[Estimated LDL (mg/dL)2]])*5</f>
        <v>1780</v>
      </c>
      <c r="U540" s="8">
        <f>IF(O540="",Table1[[#This Row],[Estimated LDL (mg/dL)2]]+Table1[[#This Row],[HDL (mg/dL)2]]+(Table1[[#This Row],[Triglycerides]]/5),O540)</f>
        <v>193</v>
      </c>
      <c r="V540">
        <v>81</v>
      </c>
      <c r="W540" s="8">
        <f t="shared" si="122"/>
        <v>81</v>
      </c>
      <c r="X540" t="str">
        <f t="shared" si="123"/>
        <v>Normal</v>
      </c>
      <c r="Y540" t="s">
        <v>23</v>
      </c>
      <c r="Z540" t="s">
        <v>22</v>
      </c>
      <c r="AA540" t="s">
        <v>37</v>
      </c>
      <c r="AB540" s="3" t="s">
        <v>509</v>
      </c>
      <c r="AC540">
        <v>108</v>
      </c>
      <c r="AD540" s="3" t="str">
        <f t="shared" si="124"/>
        <v>108</v>
      </c>
      <c r="AE540">
        <v>66</v>
      </c>
      <c r="AF540" s="3" t="str">
        <f t="shared" si="125"/>
        <v>66</v>
      </c>
      <c r="AG540" t="s">
        <v>33</v>
      </c>
      <c r="AH540" s="3">
        <v>16.64</v>
      </c>
      <c r="AI540" s="3">
        <f t="shared" si="126"/>
        <v>16.64</v>
      </c>
      <c r="AJ540" t="s">
        <v>30</v>
      </c>
      <c r="AK540" t="str">
        <f>PROPER(Table1[[#This Row],[CVD Risk Level]])</f>
        <v>High</v>
      </c>
    </row>
    <row r="541" spans="1:37" x14ac:dyDescent="0.3">
      <c r="A541" t="s">
        <v>31</v>
      </c>
      <c r="B541">
        <v>47</v>
      </c>
      <c r="C541" s="8">
        <f t="shared" si="115"/>
        <v>47</v>
      </c>
      <c r="D541" s="5">
        <v>72.3</v>
      </c>
      <c r="E541" s="8">
        <f t="shared" si="116"/>
        <v>72.3</v>
      </c>
      <c r="F541">
        <v>1.86</v>
      </c>
      <c r="G541" s="3">
        <f t="shared" si="117"/>
        <v>1.86</v>
      </c>
      <c r="H541">
        <v>20.9</v>
      </c>
      <c r="I541" s="5">
        <f t="shared" si="113"/>
        <v>20.9</v>
      </c>
      <c r="J541" s="16" t="str">
        <f t="shared" si="118"/>
        <v>Normal</v>
      </c>
      <c r="K541">
        <v>96.3</v>
      </c>
      <c r="L541">
        <v>0.51800000000000002</v>
      </c>
      <c r="M541" s="11">
        <f t="shared" si="114"/>
        <v>0.51800000000000002</v>
      </c>
      <c r="N541" s="5">
        <f t="shared" si="119"/>
        <v>96.3</v>
      </c>
      <c r="O541">
        <v>207</v>
      </c>
      <c r="P541">
        <v>40</v>
      </c>
      <c r="Q541" s="8">
        <f t="shared" si="120"/>
        <v>40</v>
      </c>
      <c r="R541" s="8">
        <v>137</v>
      </c>
      <c r="S541" s="8">
        <f t="shared" si="121"/>
        <v>137</v>
      </c>
      <c r="T541" s="8">
        <f>(Table1[[#This Row],[Total Cholesterol (mg/dL)]]+Table1[[#This Row],[HDL (mg/dL)2]]+Table1[[#This Row],[Estimated LDL (mg/dL)2]])*5</f>
        <v>1920</v>
      </c>
      <c r="U541" s="8">
        <f>IF(O541="",Table1[[#This Row],[Estimated LDL (mg/dL)2]]+Table1[[#This Row],[HDL (mg/dL)2]]+(Table1[[#This Row],[Triglycerides]]/5),O541)</f>
        <v>207</v>
      </c>
      <c r="V541">
        <v>87</v>
      </c>
      <c r="W541" s="8">
        <f t="shared" si="122"/>
        <v>87</v>
      </c>
      <c r="X541" t="str">
        <f t="shared" si="123"/>
        <v>Normal</v>
      </c>
      <c r="Y541" t="s">
        <v>22</v>
      </c>
      <c r="Z541" t="s">
        <v>23</v>
      </c>
      <c r="AA541" t="s">
        <v>37</v>
      </c>
      <c r="AB541" s="3" t="s">
        <v>510</v>
      </c>
      <c r="AC541">
        <v>125</v>
      </c>
      <c r="AD541" s="3" t="str">
        <f t="shared" si="124"/>
        <v>125</v>
      </c>
      <c r="AE541">
        <v>99</v>
      </c>
      <c r="AF541" s="3" t="str">
        <f t="shared" si="125"/>
        <v>99</v>
      </c>
      <c r="AG541" t="s">
        <v>38</v>
      </c>
      <c r="AH541" s="3">
        <v>16.57</v>
      </c>
      <c r="AI541" s="3">
        <f t="shared" si="126"/>
        <v>16.57</v>
      </c>
      <c r="AJ541" t="s">
        <v>30</v>
      </c>
      <c r="AK541" t="str">
        <f>PROPER(Table1[[#This Row],[CVD Risk Level]])</f>
        <v>High</v>
      </c>
    </row>
    <row r="542" spans="1:37" x14ac:dyDescent="0.3">
      <c r="A542" t="s">
        <v>31</v>
      </c>
      <c r="B542">
        <v>54</v>
      </c>
      <c r="C542" s="8">
        <f t="shared" si="115"/>
        <v>54</v>
      </c>
      <c r="D542" s="5">
        <v>58.9</v>
      </c>
      <c r="E542" s="8">
        <f t="shared" si="116"/>
        <v>58.9</v>
      </c>
      <c r="F542">
        <v>1.73</v>
      </c>
      <c r="G542" s="3">
        <f t="shared" si="117"/>
        <v>1.73</v>
      </c>
      <c r="H542">
        <v>19.7</v>
      </c>
      <c r="I542" s="5">
        <f t="shared" si="113"/>
        <v>19.7</v>
      </c>
      <c r="J542" s="16" t="str">
        <f t="shared" si="118"/>
        <v>Normal</v>
      </c>
      <c r="K542">
        <v>101.4</v>
      </c>
      <c r="L542">
        <v>0.58599999999999997</v>
      </c>
      <c r="M542" s="11">
        <f t="shared" si="114"/>
        <v>0.58599999999999997</v>
      </c>
      <c r="N542" s="5">
        <f t="shared" si="119"/>
        <v>101.4</v>
      </c>
      <c r="P542">
        <v>35</v>
      </c>
      <c r="Q542" s="8">
        <f t="shared" si="120"/>
        <v>35</v>
      </c>
      <c r="R542" s="8">
        <v>46</v>
      </c>
      <c r="S542" s="8">
        <f t="shared" si="121"/>
        <v>46</v>
      </c>
      <c r="T542" s="8">
        <f>(Table1[[#This Row],[Total Cholesterol (mg/dL)]]+Table1[[#This Row],[HDL (mg/dL)2]]+Table1[[#This Row],[Estimated LDL (mg/dL)2]])*5</f>
        <v>405</v>
      </c>
      <c r="U542" s="8">
        <f>IF(O542="",Table1[[#This Row],[Estimated LDL (mg/dL)2]]+Table1[[#This Row],[HDL (mg/dL)2]]+(Table1[[#This Row],[Triglycerides]]/5),O542)</f>
        <v>162</v>
      </c>
      <c r="V542">
        <v>118</v>
      </c>
      <c r="W542" s="8">
        <f t="shared" si="122"/>
        <v>118</v>
      </c>
      <c r="X542" t="str">
        <f t="shared" si="123"/>
        <v>Prediabetes</v>
      </c>
      <c r="Y542" t="s">
        <v>23</v>
      </c>
      <c r="Z542" t="s">
        <v>23</v>
      </c>
      <c r="AA542" t="s">
        <v>28</v>
      </c>
      <c r="AB542" s="3" t="s">
        <v>511</v>
      </c>
      <c r="AC542">
        <v>119</v>
      </c>
      <c r="AD542" s="3" t="str">
        <f t="shared" si="124"/>
        <v>119</v>
      </c>
      <c r="AE542">
        <v>88</v>
      </c>
      <c r="AF542" s="3" t="str">
        <f t="shared" si="125"/>
        <v>88</v>
      </c>
      <c r="AG542" t="s">
        <v>29</v>
      </c>
      <c r="AH542" s="3">
        <v>14.11</v>
      </c>
      <c r="AI542" s="3">
        <f t="shared" si="126"/>
        <v>14.11</v>
      </c>
      <c r="AJ542" t="s">
        <v>30</v>
      </c>
      <c r="AK542" t="str">
        <f>PROPER(Table1[[#This Row],[CVD Risk Level]])</f>
        <v>High</v>
      </c>
    </row>
    <row r="543" spans="1:37" x14ac:dyDescent="0.3">
      <c r="A543" t="s">
        <v>20</v>
      </c>
      <c r="B543">
        <v>51</v>
      </c>
      <c r="C543" s="8">
        <f t="shared" si="115"/>
        <v>51</v>
      </c>
      <c r="D543" s="5">
        <v>117.3</v>
      </c>
      <c r="E543" s="8">
        <f t="shared" si="116"/>
        <v>117.3</v>
      </c>
      <c r="F543">
        <v>1.88</v>
      </c>
      <c r="G543" s="3">
        <f t="shared" si="117"/>
        <v>1.88</v>
      </c>
      <c r="I543" s="5">
        <f t="shared" si="113"/>
        <v>33.188094160253513</v>
      </c>
      <c r="J543" s="16" t="str">
        <f t="shared" si="118"/>
        <v>Obese</v>
      </c>
      <c r="K543">
        <v>96.5</v>
      </c>
      <c r="L543">
        <v>0.51300000000000001</v>
      </c>
      <c r="M543" s="11">
        <f t="shared" si="114"/>
        <v>0.51300000000000001</v>
      </c>
      <c r="N543" s="5">
        <f t="shared" si="119"/>
        <v>96.5</v>
      </c>
      <c r="O543">
        <v>224</v>
      </c>
      <c r="Q543" s="8">
        <f t="shared" si="120"/>
        <v>56.197377501725327</v>
      </c>
      <c r="R543" s="8">
        <v>114</v>
      </c>
      <c r="S543" s="8">
        <f>IF(R543&lt;=0,MEDIAN($R$2:$R$1530),R543)</f>
        <v>114</v>
      </c>
      <c r="T543" s="8">
        <f>(Table1[[#This Row],[Total Cholesterol (mg/dL)]]+Table1[[#This Row],[HDL (mg/dL)2]]+Table1[[#This Row],[Estimated LDL (mg/dL)2]])*5</f>
        <v>1970.9868875086268</v>
      </c>
      <c r="U543" s="8">
        <f>IF(O543="",Table1[[#This Row],[Estimated LDL (mg/dL)2]]+Table1[[#This Row],[HDL (mg/dL)2]]+(Table1[[#This Row],[Triglycerides]]/5),O543)</f>
        <v>224</v>
      </c>
      <c r="V543">
        <v>120</v>
      </c>
      <c r="W543" s="8">
        <f t="shared" si="122"/>
        <v>120</v>
      </c>
      <c r="X543" t="str">
        <f t="shared" si="123"/>
        <v>Prediabetes</v>
      </c>
      <c r="Y543" t="s">
        <v>22</v>
      </c>
      <c r="Z543" t="s">
        <v>23</v>
      </c>
      <c r="AA543" t="s">
        <v>28</v>
      </c>
      <c r="AB543" s="3" t="s">
        <v>439</v>
      </c>
      <c r="AC543">
        <v>120</v>
      </c>
      <c r="AD543" s="3" t="str">
        <f t="shared" si="124"/>
        <v>120</v>
      </c>
      <c r="AF543" s="3" t="str">
        <f t="shared" si="125"/>
        <v>70</v>
      </c>
      <c r="AG543" t="s">
        <v>25</v>
      </c>
      <c r="AH543" s="3">
        <v>19.12</v>
      </c>
      <c r="AI543" s="3">
        <f t="shared" si="126"/>
        <v>19.12</v>
      </c>
      <c r="AJ543" t="s">
        <v>30</v>
      </c>
      <c r="AK543" t="str">
        <f>PROPER(Table1[[#This Row],[CVD Risk Level]])</f>
        <v>High</v>
      </c>
    </row>
    <row r="544" spans="1:37" x14ac:dyDescent="0.3">
      <c r="A544" t="s">
        <v>20</v>
      </c>
      <c r="B544">
        <v>55</v>
      </c>
      <c r="C544" s="8">
        <f t="shared" si="115"/>
        <v>55</v>
      </c>
      <c r="D544" s="5">
        <v>111.9</v>
      </c>
      <c r="E544" s="8">
        <f t="shared" si="116"/>
        <v>111.9</v>
      </c>
      <c r="F544">
        <v>1.81</v>
      </c>
      <c r="G544" s="3">
        <f t="shared" si="117"/>
        <v>1.81</v>
      </c>
      <c r="H544">
        <v>34.200000000000003</v>
      </c>
      <c r="I544" s="5">
        <f t="shared" si="113"/>
        <v>34.200000000000003</v>
      </c>
      <c r="J544" s="16" t="str">
        <f t="shared" si="118"/>
        <v>Obese</v>
      </c>
      <c r="K544">
        <v>95.2</v>
      </c>
      <c r="L544">
        <v>0.52600000000000002</v>
      </c>
      <c r="M544" s="11">
        <f t="shared" si="114"/>
        <v>0.52600000000000002</v>
      </c>
      <c r="N544" s="5">
        <f t="shared" si="119"/>
        <v>95.2</v>
      </c>
      <c r="O544">
        <v>129</v>
      </c>
      <c r="P544">
        <v>78</v>
      </c>
      <c r="Q544" s="8">
        <f t="shared" si="120"/>
        <v>78</v>
      </c>
      <c r="R544" s="8">
        <v>21</v>
      </c>
      <c r="S544" s="8">
        <f t="shared" si="121"/>
        <v>21</v>
      </c>
      <c r="T544" s="8">
        <f>(Table1[[#This Row],[Total Cholesterol (mg/dL)]]+Table1[[#This Row],[HDL (mg/dL)2]]+Table1[[#This Row],[Estimated LDL (mg/dL)2]])*5</f>
        <v>1140</v>
      </c>
      <c r="U544" s="8">
        <f>IF(O544="",Table1[[#This Row],[Estimated LDL (mg/dL)2]]+Table1[[#This Row],[HDL (mg/dL)2]]+(Table1[[#This Row],[Triglycerides]]/5),O544)</f>
        <v>129</v>
      </c>
      <c r="V544">
        <v>131</v>
      </c>
      <c r="W544" s="8">
        <f t="shared" si="122"/>
        <v>131</v>
      </c>
      <c r="X544" t="str">
        <f t="shared" si="123"/>
        <v>Diabetes</v>
      </c>
      <c r="Y544" t="s">
        <v>23</v>
      </c>
      <c r="Z544" t="s">
        <v>23</v>
      </c>
      <c r="AA544" t="s">
        <v>37</v>
      </c>
      <c r="AB544" s="3" t="s">
        <v>512</v>
      </c>
      <c r="AC544">
        <v>132</v>
      </c>
      <c r="AD544" s="3" t="str">
        <f t="shared" si="124"/>
        <v>132</v>
      </c>
      <c r="AE544">
        <v>71</v>
      </c>
      <c r="AF544" s="3" t="str">
        <f t="shared" si="125"/>
        <v>71</v>
      </c>
      <c r="AG544" t="s">
        <v>29</v>
      </c>
      <c r="AH544" s="3">
        <v>18.02</v>
      </c>
      <c r="AI544" s="3">
        <f t="shared" si="126"/>
        <v>18.02</v>
      </c>
      <c r="AJ544" t="s">
        <v>30</v>
      </c>
      <c r="AK544" t="str">
        <f>PROPER(Table1[[#This Row],[CVD Risk Level]])</f>
        <v>High</v>
      </c>
    </row>
    <row r="545" spans="1:37" x14ac:dyDescent="0.3">
      <c r="A545" t="s">
        <v>20</v>
      </c>
      <c r="C545" s="8">
        <f t="shared" si="115"/>
        <v>47.025499655410059</v>
      </c>
      <c r="D545" s="5">
        <v>57.5</v>
      </c>
      <c r="E545" s="8">
        <f t="shared" si="116"/>
        <v>57.5</v>
      </c>
      <c r="F545">
        <v>1.62</v>
      </c>
      <c r="G545" s="3">
        <f t="shared" si="117"/>
        <v>1.62</v>
      </c>
      <c r="H545">
        <v>21.9</v>
      </c>
      <c r="I545" s="5">
        <f t="shared" si="113"/>
        <v>21.9</v>
      </c>
      <c r="J545" s="16" t="str">
        <f t="shared" si="118"/>
        <v>Normal</v>
      </c>
      <c r="K545">
        <v>84.2</v>
      </c>
      <c r="L545">
        <v>0.52</v>
      </c>
      <c r="M545" s="11">
        <f t="shared" si="114"/>
        <v>0.52</v>
      </c>
      <c r="N545" s="5">
        <f t="shared" si="119"/>
        <v>84.2</v>
      </c>
      <c r="O545">
        <v>238</v>
      </c>
      <c r="P545">
        <v>73</v>
      </c>
      <c r="Q545" s="8">
        <f t="shared" si="120"/>
        <v>73</v>
      </c>
      <c r="R545" s="8">
        <v>135</v>
      </c>
      <c r="S545" s="8">
        <f t="shared" si="121"/>
        <v>135</v>
      </c>
      <c r="T545" s="8">
        <f>(Table1[[#This Row],[Total Cholesterol (mg/dL)]]+Table1[[#This Row],[HDL (mg/dL)2]]+Table1[[#This Row],[Estimated LDL (mg/dL)2]])*5</f>
        <v>2230</v>
      </c>
      <c r="U545" s="8">
        <f>IF(O545="",Table1[[#This Row],[Estimated LDL (mg/dL)2]]+Table1[[#This Row],[HDL (mg/dL)2]]+(Table1[[#This Row],[Triglycerides]]/5),O545)</f>
        <v>238</v>
      </c>
      <c r="V545">
        <v>126</v>
      </c>
      <c r="W545" s="8">
        <f t="shared" si="122"/>
        <v>126</v>
      </c>
      <c r="X545" t="str">
        <f t="shared" si="123"/>
        <v>Diabetes</v>
      </c>
      <c r="Y545" t="s">
        <v>23</v>
      </c>
      <c r="Z545" t="s">
        <v>22</v>
      </c>
      <c r="AA545" t="s">
        <v>28</v>
      </c>
      <c r="AB545" s="3" t="s">
        <v>513</v>
      </c>
      <c r="AC545">
        <v>118</v>
      </c>
      <c r="AD545" s="3" t="str">
        <f t="shared" si="124"/>
        <v>118</v>
      </c>
      <c r="AE545">
        <v>76</v>
      </c>
      <c r="AF545" s="3" t="str">
        <f t="shared" si="125"/>
        <v>76</v>
      </c>
      <c r="AG545" t="s">
        <v>33</v>
      </c>
      <c r="AH545" s="3">
        <v>15.04</v>
      </c>
      <c r="AI545" s="3">
        <f t="shared" si="126"/>
        <v>15.04</v>
      </c>
      <c r="AJ545" t="s">
        <v>30</v>
      </c>
      <c r="AK545" t="str">
        <f>PROPER(Table1[[#This Row],[CVD Risk Level]])</f>
        <v>High</v>
      </c>
    </row>
    <row r="546" spans="1:37" x14ac:dyDescent="0.3">
      <c r="A546" t="s">
        <v>31</v>
      </c>
      <c r="B546">
        <v>49</v>
      </c>
      <c r="C546" s="8">
        <f t="shared" si="115"/>
        <v>49</v>
      </c>
      <c r="E546" s="8">
        <f t="shared" si="116"/>
        <v>112.53033999999998</v>
      </c>
      <c r="F546">
        <v>1.69</v>
      </c>
      <c r="G546" s="3">
        <f t="shared" si="117"/>
        <v>1.69</v>
      </c>
      <c r="H546">
        <v>39.4</v>
      </c>
      <c r="I546" s="5">
        <f t="shared" si="113"/>
        <v>39.4</v>
      </c>
      <c r="J546" s="16" t="str">
        <f t="shared" si="118"/>
        <v>Obese</v>
      </c>
      <c r="K546">
        <v>102.6</v>
      </c>
      <c r="L546">
        <v>0.60699999999999998</v>
      </c>
      <c r="M546" s="11">
        <f t="shared" si="114"/>
        <v>0.60699999999999998</v>
      </c>
      <c r="N546" s="5">
        <f t="shared" si="119"/>
        <v>102.6</v>
      </c>
      <c r="O546">
        <v>121</v>
      </c>
      <c r="P546">
        <v>77</v>
      </c>
      <c r="Q546" s="8">
        <f t="shared" si="120"/>
        <v>77</v>
      </c>
      <c r="R546" s="8">
        <v>14</v>
      </c>
      <c r="S546" s="8">
        <f t="shared" si="121"/>
        <v>14</v>
      </c>
      <c r="T546" s="8">
        <f>(Table1[[#This Row],[Total Cholesterol (mg/dL)]]+Table1[[#This Row],[HDL (mg/dL)2]]+Table1[[#This Row],[Estimated LDL (mg/dL)2]])*5</f>
        <v>1060</v>
      </c>
      <c r="U546" s="8">
        <f>IF(O546="",Table1[[#This Row],[Estimated LDL (mg/dL)2]]+Table1[[#This Row],[HDL (mg/dL)2]]+(Table1[[#This Row],[Triglycerides]]/5),O546)</f>
        <v>121</v>
      </c>
      <c r="V546">
        <v>88</v>
      </c>
      <c r="W546" s="8">
        <f t="shared" si="122"/>
        <v>88</v>
      </c>
      <c r="X546" t="str">
        <f t="shared" si="123"/>
        <v>Normal</v>
      </c>
      <c r="Y546" t="s">
        <v>22</v>
      </c>
      <c r="Z546" t="s">
        <v>23</v>
      </c>
      <c r="AA546" t="s">
        <v>24</v>
      </c>
      <c r="AB546" s="3" t="s">
        <v>302</v>
      </c>
      <c r="AC546">
        <v>110</v>
      </c>
      <c r="AD546" s="3" t="str">
        <f t="shared" si="124"/>
        <v>110</v>
      </c>
      <c r="AE546">
        <v>77</v>
      </c>
      <c r="AF546" s="3" t="str">
        <f t="shared" si="125"/>
        <v>77</v>
      </c>
      <c r="AG546" t="s">
        <v>33</v>
      </c>
      <c r="AH546" s="3">
        <v>17.8</v>
      </c>
      <c r="AI546" s="3">
        <f t="shared" si="126"/>
        <v>17.8</v>
      </c>
      <c r="AJ546" t="s">
        <v>30</v>
      </c>
      <c r="AK546" t="str">
        <f>PROPER(Table1[[#This Row],[CVD Risk Level]])</f>
        <v>High</v>
      </c>
    </row>
    <row r="547" spans="1:37" x14ac:dyDescent="0.3">
      <c r="A547" t="s">
        <v>31</v>
      </c>
      <c r="B547">
        <v>51</v>
      </c>
      <c r="C547" s="8">
        <f t="shared" si="115"/>
        <v>51</v>
      </c>
      <c r="D547" s="5">
        <v>106.9</v>
      </c>
      <c r="E547" s="8">
        <f t="shared" si="116"/>
        <v>106.9</v>
      </c>
      <c r="F547">
        <v>1.68</v>
      </c>
      <c r="G547" s="3">
        <f t="shared" si="117"/>
        <v>1.68</v>
      </c>
      <c r="H547">
        <v>37.9</v>
      </c>
      <c r="I547" s="5">
        <f t="shared" si="113"/>
        <v>37.9</v>
      </c>
      <c r="J547" s="16" t="str">
        <f t="shared" si="118"/>
        <v>Obese</v>
      </c>
      <c r="K547">
        <v>101.7</v>
      </c>
      <c r="L547">
        <v>0.60499999999999998</v>
      </c>
      <c r="M547" s="11">
        <f t="shared" si="114"/>
        <v>0.60499999999999998</v>
      </c>
      <c r="N547" s="5">
        <f t="shared" si="119"/>
        <v>101.7</v>
      </c>
      <c r="O547">
        <v>266</v>
      </c>
      <c r="P547">
        <v>58</v>
      </c>
      <c r="Q547" s="8">
        <f t="shared" si="120"/>
        <v>58</v>
      </c>
      <c r="R547" s="8">
        <v>178</v>
      </c>
      <c r="S547" s="8">
        <f t="shared" si="121"/>
        <v>178</v>
      </c>
      <c r="T547" s="8">
        <f>(Table1[[#This Row],[Total Cholesterol (mg/dL)]]+Table1[[#This Row],[HDL (mg/dL)2]]+Table1[[#This Row],[Estimated LDL (mg/dL)2]])*5</f>
        <v>2510</v>
      </c>
      <c r="U547" s="8">
        <f>IF(O547="",Table1[[#This Row],[Estimated LDL (mg/dL)2]]+Table1[[#This Row],[HDL (mg/dL)2]]+(Table1[[#This Row],[Triglycerides]]/5),O547)</f>
        <v>266</v>
      </c>
      <c r="V547">
        <v>120</v>
      </c>
      <c r="W547" s="8">
        <f t="shared" si="122"/>
        <v>120</v>
      </c>
      <c r="X547" t="str">
        <f t="shared" si="123"/>
        <v>Prediabetes</v>
      </c>
      <c r="Y547" t="s">
        <v>23</v>
      </c>
      <c r="Z547" t="s">
        <v>23</v>
      </c>
      <c r="AA547" t="s">
        <v>24</v>
      </c>
      <c r="AB547" s="3" t="s">
        <v>514</v>
      </c>
      <c r="AD547" s="3" t="str">
        <f t="shared" si="124"/>
        <v>102</v>
      </c>
      <c r="AE547">
        <v>99</v>
      </c>
      <c r="AF547" s="3" t="str">
        <f t="shared" si="125"/>
        <v>99</v>
      </c>
      <c r="AG547" t="s">
        <v>38</v>
      </c>
      <c r="AH547" s="3">
        <v>20</v>
      </c>
      <c r="AI547" s="3">
        <f t="shared" si="126"/>
        <v>20</v>
      </c>
      <c r="AJ547" t="s">
        <v>30</v>
      </c>
      <c r="AK547" t="str">
        <f>PROPER(Table1[[#This Row],[CVD Risk Level]])</f>
        <v>High</v>
      </c>
    </row>
    <row r="548" spans="1:37" x14ac:dyDescent="0.3">
      <c r="A548" t="s">
        <v>31</v>
      </c>
      <c r="B548">
        <v>37</v>
      </c>
      <c r="C548" s="8">
        <f t="shared" si="115"/>
        <v>37</v>
      </c>
      <c r="E548" s="8">
        <f t="shared" si="116"/>
        <v>91.524329999999992</v>
      </c>
      <c r="F548">
        <v>1.71</v>
      </c>
      <c r="G548" s="3">
        <f t="shared" si="117"/>
        <v>1.71</v>
      </c>
      <c r="H548">
        <v>31.3</v>
      </c>
      <c r="I548" s="5">
        <f t="shared" si="113"/>
        <v>31.3</v>
      </c>
      <c r="J548" s="16" t="str">
        <f t="shared" si="118"/>
        <v>Obese</v>
      </c>
      <c r="K548">
        <v>104.2</v>
      </c>
      <c r="L548">
        <v>0.60899999999999999</v>
      </c>
      <c r="M548" s="11">
        <f t="shared" si="114"/>
        <v>0.60899999999999999</v>
      </c>
      <c r="N548" s="5">
        <f t="shared" si="119"/>
        <v>104.2</v>
      </c>
      <c r="O548">
        <v>193</v>
      </c>
      <c r="P548">
        <v>63</v>
      </c>
      <c r="Q548" s="8">
        <f t="shared" si="120"/>
        <v>63</v>
      </c>
      <c r="R548" s="8">
        <v>100</v>
      </c>
      <c r="S548" s="8">
        <f t="shared" si="121"/>
        <v>100</v>
      </c>
      <c r="T548" s="8">
        <f>(Table1[[#This Row],[Total Cholesterol (mg/dL)]]+Table1[[#This Row],[HDL (mg/dL)2]]+Table1[[#This Row],[Estimated LDL (mg/dL)2]])*5</f>
        <v>1780</v>
      </c>
      <c r="U548" s="8">
        <f>IF(O548="",Table1[[#This Row],[Estimated LDL (mg/dL)2]]+Table1[[#This Row],[HDL (mg/dL)2]]+(Table1[[#This Row],[Triglycerides]]/5),O548)</f>
        <v>193</v>
      </c>
      <c r="W548" s="8">
        <f t="shared" si="122"/>
        <v>117.48563611491107</v>
      </c>
      <c r="X548" t="str">
        <f t="shared" si="123"/>
        <v>Prediabetes</v>
      </c>
      <c r="Y548" t="s">
        <v>22</v>
      </c>
      <c r="Z548" t="s">
        <v>23</v>
      </c>
      <c r="AA548" t="s">
        <v>28</v>
      </c>
      <c r="AB548" s="3" t="s">
        <v>515</v>
      </c>
      <c r="AC548">
        <v>130</v>
      </c>
      <c r="AD548" s="3" t="str">
        <f t="shared" si="124"/>
        <v>130</v>
      </c>
      <c r="AE548">
        <v>89</v>
      </c>
      <c r="AF548" s="3" t="str">
        <f t="shared" si="125"/>
        <v>89</v>
      </c>
      <c r="AG548" t="s">
        <v>29</v>
      </c>
      <c r="AH548" s="3">
        <v>18.62</v>
      </c>
      <c r="AI548" s="3">
        <f t="shared" si="126"/>
        <v>18.62</v>
      </c>
      <c r="AJ548" t="s">
        <v>26</v>
      </c>
      <c r="AK548" t="str">
        <f>PROPER(Table1[[#This Row],[CVD Risk Level]])</f>
        <v>Intermediary</v>
      </c>
    </row>
    <row r="549" spans="1:37" x14ac:dyDescent="0.3">
      <c r="A549" t="s">
        <v>20</v>
      </c>
      <c r="B549">
        <v>42</v>
      </c>
      <c r="C549" s="8">
        <f t="shared" si="115"/>
        <v>42</v>
      </c>
      <c r="D549" s="5">
        <v>85.9</v>
      </c>
      <c r="E549" s="8">
        <f t="shared" si="116"/>
        <v>85.9</v>
      </c>
      <c r="F549">
        <v>1.8</v>
      </c>
      <c r="G549" s="3">
        <f t="shared" si="117"/>
        <v>1.8</v>
      </c>
      <c r="H549">
        <v>26.5</v>
      </c>
      <c r="I549" s="5">
        <f t="shared" si="113"/>
        <v>26.5</v>
      </c>
      <c r="J549" s="16" t="str">
        <f t="shared" si="118"/>
        <v>Overweight</v>
      </c>
      <c r="K549">
        <v>89.7</v>
      </c>
      <c r="L549">
        <v>0.498</v>
      </c>
      <c r="M549" s="11">
        <f t="shared" si="114"/>
        <v>0.498</v>
      </c>
      <c r="N549" s="5">
        <f t="shared" si="119"/>
        <v>89.7</v>
      </c>
      <c r="O549">
        <v>271</v>
      </c>
      <c r="P549">
        <v>49</v>
      </c>
      <c r="Q549" s="8">
        <f t="shared" si="120"/>
        <v>49</v>
      </c>
      <c r="R549" s="8">
        <v>192</v>
      </c>
      <c r="S549" s="8">
        <f t="shared" si="121"/>
        <v>192</v>
      </c>
      <c r="T549" s="8">
        <f>(Table1[[#This Row],[Total Cholesterol (mg/dL)]]+Table1[[#This Row],[HDL (mg/dL)2]]+Table1[[#This Row],[Estimated LDL (mg/dL)2]])*5</f>
        <v>2560</v>
      </c>
      <c r="U549" s="8">
        <f>IF(O549="",Table1[[#This Row],[Estimated LDL (mg/dL)2]]+Table1[[#This Row],[HDL (mg/dL)2]]+(Table1[[#This Row],[Triglycerides]]/5),O549)</f>
        <v>271</v>
      </c>
      <c r="V549">
        <v>124</v>
      </c>
      <c r="W549" s="8">
        <f t="shared" si="122"/>
        <v>124</v>
      </c>
      <c r="X549" t="str">
        <f t="shared" si="123"/>
        <v>Prediabetes</v>
      </c>
      <c r="Y549" t="s">
        <v>23</v>
      </c>
      <c r="Z549" t="s">
        <v>22</v>
      </c>
      <c r="AA549" t="s">
        <v>37</v>
      </c>
      <c r="AB549" s="3" t="s">
        <v>250</v>
      </c>
      <c r="AC549">
        <v>141</v>
      </c>
      <c r="AD549" s="3" t="str">
        <f t="shared" si="124"/>
        <v>141</v>
      </c>
      <c r="AE549">
        <v>78</v>
      </c>
      <c r="AF549" s="3" t="str">
        <f t="shared" si="125"/>
        <v>78</v>
      </c>
      <c r="AG549" t="s">
        <v>38</v>
      </c>
      <c r="AH549" s="3">
        <v>17.77</v>
      </c>
      <c r="AI549" s="3">
        <f t="shared" si="126"/>
        <v>17.77</v>
      </c>
      <c r="AJ549" t="s">
        <v>30</v>
      </c>
      <c r="AK549" t="str">
        <f>PROPER(Table1[[#This Row],[CVD Risk Level]])</f>
        <v>High</v>
      </c>
    </row>
    <row r="550" spans="1:37" x14ac:dyDescent="0.3">
      <c r="A550" t="s">
        <v>20</v>
      </c>
      <c r="B550">
        <v>60</v>
      </c>
      <c r="C550" s="8">
        <f t="shared" si="115"/>
        <v>60</v>
      </c>
      <c r="D550" s="5">
        <v>51.8</v>
      </c>
      <c r="E550" s="8">
        <f t="shared" si="116"/>
        <v>51.8</v>
      </c>
      <c r="F550">
        <v>1.67</v>
      </c>
      <c r="G550" s="3">
        <f t="shared" si="117"/>
        <v>1.67</v>
      </c>
      <c r="H550">
        <v>18.600000000000001</v>
      </c>
      <c r="I550" s="5">
        <f t="shared" si="113"/>
        <v>18.600000000000001</v>
      </c>
      <c r="J550" s="16" t="str">
        <f t="shared" si="118"/>
        <v>Normal</v>
      </c>
      <c r="K550">
        <v>87.8</v>
      </c>
      <c r="L550">
        <v>0.52600000000000002</v>
      </c>
      <c r="M550" s="11">
        <f t="shared" si="114"/>
        <v>0.52600000000000002</v>
      </c>
      <c r="N550" s="5">
        <f t="shared" si="119"/>
        <v>87.8</v>
      </c>
      <c r="O550">
        <v>198</v>
      </c>
      <c r="P550">
        <v>53</v>
      </c>
      <c r="Q550" s="8">
        <f t="shared" si="120"/>
        <v>53</v>
      </c>
      <c r="R550" s="8">
        <v>115</v>
      </c>
      <c r="S550" s="8">
        <f t="shared" si="121"/>
        <v>115</v>
      </c>
      <c r="T550" s="8">
        <f>(Table1[[#This Row],[Total Cholesterol (mg/dL)]]+Table1[[#This Row],[HDL (mg/dL)2]]+Table1[[#This Row],[Estimated LDL (mg/dL)2]])*5</f>
        <v>1830</v>
      </c>
      <c r="U550" s="8">
        <f>IF(O550="",Table1[[#This Row],[Estimated LDL (mg/dL)2]]+Table1[[#This Row],[HDL (mg/dL)2]]+(Table1[[#This Row],[Triglycerides]]/5),O550)</f>
        <v>198</v>
      </c>
      <c r="V550">
        <v>117</v>
      </c>
      <c r="W550" s="8">
        <f t="shared" si="122"/>
        <v>117</v>
      </c>
      <c r="X550" t="str">
        <f t="shared" si="123"/>
        <v>Prediabetes</v>
      </c>
      <c r="Y550" t="s">
        <v>22</v>
      </c>
      <c r="Z550" t="s">
        <v>23</v>
      </c>
      <c r="AA550" t="s">
        <v>28</v>
      </c>
      <c r="AB550" s="3" t="s">
        <v>442</v>
      </c>
      <c r="AC550">
        <v>95</v>
      </c>
      <c r="AD550" s="3" t="str">
        <f t="shared" si="124"/>
        <v>95</v>
      </c>
      <c r="AE550">
        <v>94</v>
      </c>
      <c r="AF550" s="3" t="str">
        <f t="shared" si="125"/>
        <v>94</v>
      </c>
      <c r="AG550" t="s">
        <v>38</v>
      </c>
      <c r="AH550" s="3">
        <v>14.43</v>
      </c>
      <c r="AI550" s="3">
        <f t="shared" si="126"/>
        <v>14.43</v>
      </c>
      <c r="AJ550" t="s">
        <v>26</v>
      </c>
      <c r="AK550" t="str">
        <f>PROPER(Table1[[#This Row],[CVD Risk Level]])</f>
        <v>Intermediary</v>
      </c>
    </row>
    <row r="551" spans="1:37" x14ac:dyDescent="0.3">
      <c r="A551" t="s">
        <v>20</v>
      </c>
      <c r="B551">
        <v>50</v>
      </c>
      <c r="C551" s="8">
        <f t="shared" si="115"/>
        <v>50</v>
      </c>
      <c r="D551" s="5">
        <v>87.5</v>
      </c>
      <c r="E551" s="8">
        <f t="shared" si="116"/>
        <v>87.5</v>
      </c>
      <c r="F551">
        <v>1.69</v>
      </c>
      <c r="G551" s="3">
        <f t="shared" si="117"/>
        <v>1.69</v>
      </c>
      <c r="H551">
        <v>30.6</v>
      </c>
      <c r="I551" s="5">
        <f t="shared" si="113"/>
        <v>30.6</v>
      </c>
      <c r="J551" s="16" t="str">
        <f t="shared" si="118"/>
        <v>Obese</v>
      </c>
      <c r="K551">
        <v>84.1</v>
      </c>
      <c r="L551">
        <v>0.498</v>
      </c>
      <c r="M551" s="11">
        <f t="shared" si="114"/>
        <v>0.498</v>
      </c>
      <c r="N551" s="5">
        <f t="shared" si="119"/>
        <v>84.1</v>
      </c>
      <c r="O551">
        <v>217</v>
      </c>
      <c r="P551">
        <v>42</v>
      </c>
      <c r="Q551" s="8">
        <f t="shared" si="120"/>
        <v>42</v>
      </c>
      <c r="R551" s="8">
        <v>145</v>
      </c>
      <c r="S551" s="8">
        <f t="shared" si="121"/>
        <v>145</v>
      </c>
      <c r="T551" s="8">
        <f>(Table1[[#This Row],[Total Cholesterol (mg/dL)]]+Table1[[#This Row],[HDL (mg/dL)2]]+Table1[[#This Row],[Estimated LDL (mg/dL)2]])*5</f>
        <v>2020</v>
      </c>
      <c r="U551" s="8">
        <f>IF(O551="",Table1[[#This Row],[Estimated LDL (mg/dL)2]]+Table1[[#This Row],[HDL (mg/dL)2]]+(Table1[[#This Row],[Triglycerides]]/5),O551)</f>
        <v>217</v>
      </c>
      <c r="V551">
        <v>93</v>
      </c>
      <c r="W551" s="8">
        <f t="shared" si="122"/>
        <v>93</v>
      </c>
      <c r="X551" t="str">
        <f t="shared" si="123"/>
        <v>Normal</v>
      </c>
      <c r="Y551" t="s">
        <v>23</v>
      </c>
      <c r="Z551" t="s">
        <v>22</v>
      </c>
      <c r="AA551" t="s">
        <v>37</v>
      </c>
      <c r="AB551" s="3" t="s">
        <v>234</v>
      </c>
      <c r="AC551">
        <v>110</v>
      </c>
      <c r="AD551" s="3" t="str">
        <f t="shared" si="124"/>
        <v>110</v>
      </c>
      <c r="AE551">
        <v>81</v>
      </c>
      <c r="AF551" s="3" t="str">
        <f t="shared" si="125"/>
        <v>81</v>
      </c>
      <c r="AG551" t="s">
        <v>29</v>
      </c>
      <c r="AH551" s="3">
        <v>15.96</v>
      </c>
      <c r="AI551" s="3">
        <f t="shared" si="126"/>
        <v>15.96</v>
      </c>
      <c r="AJ551" t="s">
        <v>30</v>
      </c>
      <c r="AK551" t="str">
        <f>PROPER(Table1[[#This Row],[CVD Risk Level]])</f>
        <v>High</v>
      </c>
    </row>
    <row r="552" spans="1:37" x14ac:dyDescent="0.3">
      <c r="A552" t="s">
        <v>20</v>
      </c>
      <c r="B552">
        <v>48</v>
      </c>
      <c r="C552" s="8">
        <f t="shared" si="115"/>
        <v>48</v>
      </c>
      <c r="D552" s="5">
        <v>117.8</v>
      </c>
      <c r="E552" s="8">
        <f t="shared" si="116"/>
        <v>117.8</v>
      </c>
      <c r="F552">
        <v>1.86</v>
      </c>
      <c r="G552" s="3">
        <f t="shared" si="117"/>
        <v>1.86</v>
      </c>
      <c r="H552">
        <v>34.1</v>
      </c>
      <c r="I552" s="5">
        <f t="shared" si="113"/>
        <v>34.1</v>
      </c>
      <c r="J552" s="16" t="str">
        <f t="shared" si="118"/>
        <v>Obese</v>
      </c>
      <c r="K552">
        <v>73.3</v>
      </c>
      <c r="L552">
        <v>0.39400000000000002</v>
      </c>
      <c r="M552" s="11">
        <f t="shared" si="114"/>
        <v>0.39400000000000002</v>
      </c>
      <c r="N552" s="5">
        <f t="shared" si="119"/>
        <v>73.3</v>
      </c>
      <c r="O552">
        <v>100</v>
      </c>
      <c r="P552">
        <v>69</v>
      </c>
      <c r="Q552" s="8">
        <f t="shared" si="120"/>
        <v>69</v>
      </c>
      <c r="R552" s="8">
        <v>1</v>
      </c>
      <c r="S552" s="8">
        <f t="shared" si="121"/>
        <v>1</v>
      </c>
      <c r="T552" s="8">
        <f>(Table1[[#This Row],[Total Cholesterol (mg/dL)]]+Table1[[#This Row],[HDL (mg/dL)2]]+Table1[[#This Row],[Estimated LDL (mg/dL)2]])*5</f>
        <v>850</v>
      </c>
      <c r="U552" s="8">
        <f>IF(O552="",Table1[[#This Row],[Estimated LDL (mg/dL)2]]+Table1[[#This Row],[HDL (mg/dL)2]]+(Table1[[#This Row],[Triglycerides]]/5),O552)</f>
        <v>100</v>
      </c>
      <c r="V552">
        <v>150</v>
      </c>
      <c r="W552" s="8">
        <f t="shared" si="122"/>
        <v>150</v>
      </c>
      <c r="X552" t="str">
        <f t="shared" si="123"/>
        <v>Diabetes</v>
      </c>
      <c r="Y552" t="s">
        <v>22</v>
      </c>
      <c r="Z552" t="s">
        <v>22</v>
      </c>
      <c r="AA552" t="s">
        <v>24</v>
      </c>
      <c r="AB552" s="3" t="s">
        <v>516</v>
      </c>
      <c r="AC552">
        <v>116</v>
      </c>
      <c r="AD552" s="3" t="str">
        <f t="shared" si="124"/>
        <v>116</v>
      </c>
      <c r="AE552">
        <v>91</v>
      </c>
      <c r="AF552" s="3" t="str">
        <f t="shared" si="125"/>
        <v>91</v>
      </c>
      <c r="AG552" t="s">
        <v>38</v>
      </c>
      <c r="AH552" s="3">
        <v>14.62</v>
      </c>
      <c r="AI552" s="3">
        <f t="shared" si="126"/>
        <v>14.62</v>
      </c>
      <c r="AJ552" t="s">
        <v>26</v>
      </c>
      <c r="AK552" t="str">
        <f>PROPER(Table1[[#This Row],[CVD Risk Level]])</f>
        <v>Intermediary</v>
      </c>
    </row>
    <row r="553" spans="1:37" x14ac:dyDescent="0.3">
      <c r="A553" t="s">
        <v>31</v>
      </c>
      <c r="B553">
        <v>57</v>
      </c>
      <c r="C553" s="8">
        <f t="shared" si="115"/>
        <v>57</v>
      </c>
      <c r="D553" s="5">
        <v>117.4</v>
      </c>
      <c r="E553" s="8">
        <f t="shared" si="116"/>
        <v>117.4</v>
      </c>
      <c r="F553">
        <v>1.82</v>
      </c>
      <c r="G553" s="3">
        <f t="shared" si="117"/>
        <v>1.82</v>
      </c>
      <c r="H553">
        <v>35.4</v>
      </c>
      <c r="I553" s="5">
        <f t="shared" si="113"/>
        <v>35.4</v>
      </c>
      <c r="J553" s="16" t="str">
        <f t="shared" si="118"/>
        <v>Obese</v>
      </c>
      <c r="K553">
        <v>104.5</v>
      </c>
      <c r="L553">
        <v>0.57399999999999995</v>
      </c>
      <c r="M553" s="11">
        <f t="shared" si="114"/>
        <v>0.57399999999999995</v>
      </c>
      <c r="N553" s="5">
        <f t="shared" si="119"/>
        <v>104.5</v>
      </c>
      <c r="O553">
        <v>181</v>
      </c>
      <c r="P553">
        <v>66</v>
      </c>
      <c r="Q553" s="8">
        <f t="shared" si="120"/>
        <v>66</v>
      </c>
      <c r="R553" s="8">
        <v>85</v>
      </c>
      <c r="S553" s="8">
        <f t="shared" si="121"/>
        <v>85</v>
      </c>
      <c r="T553" s="8">
        <f>(Table1[[#This Row],[Total Cholesterol (mg/dL)]]+Table1[[#This Row],[HDL (mg/dL)2]]+Table1[[#This Row],[Estimated LDL (mg/dL)2]])*5</f>
        <v>1660</v>
      </c>
      <c r="U553" s="8">
        <f>IF(O553="",Table1[[#This Row],[Estimated LDL (mg/dL)2]]+Table1[[#This Row],[HDL (mg/dL)2]]+(Table1[[#This Row],[Triglycerides]]/5),O553)</f>
        <v>181</v>
      </c>
      <c r="V553">
        <v>101</v>
      </c>
      <c r="W553" s="8">
        <f t="shared" si="122"/>
        <v>101</v>
      </c>
      <c r="X553" t="str">
        <f t="shared" si="123"/>
        <v>Prediabetes</v>
      </c>
      <c r="Y553" t="s">
        <v>22</v>
      </c>
      <c r="Z553" t="s">
        <v>23</v>
      </c>
      <c r="AA553" t="s">
        <v>28</v>
      </c>
      <c r="AB553" s="3" t="s">
        <v>517</v>
      </c>
      <c r="AC553">
        <v>109</v>
      </c>
      <c r="AD553" s="3" t="str">
        <f t="shared" si="124"/>
        <v>109</v>
      </c>
      <c r="AE553">
        <v>76</v>
      </c>
      <c r="AF553" s="3" t="str">
        <f t="shared" si="125"/>
        <v>76</v>
      </c>
      <c r="AG553" t="s">
        <v>33</v>
      </c>
      <c r="AH553" s="3">
        <v>18.149999999999999</v>
      </c>
      <c r="AI553" s="3">
        <f t="shared" si="126"/>
        <v>18.149999999999999</v>
      </c>
      <c r="AJ553" t="s">
        <v>30</v>
      </c>
      <c r="AK553" t="str">
        <f>PROPER(Table1[[#This Row],[CVD Risk Level]])</f>
        <v>High</v>
      </c>
    </row>
    <row r="554" spans="1:37" x14ac:dyDescent="0.3">
      <c r="A554" t="s">
        <v>20</v>
      </c>
      <c r="B554">
        <v>47</v>
      </c>
      <c r="C554" s="8">
        <f t="shared" si="115"/>
        <v>47</v>
      </c>
      <c r="D554" s="5">
        <v>57.2</v>
      </c>
      <c r="E554" s="8">
        <f t="shared" si="116"/>
        <v>57.2</v>
      </c>
      <c r="F554">
        <v>1.74</v>
      </c>
      <c r="G554" s="3">
        <f t="shared" si="117"/>
        <v>1.74</v>
      </c>
      <c r="H554">
        <v>18.899999999999999</v>
      </c>
      <c r="I554" s="5">
        <f t="shared" si="113"/>
        <v>18.899999999999999</v>
      </c>
      <c r="J554" s="16" t="str">
        <f t="shared" si="118"/>
        <v>Normal</v>
      </c>
      <c r="K554">
        <v>87.3</v>
      </c>
      <c r="L554">
        <v>0.502</v>
      </c>
      <c r="M554" s="11">
        <f t="shared" si="114"/>
        <v>0.502</v>
      </c>
      <c r="N554" s="5">
        <f t="shared" si="119"/>
        <v>87.3</v>
      </c>
      <c r="O554">
        <v>231</v>
      </c>
      <c r="P554">
        <v>59</v>
      </c>
      <c r="Q554" s="8">
        <f t="shared" si="120"/>
        <v>59</v>
      </c>
      <c r="R554" s="8">
        <v>142</v>
      </c>
      <c r="S554" s="8">
        <f t="shared" si="121"/>
        <v>142</v>
      </c>
      <c r="T554" s="8">
        <f>(Table1[[#This Row],[Total Cholesterol (mg/dL)]]+Table1[[#This Row],[HDL (mg/dL)2]]+Table1[[#This Row],[Estimated LDL (mg/dL)2]])*5</f>
        <v>2160</v>
      </c>
      <c r="U554" s="8">
        <f>IF(O554="",Table1[[#This Row],[Estimated LDL (mg/dL)2]]+Table1[[#This Row],[HDL (mg/dL)2]]+(Table1[[#This Row],[Triglycerides]]/5),O554)</f>
        <v>231</v>
      </c>
      <c r="V554">
        <v>77</v>
      </c>
      <c r="W554" s="8">
        <f t="shared" si="122"/>
        <v>77</v>
      </c>
      <c r="X554" t="str">
        <f t="shared" si="123"/>
        <v>Normal</v>
      </c>
      <c r="Y554" t="s">
        <v>23</v>
      </c>
      <c r="Z554" t="s">
        <v>22</v>
      </c>
      <c r="AA554" t="s">
        <v>28</v>
      </c>
      <c r="AB554" s="3" t="s">
        <v>412</v>
      </c>
      <c r="AC554">
        <v>112</v>
      </c>
      <c r="AD554" s="3" t="str">
        <f t="shared" si="124"/>
        <v>112</v>
      </c>
      <c r="AE554">
        <v>97</v>
      </c>
      <c r="AF554" s="3" t="str">
        <f t="shared" si="125"/>
        <v>97</v>
      </c>
      <c r="AG554" t="s">
        <v>38</v>
      </c>
      <c r="AH554" s="3">
        <v>14</v>
      </c>
      <c r="AI554" s="3">
        <f t="shared" si="126"/>
        <v>14</v>
      </c>
      <c r="AJ554" t="s">
        <v>30</v>
      </c>
      <c r="AK554" t="str">
        <f>PROPER(Table1[[#This Row],[CVD Risk Level]])</f>
        <v>High</v>
      </c>
    </row>
    <row r="555" spans="1:37" x14ac:dyDescent="0.3">
      <c r="A555" t="s">
        <v>20</v>
      </c>
      <c r="B555">
        <v>38</v>
      </c>
      <c r="C555" s="8">
        <f t="shared" si="115"/>
        <v>38</v>
      </c>
      <c r="D555" s="5">
        <v>72.7</v>
      </c>
      <c r="E555" s="8">
        <f t="shared" si="116"/>
        <v>72.7</v>
      </c>
      <c r="F555">
        <v>1.77</v>
      </c>
      <c r="G555" s="3">
        <f t="shared" si="117"/>
        <v>1.77</v>
      </c>
      <c r="H555">
        <v>23.2</v>
      </c>
      <c r="I555" s="5">
        <f t="shared" si="113"/>
        <v>23.2</v>
      </c>
      <c r="J555" s="16" t="str">
        <f t="shared" si="118"/>
        <v>Normal</v>
      </c>
      <c r="K555">
        <v>82.2</v>
      </c>
      <c r="L555">
        <v>0.46400000000000002</v>
      </c>
      <c r="M555" s="11">
        <f t="shared" si="114"/>
        <v>0.46400000000000002</v>
      </c>
      <c r="N555" s="5">
        <f t="shared" si="119"/>
        <v>82.2</v>
      </c>
      <c r="O555">
        <v>263</v>
      </c>
      <c r="P555">
        <v>73</v>
      </c>
      <c r="Q555" s="8">
        <f t="shared" si="120"/>
        <v>73</v>
      </c>
      <c r="R555" s="8">
        <v>160</v>
      </c>
      <c r="S555" s="8">
        <f t="shared" si="121"/>
        <v>160</v>
      </c>
      <c r="T555" s="8">
        <f>(Table1[[#This Row],[Total Cholesterol (mg/dL)]]+Table1[[#This Row],[HDL (mg/dL)2]]+Table1[[#This Row],[Estimated LDL (mg/dL)2]])*5</f>
        <v>2480</v>
      </c>
      <c r="U555" s="8">
        <f>IF(O555="",Table1[[#This Row],[Estimated LDL (mg/dL)2]]+Table1[[#This Row],[HDL (mg/dL)2]]+(Table1[[#This Row],[Triglycerides]]/5),O555)</f>
        <v>263</v>
      </c>
      <c r="V555">
        <v>109</v>
      </c>
      <c r="W555" s="8">
        <f t="shared" si="122"/>
        <v>109</v>
      </c>
      <c r="X555" t="str">
        <f t="shared" si="123"/>
        <v>Prediabetes</v>
      </c>
      <c r="Y555" t="s">
        <v>22</v>
      </c>
      <c r="Z555" t="s">
        <v>23</v>
      </c>
      <c r="AA555" t="s">
        <v>37</v>
      </c>
      <c r="AB555" s="3" t="s">
        <v>518</v>
      </c>
      <c r="AC555">
        <v>142</v>
      </c>
      <c r="AD555" s="3" t="str">
        <f t="shared" si="124"/>
        <v>142</v>
      </c>
      <c r="AE555">
        <v>73</v>
      </c>
      <c r="AF555" s="3" t="str">
        <f t="shared" si="125"/>
        <v>73</v>
      </c>
      <c r="AG555" t="s">
        <v>38</v>
      </c>
      <c r="AH555" s="3">
        <v>19</v>
      </c>
      <c r="AI555" s="3">
        <f t="shared" si="126"/>
        <v>19</v>
      </c>
      <c r="AJ555" t="s">
        <v>26</v>
      </c>
      <c r="AK555" t="str">
        <f>PROPER(Table1[[#This Row],[CVD Risk Level]])</f>
        <v>Intermediary</v>
      </c>
    </row>
    <row r="556" spans="1:37" x14ac:dyDescent="0.3">
      <c r="A556" t="s">
        <v>20</v>
      </c>
      <c r="B556">
        <v>52</v>
      </c>
      <c r="C556" s="8">
        <f t="shared" si="115"/>
        <v>52</v>
      </c>
      <c r="D556" s="5">
        <v>97.8</v>
      </c>
      <c r="E556" s="8">
        <f t="shared" si="116"/>
        <v>97.8</v>
      </c>
      <c r="G556" s="3">
        <f t="shared" si="117"/>
        <v>1.7592432204958923</v>
      </c>
      <c r="H556">
        <v>31.6</v>
      </c>
      <c r="I556" s="5">
        <f t="shared" si="113"/>
        <v>31.6</v>
      </c>
      <c r="J556" s="16" t="str">
        <f t="shared" si="118"/>
        <v>Obese</v>
      </c>
      <c r="K556">
        <v>94.8</v>
      </c>
      <c r="L556">
        <v>0.53900000000000003</v>
      </c>
      <c r="M556" s="11">
        <f t="shared" si="114"/>
        <v>0.53900000000000003</v>
      </c>
      <c r="N556" s="5">
        <f t="shared" si="119"/>
        <v>94.8</v>
      </c>
      <c r="O556">
        <v>216</v>
      </c>
      <c r="P556">
        <v>50</v>
      </c>
      <c r="Q556" s="8">
        <f t="shared" si="120"/>
        <v>50</v>
      </c>
      <c r="R556" s="8">
        <v>136</v>
      </c>
      <c r="S556" s="8">
        <f t="shared" si="121"/>
        <v>136</v>
      </c>
      <c r="T556" s="8">
        <f>(Table1[[#This Row],[Total Cholesterol (mg/dL)]]+Table1[[#This Row],[HDL (mg/dL)2]]+Table1[[#This Row],[Estimated LDL (mg/dL)2]])*5</f>
        <v>2010</v>
      </c>
      <c r="U556" s="8">
        <f>IF(O556="",Table1[[#This Row],[Estimated LDL (mg/dL)2]]+Table1[[#This Row],[HDL (mg/dL)2]]+(Table1[[#This Row],[Triglycerides]]/5),O556)</f>
        <v>216</v>
      </c>
      <c r="V556">
        <v>101</v>
      </c>
      <c r="W556" s="8">
        <f t="shared" si="122"/>
        <v>101</v>
      </c>
      <c r="X556" t="str">
        <f t="shared" si="123"/>
        <v>Prediabetes</v>
      </c>
      <c r="Y556" t="s">
        <v>22</v>
      </c>
      <c r="Z556" t="s">
        <v>23</v>
      </c>
      <c r="AA556" t="s">
        <v>28</v>
      </c>
      <c r="AB556" s="3" t="s">
        <v>519</v>
      </c>
      <c r="AC556">
        <v>124</v>
      </c>
      <c r="AD556" s="3" t="str">
        <f t="shared" si="124"/>
        <v>124</v>
      </c>
      <c r="AE556">
        <v>92</v>
      </c>
      <c r="AF556" s="3" t="str">
        <f t="shared" si="125"/>
        <v>92</v>
      </c>
      <c r="AG556" t="s">
        <v>38</v>
      </c>
      <c r="AH556" s="3">
        <v>18.84</v>
      </c>
      <c r="AI556" s="3">
        <f t="shared" si="126"/>
        <v>18.84</v>
      </c>
      <c r="AJ556" t="s">
        <v>30</v>
      </c>
      <c r="AK556" t="str">
        <f>PROPER(Table1[[#This Row],[CVD Risk Level]])</f>
        <v>High</v>
      </c>
    </row>
    <row r="557" spans="1:37" x14ac:dyDescent="0.3">
      <c r="A557" t="s">
        <v>31</v>
      </c>
      <c r="B557">
        <v>41</v>
      </c>
      <c r="C557" s="8">
        <f t="shared" si="115"/>
        <v>41</v>
      </c>
      <c r="D557" s="5">
        <v>59</v>
      </c>
      <c r="E557" s="8">
        <f t="shared" si="116"/>
        <v>59</v>
      </c>
      <c r="F557">
        <v>1.74</v>
      </c>
      <c r="G557" s="3">
        <f t="shared" si="117"/>
        <v>1.74</v>
      </c>
      <c r="H557">
        <v>19.5</v>
      </c>
      <c r="I557" s="5">
        <f t="shared" si="113"/>
        <v>19.5</v>
      </c>
      <c r="J557" s="16" t="str">
        <f t="shared" si="118"/>
        <v>Normal</v>
      </c>
      <c r="L557">
        <v>0.62</v>
      </c>
      <c r="M557" s="11">
        <f t="shared" si="114"/>
        <v>0.62</v>
      </c>
      <c r="N557" s="5">
        <f t="shared" si="119"/>
        <v>107.88</v>
      </c>
      <c r="O557">
        <v>200</v>
      </c>
      <c r="P557">
        <v>58</v>
      </c>
      <c r="Q557" s="8">
        <f t="shared" si="120"/>
        <v>58</v>
      </c>
      <c r="R557" s="8">
        <v>112</v>
      </c>
      <c r="S557" s="8">
        <f t="shared" si="121"/>
        <v>112</v>
      </c>
      <c r="T557" s="8">
        <f>(Table1[[#This Row],[Total Cholesterol (mg/dL)]]+Table1[[#This Row],[HDL (mg/dL)2]]+Table1[[#This Row],[Estimated LDL (mg/dL)2]])*5</f>
        <v>1850</v>
      </c>
      <c r="U557" s="8">
        <f>IF(O557="",Table1[[#This Row],[Estimated LDL (mg/dL)2]]+Table1[[#This Row],[HDL (mg/dL)2]]+(Table1[[#This Row],[Triglycerides]]/5),O557)</f>
        <v>200</v>
      </c>
      <c r="V557">
        <v>104</v>
      </c>
      <c r="W557" s="8">
        <f t="shared" si="122"/>
        <v>104</v>
      </c>
      <c r="X557" t="str">
        <f t="shared" si="123"/>
        <v>Prediabetes</v>
      </c>
      <c r="Y557" t="s">
        <v>23</v>
      </c>
      <c r="Z557" t="s">
        <v>23</v>
      </c>
      <c r="AA557" t="s">
        <v>24</v>
      </c>
      <c r="AB557" s="3" t="s">
        <v>520</v>
      </c>
      <c r="AC557">
        <v>91</v>
      </c>
      <c r="AD557" s="3" t="str">
        <f t="shared" si="124"/>
        <v>91</v>
      </c>
      <c r="AE557">
        <v>81</v>
      </c>
      <c r="AF557" s="3" t="str">
        <f t="shared" si="125"/>
        <v>81</v>
      </c>
      <c r="AG557" t="s">
        <v>29</v>
      </c>
      <c r="AH557" s="3">
        <v>14.45</v>
      </c>
      <c r="AI557" s="3">
        <f t="shared" si="126"/>
        <v>14.45</v>
      </c>
      <c r="AJ557" t="s">
        <v>26</v>
      </c>
      <c r="AK557" t="str">
        <f>PROPER(Table1[[#This Row],[CVD Risk Level]])</f>
        <v>Intermediary</v>
      </c>
    </row>
    <row r="558" spans="1:37" x14ac:dyDescent="0.3">
      <c r="A558" t="s">
        <v>31</v>
      </c>
      <c r="B558">
        <v>30</v>
      </c>
      <c r="C558" s="8">
        <f t="shared" si="115"/>
        <v>30</v>
      </c>
      <c r="D558" s="5">
        <v>70.900000000000006</v>
      </c>
      <c r="E558" s="8">
        <f t="shared" si="116"/>
        <v>70.900000000000006</v>
      </c>
      <c r="F558">
        <v>1.82</v>
      </c>
      <c r="G558" s="3">
        <f t="shared" si="117"/>
        <v>1.82</v>
      </c>
      <c r="H558">
        <v>21.4</v>
      </c>
      <c r="I558" s="5">
        <f t="shared" si="113"/>
        <v>21.4</v>
      </c>
      <c r="J558" s="16" t="str">
        <f t="shared" si="118"/>
        <v>Normal</v>
      </c>
      <c r="K558">
        <v>94.3</v>
      </c>
      <c r="L558">
        <v>0.51800000000000002</v>
      </c>
      <c r="M558" s="11">
        <f t="shared" si="114"/>
        <v>0.51800000000000002</v>
      </c>
      <c r="N558" s="5">
        <f t="shared" si="119"/>
        <v>94.3</v>
      </c>
      <c r="O558">
        <v>254</v>
      </c>
      <c r="P558">
        <v>46</v>
      </c>
      <c r="Q558" s="8">
        <f t="shared" si="120"/>
        <v>46</v>
      </c>
      <c r="R558" s="8">
        <v>178</v>
      </c>
      <c r="S558" s="8">
        <f t="shared" si="121"/>
        <v>178</v>
      </c>
      <c r="T558" s="8">
        <f>(Table1[[#This Row],[Total Cholesterol (mg/dL)]]+Table1[[#This Row],[HDL (mg/dL)2]]+Table1[[#This Row],[Estimated LDL (mg/dL)2]])*5</f>
        <v>2390</v>
      </c>
      <c r="U558" s="8">
        <f>IF(O558="",Table1[[#This Row],[Estimated LDL (mg/dL)2]]+Table1[[#This Row],[HDL (mg/dL)2]]+(Table1[[#This Row],[Triglycerides]]/5),O558)</f>
        <v>254</v>
      </c>
      <c r="V558">
        <v>89</v>
      </c>
      <c r="W558" s="8">
        <f t="shared" si="122"/>
        <v>89</v>
      </c>
      <c r="X558" t="str">
        <f t="shared" si="123"/>
        <v>Normal</v>
      </c>
      <c r="Y558" t="s">
        <v>22</v>
      </c>
      <c r="Z558" t="s">
        <v>23</v>
      </c>
      <c r="AA558" t="s">
        <v>28</v>
      </c>
      <c r="AB558" s="3" t="s">
        <v>394</v>
      </c>
      <c r="AC558">
        <v>148</v>
      </c>
      <c r="AD558" s="3" t="str">
        <f t="shared" si="124"/>
        <v>148</v>
      </c>
      <c r="AF558" s="3" t="str">
        <f t="shared" si="125"/>
        <v>85</v>
      </c>
      <c r="AG558" t="s">
        <v>29</v>
      </c>
      <c r="AH558" s="3">
        <v>18.760000000000002</v>
      </c>
      <c r="AI558" s="3">
        <f t="shared" si="126"/>
        <v>18.760000000000002</v>
      </c>
      <c r="AJ558" t="s">
        <v>26</v>
      </c>
      <c r="AK558" t="str">
        <f>PROPER(Table1[[#This Row],[CVD Risk Level]])</f>
        <v>Intermediary</v>
      </c>
    </row>
    <row r="559" spans="1:37" x14ac:dyDescent="0.3">
      <c r="A559" t="s">
        <v>20</v>
      </c>
      <c r="B559">
        <v>33</v>
      </c>
      <c r="C559" s="8">
        <f t="shared" si="115"/>
        <v>33</v>
      </c>
      <c r="D559" s="5">
        <v>64.099999999999994</v>
      </c>
      <c r="E559" s="8">
        <f t="shared" si="116"/>
        <v>64.099999999999994</v>
      </c>
      <c r="F559">
        <v>1.86</v>
      </c>
      <c r="G559" s="3">
        <f t="shared" si="117"/>
        <v>1.86</v>
      </c>
      <c r="H559">
        <v>18.5</v>
      </c>
      <c r="I559" s="5">
        <f t="shared" si="113"/>
        <v>18.5</v>
      </c>
      <c r="J559" s="16" t="str">
        <f t="shared" si="118"/>
        <v>Normal</v>
      </c>
      <c r="L559">
        <v>0.45600000000000002</v>
      </c>
      <c r="M559" s="11">
        <f t="shared" si="114"/>
        <v>0.45600000000000002</v>
      </c>
      <c r="N559" s="5">
        <f t="shared" si="119"/>
        <v>84.816000000000003</v>
      </c>
      <c r="O559">
        <v>253</v>
      </c>
      <c r="P559">
        <v>46</v>
      </c>
      <c r="Q559" s="8">
        <f t="shared" si="120"/>
        <v>46</v>
      </c>
      <c r="R559" s="8">
        <v>177</v>
      </c>
      <c r="S559" s="8">
        <f t="shared" si="121"/>
        <v>177</v>
      </c>
      <c r="T559" s="8">
        <f>(Table1[[#This Row],[Total Cholesterol (mg/dL)]]+Table1[[#This Row],[HDL (mg/dL)2]]+Table1[[#This Row],[Estimated LDL (mg/dL)2]])*5</f>
        <v>2380</v>
      </c>
      <c r="U559" s="8">
        <f>IF(O559="",Table1[[#This Row],[Estimated LDL (mg/dL)2]]+Table1[[#This Row],[HDL (mg/dL)2]]+(Table1[[#This Row],[Triglycerides]]/5),O559)</f>
        <v>253</v>
      </c>
      <c r="V559">
        <v>103</v>
      </c>
      <c r="W559" s="8">
        <f t="shared" si="122"/>
        <v>103</v>
      </c>
      <c r="X559" t="str">
        <f t="shared" si="123"/>
        <v>Prediabetes</v>
      </c>
      <c r="Y559" t="s">
        <v>22</v>
      </c>
      <c r="Z559" t="s">
        <v>22</v>
      </c>
      <c r="AA559" t="s">
        <v>24</v>
      </c>
      <c r="AB559" s="3" t="s">
        <v>521</v>
      </c>
      <c r="AC559">
        <v>130</v>
      </c>
      <c r="AD559" s="3" t="str">
        <f t="shared" si="124"/>
        <v>130</v>
      </c>
      <c r="AE559">
        <v>99</v>
      </c>
      <c r="AF559" s="3" t="str">
        <f t="shared" si="125"/>
        <v>99</v>
      </c>
      <c r="AG559" t="s">
        <v>29</v>
      </c>
      <c r="AH559" s="3">
        <v>15.26</v>
      </c>
      <c r="AI559" s="3">
        <f t="shared" si="126"/>
        <v>15.26</v>
      </c>
      <c r="AJ559" t="s">
        <v>26</v>
      </c>
      <c r="AK559" t="str">
        <f>PROPER(Table1[[#This Row],[CVD Risk Level]])</f>
        <v>Intermediary</v>
      </c>
    </row>
    <row r="560" spans="1:37" x14ac:dyDescent="0.3">
      <c r="A560" t="s">
        <v>20</v>
      </c>
      <c r="B560">
        <v>54</v>
      </c>
      <c r="C560" s="8">
        <f t="shared" si="115"/>
        <v>54</v>
      </c>
      <c r="D560" s="5">
        <v>53.3</v>
      </c>
      <c r="E560" s="8">
        <f t="shared" si="116"/>
        <v>53.3</v>
      </c>
      <c r="F560">
        <v>1.84</v>
      </c>
      <c r="G560" s="3">
        <f t="shared" si="117"/>
        <v>1.84</v>
      </c>
      <c r="H560">
        <v>15.7</v>
      </c>
      <c r="I560" s="5">
        <f t="shared" si="113"/>
        <v>15.7</v>
      </c>
      <c r="J560" s="16" t="str">
        <f t="shared" si="118"/>
        <v>Underweight</v>
      </c>
      <c r="K560">
        <v>107.3</v>
      </c>
      <c r="L560">
        <v>0.58299999999999996</v>
      </c>
      <c r="M560" s="11">
        <f t="shared" si="114"/>
        <v>0.58299999999999996</v>
      </c>
      <c r="N560" s="5">
        <f t="shared" si="119"/>
        <v>107.3</v>
      </c>
      <c r="O560">
        <v>157</v>
      </c>
      <c r="P560">
        <v>47</v>
      </c>
      <c r="Q560" s="8">
        <f t="shared" si="120"/>
        <v>47</v>
      </c>
      <c r="R560" s="8">
        <v>80</v>
      </c>
      <c r="S560" s="8">
        <f t="shared" si="121"/>
        <v>80</v>
      </c>
      <c r="T560" s="8">
        <f>(Table1[[#This Row],[Total Cholesterol (mg/dL)]]+Table1[[#This Row],[HDL (mg/dL)2]]+Table1[[#This Row],[Estimated LDL (mg/dL)2]])*5</f>
        <v>1420</v>
      </c>
      <c r="U560" s="8">
        <f>IF(O560="",Table1[[#This Row],[Estimated LDL (mg/dL)2]]+Table1[[#This Row],[HDL (mg/dL)2]]+(Table1[[#This Row],[Triglycerides]]/5),O560)</f>
        <v>157</v>
      </c>
      <c r="V560">
        <v>75</v>
      </c>
      <c r="W560" s="8">
        <f t="shared" si="122"/>
        <v>75</v>
      </c>
      <c r="X560" t="str">
        <f t="shared" si="123"/>
        <v>Normal</v>
      </c>
      <c r="Y560" t="s">
        <v>23</v>
      </c>
      <c r="Z560" t="s">
        <v>23</v>
      </c>
      <c r="AA560" t="s">
        <v>24</v>
      </c>
      <c r="AB560" s="3" t="s">
        <v>522</v>
      </c>
      <c r="AC560">
        <v>142</v>
      </c>
      <c r="AD560" s="3" t="str">
        <f t="shared" si="124"/>
        <v>142</v>
      </c>
      <c r="AE560">
        <v>72</v>
      </c>
      <c r="AF560" s="3" t="str">
        <f t="shared" si="125"/>
        <v>72</v>
      </c>
      <c r="AG560" t="s">
        <v>38</v>
      </c>
      <c r="AH560" s="3">
        <v>15.38</v>
      </c>
      <c r="AI560" s="3">
        <f t="shared" si="126"/>
        <v>15.38</v>
      </c>
      <c r="AJ560" t="s">
        <v>30</v>
      </c>
      <c r="AK560" t="str">
        <f>PROPER(Table1[[#This Row],[CVD Risk Level]])</f>
        <v>High</v>
      </c>
    </row>
    <row r="561" spans="1:37" x14ac:dyDescent="0.3">
      <c r="A561" t="s">
        <v>20</v>
      </c>
      <c r="B561">
        <v>35</v>
      </c>
      <c r="C561" s="8">
        <f t="shared" si="115"/>
        <v>35</v>
      </c>
      <c r="D561" s="5">
        <v>54.5</v>
      </c>
      <c r="E561" s="8">
        <f t="shared" si="116"/>
        <v>54.5</v>
      </c>
      <c r="F561">
        <v>1.83</v>
      </c>
      <c r="G561" s="3">
        <f t="shared" si="117"/>
        <v>1.83</v>
      </c>
      <c r="H561">
        <v>16.3</v>
      </c>
      <c r="I561" s="5">
        <f t="shared" si="113"/>
        <v>16.3</v>
      </c>
      <c r="J561" s="16" t="str">
        <f t="shared" si="118"/>
        <v>Underweight</v>
      </c>
      <c r="K561">
        <v>77.400000000000006</v>
      </c>
      <c r="L561">
        <v>0.42299999999999999</v>
      </c>
      <c r="M561" s="11">
        <f t="shared" si="114"/>
        <v>0.42299999999999999</v>
      </c>
      <c r="N561" s="5">
        <f t="shared" si="119"/>
        <v>77.400000000000006</v>
      </c>
      <c r="O561">
        <v>189</v>
      </c>
      <c r="P561">
        <v>30</v>
      </c>
      <c r="Q561" s="8">
        <f t="shared" si="120"/>
        <v>30</v>
      </c>
      <c r="R561" s="8">
        <v>129</v>
      </c>
      <c r="S561" s="8">
        <f t="shared" si="121"/>
        <v>129</v>
      </c>
      <c r="T561" s="8">
        <f>(Table1[[#This Row],[Total Cholesterol (mg/dL)]]+Table1[[#This Row],[HDL (mg/dL)2]]+Table1[[#This Row],[Estimated LDL (mg/dL)2]])*5</f>
        <v>1740</v>
      </c>
      <c r="U561" s="8">
        <f>IF(O561="",Table1[[#This Row],[Estimated LDL (mg/dL)2]]+Table1[[#This Row],[HDL (mg/dL)2]]+(Table1[[#This Row],[Triglycerides]]/5),O561)</f>
        <v>189</v>
      </c>
      <c r="V561">
        <v>92</v>
      </c>
      <c r="W561" s="8">
        <f t="shared" si="122"/>
        <v>92</v>
      </c>
      <c r="X561" t="str">
        <f t="shared" si="123"/>
        <v>Normal</v>
      </c>
      <c r="Y561" t="s">
        <v>23</v>
      </c>
      <c r="Z561" t="s">
        <v>22</v>
      </c>
      <c r="AA561" t="s">
        <v>37</v>
      </c>
      <c r="AB561" s="3" t="s">
        <v>523</v>
      </c>
      <c r="AC561">
        <v>119</v>
      </c>
      <c r="AD561" s="3" t="str">
        <f t="shared" si="124"/>
        <v>119</v>
      </c>
      <c r="AE561">
        <v>83</v>
      </c>
      <c r="AF561" s="3" t="str">
        <f t="shared" si="125"/>
        <v>83</v>
      </c>
      <c r="AG561" t="s">
        <v>29</v>
      </c>
      <c r="AH561" s="3">
        <v>12.99</v>
      </c>
      <c r="AI561" s="3">
        <f t="shared" si="126"/>
        <v>12.99</v>
      </c>
      <c r="AJ561" t="s">
        <v>26</v>
      </c>
      <c r="AK561" t="str">
        <f>PROPER(Table1[[#This Row],[CVD Risk Level]])</f>
        <v>Intermediary</v>
      </c>
    </row>
    <row r="562" spans="1:37" x14ac:dyDescent="0.3">
      <c r="A562" t="s">
        <v>31</v>
      </c>
      <c r="B562">
        <v>41</v>
      </c>
      <c r="C562" s="8">
        <f t="shared" si="115"/>
        <v>41</v>
      </c>
      <c r="D562" s="5">
        <v>64.5</v>
      </c>
      <c r="E562" s="8">
        <f t="shared" si="116"/>
        <v>64.5</v>
      </c>
      <c r="F562">
        <v>1.84</v>
      </c>
      <c r="G562" s="3">
        <f t="shared" si="117"/>
        <v>1.84</v>
      </c>
      <c r="H562">
        <v>19.100000000000001</v>
      </c>
      <c r="I562" s="5">
        <f t="shared" si="113"/>
        <v>19.100000000000001</v>
      </c>
      <c r="J562" s="16" t="str">
        <f t="shared" si="118"/>
        <v>Normal</v>
      </c>
      <c r="K562">
        <v>78.400000000000006</v>
      </c>
      <c r="L562">
        <v>0.42599999999999999</v>
      </c>
      <c r="M562" s="11">
        <f t="shared" si="114"/>
        <v>0.42599999999999999</v>
      </c>
      <c r="N562" s="5">
        <f t="shared" si="119"/>
        <v>78.400000000000006</v>
      </c>
      <c r="O562">
        <v>163</v>
      </c>
      <c r="P562">
        <v>79</v>
      </c>
      <c r="Q562" s="8">
        <f t="shared" si="120"/>
        <v>79</v>
      </c>
      <c r="R562" s="8">
        <v>54</v>
      </c>
      <c r="S562" s="8">
        <f t="shared" si="121"/>
        <v>54</v>
      </c>
      <c r="T562" s="8">
        <f>(Table1[[#This Row],[Total Cholesterol (mg/dL)]]+Table1[[#This Row],[HDL (mg/dL)2]]+Table1[[#This Row],[Estimated LDL (mg/dL)2]])*5</f>
        <v>1480</v>
      </c>
      <c r="U562" s="8">
        <f>IF(O562="",Table1[[#This Row],[Estimated LDL (mg/dL)2]]+Table1[[#This Row],[HDL (mg/dL)2]]+(Table1[[#This Row],[Triglycerides]]/5),O562)</f>
        <v>163</v>
      </c>
      <c r="V562">
        <v>143</v>
      </c>
      <c r="W562" s="8">
        <f t="shared" si="122"/>
        <v>143</v>
      </c>
      <c r="X562" t="str">
        <f t="shared" si="123"/>
        <v>Diabetes</v>
      </c>
      <c r="Y562" t="s">
        <v>22</v>
      </c>
      <c r="Z562" t="s">
        <v>22</v>
      </c>
      <c r="AA562" t="s">
        <v>28</v>
      </c>
      <c r="AB562" s="3" t="s">
        <v>524</v>
      </c>
      <c r="AC562">
        <v>118</v>
      </c>
      <c r="AD562" s="3" t="str">
        <f t="shared" si="124"/>
        <v>118</v>
      </c>
      <c r="AE562">
        <v>100</v>
      </c>
      <c r="AF562" s="3" t="str">
        <f t="shared" si="125"/>
        <v>100</v>
      </c>
      <c r="AG562" t="s">
        <v>38</v>
      </c>
      <c r="AH562" s="3">
        <v>12.98</v>
      </c>
      <c r="AI562" s="3">
        <f t="shared" si="126"/>
        <v>12.98</v>
      </c>
      <c r="AJ562" t="s">
        <v>52</v>
      </c>
      <c r="AK562" t="str">
        <f>PROPER(Table1[[#This Row],[CVD Risk Level]])</f>
        <v>Low</v>
      </c>
    </row>
    <row r="563" spans="1:37" x14ac:dyDescent="0.3">
      <c r="A563" t="s">
        <v>20</v>
      </c>
      <c r="B563">
        <v>49</v>
      </c>
      <c r="C563" s="8">
        <f t="shared" si="115"/>
        <v>49</v>
      </c>
      <c r="D563" s="5">
        <v>100.4</v>
      </c>
      <c r="E563" s="8">
        <f t="shared" si="116"/>
        <v>100.4</v>
      </c>
      <c r="F563">
        <v>1.68</v>
      </c>
      <c r="G563" s="3">
        <f t="shared" si="117"/>
        <v>1.68</v>
      </c>
      <c r="H563">
        <v>35.6</v>
      </c>
      <c r="I563" s="5">
        <f t="shared" si="113"/>
        <v>35.6</v>
      </c>
      <c r="J563" s="16" t="str">
        <f t="shared" si="118"/>
        <v>Obese</v>
      </c>
      <c r="K563">
        <v>94.7</v>
      </c>
      <c r="L563">
        <v>0.56399999999999995</v>
      </c>
      <c r="M563" s="11">
        <f t="shared" si="114"/>
        <v>0.56399999999999995</v>
      </c>
      <c r="N563" s="5">
        <f t="shared" si="119"/>
        <v>94.7</v>
      </c>
      <c r="O563">
        <v>261</v>
      </c>
      <c r="P563">
        <v>65</v>
      </c>
      <c r="Q563" s="8">
        <f t="shared" si="120"/>
        <v>65</v>
      </c>
      <c r="R563" s="8">
        <v>166</v>
      </c>
      <c r="S563" s="8">
        <f t="shared" si="121"/>
        <v>166</v>
      </c>
      <c r="T563" s="8">
        <f>(Table1[[#This Row],[Total Cholesterol (mg/dL)]]+Table1[[#This Row],[HDL (mg/dL)2]]+Table1[[#This Row],[Estimated LDL (mg/dL)2]])*5</f>
        <v>2460</v>
      </c>
      <c r="U563" s="8">
        <f>IF(O563="",Table1[[#This Row],[Estimated LDL (mg/dL)2]]+Table1[[#This Row],[HDL (mg/dL)2]]+(Table1[[#This Row],[Triglycerides]]/5),O563)</f>
        <v>261</v>
      </c>
      <c r="V563">
        <v>96</v>
      </c>
      <c r="W563" s="8">
        <f t="shared" si="122"/>
        <v>96</v>
      </c>
      <c r="X563" t="str">
        <f t="shared" si="123"/>
        <v>Normal</v>
      </c>
      <c r="Y563" t="s">
        <v>22</v>
      </c>
      <c r="Z563" t="s">
        <v>23</v>
      </c>
      <c r="AA563" t="s">
        <v>24</v>
      </c>
      <c r="AB563" s="3" t="s">
        <v>525</v>
      </c>
      <c r="AC563">
        <v>147</v>
      </c>
      <c r="AD563" s="3" t="str">
        <f t="shared" si="124"/>
        <v>147</v>
      </c>
      <c r="AE563">
        <v>74</v>
      </c>
      <c r="AF563" s="3" t="str">
        <f t="shared" si="125"/>
        <v>74</v>
      </c>
      <c r="AG563" t="s">
        <v>38</v>
      </c>
      <c r="AH563" s="3">
        <v>21.69</v>
      </c>
      <c r="AI563" s="3">
        <f t="shared" si="126"/>
        <v>21.69</v>
      </c>
      <c r="AJ563" t="s">
        <v>30</v>
      </c>
      <c r="AK563" t="str">
        <f>PROPER(Table1[[#This Row],[CVD Risk Level]])</f>
        <v>High</v>
      </c>
    </row>
    <row r="564" spans="1:37" x14ac:dyDescent="0.3">
      <c r="A564" t="s">
        <v>20</v>
      </c>
      <c r="B564">
        <v>45</v>
      </c>
      <c r="C564" s="8">
        <f t="shared" si="115"/>
        <v>45</v>
      </c>
      <c r="D564" s="5">
        <v>109.1</v>
      </c>
      <c r="E564" s="8">
        <f t="shared" si="116"/>
        <v>109.1</v>
      </c>
      <c r="F564">
        <v>1.7</v>
      </c>
      <c r="G564" s="3">
        <f t="shared" si="117"/>
        <v>1.7</v>
      </c>
      <c r="H564">
        <v>37.799999999999997</v>
      </c>
      <c r="I564" s="5">
        <f t="shared" si="113"/>
        <v>37.799999999999997</v>
      </c>
      <c r="J564" s="16" t="str">
        <f t="shared" si="118"/>
        <v>Obese</v>
      </c>
      <c r="K564">
        <v>104.3</v>
      </c>
      <c r="L564">
        <v>0.61399999999999999</v>
      </c>
      <c r="M564" s="11">
        <f t="shared" si="114"/>
        <v>0.61399999999999999</v>
      </c>
      <c r="N564" s="5">
        <f t="shared" si="119"/>
        <v>104.3</v>
      </c>
      <c r="O564">
        <v>296</v>
      </c>
      <c r="P564">
        <v>78</v>
      </c>
      <c r="Q564" s="8">
        <f t="shared" si="120"/>
        <v>78</v>
      </c>
      <c r="R564" s="8">
        <v>188</v>
      </c>
      <c r="S564" s="8">
        <f t="shared" si="121"/>
        <v>188</v>
      </c>
      <c r="T564" s="8">
        <f>(Table1[[#This Row],[Total Cholesterol (mg/dL)]]+Table1[[#This Row],[HDL (mg/dL)2]]+Table1[[#This Row],[Estimated LDL (mg/dL)2]])*5</f>
        <v>2810</v>
      </c>
      <c r="U564" s="8">
        <f>IF(O564="",Table1[[#This Row],[Estimated LDL (mg/dL)2]]+Table1[[#This Row],[HDL (mg/dL)2]]+(Table1[[#This Row],[Triglycerides]]/5),O564)</f>
        <v>296</v>
      </c>
      <c r="V564">
        <v>132</v>
      </c>
      <c r="W564" s="8">
        <f t="shared" si="122"/>
        <v>132</v>
      </c>
      <c r="X564" t="str">
        <f t="shared" si="123"/>
        <v>Diabetes</v>
      </c>
      <c r="Y564" t="s">
        <v>23</v>
      </c>
      <c r="Z564" t="s">
        <v>22</v>
      </c>
      <c r="AA564" t="s">
        <v>24</v>
      </c>
      <c r="AB564" s="3" t="s">
        <v>526</v>
      </c>
      <c r="AC564">
        <v>142</v>
      </c>
      <c r="AD564" s="3" t="str">
        <f t="shared" si="124"/>
        <v>142</v>
      </c>
      <c r="AE564">
        <v>76</v>
      </c>
      <c r="AF564" s="3" t="str">
        <f t="shared" si="125"/>
        <v>76</v>
      </c>
      <c r="AG564" t="s">
        <v>38</v>
      </c>
      <c r="AH564" s="3">
        <v>20.58</v>
      </c>
      <c r="AI564" s="3">
        <f t="shared" si="126"/>
        <v>20.58</v>
      </c>
      <c r="AJ564" t="s">
        <v>30</v>
      </c>
      <c r="AK564" t="str">
        <f>PROPER(Table1[[#This Row],[CVD Risk Level]])</f>
        <v>High</v>
      </c>
    </row>
    <row r="565" spans="1:37" x14ac:dyDescent="0.3">
      <c r="A565" t="s">
        <v>31</v>
      </c>
      <c r="B565">
        <v>48</v>
      </c>
      <c r="C565" s="8">
        <f t="shared" si="115"/>
        <v>48</v>
      </c>
      <c r="D565" s="5">
        <v>100.6</v>
      </c>
      <c r="E565" s="8">
        <f t="shared" si="116"/>
        <v>100.6</v>
      </c>
      <c r="F565">
        <v>1.66</v>
      </c>
      <c r="G565" s="3">
        <f t="shared" si="117"/>
        <v>1.66</v>
      </c>
      <c r="H565">
        <v>36.5</v>
      </c>
      <c r="I565" s="5">
        <f t="shared" si="113"/>
        <v>36.5</v>
      </c>
      <c r="J565" s="16" t="str">
        <f t="shared" si="118"/>
        <v>Obese</v>
      </c>
      <c r="K565">
        <v>107.8</v>
      </c>
      <c r="L565">
        <v>0.64900000000000002</v>
      </c>
      <c r="M565" s="11">
        <f t="shared" si="114"/>
        <v>0.64900000000000002</v>
      </c>
      <c r="N565" s="5">
        <f t="shared" si="119"/>
        <v>107.8</v>
      </c>
      <c r="O565">
        <v>257</v>
      </c>
      <c r="P565">
        <v>56</v>
      </c>
      <c r="Q565" s="8">
        <f t="shared" si="120"/>
        <v>56</v>
      </c>
      <c r="R565" s="8">
        <v>171</v>
      </c>
      <c r="S565" s="8">
        <f t="shared" si="121"/>
        <v>171</v>
      </c>
      <c r="T565" s="8">
        <f>(Table1[[#This Row],[Total Cholesterol (mg/dL)]]+Table1[[#This Row],[HDL (mg/dL)2]]+Table1[[#This Row],[Estimated LDL (mg/dL)2]])*5</f>
        <v>2420</v>
      </c>
      <c r="U565" s="8">
        <f>IF(O565="",Table1[[#This Row],[Estimated LDL (mg/dL)2]]+Table1[[#This Row],[HDL (mg/dL)2]]+(Table1[[#This Row],[Triglycerides]]/5),O565)</f>
        <v>257</v>
      </c>
      <c r="V565">
        <v>150</v>
      </c>
      <c r="W565" s="8">
        <f t="shared" si="122"/>
        <v>150</v>
      </c>
      <c r="X565" t="str">
        <f t="shared" si="123"/>
        <v>Diabetes</v>
      </c>
      <c r="Y565" t="s">
        <v>22</v>
      </c>
      <c r="Z565" t="s">
        <v>22</v>
      </c>
      <c r="AA565" t="s">
        <v>37</v>
      </c>
      <c r="AB565" s="3" t="s">
        <v>527</v>
      </c>
      <c r="AC565">
        <v>127</v>
      </c>
      <c r="AD565" s="3" t="str">
        <f t="shared" si="124"/>
        <v>127</v>
      </c>
      <c r="AE565">
        <v>93</v>
      </c>
      <c r="AF565" s="3" t="str">
        <f t="shared" si="125"/>
        <v>93</v>
      </c>
      <c r="AG565" t="s">
        <v>38</v>
      </c>
      <c r="AH565" s="3">
        <v>18.79</v>
      </c>
      <c r="AI565" s="3">
        <f t="shared" si="126"/>
        <v>18.79</v>
      </c>
      <c r="AJ565" t="s">
        <v>26</v>
      </c>
      <c r="AK565" t="str">
        <f>PROPER(Table1[[#This Row],[CVD Risk Level]])</f>
        <v>Intermediary</v>
      </c>
    </row>
    <row r="566" spans="1:37" x14ac:dyDescent="0.3">
      <c r="A566" t="s">
        <v>20</v>
      </c>
      <c r="B566">
        <v>30</v>
      </c>
      <c r="C566" s="8">
        <f t="shared" si="115"/>
        <v>30</v>
      </c>
      <c r="D566" s="5">
        <v>60.5</v>
      </c>
      <c r="E566" s="8">
        <f t="shared" si="116"/>
        <v>60.5</v>
      </c>
      <c r="F566">
        <v>1.87</v>
      </c>
      <c r="G566" s="3">
        <f t="shared" si="117"/>
        <v>1.87</v>
      </c>
      <c r="H566">
        <v>17.3</v>
      </c>
      <c r="I566" s="5">
        <f t="shared" si="113"/>
        <v>17.3</v>
      </c>
      <c r="J566" s="16" t="str">
        <f t="shared" si="118"/>
        <v>Underweight</v>
      </c>
      <c r="K566">
        <v>80</v>
      </c>
      <c r="M566" s="11">
        <f t="shared" si="114"/>
        <v>0.42780748663101603</v>
      </c>
      <c r="N566" s="5">
        <f t="shared" si="119"/>
        <v>80</v>
      </c>
      <c r="O566">
        <v>179</v>
      </c>
      <c r="P566">
        <v>38</v>
      </c>
      <c r="Q566" s="8">
        <f t="shared" si="120"/>
        <v>38</v>
      </c>
      <c r="R566" s="8">
        <v>111</v>
      </c>
      <c r="S566" s="8">
        <f t="shared" si="121"/>
        <v>111</v>
      </c>
      <c r="T566" s="8">
        <f>(Table1[[#This Row],[Total Cholesterol (mg/dL)]]+Table1[[#This Row],[HDL (mg/dL)2]]+Table1[[#This Row],[Estimated LDL (mg/dL)2]])*5</f>
        <v>1640</v>
      </c>
      <c r="U566" s="8">
        <f>IF(O566="",Table1[[#This Row],[Estimated LDL (mg/dL)2]]+Table1[[#This Row],[HDL (mg/dL)2]]+(Table1[[#This Row],[Triglycerides]]/5),O566)</f>
        <v>179</v>
      </c>
      <c r="V566">
        <v>144</v>
      </c>
      <c r="W566" s="8">
        <f t="shared" si="122"/>
        <v>144</v>
      </c>
      <c r="X566" t="str">
        <f t="shared" si="123"/>
        <v>Diabetes</v>
      </c>
      <c r="Y566" t="s">
        <v>23</v>
      </c>
      <c r="Z566" t="s">
        <v>23</v>
      </c>
      <c r="AA566" t="s">
        <v>37</v>
      </c>
      <c r="AB566" s="3" t="s">
        <v>528</v>
      </c>
      <c r="AC566">
        <v>91</v>
      </c>
      <c r="AD566" s="3" t="str">
        <f t="shared" si="124"/>
        <v>91</v>
      </c>
      <c r="AE566">
        <v>70</v>
      </c>
      <c r="AF566" s="3" t="str">
        <f t="shared" si="125"/>
        <v>70</v>
      </c>
      <c r="AG566" t="s">
        <v>33</v>
      </c>
      <c r="AH566" s="3">
        <v>13.59</v>
      </c>
      <c r="AI566" s="3">
        <f t="shared" si="126"/>
        <v>13.59</v>
      </c>
      <c r="AJ566" t="s">
        <v>30</v>
      </c>
      <c r="AK566" t="str">
        <f>PROPER(Table1[[#This Row],[CVD Risk Level]])</f>
        <v>High</v>
      </c>
    </row>
    <row r="567" spans="1:37" x14ac:dyDescent="0.3">
      <c r="A567" t="s">
        <v>20</v>
      </c>
      <c r="B567">
        <v>46</v>
      </c>
      <c r="C567" s="8">
        <f t="shared" si="115"/>
        <v>46</v>
      </c>
      <c r="D567" s="5">
        <v>112.3</v>
      </c>
      <c r="E567" s="8">
        <f t="shared" si="116"/>
        <v>112.3</v>
      </c>
      <c r="F567">
        <v>1.73</v>
      </c>
      <c r="G567" s="3">
        <f t="shared" si="117"/>
        <v>1.73</v>
      </c>
      <c r="H567">
        <v>37.5</v>
      </c>
      <c r="I567" s="5">
        <f t="shared" si="113"/>
        <v>37.5</v>
      </c>
      <c r="J567" s="16" t="str">
        <f t="shared" si="118"/>
        <v>Obese</v>
      </c>
      <c r="K567">
        <v>87.9</v>
      </c>
      <c r="L567">
        <v>0.50800000000000001</v>
      </c>
      <c r="M567" s="11">
        <f t="shared" si="114"/>
        <v>0.50800000000000001</v>
      </c>
      <c r="N567" s="5">
        <f t="shared" si="119"/>
        <v>87.9</v>
      </c>
      <c r="O567">
        <v>207</v>
      </c>
      <c r="P567">
        <v>66</v>
      </c>
      <c r="Q567" s="8">
        <f t="shared" si="120"/>
        <v>66</v>
      </c>
      <c r="S567" s="8">
        <f t="shared" si="121"/>
        <v>109</v>
      </c>
      <c r="T567" s="8">
        <f>(Table1[[#This Row],[Total Cholesterol (mg/dL)]]+Table1[[#This Row],[HDL (mg/dL)2]]+Table1[[#This Row],[Estimated LDL (mg/dL)2]])*5</f>
        <v>1910</v>
      </c>
      <c r="U567" s="8">
        <f>IF(O567="",Table1[[#This Row],[Estimated LDL (mg/dL)2]]+Table1[[#This Row],[HDL (mg/dL)2]]+(Table1[[#This Row],[Triglycerides]]/5),O567)</f>
        <v>207</v>
      </c>
      <c r="V567">
        <v>138</v>
      </c>
      <c r="W567" s="8">
        <f t="shared" si="122"/>
        <v>138</v>
      </c>
      <c r="X567" t="str">
        <f t="shared" si="123"/>
        <v>Diabetes</v>
      </c>
      <c r="Y567" t="s">
        <v>23</v>
      </c>
      <c r="Z567" t="s">
        <v>23</v>
      </c>
      <c r="AA567" t="s">
        <v>24</v>
      </c>
      <c r="AB567" s="3" t="s">
        <v>529</v>
      </c>
      <c r="AC567">
        <v>116</v>
      </c>
      <c r="AD567" s="3" t="str">
        <f t="shared" si="124"/>
        <v>116</v>
      </c>
      <c r="AE567">
        <v>87</v>
      </c>
      <c r="AF567" s="3" t="str">
        <f t="shared" si="125"/>
        <v>87</v>
      </c>
      <c r="AG567" t="s">
        <v>29</v>
      </c>
      <c r="AH567" s="3">
        <v>19.440000000000001</v>
      </c>
      <c r="AI567" s="3">
        <f t="shared" si="126"/>
        <v>19.440000000000001</v>
      </c>
      <c r="AJ567" t="s">
        <v>30</v>
      </c>
      <c r="AK567" t="str">
        <f>PROPER(Table1[[#This Row],[CVD Risk Level]])</f>
        <v>High</v>
      </c>
    </row>
    <row r="568" spans="1:37" x14ac:dyDescent="0.3">
      <c r="A568" t="s">
        <v>20</v>
      </c>
      <c r="B568">
        <v>49</v>
      </c>
      <c r="C568" s="8">
        <f t="shared" si="115"/>
        <v>49</v>
      </c>
      <c r="D568" s="5">
        <v>92.3</v>
      </c>
      <c r="E568" s="8">
        <f t="shared" si="116"/>
        <v>92.3</v>
      </c>
      <c r="F568">
        <v>1.69</v>
      </c>
      <c r="G568" s="3">
        <f t="shared" si="117"/>
        <v>1.69</v>
      </c>
      <c r="H568">
        <v>32.299999999999997</v>
      </c>
      <c r="I568" s="5">
        <f t="shared" si="113"/>
        <v>32.299999999999997</v>
      </c>
      <c r="J568" s="16" t="str">
        <f t="shared" si="118"/>
        <v>Obese</v>
      </c>
      <c r="K568">
        <v>107.1</v>
      </c>
      <c r="L568">
        <v>0.63400000000000001</v>
      </c>
      <c r="M568" s="11">
        <f t="shared" si="114"/>
        <v>0.63400000000000001</v>
      </c>
      <c r="N568" s="5">
        <f t="shared" si="119"/>
        <v>107.1</v>
      </c>
      <c r="O568">
        <v>230</v>
      </c>
      <c r="P568">
        <v>70</v>
      </c>
      <c r="Q568" s="8">
        <f t="shared" si="120"/>
        <v>70</v>
      </c>
      <c r="R568" s="8">
        <v>130</v>
      </c>
      <c r="S568" s="8">
        <f t="shared" si="121"/>
        <v>130</v>
      </c>
      <c r="T568" s="8">
        <f>(Table1[[#This Row],[Total Cholesterol (mg/dL)]]+Table1[[#This Row],[HDL (mg/dL)2]]+Table1[[#This Row],[Estimated LDL (mg/dL)2]])*5</f>
        <v>2150</v>
      </c>
      <c r="U568" s="8">
        <f>IF(O568="",Table1[[#This Row],[Estimated LDL (mg/dL)2]]+Table1[[#This Row],[HDL (mg/dL)2]]+(Table1[[#This Row],[Triglycerides]]/5),O568)</f>
        <v>230</v>
      </c>
      <c r="V568">
        <v>74</v>
      </c>
      <c r="W568" s="8">
        <f t="shared" si="122"/>
        <v>74</v>
      </c>
      <c r="X568" t="str">
        <f t="shared" si="123"/>
        <v>Normal</v>
      </c>
      <c r="Y568" t="s">
        <v>23</v>
      </c>
      <c r="Z568" t="s">
        <v>22</v>
      </c>
      <c r="AA568" t="s">
        <v>24</v>
      </c>
      <c r="AB568" s="3" t="s">
        <v>530</v>
      </c>
      <c r="AC568">
        <v>147</v>
      </c>
      <c r="AD568" s="3" t="str">
        <f t="shared" si="124"/>
        <v>147</v>
      </c>
      <c r="AE568">
        <v>79</v>
      </c>
      <c r="AF568" s="3" t="str">
        <f t="shared" si="125"/>
        <v>79</v>
      </c>
      <c r="AG568" t="s">
        <v>38</v>
      </c>
      <c r="AH568" s="3">
        <v>18.41</v>
      </c>
      <c r="AI568" s="3">
        <f t="shared" si="126"/>
        <v>18.41</v>
      </c>
      <c r="AJ568" t="s">
        <v>30</v>
      </c>
      <c r="AK568" t="str">
        <f>PROPER(Table1[[#This Row],[CVD Risk Level]])</f>
        <v>High</v>
      </c>
    </row>
    <row r="569" spans="1:37" x14ac:dyDescent="0.3">
      <c r="A569" t="s">
        <v>31</v>
      </c>
      <c r="B569">
        <v>47</v>
      </c>
      <c r="C569" s="8">
        <f t="shared" si="115"/>
        <v>47</v>
      </c>
      <c r="E569" s="8">
        <f t="shared" si="116"/>
        <v>117.28044000000001</v>
      </c>
      <c r="F569">
        <v>1.86</v>
      </c>
      <c r="G569" s="3">
        <f t="shared" si="117"/>
        <v>1.86</v>
      </c>
      <c r="H569">
        <v>33.9</v>
      </c>
      <c r="I569" s="5">
        <f t="shared" si="113"/>
        <v>33.9</v>
      </c>
      <c r="J569" s="16" t="str">
        <f t="shared" si="118"/>
        <v>Obese</v>
      </c>
      <c r="K569">
        <v>99.5</v>
      </c>
      <c r="L569">
        <v>0.53500000000000003</v>
      </c>
      <c r="M569" s="11">
        <f t="shared" si="114"/>
        <v>0.53500000000000003</v>
      </c>
      <c r="N569" s="5">
        <f t="shared" si="119"/>
        <v>99.5</v>
      </c>
      <c r="O569">
        <v>218</v>
      </c>
      <c r="Q569" s="8">
        <f t="shared" si="120"/>
        <v>56.197377501725327</v>
      </c>
      <c r="R569" s="8">
        <v>152</v>
      </c>
      <c r="S569" s="8">
        <f>IF(R569&lt;=0,MEDIAN($R$2:$R$1530),R569)</f>
        <v>152</v>
      </c>
      <c r="T569" s="8">
        <f>(Table1[[#This Row],[Total Cholesterol (mg/dL)]]+Table1[[#This Row],[HDL (mg/dL)2]]+Table1[[#This Row],[Estimated LDL (mg/dL)2]])*5</f>
        <v>2130.9868875086268</v>
      </c>
      <c r="U569" s="8">
        <f>IF(O569="",Table1[[#This Row],[Estimated LDL (mg/dL)2]]+Table1[[#This Row],[HDL (mg/dL)2]]+(Table1[[#This Row],[Triglycerides]]/5),O569)</f>
        <v>218</v>
      </c>
      <c r="V569">
        <v>108</v>
      </c>
      <c r="W569" s="8">
        <f t="shared" si="122"/>
        <v>108</v>
      </c>
      <c r="X569" t="str">
        <f t="shared" si="123"/>
        <v>Prediabetes</v>
      </c>
      <c r="Y569" t="s">
        <v>23</v>
      </c>
      <c r="Z569" t="s">
        <v>22</v>
      </c>
      <c r="AA569" t="s">
        <v>24</v>
      </c>
      <c r="AB569" s="3" t="s">
        <v>531</v>
      </c>
      <c r="AC569">
        <v>97</v>
      </c>
      <c r="AD569" s="3" t="str">
        <f t="shared" si="124"/>
        <v>97</v>
      </c>
      <c r="AE569">
        <v>72</v>
      </c>
      <c r="AF569" s="3" t="str">
        <f t="shared" si="125"/>
        <v>72</v>
      </c>
      <c r="AG569" t="s">
        <v>33</v>
      </c>
      <c r="AH569" s="3">
        <v>15.99</v>
      </c>
      <c r="AI569" s="3">
        <f t="shared" si="126"/>
        <v>15.99</v>
      </c>
      <c r="AJ569" t="s">
        <v>30</v>
      </c>
      <c r="AK569" t="str">
        <f>PROPER(Table1[[#This Row],[CVD Risk Level]])</f>
        <v>High</v>
      </c>
    </row>
    <row r="570" spans="1:37" x14ac:dyDescent="0.3">
      <c r="A570" t="s">
        <v>20</v>
      </c>
      <c r="B570">
        <v>40</v>
      </c>
      <c r="C570" s="8">
        <f t="shared" si="115"/>
        <v>40</v>
      </c>
      <c r="D570" s="5">
        <v>115.2</v>
      </c>
      <c r="E570" s="8">
        <f t="shared" si="116"/>
        <v>115.2</v>
      </c>
      <c r="F570">
        <v>1.66</v>
      </c>
      <c r="G570" s="3">
        <f t="shared" si="117"/>
        <v>1.66</v>
      </c>
      <c r="H570">
        <v>41.8</v>
      </c>
      <c r="I570" s="5">
        <f t="shared" si="113"/>
        <v>41.8</v>
      </c>
      <c r="J570" s="16" t="str">
        <f t="shared" si="118"/>
        <v>Obese</v>
      </c>
      <c r="K570">
        <v>75.2</v>
      </c>
      <c r="L570">
        <v>0.45300000000000001</v>
      </c>
      <c r="M570" s="11">
        <f t="shared" si="114"/>
        <v>0.45300000000000001</v>
      </c>
      <c r="N570" s="5">
        <f t="shared" si="119"/>
        <v>75.2</v>
      </c>
      <c r="O570">
        <v>300</v>
      </c>
      <c r="P570">
        <v>40</v>
      </c>
      <c r="Q570" s="8">
        <f t="shared" si="120"/>
        <v>40</v>
      </c>
      <c r="R570" s="8">
        <v>230</v>
      </c>
      <c r="S570" s="8">
        <f t="shared" si="121"/>
        <v>230</v>
      </c>
      <c r="T570" s="8">
        <f>(Table1[[#This Row],[Total Cholesterol (mg/dL)]]+Table1[[#This Row],[HDL (mg/dL)2]]+Table1[[#This Row],[Estimated LDL (mg/dL)2]])*5</f>
        <v>2850</v>
      </c>
      <c r="U570" s="8">
        <f>IF(O570="",Table1[[#This Row],[Estimated LDL (mg/dL)2]]+Table1[[#This Row],[HDL (mg/dL)2]]+(Table1[[#This Row],[Triglycerides]]/5),O570)</f>
        <v>300</v>
      </c>
      <c r="V570">
        <v>146</v>
      </c>
      <c r="W570" s="8">
        <f t="shared" si="122"/>
        <v>146</v>
      </c>
      <c r="X570" t="str">
        <f t="shared" si="123"/>
        <v>Diabetes</v>
      </c>
      <c r="Y570" t="s">
        <v>22</v>
      </c>
      <c r="Z570" t="s">
        <v>22</v>
      </c>
      <c r="AA570" t="s">
        <v>37</v>
      </c>
      <c r="AB570" s="3" t="s">
        <v>532</v>
      </c>
      <c r="AC570">
        <v>119</v>
      </c>
      <c r="AD570" s="3" t="str">
        <f t="shared" si="124"/>
        <v>119</v>
      </c>
      <c r="AE570">
        <v>72</v>
      </c>
      <c r="AF570" s="3" t="str">
        <f t="shared" si="125"/>
        <v>72</v>
      </c>
      <c r="AG570" t="s">
        <v>33</v>
      </c>
      <c r="AI570" s="3">
        <f t="shared" si="126"/>
        <v>16.960925291295425</v>
      </c>
      <c r="AJ570" t="s">
        <v>26</v>
      </c>
      <c r="AK570" t="str">
        <f>PROPER(Table1[[#This Row],[CVD Risk Level]])</f>
        <v>Intermediary</v>
      </c>
    </row>
    <row r="571" spans="1:37" x14ac:dyDescent="0.3">
      <c r="A571" t="s">
        <v>20</v>
      </c>
      <c r="B571">
        <v>50</v>
      </c>
      <c r="C571" s="8">
        <f t="shared" si="115"/>
        <v>50</v>
      </c>
      <c r="D571" s="5">
        <v>72.8</v>
      </c>
      <c r="E571" s="8">
        <f t="shared" si="116"/>
        <v>72.8</v>
      </c>
      <c r="F571">
        <v>1.79</v>
      </c>
      <c r="G571" s="3">
        <f t="shared" si="117"/>
        <v>1.79</v>
      </c>
      <c r="H571">
        <v>22.7</v>
      </c>
      <c r="I571" s="5">
        <f t="shared" si="113"/>
        <v>22.7</v>
      </c>
      <c r="J571" s="16" t="str">
        <f t="shared" si="118"/>
        <v>Normal</v>
      </c>
      <c r="K571">
        <v>76.8</v>
      </c>
      <c r="L571">
        <v>0.42899999999999999</v>
      </c>
      <c r="M571" s="11">
        <f t="shared" si="114"/>
        <v>0.42899999999999999</v>
      </c>
      <c r="N571" s="5">
        <f t="shared" si="119"/>
        <v>76.8</v>
      </c>
      <c r="O571">
        <v>276</v>
      </c>
      <c r="P571">
        <v>36</v>
      </c>
      <c r="Q571" s="8">
        <f t="shared" si="120"/>
        <v>36</v>
      </c>
      <c r="R571" s="8">
        <v>210</v>
      </c>
      <c r="S571" s="8">
        <f t="shared" si="121"/>
        <v>210</v>
      </c>
      <c r="T571" s="8">
        <f>(Table1[[#This Row],[Total Cholesterol (mg/dL)]]+Table1[[#This Row],[HDL (mg/dL)2]]+Table1[[#This Row],[Estimated LDL (mg/dL)2]])*5</f>
        <v>2610</v>
      </c>
      <c r="U571" s="8">
        <f>IF(O571="",Table1[[#This Row],[Estimated LDL (mg/dL)2]]+Table1[[#This Row],[HDL (mg/dL)2]]+(Table1[[#This Row],[Triglycerides]]/5),O571)</f>
        <v>276</v>
      </c>
      <c r="V571">
        <v>75</v>
      </c>
      <c r="W571" s="8">
        <f t="shared" si="122"/>
        <v>75</v>
      </c>
      <c r="X571" t="str">
        <f t="shared" si="123"/>
        <v>Normal</v>
      </c>
      <c r="Y571" t="s">
        <v>23</v>
      </c>
      <c r="Z571" t="s">
        <v>22</v>
      </c>
      <c r="AA571" t="s">
        <v>37</v>
      </c>
      <c r="AB571" s="3" t="s">
        <v>182</v>
      </c>
      <c r="AC571">
        <v>119</v>
      </c>
      <c r="AD571" s="3" t="str">
        <f t="shared" si="124"/>
        <v>119</v>
      </c>
      <c r="AE571">
        <v>81</v>
      </c>
      <c r="AF571" s="3" t="str">
        <f t="shared" si="125"/>
        <v>81</v>
      </c>
      <c r="AG571" t="s">
        <v>29</v>
      </c>
      <c r="AH571" s="3">
        <v>16.010000000000002</v>
      </c>
      <c r="AI571" s="3">
        <f t="shared" si="126"/>
        <v>16.010000000000002</v>
      </c>
      <c r="AJ571" t="s">
        <v>30</v>
      </c>
      <c r="AK571" t="str">
        <f>PROPER(Table1[[#This Row],[CVD Risk Level]])</f>
        <v>High</v>
      </c>
    </row>
    <row r="572" spans="1:37" x14ac:dyDescent="0.3">
      <c r="A572" t="s">
        <v>31</v>
      </c>
      <c r="C572" s="8">
        <f t="shared" si="115"/>
        <v>47.025499655410059</v>
      </c>
      <c r="D572" s="5">
        <v>70.900000000000006</v>
      </c>
      <c r="E572" s="8">
        <f t="shared" si="116"/>
        <v>70.900000000000006</v>
      </c>
      <c r="F572">
        <v>1.8</v>
      </c>
      <c r="G572" s="3">
        <f t="shared" si="117"/>
        <v>1.8</v>
      </c>
      <c r="H572">
        <v>21.9</v>
      </c>
      <c r="I572" s="5">
        <f t="shared" si="113"/>
        <v>21.9</v>
      </c>
      <c r="J572" s="16" t="str">
        <f t="shared" si="118"/>
        <v>Normal</v>
      </c>
      <c r="K572">
        <v>88</v>
      </c>
      <c r="L572">
        <v>0.48899999999999999</v>
      </c>
      <c r="M572" s="11">
        <f t="shared" si="114"/>
        <v>0.48899999999999999</v>
      </c>
      <c r="N572" s="5">
        <f t="shared" si="119"/>
        <v>88</v>
      </c>
      <c r="O572">
        <v>271</v>
      </c>
      <c r="P572">
        <v>67</v>
      </c>
      <c r="Q572" s="8">
        <f t="shared" si="120"/>
        <v>67</v>
      </c>
      <c r="R572" s="8">
        <v>174</v>
      </c>
      <c r="S572" s="8">
        <f>IF(R572&lt;=0,MEDIAN($R$2:$R$1530),R572)</f>
        <v>174</v>
      </c>
      <c r="T572" s="8">
        <f>(Table1[[#This Row],[Total Cholesterol (mg/dL)]]+Table1[[#This Row],[HDL (mg/dL)2]]+Table1[[#This Row],[Estimated LDL (mg/dL)2]])*5</f>
        <v>2560</v>
      </c>
      <c r="U572" s="8">
        <f>IF(O572="",Table1[[#This Row],[Estimated LDL (mg/dL)2]]+Table1[[#This Row],[HDL (mg/dL)2]]+(Table1[[#This Row],[Triglycerides]]/5),O572)</f>
        <v>271</v>
      </c>
      <c r="V572">
        <v>150</v>
      </c>
      <c r="W572" s="8">
        <f t="shared" si="122"/>
        <v>150</v>
      </c>
      <c r="X572" t="str">
        <f t="shared" si="123"/>
        <v>Diabetes</v>
      </c>
      <c r="Y572" t="s">
        <v>22</v>
      </c>
      <c r="Z572" t="s">
        <v>23</v>
      </c>
      <c r="AA572" t="s">
        <v>24</v>
      </c>
      <c r="AB572" s="3" t="s">
        <v>533</v>
      </c>
      <c r="AC572">
        <v>137</v>
      </c>
      <c r="AD572" s="3" t="str">
        <f t="shared" si="124"/>
        <v>137</v>
      </c>
      <c r="AE572">
        <v>91</v>
      </c>
      <c r="AF572" s="3" t="str">
        <f t="shared" si="125"/>
        <v>91</v>
      </c>
      <c r="AG572" t="s">
        <v>29</v>
      </c>
      <c r="AH572" s="3">
        <v>18.649999999999999</v>
      </c>
      <c r="AI572" s="3">
        <f t="shared" si="126"/>
        <v>18.649999999999999</v>
      </c>
      <c r="AJ572" t="s">
        <v>30</v>
      </c>
      <c r="AK572" t="str">
        <f>PROPER(Table1[[#This Row],[CVD Risk Level]])</f>
        <v>High</v>
      </c>
    </row>
    <row r="573" spans="1:37" x14ac:dyDescent="0.3">
      <c r="A573" t="s">
        <v>20</v>
      </c>
      <c r="B573">
        <v>44</v>
      </c>
      <c r="C573" s="8">
        <f t="shared" si="115"/>
        <v>44</v>
      </c>
      <c r="D573" s="5">
        <v>58.1</v>
      </c>
      <c r="E573" s="8">
        <f t="shared" si="116"/>
        <v>58.1</v>
      </c>
      <c r="F573">
        <v>1.78</v>
      </c>
      <c r="G573" s="3">
        <f t="shared" si="117"/>
        <v>1.78</v>
      </c>
      <c r="I573" s="5">
        <f t="shared" si="113"/>
        <v>18.337331145057441</v>
      </c>
      <c r="J573" s="16" t="str">
        <f t="shared" si="118"/>
        <v>Underweight</v>
      </c>
      <c r="K573">
        <v>98.9</v>
      </c>
      <c r="L573">
        <v>0.55600000000000005</v>
      </c>
      <c r="M573" s="11">
        <f t="shared" si="114"/>
        <v>0.55600000000000005</v>
      </c>
      <c r="N573" s="5">
        <f t="shared" si="119"/>
        <v>98.9</v>
      </c>
      <c r="O573">
        <v>173</v>
      </c>
      <c r="P573">
        <v>36</v>
      </c>
      <c r="Q573" s="8">
        <f t="shared" si="120"/>
        <v>36</v>
      </c>
      <c r="R573" s="8">
        <v>107</v>
      </c>
      <c r="S573" s="8">
        <f t="shared" si="121"/>
        <v>107</v>
      </c>
      <c r="T573" s="8">
        <f>(Table1[[#This Row],[Total Cholesterol (mg/dL)]]+Table1[[#This Row],[HDL (mg/dL)2]]+Table1[[#This Row],[Estimated LDL (mg/dL)2]])*5</f>
        <v>1580</v>
      </c>
      <c r="U573" s="8">
        <f>IF(O573="",Table1[[#This Row],[Estimated LDL (mg/dL)2]]+Table1[[#This Row],[HDL (mg/dL)2]]+(Table1[[#This Row],[Triglycerides]]/5),O573)</f>
        <v>173</v>
      </c>
      <c r="V573">
        <v>130</v>
      </c>
      <c r="W573" s="8">
        <f t="shared" si="122"/>
        <v>130</v>
      </c>
      <c r="X573" t="str">
        <f t="shared" si="123"/>
        <v>Diabetes</v>
      </c>
      <c r="Y573" t="s">
        <v>23</v>
      </c>
      <c r="Z573" t="s">
        <v>23</v>
      </c>
      <c r="AA573" t="s">
        <v>24</v>
      </c>
      <c r="AB573" s="3" t="s">
        <v>534</v>
      </c>
      <c r="AC573">
        <v>93</v>
      </c>
      <c r="AD573" s="3" t="str">
        <f t="shared" si="124"/>
        <v>93</v>
      </c>
      <c r="AF573" s="3" t="str">
        <f t="shared" si="125"/>
        <v>61</v>
      </c>
      <c r="AG573" t="s">
        <v>33</v>
      </c>
      <c r="AH573" s="3">
        <v>13.77</v>
      </c>
      <c r="AI573" s="3">
        <f t="shared" si="126"/>
        <v>13.77</v>
      </c>
      <c r="AJ573" t="s">
        <v>30</v>
      </c>
      <c r="AK573" t="str">
        <f>PROPER(Table1[[#This Row],[CVD Risk Level]])</f>
        <v>High</v>
      </c>
    </row>
    <row r="574" spans="1:37" x14ac:dyDescent="0.3">
      <c r="A574" t="s">
        <v>31</v>
      </c>
      <c r="B574">
        <v>47</v>
      </c>
      <c r="C574" s="8">
        <f t="shared" si="115"/>
        <v>47</v>
      </c>
      <c r="D574" s="5">
        <v>54.6</v>
      </c>
      <c r="E574" s="8">
        <f t="shared" si="116"/>
        <v>54.6</v>
      </c>
      <c r="F574">
        <v>1.68</v>
      </c>
      <c r="G574" s="3">
        <f t="shared" si="117"/>
        <v>1.68</v>
      </c>
      <c r="H574">
        <v>19.3</v>
      </c>
      <c r="I574" s="5">
        <f t="shared" si="113"/>
        <v>19.3</v>
      </c>
      <c r="J574" s="16" t="str">
        <f t="shared" si="118"/>
        <v>Normal</v>
      </c>
      <c r="K574">
        <v>99.6</v>
      </c>
      <c r="L574">
        <v>0.59299999999999997</v>
      </c>
      <c r="M574" s="11">
        <f t="shared" si="114"/>
        <v>0.59299999999999997</v>
      </c>
      <c r="N574" s="5">
        <f t="shared" si="119"/>
        <v>99.6</v>
      </c>
      <c r="O574">
        <v>172</v>
      </c>
      <c r="P574">
        <v>36</v>
      </c>
      <c r="Q574" s="8">
        <f t="shared" si="120"/>
        <v>36</v>
      </c>
      <c r="R574" s="8">
        <v>106</v>
      </c>
      <c r="S574" s="8">
        <f t="shared" si="121"/>
        <v>106</v>
      </c>
      <c r="T574" s="8">
        <f>(Table1[[#This Row],[Total Cholesterol (mg/dL)]]+Table1[[#This Row],[HDL (mg/dL)2]]+Table1[[#This Row],[Estimated LDL (mg/dL)2]])*5</f>
        <v>1570</v>
      </c>
      <c r="U574" s="8">
        <f>IF(O574="",Table1[[#This Row],[Estimated LDL (mg/dL)2]]+Table1[[#This Row],[HDL (mg/dL)2]]+(Table1[[#This Row],[Triglycerides]]/5),O574)</f>
        <v>172</v>
      </c>
      <c r="V574">
        <v>150</v>
      </c>
      <c r="W574" s="8">
        <f t="shared" si="122"/>
        <v>150</v>
      </c>
      <c r="X574" t="str">
        <f t="shared" si="123"/>
        <v>Diabetes</v>
      </c>
      <c r="Y574" t="s">
        <v>23</v>
      </c>
      <c r="Z574" t="s">
        <v>23</v>
      </c>
      <c r="AA574" t="s">
        <v>24</v>
      </c>
      <c r="AB574" s="3" t="s">
        <v>535</v>
      </c>
      <c r="AC574">
        <v>134</v>
      </c>
      <c r="AD574" s="3" t="str">
        <f t="shared" si="124"/>
        <v>134</v>
      </c>
      <c r="AE574">
        <v>72</v>
      </c>
      <c r="AF574" s="3" t="str">
        <f t="shared" si="125"/>
        <v>72</v>
      </c>
      <c r="AG574" t="s">
        <v>29</v>
      </c>
      <c r="AH574" s="3">
        <v>16</v>
      </c>
      <c r="AI574" s="3">
        <f t="shared" si="126"/>
        <v>16</v>
      </c>
      <c r="AJ574" t="s">
        <v>30</v>
      </c>
      <c r="AK574" t="str">
        <f>PROPER(Table1[[#This Row],[CVD Risk Level]])</f>
        <v>High</v>
      </c>
    </row>
    <row r="575" spans="1:37" x14ac:dyDescent="0.3">
      <c r="A575" t="s">
        <v>31</v>
      </c>
      <c r="B575">
        <v>53</v>
      </c>
      <c r="C575" s="8">
        <f t="shared" si="115"/>
        <v>53</v>
      </c>
      <c r="D575" s="5">
        <v>75.7</v>
      </c>
      <c r="E575" s="8">
        <f t="shared" si="116"/>
        <v>75.7</v>
      </c>
      <c r="F575">
        <v>1.7</v>
      </c>
      <c r="G575" s="3">
        <f t="shared" si="117"/>
        <v>1.7</v>
      </c>
      <c r="H575">
        <v>26.2</v>
      </c>
      <c r="I575" s="5">
        <f t="shared" si="113"/>
        <v>26.2</v>
      </c>
      <c r="J575" s="16" t="str">
        <f t="shared" si="118"/>
        <v>Overweight</v>
      </c>
      <c r="K575">
        <v>91</v>
      </c>
      <c r="M575" s="11">
        <f t="shared" si="114"/>
        <v>0.53529411764705881</v>
      </c>
      <c r="N575" s="5">
        <f t="shared" si="119"/>
        <v>91</v>
      </c>
      <c r="O575">
        <v>280</v>
      </c>
      <c r="P575">
        <v>52</v>
      </c>
      <c r="Q575" s="8">
        <f t="shared" si="120"/>
        <v>52</v>
      </c>
      <c r="R575" s="8">
        <v>198</v>
      </c>
      <c r="S575" s="8">
        <f t="shared" si="121"/>
        <v>198</v>
      </c>
      <c r="T575" s="8">
        <f>(Table1[[#This Row],[Total Cholesterol (mg/dL)]]+Table1[[#This Row],[HDL (mg/dL)2]]+Table1[[#This Row],[Estimated LDL (mg/dL)2]])*5</f>
        <v>2650</v>
      </c>
      <c r="U575" s="8">
        <f>IF(O575="",Table1[[#This Row],[Estimated LDL (mg/dL)2]]+Table1[[#This Row],[HDL (mg/dL)2]]+(Table1[[#This Row],[Triglycerides]]/5),O575)</f>
        <v>280</v>
      </c>
      <c r="V575">
        <v>72</v>
      </c>
      <c r="W575" s="8">
        <f t="shared" si="122"/>
        <v>72</v>
      </c>
      <c r="X575" t="str">
        <f t="shared" si="123"/>
        <v>Normal</v>
      </c>
      <c r="Y575" t="s">
        <v>22</v>
      </c>
      <c r="Z575" t="s">
        <v>23</v>
      </c>
      <c r="AA575" t="s">
        <v>37</v>
      </c>
      <c r="AB575" s="3" t="s">
        <v>359</v>
      </c>
      <c r="AC575">
        <v>103</v>
      </c>
      <c r="AD575" s="3" t="str">
        <f t="shared" si="124"/>
        <v>103</v>
      </c>
      <c r="AE575">
        <v>69</v>
      </c>
      <c r="AF575" s="3" t="str">
        <f t="shared" si="125"/>
        <v>69</v>
      </c>
      <c r="AG575" t="s">
        <v>33</v>
      </c>
      <c r="AH575" s="3">
        <v>17.989999999999998</v>
      </c>
      <c r="AI575" s="3">
        <f t="shared" si="126"/>
        <v>17.989999999999998</v>
      </c>
      <c r="AJ575" t="s">
        <v>30</v>
      </c>
      <c r="AK575" t="str">
        <f>PROPER(Table1[[#This Row],[CVD Risk Level]])</f>
        <v>High</v>
      </c>
    </row>
    <row r="576" spans="1:37" x14ac:dyDescent="0.3">
      <c r="A576" t="s">
        <v>20</v>
      </c>
      <c r="B576">
        <v>51</v>
      </c>
      <c r="C576" s="8">
        <f t="shared" si="115"/>
        <v>51</v>
      </c>
      <c r="D576" s="5">
        <v>116.2</v>
      </c>
      <c r="E576" s="8">
        <f t="shared" si="116"/>
        <v>116.2</v>
      </c>
      <c r="F576">
        <v>1.89</v>
      </c>
      <c r="G576" s="3">
        <f t="shared" si="117"/>
        <v>1.89</v>
      </c>
      <c r="H576">
        <v>32.5</v>
      </c>
      <c r="I576" s="5">
        <f t="shared" si="113"/>
        <v>32.5</v>
      </c>
      <c r="J576" s="16" t="str">
        <f t="shared" si="118"/>
        <v>Obese</v>
      </c>
      <c r="K576">
        <v>81.3</v>
      </c>
      <c r="L576">
        <v>0.43</v>
      </c>
      <c r="M576" s="11">
        <f t="shared" si="114"/>
        <v>0.43</v>
      </c>
      <c r="N576" s="5">
        <f t="shared" si="119"/>
        <v>81.3</v>
      </c>
      <c r="O576">
        <v>108</v>
      </c>
      <c r="P576">
        <v>43</v>
      </c>
      <c r="Q576" s="8">
        <f t="shared" si="120"/>
        <v>43</v>
      </c>
      <c r="R576" s="8">
        <v>35</v>
      </c>
      <c r="S576" s="8">
        <f t="shared" si="121"/>
        <v>35</v>
      </c>
      <c r="T576" s="8">
        <f>(Table1[[#This Row],[Total Cholesterol (mg/dL)]]+Table1[[#This Row],[HDL (mg/dL)2]]+Table1[[#This Row],[Estimated LDL (mg/dL)2]])*5</f>
        <v>930</v>
      </c>
      <c r="U576" s="8">
        <f>IF(O576="",Table1[[#This Row],[Estimated LDL (mg/dL)2]]+Table1[[#This Row],[HDL (mg/dL)2]]+(Table1[[#This Row],[Triglycerides]]/5),O576)</f>
        <v>108</v>
      </c>
      <c r="V576">
        <v>103</v>
      </c>
      <c r="W576" s="8">
        <f t="shared" si="122"/>
        <v>103</v>
      </c>
      <c r="X576" t="str">
        <f t="shared" si="123"/>
        <v>Prediabetes</v>
      </c>
      <c r="Y576" t="s">
        <v>22</v>
      </c>
      <c r="Z576" t="s">
        <v>23</v>
      </c>
      <c r="AA576" t="s">
        <v>28</v>
      </c>
      <c r="AB576" s="3" t="s">
        <v>226</v>
      </c>
      <c r="AD576" s="3" t="str">
        <f t="shared" si="124"/>
        <v>118</v>
      </c>
      <c r="AE576">
        <v>84</v>
      </c>
      <c r="AF576" s="3" t="str">
        <f t="shared" si="125"/>
        <v>84</v>
      </c>
      <c r="AG576" t="s">
        <v>29</v>
      </c>
      <c r="AH576" s="3">
        <v>16.559999999999999</v>
      </c>
      <c r="AI576" s="3">
        <f t="shared" si="126"/>
        <v>16.559999999999999</v>
      </c>
      <c r="AJ576" t="s">
        <v>30</v>
      </c>
      <c r="AK576" t="str">
        <f>PROPER(Table1[[#This Row],[CVD Risk Level]])</f>
        <v>High</v>
      </c>
    </row>
    <row r="577" spans="1:37" x14ac:dyDescent="0.3">
      <c r="A577" t="s">
        <v>31</v>
      </c>
      <c r="B577">
        <v>33</v>
      </c>
      <c r="C577" s="8">
        <f t="shared" si="115"/>
        <v>33</v>
      </c>
      <c r="D577" s="5">
        <v>116.5</v>
      </c>
      <c r="E577" s="8">
        <f t="shared" si="116"/>
        <v>116.5</v>
      </c>
      <c r="F577">
        <v>1.63</v>
      </c>
      <c r="G577" s="3">
        <f t="shared" si="117"/>
        <v>1.63</v>
      </c>
      <c r="H577">
        <v>43.8</v>
      </c>
      <c r="I577" s="5">
        <f t="shared" si="113"/>
        <v>43.8</v>
      </c>
      <c r="J577" s="16" t="str">
        <f t="shared" si="118"/>
        <v>Obese</v>
      </c>
      <c r="K577">
        <v>86.7</v>
      </c>
      <c r="L577">
        <v>0.53200000000000003</v>
      </c>
      <c r="M577" s="11">
        <f t="shared" si="114"/>
        <v>0.53200000000000003</v>
      </c>
      <c r="N577" s="5">
        <f t="shared" si="119"/>
        <v>86.7</v>
      </c>
      <c r="O577">
        <v>281</v>
      </c>
      <c r="P577">
        <v>66</v>
      </c>
      <c r="Q577" s="8">
        <f t="shared" si="120"/>
        <v>66</v>
      </c>
      <c r="R577" s="8">
        <v>185</v>
      </c>
      <c r="S577" s="8">
        <f t="shared" si="121"/>
        <v>185</v>
      </c>
      <c r="T577" s="8">
        <f>(Table1[[#This Row],[Total Cholesterol (mg/dL)]]+Table1[[#This Row],[HDL (mg/dL)2]]+Table1[[#This Row],[Estimated LDL (mg/dL)2]])*5</f>
        <v>2660</v>
      </c>
      <c r="U577" s="8">
        <f>IF(O577="",Table1[[#This Row],[Estimated LDL (mg/dL)2]]+Table1[[#This Row],[HDL (mg/dL)2]]+(Table1[[#This Row],[Triglycerides]]/5),O577)</f>
        <v>281</v>
      </c>
      <c r="V577">
        <v>130</v>
      </c>
      <c r="W577" s="8">
        <f t="shared" si="122"/>
        <v>130</v>
      </c>
      <c r="X577" t="str">
        <f t="shared" si="123"/>
        <v>Diabetes</v>
      </c>
      <c r="Y577" t="s">
        <v>23</v>
      </c>
      <c r="Z577" t="s">
        <v>23</v>
      </c>
      <c r="AA577" t="s">
        <v>24</v>
      </c>
      <c r="AB577" s="3" t="s">
        <v>536</v>
      </c>
      <c r="AC577">
        <v>150</v>
      </c>
      <c r="AD577" s="3" t="str">
        <f t="shared" si="124"/>
        <v>150</v>
      </c>
      <c r="AE577">
        <v>80</v>
      </c>
      <c r="AF577" s="3" t="str">
        <f t="shared" si="125"/>
        <v>80</v>
      </c>
      <c r="AG577" t="s">
        <v>29</v>
      </c>
      <c r="AH577" s="3">
        <v>23.88</v>
      </c>
      <c r="AI577" s="3">
        <f t="shared" si="126"/>
        <v>23.88</v>
      </c>
      <c r="AJ577" t="s">
        <v>30</v>
      </c>
      <c r="AK577" t="str">
        <f>PROPER(Table1[[#This Row],[CVD Risk Level]])</f>
        <v>High</v>
      </c>
    </row>
    <row r="578" spans="1:37" x14ac:dyDescent="0.3">
      <c r="A578" t="s">
        <v>31</v>
      </c>
      <c r="B578">
        <v>39</v>
      </c>
      <c r="C578" s="8">
        <f t="shared" si="115"/>
        <v>39</v>
      </c>
      <c r="D578" s="5">
        <v>62.3</v>
      </c>
      <c r="E578" s="8">
        <f t="shared" si="116"/>
        <v>62.3</v>
      </c>
      <c r="F578">
        <v>1.89</v>
      </c>
      <c r="G578" s="3">
        <f t="shared" si="117"/>
        <v>1.89</v>
      </c>
      <c r="H578">
        <v>17.399999999999999</v>
      </c>
      <c r="I578" s="5">
        <f t="shared" ref="I578:I641" si="127" xml:space="preserve"> IF(H578="",E578 / (G578^2),H578)</f>
        <v>17.399999999999999</v>
      </c>
      <c r="J578" s="16" t="str">
        <f t="shared" si="118"/>
        <v>Underweight</v>
      </c>
      <c r="K578">
        <v>96.8</v>
      </c>
      <c r="L578">
        <v>0.51200000000000001</v>
      </c>
      <c r="M578" s="11">
        <f t="shared" ref="M578:M641" si="128">IF(L578="",K578/(G578*100),L578)</f>
        <v>0.51200000000000001</v>
      </c>
      <c r="N578" s="5">
        <f t="shared" si="119"/>
        <v>96.8</v>
      </c>
      <c r="O578">
        <v>256</v>
      </c>
      <c r="P578">
        <v>60</v>
      </c>
      <c r="Q578" s="8">
        <f t="shared" si="120"/>
        <v>60</v>
      </c>
      <c r="R578" s="8">
        <v>166</v>
      </c>
      <c r="S578" s="8">
        <f t="shared" si="121"/>
        <v>166</v>
      </c>
      <c r="T578" s="8">
        <f>(Table1[[#This Row],[Total Cholesterol (mg/dL)]]+Table1[[#This Row],[HDL (mg/dL)2]]+Table1[[#This Row],[Estimated LDL (mg/dL)2]])*5</f>
        <v>2410</v>
      </c>
      <c r="U578" s="8">
        <f>IF(O578="",Table1[[#This Row],[Estimated LDL (mg/dL)2]]+Table1[[#This Row],[HDL (mg/dL)2]]+(Table1[[#This Row],[Triglycerides]]/5),O578)</f>
        <v>256</v>
      </c>
      <c r="V578">
        <v>93</v>
      </c>
      <c r="W578" s="8">
        <f t="shared" si="122"/>
        <v>93</v>
      </c>
      <c r="X578" t="str">
        <f t="shared" si="123"/>
        <v>Normal</v>
      </c>
      <c r="Y578" t="s">
        <v>23</v>
      </c>
      <c r="Z578" t="s">
        <v>23</v>
      </c>
      <c r="AA578" t="s">
        <v>24</v>
      </c>
      <c r="AB578" s="3" t="s">
        <v>537</v>
      </c>
      <c r="AC578">
        <v>125</v>
      </c>
      <c r="AD578" s="3" t="str">
        <f t="shared" si="124"/>
        <v>125</v>
      </c>
      <c r="AE578">
        <v>64</v>
      </c>
      <c r="AF578" s="3" t="str">
        <f t="shared" si="125"/>
        <v>64</v>
      </c>
      <c r="AG578" t="s">
        <v>25</v>
      </c>
      <c r="AH578" s="3">
        <v>16.850000000000001</v>
      </c>
      <c r="AI578" s="3">
        <f t="shared" si="126"/>
        <v>16.850000000000001</v>
      </c>
      <c r="AJ578" t="s">
        <v>30</v>
      </c>
      <c r="AK578" t="str">
        <f>PROPER(Table1[[#This Row],[CVD Risk Level]])</f>
        <v>High</v>
      </c>
    </row>
    <row r="579" spans="1:37" x14ac:dyDescent="0.3">
      <c r="A579" t="s">
        <v>20</v>
      </c>
      <c r="B579">
        <v>48</v>
      </c>
      <c r="C579" s="8">
        <f t="shared" ref="C579:C642" si="129">IF(B579="",AVERAGE($B$2:$B$1530),B579)</f>
        <v>48</v>
      </c>
      <c r="D579" s="5">
        <v>59.4</v>
      </c>
      <c r="E579" s="8">
        <f t="shared" ref="E579:E642" si="130">IF(D579="", H579*(F579^2),D579)</f>
        <v>59.4</v>
      </c>
      <c r="F579">
        <v>1.88</v>
      </c>
      <c r="G579" s="3">
        <f t="shared" ref="G579:G642" si="131">IF(F579="", SQRT(E579 / H579),F579)</f>
        <v>1.88</v>
      </c>
      <c r="H579">
        <v>16.8</v>
      </c>
      <c r="I579" s="5">
        <f t="shared" si="127"/>
        <v>16.8</v>
      </c>
      <c r="J579" s="16" t="str">
        <f t="shared" ref="J579:J642" si="132">IF(I579&lt;18.5,"Underweight",IF(I579&lt;25,"Normal",IF(I579&lt;30,"Overweight","Obese")))</f>
        <v>Underweight</v>
      </c>
      <c r="K579">
        <v>91.2</v>
      </c>
      <c r="L579">
        <v>0.48499999999999999</v>
      </c>
      <c r="M579" s="11">
        <f t="shared" si="128"/>
        <v>0.48499999999999999</v>
      </c>
      <c r="N579" s="5">
        <f t="shared" ref="N579:N642" si="133">IF(K579="",M579*(G579*100),K579)</f>
        <v>91.2</v>
      </c>
      <c r="O579">
        <v>214</v>
      </c>
      <c r="P579">
        <v>69</v>
      </c>
      <c r="Q579" s="8">
        <f t="shared" ref="Q579:Q642" si="134">IF(P579="",AVERAGE($P$2:$P$1530),P579)</f>
        <v>69</v>
      </c>
      <c r="R579" s="8">
        <v>115</v>
      </c>
      <c r="S579" s="8">
        <f t="shared" ref="S579:S642" si="135">IF(R579&lt;=0,MEDIAN($R$2:$R$1530),R579)</f>
        <v>115</v>
      </c>
      <c r="T579" s="8">
        <f>(Table1[[#This Row],[Total Cholesterol (mg/dL)]]+Table1[[#This Row],[HDL (mg/dL)2]]+Table1[[#This Row],[Estimated LDL (mg/dL)2]])*5</f>
        <v>1990</v>
      </c>
      <c r="U579" s="8">
        <f>IF(O579="",Table1[[#This Row],[Estimated LDL (mg/dL)2]]+Table1[[#This Row],[HDL (mg/dL)2]]+(Table1[[#This Row],[Triglycerides]]/5),O579)</f>
        <v>214</v>
      </c>
      <c r="V579">
        <v>77</v>
      </c>
      <c r="W579" s="8">
        <f t="shared" ref="W579:W642" si="136">IF(V579="",AVERAGE($V$2:$V$1530),V579)</f>
        <v>77</v>
      </c>
      <c r="X579" t="str">
        <f t="shared" ref="X579:X642" si="137">IF(W579&lt;100,"Normal",IF(W579&lt;126,"Prediabetes","Diabetes"))</f>
        <v>Normal</v>
      </c>
      <c r="Y579" t="s">
        <v>22</v>
      </c>
      <c r="Z579" t="s">
        <v>22</v>
      </c>
      <c r="AA579" t="s">
        <v>24</v>
      </c>
      <c r="AB579" s="3" t="s">
        <v>538</v>
      </c>
      <c r="AC579">
        <v>102</v>
      </c>
      <c r="AD579" s="3" t="str">
        <f t="shared" ref="AD579:AD642" si="138">LEFT(AB579,FIND("/",AB579)-1)</f>
        <v>102</v>
      </c>
      <c r="AE579">
        <v>84</v>
      </c>
      <c r="AF579" s="3" t="str">
        <f t="shared" ref="AF579:AF642" si="139">RIGHT(AB579,LEN(AB579)-FIND("/",AB579))</f>
        <v>84</v>
      </c>
      <c r="AG579" t="s">
        <v>29</v>
      </c>
      <c r="AH579" s="3">
        <v>12.74</v>
      </c>
      <c r="AI579" s="3">
        <f t="shared" ref="AI579:AI642" si="140">IF(AH579="",AVERAGE($AH$2:$AH$1530),AH579)</f>
        <v>12.74</v>
      </c>
      <c r="AJ579" t="s">
        <v>30</v>
      </c>
      <c r="AK579" t="str">
        <f>PROPER(Table1[[#This Row],[CVD Risk Level]])</f>
        <v>High</v>
      </c>
    </row>
    <row r="580" spans="1:37" x14ac:dyDescent="0.3">
      <c r="A580" t="s">
        <v>20</v>
      </c>
      <c r="B580">
        <v>40</v>
      </c>
      <c r="C580" s="8">
        <f t="shared" si="129"/>
        <v>40</v>
      </c>
      <c r="E580" s="8">
        <f t="shared" si="130"/>
        <v>59.944049999999997</v>
      </c>
      <c r="F580">
        <v>1.71</v>
      </c>
      <c r="G580" s="3">
        <f t="shared" si="131"/>
        <v>1.71</v>
      </c>
      <c r="H580">
        <v>20.5</v>
      </c>
      <c r="I580" s="5">
        <f t="shared" si="127"/>
        <v>20.5</v>
      </c>
      <c r="J580" s="16" t="str">
        <f t="shared" si="132"/>
        <v>Normal</v>
      </c>
      <c r="K580">
        <v>101.5</v>
      </c>
      <c r="L580">
        <v>0.59399999999999997</v>
      </c>
      <c r="M580" s="11">
        <f t="shared" si="128"/>
        <v>0.59399999999999997</v>
      </c>
      <c r="N580" s="5">
        <f t="shared" si="133"/>
        <v>101.5</v>
      </c>
      <c r="O580">
        <v>127</v>
      </c>
      <c r="P580">
        <v>34</v>
      </c>
      <c r="Q580" s="8">
        <f t="shared" si="134"/>
        <v>34</v>
      </c>
      <c r="R580" s="8">
        <v>63</v>
      </c>
      <c r="S580" s="8">
        <f t="shared" si="135"/>
        <v>63</v>
      </c>
      <c r="T580" s="8">
        <f>(Table1[[#This Row],[Total Cholesterol (mg/dL)]]+Table1[[#This Row],[HDL (mg/dL)2]]+Table1[[#This Row],[Estimated LDL (mg/dL)2]])*5</f>
        <v>1120</v>
      </c>
      <c r="U580" s="8">
        <f>IF(O580="",Table1[[#This Row],[Estimated LDL (mg/dL)2]]+Table1[[#This Row],[HDL (mg/dL)2]]+(Table1[[#This Row],[Triglycerides]]/5),O580)</f>
        <v>127</v>
      </c>
      <c r="V580">
        <v>88</v>
      </c>
      <c r="W580" s="8">
        <f t="shared" si="136"/>
        <v>88</v>
      </c>
      <c r="X580" t="str">
        <f t="shared" si="137"/>
        <v>Normal</v>
      </c>
      <c r="Y580" t="s">
        <v>23</v>
      </c>
      <c r="Z580" t="s">
        <v>23</v>
      </c>
      <c r="AA580" t="s">
        <v>24</v>
      </c>
      <c r="AB580" s="3" t="s">
        <v>539</v>
      </c>
      <c r="AC580">
        <v>117</v>
      </c>
      <c r="AD580" s="3" t="str">
        <f t="shared" si="138"/>
        <v>117</v>
      </c>
      <c r="AE580">
        <v>86</v>
      </c>
      <c r="AF580" s="3" t="str">
        <f t="shared" si="139"/>
        <v>86</v>
      </c>
      <c r="AG580" t="s">
        <v>29</v>
      </c>
      <c r="AH580" s="3">
        <v>14.49</v>
      </c>
      <c r="AI580" s="3">
        <f t="shared" si="140"/>
        <v>14.49</v>
      </c>
      <c r="AJ580" t="s">
        <v>30</v>
      </c>
      <c r="AK580" t="str">
        <f>PROPER(Table1[[#This Row],[CVD Risk Level]])</f>
        <v>High</v>
      </c>
    </row>
    <row r="581" spans="1:37" x14ac:dyDescent="0.3">
      <c r="A581" t="s">
        <v>20</v>
      </c>
      <c r="C581" s="8">
        <f t="shared" si="129"/>
        <v>47.025499655410059</v>
      </c>
      <c r="D581" s="5">
        <v>86.2</v>
      </c>
      <c r="E581" s="8">
        <f t="shared" si="130"/>
        <v>86.2</v>
      </c>
      <c r="F581">
        <v>1.72</v>
      </c>
      <c r="G581" s="3">
        <f t="shared" si="131"/>
        <v>1.72</v>
      </c>
      <c r="H581">
        <v>29.1</v>
      </c>
      <c r="I581" s="5">
        <f t="shared" si="127"/>
        <v>29.1</v>
      </c>
      <c r="J581" s="16" t="str">
        <f t="shared" si="132"/>
        <v>Overweight</v>
      </c>
      <c r="K581">
        <v>109.5</v>
      </c>
      <c r="L581">
        <v>0.63700000000000001</v>
      </c>
      <c r="M581" s="11">
        <f t="shared" si="128"/>
        <v>0.63700000000000001</v>
      </c>
      <c r="N581" s="5">
        <f t="shared" si="133"/>
        <v>109.5</v>
      </c>
      <c r="O581">
        <v>282</v>
      </c>
      <c r="P581">
        <v>53</v>
      </c>
      <c r="Q581" s="8">
        <f t="shared" si="134"/>
        <v>53</v>
      </c>
      <c r="S581" s="8">
        <f t="shared" si="135"/>
        <v>109</v>
      </c>
      <c r="T581" s="8">
        <f>(Table1[[#This Row],[Total Cholesterol (mg/dL)]]+Table1[[#This Row],[HDL (mg/dL)2]]+Table1[[#This Row],[Estimated LDL (mg/dL)2]])*5</f>
        <v>2220</v>
      </c>
      <c r="U581" s="8">
        <f>IF(O581="",Table1[[#This Row],[Estimated LDL (mg/dL)2]]+Table1[[#This Row],[HDL (mg/dL)2]]+(Table1[[#This Row],[Triglycerides]]/5),O581)</f>
        <v>282</v>
      </c>
      <c r="V581">
        <v>107</v>
      </c>
      <c r="W581" s="8">
        <f t="shared" si="136"/>
        <v>107</v>
      </c>
      <c r="X581" t="str">
        <f t="shared" si="137"/>
        <v>Prediabetes</v>
      </c>
      <c r="Y581" t="s">
        <v>23</v>
      </c>
      <c r="Z581" t="s">
        <v>23</v>
      </c>
      <c r="AA581" t="s">
        <v>37</v>
      </c>
      <c r="AB581" s="3" t="s">
        <v>540</v>
      </c>
      <c r="AC581">
        <v>112</v>
      </c>
      <c r="AD581" s="3" t="str">
        <f t="shared" si="138"/>
        <v>112</v>
      </c>
      <c r="AE581">
        <v>79</v>
      </c>
      <c r="AF581" s="3" t="str">
        <f t="shared" si="139"/>
        <v>79</v>
      </c>
      <c r="AG581" t="s">
        <v>33</v>
      </c>
      <c r="AH581" s="3">
        <v>19.059999999999999</v>
      </c>
      <c r="AI581" s="3">
        <f t="shared" si="140"/>
        <v>19.059999999999999</v>
      </c>
      <c r="AJ581" t="s">
        <v>30</v>
      </c>
      <c r="AK581" t="str">
        <f>PROPER(Table1[[#This Row],[CVD Risk Level]])</f>
        <v>High</v>
      </c>
    </row>
    <row r="582" spans="1:37" x14ac:dyDescent="0.3">
      <c r="A582" t="s">
        <v>20</v>
      </c>
      <c r="B582">
        <v>43</v>
      </c>
      <c r="C582" s="8">
        <f t="shared" si="129"/>
        <v>43</v>
      </c>
      <c r="E582" s="8">
        <f t="shared" si="130"/>
        <v>80.569080000000014</v>
      </c>
      <c r="F582">
        <v>1.62</v>
      </c>
      <c r="G582" s="3">
        <f t="shared" si="131"/>
        <v>1.62</v>
      </c>
      <c r="H582">
        <v>30.7</v>
      </c>
      <c r="I582" s="5">
        <f t="shared" si="127"/>
        <v>30.7</v>
      </c>
      <c r="J582" s="16" t="str">
        <f t="shared" si="132"/>
        <v>Obese</v>
      </c>
      <c r="K582">
        <v>89.4</v>
      </c>
      <c r="L582">
        <v>0.55200000000000005</v>
      </c>
      <c r="M582" s="11">
        <f t="shared" si="128"/>
        <v>0.55200000000000005</v>
      </c>
      <c r="N582" s="5">
        <f t="shared" si="133"/>
        <v>89.4</v>
      </c>
      <c r="O582">
        <v>209</v>
      </c>
      <c r="P582">
        <v>66</v>
      </c>
      <c r="Q582" s="8">
        <f t="shared" si="134"/>
        <v>66</v>
      </c>
      <c r="R582" s="8">
        <v>113</v>
      </c>
      <c r="S582" s="8">
        <f t="shared" si="135"/>
        <v>113</v>
      </c>
      <c r="T582" s="8">
        <f>(Table1[[#This Row],[Total Cholesterol (mg/dL)]]+Table1[[#This Row],[HDL (mg/dL)2]]+Table1[[#This Row],[Estimated LDL (mg/dL)2]])*5</f>
        <v>1940</v>
      </c>
      <c r="U582" s="8">
        <f>IF(O582="",Table1[[#This Row],[Estimated LDL (mg/dL)2]]+Table1[[#This Row],[HDL (mg/dL)2]]+(Table1[[#This Row],[Triglycerides]]/5),O582)</f>
        <v>209</v>
      </c>
      <c r="V582">
        <v>111</v>
      </c>
      <c r="W582" s="8">
        <f t="shared" si="136"/>
        <v>111</v>
      </c>
      <c r="X582" t="str">
        <f t="shared" si="137"/>
        <v>Prediabetes</v>
      </c>
      <c r="Y582" t="s">
        <v>22</v>
      </c>
      <c r="Z582" t="s">
        <v>22</v>
      </c>
      <c r="AA582" t="s">
        <v>28</v>
      </c>
      <c r="AB582" s="3" t="s">
        <v>541</v>
      </c>
      <c r="AC582">
        <v>120</v>
      </c>
      <c r="AD582" s="3" t="str">
        <f t="shared" si="138"/>
        <v>120</v>
      </c>
      <c r="AF582" s="3" t="str">
        <f t="shared" si="139"/>
        <v>100</v>
      </c>
      <c r="AG582" t="s">
        <v>38</v>
      </c>
      <c r="AH582" s="3">
        <v>16.32</v>
      </c>
      <c r="AI582" s="3">
        <f t="shared" si="140"/>
        <v>16.32</v>
      </c>
      <c r="AJ582" t="s">
        <v>26</v>
      </c>
      <c r="AK582" t="str">
        <f>PROPER(Table1[[#This Row],[CVD Risk Level]])</f>
        <v>Intermediary</v>
      </c>
    </row>
    <row r="583" spans="1:37" x14ac:dyDescent="0.3">
      <c r="A583" t="s">
        <v>31</v>
      </c>
      <c r="C583" s="8">
        <f t="shared" si="129"/>
        <v>47.025499655410059</v>
      </c>
      <c r="D583" s="5">
        <v>52.8</v>
      </c>
      <c r="E583" s="8">
        <f t="shared" si="130"/>
        <v>52.8</v>
      </c>
      <c r="F583">
        <v>1.8</v>
      </c>
      <c r="G583" s="3">
        <f t="shared" si="131"/>
        <v>1.8</v>
      </c>
      <c r="H583">
        <v>16.3</v>
      </c>
      <c r="I583" s="5">
        <f t="shared" si="127"/>
        <v>16.3</v>
      </c>
      <c r="J583" s="16" t="str">
        <f t="shared" si="132"/>
        <v>Underweight</v>
      </c>
      <c r="K583">
        <v>77.3</v>
      </c>
      <c r="L583">
        <v>0.42899999999999999</v>
      </c>
      <c r="M583" s="11">
        <f t="shared" si="128"/>
        <v>0.42899999999999999</v>
      </c>
      <c r="N583" s="5">
        <f t="shared" si="133"/>
        <v>77.3</v>
      </c>
      <c r="O583">
        <v>167</v>
      </c>
      <c r="P583">
        <v>32</v>
      </c>
      <c r="Q583" s="8">
        <f t="shared" si="134"/>
        <v>32</v>
      </c>
      <c r="R583" s="8">
        <v>105</v>
      </c>
      <c r="S583" s="8">
        <f t="shared" si="135"/>
        <v>105</v>
      </c>
      <c r="T583" s="8">
        <f>(Table1[[#This Row],[Total Cholesterol (mg/dL)]]+Table1[[#This Row],[HDL (mg/dL)2]]+Table1[[#This Row],[Estimated LDL (mg/dL)2]])*5</f>
        <v>1520</v>
      </c>
      <c r="U583" s="8">
        <f>IF(O583="",Table1[[#This Row],[Estimated LDL (mg/dL)2]]+Table1[[#This Row],[HDL (mg/dL)2]]+(Table1[[#This Row],[Triglycerides]]/5),O583)</f>
        <v>167</v>
      </c>
      <c r="V583">
        <v>135</v>
      </c>
      <c r="W583" s="8">
        <f t="shared" si="136"/>
        <v>135</v>
      </c>
      <c r="X583" t="str">
        <f t="shared" si="137"/>
        <v>Diabetes</v>
      </c>
      <c r="Y583" t="s">
        <v>22</v>
      </c>
      <c r="Z583" t="s">
        <v>23</v>
      </c>
      <c r="AA583" t="s">
        <v>24</v>
      </c>
      <c r="AB583" s="3" t="s">
        <v>383</v>
      </c>
      <c r="AC583">
        <v>113</v>
      </c>
      <c r="AD583" s="3" t="str">
        <f t="shared" si="138"/>
        <v>113</v>
      </c>
      <c r="AE583">
        <v>96</v>
      </c>
      <c r="AF583" s="3" t="str">
        <f t="shared" si="139"/>
        <v>96</v>
      </c>
      <c r="AG583" t="s">
        <v>38</v>
      </c>
      <c r="AH583" s="3">
        <v>14.25</v>
      </c>
      <c r="AI583" s="3">
        <f t="shared" si="140"/>
        <v>14.25</v>
      </c>
      <c r="AJ583" t="s">
        <v>26</v>
      </c>
      <c r="AK583" t="str">
        <f>PROPER(Table1[[#This Row],[CVD Risk Level]])</f>
        <v>Intermediary</v>
      </c>
    </row>
    <row r="584" spans="1:37" x14ac:dyDescent="0.3">
      <c r="A584" t="s">
        <v>31</v>
      </c>
      <c r="B584">
        <v>41</v>
      </c>
      <c r="C584" s="8">
        <f t="shared" si="129"/>
        <v>41</v>
      </c>
      <c r="D584" s="5">
        <v>92</v>
      </c>
      <c r="E584" s="8">
        <f t="shared" si="130"/>
        <v>92</v>
      </c>
      <c r="F584">
        <v>1.77</v>
      </c>
      <c r="G584" s="3">
        <f t="shared" si="131"/>
        <v>1.77</v>
      </c>
      <c r="H584">
        <v>29.4</v>
      </c>
      <c r="I584" s="5">
        <f t="shared" si="127"/>
        <v>29.4</v>
      </c>
      <c r="J584" s="16" t="str">
        <f t="shared" si="132"/>
        <v>Overweight</v>
      </c>
      <c r="K584">
        <v>98.6</v>
      </c>
      <c r="L584">
        <v>0.55700000000000005</v>
      </c>
      <c r="M584" s="11">
        <f t="shared" si="128"/>
        <v>0.55700000000000005</v>
      </c>
      <c r="N584" s="5">
        <f t="shared" si="133"/>
        <v>98.6</v>
      </c>
      <c r="O584">
        <v>256</v>
      </c>
      <c r="P584">
        <v>49</v>
      </c>
      <c r="Q584" s="8">
        <f t="shared" si="134"/>
        <v>49</v>
      </c>
      <c r="R584" s="8">
        <v>177</v>
      </c>
      <c r="S584" s="8">
        <f t="shared" si="135"/>
        <v>177</v>
      </c>
      <c r="T584" s="8">
        <f>(Table1[[#This Row],[Total Cholesterol (mg/dL)]]+Table1[[#This Row],[HDL (mg/dL)2]]+Table1[[#This Row],[Estimated LDL (mg/dL)2]])*5</f>
        <v>2410</v>
      </c>
      <c r="U584" s="8">
        <f>IF(O584="",Table1[[#This Row],[Estimated LDL (mg/dL)2]]+Table1[[#This Row],[HDL (mg/dL)2]]+(Table1[[#This Row],[Triglycerides]]/5),O584)</f>
        <v>256</v>
      </c>
      <c r="V584">
        <v>75</v>
      </c>
      <c r="W584" s="8">
        <f t="shared" si="136"/>
        <v>75</v>
      </c>
      <c r="X584" t="str">
        <f t="shared" si="137"/>
        <v>Normal</v>
      </c>
      <c r="Y584" t="s">
        <v>22</v>
      </c>
      <c r="Z584" t="s">
        <v>22</v>
      </c>
      <c r="AA584" t="s">
        <v>28</v>
      </c>
      <c r="AB584" s="3" t="s">
        <v>542</v>
      </c>
      <c r="AD584" s="3" t="str">
        <f t="shared" si="138"/>
        <v>113</v>
      </c>
      <c r="AE584">
        <v>87</v>
      </c>
      <c r="AF584" s="3" t="str">
        <f t="shared" si="139"/>
        <v>87</v>
      </c>
      <c r="AG584" t="s">
        <v>29</v>
      </c>
      <c r="AH584" s="3">
        <v>16.649999999999999</v>
      </c>
      <c r="AI584" s="3">
        <f t="shared" si="140"/>
        <v>16.649999999999999</v>
      </c>
      <c r="AJ584" t="s">
        <v>26</v>
      </c>
      <c r="AK584" t="str">
        <f>PROPER(Table1[[#This Row],[CVD Risk Level]])</f>
        <v>Intermediary</v>
      </c>
    </row>
    <row r="585" spans="1:37" x14ac:dyDescent="0.3">
      <c r="A585" t="s">
        <v>31</v>
      </c>
      <c r="B585">
        <v>32</v>
      </c>
      <c r="C585" s="8">
        <f t="shared" si="129"/>
        <v>32</v>
      </c>
      <c r="D585" s="5">
        <v>106.7</v>
      </c>
      <c r="E585" s="8">
        <f t="shared" si="130"/>
        <v>106.7</v>
      </c>
      <c r="F585">
        <v>1.85</v>
      </c>
      <c r="G585" s="3">
        <f t="shared" si="131"/>
        <v>1.85</v>
      </c>
      <c r="H585">
        <v>31.2</v>
      </c>
      <c r="I585" s="5">
        <f t="shared" si="127"/>
        <v>31.2</v>
      </c>
      <c r="J585" s="16" t="str">
        <f t="shared" si="132"/>
        <v>Obese</v>
      </c>
      <c r="K585">
        <v>72.599999999999994</v>
      </c>
      <c r="L585">
        <v>0.39200000000000002</v>
      </c>
      <c r="M585" s="11">
        <f t="shared" si="128"/>
        <v>0.39200000000000002</v>
      </c>
      <c r="N585" s="5">
        <f t="shared" si="133"/>
        <v>72.599999999999994</v>
      </c>
      <c r="O585">
        <v>100</v>
      </c>
      <c r="P585">
        <v>55</v>
      </c>
      <c r="Q585" s="8">
        <f t="shared" si="134"/>
        <v>55</v>
      </c>
      <c r="R585" s="8">
        <v>15</v>
      </c>
      <c r="S585" s="8">
        <f t="shared" si="135"/>
        <v>15</v>
      </c>
      <c r="T585" s="8">
        <f>(Table1[[#This Row],[Total Cholesterol (mg/dL)]]+Table1[[#This Row],[HDL (mg/dL)2]]+Table1[[#This Row],[Estimated LDL (mg/dL)2]])*5</f>
        <v>850</v>
      </c>
      <c r="U585" s="8">
        <f>IF(O585="",Table1[[#This Row],[Estimated LDL (mg/dL)2]]+Table1[[#This Row],[HDL (mg/dL)2]]+(Table1[[#This Row],[Triglycerides]]/5),O585)</f>
        <v>100</v>
      </c>
      <c r="V585">
        <v>95</v>
      </c>
      <c r="W585" s="8">
        <f t="shared" si="136"/>
        <v>95</v>
      </c>
      <c r="X585" t="str">
        <f t="shared" si="137"/>
        <v>Normal</v>
      </c>
      <c r="Y585" t="s">
        <v>23</v>
      </c>
      <c r="Z585" t="s">
        <v>23</v>
      </c>
      <c r="AA585" t="s">
        <v>37</v>
      </c>
      <c r="AB585" s="3" t="s">
        <v>57</v>
      </c>
      <c r="AC585">
        <v>102</v>
      </c>
      <c r="AD585" s="3" t="str">
        <f t="shared" si="138"/>
        <v>102</v>
      </c>
      <c r="AE585">
        <v>74</v>
      </c>
      <c r="AF585" s="3" t="str">
        <f t="shared" si="139"/>
        <v>74</v>
      </c>
      <c r="AG585" t="s">
        <v>33</v>
      </c>
      <c r="AH585" s="3">
        <v>15.34</v>
      </c>
      <c r="AI585" s="3">
        <f t="shared" si="140"/>
        <v>15.34</v>
      </c>
      <c r="AJ585" t="s">
        <v>30</v>
      </c>
      <c r="AK585" t="str">
        <f>PROPER(Table1[[#This Row],[CVD Risk Level]])</f>
        <v>High</v>
      </c>
    </row>
    <row r="586" spans="1:37" x14ac:dyDescent="0.3">
      <c r="A586" t="s">
        <v>20</v>
      </c>
      <c r="B586">
        <v>43</v>
      </c>
      <c r="C586" s="8">
        <f t="shared" si="129"/>
        <v>43</v>
      </c>
      <c r="D586" s="5">
        <v>62.2</v>
      </c>
      <c r="E586" s="8">
        <f t="shared" si="130"/>
        <v>62.2</v>
      </c>
      <c r="F586">
        <v>1.66</v>
      </c>
      <c r="G586" s="3">
        <f t="shared" si="131"/>
        <v>1.66</v>
      </c>
      <c r="H586">
        <v>22.6</v>
      </c>
      <c r="I586" s="5">
        <f t="shared" si="127"/>
        <v>22.6</v>
      </c>
      <c r="J586" s="16" t="str">
        <f t="shared" si="132"/>
        <v>Normal</v>
      </c>
      <c r="K586">
        <v>93.9</v>
      </c>
      <c r="L586">
        <v>0.56599999999999995</v>
      </c>
      <c r="M586" s="11">
        <f t="shared" si="128"/>
        <v>0.56599999999999995</v>
      </c>
      <c r="N586" s="5">
        <f t="shared" si="133"/>
        <v>93.9</v>
      </c>
      <c r="O586">
        <v>164</v>
      </c>
      <c r="P586">
        <v>38</v>
      </c>
      <c r="Q586" s="8">
        <f t="shared" si="134"/>
        <v>38</v>
      </c>
      <c r="R586" s="8">
        <v>96</v>
      </c>
      <c r="S586" s="8">
        <f t="shared" si="135"/>
        <v>96</v>
      </c>
      <c r="T586" s="8">
        <f>(Table1[[#This Row],[Total Cholesterol (mg/dL)]]+Table1[[#This Row],[HDL (mg/dL)2]]+Table1[[#This Row],[Estimated LDL (mg/dL)2]])*5</f>
        <v>1490</v>
      </c>
      <c r="U586" s="8">
        <f>IF(O586="",Table1[[#This Row],[Estimated LDL (mg/dL)2]]+Table1[[#This Row],[HDL (mg/dL)2]]+(Table1[[#This Row],[Triglycerides]]/5),O586)</f>
        <v>164</v>
      </c>
      <c r="V586">
        <v>88</v>
      </c>
      <c r="W586" s="8">
        <f t="shared" si="136"/>
        <v>88</v>
      </c>
      <c r="X586" t="str">
        <f t="shared" si="137"/>
        <v>Normal</v>
      </c>
      <c r="Y586" t="s">
        <v>22</v>
      </c>
      <c r="Z586" t="s">
        <v>23</v>
      </c>
      <c r="AA586" t="s">
        <v>28</v>
      </c>
      <c r="AB586" s="3" t="s">
        <v>226</v>
      </c>
      <c r="AC586">
        <v>118</v>
      </c>
      <c r="AD586" s="3" t="str">
        <f t="shared" si="138"/>
        <v>118</v>
      </c>
      <c r="AE586">
        <v>84</v>
      </c>
      <c r="AF586" s="3" t="str">
        <f t="shared" si="139"/>
        <v>84</v>
      </c>
      <c r="AG586" t="s">
        <v>29</v>
      </c>
      <c r="AH586" s="3">
        <v>15.7</v>
      </c>
      <c r="AI586" s="3">
        <f t="shared" si="140"/>
        <v>15.7</v>
      </c>
      <c r="AJ586" t="s">
        <v>26</v>
      </c>
      <c r="AK586" t="str">
        <f>PROPER(Table1[[#This Row],[CVD Risk Level]])</f>
        <v>Intermediary</v>
      </c>
    </row>
    <row r="587" spans="1:37" x14ac:dyDescent="0.3">
      <c r="A587" t="s">
        <v>20</v>
      </c>
      <c r="B587">
        <v>37</v>
      </c>
      <c r="C587" s="8">
        <f t="shared" si="129"/>
        <v>37</v>
      </c>
      <c r="D587" s="5">
        <v>99.6</v>
      </c>
      <c r="E587" s="8">
        <f t="shared" si="130"/>
        <v>99.6</v>
      </c>
      <c r="F587">
        <v>1.8</v>
      </c>
      <c r="G587" s="3">
        <f t="shared" si="131"/>
        <v>1.8</v>
      </c>
      <c r="H587">
        <v>30.7</v>
      </c>
      <c r="I587" s="5">
        <f t="shared" si="127"/>
        <v>30.7</v>
      </c>
      <c r="J587" s="16" t="str">
        <f t="shared" si="132"/>
        <v>Obese</v>
      </c>
      <c r="K587">
        <v>102.4</v>
      </c>
      <c r="L587">
        <v>0.56899999999999995</v>
      </c>
      <c r="M587" s="11">
        <f t="shared" si="128"/>
        <v>0.56899999999999995</v>
      </c>
      <c r="N587" s="5">
        <f t="shared" si="133"/>
        <v>102.4</v>
      </c>
      <c r="O587">
        <v>232</v>
      </c>
      <c r="P587">
        <v>73</v>
      </c>
      <c r="Q587" s="8">
        <f t="shared" si="134"/>
        <v>73</v>
      </c>
      <c r="R587" s="8">
        <v>129</v>
      </c>
      <c r="S587" s="8">
        <f t="shared" si="135"/>
        <v>129</v>
      </c>
      <c r="T587" s="8">
        <f>(Table1[[#This Row],[Total Cholesterol (mg/dL)]]+Table1[[#This Row],[HDL (mg/dL)2]]+Table1[[#This Row],[Estimated LDL (mg/dL)2]])*5</f>
        <v>2170</v>
      </c>
      <c r="U587" s="8">
        <f>IF(O587="",Table1[[#This Row],[Estimated LDL (mg/dL)2]]+Table1[[#This Row],[HDL (mg/dL)2]]+(Table1[[#This Row],[Triglycerides]]/5),O587)</f>
        <v>232</v>
      </c>
      <c r="W587" s="8">
        <f t="shared" si="136"/>
        <v>117.48563611491107</v>
      </c>
      <c r="X587" t="str">
        <f t="shared" si="137"/>
        <v>Prediabetes</v>
      </c>
      <c r="Y587" t="s">
        <v>22</v>
      </c>
      <c r="Z587" t="s">
        <v>22</v>
      </c>
      <c r="AA587" t="s">
        <v>24</v>
      </c>
      <c r="AB587" s="3" t="s">
        <v>543</v>
      </c>
      <c r="AC587">
        <v>120</v>
      </c>
      <c r="AD587" s="3" t="str">
        <f t="shared" si="138"/>
        <v>120</v>
      </c>
      <c r="AE587">
        <v>97</v>
      </c>
      <c r="AF587" s="3" t="str">
        <f t="shared" si="139"/>
        <v>97</v>
      </c>
      <c r="AG587" t="s">
        <v>38</v>
      </c>
      <c r="AH587" s="3">
        <v>16.78</v>
      </c>
      <c r="AI587" s="3">
        <f t="shared" si="140"/>
        <v>16.78</v>
      </c>
      <c r="AJ587" t="s">
        <v>26</v>
      </c>
      <c r="AK587" t="str">
        <f>PROPER(Table1[[#This Row],[CVD Risk Level]])</f>
        <v>Intermediary</v>
      </c>
    </row>
    <row r="588" spans="1:37" x14ac:dyDescent="0.3">
      <c r="A588" t="s">
        <v>20</v>
      </c>
      <c r="B588">
        <v>59</v>
      </c>
      <c r="C588" s="8">
        <f t="shared" si="129"/>
        <v>59</v>
      </c>
      <c r="D588" s="5">
        <v>52.4</v>
      </c>
      <c r="E588" s="8">
        <f t="shared" si="130"/>
        <v>52.4</v>
      </c>
      <c r="F588">
        <v>1.66</v>
      </c>
      <c r="G588" s="3">
        <f t="shared" si="131"/>
        <v>1.66</v>
      </c>
      <c r="H588">
        <v>19</v>
      </c>
      <c r="I588" s="5">
        <f t="shared" si="127"/>
        <v>19</v>
      </c>
      <c r="J588" s="16" t="str">
        <f t="shared" si="132"/>
        <v>Normal</v>
      </c>
      <c r="K588">
        <v>95.6</v>
      </c>
      <c r="L588">
        <v>0.57599999999999996</v>
      </c>
      <c r="M588" s="11">
        <f t="shared" si="128"/>
        <v>0.57599999999999996</v>
      </c>
      <c r="N588" s="5">
        <f t="shared" si="133"/>
        <v>95.6</v>
      </c>
      <c r="O588">
        <v>103</v>
      </c>
      <c r="P588">
        <v>37</v>
      </c>
      <c r="Q588" s="8">
        <f t="shared" si="134"/>
        <v>37</v>
      </c>
      <c r="R588" s="8">
        <v>36</v>
      </c>
      <c r="S588" s="8">
        <f t="shared" si="135"/>
        <v>36</v>
      </c>
      <c r="T588" s="8">
        <f>(Table1[[#This Row],[Total Cholesterol (mg/dL)]]+Table1[[#This Row],[HDL (mg/dL)2]]+Table1[[#This Row],[Estimated LDL (mg/dL)2]])*5</f>
        <v>880</v>
      </c>
      <c r="U588" s="8">
        <f>IF(O588="",Table1[[#This Row],[Estimated LDL (mg/dL)2]]+Table1[[#This Row],[HDL (mg/dL)2]]+(Table1[[#This Row],[Triglycerides]]/5),O588)</f>
        <v>103</v>
      </c>
      <c r="V588">
        <v>144</v>
      </c>
      <c r="W588" s="8">
        <f t="shared" si="136"/>
        <v>144</v>
      </c>
      <c r="X588" t="str">
        <f t="shared" si="137"/>
        <v>Diabetes</v>
      </c>
      <c r="Y588" t="s">
        <v>23</v>
      </c>
      <c r="Z588" t="s">
        <v>23</v>
      </c>
      <c r="AA588" t="s">
        <v>24</v>
      </c>
      <c r="AB588" s="3" t="s">
        <v>544</v>
      </c>
      <c r="AC588">
        <v>93</v>
      </c>
      <c r="AD588" s="3" t="str">
        <f t="shared" si="138"/>
        <v>93</v>
      </c>
      <c r="AE588">
        <v>73</v>
      </c>
      <c r="AF588" s="3" t="str">
        <f t="shared" si="139"/>
        <v>73</v>
      </c>
      <c r="AG588" t="s">
        <v>33</v>
      </c>
      <c r="AI588" s="3">
        <f t="shared" si="140"/>
        <v>16.960925291295425</v>
      </c>
      <c r="AJ588" t="s">
        <v>30</v>
      </c>
      <c r="AK588" t="str">
        <f>PROPER(Table1[[#This Row],[CVD Risk Level]])</f>
        <v>High</v>
      </c>
    </row>
    <row r="589" spans="1:37" x14ac:dyDescent="0.3">
      <c r="A589" t="s">
        <v>31</v>
      </c>
      <c r="B589">
        <v>35</v>
      </c>
      <c r="C589" s="8">
        <f t="shared" si="129"/>
        <v>35</v>
      </c>
      <c r="D589" s="5">
        <v>118.4</v>
      </c>
      <c r="E589" s="8">
        <f t="shared" si="130"/>
        <v>118.4</v>
      </c>
      <c r="F589">
        <v>1.76</v>
      </c>
      <c r="G589" s="3">
        <f t="shared" si="131"/>
        <v>1.76</v>
      </c>
      <c r="H589">
        <v>38.200000000000003</v>
      </c>
      <c r="I589" s="5">
        <f t="shared" si="127"/>
        <v>38.200000000000003</v>
      </c>
      <c r="J589" s="16" t="str">
        <f t="shared" si="132"/>
        <v>Obese</v>
      </c>
      <c r="K589">
        <v>74.400000000000006</v>
      </c>
      <c r="L589">
        <v>0.42299999999999999</v>
      </c>
      <c r="M589" s="11">
        <f t="shared" si="128"/>
        <v>0.42299999999999999</v>
      </c>
      <c r="N589" s="5">
        <f t="shared" si="133"/>
        <v>74.400000000000006</v>
      </c>
      <c r="O589">
        <v>162</v>
      </c>
      <c r="P589">
        <v>32</v>
      </c>
      <c r="Q589" s="8">
        <f t="shared" si="134"/>
        <v>32</v>
      </c>
      <c r="R589" s="8">
        <v>100</v>
      </c>
      <c r="S589" s="8">
        <f t="shared" si="135"/>
        <v>100</v>
      </c>
      <c r="T589" s="8">
        <f>(Table1[[#This Row],[Total Cholesterol (mg/dL)]]+Table1[[#This Row],[HDL (mg/dL)2]]+Table1[[#This Row],[Estimated LDL (mg/dL)2]])*5</f>
        <v>1470</v>
      </c>
      <c r="U589" s="8">
        <f>IF(O589="",Table1[[#This Row],[Estimated LDL (mg/dL)2]]+Table1[[#This Row],[HDL (mg/dL)2]]+(Table1[[#This Row],[Triglycerides]]/5),O589)</f>
        <v>162</v>
      </c>
      <c r="V589">
        <v>107</v>
      </c>
      <c r="W589" s="8">
        <f t="shared" si="136"/>
        <v>107</v>
      </c>
      <c r="X589" t="str">
        <f t="shared" si="137"/>
        <v>Prediabetes</v>
      </c>
      <c r="Y589" t="s">
        <v>23</v>
      </c>
      <c r="Z589" t="s">
        <v>23</v>
      </c>
      <c r="AA589" t="s">
        <v>28</v>
      </c>
      <c r="AB589" s="3" t="s">
        <v>545</v>
      </c>
      <c r="AC589">
        <v>96</v>
      </c>
      <c r="AD589" s="3" t="str">
        <f t="shared" si="138"/>
        <v>96</v>
      </c>
      <c r="AE589">
        <v>71</v>
      </c>
      <c r="AF589" s="3" t="str">
        <f t="shared" si="139"/>
        <v>71</v>
      </c>
      <c r="AG589" t="s">
        <v>33</v>
      </c>
      <c r="AH589" s="3">
        <v>17.68</v>
      </c>
      <c r="AI589" s="3">
        <f t="shared" si="140"/>
        <v>17.68</v>
      </c>
      <c r="AJ589" t="s">
        <v>30</v>
      </c>
      <c r="AK589" t="str">
        <f>PROPER(Table1[[#This Row],[CVD Risk Level]])</f>
        <v>High</v>
      </c>
    </row>
    <row r="590" spans="1:37" x14ac:dyDescent="0.3">
      <c r="A590" t="s">
        <v>31</v>
      </c>
      <c r="B590">
        <v>34</v>
      </c>
      <c r="C590" s="8">
        <f t="shared" si="129"/>
        <v>34</v>
      </c>
      <c r="D590" s="5">
        <v>60.4</v>
      </c>
      <c r="E590" s="8">
        <f t="shared" si="130"/>
        <v>60.4</v>
      </c>
      <c r="F590">
        <v>1.81</v>
      </c>
      <c r="G590" s="3">
        <f t="shared" si="131"/>
        <v>1.81</v>
      </c>
      <c r="H590">
        <v>18.399999999999999</v>
      </c>
      <c r="I590" s="5">
        <f t="shared" si="127"/>
        <v>18.399999999999999</v>
      </c>
      <c r="J590" s="16" t="str">
        <f t="shared" si="132"/>
        <v>Underweight</v>
      </c>
      <c r="K590">
        <v>94.6</v>
      </c>
      <c r="L590">
        <v>0.52300000000000002</v>
      </c>
      <c r="M590" s="11">
        <f t="shared" si="128"/>
        <v>0.52300000000000002</v>
      </c>
      <c r="N590" s="5">
        <f t="shared" si="133"/>
        <v>94.6</v>
      </c>
      <c r="O590">
        <v>268</v>
      </c>
      <c r="P590">
        <v>56</v>
      </c>
      <c r="Q590" s="8">
        <f t="shared" si="134"/>
        <v>56</v>
      </c>
      <c r="R590" s="8">
        <v>182</v>
      </c>
      <c r="S590" s="8">
        <f t="shared" si="135"/>
        <v>182</v>
      </c>
      <c r="T590" s="8">
        <f>(Table1[[#This Row],[Total Cholesterol (mg/dL)]]+Table1[[#This Row],[HDL (mg/dL)2]]+Table1[[#This Row],[Estimated LDL (mg/dL)2]])*5</f>
        <v>2530</v>
      </c>
      <c r="U590" s="8">
        <f>IF(O590="",Table1[[#This Row],[Estimated LDL (mg/dL)2]]+Table1[[#This Row],[HDL (mg/dL)2]]+(Table1[[#This Row],[Triglycerides]]/5),O590)</f>
        <v>268</v>
      </c>
      <c r="V590">
        <v>85</v>
      </c>
      <c r="W590" s="8">
        <f t="shared" si="136"/>
        <v>85</v>
      </c>
      <c r="X590" t="str">
        <f t="shared" si="137"/>
        <v>Normal</v>
      </c>
      <c r="Y590" t="s">
        <v>23</v>
      </c>
      <c r="Z590" t="s">
        <v>22</v>
      </c>
      <c r="AA590" t="s">
        <v>28</v>
      </c>
      <c r="AB590" s="3" t="s">
        <v>546</v>
      </c>
      <c r="AC590">
        <v>136</v>
      </c>
      <c r="AD590" s="3" t="str">
        <f t="shared" si="138"/>
        <v>136</v>
      </c>
      <c r="AE590">
        <v>67</v>
      </c>
      <c r="AF590" s="3" t="str">
        <f t="shared" si="139"/>
        <v>67</v>
      </c>
      <c r="AG590" t="s">
        <v>29</v>
      </c>
      <c r="AH590" s="3">
        <v>15.84</v>
      </c>
      <c r="AI590" s="3">
        <f t="shared" si="140"/>
        <v>15.84</v>
      </c>
      <c r="AJ590" t="s">
        <v>26</v>
      </c>
      <c r="AK590" t="str">
        <f>PROPER(Table1[[#This Row],[CVD Risk Level]])</f>
        <v>Intermediary</v>
      </c>
    </row>
    <row r="591" spans="1:37" x14ac:dyDescent="0.3">
      <c r="A591" t="s">
        <v>31</v>
      </c>
      <c r="B591">
        <v>57</v>
      </c>
      <c r="C591" s="8">
        <f t="shared" si="129"/>
        <v>57</v>
      </c>
      <c r="D591" s="5">
        <v>109.7</v>
      </c>
      <c r="E591" s="8">
        <f t="shared" si="130"/>
        <v>109.7</v>
      </c>
      <c r="F591">
        <v>1.73</v>
      </c>
      <c r="G591" s="3">
        <f t="shared" si="131"/>
        <v>1.73</v>
      </c>
      <c r="H591">
        <v>36.700000000000003</v>
      </c>
      <c r="I591" s="5">
        <f t="shared" si="127"/>
        <v>36.700000000000003</v>
      </c>
      <c r="J591" s="16" t="str">
        <f t="shared" si="132"/>
        <v>Obese</v>
      </c>
      <c r="L591">
        <v>0.436</v>
      </c>
      <c r="M591" s="11">
        <f t="shared" si="128"/>
        <v>0.436</v>
      </c>
      <c r="N591" s="5">
        <f t="shared" si="133"/>
        <v>75.427999999999997</v>
      </c>
      <c r="O591">
        <v>142</v>
      </c>
      <c r="P591">
        <v>32</v>
      </c>
      <c r="Q591" s="8">
        <f t="shared" si="134"/>
        <v>32</v>
      </c>
      <c r="R591" s="8">
        <v>80</v>
      </c>
      <c r="S591" s="8">
        <f t="shared" si="135"/>
        <v>80</v>
      </c>
      <c r="T591" s="8">
        <f>(Table1[[#This Row],[Total Cholesterol (mg/dL)]]+Table1[[#This Row],[HDL (mg/dL)2]]+Table1[[#This Row],[Estimated LDL (mg/dL)2]])*5</f>
        <v>1270</v>
      </c>
      <c r="U591" s="8">
        <f>IF(O591="",Table1[[#This Row],[Estimated LDL (mg/dL)2]]+Table1[[#This Row],[HDL (mg/dL)2]]+(Table1[[#This Row],[Triglycerides]]/5),O591)</f>
        <v>142</v>
      </c>
      <c r="V591">
        <v>114</v>
      </c>
      <c r="W591" s="8">
        <f t="shared" si="136"/>
        <v>114</v>
      </c>
      <c r="X591" t="str">
        <f t="shared" si="137"/>
        <v>Prediabetes</v>
      </c>
      <c r="Y591" t="s">
        <v>22</v>
      </c>
      <c r="Z591" t="s">
        <v>23</v>
      </c>
      <c r="AA591" t="s">
        <v>24</v>
      </c>
      <c r="AB591" s="3" t="s">
        <v>547</v>
      </c>
      <c r="AC591">
        <v>94</v>
      </c>
      <c r="AD591" s="3" t="str">
        <f t="shared" si="138"/>
        <v>94</v>
      </c>
      <c r="AE591">
        <v>85</v>
      </c>
      <c r="AF591" s="3" t="str">
        <f t="shared" si="139"/>
        <v>85</v>
      </c>
      <c r="AG591" t="s">
        <v>29</v>
      </c>
      <c r="AH591" s="3">
        <v>16.88</v>
      </c>
      <c r="AI591" s="3">
        <f t="shared" si="140"/>
        <v>16.88</v>
      </c>
      <c r="AJ591" t="s">
        <v>30</v>
      </c>
      <c r="AK591" t="str">
        <f>PROPER(Table1[[#This Row],[CVD Risk Level]])</f>
        <v>High</v>
      </c>
    </row>
    <row r="592" spans="1:37" x14ac:dyDescent="0.3">
      <c r="A592" t="s">
        <v>20</v>
      </c>
      <c r="B592">
        <v>32</v>
      </c>
      <c r="C592" s="8">
        <f t="shared" si="129"/>
        <v>32</v>
      </c>
      <c r="D592" s="5">
        <v>110.3</v>
      </c>
      <c r="E592" s="8">
        <f t="shared" si="130"/>
        <v>110.3</v>
      </c>
      <c r="F592">
        <v>1.7</v>
      </c>
      <c r="G592" s="3">
        <f t="shared" si="131"/>
        <v>1.7</v>
      </c>
      <c r="H592">
        <v>38.200000000000003</v>
      </c>
      <c r="I592" s="5">
        <f t="shared" si="127"/>
        <v>38.200000000000003</v>
      </c>
      <c r="J592" s="16" t="str">
        <f t="shared" si="132"/>
        <v>Obese</v>
      </c>
      <c r="K592">
        <v>73.5</v>
      </c>
      <c r="L592">
        <v>0.432</v>
      </c>
      <c r="M592" s="11">
        <f t="shared" si="128"/>
        <v>0.432</v>
      </c>
      <c r="N592" s="5">
        <f t="shared" si="133"/>
        <v>73.5</v>
      </c>
      <c r="O592">
        <v>290</v>
      </c>
      <c r="P592">
        <v>78</v>
      </c>
      <c r="Q592" s="8">
        <f t="shared" si="134"/>
        <v>78</v>
      </c>
      <c r="R592" s="8">
        <v>182</v>
      </c>
      <c r="S592" s="8">
        <f t="shared" si="135"/>
        <v>182</v>
      </c>
      <c r="T592" s="8">
        <f>(Table1[[#This Row],[Total Cholesterol (mg/dL)]]+Table1[[#This Row],[HDL (mg/dL)2]]+Table1[[#This Row],[Estimated LDL (mg/dL)2]])*5</f>
        <v>2750</v>
      </c>
      <c r="U592" s="8">
        <f>IF(O592="",Table1[[#This Row],[Estimated LDL (mg/dL)2]]+Table1[[#This Row],[HDL (mg/dL)2]]+(Table1[[#This Row],[Triglycerides]]/5),O592)</f>
        <v>290</v>
      </c>
      <c r="W592" s="8">
        <f t="shared" si="136"/>
        <v>117.48563611491107</v>
      </c>
      <c r="X592" t="str">
        <f t="shared" si="137"/>
        <v>Prediabetes</v>
      </c>
      <c r="Y592" t="s">
        <v>23</v>
      </c>
      <c r="Z592" t="s">
        <v>23</v>
      </c>
      <c r="AA592" t="s">
        <v>24</v>
      </c>
      <c r="AB592" s="3" t="s">
        <v>548</v>
      </c>
      <c r="AC592">
        <v>112</v>
      </c>
      <c r="AD592" s="3" t="str">
        <f t="shared" si="138"/>
        <v>112</v>
      </c>
      <c r="AE592">
        <v>63</v>
      </c>
      <c r="AF592" s="3" t="str">
        <f t="shared" si="139"/>
        <v>63</v>
      </c>
      <c r="AG592" t="s">
        <v>33</v>
      </c>
      <c r="AH592" s="3">
        <v>21.04</v>
      </c>
      <c r="AI592" s="3">
        <f t="shared" si="140"/>
        <v>21.04</v>
      </c>
      <c r="AJ592" t="s">
        <v>30</v>
      </c>
      <c r="AK592" t="str">
        <f>PROPER(Table1[[#This Row],[CVD Risk Level]])</f>
        <v>High</v>
      </c>
    </row>
    <row r="593" spans="1:37" x14ac:dyDescent="0.3">
      <c r="A593" t="s">
        <v>20</v>
      </c>
      <c r="B593">
        <v>42</v>
      </c>
      <c r="C593" s="8">
        <f t="shared" si="129"/>
        <v>42</v>
      </c>
      <c r="D593" s="5">
        <v>109.2</v>
      </c>
      <c r="E593" s="8">
        <f t="shared" si="130"/>
        <v>109.2</v>
      </c>
      <c r="F593">
        <v>1.86</v>
      </c>
      <c r="G593" s="3">
        <f t="shared" si="131"/>
        <v>1.86</v>
      </c>
      <c r="H593">
        <v>31.6</v>
      </c>
      <c r="I593" s="5">
        <f t="shared" si="127"/>
        <v>31.6</v>
      </c>
      <c r="J593" s="16" t="str">
        <f t="shared" si="132"/>
        <v>Obese</v>
      </c>
      <c r="K593">
        <v>91</v>
      </c>
      <c r="L593">
        <v>0.48899999999999999</v>
      </c>
      <c r="M593" s="11">
        <f t="shared" si="128"/>
        <v>0.48899999999999999</v>
      </c>
      <c r="N593" s="5">
        <f t="shared" si="133"/>
        <v>91</v>
      </c>
      <c r="O593">
        <v>277</v>
      </c>
      <c r="P593">
        <v>30</v>
      </c>
      <c r="Q593" s="8">
        <f t="shared" si="134"/>
        <v>30</v>
      </c>
      <c r="R593" s="8">
        <v>217</v>
      </c>
      <c r="S593" s="8">
        <f t="shared" si="135"/>
        <v>217</v>
      </c>
      <c r="T593" s="8">
        <f>(Table1[[#This Row],[Total Cholesterol (mg/dL)]]+Table1[[#This Row],[HDL (mg/dL)2]]+Table1[[#This Row],[Estimated LDL (mg/dL)2]])*5</f>
        <v>2620</v>
      </c>
      <c r="U593" s="8">
        <f>IF(O593="",Table1[[#This Row],[Estimated LDL (mg/dL)2]]+Table1[[#This Row],[HDL (mg/dL)2]]+(Table1[[#This Row],[Triglycerides]]/5),O593)</f>
        <v>277</v>
      </c>
      <c r="V593">
        <v>107</v>
      </c>
      <c r="W593" s="8">
        <f t="shared" si="136"/>
        <v>107</v>
      </c>
      <c r="X593" t="str">
        <f t="shared" si="137"/>
        <v>Prediabetes</v>
      </c>
      <c r="Y593" t="s">
        <v>22</v>
      </c>
      <c r="Z593" t="s">
        <v>22</v>
      </c>
      <c r="AA593" t="s">
        <v>28</v>
      </c>
      <c r="AB593" s="3" t="s">
        <v>549</v>
      </c>
      <c r="AC593">
        <v>146</v>
      </c>
      <c r="AD593" s="3" t="str">
        <f t="shared" si="138"/>
        <v>146</v>
      </c>
      <c r="AE593">
        <v>74</v>
      </c>
      <c r="AF593" s="3" t="str">
        <f t="shared" si="139"/>
        <v>74</v>
      </c>
      <c r="AG593" t="s">
        <v>38</v>
      </c>
      <c r="AH593" s="3">
        <v>19.16</v>
      </c>
      <c r="AI593" s="3">
        <f t="shared" si="140"/>
        <v>19.16</v>
      </c>
      <c r="AJ593" t="s">
        <v>26</v>
      </c>
      <c r="AK593" t="str">
        <f>PROPER(Table1[[#This Row],[CVD Risk Level]])</f>
        <v>Intermediary</v>
      </c>
    </row>
    <row r="594" spans="1:37" x14ac:dyDescent="0.3">
      <c r="A594" t="s">
        <v>20</v>
      </c>
      <c r="B594">
        <v>57</v>
      </c>
      <c r="C594" s="8">
        <f t="shared" si="129"/>
        <v>57</v>
      </c>
      <c r="D594" s="5">
        <v>118.9</v>
      </c>
      <c r="E594" s="8">
        <f t="shared" si="130"/>
        <v>118.9</v>
      </c>
      <c r="F594">
        <v>1.89</v>
      </c>
      <c r="G594" s="3">
        <f t="shared" si="131"/>
        <v>1.89</v>
      </c>
      <c r="H594">
        <v>33.299999999999997</v>
      </c>
      <c r="I594" s="5">
        <f t="shared" si="127"/>
        <v>33.299999999999997</v>
      </c>
      <c r="J594" s="16" t="str">
        <f t="shared" si="132"/>
        <v>Obese</v>
      </c>
      <c r="K594">
        <v>76.7</v>
      </c>
      <c r="L594">
        <v>0.40600000000000003</v>
      </c>
      <c r="M594" s="11">
        <f t="shared" si="128"/>
        <v>0.40600000000000003</v>
      </c>
      <c r="N594" s="5">
        <f t="shared" si="133"/>
        <v>76.7</v>
      </c>
      <c r="O594">
        <v>193</v>
      </c>
      <c r="P594">
        <v>43</v>
      </c>
      <c r="Q594" s="8">
        <f t="shared" si="134"/>
        <v>43</v>
      </c>
      <c r="R594" s="8">
        <v>120</v>
      </c>
      <c r="S594" s="8">
        <f t="shared" si="135"/>
        <v>120</v>
      </c>
      <c r="T594" s="8">
        <f>(Table1[[#This Row],[Total Cholesterol (mg/dL)]]+Table1[[#This Row],[HDL (mg/dL)2]]+Table1[[#This Row],[Estimated LDL (mg/dL)2]])*5</f>
        <v>1780</v>
      </c>
      <c r="U594" s="8">
        <f>IF(O594="",Table1[[#This Row],[Estimated LDL (mg/dL)2]]+Table1[[#This Row],[HDL (mg/dL)2]]+(Table1[[#This Row],[Triglycerides]]/5),O594)</f>
        <v>193</v>
      </c>
      <c r="V594">
        <v>81</v>
      </c>
      <c r="W594" s="8">
        <f t="shared" si="136"/>
        <v>81</v>
      </c>
      <c r="X594" t="str">
        <f t="shared" si="137"/>
        <v>Normal</v>
      </c>
      <c r="Y594" t="s">
        <v>23</v>
      </c>
      <c r="Z594" t="s">
        <v>22</v>
      </c>
      <c r="AA594" t="s">
        <v>37</v>
      </c>
      <c r="AB594" s="3" t="s">
        <v>525</v>
      </c>
      <c r="AC594">
        <v>147</v>
      </c>
      <c r="AD594" s="3" t="str">
        <f t="shared" si="138"/>
        <v>147</v>
      </c>
      <c r="AE594">
        <v>74</v>
      </c>
      <c r="AF594" s="3" t="str">
        <f t="shared" si="139"/>
        <v>74</v>
      </c>
      <c r="AG594" t="s">
        <v>38</v>
      </c>
      <c r="AH594" s="3">
        <v>17.87</v>
      </c>
      <c r="AI594" s="3">
        <f t="shared" si="140"/>
        <v>17.87</v>
      </c>
      <c r="AJ594" t="s">
        <v>26</v>
      </c>
      <c r="AK594" t="str">
        <f>PROPER(Table1[[#This Row],[CVD Risk Level]])</f>
        <v>Intermediary</v>
      </c>
    </row>
    <row r="595" spans="1:37" x14ac:dyDescent="0.3">
      <c r="A595" t="s">
        <v>31</v>
      </c>
      <c r="B595">
        <v>35</v>
      </c>
      <c r="C595" s="8">
        <f t="shared" si="129"/>
        <v>35</v>
      </c>
      <c r="D595" s="5">
        <v>63</v>
      </c>
      <c r="E595" s="8">
        <f t="shared" si="130"/>
        <v>63</v>
      </c>
      <c r="F595">
        <v>1.76</v>
      </c>
      <c r="G595" s="3">
        <f t="shared" si="131"/>
        <v>1.76</v>
      </c>
      <c r="H595">
        <v>20.3</v>
      </c>
      <c r="I595" s="5">
        <f t="shared" si="127"/>
        <v>20.3</v>
      </c>
      <c r="J595" s="16" t="str">
        <f t="shared" si="132"/>
        <v>Normal</v>
      </c>
      <c r="K595">
        <v>91.9</v>
      </c>
      <c r="L595">
        <v>0.52200000000000002</v>
      </c>
      <c r="M595" s="11">
        <f t="shared" si="128"/>
        <v>0.52200000000000002</v>
      </c>
      <c r="N595" s="5">
        <f t="shared" si="133"/>
        <v>91.9</v>
      </c>
      <c r="O595">
        <v>187</v>
      </c>
      <c r="P595">
        <v>74</v>
      </c>
      <c r="Q595" s="8">
        <f t="shared" si="134"/>
        <v>74</v>
      </c>
      <c r="R595" s="8">
        <v>83</v>
      </c>
      <c r="S595" s="8">
        <f t="shared" si="135"/>
        <v>83</v>
      </c>
      <c r="T595" s="8">
        <f>(Table1[[#This Row],[Total Cholesterol (mg/dL)]]+Table1[[#This Row],[HDL (mg/dL)2]]+Table1[[#This Row],[Estimated LDL (mg/dL)2]])*5</f>
        <v>1720</v>
      </c>
      <c r="U595" s="8">
        <f>IF(O595="",Table1[[#This Row],[Estimated LDL (mg/dL)2]]+Table1[[#This Row],[HDL (mg/dL)2]]+(Table1[[#This Row],[Triglycerides]]/5),O595)</f>
        <v>187</v>
      </c>
      <c r="V595">
        <v>146</v>
      </c>
      <c r="W595" s="8">
        <f t="shared" si="136"/>
        <v>146</v>
      </c>
      <c r="X595" t="str">
        <f t="shared" si="137"/>
        <v>Diabetes</v>
      </c>
      <c r="Y595" t="s">
        <v>23</v>
      </c>
      <c r="Z595" t="s">
        <v>22</v>
      </c>
      <c r="AA595" t="s">
        <v>37</v>
      </c>
      <c r="AB595" s="3" t="s">
        <v>550</v>
      </c>
      <c r="AC595">
        <v>139</v>
      </c>
      <c r="AD595" s="3" t="str">
        <f t="shared" si="138"/>
        <v>139</v>
      </c>
      <c r="AE595">
        <v>89</v>
      </c>
      <c r="AF595" s="3" t="str">
        <f t="shared" si="139"/>
        <v>89</v>
      </c>
      <c r="AG595" t="s">
        <v>29</v>
      </c>
      <c r="AH595" s="3">
        <v>14.75</v>
      </c>
      <c r="AI595" s="3">
        <f t="shared" si="140"/>
        <v>14.75</v>
      </c>
      <c r="AJ595" t="s">
        <v>26</v>
      </c>
      <c r="AK595" t="str">
        <f>PROPER(Table1[[#This Row],[CVD Risk Level]])</f>
        <v>Intermediary</v>
      </c>
    </row>
    <row r="596" spans="1:37" x14ac:dyDescent="0.3">
      <c r="A596" t="s">
        <v>20</v>
      </c>
      <c r="B596">
        <v>47</v>
      </c>
      <c r="C596" s="8">
        <f t="shared" si="129"/>
        <v>47</v>
      </c>
      <c r="D596" s="5">
        <v>77.2</v>
      </c>
      <c r="E596" s="8">
        <f t="shared" si="130"/>
        <v>77.2</v>
      </c>
      <c r="F596">
        <v>1.61</v>
      </c>
      <c r="G596" s="3">
        <f t="shared" si="131"/>
        <v>1.61</v>
      </c>
      <c r="H596">
        <v>29.8</v>
      </c>
      <c r="I596" s="5">
        <f t="shared" si="127"/>
        <v>29.8</v>
      </c>
      <c r="J596" s="16" t="str">
        <f t="shared" si="132"/>
        <v>Overweight</v>
      </c>
      <c r="K596">
        <v>86.9</v>
      </c>
      <c r="L596">
        <v>0.54</v>
      </c>
      <c r="M596" s="11">
        <f t="shared" si="128"/>
        <v>0.54</v>
      </c>
      <c r="N596" s="5">
        <f t="shared" si="133"/>
        <v>86.9</v>
      </c>
      <c r="O596">
        <v>276</v>
      </c>
      <c r="P596">
        <v>78</v>
      </c>
      <c r="Q596" s="8">
        <f t="shared" si="134"/>
        <v>78</v>
      </c>
      <c r="R596" s="8">
        <v>168</v>
      </c>
      <c r="S596" s="8">
        <f t="shared" si="135"/>
        <v>168</v>
      </c>
      <c r="T596" s="8">
        <f>(Table1[[#This Row],[Total Cholesterol (mg/dL)]]+Table1[[#This Row],[HDL (mg/dL)2]]+Table1[[#This Row],[Estimated LDL (mg/dL)2]])*5</f>
        <v>2610</v>
      </c>
      <c r="U596" s="8">
        <f>IF(O596="",Table1[[#This Row],[Estimated LDL (mg/dL)2]]+Table1[[#This Row],[HDL (mg/dL)2]]+(Table1[[#This Row],[Triglycerides]]/5),O596)</f>
        <v>276</v>
      </c>
      <c r="V596">
        <v>86</v>
      </c>
      <c r="W596" s="8">
        <f t="shared" si="136"/>
        <v>86</v>
      </c>
      <c r="X596" t="str">
        <f t="shared" si="137"/>
        <v>Normal</v>
      </c>
      <c r="Y596" t="s">
        <v>22</v>
      </c>
      <c r="Z596" t="s">
        <v>22</v>
      </c>
      <c r="AA596" t="s">
        <v>24</v>
      </c>
      <c r="AB596" s="3" t="s">
        <v>551</v>
      </c>
      <c r="AC596">
        <v>129</v>
      </c>
      <c r="AD596" s="3" t="str">
        <f t="shared" si="138"/>
        <v>129</v>
      </c>
      <c r="AE596">
        <v>88</v>
      </c>
      <c r="AF596" s="3" t="str">
        <f t="shared" si="139"/>
        <v>88</v>
      </c>
      <c r="AG596" t="s">
        <v>29</v>
      </c>
      <c r="AH596" s="3">
        <v>17.93</v>
      </c>
      <c r="AI596" s="3">
        <f t="shared" si="140"/>
        <v>17.93</v>
      </c>
      <c r="AJ596" t="s">
        <v>30</v>
      </c>
      <c r="AK596" t="str">
        <f>PROPER(Table1[[#This Row],[CVD Risk Level]])</f>
        <v>High</v>
      </c>
    </row>
    <row r="597" spans="1:37" x14ac:dyDescent="0.3">
      <c r="A597" t="s">
        <v>31</v>
      </c>
      <c r="B597">
        <v>55</v>
      </c>
      <c r="C597" s="8">
        <f t="shared" si="129"/>
        <v>55</v>
      </c>
      <c r="D597" s="5">
        <v>52.9</v>
      </c>
      <c r="E597" s="8">
        <f t="shared" si="130"/>
        <v>52.9</v>
      </c>
      <c r="F597">
        <v>1.69</v>
      </c>
      <c r="G597" s="3">
        <f t="shared" si="131"/>
        <v>1.69</v>
      </c>
      <c r="H597">
        <v>18.5</v>
      </c>
      <c r="I597" s="5">
        <f t="shared" si="127"/>
        <v>18.5</v>
      </c>
      <c r="J597" s="16" t="str">
        <f t="shared" si="132"/>
        <v>Normal</v>
      </c>
      <c r="L597">
        <v>0.45600000000000002</v>
      </c>
      <c r="M597" s="11">
        <f t="shared" si="128"/>
        <v>0.45600000000000002</v>
      </c>
      <c r="N597" s="5">
        <f t="shared" si="133"/>
        <v>77.064000000000007</v>
      </c>
      <c r="O597">
        <v>170</v>
      </c>
      <c r="P597">
        <v>59</v>
      </c>
      <c r="Q597" s="8">
        <f t="shared" si="134"/>
        <v>59</v>
      </c>
      <c r="R597" s="8">
        <v>81</v>
      </c>
      <c r="S597" s="8">
        <f t="shared" si="135"/>
        <v>81</v>
      </c>
      <c r="T597" s="8">
        <f>(Table1[[#This Row],[Total Cholesterol (mg/dL)]]+Table1[[#This Row],[HDL (mg/dL)2]]+Table1[[#This Row],[Estimated LDL (mg/dL)2]])*5</f>
        <v>1550</v>
      </c>
      <c r="U597" s="8">
        <f>IF(O597="",Table1[[#This Row],[Estimated LDL (mg/dL)2]]+Table1[[#This Row],[HDL (mg/dL)2]]+(Table1[[#This Row],[Triglycerides]]/5),O597)</f>
        <v>170</v>
      </c>
      <c r="V597">
        <v>130</v>
      </c>
      <c r="W597" s="8">
        <f t="shared" si="136"/>
        <v>130</v>
      </c>
      <c r="X597" t="str">
        <f t="shared" si="137"/>
        <v>Diabetes</v>
      </c>
      <c r="Y597" t="s">
        <v>22</v>
      </c>
      <c r="Z597" t="s">
        <v>23</v>
      </c>
      <c r="AA597" t="s">
        <v>28</v>
      </c>
      <c r="AB597" s="3" t="s">
        <v>552</v>
      </c>
      <c r="AC597">
        <v>106</v>
      </c>
      <c r="AD597" s="3" t="str">
        <f t="shared" si="138"/>
        <v>106</v>
      </c>
      <c r="AE597">
        <v>66</v>
      </c>
      <c r="AF597" s="3" t="str">
        <f t="shared" si="139"/>
        <v>66</v>
      </c>
      <c r="AG597" t="s">
        <v>33</v>
      </c>
      <c r="AH597" s="3">
        <v>14.4</v>
      </c>
      <c r="AI597" s="3">
        <f t="shared" si="140"/>
        <v>14.4</v>
      </c>
      <c r="AJ597" t="s">
        <v>26</v>
      </c>
      <c r="AK597" t="str">
        <f>PROPER(Table1[[#This Row],[CVD Risk Level]])</f>
        <v>Intermediary</v>
      </c>
    </row>
    <row r="598" spans="1:37" x14ac:dyDescent="0.3">
      <c r="A598" t="s">
        <v>31</v>
      </c>
      <c r="B598">
        <v>32</v>
      </c>
      <c r="C598" s="8">
        <f t="shared" si="129"/>
        <v>32</v>
      </c>
      <c r="D598" s="5">
        <v>75.8</v>
      </c>
      <c r="E598" s="8">
        <f t="shared" si="130"/>
        <v>75.8</v>
      </c>
      <c r="F598">
        <v>1.9</v>
      </c>
      <c r="G598" s="3">
        <f t="shared" si="131"/>
        <v>1.9</v>
      </c>
      <c r="H598">
        <v>21</v>
      </c>
      <c r="I598" s="5">
        <f t="shared" si="127"/>
        <v>21</v>
      </c>
      <c r="J598" s="16" t="str">
        <f t="shared" si="132"/>
        <v>Normal</v>
      </c>
      <c r="K598">
        <v>104</v>
      </c>
      <c r="L598">
        <v>0.54700000000000004</v>
      </c>
      <c r="M598" s="11">
        <f t="shared" si="128"/>
        <v>0.54700000000000004</v>
      </c>
      <c r="N598" s="5">
        <f t="shared" si="133"/>
        <v>104</v>
      </c>
      <c r="O598">
        <v>239</v>
      </c>
      <c r="P598">
        <v>47</v>
      </c>
      <c r="Q598" s="8">
        <f t="shared" si="134"/>
        <v>47</v>
      </c>
      <c r="R598" s="8">
        <v>162</v>
      </c>
      <c r="S598" s="8">
        <f t="shared" si="135"/>
        <v>162</v>
      </c>
      <c r="T598" s="8">
        <f>(Table1[[#This Row],[Total Cholesterol (mg/dL)]]+Table1[[#This Row],[HDL (mg/dL)2]]+Table1[[#This Row],[Estimated LDL (mg/dL)2]])*5</f>
        <v>2240</v>
      </c>
      <c r="U598" s="8">
        <f>IF(O598="",Table1[[#This Row],[Estimated LDL (mg/dL)2]]+Table1[[#This Row],[HDL (mg/dL)2]]+(Table1[[#This Row],[Triglycerides]]/5),O598)</f>
        <v>239</v>
      </c>
      <c r="V598">
        <v>116</v>
      </c>
      <c r="W598" s="8">
        <f t="shared" si="136"/>
        <v>116</v>
      </c>
      <c r="X598" t="str">
        <f t="shared" si="137"/>
        <v>Prediabetes</v>
      </c>
      <c r="Y598" t="s">
        <v>23</v>
      </c>
      <c r="Z598" t="s">
        <v>23</v>
      </c>
      <c r="AA598" t="s">
        <v>24</v>
      </c>
      <c r="AB598" s="3" t="s">
        <v>553</v>
      </c>
      <c r="AC598">
        <v>138</v>
      </c>
      <c r="AD598" s="3" t="str">
        <f t="shared" si="138"/>
        <v>138</v>
      </c>
      <c r="AE598">
        <v>81</v>
      </c>
      <c r="AF598" s="3" t="str">
        <f t="shared" si="139"/>
        <v>81</v>
      </c>
      <c r="AG598" t="s">
        <v>29</v>
      </c>
      <c r="AH598" s="3">
        <v>17.88</v>
      </c>
      <c r="AI598" s="3">
        <f t="shared" si="140"/>
        <v>17.88</v>
      </c>
      <c r="AJ598" t="s">
        <v>30</v>
      </c>
      <c r="AK598" t="str">
        <f>PROPER(Table1[[#This Row],[CVD Risk Level]])</f>
        <v>High</v>
      </c>
    </row>
    <row r="599" spans="1:37" x14ac:dyDescent="0.3">
      <c r="A599" t="s">
        <v>20</v>
      </c>
      <c r="C599" s="8">
        <f t="shared" si="129"/>
        <v>47.025499655410059</v>
      </c>
      <c r="D599" s="5">
        <v>76.3</v>
      </c>
      <c r="E599" s="8">
        <f t="shared" si="130"/>
        <v>76.3</v>
      </c>
      <c r="F599">
        <v>1.63</v>
      </c>
      <c r="G599" s="3">
        <f t="shared" si="131"/>
        <v>1.63</v>
      </c>
      <c r="H599">
        <v>28.7</v>
      </c>
      <c r="I599" s="5">
        <f t="shared" si="127"/>
        <v>28.7</v>
      </c>
      <c r="J599" s="16" t="str">
        <f t="shared" si="132"/>
        <v>Overweight</v>
      </c>
      <c r="K599">
        <v>71.400000000000006</v>
      </c>
      <c r="L599">
        <v>0.438</v>
      </c>
      <c r="M599" s="11">
        <f t="shared" si="128"/>
        <v>0.438</v>
      </c>
      <c r="N599" s="5">
        <f t="shared" si="133"/>
        <v>71.400000000000006</v>
      </c>
      <c r="O599">
        <v>183</v>
      </c>
      <c r="P599">
        <v>50</v>
      </c>
      <c r="Q599" s="8">
        <f t="shared" si="134"/>
        <v>50</v>
      </c>
      <c r="R599" s="8">
        <v>103</v>
      </c>
      <c r="S599" s="8">
        <f t="shared" si="135"/>
        <v>103</v>
      </c>
      <c r="T599" s="8">
        <f>(Table1[[#This Row],[Total Cholesterol (mg/dL)]]+Table1[[#This Row],[HDL (mg/dL)2]]+Table1[[#This Row],[Estimated LDL (mg/dL)2]])*5</f>
        <v>1680</v>
      </c>
      <c r="U599" s="8">
        <f>IF(O599="",Table1[[#This Row],[Estimated LDL (mg/dL)2]]+Table1[[#This Row],[HDL (mg/dL)2]]+(Table1[[#This Row],[Triglycerides]]/5),O599)</f>
        <v>183</v>
      </c>
      <c r="V599">
        <v>84</v>
      </c>
      <c r="W599" s="8">
        <f t="shared" si="136"/>
        <v>84</v>
      </c>
      <c r="X599" t="str">
        <f t="shared" si="137"/>
        <v>Normal</v>
      </c>
      <c r="Y599" t="s">
        <v>23</v>
      </c>
      <c r="Z599" t="s">
        <v>22</v>
      </c>
      <c r="AA599" t="s">
        <v>37</v>
      </c>
      <c r="AB599" s="3" t="s">
        <v>554</v>
      </c>
      <c r="AC599">
        <v>91</v>
      </c>
      <c r="AD599" s="3" t="str">
        <f t="shared" si="138"/>
        <v>91</v>
      </c>
      <c r="AE599">
        <v>80</v>
      </c>
      <c r="AF599" s="3" t="str">
        <f t="shared" si="139"/>
        <v>80</v>
      </c>
      <c r="AG599" t="s">
        <v>29</v>
      </c>
      <c r="AH599" s="3">
        <v>13.95</v>
      </c>
      <c r="AI599" s="3">
        <f t="shared" si="140"/>
        <v>13.95</v>
      </c>
      <c r="AJ599" t="s">
        <v>30</v>
      </c>
      <c r="AK599" t="str">
        <f>PROPER(Table1[[#This Row],[CVD Risk Level]])</f>
        <v>High</v>
      </c>
    </row>
    <row r="600" spans="1:37" x14ac:dyDescent="0.3">
      <c r="A600" t="s">
        <v>31</v>
      </c>
      <c r="B600">
        <v>34</v>
      </c>
      <c r="C600" s="8">
        <f t="shared" si="129"/>
        <v>34</v>
      </c>
      <c r="D600" s="5">
        <v>55</v>
      </c>
      <c r="E600" s="8">
        <f t="shared" si="130"/>
        <v>55</v>
      </c>
      <c r="F600">
        <v>1.73</v>
      </c>
      <c r="G600" s="3">
        <f t="shared" si="131"/>
        <v>1.73</v>
      </c>
      <c r="I600" s="5">
        <f t="shared" si="127"/>
        <v>18.376825152861773</v>
      </c>
      <c r="J600" s="16" t="str">
        <f t="shared" si="132"/>
        <v>Underweight</v>
      </c>
      <c r="K600">
        <v>78.8</v>
      </c>
      <c r="L600">
        <v>0.45500000000000002</v>
      </c>
      <c r="M600" s="11">
        <f t="shared" si="128"/>
        <v>0.45500000000000002</v>
      </c>
      <c r="N600" s="5">
        <f t="shared" si="133"/>
        <v>78.8</v>
      </c>
      <c r="O600">
        <v>174</v>
      </c>
      <c r="P600">
        <v>56</v>
      </c>
      <c r="Q600" s="8">
        <f t="shared" si="134"/>
        <v>56</v>
      </c>
      <c r="R600" s="8">
        <v>88</v>
      </c>
      <c r="S600" s="8">
        <f t="shared" si="135"/>
        <v>88</v>
      </c>
      <c r="T600" s="8">
        <f>(Table1[[#This Row],[Total Cholesterol (mg/dL)]]+Table1[[#This Row],[HDL (mg/dL)2]]+Table1[[#This Row],[Estimated LDL (mg/dL)2]])*5</f>
        <v>1590</v>
      </c>
      <c r="U600" s="8">
        <f>IF(O600="",Table1[[#This Row],[Estimated LDL (mg/dL)2]]+Table1[[#This Row],[HDL (mg/dL)2]]+(Table1[[#This Row],[Triglycerides]]/5),O600)</f>
        <v>174</v>
      </c>
      <c r="V600">
        <v>95</v>
      </c>
      <c r="W600" s="8">
        <f t="shared" si="136"/>
        <v>95</v>
      </c>
      <c r="X600" t="str">
        <f t="shared" si="137"/>
        <v>Normal</v>
      </c>
      <c r="Y600" t="s">
        <v>23</v>
      </c>
      <c r="Z600" t="s">
        <v>22</v>
      </c>
      <c r="AA600" t="s">
        <v>24</v>
      </c>
      <c r="AB600" s="3" t="s">
        <v>555</v>
      </c>
      <c r="AC600">
        <v>140</v>
      </c>
      <c r="AD600" s="3" t="str">
        <f t="shared" si="138"/>
        <v>140</v>
      </c>
      <c r="AE600">
        <v>88</v>
      </c>
      <c r="AF600" s="3" t="str">
        <f t="shared" si="139"/>
        <v>88</v>
      </c>
      <c r="AG600" t="s">
        <v>29</v>
      </c>
      <c r="AH600" s="3">
        <v>14.16</v>
      </c>
      <c r="AI600" s="3">
        <f t="shared" si="140"/>
        <v>14.16</v>
      </c>
      <c r="AJ600" t="s">
        <v>26</v>
      </c>
      <c r="AK600" t="str">
        <f>PROPER(Table1[[#This Row],[CVD Risk Level]])</f>
        <v>Intermediary</v>
      </c>
    </row>
    <row r="601" spans="1:37" x14ac:dyDescent="0.3">
      <c r="A601" t="s">
        <v>20</v>
      </c>
      <c r="B601">
        <v>43</v>
      </c>
      <c r="C601" s="8">
        <f t="shared" si="129"/>
        <v>43</v>
      </c>
      <c r="D601" s="5">
        <v>59.6</v>
      </c>
      <c r="E601" s="8">
        <f t="shared" si="130"/>
        <v>59.6</v>
      </c>
      <c r="F601">
        <v>1.78</v>
      </c>
      <c r="G601" s="3">
        <f t="shared" si="131"/>
        <v>1.78</v>
      </c>
      <c r="H601">
        <v>18.8</v>
      </c>
      <c r="I601" s="5">
        <f t="shared" si="127"/>
        <v>18.8</v>
      </c>
      <c r="J601" s="16" t="str">
        <f t="shared" si="132"/>
        <v>Normal</v>
      </c>
      <c r="K601">
        <v>70.3</v>
      </c>
      <c r="L601">
        <v>0.39500000000000002</v>
      </c>
      <c r="M601" s="11">
        <f t="shared" si="128"/>
        <v>0.39500000000000002</v>
      </c>
      <c r="N601" s="5">
        <f t="shared" si="133"/>
        <v>70.3</v>
      </c>
      <c r="P601">
        <v>34</v>
      </c>
      <c r="Q601" s="8">
        <f t="shared" si="134"/>
        <v>34</v>
      </c>
      <c r="R601" s="8">
        <v>172</v>
      </c>
      <c r="S601" s="8">
        <f t="shared" si="135"/>
        <v>172</v>
      </c>
      <c r="T601" s="8">
        <f>(Table1[[#This Row],[Total Cholesterol (mg/dL)]]+Table1[[#This Row],[HDL (mg/dL)2]]+Table1[[#This Row],[Estimated LDL (mg/dL)2]])*5</f>
        <v>1030</v>
      </c>
      <c r="U601" s="8">
        <f>IF(O601="",Table1[[#This Row],[Estimated LDL (mg/dL)2]]+Table1[[#This Row],[HDL (mg/dL)2]]+(Table1[[#This Row],[Triglycerides]]/5),O601)</f>
        <v>412</v>
      </c>
      <c r="V601">
        <v>84</v>
      </c>
      <c r="W601" s="8">
        <f t="shared" si="136"/>
        <v>84</v>
      </c>
      <c r="X601" t="str">
        <f t="shared" si="137"/>
        <v>Normal</v>
      </c>
      <c r="Y601" t="s">
        <v>23</v>
      </c>
      <c r="Z601" t="s">
        <v>23</v>
      </c>
      <c r="AA601" t="s">
        <v>28</v>
      </c>
      <c r="AB601" s="3" t="s">
        <v>556</v>
      </c>
      <c r="AC601">
        <v>128</v>
      </c>
      <c r="AD601" s="3" t="str">
        <f t="shared" si="138"/>
        <v>128</v>
      </c>
      <c r="AE601">
        <v>94</v>
      </c>
      <c r="AF601" s="3" t="str">
        <f t="shared" si="139"/>
        <v>94</v>
      </c>
      <c r="AG601" t="s">
        <v>38</v>
      </c>
      <c r="AH601" s="3">
        <v>16.88</v>
      </c>
      <c r="AI601" s="3">
        <f t="shared" si="140"/>
        <v>16.88</v>
      </c>
      <c r="AJ601" t="s">
        <v>30</v>
      </c>
      <c r="AK601" t="str">
        <f>PROPER(Table1[[#This Row],[CVD Risk Level]])</f>
        <v>High</v>
      </c>
    </row>
    <row r="602" spans="1:37" x14ac:dyDescent="0.3">
      <c r="A602" t="s">
        <v>20</v>
      </c>
      <c r="B602">
        <v>31</v>
      </c>
      <c r="C602" s="8">
        <f t="shared" si="129"/>
        <v>31</v>
      </c>
      <c r="D602" s="5">
        <v>94.7</v>
      </c>
      <c r="E602" s="8">
        <f t="shared" si="130"/>
        <v>94.7</v>
      </c>
      <c r="F602">
        <v>1.7</v>
      </c>
      <c r="G602" s="3">
        <f t="shared" si="131"/>
        <v>1.7</v>
      </c>
      <c r="H602">
        <v>32.799999999999997</v>
      </c>
      <c r="I602" s="5">
        <f t="shared" si="127"/>
        <v>32.799999999999997</v>
      </c>
      <c r="J602" s="16" t="str">
        <f t="shared" si="132"/>
        <v>Obese</v>
      </c>
      <c r="K602">
        <v>90.1</v>
      </c>
      <c r="L602">
        <v>0.53</v>
      </c>
      <c r="M602" s="11">
        <f t="shared" si="128"/>
        <v>0.53</v>
      </c>
      <c r="N602" s="5">
        <f t="shared" si="133"/>
        <v>90.1</v>
      </c>
      <c r="O602">
        <v>105</v>
      </c>
      <c r="P602">
        <v>31</v>
      </c>
      <c r="Q602" s="8">
        <f t="shared" si="134"/>
        <v>31</v>
      </c>
      <c r="R602" s="8">
        <v>44</v>
      </c>
      <c r="S602" s="8">
        <f t="shared" si="135"/>
        <v>44</v>
      </c>
      <c r="T602" s="8">
        <f>(Table1[[#This Row],[Total Cholesterol (mg/dL)]]+Table1[[#This Row],[HDL (mg/dL)2]]+Table1[[#This Row],[Estimated LDL (mg/dL)2]])*5</f>
        <v>900</v>
      </c>
      <c r="U602" s="8">
        <f>IF(O602="",Table1[[#This Row],[Estimated LDL (mg/dL)2]]+Table1[[#This Row],[HDL (mg/dL)2]]+(Table1[[#This Row],[Triglycerides]]/5),O602)</f>
        <v>105</v>
      </c>
      <c r="V602">
        <v>79</v>
      </c>
      <c r="W602" s="8">
        <f t="shared" si="136"/>
        <v>79</v>
      </c>
      <c r="X602" t="str">
        <f t="shared" si="137"/>
        <v>Normal</v>
      </c>
      <c r="Y602" t="s">
        <v>23</v>
      </c>
      <c r="Z602" t="s">
        <v>23</v>
      </c>
      <c r="AA602" t="s">
        <v>24</v>
      </c>
      <c r="AB602" s="3" t="s">
        <v>557</v>
      </c>
      <c r="AC602">
        <v>115</v>
      </c>
      <c r="AD602" s="3" t="str">
        <f t="shared" si="138"/>
        <v>115</v>
      </c>
      <c r="AE602">
        <v>60</v>
      </c>
      <c r="AF602" s="3" t="str">
        <f t="shared" si="139"/>
        <v>60</v>
      </c>
      <c r="AG602" t="s">
        <v>33</v>
      </c>
      <c r="AH602" s="3">
        <v>16.41</v>
      </c>
      <c r="AI602" s="3">
        <f t="shared" si="140"/>
        <v>16.41</v>
      </c>
      <c r="AJ602" t="s">
        <v>30</v>
      </c>
      <c r="AK602" t="str">
        <f>PROPER(Table1[[#This Row],[CVD Risk Level]])</f>
        <v>High</v>
      </c>
    </row>
    <row r="603" spans="1:37" x14ac:dyDescent="0.3">
      <c r="A603" t="s">
        <v>31</v>
      </c>
      <c r="B603">
        <v>52</v>
      </c>
      <c r="C603" s="8">
        <f t="shared" si="129"/>
        <v>52</v>
      </c>
      <c r="D603" s="5">
        <v>105.5</v>
      </c>
      <c r="E603" s="8">
        <f t="shared" si="130"/>
        <v>105.5</v>
      </c>
      <c r="F603">
        <v>1.88</v>
      </c>
      <c r="G603" s="3">
        <f t="shared" si="131"/>
        <v>1.88</v>
      </c>
      <c r="H603">
        <v>29.8</v>
      </c>
      <c r="I603" s="5">
        <f t="shared" si="127"/>
        <v>29.8</v>
      </c>
      <c r="J603" s="16" t="str">
        <f t="shared" si="132"/>
        <v>Overweight</v>
      </c>
      <c r="K603">
        <v>90.4</v>
      </c>
      <c r="L603">
        <v>0.48099999999999998</v>
      </c>
      <c r="M603" s="11">
        <f t="shared" si="128"/>
        <v>0.48099999999999998</v>
      </c>
      <c r="N603" s="5">
        <f t="shared" si="133"/>
        <v>90.4</v>
      </c>
      <c r="O603">
        <v>241</v>
      </c>
      <c r="P603">
        <v>67</v>
      </c>
      <c r="Q603" s="8">
        <f t="shared" si="134"/>
        <v>67</v>
      </c>
      <c r="R603" s="8">
        <v>144</v>
      </c>
      <c r="S603" s="8">
        <f>IF(R603&lt;=0,MEDIAN($R$2:$R$1530),R603)</f>
        <v>144</v>
      </c>
      <c r="T603" s="8">
        <f>(Table1[[#This Row],[Total Cholesterol (mg/dL)]]+Table1[[#This Row],[HDL (mg/dL)2]]+Table1[[#This Row],[Estimated LDL (mg/dL)2]])*5</f>
        <v>2260</v>
      </c>
      <c r="U603" s="8">
        <f>IF(O603="",Table1[[#This Row],[Estimated LDL (mg/dL)2]]+Table1[[#This Row],[HDL (mg/dL)2]]+(Table1[[#This Row],[Triglycerides]]/5),O603)</f>
        <v>241</v>
      </c>
      <c r="V603">
        <v>134</v>
      </c>
      <c r="W603" s="8">
        <f t="shared" si="136"/>
        <v>134</v>
      </c>
      <c r="X603" t="str">
        <f t="shared" si="137"/>
        <v>Diabetes</v>
      </c>
      <c r="Y603" t="s">
        <v>23</v>
      </c>
      <c r="Z603" t="s">
        <v>22</v>
      </c>
      <c r="AA603" t="s">
        <v>24</v>
      </c>
      <c r="AB603" s="3" t="s">
        <v>558</v>
      </c>
      <c r="AC603">
        <v>102</v>
      </c>
      <c r="AD603" s="3" t="str">
        <f t="shared" si="138"/>
        <v>102</v>
      </c>
      <c r="AE603">
        <v>82</v>
      </c>
      <c r="AF603" s="3" t="str">
        <f t="shared" si="139"/>
        <v>82</v>
      </c>
      <c r="AG603" t="s">
        <v>29</v>
      </c>
      <c r="AH603" s="3">
        <v>15.88</v>
      </c>
      <c r="AI603" s="3">
        <f t="shared" si="140"/>
        <v>15.88</v>
      </c>
      <c r="AJ603" t="s">
        <v>30</v>
      </c>
      <c r="AK603" t="str">
        <f>PROPER(Table1[[#This Row],[CVD Risk Level]])</f>
        <v>High</v>
      </c>
    </row>
    <row r="604" spans="1:37" x14ac:dyDescent="0.3">
      <c r="A604" t="s">
        <v>31</v>
      </c>
      <c r="B604">
        <v>55</v>
      </c>
      <c r="C604" s="8">
        <f t="shared" si="129"/>
        <v>55</v>
      </c>
      <c r="D604" s="5">
        <v>84.6</v>
      </c>
      <c r="E604" s="8">
        <f t="shared" si="130"/>
        <v>84.6</v>
      </c>
      <c r="F604">
        <v>1.77</v>
      </c>
      <c r="G604" s="3">
        <f t="shared" si="131"/>
        <v>1.77</v>
      </c>
      <c r="H604">
        <v>27</v>
      </c>
      <c r="I604" s="5">
        <f t="shared" si="127"/>
        <v>27</v>
      </c>
      <c r="J604" s="16" t="str">
        <f t="shared" si="132"/>
        <v>Overweight</v>
      </c>
      <c r="K604">
        <v>79.599999999999994</v>
      </c>
      <c r="L604">
        <v>0.45</v>
      </c>
      <c r="M604" s="11">
        <f t="shared" si="128"/>
        <v>0.45</v>
      </c>
      <c r="N604" s="5">
        <f t="shared" si="133"/>
        <v>79.599999999999994</v>
      </c>
      <c r="O604">
        <v>273</v>
      </c>
      <c r="P604">
        <v>33</v>
      </c>
      <c r="Q604" s="8">
        <f t="shared" si="134"/>
        <v>33</v>
      </c>
      <c r="R604" s="8">
        <v>210</v>
      </c>
      <c r="S604" s="8">
        <f t="shared" si="135"/>
        <v>210</v>
      </c>
      <c r="T604" s="8">
        <f>(Table1[[#This Row],[Total Cholesterol (mg/dL)]]+Table1[[#This Row],[HDL (mg/dL)2]]+Table1[[#This Row],[Estimated LDL (mg/dL)2]])*5</f>
        <v>2580</v>
      </c>
      <c r="U604" s="8">
        <f>IF(O604="",Table1[[#This Row],[Estimated LDL (mg/dL)2]]+Table1[[#This Row],[HDL (mg/dL)2]]+(Table1[[#This Row],[Triglycerides]]/5),O604)</f>
        <v>273</v>
      </c>
      <c r="V604">
        <v>100</v>
      </c>
      <c r="W604" s="8">
        <f t="shared" si="136"/>
        <v>100</v>
      </c>
      <c r="X604" t="str">
        <f t="shared" si="137"/>
        <v>Prediabetes</v>
      </c>
      <c r="Y604" t="s">
        <v>23</v>
      </c>
      <c r="Z604" t="s">
        <v>22</v>
      </c>
      <c r="AA604" t="s">
        <v>28</v>
      </c>
      <c r="AB604" s="3" t="s">
        <v>559</v>
      </c>
      <c r="AC604">
        <v>101</v>
      </c>
      <c r="AD604" s="3" t="str">
        <f t="shared" si="138"/>
        <v>101</v>
      </c>
      <c r="AE604">
        <v>96</v>
      </c>
      <c r="AF604" s="3" t="str">
        <f t="shared" si="139"/>
        <v>96</v>
      </c>
      <c r="AG604" t="s">
        <v>38</v>
      </c>
      <c r="AH604" s="3">
        <v>15.91</v>
      </c>
      <c r="AI604" s="3">
        <f t="shared" si="140"/>
        <v>15.91</v>
      </c>
      <c r="AJ604" t="s">
        <v>30</v>
      </c>
      <c r="AK604" t="str">
        <f>PROPER(Table1[[#This Row],[CVD Risk Level]])</f>
        <v>High</v>
      </c>
    </row>
    <row r="605" spans="1:37" x14ac:dyDescent="0.3">
      <c r="A605" t="s">
        <v>20</v>
      </c>
      <c r="B605">
        <v>31</v>
      </c>
      <c r="C605" s="8">
        <f t="shared" si="129"/>
        <v>31</v>
      </c>
      <c r="D605" s="5">
        <v>105.5</v>
      </c>
      <c r="E605" s="8">
        <f t="shared" si="130"/>
        <v>105.5</v>
      </c>
      <c r="F605">
        <v>1.77</v>
      </c>
      <c r="G605" s="3">
        <f t="shared" si="131"/>
        <v>1.77</v>
      </c>
      <c r="H605">
        <v>33.700000000000003</v>
      </c>
      <c r="I605" s="5">
        <f t="shared" si="127"/>
        <v>33.700000000000003</v>
      </c>
      <c r="J605" s="16" t="str">
        <f t="shared" si="132"/>
        <v>Obese</v>
      </c>
      <c r="K605">
        <v>77.900000000000006</v>
      </c>
      <c r="L605">
        <v>0.44</v>
      </c>
      <c r="M605" s="11">
        <f t="shared" si="128"/>
        <v>0.44</v>
      </c>
      <c r="N605" s="5">
        <f t="shared" si="133"/>
        <v>77.900000000000006</v>
      </c>
      <c r="O605">
        <v>134</v>
      </c>
      <c r="P605">
        <v>63</v>
      </c>
      <c r="Q605" s="8">
        <f t="shared" si="134"/>
        <v>63</v>
      </c>
      <c r="R605" s="8">
        <v>41</v>
      </c>
      <c r="S605" s="8">
        <f t="shared" si="135"/>
        <v>41</v>
      </c>
      <c r="T605" s="8">
        <f>(Table1[[#This Row],[Total Cholesterol (mg/dL)]]+Table1[[#This Row],[HDL (mg/dL)2]]+Table1[[#This Row],[Estimated LDL (mg/dL)2]])*5</f>
        <v>1190</v>
      </c>
      <c r="U605" s="8">
        <f>IF(O605="",Table1[[#This Row],[Estimated LDL (mg/dL)2]]+Table1[[#This Row],[HDL (mg/dL)2]]+(Table1[[#This Row],[Triglycerides]]/5),O605)</f>
        <v>134</v>
      </c>
      <c r="V605">
        <v>85</v>
      </c>
      <c r="W605" s="8">
        <f t="shared" si="136"/>
        <v>85</v>
      </c>
      <c r="X605" t="str">
        <f t="shared" si="137"/>
        <v>Normal</v>
      </c>
      <c r="Y605" t="s">
        <v>22</v>
      </c>
      <c r="Z605" t="s">
        <v>22</v>
      </c>
      <c r="AA605" t="s">
        <v>28</v>
      </c>
      <c r="AB605" s="3" t="s">
        <v>329</v>
      </c>
      <c r="AC605">
        <v>142</v>
      </c>
      <c r="AD605" s="3" t="str">
        <f t="shared" si="138"/>
        <v>142</v>
      </c>
      <c r="AE605">
        <v>67</v>
      </c>
      <c r="AF605" s="3" t="str">
        <f t="shared" si="139"/>
        <v>67</v>
      </c>
      <c r="AG605" t="s">
        <v>38</v>
      </c>
      <c r="AH605" s="3">
        <v>16.52</v>
      </c>
      <c r="AI605" s="3">
        <f t="shared" si="140"/>
        <v>16.52</v>
      </c>
      <c r="AJ605" t="s">
        <v>26</v>
      </c>
      <c r="AK605" t="str">
        <f>PROPER(Table1[[#This Row],[CVD Risk Level]])</f>
        <v>Intermediary</v>
      </c>
    </row>
    <row r="606" spans="1:37" x14ac:dyDescent="0.3">
      <c r="A606" t="s">
        <v>31</v>
      </c>
      <c r="B606">
        <v>43</v>
      </c>
      <c r="C606" s="8">
        <f t="shared" si="129"/>
        <v>43</v>
      </c>
      <c r="D606" s="5">
        <v>83.6</v>
      </c>
      <c r="E606" s="8">
        <f t="shared" si="130"/>
        <v>83.6</v>
      </c>
      <c r="F606">
        <v>1.88</v>
      </c>
      <c r="G606" s="3">
        <f t="shared" si="131"/>
        <v>1.88</v>
      </c>
      <c r="H606">
        <v>23.7</v>
      </c>
      <c r="I606" s="5">
        <f t="shared" si="127"/>
        <v>23.7</v>
      </c>
      <c r="J606" s="16" t="str">
        <f t="shared" si="132"/>
        <v>Normal</v>
      </c>
      <c r="K606">
        <v>91</v>
      </c>
      <c r="L606">
        <v>0.48399999999999999</v>
      </c>
      <c r="M606" s="11">
        <f t="shared" si="128"/>
        <v>0.48399999999999999</v>
      </c>
      <c r="N606" s="5">
        <f t="shared" si="133"/>
        <v>91</v>
      </c>
      <c r="O606">
        <v>245</v>
      </c>
      <c r="P606">
        <v>38</v>
      </c>
      <c r="Q606" s="8">
        <f t="shared" si="134"/>
        <v>38</v>
      </c>
      <c r="R606" s="8">
        <v>177</v>
      </c>
      <c r="S606" s="8">
        <f t="shared" si="135"/>
        <v>177</v>
      </c>
      <c r="T606" s="8">
        <f>(Table1[[#This Row],[Total Cholesterol (mg/dL)]]+Table1[[#This Row],[HDL (mg/dL)2]]+Table1[[#This Row],[Estimated LDL (mg/dL)2]])*5</f>
        <v>2300</v>
      </c>
      <c r="U606" s="8">
        <f>IF(O606="",Table1[[#This Row],[Estimated LDL (mg/dL)2]]+Table1[[#This Row],[HDL (mg/dL)2]]+(Table1[[#This Row],[Triglycerides]]/5),O606)</f>
        <v>245</v>
      </c>
      <c r="V606">
        <v>138</v>
      </c>
      <c r="W606" s="8">
        <f t="shared" si="136"/>
        <v>138</v>
      </c>
      <c r="X606" t="str">
        <f t="shared" si="137"/>
        <v>Diabetes</v>
      </c>
      <c r="Y606" t="s">
        <v>23</v>
      </c>
      <c r="Z606" t="s">
        <v>23</v>
      </c>
      <c r="AA606" t="s">
        <v>24</v>
      </c>
      <c r="AB606" s="3" t="s">
        <v>560</v>
      </c>
      <c r="AC606">
        <v>106</v>
      </c>
      <c r="AD606" s="3" t="str">
        <f t="shared" si="138"/>
        <v>106</v>
      </c>
      <c r="AE606">
        <v>92</v>
      </c>
      <c r="AF606" s="3" t="str">
        <f t="shared" si="139"/>
        <v>92</v>
      </c>
      <c r="AG606" t="s">
        <v>38</v>
      </c>
      <c r="AH606" s="3">
        <v>16.940000000000001</v>
      </c>
      <c r="AI606" s="3">
        <f t="shared" si="140"/>
        <v>16.940000000000001</v>
      </c>
      <c r="AJ606" t="s">
        <v>30</v>
      </c>
      <c r="AK606" t="str">
        <f>PROPER(Table1[[#This Row],[CVD Risk Level]])</f>
        <v>High</v>
      </c>
    </row>
    <row r="607" spans="1:37" x14ac:dyDescent="0.3">
      <c r="A607" t="s">
        <v>20</v>
      </c>
      <c r="B607">
        <v>31</v>
      </c>
      <c r="C607" s="8">
        <f t="shared" si="129"/>
        <v>31</v>
      </c>
      <c r="D607" s="5">
        <v>119.5</v>
      </c>
      <c r="E607" s="8">
        <f t="shared" si="130"/>
        <v>119.5</v>
      </c>
      <c r="F607">
        <v>1.61</v>
      </c>
      <c r="G607" s="3">
        <f t="shared" si="131"/>
        <v>1.61</v>
      </c>
      <c r="H607">
        <v>46.1</v>
      </c>
      <c r="I607" s="5">
        <f t="shared" si="127"/>
        <v>46.1</v>
      </c>
      <c r="J607" s="16" t="str">
        <f t="shared" si="132"/>
        <v>Obese</v>
      </c>
      <c r="K607">
        <v>82.7</v>
      </c>
      <c r="L607">
        <v>0.51400000000000001</v>
      </c>
      <c r="M607" s="11">
        <f t="shared" si="128"/>
        <v>0.51400000000000001</v>
      </c>
      <c r="N607" s="5">
        <f t="shared" si="133"/>
        <v>82.7</v>
      </c>
      <c r="O607">
        <v>252</v>
      </c>
      <c r="P607">
        <v>58</v>
      </c>
      <c r="Q607" s="8">
        <f t="shared" si="134"/>
        <v>58</v>
      </c>
      <c r="R607" s="8">
        <v>164</v>
      </c>
      <c r="S607" s="8">
        <f t="shared" si="135"/>
        <v>164</v>
      </c>
      <c r="T607" s="8">
        <f>(Table1[[#This Row],[Total Cholesterol (mg/dL)]]+Table1[[#This Row],[HDL (mg/dL)2]]+Table1[[#This Row],[Estimated LDL (mg/dL)2]])*5</f>
        <v>2370</v>
      </c>
      <c r="U607" s="8">
        <f>IF(O607="",Table1[[#This Row],[Estimated LDL (mg/dL)2]]+Table1[[#This Row],[HDL (mg/dL)2]]+(Table1[[#This Row],[Triglycerides]]/5),O607)</f>
        <v>252</v>
      </c>
      <c r="V607">
        <v>93</v>
      </c>
      <c r="W607" s="8">
        <f t="shared" si="136"/>
        <v>93</v>
      </c>
      <c r="X607" t="str">
        <f t="shared" si="137"/>
        <v>Normal</v>
      </c>
      <c r="Y607" t="s">
        <v>22</v>
      </c>
      <c r="Z607" t="s">
        <v>23</v>
      </c>
      <c r="AA607" t="s">
        <v>28</v>
      </c>
      <c r="AB607" s="3" t="s">
        <v>561</v>
      </c>
      <c r="AC607">
        <v>145</v>
      </c>
      <c r="AD607" s="3" t="str">
        <f t="shared" si="138"/>
        <v>145</v>
      </c>
      <c r="AE607">
        <v>93</v>
      </c>
      <c r="AF607" s="3" t="str">
        <f t="shared" si="139"/>
        <v>93</v>
      </c>
      <c r="AG607" t="s">
        <v>38</v>
      </c>
      <c r="AH607" s="3">
        <v>23.51</v>
      </c>
      <c r="AI607" s="3">
        <f t="shared" si="140"/>
        <v>23.51</v>
      </c>
      <c r="AJ607" t="s">
        <v>26</v>
      </c>
      <c r="AK607" t="str">
        <f>PROPER(Table1[[#This Row],[CVD Risk Level]])</f>
        <v>Intermediary</v>
      </c>
    </row>
    <row r="608" spans="1:37" x14ac:dyDescent="0.3">
      <c r="A608" t="s">
        <v>31</v>
      </c>
      <c r="B608">
        <v>40</v>
      </c>
      <c r="C608" s="8">
        <f t="shared" si="129"/>
        <v>40</v>
      </c>
      <c r="D608" s="5">
        <v>56.4</v>
      </c>
      <c r="E608" s="8">
        <f t="shared" si="130"/>
        <v>56.4</v>
      </c>
      <c r="F608">
        <v>1.85</v>
      </c>
      <c r="G608" s="3">
        <f t="shared" si="131"/>
        <v>1.85</v>
      </c>
      <c r="H608">
        <v>16.5</v>
      </c>
      <c r="I608" s="5">
        <f t="shared" si="127"/>
        <v>16.5</v>
      </c>
      <c r="J608" s="16" t="str">
        <f t="shared" si="132"/>
        <v>Underweight</v>
      </c>
      <c r="K608">
        <v>84.2</v>
      </c>
      <c r="L608">
        <v>0.45500000000000002</v>
      </c>
      <c r="M608" s="11">
        <f t="shared" si="128"/>
        <v>0.45500000000000002</v>
      </c>
      <c r="N608" s="5">
        <f t="shared" si="133"/>
        <v>84.2</v>
      </c>
      <c r="O608">
        <v>155</v>
      </c>
      <c r="P608">
        <v>53</v>
      </c>
      <c r="Q608" s="8">
        <f t="shared" si="134"/>
        <v>53</v>
      </c>
      <c r="R608" s="8">
        <v>72</v>
      </c>
      <c r="S608" s="8">
        <f t="shared" si="135"/>
        <v>72</v>
      </c>
      <c r="T608" s="8">
        <f>(Table1[[#This Row],[Total Cholesterol (mg/dL)]]+Table1[[#This Row],[HDL (mg/dL)2]]+Table1[[#This Row],[Estimated LDL (mg/dL)2]])*5</f>
        <v>1400</v>
      </c>
      <c r="U608" s="8">
        <f>IF(O608="",Table1[[#This Row],[Estimated LDL (mg/dL)2]]+Table1[[#This Row],[HDL (mg/dL)2]]+(Table1[[#This Row],[Triglycerides]]/5),O608)</f>
        <v>155</v>
      </c>
      <c r="V608">
        <v>104</v>
      </c>
      <c r="W608" s="8">
        <f t="shared" si="136"/>
        <v>104</v>
      </c>
      <c r="X608" t="str">
        <f t="shared" si="137"/>
        <v>Prediabetes</v>
      </c>
      <c r="Y608" t="s">
        <v>22</v>
      </c>
      <c r="Z608" t="s">
        <v>22</v>
      </c>
      <c r="AA608" t="s">
        <v>37</v>
      </c>
      <c r="AB608" s="3" t="s">
        <v>562</v>
      </c>
      <c r="AC608">
        <v>144</v>
      </c>
      <c r="AD608" s="3" t="str">
        <f t="shared" si="138"/>
        <v>144</v>
      </c>
      <c r="AE608">
        <v>85</v>
      </c>
      <c r="AF608" s="3" t="str">
        <f t="shared" si="139"/>
        <v>85</v>
      </c>
      <c r="AG608" t="s">
        <v>29</v>
      </c>
      <c r="AH608" s="3">
        <v>13.6</v>
      </c>
      <c r="AI608" s="3">
        <f t="shared" si="140"/>
        <v>13.6</v>
      </c>
      <c r="AJ608" t="s">
        <v>52</v>
      </c>
      <c r="AK608" t="str">
        <f>PROPER(Table1[[#This Row],[CVD Risk Level]])</f>
        <v>Low</v>
      </c>
    </row>
    <row r="609" spans="1:37" x14ac:dyDescent="0.3">
      <c r="A609" t="s">
        <v>20</v>
      </c>
      <c r="B609">
        <v>41</v>
      </c>
      <c r="C609" s="8">
        <f t="shared" si="129"/>
        <v>41</v>
      </c>
      <c r="D609" s="5">
        <v>97</v>
      </c>
      <c r="E609" s="8">
        <f t="shared" si="130"/>
        <v>97</v>
      </c>
      <c r="F609">
        <v>1.87</v>
      </c>
      <c r="G609" s="3">
        <f t="shared" si="131"/>
        <v>1.87</v>
      </c>
      <c r="H609">
        <v>27.7</v>
      </c>
      <c r="I609" s="5">
        <f t="shared" si="127"/>
        <v>27.7</v>
      </c>
      <c r="J609" s="16" t="str">
        <f t="shared" si="132"/>
        <v>Overweight</v>
      </c>
      <c r="K609">
        <v>97.4</v>
      </c>
      <c r="L609">
        <v>0.52100000000000002</v>
      </c>
      <c r="M609" s="11">
        <f t="shared" si="128"/>
        <v>0.52100000000000002</v>
      </c>
      <c r="N609" s="5">
        <f t="shared" si="133"/>
        <v>97.4</v>
      </c>
      <c r="O609">
        <v>147</v>
      </c>
      <c r="P609">
        <v>73</v>
      </c>
      <c r="Q609" s="8">
        <f t="shared" si="134"/>
        <v>73</v>
      </c>
      <c r="R609" s="8">
        <v>44</v>
      </c>
      <c r="S609" s="8">
        <f t="shared" si="135"/>
        <v>44</v>
      </c>
      <c r="T609" s="8">
        <f>(Table1[[#This Row],[Total Cholesterol (mg/dL)]]+Table1[[#This Row],[HDL (mg/dL)2]]+Table1[[#This Row],[Estimated LDL (mg/dL)2]])*5</f>
        <v>1320</v>
      </c>
      <c r="U609" s="8">
        <f>IF(O609="",Table1[[#This Row],[Estimated LDL (mg/dL)2]]+Table1[[#This Row],[HDL (mg/dL)2]]+(Table1[[#This Row],[Triglycerides]]/5),O609)</f>
        <v>147</v>
      </c>
      <c r="V609">
        <v>92</v>
      </c>
      <c r="W609" s="8">
        <f t="shared" si="136"/>
        <v>92</v>
      </c>
      <c r="X609" t="str">
        <f t="shared" si="137"/>
        <v>Normal</v>
      </c>
      <c r="Y609" t="s">
        <v>22</v>
      </c>
      <c r="Z609" t="s">
        <v>23</v>
      </c>
      <c r="AA609" t="s">
        <v>24</v>
      </c>
      <c r="AB609" s="3" t="s">
        <v>563</v>
      </c>
      <c r="AD609" s="3" t="str">
        <f t="shared" si="138"/>
        <v>143</v>
      </c>
      <c r="AE609">
        <v>100</v>
      </c>
      <c r="AF609" s="3" t="str">
        <f t="shared" si="139"/>
        <v>100</v>
      </c>
      <c r="AG609" t="s">
        <v>38</v>
      </c>
      <c r="AH609" s="3">
        <v>17.63</v>
      </c>
      <c r="AI609" s="3">
        <f t="shared" si="140"/>
        <v>17.63</v>
      </c>
      <c r="AJ609" t="s">
        <v>26</v>
      </c>
      <c r="AK609" t="str">
        <f>PROPER(Table1[[#This Row],[CVD Risk Level]])</f>
        <v>Intermediary</v>
      </c>
    </row>
    <row r="610" spans="1:37" x14ac:dyDescent="0.3">
      <c r="A610" t="s">
        <v>31</v>
      </c>
      <c r="B610">
        <v>50</v>
      </c>
      <c r="C610" s="8">
        <f t="shared" si="129"/>
        <v>50</v>
      </c>
      <c r="D610" s="5">
        <v>74.7</v>
      </c>
      <c r="E610" s="8">
        <f t="shared" si="130"/>
        <v>74.7</v>
      </c>
      <c r="F610">
        <v>1.66</v>
      </c>
      <c r="G610" s="3">
        <f t="shared" si="131"/>
        <v>1.66</v>
      </c>
      <c r="H610">
        <v>27.1</v>
      </c>
      <c r="I610" s="5">
        <f t="shared" si="127"/>
        <v>27.1</v>
      </c>
      <c r="J610" s="16" t="str">
        <f t="shared" si="132"/>
        <v>Overweight</v>
      </c>
      <c r="K610">
        <v>71.900000000000006</v>
      </c>
      <c r="L610">
        <v>0.433</v>
      </c>
      <c r="M610" s="11">
        <f t="shared" si="128"/>
        <v>0.433</v>
      </c>
      <c r="N610" s="5">
        <f t="shared" si="133"/>
        <v>71.900000000000006</v>
      </c>
      <c r="O610">
        <v>119</v>
      </c>
      <c r="P610">
        <v>46</v>
      </c>
      <c r="Q610" s="8">
        <f t="shared" si="134"/>
        <v>46</v>
      </c>
      <c r="R610" s="8">
        <v>43</v>
      </c>
      <c r="S610" s="8">
        <f t="shared" si="135"/>
        <v>43</v>
      </c>
      <c r="T610" s="8">
        <f>(Table1[[#This Row],[Total Cholesterol (mg/dL)]]+Table1[[#This Row],[HDL (mg/dL)2]]+Table1[[#This Row],[Estimated LDL (mg/dL)2]])*5</f>
        <v>1040</v>
      </c>
      <c r="U610" s="8">
        <f>IF(O610="",Table1[[#This Row],[Estimated LDL (mg/dL)2]]+Table1[[#This Row],[HDL (mg/dL)2]]+(Table1[[#This Row],[Triglycerides]]/5),O610)</f>
        <v>119</v>
      </c>
      <c r="V610">
        <v>104</v>
      </c>
      <c r="W610" s="8">
        <f t="shared" si="136"/>
        <v>104</v>
      </c>
      <c r="X610" t="str">
        <f t="shared" si="137"/>
        <v>Prediabetes</v>
      </c>
      <c r="Y610" t="s">
        <v>22</v>
      </c>
      <c r="Z610" t="s">
        <v>23</v>
      </c>
      <c r="AA610" t="s">
        <v>28</v>
      </c>
      <c r="AB610" s="3" t="s">
        <v>564</v>
      </c>
      <c r="AC610">
        <v>92</v>
      </c>
      <c r="AD610" s="3" t="str">
        <f t="shared" si="138"/>
        <v>92</v>
      </c>
      <c r="AE610">
        <v>60</v>
      </c>
      <c r="AF610" s="3" t="str">
        <f t="shared" si="139"/>
        <v>60</v>
      </c>
      <c r="AG610" t="s">
        <v>33</v>
      </c>
      <c r="AH610" s="3">
        <v>14.4</v>
      </c>
      <c r="AI610" s="3">
        <f t="shared" si="140"/>
        <v>14.4</v>
      </c>
      <c r="AJ610" t="s">
        <v>30</v>
      </c>
      <c r="AK610" t="str">
        <f>PROPER(Table1[[#This Row],[CVD Risk Level]])</f>
        <v>High</v>
      </c>
    </row>
    <row r="611" spans="1:37" x14ac:dyDescent="0.3">
      <c r="A611" t="s">
        <v>20</v>
      </c>
      <c r="B611">
        <v>34</v>
      </c>
      <c r="C611" s="8">
        <f t="shared" si="129"/>
        <v>34</v>
      </c>
      <c r="D611" s="5">
        <v>85.3</v>
      </c>
      <c r="E611" s="8">
        <f t="shared" si="130"/>
        <v>85.3</v>
      </c>
      <c r="F611">
        <v>1.65</v>
      </c>
      <c r="G611" s="3">
        <f t="shared" si="131"/>
        <v>1.65</v>
      </c>
      <c r="H611">
        <v>31.3</v>
      </c>
      <c r="I611" s="5">
        <f t="shared" si="127"/>
        <v>31.3</v>
      </c>
      <c r="J611" s="16" t="str">
        <f t="shared" si="132"/>
        <v>Obese</v>
      </c>
      <c r="K611">
        <v>80.8</v>
      </c>
      <c r="L611">
        <v>0.49</v>
      </c>
      <c r="M611" s="11">
        <f t="shared" si="128"/>
        <v>0.49</v>
      </c>
      <c r="N611" s="5">
        <f t="shared" si="133"/>
        <v>80.8</v>
      </c>
      <c r="O611">
        <v>233</v>
      </c>
      <c r="P611">
        <v>55</v>
      </c>
      <c r="Q611" s="8">
        <f t="shared" si="134"/>
        <v>55</v>
      </c>
      <c r="R611" s="8">
        <v>148</v>
      </c>
      <c r="S611" s="8">
        <f t="shared" si="135"/>
        <v>148</v>
      </c>
      <c r="T611" s="8">
        <f>(Table1[[#This Row],[Total Cholesterol (mg/dL)]]+Table1[[#This Row],[HDL (mg/dL)2]]+Table1[[#This Row],[Estimated LDL (mg/dL)2]])*5</f>
        <v>2180</v>
      </c>
      <c r="U611" s="8">
        <f>IF(O611="",Table1[[#This Row],[Estimated LDL (mg/dL)2]]+Table1[[#This Row],[HDL (mg/dL)2]]+(Table1[[#This Row],[Triglycerides]]/5),O611)</f>
        <v>233</v>
      </c>
      <c r="V611">
        <v>137</v>
      </c>
      <c r="W611" s="8">
        <f t="shared" si="136"/>
        <v>137</v>
      </c>
      <c r="X611" t="str">
        <f t="shared" si="137"/>
        <v>Diabetes</v>
      </c>
      <c r="Y611" t="s">
        <v>23</v>
      </c>
      <c r="Z611" t="s">
        <v>23</v>
      </c>
      <c r="AA611" t="s">
        <v>37</v>
      </c>
      <c r="AB611" s="3" t="s">
        <v>316</v>
      </c>
      <c r="AC611">
        <v>104</v>
      </c>
      <c r="AD611" s="3" t="str">
        <f t="shared" si="138"/>
        <v>104</v>
      </c>
      <c r="AE611">
        <v>85</v>
      </c>
      <c r="AF611" s="3" t="str">
        <f t="shared" si="139"/>
        <v>85</v>
      </c>
      <c r="AG611" t="s">
        <v>29</v>
      </c>
      <c r="AH611" s="3">
        <v>18.12</v>
      </c>
      <c r="AI611" s="3">
        <f t="shared" si="140"/>
        <v>18.12</v>
      </c>
      <c r="AJ611" t="s">
        <v>30</v>
      </c>
      <c r="AK611" t="str">
        <f>PROPER(Table1[[#This Row],[CVD Risk Level]])</f>
        <v>High</v>
      </c>
    </row>
    <row r="612" spans="1:37" x14ac:dyDescent="0.3">
      <c r="A612" t="s">
        <v>31</v>
      </c>
      <c r="B612">
        <v>35</v>
      </c>
      <c r="C612" s="8">
        <f t="shared" si="129"/>
        <v>35</v>
      </c>
      <c r="E612" s="8">
        <f t="shared" si="130"/>
        <v>91.231919999999988</v>
      </c>
      <c r="F612">
        <v>1.71</v>
      </c>
      <c r="G612" s="3">
        <f t="shared" si="131"/>
        <v>1.71</v>
      </c>
      <c r="H612">
        <v>31.2</v>
      </c>
      <c r="I612" s="5">
        <f t="shared" si="127"/>
        <v>31.2</v>
      </c>
      <c r="J612" s="16" t="str">
        <f t="shared" si="132"/>
        <v>Obese</v>
      </c>
      <c r="K612">
        <v>88.1</v>
      </c>
      <c r="L612">
        <v>0.51500000000000001</v>
      </c>
      <c r="M612" s="11">
        <f t="shared" si="128"/>
        <v>0.51500000000000001</v>
      </c>
      <c r="N612" s="5">
        <f t="shared" si="133"/>
        <v>88.1</v>
      </c>
      <c r="O612">
        <v>218</v>
      </c>
      <c r="Q612" s="8">
        <f t="shared" si="134"/>
        <v>56.197377501725327</v>
      </c>
      <c r="R612" s="8">
        <v>138</v>
      </c>
      <c r="S612" s="8">
        <f>IF(R612&lt;=0,MEDIAN($R$2:$R$1530),R612)</f>
        <v>138</v>
      </c>
      <c r="T612" s="8">
        <f>(Table1[[#This Row],[Total Cholesterol (mg/dL)]]+Table1[[#This Row],[HDL (mg/dL)2]]+Table1[[#This Row],[Estimated LDL (mg/dL)2]])*5</f>
        <v>2060.9868875086268</v>
      </c>
      <c r="U612" s="8">
        <f>IF(O612="",Table1[[#This Row],[Estimated LDL (mg/dL)2]]+Table1[[#This Row],[HDL (mg/dL)2]]+(Table1[[#This Row],[Triglycerides]]/5),O612)</f>
        <v>218</v>
      </c>
      <c r="V612">
        <v>137</v>
      </c>
      <c r="W612" s="8">
        <f t="shared" si="136"/>
        <v>137</v>
      </c>
      <c r="X612" t="str">
        <f t="shared" si="137"/>
        <v>Diabetes</v>
      </c>
      <c r="Y612" t="s">
        <v>23</v>
      </c>
      <c r="Z612" t="s">
        <v>22</v>
      </c>
      <c r="AA612" t="s">
        <v>37</v>
      </c>
      <c r="AB612" s="3" t="s">
        <v>565</v>
      </c>
      <c r="AC612">
        <v>140</v>
      </c>
      <c r="AD612" s="3" t="str">
        <f t="shared" si="138"/>
        <v>140</v>
      </c>
      <c r="AE612">
        <v>66</v>
      </c>
      <c r="AF612" s="3" t="str">
        <f t="shared" si="139"/>
        <v>66</v>
      </c>
      <c r="AG612" t="s">
        <v>38</v>
      </c>
      <c r="AH612" s="3">
        <v>17.600000000000001</v>
      </c>
      <c r="AI612" s="3">
        <f t="shared" si="140"/>
        <v>17.600000000000001</v>
      </c>
      <c r="AJ612" t="s">
        <v>30</v>
      </c>
      <c r="AK612" t="str">
        <f>PROPER(Table1[[#This Row],[CVD Risk Level]])</f>
        <v>High</v>
      </c>
    </row>
    <row r="613" spans="1:37" x14ac:dyDescent="0.3">
      <c r="A613" t="s">
        <v>20</v>
      </c>
      <c r="B613">
        <v>54</v>
      </c>
      <c r="C613" s="8">
        <f t="shared" si="129"/>
        <v>54</v>
      </c>
      <c r="D613" s="5">
        <v>109.4</v>
      </c>
      <c r="E613" s="8">
        <f t="shared" si="130"/>
        <v>109.4</v>
      </c>
      <c r="F613">
        <v>1.83</v>
      </c>
      <c r="G613" s="3">
        <f t="shared" si="131"/>
        <v>1.83</v>
      </c>
      <c r="H613">
        <v>32.700000000000003</v>
      </c>
      <c r="I613" s="5">
        <f t="shared" si="127"/>
        <v>32.700000000000003</v>
      </c>
      <c r="J613" s="16" t="str">
        <f t="shared" si="132"/>
        <v>Obese</v>
      </c>
      <c r="K613">
        <v>88.5</v>
      </c>
      <c r="L613">
        <v>0.48399999999999999</v>
      </c>
      <c r="M613" s="11">
        <f t="shared" si="128"/>
        <v>0.48399999999999999</v>
      </c>
      <c r="N613" s="5">
        <f t="shared" si="133"/>
        <v>88.5</v>
      </c>
      <c r="O613">
        <v>150</v>
      </c>
      <c r="P613">
        <v>46</v>
      </c>
      <c r="Q613" s="8">
        <f t="shared" si="134"/>
        <v>46</v>
      </c>
      <c r="R613" s="8">
        <v>74</v>
      </c>
      <c r="S613" s="8">
        <f t="shared" si="135"/>
        <v>74</v>
      </c>
      <c r="T613" s="8">
        <f>(Table1[[#This Row],[Total Cholesterol (mg/dL)]]+Table1[[#This Row],[HDL (mg/dL)2]]+Table1[[#This Row],[Estimated LDL (mg/dL)2]])*5</f>
        <v>1350</v>
      </c>
      <c r="U613" s="8">
        <f>IF(O613="",Table1[[#This Row],[Estimated LDL (mg/dL)2]]+Table1[[#This Row],[HDL (mg/dL)2]]+(Table1[[#This Row],[Triglycerides]]/5),O613)</f>
        <v>150</v>
      </c>
      <c r="V613">
        <v>78</v>
      </c>
      <c r="W613" s="8">
        <f t="shared" si="136"/>
        <v>78</v>
      </c>
      <c r="X613" t="str">
        <f t="shared" si="137"/>
        <v>Normal</v>
      </c>
      <c r="Y613" t="s">
        <v>23</v>
      </c>
      <c r="Z613" t="s">
        <v>23</v>
      </c>
      <c r="AA613" t="s">
        <v>37</v>
      </c>
      <c r="AB613" s="3" t="s">
        <v>256</v>
      </c>
      <c r="AC613">
        <v>127</v>
      </c>
      <c r="AD613" s="3" t="str">
        <f t="shared" si="138"/>
        <v>127</v>
      </c>
      <c r="AE613">
        <v>84</v>
      </c>
      <c r="AF613" s="3" t="str">
        <f t="shared" si="139"/>
        <v>84</v>
      </c>
      <c r="AG613" t="s">
        <v>29</v>
      </c>
      <c r="AH613" s="3">
        <v>17.89</v>
      </c>
      <c r="AI613" s="3">
        <f t="shared" si="140"/>
        <v>17.89</v>
      </c>
      <c r="AJ613" t="s">
        <v>30</v>
      </c>
      <c r="AK613" t="str">
        <f>PROPER(Table1[[#This Row],[CVD Risk Level]])</f>
        <v>High</v>
      </c>
    </row>
    <row r="614" spans="1:37" x14ac:dyDescent="0.3">
      <c r="A614" t="s">
        <v>31</v>
      </c>
      <c r="C614" s="8">
        <f t="shared" si="129"/>
        <v>47.025499655410059</v>
      </c>
      <c r="D614" s="5">
        <v>98.7</v>
      </c>
      <c r="E614" s="8">
        <f t="shared" si="130"/>
        <v>98.7</v>
      </c>
      <c r="F614">
        <v>1.63</v>
      </c>
      <c r="G614" s="3">
        <f t="shared" si="131"/>
        <v>1.63</v>
      </c>
      <c r="H614">
        <v>37.1</v>
      </c>
      <c r="I614" s="5">
        <f t="shared" si="127"/>
        <v>37.1</v>
      </c>
      <c r="J614" s="16" t="str">
        <f t="shared" si="132"/>
        <v>Obese</v>
      </c>
      <c r="K614">
        <v>89.7</v>
      </c>
      <c r="L614">
        <v>0.55000000000000004</v>
      </c>
      <c r="M614" s="11">
        <f t="shared" si="128"/>
        <v>0.55000000000000004</v>
      </c>
      <c r="N614" s="5">
        <f t="shared" si="133"/>
        <v>89.7</v>
      </c>
      <c r="O614">
        <v>158</v>
      </c>
      <c r="P614">
        <v>64</v>
      </c>
      <c r="Q614" s="8">
        <f t="shared" si="134"/>
        <v>64</v>
      </c>
      <c r="R614" s="8">
        <v>64</v>
      </c>
      <c r="S614" s="8">
        <f t="shared" si="135"/>
        <v>64</v>
      </c>
      <c r="T614" s="8">
        <f>(Table1[[#This Row],[Total Cholesterol (mg/dL)]]+Table1[[#This Row],[HDL (mg/dL)2]]+Table1[[#This Row],[Estimated LDL (mg/dL)2]])*5</f>
        <v>1430</v>
      </c>
      <c r="U614" s="8">
        <f>IF(O614="",Table1[[#This Row],[Estimated LDL (mg/dL)2]]+Table1[[#This Row],[HDL (mg/dL)2]]+(Table1[[#This Row],[Triglycerides]]/5),O614)</f>
        <v>158</v>
      </c>
      <c r="V614">
        <v>131</v>
      </c>
      <c r="W614" s="8">
        <f t="shared" si="136"/>
        <v>131</v>
      </c>
      <c r="X614" t="str">
        <f t="shared" si="137"/>
        <v>Diabetes</v>
      </c>
      <c r="Y614" t="s">
        <v>23</v>
      </c>
      <c r="Z614" t="s">
        <v>23</v>
      </c>
      <c r="AA614" t="s">
        <v>37</v>
      </c>
      <c r="AB614" s="3" t="s">
        <v>566</v>
      </c>
      <c r="AC614">
        <v>139</v>
      </c>
      <c r="AD614" s="3" t="str">
        <f t="shared" si="138"/>
        <v>139</v>
      </c>
      <c r="AE614">
        <v>93</v>
      </c>
      <c r="AF614" s="3" t="str">
        <f t="shared" si="139"/>
        <v>93</v>
      </c>
      <c r="AG614" t="s">
        <v>29</v>
      </c>
      <c r="AH614" s="3">
        <v>19.53</v>
      </c>
      <c r="AI614" s="3">
        <f t="shared" si="140"/>
        <v>19.53</v>
      </c>
      <c r="AJ614" t="s">
        <v>30</v>
      </c>
      <c r="AK614" t="str">
        <f>PROPER(Table1[[#This Row],[CVD Risk Level]])</f>
        <v>High</v>
      </c>
    </row>
    <row r="615" spans="1:37" x14ac:dyDescent="0.3">
      <c r="A615" t="s">
        <v>20</v>
      </c>
      <c r="B615">
        <v>39</v>
      </c>
      <c r="C615" s="8">
        <f t="shared" si="129"/>
        <v>39</v>
      </c>
      <c r="D615" s="5">
        <v>116.3</v>
      </c>
      <c r="E615" s="8">
        <f t="shared" si="130"/>
        <v>116.3</v>
      </c>
      <c r="F615">
        <v>1.72</v>
      </c>
      <c r="G615" s="3">
        <f t="shared" si="131"/>
        <v>1.72</v>
      </c>
      <c r="H615">
        <v>39.299999999999997</v>
      </c>
      <c r="I615" s="5">
        <f t="shared" si="127"/>
        <v>39.299999999999997</v>
      </c>
      <c r="J615" s="16" t="str">
        <f t="shared" si="132"/>
        <v>Obese</v>
      </c>
      <c r="K615">
        <v>91.8</v>
      </c>
      <c r="L615">
        <v>0.53400000000000003</v>
      </c>
      <c r="M615" s="11">
        <f t="shared" si="128"/>
        <v>0.53400000000000003</v>
      </c>
      <c r="N615" s="5">
        <f t="shared" si="133"/>
        <v>91.8</v>
      </c>
      <c r="O615">
        <v>143</v>
      </c>
      <c r="P615">
        <v>31</v>
      </c>
      <c r="Q615" s="8">
        <f t="shared" si="134"/>
        <v>31</v>
      </c>
      <c r="R615" s="8">
        <v>82</v>
      </c>
      <c r="S615" s="8">
        <f t="shared" si="135"/>
        <v>82</v>
      </c>
      <c r="T615" s="8">
        <f>(Table1[[#This Row],[Total Cholesterol (mg/dL)]]+Table1[[#This Row],[HDL (mg/dL)2]]+Table1[[#This Row],[Estimated LDL (mg/dL)2]])*5</f>
        <v>1280</v>
      </c>
      <c r="U615" s="8">
        <f>IF(O615="",Table1[[#This Row],[Estimated LDL (mg/dL)2]]+Table1[[#This Row],[HDL (mg/dL)2]]+(Table1[[#This Row],[Triglycerides]]/5),O615)</f>
        <v>143</v>
      </c>
      <c r="V615">
        <v>101</v>
      </c>
      <c r="W615" s="8">
        <f t="shared" si="136"/>
        <v>101</v>
      </c>
      <c r="X615" t="str">
        <f t="shared" si="137"/>
        <v>Prediabetes</v>
      </c>
      <c r="Y615" t="s">
        <v>23</v>
      </c>
      <c r="Z615" t="s">
        <v>23</v>
      </c>
      <c r="AA615" t="s">
        <v>24</v>
      </c>
      <c r="AB615" s="3" t="s">
        <v>567</v>
      </c>
      <c r="AC615">
        <v>148</v>
      </c>
      <c r="AD615" s="3" t="str">
        <f t="shared" si="138"/>
        <v>148</v>
      </c>
      <c r="AE615">
        <v>100</v>
      </c>
      <c r="AF615" s="3" t="str">
        <f t="shared" si="139"/>
        <v>100</v>
      </c>
      <c r="AG615" t="s">
        <v>38</v>
      </c>
      <c r="AH615" s="3">
        <v>20.12</v>
      </c>
      <c r="AI615" s="3">
        <f t="shared" si="140"/>
        <v>20.12</v>
      </c>
      <c r="AJ615" t="s">
        <v>30</v>
      </c>
      <c r="AK615" t="str">
        <f>PROPER(Table1[[#This Row],[CVD Risk Level]])</f>
        <v>High</v>
      </c>
    </row>
    <row r="616" spans="1:37" x14ac:dyDescent="0.3">
      <c r="A616" t="s">
        <v>20</v>
      </c>
      <c r="B616">
        <v>42</v>
      </c>
      <c r="C616" s="8">
        <f t="shared" si="129"/>
        <v>42</v>
      </c>
      <c r="D616" s="5">
        <v>89.7</v>
      </c>
      <c r="E616" s="8">
        <f t="shared" si="130"/>
        <v>89.7</v>
      </c>
      <c r="F616">
        <v>1.7</v>
      </c>
      <c r="G616" s="3">
        <f t="shared" si="131"/>
        <v>1.7</v>
      </c>
      <c r="H616">
        <v>31</v>
      </c>
      <c r="I616" s="5">
        <f t="shared" si="127"/>
        <v>31</v>
      </c>
      <c r="J616" s="16" t="str">
        <f t="shared" si="132"/>
        <v>Obese</v>
      </c>
      <c r="K616">
        <v>83.5</v>
      </c>
      <c r="L616">
        <v>0.49099999999999999</v>
      </c>
      <c r="M616" s="11">
        <f t="shared" si="128"/>
        <v>0.49099999999999999</v>
      </c>
      <c r="N616" s="5">
        <f t="shared" si="133"/>
        <v>83.5</v>
      </c>
      <c r="O616">
        <v>217</v>
      </c>
      <c r="P616">
        <v>66</v>
      </c>
      <c r="Q616" s="8">
        <f t="shared" si="134"/>
        <v>66</v>
      </c>
      <c r="R616" s="8">
        <v>121</v>
      </c>
      <c r="S616" s="8">
        <f t="shared" si="135"/>
        <v>121</v>
      </c>
      <c r="T616" s="8">
        <f>(Table1[[#This Row],[Total Cholesterol (mg/dL)]]+Table1[[#This Row],[HDL (mg/dL)2]]+Table1[[#This Row],[Estimated LDL (mg/dL)2]])*5</f>
        <v>2020</v>
      </c>
      <c r="U616" s="8">
        <f>IF(O616="",Table1[[#This Row],[Estimated LDL (mg/dL)2]]+Table1[[#This Row],[HDL (mg/dL)2]]+(Table1[[#This Row],[Triglycerides]]/5),O616)</f>
        <v>217</v>
      </c>
      <c r="V616">
        <v>132</v>
      </c>
      <c r="W616" s="8">
        <f t="shared" si="136"/>
        <v>132</v>
      </c>
      <c r="X616" t="str">
        <f t="shared" si="137"/>
        <v>Diabetes</v>
      </c>
      <c r="Y616" t="s">
        <v>22</v>
      </c>
      <c r="Z616" t="s">
        <v>23</v>
      </c>
      <c r="AA616" t="s">
        <v>28</v>
      </c>
      <c r="AB616" s="3" t="s">
        <v>568</v>
      </c>
      <c r="AC616">
        <v>146</v>
      </c>
      <c r="AD616" s="3" t="str">
        <f t="shared" si="138"/>
        <v>146</v>
      </c>
      <c r="AE616">
        <v>91</v>
      </c>
      <c r="AF616" s="3" t="str">
        <f t="shared" si="139"/>
        <v>91</v>
      </c>
      <c r="AG616" t="s">
        <v>38</v>
      </c>
      <c r="AH616" s="3">
        <v>19.84</v>
      </c>
      <c r="AI616" s="3">
        <f t="shared" si="140"/>
        <v>19.84</v>
      </c>
      <c r="AJ616" t="s">
        <v>30</v>
      </c>
      <c r="AK616" t="str">
        <f>PROPER(Table1[[#This Row],[CVD Risk Level]])</f>
        <v>High</v>
      </c>
    </row>
    <row r="617" spans="1:37" x14ac:dyDescent="0.3">
      <c r="A617" t="s">
        <v>31</v>
      </c>
      <c r="B617">
        <v>48</v>
      </c>
      <c r="C617" s="8">
        <f t="shared" si="129"/>
        <v>48</v>
      </c>
      <c r="D617" s="5">
        <v>95.7</v>
      </c>
      <c r="E617" s="8">
        <f t="shared" si="130"/>
        <v>95.7</v>
      </c>
      <c r="F617">
        <v>1.61</v>
      </c>
      <c r="G617" s="3">
        <f t="shared" si="131"/>
        <v>1.61</v>
      </c>
      <c r="H617">
        <v>36.9</v>
      </c>
      <c r="I617" s="5">
        <f t="shared" si="127"/>
        <v>36.9</v>
      </c>
      <c r="J617" s="16" t="str">
        <f t="shared" si="132"/>
        <v>Obese</v>
      </c>
      <c r="K617">
        <v>98.4</v>
      </c>
      <c r="L617">
        <v>0.61099999999999999</v>
      </c>
      <c r="M617" s="11">
        <f t="shared" si="128"/>
        <v>0.61099999999999999</v>
      </c>
      <c r="N617" s="5">
        <f t="shared" si="133"/>
        <v>98.4</v>
      </c>
      <c r="O617">
        <v>114</v>
      </c>
      <c r="P617">
        <v>47</v>
      </c>
      <c r="Q617" s="8">
        <f t="shared" si="134"/>
        <v>47</v>
      </c>
      <c r="R617" s="8">
        <v>37</v>
      </c>
      <c r="S617" s="8">
        <f t="shared" si="135"/>
        <v>37</v>
      </c>
      <c r="T617" s="8">
        <f>(Table1[[#This Row],[Total Cholesterol (mg/dL)]]+Table1[[#This Row],[HDL (mg/dL)2]]+Table1[[#This Row],[Estimated LDL (mg/dL)2]])*5</f>
        <v>990</v>
      </c>
      <c r="U617" s="8">
        <f>IF(O617="",Table1[[#This Row],[Estimated LDL (mg/dL)2]]+Table1[[#This Row],[HDL (mg/dL)2]]+(Table1[[#This Row],[Triglycerides]]/5),O617)</f>
        <v>114</v>
      </c>
      <c r="W617" s="8">
        <f t="shared" si="136"/>
        <v>117.48563611491107</v>
      </c>
      <c r="X617" t="str">
        <f t="shared" si="137"/>
        <v>Prediabetes</v>
      </c>
      <c r="Y617" t="s">
        <v>22</v>
      </c>
      <c r="Z617" t="s">
        <v>22</v>
      </c>
      <c r="AA617" t="s">
        <v>37</v>
      </c>
      <c r="AB617" s="3" t="s">
        <v>116</v>
      </c>
      <c r="AC617">
        <v>114</v>
      </c>
      <c r="AD617" s="3" t="str">
        <f t="shared" si="138"/>
        <v>114</v>
      </c>
      <c r="AE617">
        <v>63</v>
      </c>
      <c r="AF617" s="3" t="str">
        <f t="shared" si="139"/>
        <v>63</v>
      </c>
      <c r="AG617" t="s">
        <v>33</v>
      </c>
      <c r="AH617" s="3">
        <v>15.36</v>
      </c>
      <c r="AI617" s="3">
        <f t="shared" si="140"/>
        <v>15.36</v>
      </c>
      <c r="AJ617" t="s">
        <v>26</v>
      </c>
      <c r="AK617" t="str">
        <f>PROPER(Table1[[#This Row],[CVD Risk Level]])</f>
        <v>Intermediary</v>
      </c>
    </row>
    <row r="618" spans="1:37" x14ac:dyDescent="0.3">
      <c r="A618" t="s">
        <v>31</v>
      </c>
      <c r="B618">
        <v>40</v>
      </c>
      <c r="C618" s="8">
        <f t="shared" si="129"/>
        <v>40</v>
      </c>
      <c r="D618" s="5">
        <v>59.8</v>
      </c>
      <c r="E618" s="8">
        <f t="shared" si="130"/>
        <v>59.8</v>
      </c>
      <c r="F618">
        <v>1.78</v>
      </c>
      <c r="G618" s="3">
        <f t="shared" si="131"/>
        <v>1.78</v>
      </c>
      <c r="H618">
        <v>18.899999999999999</v>
      </c>
      <c r="I618" s="5">
        <f t="shared" si="127"/>
        <v>18.899999999999999</v>
      </c>
      <c r="J618" s="16" t="str">
        <f t="shared" si="132"/>
        <v>Normal</v>
      </c>
      <c r="K618">
        <v>77.3</v>
      </c>
      <c r="L618">
        <v>0.434</v>
      </c>
      <c r="M618" s="11">
        <f t="shared" si="128"/>
        <v>0.434</v>
      </c>
      <c r="N618" s="5">
        <f t="shared" si="133"/>
        <v>77.3</v>
      </c>
      <c r="O618">
        <v>147</v>
      </c>
      <c r="P618">
        <v>78</v>
      </c>
      <c r="Q618" s="8">
        <f t="shared" si="134"/>
        <v>78</v>
      </c>
      <c r="R618" s="8">
        <v>39</v>
      </c>
      <c r="S618" s="8">
        <f t="shared" si="135"/>
        <v>39</v>
      </c>
      <c r="T618" s="8">
        <f>(Table1[[#This Row],[Total Cholesterol (mg/dL)]]+Table1[[#This Row],[HDL (mg/dL)2]]+Table1[[#This Row],[Estimated LDL (mg/dL)2]])*5</f>
        <v>1320</v>
      </c>
      <c r="U618" s="8">
        <f>IF(O618="",Table1[[#This Row],[Estimated LDL (mg/dL)2]]+Table1[[#This Row],[HDL (mg/dL)2]]+(Table1[[#This Row],[Triglycerides]]/5),O618)</f>
        <v>147</v>
      </c>
      <c r="V618">
        <v>123</v>
      </c>
      <c r="W618" s="8">
        <f t="shared" si="136"/>
        <v>123</v>
      </c>
      <c r="X618" t="str">
        <f t="shared" si="137"/>
        <v>Prediabetes</v>
      </c>
      <c r="Y618" t="s">
        <v>23</v>
      </c>
      <c r="Z618" t="s">
        <v>22</v>
      </c>
      <c r="AA618" t="s">
        <v>28</v>
      </c>
      <c r="AB618" s="3" t="s">
        <v>569</v>
      </c>
      <c r="AC618">
        <v>107</v>
      </c>
      <c r="AD618" s="3" t="str">
        <f t="shared" si="138"/>
        <v>107</v>
      </c>
      <c r="AE618">
        <v>75</v>
      </c>
      <c r="AF618" s="3" t="str">
        <f t="shared" si="139"/>
        <v>75</v>
      </c>
      <c r="AG618" t="s">
        <v>33</v>
      </c>
      <c r="AH618" s="3">
        <v>12.07</v>
      </c>
      <c r="AI618" s="3">
        <f t="shared" si="140"/>
        <v>12.07</v>
      </c>
      <c r="AJ618" t="s">
        <v>26</v>
      </c>
      <c r="AK618" t="str">
        <f>PROPER(Table1[[#This Row],[CVD Risk Level]])</f>
        <v>Intermediary</v>
      </c>
    </row>
    <row r="619" spans="1:37" x14ac:dyDescent="0.3">
      <c r="A619" t="s">
        <v>31</v>
      </c>
      <c r="B619">
        <v>48</v>
      </c>
      <c r="C619" s="8">
        <f t="shared" si="129"/>
        <v>48</v>
      </c>
      <c r="D619" s="5">
        <v>59.5</v>
      </c>
      <c r="E619" s="8">
        <f t="shared" si="130"/>
        <v>59.5</v>
      </c>
      <c r="F619">
        <v>1.82</v>
      </c>
      <c r="G619" s="3">
        <f t="shared" si="131"/>
        <v>1.82</v>
      </c>
      <c r="H619">
        <v>18</v>
      </c>
      <c r="I619" s="5">
        <f t="shared" si="127"/>
        <v>18</v>
      </c>
      <c r="J619" s="16" t="str">
        <f t="shared" si="132"/>
        <v>Underweight</v>
      </c>
      <c r="K619">
        <v>89.6</v>
      </c>
      <c r="L619">
        <v>0.49199999999999999</v>
      </c>
      <c r="M619" s="11">
        <f t="shared" si="128"/>
        <v>0.49199999999999999</v>
      </c>
      <c r="N619" s="5">
        <f t="shared" si="133"/>
        <v>89.6</v>
      </c>
      <c r="O619">
        <v>136</v>
      </c>
      <c r="P619">
        <v>68</v>
      </c>
      <c r="Q619" s="8">
        <f t="shared" si="134"/>
        <v>68</v>
      </c>
      <c r="R619" s="8">
        <v>38</v>
      </c>
      <c r="S619" s="8">
        <f t="shared" si="135"/>
        <v>38</v>
      </c>
      <c r="T619" s="8">
        <f>(Table1[[#This Row],[Total Cholesterol (mg/dL)]]+Table1[[#This Row],[HDL (mg/dL)2]]+Table1[[#This Row],[Estimated LDL (mg/dL)2]])*5</f>
        <v>1210</v>
      </c>
      <c r="U619" s="8">
        <f>IF(O619="",Table1[[#This Row],[Estimated LDL (mg/dL)2]]+Table1[[#This Row],[HDL (mg/dL)2]]+(Table1[[#This Row],[Triglycerides]]/5),O619)</f>
        <v>136</v>
      </c>
      <c r="V619">
        <v>148</v>
      </c>
      <c r="W619" s="8">
        <f t="shared" si="136"/>
        <v>148</v>
      </c>
      <c r="X619" t="str">
        <f t="shared" si="137"/>
        <v>Diabetes</v>
      </c>
      <c r="Y619" t="s">
        <v>22</v>
      </c>
      <c r="Z619" t="s">
        <v>22</v>
      </c>
      <c r="AA619" t="s">
        <v>28</v>
      </c>
      <c r="AB619" s="3" t="s">
        <v>570</v>
      </c>
      <c r="AC619">
        <v>119</v>
      </c>
      <c r="AD619" s="3" t="str">
        <f t="shared" si="138"/>
        <v>119</v>
      </c>
      <c r="AE619">
        <v>70</v>
      </c>
      <c r="AF619" s="3" t="str">
        <f t="shared" si="139"/>
        <v>70</v>
      </c>
      <c r="AG619" t="s">
        <v>33</v>
      </c>
      <c r="AH619" s="3">
        <v>12.27</v>
      </c>
      <c r="AI619" s="3">
        <f t="shared" si="140"/>
        <v>12.27</v>
      </c>
      <c r="AJ619" t="s">
        <v>52</v>
      </c>
      <c r="AK619" t="str">
        <f>PROPER(Table1[[#This Row],[CVD Risk Level]])</f>
        <v>Low</v>
      </c>
    </row>
    <row r="620" spans="1:37" x14ac:dyDescent="0.3">
      <c r="A620" t="s">
        <v>20</v>
      </c>
      <c r="B620">
        <v>36</v>
      </c>
      <c r="C620" s="8">
        <f t="shared" si="129"/>
        <v>36</v>
      </c>
      <c r="E620" s="8">
        <f t="shared" si="130"/>
        <v>52.04898</v>
      </c>
      <c r="F620">
        <v>1.71</v>
      </c>
      <c r="G620" s="3">
        <f t="shared" si="131"/>
        <v>1.71</v>
      </c>
      <c r="H620">
        <v>17.8</v>
      </c>
      <c r="I620" s="5">
        <f t="shared" si="127"/>
        <v>17.8</v>
      </c>
      <c r="J620" s="16" t="str">
        <f t="shared" si="132"/>
        <v>Underweight</v>
      </c>
      <c r="K620">
        <v>103.4</v>
      </c>
      <c r="L620">
        <v>0.60499999999999998</v>
      </c>
      <c r="M620" s="11">
        <f t="shared" si="128"/>
        <v>0.60499999999999998</v>
      </c>
      <c r="N620" s="5">
        <f t="shared" si="133"/>
        <v>103.4</v>
      </c>
      <c r="O620">
        <v>215</v>
      </c>
      <c r="P620">
        <v>43</v>
      </c>
      <c r="Q620" s="8">
        <f t="shared" si="134"/>
        <v>43</v>
      </c>
      <c r="S620" s="8">
        <f t="shared" si="135"/>
        <v>109</v>
      </c>
      <c r="T620" s="8">
        <f>(Table1[[#This Row],[Total Cholesterol (mg/dL)]]+Table1[[#This Row],[HDL (mg/dL)2]]+Table1[[#This Row],[Estimated LDL (mg/dL)2]])*5</f>
        <v>1835</v>
      </c>
      <c r="U620" s="8">
        <f>IF(O620="",Table1[[#This Row],[Estimated LDL (mg/dL)2]]+Table1[[#This Row],[HDL (mg/dL)2]]+(Table1[[#This Row],[Triglycerides]]/5),O620)</f>
        <v>215</v>
      </c>
      <c r="V620">
        <v>110</v>
      </c>
      <c r="W620" s="8">
        <f t="shared" si="136"/>
        <v>110</v>
      </c>
      <c r="X620" t="str">
        <f t="shared" si="137"/>
        <v>Prediabetes</v>
      </c>
      <c r="Y620" t="s">
        <v>22</v>
      </c>
      <c r="Z620" t="s">
        <v>22</v>
      </c>
      <c r="AA620" t="s">
        <v>24</v>
      </c>
      <c r="AB620" s="3" t="s">
        <v>571</v>
      </c>
      <c r="AC620">
        <v>106</v>
      </c>
      <c r="AD620" s="3" t="str">
        <f t="shared" si="138"/>
        <v>106</v>
      </c>
      <c r="AE620">
        <v>88</v>
      </c>
      <c r="AF620" s="3" t="str">
        <f t="shared" si="139"/>
        <v>88</v>
      </c>
      <c r="AG620" t="s">
        <v>29</v>
      </c>
      <c r="AH620" s="3">
        <v>13.16</v>
      </c>
      <c r="AI620" s="3">
        <f t="shared" si="140"/>
        <v>13.16</v>
      </c>
      <c r="AJ620" t="s">
        <v>26</v>
      </c>
      <c r="AK620" t="str">
        <f>PROPER(Table1[[#This Row],[CVD Risk Level]])</f>
        <v>Intermediary</v>
      </c>
    </row>
    <row r="621" spans="1:37" x14ac:dyDescent="0.3">
      <c r="A621" t="s">
        <v>31</v>
      </c>
      <c r="B621">
        <v>36</v>
      </c>
      <c r="C621" s="8">
        <f t="shared" si="129"/>
        <v>36</v>
      </c>
      <c r="E621" s="8">
        <f t="shared" si="130"/>
        <v>91.883600000000001</v>
      </c>
      <c r="F621">
        <v>1.78</v>
      </c>
      <c r="G621" s="3">
        <f t="shared" si="131"/>
        <v>1.78</v>
      </c>
      <c r="H621">
        <v>29</v>
      </c>
      <c r="I621" s="5">
        <f t="shared" si="127"/>
        <v>29</v>
      </c>
      <c r="J621" s="16" t="str">
        <f t="shared" si="132"/>
        <v>Overweight</v>
      </c>
      <c r="K621">
        <v>79.8</v>
      </c>
      <c r="L621">
        <v>0.44800000000000001</v>
      </c>
      <c r="M621" s="11">
        <f t="shared" si="128"/>
        <v>0.44800000000000001</v>
      </c>
      <c r="N621" s="5">
        <f t="shared" si="133"/>
        <v>79.8</v>
      </c>
      <c r="O621">
        <v>146</v>
      </c>
      <c r="P621">
        <v>64</v>
      </c>
      <c r="Q621" s="8">
        <f t="shared" si="134"/>
        <v>64</v>
      </c>
      <c r="R621" s="8">
        <v>52</v>
      </c>
      <c r="S621" s="8">
        <f t="shared" si="135"/>
        <v>52</v>
      </c>
      <c r="T621" s="8">
        <f>(Table1[[#This Row],[Total Cholesterol (mg/dL)]]+Table1[[#This Row],[HDL (mg/dL)2]]+Table1[[#This Row],[Estimated LDL (mg/dL)2]])*5</f>
        <v>1310</v>
      </c>
      <c r="U621" s="8">
        <f>IF(O621="",Table1[[#This Row],[Estimated LDL (mg/dL)2]]+Table1[[#This Row],[HDL (mg/dL)2]]+(Table1[[#This Row],[Triglycerides]]/5),O621)</f>
        <v>146</v>
      </c>
      <c r="V621">
        <v>71</v>
      </c>
      <c r="W621" s="8">
        <f t="shared" si="136"/>
        <v>71</v>
      </c>
      <c r="X621" t="str">
        <f t="shared" si="137"/>
        <v>Normal</v>
      </c>
      <c r="Y621" t="s">
        <v>22</v>
      </c>
      <c r="Z621" t="s">
        <v>23</v>
      </c>
      <c r="AA621" t="s">
        <v>24</v>
      </c>
      <c r="AB621" s="3" t="s">
        <v>572</v>
      </c>
      <c r="AC621">
        <v>116</v>
      </c>
      <c r="AD621" s="3" t="str">
        <f t="shared" si="138"/>
        <v>116</v>
      </c>
      <c r="AE621">
        <v>70</v>
      </c>
      <c r="AF621" s="3" t="str">
        <f t="shared" si="139"/>
        <v>70</v>
      </c>
      <c r="AG621" t="s">
        <v>33</v>
      </c>
      <c r="AH621" s="3">
        <v>16.52</v>
      </c>
      <c r="AI621" s="3">
        <f t="shared" si="140"/>
        <v>16.52</v>
      </c>
      <c r="AJ621" t="s">
        <v>30</v>
      </c>
      <c r="AK621" t="str">
        <f>PROPER(Table1[[#This Row],[CVD Risk Level]])</f>
        <v>High</v>
      </c>
    </row>
    <row r="622" spans="1:37" x14ac:dyDescent="0.3">
      <c r="A622" t="s">
        <v>20</v>
      </c>
      <c r="B622">
        <v>51</v>
      </c>
      <c r="C622" s="8">
        <f t="shared" si="129"/>
        <v>51</v>
      </c>
      <c r="D622" s="5">
        <v>104.2</v>
      </c>
      <c r="E622" s="8">
        <f t="shared" si="130"/>
        <v>104.2</v>
      </c>
      <c r="F622">
        <v>1.64</v>
      </c>
      <c r="G622" s="3">
        <f t="shared" si="131"/>
        <v>1.64</v>
      </c>
      <c r="H622">
        <v>38.700000000000003</v>
      </c>
      <c r="I622" s="5">
        <f t="shared" si="127"/>
        <v>38.700000000000003</v>
      </c>
      <c r="J622" s="16" t="str">
        <f t="shared" si="132"/>
        <v>Obese</v>
      </c>
      <c r="K622">
        <v>82.9</v>
      </c>
      <c r="L622">
        <v>0.505</v>
      </c>
      <c r="M622" s="11">
        <f t="shared" si="128"/>
        <v>0.505</v>
      </c>
      <c r="N622" s="5">
        <f t="shared" si="133"/>
        <v>82.9</v>
      </c>
      <c r="O622">
        <v>134</v>
      </c>
      <c r="Q622" s="8">
        <f t="shared" si="134"/>
        <v>56.197377501725327</v>
      </c>
      <c r="R622" s="8">
        <v>74</v>
      </c>
      <c r="S622" s="8">
        <f>IF(R622&lt;=0,MEDIAN($R$2:$R$1530),R622)</f>
        <v>74</v>
      </c>
      <c r="T622" s="8">
        <f>(Table1[[#This Row],[Total Cholesterol (mg/dL)]]+Table1[[#This Row],[HDL (mg/dL)2]]+Table1[[#This Row],[Estimated LDL (mg/dL)2]])*5</f>
        <v>1320.9868875086268</v>
      </c>
      <c r="U622" s="8">
        <f>IF(O622="",Table1[[#This Row],[Estimated LDL (mg/dL)2]]+Table1[[#This Row],[HDL (mg/dL)2]]+(Table1[[#This Row],[Triglycerides]]/5),O622)</f>
        <v>134</v>
      </c>
      <c r="V622">
        <v>91</v>
      </c>
      <c r="W622" s="8">
        <f t="shared" si="136"/>
        <v>91</v>
      </c>
      <c r="X622" t="str">
        <f t="shared" si="137"/>
        <v>Normal</v>
      </c>
      <c r="Y622" t="s">
        <v>22</v>
      </c>
      <c r="Z622" t="s">
        <v>22</v>
      </c>
      <c r="AA622" t="s">
        <v>28</v>
      </c>
      <c r="AB622" s="3" t="s">
        <v>573</v>
      </c>
      <c r="AC622">
        <v>118</v>
      </c>
      <c r="AD622" s="3" t="str">
        <f t="shared" si="138"/>
        <v>118</v>
      </c>
      <c r="AE622">
        <v>97</v>
      </c>
      <c r="AF622" s="3" t="str">
        <f t="shared" si="139"/>
        <v>97</v>
      </c>
      <c r="AG622" t="s">
        <v>38</v>
      </c>
      <c r="AH622" s="3">
        <v>16.32</v>
      </c>
      <c r="AI622" s="3">
        <f t="shared" si="140"/>
        <v>16.32</v>
      </c>
      <c r="AJ622" t="s">
        <v>30</v>
      </c>
      <c r="AK622" t="str">
        <f>PROPER(Table1[[#This Row],[CVD Risk Level]])</f>
        <v>High</v>
      </c>
    </row>
    <row r="623" spans="1:37" x14ac:dyDescent="0.3">
      <c r="A623" t="s">
        <v>31</v>
      </c>
      <c r="B623">
        <v>48</v>
      </c>
      <c r="C623" s="8">
        <f t="shared" si="129"/>
        <v>48</v>
      </c>
      <c r="D623" s="5">
        <v>76.8</v>
      </c>
      <c r="E623" s="8">
        <f t="shared" si="130"/>
        <v>76.8</v>
      </c>
      <c r="F623">
        <v>1.64</v>
      </c>
      <c r="G623" s="3">
        <f t="shared" si="131"/>
        <v>1.64</v>
      </c>
      <c r="H623">
        <v>28.6</v>
      </c>
      <c r="I623" s="5">
        <f t="shared" si="127"/>
        <v>28.6</v>
      </c>
      <c r="J623" s="16" t="str">
        <f t="shared" si="132"/>
        <v>Overweight</v>
      </c>
      <c r="K623">
        <v>90.2</v>
      </c>
      <c r="L623">
        <v>0.55000000000000004</v>
      </c>
      <c r="M623" s="11">
        <f t="shared" si="128"/>
        <v>0.55000000000000004</v>
      </c>
      <c r="N623" s="5">
        <f t="shared" si="133"/>
        <v>90.2</v>
      </c>
      <c r="O623">
        <v>168</v>
      </c>
      <c r="P623">
        <v>80</v>
      </c>
      <c r="Q623" s="8">
        <f t="shared" si="134"/>
        <v>80</v>
      </c>
      <c r="R623" s="8">
        <v>58</v>
      </c>
      <c r="S623" s="8">
        <f t="shared" si="135"/>
        <v>58</v>
      </c>
      <c r="T623" s="8">
        <f>(Table1[[#This Row],[Total Cholesterol (mg/dL)]]+Table1[[#This Row],[HDL (mg/dL)2]]+Table1[[#This Row],[Estimated LDL (mg/dL)2]])*5</f>
        <v>1530</v>
      </c>
      <c r="U623" s="8">
        <f>IF(O623="",Table1[[#This Row],[Estimated LDL (mg/dL)2]]+Table1[[#This Row],[HDL (mg/dL)2]]+(Table1[[#This Row],[Triglycerides]]/5),O623)</f>
        <v>168</v>
      </c>
      <c r="V623">
        <v>117</v>
      </c>
      <c r="W623" s="8">
        <f t="shared" si="136"/>
        <v>117</v>
      </c>
      <c r="X623" t="str">
        <f t="shared" si="137"/>
        <v>Prediabetes</v>
      </c>
      <c r="Y623" t="s">
        <v>23</v>
      </c>
      <c r="Z623" t="s">
        <v>22</v>
      </c>
      <c r="AA623" t="s">
        <v>28</v>
      </c>
      <c r="AB623" s="3" t="s">
        <v>61</v>
      </c>
      <c r="AC623">
        <v>128</v>
      </c>
      <c r="AD623" s="3" t="str">
        <f t="shared" si="138"/>
        <v>128</v>
      </c>
      <c r="AE623">
        <v>66</v>
      </c>
      <c r="AF623" s="3" t="str">
        <f t="shared" si="139"/>
        <v>66</v>
      </c>
      <c r="AG623" t="s">
        <v>25</v>
      </c>
      <c r="AH623" s="3">
        <v>15.48</v>
      </c>
      <c r="AI623" s="3">
        <f t="shared" si="140"/>
        <v>15.48</v>
      </c>
      <c r="AJ623" t="s">
        <v>26</v>
      </c>
      <c r="AK623" t="str">
        <f>PROPER(Table1[[#This Row],[CVD Risk Level]])</f>
        <v>Intermediary</v>
      </c>
    </row>
    <row r="624" spans="1:37" x14ac:dyDescent="0.3">
      <c r="A624" t="s">
        <v>20</v>
      </c>
      <c r="B624">
        <v>49</v>
      </c>
      <c r="C624" s="8">
        <f t="shared" si="129"/>
        <v>49</v>
      </c>
      <c r="D624" s="5">
        <v>97.2</v>
      </c>
      <c r="E624" s="8">
        <f t="shared" si="130"/>
        <v>97.2</v>
      </c>
      <c r="F624">
        <v>1.66</v>
      </c>
      <c r="G624" s="3">
        <f t="shared" si="131"/>
        <v>1.66</v>
      </c>
      <c r="H624">
        <v>35.299999999999997</v>
      </c>
      <c r="I624" s="5">
        <f t="shared" si="127"/>
        <v>35.299999999999997</v>
      </c>
      <c r="J624" s="16" t="str">
        <f t="shared" si="132"/>
        <v>Obese</v>
      </c>
      <c r="K624">
        <v>103.4</v>
      </c>
      <c r="L624">
        <v>0.623</v>
      </c>
      <c r="M624" s="11">
        <f t="shared" si="128"/>
        <v>0.623</v>
      </c>
      <c r="N624" s="5">
        <f t="shared" si="133"/>
        <v>103.4</v>
      </c>
      <c r="O624">
        <v>203</v>
      </c>
      <c r="P624">
        <v>64</v>
      </c>
      <c r="Q624" s="8">
        <f t="shared" si="134"/>
        <v>64</v>
      </c>
      <c r="R624" s="8">
        <v>109</v>
      </c>
      <c r="S624" s="8">
        <f t="shared" si="135"/>
        <v>109</v>
      </c>
      <c r="T624" s="8">
        <f>(Table1[[#This Row],[Total Cholesterol (mg/dL)]]+Table1[[#This Row],[HDL (mg/dL)2]]+Table1[[#This Row],[Estimated LDL (mg/dL)2]])*5</f>
        <v>1880</v>
      </c>
      <c r="U624" s="8">
        <f>IF(O624="",Table1[[#This Row],[Estimated LDL (mg/dL)2]]+Table1[[#This Row],[HDL (mg/dL)2]]+(Table1[[#This Row],[Triglycerides]]/5),O624)</f>
        <v>203</v>
      </c>
      <c r="V624">
        <v>102</v>
      </c>
      <c r="W624" s="8">
        <f t="shared" si="136"/>
        <v>102</v>
      </c>
      <c r="X624" t="str">
        <f t="shared" si="137"/>
        <v>Prediabetes</v>
      </c>
      <c r="Y624" t="s">
        <v>23</v>
      </c>
      <c r="Z624" t="s">
        <v>22</v>
      </c>
      <c r="AA624" t="s">
        <v>28</v>
      </c>
      <c r="AB624" s="3" t="s">
        <v>574</v>
      </c>
      <c r="AC624">
        <v>121</v>
      </c>
      <c r="AD624" s="3" t="str">
        <f t="shared" si="138"/>
        <v>121</v>
      </c>
      <c r="AE624">
        <v>66</v>
      </c>
      <c r="AF624" s="3" t="str">
        <f t="shared" si="139"/>
        <v>66</v>
      </c>
      <c r="AG624" t="s">
        <v>25</v>
      </c>
      <c r="AH624" s="3">
        <v>17.170000000000002</v>
      </c>
      <c r="AI624" s="3">
        <f t="shared" si="140"/>
        <v>17.170000000000002</v>
      </c>
      <c r="AJ624" t="s">
        <v>30</v>
      </c>
      <c r="AK624" t="str">
        <f>PROPER(Table1[[#This Row],[CVD Risk Level]])</f>
        <v>High</v>
      </c>
    </row>
    <row r="625" spans="1:37" x14ac:dyDescent="0.3">
      <c r="A625" t="s">
        <v>20</v>
      </c>
      <c r="B625">
        <v>33</v>
      </c>
      <c r="C625" s="8">
        <f t="shared" si="129"/>
        <v>33</v>
      </c>
      <c r="D625" s="5">
        <v>74.7</v>
      </c>
      <c r="E625" s="8">
        <f t="shared" si="130"/>
        <v>74.7</v>
      </c>
      <c r="G625" s="3">
        <f t="shared" si="131"/>
        <v>1.6511442614934571</v>
      </c>
      <c r="H625">
        <v>27.4</v>
      </c>
      <c r="I625" s="5">
        <f t="shared" si="127"/>
        <v>27.4</v>
      </c>
      <c r="J625" s="16" t="str">
        <f t="shared" si="132"/>
        <v>Overweight</v>
      </c>
      <c r="K625">
        <v>93.3</v>
      </c>
      <c r="L625">
        <v>0.56499999999999995</v>
      </c>
      <c r="M625" s="11">
        <f t="shared" si="128"/>
        <v>0.56499999999999995</v>
      </c>
      <c r="N625" s="5">
        <f t="shared" si="133"/>
        <v>93.3</v>
      </c>
      <c r="O625">
        <v>111</v>
      </c>
      <c r="P625">
        <v>36</v>
      </c>
      <c r="Q625" s="8">
        <f t="shared" si="134"/>
        <v>36</v>
      </c>
      <c r="R625" s="8">
        <v>45</v>
      </c>
      <c r="S625" s="8">
        <f t="shared" si="135"/>
        <v>45</v>
      </c>
      <c r="T625" s="8">
        <f>(Table1[[#This Row],[Total Cholesterol (mg/dL)]]+Table1[[#This Row],[HDL (mg/dL)2]]+Table1[[#This Row],[Estimated LDL (mg/dL)2]])*5</f>
        <v>960</v>
      </c>
      <c r="U625" s="8">
        <f>IF(O625="",Table1[[#This Row],[Estimated LDL (mg/dL)2]]+Table1[[#This Row],[HDL (mg/dL)2]]+(Table1[[#This Row],[Triglycerides]]/5),O625)</f>
        <v>111</v>
      </c>
      <c r="V625">
        <v>99</v>
      </c>
      <c r="W625" s="8">
        <f t="shared" si="136"/>
        <v>99</v>
      </c>
      <c r="X625" t="str">
        <f t="shared" si="137"/>
        <v>Normal</v>
      </c>
      <c r="Y625" t="s">
        <v>23</v>
      </c>
      <c r="Z625" t="s">
        <v>22</v>
      </c>
      <c r="AA625" t="s">
        <v>37</v>
      </c>
      <c r="AB625" s="3" t="s">
        <v>575</v>
      </c>
      <c r="AC625">
        <v>113</v>
      </c>
      <c r="AD625" s="3" t="str">
        <f t="shared" si="138"/>
        <v>113</v>
      </c>
      <c r="AE625">
        <v>89</v>
      </c>
      <c r="AF625" s="3" t="str">
        <f t="shared" si="139"/>
        <v>89</v>
      </c>
      <c r="AG625" t="s">
        <v>29</v>
      </c>
      <c r="AH625" s="3">
        <v>13.35</v>
      </c>
      <c r="AI625" s="3">
        <f t="shared" si="140"/>
        <v>13.35</v>
      </c>
      <c r="AJ625" t="s">
        <v>30</v>
      </c>
      <c r="AK625" t="str">
        <f>PROPER(Table1[[#This Row],[CVD Risk Level]])</f>
        <v>High</v>
      </c>
    </row>
    <row r="626" spans="1:37" x14ac:dyDescent="0.3">
      <c r="A626" t="s">
        <v>31</v>
      </c>
      <c r="B626">
        <v>37</v>
      </c>
      <c r="C626" s="8">
        <f t="shared" si="129"/>
        <v>37</v>
      </c>
      <c r="D626" s="5">
        <v>116.7</v>
      </c>
      <c r="E626" s="8">
        <f t="shared" si="130"/>
        <v>116.7</v>
      </c>
      <c r="F626">
        <v>1.87</v>
      </c>
      <c r="G626" s="3">
        <f t="shared" si="131"/>
        <v>1.87</v>
      </c>
      <c r="H626">
        <v>33.4</v>
      </c>
      <c r="I626" s="5">
        <f t="shared" si="127"/>
        <v>33.4</v>
      </c>
      <c r="J626" s="16" t="str">
        <f t="shared" si="132"/>
        <v>Obese</v>
      </c>
      <c r="K626">
        <v>107.6</v>
      </c>
      <c r="L626">
        <v>0.57499999999999996</v>
      </c>
      <c r="M626" s="11">
        <f t="shared" si="128"/>
        <v>0.57499999999999996</v>
      </c>
      <c r="N626" s="5">
        <f t="shared" si="133"/>
        <v>107.6</v>
      </c>
      <c r="O626">
        <v>215</v>
      </c>
      <c r="P626">
        <v>33</v>
      </c>
      <c r="Q626" s="8">
        <f t="shared" si="134"/>
        <v>33</v>
      </c>
      <c r="R626" s="8">
        <v>152</v>
      </c>
      <c r="S626" s="8">
        <f t="shared" si="135"/>
        <v>152</v>
      </c>
      <c r="T626" s="8">
        <f>(Table1[[#This Row],[Total Cholesterol (mg/dL)]]+Table1[[#This Row],[HDL (mg/dL)2]]+Table1[[#This Row],[Estimated LDL (mg/dL)2]])*5</f>
        <v>2000</v>
      </c>
      <c r="U626" s="8">
        <f>IF(O626="",Table1[[#This Row],[Estimated LDL (mg/dL)2]]+Table1[[#This Row],[HDL (mg/dL)2]]+(Table1[[#This Row],[Triglycerides]]/5),O626)</f>
        <v>215</v>
      </c>
      <c r="V626">
        <v>70</v>
      </c>
      <c r="W626" s="8">
        <f t="shared" si="136"/>
        <v>70</v>
      </c>
      <c r="X626" t="str">
        <f t="shared" si="137"/>
        <v>Normal</v>
      </c>
      <c r="Y626" t="s">
        <v>22</v>
      </c>
      <c r="Z626" t="s">
        <v>23</v>
      </c>
      <c r="AA626" t="s">
        <v>37</v>
      </c>
      <c r="AB626" s="3" t="s">
        <v>576</v>
      </c>
      <c r="AC626">
        <v>131</v>
      </c>
      <c r="AD626" s="3" t="str">
        <f t="shared" si="138"/>
        <v>131</v>
      </c>
      <c r="AE626">
        <v>69</v>
      </c>
      <c r="AF626" s="3" t="str">
        <f t="shared" si="139"/>
        <v>69</v>
      </c>
      <c r="AG626" t="s">
        <v>29</v>
      </c>
      <c r="AH626" s="3">
        <v>19.53</v>
      </c>
      <c r="AI626" s="3">
        <f t="shared" si="140"/>
        <v>19.53</v>
      </c>
      <c r="AJ626" t="s">
        <v>30</v>
      </c>
      <c r="AK626" t="str">
        <f>PROPER(Table1[[#This Row],[CVD Risk Level]])</f>
        <v>High</v>
      </c>
    </row>
    <row r="627" spans="1:37" x14ac:dyDescent="0.3">
      <c r="A627" t="s">
        <v>20</v>
      </c>
      <c r="B627">
        <v>58</v>
      </c>
      <c r="C627" s="8">
        <f t="shared" si="129"/>
        <v>58</v>
      </c>
      <c r="D627" s="5">
        <v>59.3</v>
      </c>
      <c r="E627" s="8">
        <f t="shared" si="130"/>
        <v>59.3</v>
      </c>
      <c r="F627">
        <v>1.75</v>
      </c>
      <c r="G627" s="3">
        <f t="shared" si="131"/>
        <v>1.75</v>
      </c>
      <c r="H627">
        <v>19.399999999999999</v>
      </c>
      <c r="I627" s="5">
        <f t="shared" si="127"/>
        <v>19.399999999999999</v>
      </c>
      <c r="J627" s="16" t="str">
        <f t="shared" si="132"/>
        <v>Normal</v>
      </c>
      <c r="K627">
        <v>104.4</v>
      </c>
      <c r="L627">
        <v>0.59699999999999998</v>
      </c>
      <c r="M627" s="11">
        <f t="shared" si="128"/>
        <v>0.59699999999999998</v>
      </c>
      <c r="N627" s="5">
        <f t="shared" si="133"/>
        <v>104.4</v>
      </c>
      <c r="O627">
        <v>275</v>
      </c>
      <c r="P627">
        <v>47</v>
      </c>
      <c r="Q627" s="8">
        <f t="shared" si="134"/>
        <v>47</v>
      </c>
      <c r="R627" s="8">
        <v>198</v>
      </c>
      <c r="S627" s="8">
        <f t="shared" si="135"/>
        <v>198</v>
      </c>
      <c r="T627" s="8">
        <f>(Table1[[#This Row],[Total Cholesterol (mg/dL)]]+Table1[[#This Row],[HDL (mg/dL)2]]+Table1[[#This Row],[Estimated LDL (mg/dL)2]])*5</f>
        <v>2600</v>
      </c>
      <c r="U627" s="8">
        <f>IF(O627="",Table1[[#This Row],[Estimated LDL (mg/dL)2]]+Table1[[#This Row],[HDL (mg/dL)2]]+(Table1[[#This Row],[Triglycerides]]/5),O627)</f>
        <v>275</v>
      </c>
      <c r="V627">
        <v>95</v>
      </c>
      <c r="W627" s="8">
        <f t="shared" si="136"/>
        <v>95</v>
      </c>
      <c r="X627" t="str">
        <f t="shared" si="137"/>
        <v>Normal</v>
      </c>
      <c r="Y627" t="s">
        <v>23</v>
      </c>
      <c r="Z627" t="s">
        <v>23</v>
      </c>
      <c r="AA627" t="s">
        <v>28</v>
      </c>
      <c r="AB627" s="3" t="s">
        <v>577</v>
      </c>
      <c r="AC627">
        <v>119</v>
      </c>
      <c r="AD627" s="3" t="str">
        <f t="shared" si="138"/>
        <v>119</v>
      </c>
      <c r="AE627">
        <v>63</v>
      </c>
      <c r="AF627" s="3" t="str">
        <f t="shared" si="139"/>
        <v>63</v>
      </c>
      <c r="AG627" t="s">
        <v>33</v>
      </c>
      <c r="AH627" s="3">
        <v>17.329999999999998</v>
      </c>
      <c r="AI627" s="3">
        <f t="shared" si="140"/>
        <v>17.329999999999998</v>
      </c>
      <c r="AJ627" t="s">
        <v>30</v>
      </c>
      <c r="AK627" t="str">
        <f>PROPER(Table1[[#This Row],[CVD Risk Level]])</f>
        <v>High</v>
      </c>
    </row>
    <row r="628" spans="1:37" x14ac:dyDescent="0.3">
      <c r="A628" t="s">
        <v>31</v>
      </c>
      <c r="B628">
        <v>47</v>
      </c>
      <c r="C628" s="8">
        <f t="shared" si="129"/>
        <v>47</v>
      </c>
      <c r="D628" s="5">
        <v>68.7</v>
      </c>
      <c r="E628" s="8">
        <f t="shared" si="130"/>
        <v>68.7</v>
      </c>
      <c r="F628">
        <v>1.64</v>
      </c>
      <c r="G628" s="3">
        <f t="shared" si="131"/>
        <v>1.64</v>
      </c>
      <c r="H628">
        <v>25.5</v>
      </c>
      <c r="I628" s="5">
        <f t="shared" si="127"/>
        <v>25.5</v>
      </c>
      <c r="J628" s="16" t="str">
        <f t="shared" si="132"/>
        <v>Overweight</v>
      </c>
      <c r="K628">
        <v>75.5</v>
      </c>
      <c r="L628">
        <v>0.46</v>
      </c>
      <c r="M628" s="11">
        <f t="shared" si="128"/>
        <v>0.46</v>
      </c>
      <c r="N628" s="5">
        <f t="shared" si="133"/>
        <v>75.5</v>
      </c>
      <c r="O628">
        <v>164</v>
      </c>
      <c r="P628">
        <v>44</v>
      </c>
      <c r="Q628" s="8">
        <f t="shared" si="134"/>
        <v>44</v>
      </c>
      <c r="R628" s="8">
        <v>90</v>
      </c>
      <c r="S628" s="8">
        <f t="shared" si="135"/>
        <v>90</v>
      </c>
      <c r="T628" s="8">
        <f>(Table1[[#This Row],[Total Cholesterol (mg/dL)]]+Table1[[#This Row],[HDL (mg/dL)2]]+Table1[[#This Row],[Estimated LDL (mg/dL)2]])*5</f>
        <v>1490</v>
      </c>
      <c r="U628" s="8">
        <f>IF(O628="",Table1[[#This Row],[Estimated LDL (mg/dL)2]]+Table1[[#This Row],[HDL (mg/dL)2]]+(Table1[[#This Row],[Triglycerides]]/5),O628)</f>
        <v>164</v>
      </c>
      <c r="W628" s="8">
        <f t="shared" si="136"/>
        <v>117.48563611491107</v>
      </c>
      <c r="X628" t="str">
        <f t="shared" si="137"/>
        <v>Prediabetes</v>
      </c>
      <c r="Y628" t="s">
        <v>22</v>
      </c>
      <c r="Z628" t="s">
        <v>23</v>
      </c>
      <c r="AA628" t="s">
        <v>24</v>
      </c>
      <c r="AB628" s="3" t="s">
        <v>345</v>
      </c>
      <c r="AC628">
        <v>116</v>
      </c>
      <c r="AD628" s="3" t="str">
        <f t="shared" si="138"/>
        <v>116</v>
      </c>
      <c r="AE628">
        <v>72</v>
      </c>
      <c r="AF628" s="3" t="str">
        <f t="shared" si="139"/>
        <v>72</v>
      </c>
      <c r="AG628" t="s">
        <v>33</v>
      </c>
      <c r="AH628" s="3">
        <v>16.18</v>
      </c>
      <c r="AI628" s="3">
        <f t="shared" si="140"/>
        <v>16.18</v>
      </c>
      <c r="AJ628" t="s">
        <v>30</v>
      </c>
      <c r="AK628" t="str">
        <f>PROPER(Table1[[#This Row],[CVD Risk Level]])</f>
        <v>High</v>
      </c>
    </row>
    <row r="629" spans="1:37" x14ac:dyDescent="0.3">
      <c r="A629" t="s">
        <v>20</v>
      </c>
      <c r="B629">
        <v>30</v>
      </c>
      <c r="C629" s="8">
        <f t="shared" si="129"/>
        <v>30</v>
      </c>
      <c r="D629" s="5">
        <v>116.4</v>
      </c>
      <c r="E629" s="8">
        <f t="shared" si="130"/>
        <v>116.4</v>
      </c>
      <c r="F629">
        <v>1.64</v>
      </c>
      <c r="G629" s="3">
        <f t="shared" si="131"/>
        <v>1.64</v>
      </c>
      <c r="H629">
        <v>43.3</v>
      </c>
      <c r="I629" s="5">
        <f t="shared" si="127"/>
        <v>43.3</v>
      </c>
      <c r="J629" s="16" t="str">
        <f t="shared" si="132"/>
        <v>Obese</v>
      </c>
      <c r="K629">
        <v>109.4</v>
      </c>
      <c r="L629">
        <v>0.66700000000000004</v>
      </c>
      <c r="M629" s="11">
        <f t="shared" si="128"/>
        <v>0.66700000000000004</v>
      </c>
      <c r="N629" s="5">
        <f t="shared" si="133"/>
        <v>109.4</v>
      </c>
      <c r="O629">
        <v>198</v>
      </c>
      <c r="P629">
        <v>39</v>
      </c>
      <c r="Q629" s="8">
        <f t="shared" si="134"/>
        <v>39</v>
      </c>
      <c r="R629" s="8">
        <v>129</v>
      </c>
      <c r="S629" s="8">
        <f t="shared" si="135"/>
        <v>129</v>
      </c>
      <c r="T629" s="8">
        <f>(Table1[[#This Row],[Total Cholesterol (mg/dL)]]+Table1[[#This Row],[HDL (mg/dL)2]]+Table1[[#This Row],[Estimated LDL (mg/dL)2]])*5</f>
        <v>1830</v>
      </c>
      <c r="U629" s="8">
        <f>IF(O629="",Table1[[#This Row],[Estimated LDL (mg/dL)2]]+Table1[[#This Row],[HDL (mg/dL)2]]+(Table1[[#This Row],[Triglycerides]]/5),O629)</f>
        <v>198</v>
      </c>
      <c r="V629">
        <v>148</v>
      </c>
      <c r="W629" s="8">
        <f t="shared" si="136"/>
        <v>148</v>
      </c>
      <c r="X629" t="str">
        <f t="shared" si="137"/>
        <v>Diabetes</v>
      </c>
      <c r="Y629" t="s">
        <v>23</v>
      </c>
      <c r="Z629" t="s">
        <v>23</v>
      </c>
      <c r="AA629" t="s">
        <v>28</v>
      </c>
      <c r="AB629" s="3" t="s">
        <v>578</v>
      </c>
      <c r="AC629">
        <v>124</v>
      </c>
      <c r="AD629" s="3" t="str">
        <f t="shared" si="138"/>
        <v>124</v>
      </c>
      <c r="AF629" s="3" t="str">
        <f t="shared" si="139"/>
        <v>65</v>
      </c>
      <c r="AG629" t="s">
        <v>25</v>
      </c>
      <c r="AH629" s="3">
        <v>20.82</v>
      </c>
      <c r="AI629" s="3">
        <f t="shared" si="140"/>
        <v>20.82</v>
      </c>
      <c r="AJ629" t="s">
        <v>30</v>
      </c>
      <c r="AK629" t="str">
        <f>PROPER(Table1[[#This Row],[CVD Risk Level]])</f>
        <v>High</v>
      </c>
    </row>
    <row r="630" spans="1:37" x14ac:dyDescent="0.3">
      <c r="A630" t="s">
        <v>31</v>
      </c>
      <c r="B630">
        <v>50</v>
      </c>
      <c r="C630" s="8">
        <f t="shared" si="129"/>
        <v>50</v>
      </c>
      <c r="D630" s="5">
        <v>119.1</v>
      </c>
      <c r="E630" s="8">
        <f t="shared" si="130"/>
        <v>119.1</v>
      </c>
      <c r="F630">
        <v>1.66</v>
      </c>
      <c r="G630" s="3">
        <f t="shared" si="131"/>
        <v>1.66</v>
      </c>
      <c r="H630">
        <v>43.2</v>
      </c>
      <c r="I630" s="5">
        <f t="shared" si="127"/>
        <v>43.2</v>
      </c>
      <c r="J630" s="16" t="str">
        <f t="shared" si="132"/>
        <v>Obese</v>
      </c>
      <c r="L630">
        <v>0.495</v>
      </c>
      <c r="M630" s="11">
        <f t="shared" si="128"/>
        <v>0.495</v>
      </c>
      <c r="N630" s="5">
        <f t="shared" si="133"/>
        <v>82.17</v>
      </c>
      <c r="O630">
        <v>247</v>
      </c>
      <c r="P630">
        <v>67</v>
      </c>
      <c r="Q630" s="8">
        <f t="shared" si="134"/>
        <v>67</v>
      </c>
      <c r="R630" s="8">
        <v>150</v>
      </c>
      <c r="S630" s="8">
        <f>IF(R630&lt;=0,MEDIAN($R$2:$R$1530),R630)</f>
        <v>150</v>
      </c>
      <c r="T630" s="8">
        <f>(Table1[[#This Row],[Total Cholesterol (mg/dL)]]+Table1[[#This Row],[HDL (mg/dL)2]]+Table1[[#This Row],[Estimated LDL (mg/dL)2]])*5</f>
        <v>2320</v>
      </c>
      <c r="U630" s="8">
        <f>IF(O630="",Table1[[#This Row],[Estimated LDL (mg/dL)2]]+Table1[[#This Row],[HDL (mg/dL)2]]+(Table1[[#This Row],[Triglycerides]]/5),O630)</f>
        <v>247</v>
      </c>
      <c r="V630">
        <v>100</v>
      </c>
      <c r="W630" s="8">
        <f t="shared" si="136"/>
        <v>100</v>
      </c>
      <c r="X630" t="str">
        <f t="shared" si="137"/>
        <v>Prediabetes</v>
      </c>
      <c r="Y630" t="s">
        <v>23</v>
      </c>
      <c r="Z630" t="s">
        <v>23</v>
      </c>
      <c r="AA630" t="s">
        <v>37</v>
      </c>
      <c r="AB630" s="3" t="s">
        <v>579</v>
      </c>
      <c r="AC630">
        <v>101</v>
      </c>
      <c r="AD630" s="3" t="str">
        <f t="shared" si="138"/>
        <v>101</v>
      </c>
      <c r="AE630">
        <v>65</v>
      </c>
      <c r="AF630" s="3" t="str">
        <f t="shared" si="139"/>
        <v>65</v>
      </c>
      <c r="AG630" t="s">
        <v>33</v>
      </c>
      <c r="AH630" s="3">
        <v>20.63</v>
      </c>
      <c r="AI630" s="3">
        <f t="shared" si="140"/>
        <v>20.63</v>
      </c>
      <c r="AJ630" t="s">
        <v>30</v>
      </c>
      <c r="AK630" t="str">
        <f>PROPER(Table1[[#This Row],[CVD Risk Level]])</f>
        <v>High</v>
      </c>
    </row>
    <row r="631" spans="1:37" x14ac:dyDescent="0.3">
      <c r="A631" t="s">
        <v>31</v>
      </c>
      <c r="B631">
        <v>34</v>
      </c>
      <c r="C631" s="8">
        <f t="shared" si="129"/>
        <v>34</v>
      </c>
      <c r="D631" s="5">
        <v>86</v>
      </c>
      <c r="E631" s="8">
        <f t="shared" si="130"/>
        <v>86</v>
      </c>
      <c r="F631">
        <v>1.71</v>
      </c>
      <c r="G631" s="3">
        <f t="shared" si="131"/>
        <v>1.71</v>
      </c>
      <c r="H631">
        <v>29.4</v>
      </c>
      <c r="I631" s="5">
        <f t="shared" si="127"/>
        <v>29.4</v>
      </c>
      <c r="J631" s="16" t="str">
        <f t="shared" si="132"/>
        <v>Overweight</v>
      </c>
      <c r="K631">
        <v>88.4</v>
      </c>
      <c r="M631" s="11">
        <f t="shared" si="128"/>
        <v>0.5169590643274854</v>
      </c>
      <c r="N631" s="5">
        <f t="shared" si="133"/>
        <v>88.4</v>
      </c>
      <c r="O631">
        <v>209</v>
      </c>
      <c r="P631">
        <v>38</v>
      </c>
      <c r="Q631" s="8">
        <f t="shared" si="134"/>
        <v>38</v>
      </c>
      <c r="R631" s="8">
        <v>141</v>
      </c>
      <c r="S631" s="8">
        <f t="shared" si="135"/>
        <v>141</v>
      </c>
      <c r="T631" s="8">
        <f>(Table1[[#This Row],[Total Cholesterol (mg/dL)]]+Table1[[#This Row],[HDL (mg/dL)2]]+Table1[[#This Row],[Estimated LDL (mg/dL)2]])*5</f>
        <v>1940</v>
      </c>
      <c r="U631" s="8">
        <f>IF(O631="",Table1[[#This Row],[Estimated LDL (mg/dL)2]]+Table1[[#This Row],[HDL (mg/dL)2]]+(Table1[[#This Row],[Triglycerides]]/5),O631)</f>
        <v>209</v>
      </c>
      <c r="V631">
        <v>148</v>
      </c>
      <c r="W631" s="8">
        <f t="shared" si="136"/>
        <v>148</v>
      </c>
      <c r="X631" t="str">
        <f t="shared" si="137"/>
        <v>Diabetes</v>
      </c>
      <c r="Y631" t="s">
        <v>22</v>
      </c>
      <c r="Z631" t="s">
        <v>22</v>
      </c>
      <c r="AA631" t="s">
        <v>37</v>
      </c>
      <c r="AB631" s="3" t="s">
        <v>580</v>
      </c>
      <c r="AC631">
        <v>115</v>
      </c>
      <c r="AD631" s="3" t="str">
        <f t="shared" si="138"/>
        <v>115</v>
      </c>
      <c r="AE631">
        <v>90</v>
      </c>
      <c r="AF631" s="3" t="str">
        <f t="shared" si="139"/>
        <v>90</v>
      </c>
      <c r="AG631" t="s">
        <v>38</v>
      </c>
      <c r="AH631" s="3">
        <v>15.81</v>
      </c>
      <c r="AI631" s="3">
        <f t="shared" si="140"/>
        <v>15.81</v>
      </c>
      <c r="AJ631" t="s">
        <v>30</v>
      </c>
      <c r="AK631" t="str">
        <f>PROPER(Table1[[#This Row],[CVD Risk Level]])</f>
        <v>High</v>
      </c>
    </row>
    <row r="632" spans="1:37" x14ac:dyDescent="0.3">
      <c r="A632" t="s">
        <v>31</v>
      </c>
      <c r="B632">
        <v>37</v>
      </c>
      <c r="C632" s="8">
        <f t="shared" si="129"/>
        <v>37</v>
      </c>
      <c r="D632" s="5">
        <v>78.099999999999994</v>
      </c>
      <c r="E632" s="8">
        <f t="shared" si="130"/>
        <v>78.099999999999994</v>
      </c>
      <c r="F632">
        <v>1.85</v>
      </c>
      <c r="G632" s="3">
        <f t="shared" si="131"/>
        <v>1.85</v>
      </c>
      <c r="H632">
        <v>22.8</v>
      </c>
      <c r="I632" s="5">
        <f t="shared" si="127"/>
        <v>22.8</v>
      </c>
      <c r="J632" s="16" t="str">
        <f t="shared" si="132"/>
        <v>Normal</v>
      </c>
      <c r="K632">
        <v>74.2</v>
      </c>
      <c r="L632">
        <v>0.40100000000000002</v>
      </c>
      <c r="M632" s="11">
        <f t="shared" si="128"/>
        <v>0.40100000000000002</v>
      </c>
      <c r="N632" s="5">
        <f t="shared" si="133"/>
        <v>74.2</v>
      </c>
      <c r="O632">
        <v>118</v>
      </c>
      <c r="P632">
        <v>70</v>
      </c>
      <c r="Q632" s="8">
        <f t="shared" si="134"/>
        <v>70</v>
      </c>
      <c r="R632" s="8">
        <v>18</v>
      </c>
      <c r="S632" s="8">
        <f t="shared" si="135"/>
        <v>18</v>
      </c>
      <c r="T632" s="8">
        <f>(Table1[[#This Row],[Total Cholesterol (mg/dL)]]+Table1[[#This Row],[HDL (mg/dL)2]]+Table1[[#This Row],[Estimated LDL (mg/dL)2]])*5</f>
        <v>1030</v>
      </c>
      <c r="U632" s="8">
        <f>IF(O632="",Table1[[#This Row],[Estimated LDL (mg/dL)2]]+Table1[[#This Row],[HDL (mg/dL)2]]+(Table1[[#This Row],[Triglycerides]]/5),O632)</f>
        <v>118</v>
      </c>
      <c r="V632">
        <v>72</v>
      </c>
      <c r="W632" s="8">
        <f t="shared" si="136"/>
        <v>72</v>
      </c>
      <c r="X632" t="str">
        <f t="shared" si="137"/>
        <v>Normal</v>
      </c>
      <c r="Y632" t="s">
        <v>22</v>
      </c>
      <c r="Z632" t="s">
        <v>23</v>
      </c>
      <c r="AA632" t="s">
        <v>37</v>
      </c>
      <c r="AB632" s="3" t="s">
        <v>156</v>
      </c>
      <c r="AC632">
        <v>100</v>
      </c>
      <c r="AD632" s="3" t="str">
        <f t="shared" si="138"/>
        <v>100</v>
      </c>
      <c r="AE632">
        <v>76</v>
      </c>
      <c r="AF632" s="3" t="str">
        <f t="shared" si="139"/>
        <v>76</v>
      </c>
      <c r="AG632" t="s">
        <v>33</v>
      </c>
      <c r="AH632" s="3">
        <v>13.92</v>
      </c>
      <c r="AI632" s="3">
        <f t="shared" si="140"/>
        <v>13.92</v>
      </c>
      <c r="AJ632" t="s">
        <v>52</v>
      </c>
      <c r="AK632" t="str">
        <f>PROPER(Table1[[#This Row],[CVD Risk Level]])</f>
        <v>Low</v>
      </c>
    </row>
    <row r="633" spans="1:37" x14ac:dyDescent="0.3">
      <c r="A633" t="s">
        <v>31</v>
      </c>
      <c r="B633">
        <v>45</v>
      </c>
      <c r="C633" s="8">
        <f t="shared" si="129"/>
        <v>45</v>
      </c>
      <c r="E633" s="8">
        <f t="shared" si="130"/>
        <v>107.38991999999998</v>
      </c>
      <c r="F633">
        <v>1.72</v>
      </c>
      <c r="G633" s="3">
        <f t="shared" si="131"/>
        <v>1.72</v>
      </c>
      <c r="H633">
        <v>36.299999999999997</v>
      </c>
      <c r="I633" s="5">
        <f t="shared" si="127"/>
        <v>36.299999999999997</v>
      </c>
      <c r="J633" s="16" t="str">
        <f t="shared" si="132"/>
        <v>Obese</v>
      </c>
      <c r="L633">
        <v>0.54800000000000004</v>
      </c>
      <c r="M633" s="11">
        <f t="shared" si="128"/>
        <v>0.54800000000000004</v>
      </c>
      <c r="N633" s="5">
        <f t="shared" si="133"/>
        <v>94.256</v>
      </c>
      <c r="O633">
        <v>104</v>
      </c>
      <c r="P633">
        <v>33</v>
      </c>
      <c r="Q633" s="8">
        <f t="shared" si="134"/>
        <v>33</v>
      </c>
      <c r="R633" s="8">
        <v>41</v>
      </c>
      <c r="S633" s="8">
        <f t="shared" si="135"/>
        <v>41</v>
      </c>
      <c r="T633" s="8">
        <f>(Table1[[#This Row],[Total Cholesterol (mg/dL)]]+Table1[[#This Row],[HDL (mg/dL)2]]+Table1[[#This Row],[Estimated LDL (mg/dL)2]])*5</f>
        <v>890</v>
      </c>
      <c r="U633" s="8">
        <f>IF(O633="",Table1[[#This Row],[Estimated LDL (mg/dL)2]]+Table1[[#This Row],[HDL (mg/dL)2]]+(Table1[[#This Row],[Triglycerides]]/5),O633)</f>
        <v>104</v>
      </c>
      <c r="V633">
        <v>126</v>
      </c>
      <c r="W633" s="8">
        <f t="shared" si="136"/>
        <v>126</v>
      </c>
      <c r="X633" t="str">
        <f t="shared" si="137"/>
        <v>Diabetes</v>
      </c>
      <c r="Y633" t="s">
        <v>22</v>
      </c>
      <c r="Z633" t="s">
        <v>22</v>
      </c>
      <c r="AA633" t="s">
        <v>24</v>
      </c>
      <c r="AB633" s="3" t="s">
        <v>459</v>
      </c>
      <c r="AC633">
        <v>113</v>
      </c>
      <c r="AD633" s="3" t="str">
        <f t="shared" si="138"/>
        <v>113</v>
      </c>
      <c r="AE633">
        <v>79</v>
      </c>
      <c r="AF633" s="3" t="str">
        <f t="shared" si="139"/>
        <v>79</v>
      </c>
      <c r="AG633" t="s">
        <v>33</v>
      </c>
      <c r="AH633" s="3">
        <v>14.99</v>
      </c>
      <c r="AI633" s="3">
        <f t="shared" si="140"/>
        <v>14.99</v>
      </c>
      <c r="AJ633" t="s">
        <v>26</v>
      </c>
      <c r="AK633" t="str">
        <f>PROPER(Table1[[#This Row],[CVD Risk Level]])</f>
        <v>Intermediary</v>
      </c>
    </row>
    <row r="634" spans="1:37" x14ac:dyDescent="0.3">
      <c r="A634" t="s">
        <v>20</v>
      </c>
      <c r="B634">
        <v>42</v>
      </c>
      <c r="C634" s="8">
        <f t="shared" si="129"/>
        <v>42</v>
      </c>
      <c r="D634" s="5">
        <v>70.2</v>
      </c>
      <c r="E634" s="8">
        <f t="shared" si="130"/>
        <v>70.2</v>
      </c>
      <c r="F634">
        <v>1.8</v>
      </c>
      <c r="G634" s="3">
        <f t="shared" si="131"/>
        <v>1.8</v>
      </c>
      <c r="I634" s="5">
        <f t="shared" si="127"/>
        <v>21.666666666666668</v>
      </c>
      <c r="J634" s="16" t="str">
        <f t="shared" si="132"/>
        <v>Normal</v>
      </c>
      <c r="K634">
        <v>93.4</v>
      </c>
      <c r="L634">
        <v>0.51900000000000002</v>
      </c>
      <c r="M634" s="11">
        <f t="shared" si="128"/>
        <v>0.51900000000000002</v>
      </c>
      <c r="N634" s="5">
        <f t="shared" si="133"/>
        <v>93.4</v>
      </c>
      <c r="O634">
        <v>208</v>
      </c>
      <c r="P634">
        <v>32</v>
      </c>
      <c r="Q634" s="8">
        <f t="shared" si="134"/>
        <v>32</v>
      </c>
      <c r="S634" s="8">
        <f t="shared" si="135"/>
        <v>109</v>
      </c>
      <c r="T634" s="8">
        <f>(Table1[[#This Row],[Total Cholesterol (mg/dL)]]+Table1[[#This Row],[HDL (mg/dL)2]]+Table1[[#This Row],[Estimated LDL (mg/dL)2]])*5</f>
        <v>1745</v>
      </c>
      <c r="U634" s="8">
        <f>IF(O634="",Table1[[#This Row],[Estimated LDL (mg/dL)2]]+Table1[[#This Row],[HDL (mg/dL)2]]+(Table1[[#This Row],[Triglycerides]]/5),O634)</f>
        <v>208</v>
      </c>
      <c r="V634">
        <v>148</v>
      </c>
      <c r="W634" s="8">
        <f t="shared" si="136"/>
        <v>148</v>
      </c>
      <c r="X634" t="str">
        <f t="shared" si="137"/>
        <v>Diabetes</v>
      </c>
      <c r="Y634" t="s">
        <v>23</v>
      </c>
      <c r="Z634" t="s">
        <v>22</v>
      </c>
      <c r="AA634" t="s">
        <v>24</v>
      </c>
      <c r="AB634" s="3" t="s">
        <v>581</v>
      </c>
      <c r="AC634">
        <v>134</v>
      </c>
      <c r="AD634" s="3" t="str">
        <f t="shared" si="138"/>
        <v>134</v>
      </c>
      <c r="AE634">
        <v>85</v>
      </c>
      <c r="AF634" s="3" t="str">
        <f t="shared" si="139"/>
        <v>85</v>
      </c>
      <c r="AG634" t="s">
        <v>29</v>
      </c>
      <c r="AH634" s="3">
        <v>15.2</v>
      </c>
      <c r="AI634" s="3">
        <f t="shared" si="140"/>
        <v>15.2</v>
      </c>
      <c r="AJ634" t="s">
        <v>30</v>
      </c>
      <c r="AK634" t="str">
        <f>PROPER(Table1[[#This Row],[CVD Risk Level]])</f>
        <v>High</v>
      </c>
    </row>
    <row r="635" spans="1:37" x14ac:dyDescent="0.3">
      <c r="A635" t="s">
        <v>20</v>
      </c>
      <c r="B635">
        <v>37</v>
      </c>
      <c r="C635" s="8">
        <f t="shared" si="129"/>
        <v>37</v>
      </c>
      <c r="D635" s="5">
        <v>83.2</v>
      </c>
      <c r="E635" s="8">
        <f t="shared" si="130"/>
        <v>83.2</v>
      </c>
      <c r="F635">
        <v>1.71</v>
      </c>
      <c r="G635" s="3">
        <f t="shared" si="131"/>
        <v>1.71</v>
      </c>
      <c r="H635">
        <v>28.5</v>
      </c>
      <c r="I635" s="5">
        <f t="shared" si="127"/>
        <v>28.5</v>
      </c>
      <c r="J635" s="16" t="str">
        <f t="shared" si="132"/>
        <v>Overweight</v>
      </c>
      <c r="K635">
        <v>94.4</v>
      </c>
      <c r="L635">
        <v>0.55200000000000005</v>
      </c>
      <c r="M635" s="11">
        <f t="shared" si="128"/>
        <v>0.55200000000000005</v>
      </c>
      <c r="N635" s="5">
        <f t="shared" si="133"/>
        <v>94.4</v>
      </c>
      <c r="O635">
        <v>223</v>
      </c>
      <c r="P635">
        <v>48</v>
      </c>
      <c r="Q635" s="8">
        <f t="shared" si="134"/>
        <v>48</v>
      </c>
      <c r="R635" s="8">
        <v>145</v>
      </c>
      <c r="S635" s="8">
        <f t="shared" si="135"/>
        <v>145</v>
      </c>
      <c r="T635" s="8">
        <f>(Table1[[#This Row],[Total Cholesterol (mg/dL)]]+Table1[[#This Row],[HDL (mg/dL)2]]+Table1[[#This Row],[Estimated LDL (mg/dL)2]])*5</f>
        <v>2080</v>
      </c>
      <c r="U635" s="8">
        <f>IF(O635="",Table1[[#This Row],[Estimated LDL (mg/dL)2]]+Table1[[#This Row],[HDL (mg/dL)2]]+(Table1[[#This Row],[Triglycerides]]/5),O635)</f>
        <v>223</v>
      </c>
      <c r="V635">
        <v>70</v>
      </c>
      <c r="W635" s="8">
        <f t="shared" si="136"/>
        <v>70</v>
      </c>
      <c r="X635" t="str">
        <f t="shared" si="137"/>
        <v>Normal</v>
      </c>
      <c r="Y635" t="s">
        <v>23</v>
      </c>
      <c r="Z635" t="s">
        <v>23</v>
      </c>
      <c r="AA635" t="s">
        <v>24</v>
      </c>
      <c r="AB635" s="3" t="s">
        <v>582</v>
      </c>
      <c r="AC635">
        <v>106</v>
      </c>
      <c r="AD635" s="3" t="str">
        <f t="shared" si="138"/>
        <v>106</v>
      </c>
      <c r="AE635">
        <v>94</v>
      </c>
      <c r="AF635" s="3" t="str">
        <f t="shared" si="139"/>
        <v>94</v>
      </c>
      <c r="AG635" t="s">
        <v>38</v>
      </c>
      <c r="AH635" s="3">
        <v>17.46</v>
      </c>
      <c r="AI635" s="3">
        <f t="shared" si="140"/>
        <v>17.46</v>
      </c>
      <c r="AJ635" t="s">
        <v>30</v>
      </c>
      <c r="AK635" t="str">
        <f>PROPER(Table1[[#This Row],[CVD Risk Level]])</f>
        <v>High</v>
      </c>
    </row>
    <row r="636" spans="1:37" x14ac:dyDescent="0.3">
      <c r="A636" t="s">
        <v>20</v>
      </c>
      <c r="B636">
        <v>36</v>
      </c>
      <c r="C636" s="8">
        <f t="shared" si="129"/>
        <v>36</v>
      </c>
      <c r="D636" s="5">
        <v>58.4</v>
      </c>
      <c r="E636" s="8">
        <f t="shared" si="130"/>
        <v>58.4</v>
      </c>
      <c r="F636">
        <v>1.87</v>
      </c>
      <c r="G636" s="3">
        <f t="shared" si="131"/>
        <v>1.87</v>
      </c>
      <c r="H636">
        <v>16.7</v>
      </c>
      <c r="I636" s="5">
        <f t="shared" si="127"/>
        <v>16.7</v>
      </c>
      <c r="J636" s="16" t="str">
        <f t="shared" si="132"/>
        <v>Underweight</v>
      </c>
      <c r="K636">
        <v>71.2</v>
      </c>
      <c r="L636">
        <v>0.38100000000000001</v>
      </c>
      <c r="M636" s="11">
        <f t="shared" si="128"/>
        <v>0.38100000000000001</v>
      </c>
      <c r="N636" s="5">
        <f t="shared" si="133"/>
        <v>71.2</v>
      </c>
      <c r="O636">
        <v>143</v>
      </c>
      <c r="Q636" s="8">
        <f t="shared" si="134"/>
        <v>56.197377501725327</v>
      </c>
      <c r="R636" s="8">
        <v>44</v>
      </c>
      <c r="S636" s="8">
        <f t="shared" si="135"/>
        <v>44</v>
      </c>
      <c r="T636" s="8">
        <f>(Table1[[#This Row],[Total Cholesterol (mg/dL)]]+Table1[[#This Row],[HDL (mg/dL)2]]+Table1[[#This Row],[Estimated LDL (mg/dL)2]])*5</f>
        <v>1215.9868875086268</v>
      </c>
      <c r="U636" s="8">
        <f>IF(O636="",Table1[[#This Row],[Estimated LDL (mg/dL)2]]+Table1[[#This Row],[HDL (mg/dL)2]]+(Table1[[#This Row],[Triglycerides]]/5),O636)</f>
        <v>143</v>
      </c>
      <c r="V636">
        <v>134</v>
      </c>
      <c r="W636" s="8">
        <f t="shared" si="136"/>
        <v>134</v>
      </c>
      <c r="X636" t="str">
        <f t="shared" si="137"/>
        <v>Diabetes</v>
      </c>
      <c r="Y636" t="s">
        <v>22</v>
      </c>
      <c r="Z636" t="s">
        <v>23</v>
      </c>
      <c r="AA636" t="s">
        <v>24</v>
      </c>
      <c r="AB636" s="3" t="s">
        <v>583</v>
      </c>
      <c r="AD636" s="3" t="str">
        <f t="shared" si="138"/>
        <v>142</v>
      </c>
      <c r="AE636">
        <v>96</v>
      </c>
      <c r="AF636" s="3" t="str">
        <f t="shared" si="139"/>
        <v>96</v>
      </c>
      <c r="AG636" t="s">
        <v>38</v>
      </c>
      <c r="AH636" s="3">
        <v>15.3</v>
      </c>
      <c r="AI636" s="3">
        <f t="shared" si="140"/>
        <v>15.3</v>
      </c>
      <c r="AJ636" t="s">
        <v>26</v>
      </c>
      <c r="AK636" t="str">
        <f>PROPER(Table1[[#This Row],[CVD Risk Level]])</f>
        <v>Intermediary</v>
      </c>
    </row>
    <row r="637" spans="1:37" x14ac:dyDescent="0.3">
      <c r="A637" t="s">
        <v>20</v>
      </c>
      <c r="B637">
        <v>52</v>
      </c>
      <c r="C637" s="8">
        <f t="shared" si="129"/>
        <v>52</v>
      </c>
      <c r="D637" s="5">
        <v>89.7</v>
      </c>
      <c r="E637" s="8">
        <f t="shared" si="130"/>
        <v>89.7</v>
      </c>
      <c r="F637">
        <v>1.88</v>
      </c>
      <c r="G637" s="3">
        <f t="shared" si="131"/>
        <v>1.88</v>
      </c>
      <c r="H637">
        <v>25.4</v>
      </c>
      <c r="I637" s="5">
        <f t="shared" si="127"/>
        <v>25.4</v>
      </c>
      <c r="J637" s="16" t="str">
        <f t="shared" si="132"/>
        <v>Overweight</v>
      </c>
      <c r="K637">
        <v>107.5</v>
      </c>
      <c r="L637">
        <v>0.57199999999999995</v>
      </c>
      <c r="M637" s="11">
        <f t="shared" si="128"/>
        <v>0.57199999999999995</v>
      </c>
      <c r="N637" s="5">
        <f t="shared" si="133"/>
        <v>107.5</v>
      </c>
      <c r="O637">
        <v>142</v>
      </c>
      <c r="Q637" s="8">
        <f t="shared" si="134"/>
        <v>56.197377501725327</v>
      </c>
      <c r="R637" s="8">
        <v>42</v>
      </c>
      <c r="S637" s="8">
        <f t="shared" si="135"/>
        <v>42</v>
      </c>
      <c r="T637" s="8">
        <f>(Table1[[#This Row],[Total Cholesterol (mg/dL)]]+Table1[[#This Row],[HDL (mg/dL)2]]+Table1[[#This Row],[Estimated LDL (mg/dL)2]])*5</f>
        <v>1200.9868875086268</v>
      </c>
      <c r="U637" s="8">
        <f>IF(O637="",Table1[[#This Row],[Estimated LDL (mg/dL)2]]+Table1[[#This Row],[HDL (mg/dL)2]]+(Table1[[#This Row],[Triglycerides]]/5),O637)</f>
        <v>142</v>
      </c>
      <c r="V637">
        <v>96</v>
      </c>
      <c r="W637" s="8">
        <f t="shared" si="136"/>
        <v>96</v>
      </c>
      <c r="X637" t="str">
        <f t="shared" si="137"/>
        <v>Normal</v>
      </c>
      <c r="Y637" t="s">
        <v>23</v>
      </c>
      <c r="Z637" t="s">
        <v>23</v>
      </c>
      <c r="AA637" t="s">
        <v>24</v>
      </c>
      <c r="AB637" s="3" t="s">
        <v>584</v>
      </c>
      <c r="AC637">
        <v>145</v>
      </c>
      <c r="AD637" s="3" t="str">
        <f t="shared" si="138"/>
        <v>145</v>
      </c>
      <c r="AE637">
        <v>92</v>
      </c>
      <c r="AF637" s="3" t="str">
        <f t="shared" si="139"/>
        <v>92</v>
      </c>
      <c r="AG637" t="s">
        <v>38</v>
      </c>
      <c r="AH637" s="3">
        <v>17.170000000000002</v>
      </c>
      <c r="AI637" s="3">
        <f t="shared" si="140"/>
        <v>17.170000000000002</v>
      </c>
      <c r="AJ637" t="s">
        <v>30</v>
      </c>
      <c r="AK637" t="str">
        <f>PROPER(Table1[[#This Row],[CVD Risk Level]])</f>
        <v>High</v>
      </c>
    </row>
    <row r="638" spans="1:37" x14ac:dyDescent="0.3">
      <c r="A638" t="s">
        <v>20</v>
      </c>
      <c r="B638">
        <v>38</v>
      </c>
      <c r="C638" s="8">
        <f t="shared" si="129"/>
        <v>38</v>
      </c>
      <c r="D638" s="5">
        <v>112.4</v>
      </c>
      <c r="E638" s="8">
        <f t="shared" si="130"/>
        <v>112.4</v>
      </c>
      <c r="F638">
        <v>1.69</v>
      </c>
      <c r="G638" s="3">
        <f t="shared" si="131"/>
        <v>1.69</v>
      </c>
      <c r="H638">
        <v>39.4</v>
      </c>
      <c r="I638" s="5">
        <f t="shared" si="127"/>
        <v>39.4</v>
      </c>
      <c r="J638" s="16" t="str">
        <f t="shared" si="132"/>
        <v>Obese</v>
      </c>
      <c r="K638">
        <v>101.2</v>
      </c>
      <c r="L638">
        <v>0.59899999999999998</v>
      </c>
      <c r="M638" s="11">
        <f t="shared" si="128"/>
        <v>0.59899999999999998</v>
      </c>
      <c r="N638" s="5">
        <f t="shared" si="133"/>
        <v>101.2</v>
      </c>
      <c r="O638">
        <v>209</v>
      </c>
      <c r="P638">
        <v>40</v>
      </c>
      <c r="Q638" s="8">
        <f t="shared" si="134"/>
        <v>40</v>
      </c>
      <c r="R638" s="8">
        <v>139</v>
      </c>
      <c r="S638" s="8">
        <f t="shared" si="135"/>
        <v>139</v>
      </c>
      <c r="T638" s="8">
        <f>(Table1[[#This Row],[Total Cholesterol (mg/dL)]]+Table1[[#This Row],[HDL (mg/dL)2]]+Table1[[#This Row],[Estimated LDL (mg/dL)2]])*5</f>
        <v>1940</v>
      </c>
      <c r="U638" s="8">
        <f>IF(O638="",Table1[[#This Row],[Estimated LDL (mg/dL)2]]+Table1[[#This Row],[HDL (mg/dL)2]]+(Table1[[#This Row],[Triglycerides]]/5),O638)</f>
        <v>209</v>
      </c>
      <c r="V638">
        <v>98</v>
      </c>
      <c r="W638" s="8">
        <f t="shared" si="136"/>
        <v>98</v>
      </c>
      <c r="X638" t="str">
        <f t="shared" si="137"/>
        <v>Normal</v>
      </c>
      <c r="Y638" t="s">
        <v>22</v>
      </c>
      <c r="Z638" t="s">
        <v>22</v>
      </c>
      <c r="AA638" t="s">
        <v>28</v>
      </c>
      <c r="AB638" s="3" t="s">
        <v>585</v>
      </c>
      <c r="AC638">
        <v>139</v>
      </c>
      <c r="AD638" s="3" t="str">
        <f t="shared" si="138"/>
        <v>139</v>
      </c>
      <c r="AE638">
        <v>77</v>
      </c>
      <c r="AF638" s="3" t="str">
        <f t="shared" si="139"/>
        <v>77</v>
      </c>
      <c r="AG638" t="s">
        <v>29</v>
      </c>
      <c r="AH638" s="3">
        <v>19.010000000000002</v>
      </c>
      <c r="AI638" s="3">
        <f t="shared" si="140"/>
        <v>19.010000000000002</v>
      </c>
      <c r="AJ638" t="s">
        <v>26</v>
      </c>
      <c r="AK638" t="str">
        <f>PROPER(Table1[[#This Row],[CVD Risk Level]])</f>
        <v>Intermediary</v>
      </c>
    </row>
    <row r="639" spans="1:37" x14ac:dyDescent="0.3">
      <c r="A639" t="s">
        <v>31</v>
      </c>
      <c r="B639">
        <v>50</v>
      </c>
      <c r="C639" s="8">
        <f t="shared" si="129"/>
        <v>50</v>
      </c>
      <c r="D639" s="5">
        <v>56.5</v>
      </c>
      <c r="E639" s="8">
        <f t="shared" si="130"/>
        <v>56.5</v>
      </c>
      <c r="F639">
        <v>1.83</v>
      </c>
      <c r="G639" s="3">
        <f t="shared" si="131"/>
        <v>1.83</v>
      </c>
      <c r="H639">
        <v>16.899999999999999</v>
      </c>
      <c r="I639" s="5">
        <f t="shared" si="127"/>
        <v>16.899999999999999</v>
      </c>
      <c r="J639" s="16" t="str">
        <f t="shared" si="132"/>
        <v>Underweight</v>
      </c>
      <c r="K639">
        <v>86.9</v>
      </c>
      <c r="L639">
        <v>0.47499999999999998</v>
      </c>
      <c r="M639" s="11">
        <f t="shared" si="128"/>
        <v>0.47499999999999998</v>
      </c>
      <c r="N639" s="5">
        <f t="shared" si="133"/>
        <v>86.9</v>
      </c>
      <c r="O639">
        <v>262</v>
      </c>
      <c r="P639">
        <v>35</v>
      </c>
      <c r="Q639" s="8">
        <f t="shared" si="134"/>
        <v>35</v>
      </c>
      <c r="R639" s="8">
        <v>197</v>
      </c>
      <c r="S639" s="8">
        <f t="shared" si="135"/>
        <v>197</v>
      </c>
      <c r="T639" s="8">
        <f>(Table1[[#This Row],[Total Cholesterol (mg/dL)]]+Table1[[#This Row],[HDL (mg/dL)2]]+Table1[[#This Row],[Estimated LDL (mg/dL)2]])*5</f>
        <v>2470</v>
      </c>
      <c r="U639" s="8">
        <f>IF(O639="",Table1[[#This Row],[Estimated LDL (mg/dL)2]]+Table1[[#This Row],[HDL (mg/dL)2]]+(Table1[[#This Row],[Triglycerides]]/5),O639)</f>
        <v>262</v>
      </c>
      <c r="W639" s="8">
        <f t="shared" si="136"/>
        <v>117.48563611491107</v>
      </c>
      <c r="X639" t="str">
        <f t="shared" si="137"/>
        <v>Prediabetes</v>
      </c>
      <c r="Y639" t="s">
        <v>22</v>
      </c>
      <c r="Z639" t="s">
        <v>23</v>
      </c>
      <c r="AA639" t="s">
        <v>37</v>
      </c>
      <c r="AB639" s="3" t="s">
        <v>586</v>
      </c>
      <c r="AC639">
        <v>118</v>
      </c>
      <c r="AD639" s="3" t="str">
        <f t="shared" si="138"/>
        <v>118</v>
      </c>
      <c r="AE639">
        <v>95</v>
      </c>
      <c r="AF639" s="3" t="str">
        <f t="shared" si="139"/>
        <v>95</v>
      </c>
      <c r="AG639" t="s">
        <v>38</v>
      </c>
      <c r="AH639" s="3">
        <v>16.52</v>
      </c>
      <c r="AI639" s="3">
        <f t="shared" si="140"/>
        <v>16.52</v>
      </c>
      <c r="AJ639" t="s">
        <v>30</v>
      </c>
      <c r="AK639" t="str">
        <f>PROPER(Table1[[#This Row],[CVD Risk Level]])</f>
        <v>High</v>
      </c>
    </row>
    <row r="640" spans="1:37" x14ac:dyDescent="0.3">
      <c r="A640" t="s">
        <v>20</v>
      </c>
      <c r="B640">
        <v>42</v>
      </c>
      <c r="C640" s="8">
        <f t="shared" si="129"/>
        <v>42</v>
      </c>
      <c r="D640" s="5">
        <v>94.5</v>
      </c>
      <c r="E640" s="8">
        <f t="shared" si="130"/>
        <v>94.5</v>
      </c>
      <c r="F640">
        <v>1.64</v>
      </c>
      <c r="G640" s="3">
        <f t="shared" si="131"/>
        <v>1.64</v>
      </c>
      <c r="H640">
        <v>35.1</v>
      </c>
      <c r="I640" s="5">
        <f t="shared" si="127"/>
        <v>35.1</v>
      </c>
      <c r="J640" s="16" t="str">
        <f t="shared" si="132"/>
        <v>Obese</v>
      </c>
      <c r="K640">
        <v>77.099999999999994</v>
      </c>
      <c r="L640">
        <v>0.47</v>
      </c>
      <c r="M640" s="11">
        <f t="shared" si="128"/>
        <v>0.47</v>
      </c>
      <c r="N640" s="5">
        <f t="shared" si="133"/>
        <v>77.099999999999994</v>
      </c>
      <c r="O640">
        <v>104</v>
      </c>
      <c r="P640">
        <v>36</v>
      </c>
      <c r="Q640" s="8">
        <f t="shared" si="134"/>
        <v>36</v>
      </c>
      <c r="R640" s="8">
        <v>38</v>
      </c>
      <c r="S640" s="8">
        <f t="shared" si="135"/>
        <v>38</v>
      </c>
      <c r="T640" s="8">
        <f>(Table1[[#This Row],[Total Cholesterol (mg/dL)]]+Table1[[#This Row],[HDL (mg/dL)2]]+Table1[[#This Row],[Estimated LDL (mg/dL)2]])*5</f>
        <v>890</v>
      </c>
      <c r="U640" s="8">
        <f>IF(O640="",Table1[[#This Row],[Estimated LDL (mg/dL)2]]+Table1[[#This Row],[HDL (mg/dL)2]]+(Table1[[#This Row],[Triglycerides]]/5),O640)</f>
        <v>104</v>
      </c>
      <c r="V640">
        <v>144</v>
      </c>
      <c r="W640" s="8">
        <f t="shared" si="136"/>
        <v>144</v>
      </c>
      <c r="X640" t="str">
        <f t="shared" si="137"/>
        <v>Diabetes</v>
      </c>
      <c r="Y640" t="s">
        <v>23</v>
      </c>
      <c r="Z640" t="s">
        <v>23</v>
      </c>
      <c r="AA640" t="s">
        <v>28</v>
      </c>
      <c r="AB640" s="3" t="s">
        <v>587</v>
      </c>
      <c r="AC640">
        <v>119</v>
      </c>
      <c r="AD640" s="3" t="str">
        <f t="shared" si="138"/>
        <v>119</v>
      </c>
      <c r="AE640">
        <v>95</v>
      </c>
      <c r="AF640" s="3" t="str">
        <f t="shared" si="139"/>
        <v>95</v>
      </c>
      <c r="AG640" t="s">
        <v>38</v>
      </c>
      <c r="AH640" s="3">
        <v>17.05</v>
      </c>
      <c r="AI640" s="3">
        <f t="shared" si="140"/>
        <v>17.05</v>
      </c>
      <c r="AJ640" t="s">
        <v>30</v>
      </c>
      <c r="AK640" t="str">
        <f>PROPER(Table1[[#This Row],[CVD Risk Level]])</f>
        <v>High</v>
      </c>
    </row>
    <row r="641" spans="1:37" x14ac:dyDescent="0.3">
      <c r="A641" t="s">
        <v>31</v>
      </c>
      <c r="B641">
        <v>33</v>
      </c>
      <c r="C641" s="8">
        <f t="shared" si="129"/>
        <v>33</v>
      </c>
      <c r="D641" s="5">
        <v>86.2</v>
      </c>
      <c r="E641" s="8">
        <f t="shared" si="130"/>
        <v>86.2</v>
      </c>
      <c r="F641">
        <v>1.86</v>
      </c>
      <c r="G641" s="3">
        <f t="shared" si="131"/>
        <v>1.86</v>
      </c>
      <c r="H641">
        <v>24.9</v>
      </c>
      <c r="I641" s="5">
        <f t="shared" si="127"/>
        <v>24.9</v>
      </c>
      <c r="J641" s="16" t="str">
        <f t="shared" si="132"/>
        <v>Normal</v>
      </c>
      <c r="K641">
        <v>88</v>
      </c>
      <c r="L641">
        <v>0.47299999999999998</v>
      </c>
      <c r="M641" s="11">
        <f t="shared" si="128"/>
        <v>0.47299999999999998</v>
      </c>
      <c r="N641" s="5">
        <f t="shared" si="133"/>
        <v>88</v>
      </c>
      <c r="O641">
        <v>219</v>
      </c>
      <c r="P641">
        <v>65</v>
      </c>
      <c r="Q641" s="8">
        <f t="shared" si="134"/>
        <v>65</v>
      </c>
      <c r="R641" s="8">
        <v>124</v>
      </c>
      <c r="S641" s="8">
        <f t="shared" si="135"/>
        <v>124</v>
      </c>
      <c r="T641" s="8">
        <f>(Table1[[#This Row],[Total Cholesterol (mg/dL)]]+Table1[[#This Row],[HDL (mg/dL)2]]+Table1[[#This Row],[Estimated LDL (mg/dL)2]])*5</f>
        <v>2040</v>
      </c>
      <c r="U641" s="8">
        <f>IF(O641="",Table1[[#This Row],[Estimated LDL (mg/dL)2]]+Table1[[#This Row],[HDL (mg/dL)2]]+(Table1[[#This Row],[Triglycerides]]/5),O641)</f>
        <v>219</v>
      </c>
      <c r="V641">
        <v>104</v>
      </c>
      <c r="W641" s="8">
        <f t="shared" si="136"/>
        <v>104</v>
      </c>
      <c r="X641" t="str">
        <f t="shared" si="137"/>
        <v>Prediabetes</v>
      </c>
      <c r="Y641" t="s">
        <v>23</v>
      </c>
      <c r="Z641" t="s">
        <v>22</v>
      </c>
      <c r="AA641" t="s">
        <v>24</v>
      </c>
      <c r="AB641" s="3" t="s">
        <v>588</v>
      </c>
      <c r="AC641">
        <v>139</v>
      </c>
      <c r="AD641" s="3" t="str">
        <f t="shared" si="138"/>
        <v>139</v>
      </c>
      <c r="AE641">
        <v>98</v>
      </c>
      <c r="AF641" s="3" t="str">
        <f t="shared" si="139"/>
        <v>98</v>
      </c>
      <c r="AG641" t="s">
        <v>29</v>
      </c>
      <c r="AH641" s="3">
        <v>16.309999999999999</v>
      </c>
      <c r="AI641" s="3">
        <f t="shared" si="140"/>
        <v>16.309999999999999</v>
      </c>
      <c r="AJ641" t="s">
        <v>26</v>
      </c>
      <c r="AK641" t="str">
        <f>PROPER(Table1[[#This Row],[CVD Risk Level]])</f>
        <v>Intermediary</v>
      </c>
    </row>
    <row r="642" spans="1:37" x14ac:dyDescent="0.3">
      <c r="A642" t="s">
        <v>31</v>
      </c>
      <c r="B642">
        <v>33</v>
      </c>
      <c r="C642" s="8">
        <f t="shared" si="129"/>
        <v>33</v>
      </c>
      <c r="D642" s="5">
        <v>114</v>
      </c>
      <c r="E642" s="8">
        <f t="shared" si="130"/>
        <v>114</v>
      </c>
      <c r="F642">
        <v>1.75</v>
      </c>
      <c r="G642" s="3">
        <f t="shared" si="131"/>
        <v>1.75</v>
      </c>
      <c r="H642">
        <v>37.200000000000003</v>
      </c>
      <c r="I642" s="5">
        <f t="shared" ref="I642:I705" si="141" xml:space="preserve"> IF(H642="",E642 / (G642^2),H642)</f>
        <v>37.200000000000003</v>
      </c>
      <c r="J642" s="16" t="str">
        <f t="shared" si="132"/>
        <v>Obese</v>
      </c>
      <c r="K642">
        <v>76.7</v>
      </c>
      <c r="L642">
        <v>0.438</v>
      </c>
      <c r="M642" s="11">
        <f t="shared" ref="M642:M705" si="142">IF(L642="",K642/(G642*100),L642)</f>
        <v>0.438</v>
      </c>
      <c r="N642" s="5">
        <f t="shared" si="133"/>
        <v>76.7</v>
      </c>
      <c r="O642">
        <v>197</v>
      </c>
      <c r="P642">
        <v>77</v>
      </c>
      <c r="Q642" s="8">
        <f t="shared" si="134"/>
        <v>77</v>
      </c>
      <c r="R642" s="8">
        <v>90</v>
      </c>
      <c r="S642" s="8">
        <f t="shared" si="135"/>
        <v>90</v>
      </c>
      <c r="T642" s="8">
        <f>(Table1[[#This Row],[Total Cholesterol (mg/dL)]]+Table1[[#This Row],[HDL (mg/dL)2]]+Table1[[#This Row],[Estimated LDL (mg/dL)2]])*5</f>
        <v>1820</v>
      </c>
      <c r="U642" s="8">
        <f>IF(O642="",Table1[[#This Row],[Estimated LDL (mg/dL)2]]+Table1[[#This Row],[HDL (mg/dL)2]]+(Table1[[#This Row],[Triglycerides]]/5),O642)</f>
        <v>197</v>
      </c>
      <c r="V642">
        <v>122</v>
      </c>
      <c r="W642" s="8">
        <f t="shared" si="136"/>
        <v>122</v>
      </c>
      <c r="X642" t="str">
        <f t="shared" si="137"/>
        <v>Prediabetes</v>
      </c>
      <c r="Y642" t="s">
        <v>23</v>
      </c>
      <c r="Z642" t="s">
        <v>23</v>
      </c>
      <c r="AA642" t="s">
        <v>37</v>
      </c>
      <c r="AB642" s="3" t="s">
        <v>589</v>
      </c>
      <c r="AC642">
        <v>105</v>
      </c>
      <c r="AD642" s="3" t="str">
        <f t="shared" si="138"/>
        <v>105</v>
      </c>
      <c r="AE642">
        <v>95</v>
      </c>
      <c r="AF642" s="3" t="str">
        <f t="shared" si="139"/>
        <v>95</v>
      </c>
      <c r="AG642" t="s">
        <v>38</v>
      </c>
      <c r="AH642" s="3">
        <v>18.63</v>
      </c>
      <c r="AI642" s="3">
        <f t="shared" si="140"/>
        <v>18.63</v>
      </c>
      <c r="AJ642" t="s">
        <v>30</v>
      </c>
      <c r="AK642" t="str">
        <f>PROPER(Table1[[#This Row],[CVD Risk Level]])</f>
        <v>High</v>
      </c>
    </row>
    <row r="643" spans="1:37" x14ac:dyDescent="0.3">
      <c r="A643" t="s">
        <v>31</v>
      </c>
      <c r="B643">
        <v>41</v>
      </c>
      <c r="C643" s="8">
        <f t="shared" ref="C643:C706" si="143">IF(B643="",AVERAGE($B$2:$B$1530),B643)</f>
        <v>41</v>
      </c>
      <c r="D643" s="5">
        <v>105.4</v>
      </c>
      <c r="E643" s="8">
        <f t="shared" ref="E643:E706" si="144">IF(D643="", H643*(F643^2),D643)</f>
        <v>105.4</v>
      </c>
      <c r="F643">
        <v>1.88</v>
      </c>
      <c r="G643" s="3">
        <f t="shared" ref="G643:G706" si="145">IF(F643="", SQRT(E643 / H643),F643)</f>
        <v>1.88</v>
      </c>
      <c r="H643">
        <v>29.8</v>
      </c>
      <c r="I643" s="5">
        <f t="shared" si="141"/>
        <v>29.8</v>
      </c>
      <c r="J643" s="16" t="str">
        <f t="shared" ref="J643:J706" si="146">IF(I643&lt;18.5,"Underweight",IF(I643&lt;25,"Normal",IF(I643&lt;30,"Overweight","Obese")))</f>
        <v>Overweight</v>
      </c>
      <c r="K643">
        <v>108.1</v>
      </c>
      <c r="L643">
        <v>0.57499999999999996</v>
      </c>
      <c r="M643" s="11">
        <f t="shared" si="142"/>
        <v>0.57499999999999996</v>
      </c>
      <c r="N643" s="5">
        <f t="shared" ref="N643:N706" si="147">IF(K643="",M643*(G643*100),K643)</f>
        <v>108.1</v>
      </c>
      <c r="O643">
        <v>195</v>
      </c>
      <c r="P643">
        <v>69</v>
      </c>
      <c r="Q643" s="8">
        <f t="shared" ref="Q643:Q706" si="148">IF(P643="",AVERAGE($P$2:$P$1530),P643)</f>
        <v>69</v>
      </c>
      <c r="R643" s="8">
        <v>96</v>
      </c>
      <c r="S643" s="8">
        <f t="shared" ref="S643:S706" si="149">IF(R643&lt;=0,MEDIAN($R$2:$R$1530),R643)</f>
        <v>96</v>
      </c>
      <c r="T643" s="8">
        <f>(Table1[[#This Row],[Total Cholesterol (mg/dL)]]+Table1[[#This Row],[HDL (mg/dL)2]]+Table1[[#This Row],[Estimated LDL (mg/dL)2]])*5</f>
        <v>1800</v>
      </c>
      <c r="U643" s="8">
        <f>IF(O643="",Table1[[#This Row],[Estimated LDL (mg/dL)2]]+Table1[[#This Row],[HDL (mg/dL)2]]+(Table1[[#This Row],[Triglycerides]]/5),O643)</f>
        <v>195</v>
      </c>
      <c r="V643">
        <v>141</v>
      </c>
      <c r="W643" s="8">
        <f t="shared" ref="W643:W706" si="150">IF(V643="",AVERAGE($V$2:$V$1530),V643)</f>
        <v>141</v>
      </c>
      <c r="X643" t="str">
        <f t="shared" ref="X643:X706" si="151">IF(W643&lt;100,"Normal",IF(W643&lt;126,"Prediabetes","Diabetes"))</f>
        <v>Diabetes</v>
      </c>
      <c r="Y643" t="s">
        <v>22</v>
      </c>
      <c r="Z643" t="s">
        <v>23</v>
      </c>
      <c r="AA643" t="s">
        <v>37</v>
      </c>
      <c r="AB643" s="3" t="s">
        <v>590</v>
      </c>
      <c r="AC643">
        <v>125</v>
      </c>
      <c r="AD643" s="3" t="str">
        <f t="shared" ref="AD643:AD706" si="152">LEFT(AB643,FIND("/",AB643)-1)</f>
        <v>125</v>
      </c>
      <c r="AE643">
        <v>88</v>
      </c>
      <c r="AF643" s="3" t="str">
        <f t="shared" ref="AF643:AF706" si="153">RIGHT(AB643,LEN(AB643)-FIND("/",AB643))</f>
        <v>88</v>
      </c>
      <c r="AG643" t="s">
        <v>29</v>
      </c>
      <c r="AH643" s="3">
        <v>18.11</v>
      </c>
      <c r="AI643" s="3">
        <f t="shared" ref="AI643:AI706" si="154">IF(AH643="",AVERAGE($AH$2:$AH$1530),AH643)</f>
        <v>18.11</v>
      </c>
      <c r="AJ643" t="s">
        <v>26</v>
      </c>
      <c r="AK643" t="str">
        <f>PROPER(Table1[[#This Row],[CVD Risk Level]])</f>
        <v>Intermediary</v>
      </c>
    </row>
    <row r="644" spans="1:37" x14ac:dyDescent="0.3">
      <c r="A644" t="s">
        <v>31</v>
      </c>
      <c r="C644" s="8">
        <f t="shared" si="143"/>
        <v>47.025499655410059</v>
      </c>
      <c r="D644" s="5">
        <v>77.7</v>
      </c>
      <c r="E644" s="8">
        <f t="shared" si="144"/>
        <v>77.7</v>
      </c>
      <c r="F644">
        <v>1.63</v>
      </c>
      <c r="G644" s="3">
        <f t="shared" si="145"/>
        <v>1.63</v>
      </c>
      <c r="H644">
        <v>29.2</v>
      </c>
      <c r="I644" s="5">
        <f t="shared" si="141"/>
        <v>29.2</v>
      </c>
      <c r="J644" s="16" t="str">
        <f t="shared" si="146"/>
        <v>Overweight</v>
      </c>
      <c r="K644">
        <v>90.7</v>
      </c>
      <c r="L644">
        <v>0.55600000000000005</v>
      </c>
      <c r="M644" s="11">
        <f t="shared" si="142"/>
        <v>0.55600000000000005</v>
      </c>
      <c r="N644" s="5">
        <f t="shared" si="147"/>
        <v>90.7</v>
      </c>
      <c r="O644">
        <v>258</v>
      </c>
      <c r="P644">
        <v>74</v>
      </c>
      <c r="Q644" s="8">
        <f t="shared" si="148"/>
        <v>74</v>
      </c>
      <c r="R644" s="8">
        <v>154</v>
      </c>
      <c r="S644" s="8">
        <f t="shared" si="149"/>
        <v>154</v>
      </c>
      <c r="T644" s="8">
        <f>(Table1[[#This Row],[Total Cholesterol (mg/dL)]]+Table1[[#This Row],[HDL (mg/dL)2]]+Table1[[#This Row],[Estimated LDL (mg/dL)2]])*5</f>
        <v>2430</v>
      </c>
      <c r="U644" s="8">
        <f>IF(O644="",Table1[[#This Row],[Estimated LDL (mg/dL)2]]+Table1[[#This Row],[HDL (mg/dL)2]]+(Table1[[#This Row],[Triglycerides]]/5),O644)</f>
        <v>258</v>
      </c>
      <c r="V644">
        <v>109</v>
      </c>
      <c r="W644" s="8">
        <f t="shared" si="150"/>
        <v>109</v>
      </c>
      <c r="X644" t="str">
        <f t="shared" si="151"/>
        <v>Prediabetes</v>
      </c>
      <c r="Y644" t="s">
        <v>22</v>
      </c>
      <c r="Z644" t="s">
        <v>23</v>
      </c>
      <c r="AA644" t="s">
        <v>28</v>
      </c>
      <c r="AB644" s="3" t="s">
        <v>123</v>
      </c>
      <c r="AC644">
        <v>120</v>
      </c>
      <c r="AD644" s="3" t="str">
        <f t="shared" si="152"/>
        <v>120</v>
      </c>
      <c r="AE644">
        <v>96</v>
      </c>
      <c r="AF644" s="3" t="str">
        <f t="shared" si="153"/>
        <v>96</v>
      </c>
      <c r="AG644" t="s">
        <v>38</v>
      </c>
      <c r="AH644" s="3">
        <v>19</v>
      </c>
      <c r="AI644" s="3">
        <f t="shared" si="154"/>
        <v>19</v>
      </c>
      <c r="AJ644" t="s">
        <v>30</v>
      </c>
      <c r="AK644" t="str">
        <f>PROPER(Table1[[#This Row],[CVD Risk Level]])</f>
        <v>High</v>
      </c>
    </row>
    <row r="645" spans="1:37" x14ac:dyDescent="0.3">
      <c r="A645" t="s">
        <v>31</v>
      </c>
      <c r="B645">
        <v>41</v>
      </c>
      <c r="C645" s="8">
        <f t="shared" si="143"/>
        <v>41</v>
      </c>
      <c r="D645" s="5">
        <v>62.2</v>
      </c>
      <c r="E645" s="8">
        <f t="shared" si="144"/>
        <v>62.2</v>
      </c>
      <c r="F645">
        <v>1.82</v>
      </c>
      <c r="G645" s="3">
        <f t="shared" si="145"/>
        <v>1.82</v>
      </c>
      <c r="H645">
        <v>18.8</v>
      </c>
      <c r="I645" s="5">
        <f t="shared" si="141"/>
        <v>18.8</v>
      </c>
      <c r="J645" s="16" t="str">
        <f t="shared" si="146"/>
        <v>Normal</v>
      </c>
      <c r="K645">
        <v>107.5</v>
      </c>
      <c r="L645">
        <v>0.59099999999999997</v>
      </c>
      <c r="M645" s="11">
        <f t="shared" si="142"/>
        <v>0.59099999999999997</v>
      </c>
      <c r="N645" s="5">
        <f t="shared" si="147"/>
        <v>107.5</v>
      </c>
      <c r="O645">
        <v>241</v>
      </c>
      <c r="P645">
        <v>47</v>
      </c>
      <c r="Q645" s="8">
        <f t="shared" si="148"/>
        <v>47</v>
      </c>
      <c r="R645" s="8">
        <v>164</v>
      </c>
      <c r="S645" s="8">
        <f t="shared" si="149"/>
        <v>164</v>
      </c>
      <c r="T645" s="8">
        <f>(Table1[[#This Row],[Total Cholesterol (mg/dL)]]+Table1[[#This Row],[HDL (mg/dL)2]]+Table1[[#This Row],[Estimated LDL (mg/dL)2]])*5</f>
        <v>2260</v>
      </c>
      <c r="U645" s="8">
        <f>IF(O645="",Table1[[#This Row],[Estimated LDL (mg/dL)2]]+Table1[[#This Row],[HDL (mg/dL)2]]+(Table1[[#This Row],[Triglycerides]]/5),O645)</f>
        <v>241</v>
      </c>
      <c r="V645">
        <v>79</v>
      </c>
      <c r="W645" s="8">
        <f t="shared" si="150"/>
        <v>79</v>
      </c>
      <c r="X645" t="str">
        <f t="shared" si="151"/>
        <v>Normal</v>
      </c>
      <c r="Y645" t="s">
        <v>22</v>
      </c>
      <c r="Z645" t="s">
        <v>22</v>
      </c>
      <c r="AA645" t="s">
        <v>24</v>
      </c>
      <c r="AB645" s="3" t="s">
        <v>591</v>
      </c>
      <c r="AC645">
        <v>131</v>
      </c>
      <c r="AD645" s="3" t="str">
        <f t="shared" si="152"/>
        <v>131</v>
      </c>
      <c r="AE645">
        <v>81</v>
      </c>
      <c r="AF645" s="3" t="str">
        <f t="shared" si="153"/>
        <v>81</v>
      </c>
      <c r="AG645" t="s">
        <v>29</v>
      </c>
      <c r="AH645" s="3">
        <v>15.13</v>
      </c>
      <c r="AI645" s="3">
        <f t="shared" si="154"/>
        <v>15.13</v>
      </c>
      <c r="AJ645" t="s">
        <v>26</v>
      </c>
      <c r="AK645" t="str">
        <f>PROPER(Table1[[#This Row],[CVD Risk Level]])</f>
        <v>Intermediary</v>
      </c>
    </row>
    <row r="646" spans="1:37" x14ac:dyDescent="0.3">
      <c r="A646" t="s">
        <v>31</v>
      </c>
      <c r="B646">
        <v>47</v>
      </c>
      <c r="C646" s="8">
        <f t="shared" si="143"/>
        <v>47</v>
      </c>
      <c r="D646" s="5">
        <v>77.5</v>
      </c>
      <c r="E646" s="8">
        <f t="shared" si="144"/>
        <v>77.5</v>
      </c>
      <c r="F646">
        <v>1.75</v>
      </c>
      <c r="G646" s="3">
        <f t="shared" si="145"/>
        <v>1.75</v>
      </c>
      <c r="H646">
        <v>25.3</v>
      </c>
      <c r="I646" s="5">
        <f t="shared" si="141"/>
        <v>25.3</v>
      </c>
      <c r="J646" s="16" t="str">
        <f t="shared" si="146"/>
        <v>Overweight</v>
      </c>
      <c r="K646">
        <v>86.2</v>
      </c>
      <c r="M646" s="11">
        <f t="shared" si="142"/>
        <v>0.4925714285714286</v>
      </c>
      <c r="N646" s="5">
        <f t="shared" si="147"/>
        <v>86.2</v>
      </c>
      <c r="O646">
        <v>129</v>
      </c>
      <c r="P646">
        <v>66</v>
      </c>
      <c r="Q646" s="8">
        <f t="shared" si="148"/>
        <v>66</v>
      </c>
      <c r="R646" s="8">
        <v>33</v>
      </c>
      <c r="S646" s="8">
        <f t="shared" si="149"/>
        <v>33</v>
      </c>
      <c r="T646" s="8">
        <f>(Table1[[#This Row],[Total Cholesterol (mg/dL)]]+Table1[[#This Row],[HDL (mg/dL)2]]+Table1[[#This Row],[Estimated LDL (mg/dL)2]])*5</f>
        <v>1140</v>
      </c>
      <c r="U646" s="8">
        <f>IF(O646="",Table1[[#This Row],[Estimated LDL (mg/dL)2]]+Table1[[#This Row],[HDL (mg/dL)2]]+(Table1[[#This Row],[Triglycerides]]/5),O646)</f>
        <v>129</v>
      </c>
      <c r="V646">
        <v>119</v>
      </c>
      <c r="W646" s="8">
        <f t="shared" si="150"/>
        <v>119</v>
      </c>
      <c r="X646" t="str">
        <f t="shared" si="151"/>
        <v>Prediabetes</v>
      </c>
      <c r="Y646" t="s">
        <v>23</v>
      </c>
      <c r="Z646" t="s">
        <v>23</v>
      </c>
      <c r="AA646" t="s">
        <v>28</v>
      </c>
      <c r="AB646" s="3" t="s">
        <v>296</v>
      </c>
      <c r="AC646">
        <v>139</v>
      </c>
      <c r="AD646" s="3" t="str">
        <f t="shared" si="152"/>
        <v>139</v>
      </c>
      <c r="AF646" s="3" t="str">
        <f t="shared" si="153"/>
        <v>81</v>
      </c>
      <c r="AG646" t="s">
        <v>29</v>
      </c>
      <c r="AH646" s="3">
        <v>16.59</v>
      </c>
      <c r="AI646" s="3">
        <f t="shared" si="154"/>
        <v>16.59</v>
      </c>
      <c r="AJ646" t="s">
        <v>30</v>
      </c>
      <c r="AK646" t="str">
        <f>PROPER(Table1[[#This Row],[CVD Risk Level]])</f>
        <v>High</v>
      </c>
    </row>
    <row r="647" spans="1:37" x14ac:dyDescent="0.3">
      <c r="A647" t="s">
        <v>20</v>
      </c>
      <c r="B647">
        <v>51</v>
      </c>
      <c r="C647" s="8">
        <f t="shared" si="143"/>
        <v>51</v>
      </c>
      <c r="D647" s="5">
        <v>58.1</v>
      </c>
      <c r="E647" s="8">
        <f t="shared" si="144"/>
        <v>58.1</v>
      </c>
      <c r="F647">
        <v>1.71</v>
      </c>
      <c r="G647" s="3">
        <f t="shared" si="145"/>
        <v>1.71</v>
      </c>
      <c r="H647">
        <v>19.899999999999999</v>
      </c>
      <c r="I647" s="5">
        <f t="shared" si="141"/>
        <v>19.899999999999999</v>
      </c>
      <c r="J647" s="16" t="str">
        <f t="shared" si="146"/>
        <v>Normal</v>
      </c>
      <c r="K647">
        <v>98.9</v>
      </c>
      <c r="L647">
        <v>0.57799999999999996</v>
      </c>
      <c r="M647" s="11">
        <f t="shared" si="142"/>
        <v>0.57799999999999996</v>
      </c>
      <c r="N647" s="5">
        <f t="shared" si="147"/>
        <v>98.9</v>
      </c>
      <c r="O647">
        <v>226</v>
      </c>
      <c r="P647">
        <v>64</v>
      </c>
      <c r="Q647" s="8">
        <f t="shared" si="148"/>
        <v>64</v>
      </c>
      <c r="R647" s="8">
        <v>132</v>
      </c>
      <c r="S647" s="8">
        <f t="shared" si="149"/>
        <v>132</v>
      </c>
      <c r="T647" s="8">
        <f>(Table1[[#This Row],[Total Cholesterol (mg/dL)]]+Table1[[#This Row],[HDL (mg/dL)2]]+Table1[[#This Row],[Estimated LDL (mg/dL)2]])*5</f>
        <v>2110</v>
      </c>
      <c r="U647" s="8">
        <f>IF(O647="",Table1[[#This Row],[Estimated LDL (mg/dL)2]]+Table1[[#This Row],[HDL (mg/dL)2]]+(Table1[[#This Row],[Triglycerides]]/5),O647)</f>
        <v>226</v>
      </c>
      <c r="V647">
        <v>99</v>
      </c>
      <c r="W647" s="8">
        <f t="shared" si="150"/>
        <v>99</v>
      </c>
      <c r="X647" t="str">
        <f t="shared" si="151"/>
        <v>Normal</v>
      </c>
      <c r="Y647" t="s">
        <v>23</v>
      </c>
      <c r="Z647" t="s">
        <v>22</v>
      </c>
      <c r="AA647" t="s">
        <v>28</v>
      </c>
      <c r="AB647" s="3" t="s">
        <v>592</v>
      </c>
      <c r="AC647">
        <v>98</v>
      </c>
      <c r="AD647" s="3" t="str">
        <f t="shared" si="152"/>
        <v>98</v>
      </c>
      <c r="AE647">
        <v>83</v>
      </c>
      <c r="AF647" s="3" t="str">
        <f t="shared" si="153"/>
        <v>83</v>
      </c>
      <c r="AG647" t="s">
        <v>29</v>
      </c>
      <c r="AH647" s="3">
        <v>13.4</v>
      </c>
      <c r="AI647" s="3">
        <f t="shared" si="154"/>
        <v>13.4</v>
      </c>
      <c r="AJ647" t="s">
        <v>26</v>
      </c>
      <c r="AK647" t="str">
        <f>PROPER(Table1[[#This Row],[CVD Risk Level]])</f>
        <v>Intermediary</v>
      </c>
    </row>
    <row r="648" spans="1:37" x14ac:dyDescent="0.3">
      <c r="A648" t="s">
        <v>20</v>
      </c>
      <c r="B648">
        <v>47</v>
      </c>
      <c r="C648" s="8">
        <f t="shared" si="143"/>
        <v>47</v>
      </c>
      <c r="D648" s="5">
        <v>97.2</v>
      </c>
      <c r="E648" s="8">
        <f t="shared" si="144"/>
        <v>97.2</v>
      </c>
      <c r="F648">
        <v>1.81</v>
      </c>
      <c r="G648" s="3">
        <f t="shared" si="145"/>
        <v>1.81</v>
      </c>
      <c r="H648">
        <v>29.7</v>
      </c>
      <c r="I648" s="5">
        <f t="shared" si="141"/>
        <v>29.7</v>
      </c>
      <c r="J648" s="16" t="str">
        <f t="shared" si="146"/>
        <v>Overweight</v>
      </c>
      <c r="K648">
        <v>74.8</v>
      </c>
      <c r="L648">
        <v>0.41299999999999998</v>
      </c>
      <c r="M648" s="11">
        <f t="shared" si="142"/>
        <v>0.41299999999999998</v>
      </c>
      <c r="N648" s="5">
        <f t="shared" si="147"/>
        <v>74.8</v>
      </c>
      <c r="O648">
        <v>137</v>
      </c>
      <c r="P648">
        <v>39</v>
      </c>
      <c r="Q648" s="8">
        <f t="shared" si="148"/>
        <v>39</v>
      </c>
      <c r="R648" s="8">
        <v>68</v>
      </c>
      <c r="S648" s="8">
        <f t="shared" si="149"/>
        <v>68</v>
      </c>
      <c r="T648" s="8">
        <f>(Table1[[#This Row],[Total Cholesterol (mg/dL)]]+Table1[[#This Row],[HDL (mg/dL)2]]+Table1[[#This Row],[Estimated LDL (mg/dL)2]])*5</f>
        <v>1220</v>
      </c>
      <c r="U648" s="8">
        <f>IF(O648="",Table1[[#This Row],[Estimated LDL (mg/dL)2]]+Table1[[#This Row],[HDL (mg/dL)2]]+(Table1[[#This Row],[Triglycerides]]/5),O648)</f>
        <v>137</v>
      </c>
      <c r="V648">
        <v>113</v>
      </c>
      <c r="W648" s="8">
        <f t="shared" si="150"/>
        <v>113</v>
      </c>
      <c r="X648" t="str">
        <f t="shared" si="151"/>
        <v>Prediabetes</v>
      </c>
      <c r="Y648" t="s">
        <v>22</v>
      </c>
      <c r="Z648" t="s">
        <v>22</v>
      </c>
      <c r="AA648" t="s">
        <v>37</v>
      </c>
      <c r="AB648" s="3" t="s">
        <v>253</v>
      </c>
      <c r="AC648">
        <v>131</v>
      </c>
      <c r="AD648" s="3" t="str">
        <f t="shared" si="152"/>
        <v>131</v>
      </c>
      <c r="AE648">
        <v>95</v>
      </c>
      <c r="AF648" s="3" t="str">
        <f t="shared" si="153"/>
        <v>95</v>
      </c>
      <c r="AG648" t="s">
        <v>29</v>
      </c>
      <c r="AH648" s="3">
        <v>15.23</v>
      </c>
      <c r="AI648" s="3">
        <f t="shared" si="154"/>
        <v>15.23</v>
      </c>
      <c r="AJ648" t="s">
        <v>26</v>
      </c>
      <c r="AK648" t="str">
        <f>PROPER(Table1[[#This Row],[CVD Risk Level]])</f>
        <v>Intermediary</v>
      </c>
    </row>
    <row r="649" spans="1:37" x14ac:dyDescent="0.3">
      <c r="A649" t="s">
        <v>20</v>
      </c>
      <c r="B649">
        <v>33</v>
      </c>
      <c r="C649" s="8">
        <f t="shared" si="143"/>
        <v>33</v>
      </c>
      <c r="D649" s="5">
        <v>63.2</v>
      </c>
      <c r="E649" s="8">
        <f t="shared" si="144"/>
        <v>63.2</v>
      </c>
      <c r="F649">
        <v>1.65</v>
      </c>
      <c r="G649" s="3">
        <f t="shared" si="145"/>
        <v>1.65</v>
      </c>
      <c r="I649" s="5">
        <f t="shared" si="141"/>
        <v>23.21395775941231</v>
      </c>
      <c r="J649" s="16" t="str">
        <f t="shared" si="146"/>
        <v>Normal</v>
      </c>
      <c r="K649">
        <v>98.2</v>
      </c>
      <c r="L649">
        <v>0.59499999999999997</v>
      </c>
      <c r="M649" s="11">
        <f t="shared" si="142"/>
        <v>0.59499999999999997</v>
      </c>
      <c r="N649" s="5">
        <f t="shared" si="147"/>
        <v>98.2</v>
      </c>
      <c r="O649">
        <v>286</v>
      </c>
      <c r="Q649" s="8">
        <f t="shared" si="148"/>
        <v>56.197377501725327</v>
      </c>
      <c r="R649" s="8">
        <v>212</v>
      </c>
      <c r="S649" s="8">
        <f>IF(R649&lt;=0,MEDIAN($R$2:$R$1530),R649)</f>
        <v>212</v>
      </c>
      <c r="T649" s="8">
        <f>(Table1[[#This Row],[Total Cholesterol (mg/dL)]]+Table1[[#This Row],[HDL (mg/dL)2]]+Table1[[#This Row],[Estimated LDL (mg/dL)2]])*5</f>
        <v>2770.9868875086268</v>
      </c>
      <c r="U649" s="8">
        <f>IF(O649="",Table1[[#This Row],[Estimated LDL (mg/dL)2]]+Table1[[#This Row],[HDL (mg/dL)2]]+(Table1[[#This Row],[Triglycerides]]/5),O649)</f>
        <v>286</v>
      </c>
      <c r="V649">
        <v>128</v>
      </c>
      <c r="W649" s="8">
        <f t="shared" si="150"/>
        <v>128</v>
      </c>
      <c r="X649" t="str">
        <f t="shared" si="151"/>
        <v>Diabetes</v>
      </c>
      <c r="Y649" t="s">
        <v>22</v>
      </c>
      <c r="Z649" t="s">
        <v>22</v>
      </c>
      <c r="AA649" t="s">
        <v>24</v>
      </c>
      <c r="AB649" s="3" t="s">
        <v>320</v>
      </c>
      <c r="AC649">
        <v>131</v>
      </c>
      <c r="AD649" s="3" t="str">
        <f t="shared" si="152"/>
        <v>131</v>
      </c>
      <c r="AE649">
        <v>67</v>
      </c>
      <c r="AF649" s="3" t="str">
        <f t="shared" si="153"/>
        <v>67</v>
      </c>
      <c r="AG649" t="s">
        <v>29</v>
      </c>
      <c r="AH649" s="3">
        <v>16.91</v>
      </c>
      <c r="AI649" s="3">
        <f t="shared" si="154"/>
        <v>16.91</v>
      </c>
      <c r="AJ649" t="s">
        <v>26</v>
      </c>
      <c r="AK649" t="str">
        <f>PROPER(Table1[[#This Row],[CVD Risk Level]])</f>
        <v>Intermediary</v>
      </c>
    </row>
    <row r="650" spans="1:37" x14ac:dyDescent="0.3">
      <c r="A650" t="s">
        <v>20</v>
      </c>
      <c r="B650">
        <v>44</v>
      </c>
      <c r="C650" s="8">
        <f t="shared" si="143"/>
        <v>44</v>
      </c>
      <c r="D650" s="5">
        <v>66</v>
      </c>
      <c r="E650" s="8">
        <f t="shared" si="144"/>
        <v>66</v>
      </c>
      <c r="F650">
        <v>1.69</v>
      </c>
      <c r="G650" s="3">
        <f t="shared" si="145"/>
        <v>1.69</v>
      </c>
      <c r="H650">
        <v>23.1</v>
      </c>
      <c r="I650" s="5">
        <f t="shared" si="141"/>
        <v>23.1</v>
      </c>
      <c r="J650" s="16" t="str">
        <f t="shared" si="146"/>
        <v>Normal</v>
      </c>
      <c r="K650">
        <v>91.2</v>
      </c>
      <c r="L650">
        <v>0.54</v>
      </c>
      <c r="M650" s="11">
        <f t="shared" si="142"/>
        <v>0.54</v>
      </c>
      <c r="N650" s="5">
        <f t="shared" si="147"/>
        <v>91.2</v>
      </c>
      <c r="O650">
        <v>126</v>
      </c>
      <c r="P650">
        <v>50</v>
      </c>
      <c r="Q650" s="8">
        <f t="shared" si="148"/>
        <v>50</v>
      </c>
      <c r="R650" s="8">
        <v>46</v>
      </c>
      <c r="S650" s="8">
        <f t="shared" si="149"/>
        <v>46</v>
      </c>
      <c r="T650" s="8">
        <f>(Table1[[#This Row],[Total Cholesterol (mg/dL)]]+Table1[[#This Row],[HDL (mg/dL)2]]+Table1[[#This Row],[Estimated LDL (mg/dL)2]])*5</f>
        <v>1110</v>
      </c>
      <c r="U650" s="8">
        <f>IF(O650="",Table1[[#This Row],[Estimated LDL (mg/dL)2]]+Table1[[#This Row],[HDL (mg/dL)2]]+(Table1[[#This Row],[Triglycerides]]/5),O650)</f>
        <v>126</v>
      </c>
      <c r="V650">
        <v>79</v>
      </c>
      <c r="W650" s="8">
        <f t="shared" si="150"/>
        <v>79</v>
      </c>
      <c r="X650" t="str">
        <f t="shared" si="151"/>
        <v>Normal</v>
      </c>
      <c r="Y650" t="s">
        <v>22</v>
      </c>
      <c r="Z650" t="s">
        <v>23</v>
      </c>
      <c r="AA650" t="s">
        <v>28</v>
      </c>
      <c r="AB650" s="3" t="s">
        <v>340</v>
      </c>
      <c r="AC650">
        <v>123</v>
      </c>
      <c r="AD650" s="3" t="str">
        <f t="shared" si="152"/>
        <v>123</v>
      </c>
      <c r="AE650">
        <v>89</v>
      </c>
      <c r="AF650" s="3" t="str">
        <f t="shared" si="153"/>
        <v>89</v>
      </c>
      <c r="AG650" t="s">
        <v>29</v>
      </c>
      <c r="AH650" s="3">
        <v>15.29</v>
      </c>
      <c r="AI650" s="3">
        <f t="shared" si="154"/>
        <v>15.29</v>
      </c>
      <c r="AJ650" t="s">
        <v>26</v>
      </c>
      <c r="AK650" t="str">
        <f>PROPER(Table1[[#This Row],[CVD Risk Level]])</f>
        <v>Intermediary</v>
      </c>
    </row>
    <row r="651" spans="1:37" x14ac:dyDescent="0.3">
      <c r="A651" t="s">
        <v>31</v>
      </c>
      <c r="B651">
        <v>45</v>
      </c>
      <c r="C651" s="8">
        <f t="shared" si="143"/>
        <v>45</v>
      </c>
      <c r="D651" s="5">
        <v>117.2</v>
      </c>
      <c r="E651" s="8">
        <f t="shared" si="144"/>
        <v>117.2</v>
      </c>
      <c r="F651">
        <v>1.87</v>
      </c>
      <c r="G651" s="3">
        <f t="shared" si="145"/>
        <v>1.87</v>
      </c>
      <c r="H651">
        <v>33.5</v>
      </c>
      <c r="I651" s="5">
        <f t="shared" si="141"/>
        <v>33.5</v>
      </c>
      <c r="J651" s="16" t="str">
        <f t="shared" si="146"/>
        <v>Obese</v>
      </c>
      <c r="K651">
        <v>102.7</v>
      </c>
      <c r="L651">
        <v>0.54900000000000004</v>
      </c>
      <c r="M651" s="11">
        <f t="shared" si="142"/>
        <v>0.54900000000000004</v>
      </c>
      <c r="N651" s="5">
        <f t="shared" si="147"/>
        <v>102.7</v>
      </c>
      <c r="O651">
        <v>143</v>
      </c>
      <c r="P651">
        <v>74</v>
      </c>
      <c r="Q651" s="8">
        <f t="shared" si="148"/>
        <v>74</v>
      </c>
      <c r="R651" s="8">
        <v>39</v>
      </c>
      <c r="S651" s="8">
        <f t="shared" si="149"/>
        <v>39</v>
      </c>
      <c r="T651" s="8">
        <f>(Table1[[#This Row],[Total Cholesterol (mg/dL)]]+Table1[[#This Row],[HDL (mg/dL)2]]+Table1[[#This Row],[Estimated LDL (mg/dL)2]])*5</f>
        <v>1280</v>
      </c>
      <c r="U651" s="8">
        <f>IF(O651="",Table1[[#This Row],[Estimated LDL (mg/dL)2]]+Table1[[#This Row],[HDL (mg/dL)2]]+(Table1[[#This Row],[Triglycerides]]/5),O651)</f>
        <v>143</v>
      </c>
      <c r="V651">
        <v>86</v>
      </c>
      <c r="W651" s="8">
        <f t="shared" si="150"/>
        <v>86</v>
      </c>
      <c r="X651" t="str">
        <f t="shared" si="151"/>
        <v>Normal</v>
      </c>
      <c r="Y651" t="s">
        <v>22</v>
      </c>
      <c r="Z651" t="s">
        <v>23</v>
      </c>
      <c r="AA651" t="s">
        <v>28</v>
      </c>
      <c r="AB651" s="3" t="s">
        <v>593</v>
      </c>
      <c r="AC651">
        <v>147</v>
      </c>
      <c r="AD651" s="3" t="str">
        <f t="shared" si="152"/>
        <v>147</v>
      </c>
      <c r="AE651">
        <v>77</v>
      </c>
      <c r="AF651" s="3" t="str">
        <f t="shared" si="153"/>
        <v>77</v>
      </c>
      <c r="AG651" t="s">
        <v>38</v>
      </c>
      <c r="AH651" s="3">
        <v>18.91</v>
      </c>
      <c r="AI651" s="3">
        <f t="shared" si="154"/>
        <v>18.91</v>
      </c>
      <c r="AJ651" t="s">
        <v>26</v>
      </c>
      <c r="AK651" t="str">
        <f>PROPER(Table1[[#This Row],[CVD Risk Level]])</f>
        <v>Intermediary</v>
      </c>
    </row>
    <row r="652" spans="1:37" x14ac:dyDescent="0.3">
      <c r="A652" t="s">
        <v>31</v>
      </c>
      <c r="B652">
        <v>36</v>
      </c>
      <c r="C652" s="8">
        <f t="shared" si="143"/>
        <v>36</v>
      </c>
      <c r="D652" s="5">
        <v>52.8</v>
      </c>
      <c r="E652" s="8">
        <f t="shared" si="144"/>
        <v>52.8</v>
      </c>
      <c r="F652">
        <v>1.64</v>
      </c>
      <c r="G652" s="3">
        <f t="shared" si="145"/>
        <v>1.64</v>
      </c>
      <c r="H652">
        <v>19.600000000000001</v>
      </c>
      <c r="I652" s="5">
        <f t="shared" si="141"/>
        <v>19.600000000000001</v>
      </c>
      <c r="J652" s="16" t="str">
        <f t="shared" si="146"/>
        <v>Normal</v>
      </c>
      <c r="K652">
        <v>74.2</v>
      </c>
      <c r="L652">
        <v>0.45200000000000001</v>
      </c>
      <c r="M652" s="11">
        <f t="shared" si="142"/>
        <v>0.45200000000000001</v>
      </c>
      <c r="N652" s="5">
        <f t="shared" si="147"/>
        <v>74.2</v>
      </c>
      <c r="O652">
        <v>225</v>
      </c>
      <c r="P652">
        <v>76</v>
      </c>
      <c r="Q652" s="8">
        <f t="shared" si="148"/>
        <v>76</v>
      </c>
      <c r="R652" s="8">
        <v>119</v>
      </c>
      <c r="S652" s="8">
        <f t="shared" si="149"/>
        <v>119</v>
      </c>
      <c r="T652" s="8">
        <f>(Table1[[#This Row],[Total Cholesterol (mg/dL)]]+Table1[[#This Row],[HDL (mg/dL)2]]+Table1[[#This Row],[Estimated LDL (mg/dL)2]])*5</f>
        <v>2100</v>
      </c>
      <c r="U652" s="8">
        <f>IF(O652="",Table1[[#This Row],[Estimated LDL (mg/dL)2]]+Table1[[#This Row],[HDL (mg/dL)2]]+(Table1[[#This Row],[Triglycerides]]/5),O652)</f>
        <v>225</v>
      </c>
      <c r="V652">
        <v>86</v>
      </c>
      <c r="W652" s="8">
        <f t="shared" si="150"/>
        <v>86</v>
      </c>
      <c r="X652" t="str">
        <f t="shared" si="151"/>
        <v>Normal</v>
      </c>
      <c r="Y652" t="s">
        <v>22</v>
      </c>
      <c r="Z652" t="s">
        <v>22</v>
      </c>
      <c r="AA652" t="s">
        <v>24</v>
      </c>
      <c r="AB652" s="3" t="s">
        <v>594</v>
      </c>
      <c r="AC652">
        <v>139</v>
      </c>
      <c r="AD652" s="3" t="str">
        <f t="shared" si="152"/>
        <v>139</v>
      </c>
      <c r="AE652">
        <v>78</v>
      </c>
      <c r="AF652" s="3" t="str">
        <f t="shared" si="153"/>
        <v>78</v>
      </c>
      <c r="AG652" t="s">
        <v>29</v>
      </c>
      <c r="AH652" s="3">
        <v>15.37</v>
      </c>
      <c r="AI652" s="3">
        <f t="shared" si="154"/>
        <v>15.37</v>
      </c>
      <c r="AJ652" t="s">
        <v>26</v>
      </c>
      <c r="AK652" t="str">
        <f>PROPER(Table1[[#This Row],[CVD Risk Level]])</f>
        <v>Intermediary</v>
      </c>
    </row>
    <row r="653" spans="1:37" x14ac:dyDescent="0.3">
      <c r="A653" t="s">
        <v>20</v>
      </c>
      <c r="B653">
        <v>41</v>
      </c>
      <c r="C653" s="8">
        <f t="shared" si="143"/>
        <v>41</v>
      </c>
      <c r="D653" s="5">
        <v>104.3</v>
      </c>
      <c r="E653" s="8">
        <f t="shared" si="144"/>
        <v>104.3</v>
      </c>
      <c r="F653">
        <v>1.86</v>
      </c>
      <c r="G653" s="3">
        <f t="shared" si="145"/>
        <v>1.86</v>
      </c>
      <c r="H653">
        <v>30.1</v>
      </c>
      <c r="I653" s="5">
        <f t="shared" si="141"/>
        <v>30.1</v>
      </c>
      <c r="J653" s="16" t="str">
        <f t="shared" si="146"/>
        <v>Obese</v>
      </c>
      <c r="K653">
        <v>84.3</v>
      </c>
      <c r="L653">
        <v>0.45300000000000001</v>
      </c>
      <c r="M653" s="11">
        <f t="shared" si="142"/>
        <v>0.45300000000000001</v>
      </c>
      <c r="N653" s="5">
        <f t="shared" si="147"/>
        <v>84.3</v>
      </c>
      <c r="P653">
        <v>64</v>
      </c>
      <c r="Q653" s="8">
        <f t="shared" si="148"/>
        <v>64</v>
      </c>
      <c r="S653" s="8">
        <f t="shared" si="149"/>
        <v>109</v>
      </c>
      <c r="T653" s="8">
        <f>(Table1[[#This Row],[Total Cholesterol (mg/dL)]]+Table1[[#This Row],[HDL (mg/dL)2]]+Table1[[#This Row],[Estimated LDL (mg/dL)2]])*5</f>
        <v>865</v>
      </c>
      <c r="U653" s="8">
        <f>IF(O653="",Table1[[#This Row],[Estimated LDL (mg/dL)2]]+Table1[[#This Row],[HDL (mg/dL)2]]+(Table1[[#This Row],[Triglycerides]]/5),O653)</f>
        <v>346</v>
      </c>
      <c r="V653">
        <v>119</v>
      </c>
      <c r="W653" s="8">
        <f t="shared" si="150"/>
        <v>119</v>
      </c>
      <c r="X653" t="str">
        <f t="shared" si="151"/>
        <v>Prediabetes</v>
      </c>
      <c r="Y653" t="s">
        <v>22</v>
      </c>
      <c r="Z653" t="s">
        <v>22</v>
      </c>
      <c r="AA653" t="s">
        <v>37</v>
      </c>
      <c r="AB653" s="3" t="s">
        <v>348</v>
      </c>
      <c r="AC653">
        <v>125</v>
      </c>
      <c r="AD653" s="3" t="str">
        <f t="shared" si="152"/>
        <v>125</v>
      </c>
      <c r="AE653">
        <v>61</v>
      </c>
      <c r="AF653" s="3" t="str">
        <f t="shared" si="153"/>
        <v>61</v>
      </c>
      <c r="AG653" t="s">
        <v>25</v>
      </c>
      <c r="AH653" s="3">
        <v>17.71</v>
      </c>
      <c r="AI653" s="3">
        <f t="shared" si="154"/>
        <v>17.71</v>
      </c>
      <c r="AJ653" t="s">
        <v>26</v>
      </c>
      <c r="AK653" t="str">
        <f>PROPER(Table1[[#This Row],[CVD Risk Level]])</f>
        <v>Intermediary</v>
      </c>
    </row>
    <row r="654" spans="1:37" x14ac:dyDescent="0.3">
      <c r="A654" t="s">
        <v>20</v>
      </c>
      <c r="B654">
        <v>37</v>
      </c>
      <c r="C654" s="8">
        <f t="shared" si="143"/>
        <v>37</v>
      </c>
      <c r="D654" s="5">
        <v>100</v>
      </c>
      <c r="E654" s="8">
        <f t="shared" si="144"/>
        <v>100</v>
      </c>
      <c r="F654">
        <v>1.75</v>
      </c>
      <c r="G654" s="3">
        <f t="shared" si="145"/>
        <v>1.75</v>
      </c>
      <c r="I654" s="5">
        <f t="shared" si="141"/>
        <v>32.653061224489797</v>
      </c>
      <c r="J654" s="16" t="str">
        <f t="shared" si="146"/>
        <v>Obese</v>
      </c>
      <c r="K654">
        <v>91.6</v>
      </c>
      <c r="M654" s="11">
        <f t="shared" si="142"/>
        <v>0.52342857142857135</v>
      </c>
      <c r="N654" s="5">
        <f t="shared" si="147"/>
        <v>91.6</v>
      </c>
      <c r="O654">
        <v>128</v>
      </c>
      <c r="P654">
        <v>36</v>
      </c>
      <c r="Q654" s="8">
        <f t="shared" si="148"/>
        <v>36</v>
      </c>
      <c r="R654" s="8">
        <v>62</v>
      </c>
      <c r="S654" s="8">
        <f t="shared" si="149"/>
        <v>62</v>
      </c>
      <c r="T654" s="8">
        <f>(Table1[[#This Row],[Total Cholesterol (mg/dL)]]+Table1[[#This Row],[HDL (mg/dL)2]]+Table1[[#This Row],[Estimated LDL (mg/dL)2]])*5</f>
        <v>1130</v>
      </c>
      <c r="U654" s="8">
        <f>IF(O654="",Table1[[#This Row],[Estimated LDL (mg/dL)2]]+Table1[[#This Row],[HDL (mg/dL)2]]+(Table1[[#This Row],[Triglycerides]]/5),O654)</f>
        <v>128</v>
      </c>
      <c r="V654">
        <v>131</v>
      </c>
      <c r="W654" s="8">
        <f t="shared" si="150"/>
        <v>131</v>
      </c>
      <c r="X654" t="str">
        <f t="shared" si="151"/>
        <v>Diabetes</v>
      </c>
      <c r="Y654" t="s">
        <v>22</v>
      </c>
      <c r="Z654" t="s">
        <v>23</v>
      </c>
      <c r="AA654" t="s">
        <v>37</v>
      </c>
      <c r="AB654" s="3" t="s">
        <v>595</v>
      </c>
      <c r="AC654">
        <v>131</v>
      </c>
      <c r="AD654" s="3" t="str">
        <f t="shared" si="152"/>
        <v>131</v>
      </c>
      <c r="AE654">
        <v>100</v>
      </c>
      <c r="AF654" s="3" t="str">
        <f t="shared" si="153"/>
        <v>100</v>
      </c>
      <c r="AG654" t="s">
        <v>29</v>
      </c>
      <c r="AH654" s="3">
        <v>17.649999999999999</v>
      </c>
      <c r="AI654" s="3">
        <f t="shared" si="154"/>
        <v>17.649999999999999</v>
      </c>
      <c r="AJ654" t="s">
        <v>30</v>
      </c>
      <c r="AK654" t="str">
        <f>PROPER(Table1[[#This Row],[CVD Risk Level]])</f>
        <v>High</v>
      </c>
    </row>
    <row r="655" spans="1:37" x14ac:dyDescent="0.3">
      <c r="A655" t="s">
        <v>20</v>
      </c>
      <c r="B655">
        <v>58</v>
      </c>
      <c r="C655" s="8">
        <f t="shared" si="143"/>
        <v>58</v>
      </c>
      <c r="D655" s="5">
        <v>51.6</v>
      </c>
      <c r="E655" s="8">
        <f t="shared" si="144"/>
        <v>51.6</v>
      </c>
      <c r="F655">
        <v>1.73</v>
      </c>
      <c r="G655" s="3">
        <f t="shared" si="145"/>
        <v>1.73</v>
      </c>
      <c r="H655">
        <v>17.2</v>
      </c>
      <c r="I655" s="5">
        <f t="shared" si="141"/>
        <v>17.2</v>
      </c>
      <c r="J655" s="16" t="str">
        <f t="shared" si="146"/>
        <v>Underweight</v>
      </c>
      <c r="K655">
        <v>79.7</v>
      </c>
      <c r="L655">
        <v>0.46100000000000002</v>
      </c>
      <c r="M655" s="11">
        <f t="shared" si="142"/>
        <v>0.46100000000000002</v>
      </c>
      <c r="N655" s="5">
        <f t="shared" si="147"/>
        <v>79.7</v>
      </c>
      <c r="O655">
        <v>151</v>
      </c>
      <c r="P655">
        <v>71</v>
      </c>
      <c r="Q655" s="8">
        <f t="shared" si="148"/>
        <v>71</v>
      </c>
      <c r="R655" s="8">
        <v>50</v>
      </c>
      <c r="S655" s="8">
        <f>IF(R655&lt;=0,MEDIAN($R$2:$R$1530),R655)</f>
        <v>50</v>
      </c>
      <c r="T655" s="8">
        <f>(Table1[[#This Row],[Total Cholesterol (mg/dL)]]+Table1[[#This Row],[HDL (mg/dL)2]]+Table1[[#This Row],[Estimated LDL (mg/dL)2]])*5</f>
        <v>1360</v>
      </c>
      <c r="U655" s="8">
        <f>IF(O655="",Table1[[#This Row],[Estimated LDL (mg/dL)2]]+Table1[[#This Row],[HDL (mg/dL)2]]+(Table1[[#This Row],[Triglycerides]]/5),O655)</f>
        <v>151</v>
      </c>
      <c r="V655">
        <v>88</v>
      </c>
      <c r="W655" s="8">
        <f t="shared" si="150"/>
        <v>88</v>
      </c>
      <c r="X655" t="str">
        <f t="shared" si="151"/>
        <v>Normal</v>
      </c>
      <c r="Y655" t="s">
        <v>23</v>
      </c>
      <c r="Z655" t="s">
        <v>22</v>
      </c>
      <c r="AA655" t="s">
        <v>28</v>
      </c>
      <c r="AB655" s="3" t="s">
        <v>596</v>
      </c>
      <c r="AC655">
        <v>103</v>
      </c>
      <c r="AD655" s="3" t="str">
        <f t="shared" si="152"/>
        <v>103</v>
      </c>
      <c r="AE655">
        <v>83</v>
      </c>
      <c r="AF655" s="3" t="str">
        <f t="shared" si="153"/>
        <v>83</v>
      </c>
      <c r="AG655" t="s">
        <v>29</v>
      </c>
      <c r="AH655" s="3">
        <v>11.61</v>
      </c>
      <c r="AI655" s="3">
        <f t="shared" si="154"/>
        <v>11.61</v>
      </c>
      <c r="AJ655" t="s">
        <v>26</v>
      </c>
      <c r="AK655" t="str">
        <f>PROPER(Table1[[#This Row],[CVD Risk Level]])</f>
        <v>Intermediary</v>
      </c>
    </row>
    <row r="656" spans="1:37" x14ac:dyDescent="0.3">
      <c r="A656" t="s">
        <v>20</v>
      </c>
      <c r="B656">
        <v>38</v>
      </c>
      <c r="C656" s="8">
        <f t="shared" si="143"/>
        <v>38</v>
      </c>
      <c r="D656" s="5">
        <v>58.6</v>
      </c>
      <c r="E656" s="8">
        <f t="shared" si="144"/>
        <v>58.6</v>
      </c>
      <c r="F656">
        <v>1.72</v>
      </c>
      <c r="G656" s="3">
        <f t="shared" si="145"/>
        <v>1.72</v>
      </c>
      <c r="H656">
        <v>19.8</v>
      </c>
      <c r="I656" s="5">
        <f t="shared" si="141"/>
        <v>19.8</v>
      </c>
      <c r="J656" s="16" t="str">
        <f t="shared" si="146"/>
        <v>Normal</v>
      </c>
      <c r="K656">
        <v>102</v>
      </c>
      <c r="L656">
        <v>0.59299999999999997</v>
      </c>
      <c r="M656" s="11">
        <f t="shared" si="142"/>
        <v>0.59299999999999997</v>
      </c>
      <c r="N656" s="5">
        <f t="shared" si="147"/>
        <v>102</v>
      </c>
      <c r="O656">
        <v>102</v>
      </c>
      <c r="P656">
        <v>78</v>
      </c>
      <c r="Q656" s="8">
        <f t="shared" si="148"/>
        <v>78</v>
      </c>
      <c r="R656" s="8">
        <v>-6</v>
      </c>
      <c r="S656" s="8">
        <f t="shared" si="149"/>
        <v>109</v>
      </c>
      <c r="T656" s="8">
        <f>(Table1[[#This Row],[Total Cholesterol (mg/dL)]]+Table1[[#This Row],[HDL (mg/dL)2]]+Table1[[#This Row],[Estimated LDL (mg/dL)2]])*5</f>
        <v>1445</v>
      </c>
      <c r="U656" s="8">
        <f>IF(O656="",Table1[[#This Row],[Estimated LDL (mg/dL)2]]+Table1[[#This Row],[HDL (mg/dL)2]]+(Table1[[#This Row],[Triglycerides]]/5),O656)</f>
        <v>102</v>
      </c>
      <c r="V656">
        <v>141</v>
      </c>
      <c r="W656" s="8">
        <f t="shared" si="150"/>
        <v>141</v>
      </c>
      <c r="X656" t="str">
        <f t="shared" si="151"/>
        <v>Diabetes</v>
      </c>
      <c r="Y656" t="s">
        <v>22</v>
      </c>
      <c r="Z656" t="s">
        <v>22</v>
      </c>
      <c r="AA656" t="s">
        <v>28</v>
      </c>
      <c r="AB656" s="3" t="s">
        <v>597</v>
      </c>
      <c r="AC656">
        <v>117</v>
      </c>
      <c r="AD656" s="3" t="str">
        <f t="shared" si="152"/>
        <v>117</v>
      </c>
      <c r="AE656">
        <v>92</v>
      </c>
      <c r="AF656" s="3" t="str">
        <f t="shared" si="153"/>
        <v>92</v>
      </c>
      <c r="AG656" t="s">
        <v>38</v>
      </c>
      <c r="AI656" s="3">
        <f t="shared" si="154"/>
        <v>16.960925291295425</v>
      </c>
      <c r="AJ656" t="s">
        <v>52</v>
      </c>
      <c r="AK656" t="str">
        <f>PROPER(Table1[[#This Row],[CVD Risk Level]])</f>
        <v>Low</v>
      </c>
    </row>
    <row r="657" spans="1:37" x14ac:dyDescent="0.3">
      <c r="A657" t="s">
        <v>31</v>
      </c>
      <c r="C657" s="8">
        <f t="shared" si="143"/>
        <v>47.025499655410059</v>
      </c>
      <c r="D657" s="5">
        <v>117.8</v>
      </c>
      <c r="E657" s="8">
        <f t="shared" si="144"/>
        <v>117.8</v>
      </c>
      <c r="F657">
        <v>1.8</v>
      </c>
      <c r="G657" s="3">
        <f t="shared" si="145"/>
        <v>1.8</v>
      </c>
      <c r="H657">
        <v>36.4</v>
      </c>
      <c r="I657" s="5">
        <f t="shared" si="141"/>
        <v>36.4</v>
      </c>
      <c r="J657" s="16" t="str">
        <f t="shared" si="146"/>
        <v>Obese</v>
      </c>
      <c r="K657">
        <v>95</v>
      </c>
      <c r="L657">
        <v>0.52800000000000002</v>
      </c>
      <c r="M657" s="11">
        <f t="shared" si="142"/>
        <v>0.52800000000000002</v>
      </c>
      <c r="N657" s="5">
        <f t="shared" si="147"/>
        <v>95</v>
      </c>
      <c r="O657">
        <v>298</v>
      </c>
      <c r="P657">
        <v>41</v>
      </c>
      <c r="Q657" s="8">
        <f t="shared" si="148"/>
        <v>41</v>
      </c>
      <c r="R657" s="8">
        <v>227</v>
      </c>
      <c r="S657" s="8">
        <f t="shared" si="149"/>
        <v>227</v>
      </c>
      <c r="T657" s="8">
        <f>(Table1[[#This Row],[Total Cholesterol (mg/dL)]]+Table1[[#This Row],[HDL (mg/dL)2]]+Table1[[#This Row],[Estimated LDL (mg/dL)2]])*5</f>
        <v>2830</v>
      </c>
      <c r="U657" s="8">
        <f>IF(O657="",Table1[[#This Row],[Estimated LDL (mg/dL)2]]+Table1[[#This Row],[HDL (mg/dL)2]]+(Table1[[#This Row],[Triglycerides]]/5),O657)</f>
        <v>298</v>
      </c>
      <c r="V657">
        <v>149</v>
      </c>
      <c r="W657" s="8">
        <f t="shared" si="150"/>
        <v>149</v>
      </c>
      <c r="X657" t="str">
        <f t="shared" si="151"/>
        <v>Diabetes</v>
      </c>
      <c r="Y657" t="s">
        <v>22</v>
      </c>
      <c r="Z657" t="s">
        <v>23</v>
      </c>
      <c r="AA657" t="s">
        <v>24</v>
      </c>
      <c r="AB657" s="3" t="s">
        <v>72</v>
      </c>
      <c r="AD657" s="3" t="str">
        <f t="shared" si="152"/>
        <v>130</v>
      </c>
      <c r="AE657">
        <v>75</v>
      </c>
      <c r="AF657" s="3" t="str">
        <f t="shared" si="153"/>
        <v>75</v>
      </c>
      <c r="AG657" t="s">
        <v>29</v>
      </c>
      <c r="AH657" s="3">
        <v>21.74</v>
      </c>
      <c r="AI657" s="3">
        <f t="shared" si="154"/>
        <v>21.74</v>
      </c>
      <c r="AJ657" t="s">
        <v>30</v>
      </c>
      <c r="AK657" t="str">
        <f>PROPER(Table1[[#This Row],[CVD Risk Level]])</f>
        <v>High</v>
      </c>
    </row>
    <row r="658" spans="1:37" x14ac:dyDescent="0.3">
      <c r="A658" t="s">
        <v>20</v>
      </c>
      <c r="B658">
        <v>56</v>
      </c>
      <c r="C658" s="8">
        <f t="shared" si="143"/>
        <v>56</v>
      </c>
      <c r="D658" s="5">
        <v>110</v>
      </c>
      <c r="E658" s="8">
        <f t="shared" si="144"/>
        <v>110</v>
      </c>
      <c r="F658">
        <v>1.89</v>
      </c>
      <c r="G658" s="3">
        <f t="shared" si="145"/>
        <v>1.89</v>
      </c>
      <c r="H658">
        <v>30.8</v>
      </c>
      <c r="I658" s="5">
        <f t="shared" si="141"/>
        <v>30.8</v>
      </c>
      <c r="J658" s="16" t="str">
        <f t="shared" si="146"/>
        <v>Obese</v>
      </c>
      <c r="K658">
        <v>97</v>
      </c>
      <c r="L658">
        <v>0.51300000000000001</v>
      </c>
      <c r="M658" s="11">
        <f t="shared" si="142"/>
        <v>0.51300000000000001</v>
      </c>
      <c r="N658" s="5">
        <f t="shared" si="147"/>
        <v>97</v>
      </c>
      <c r="O658">
        <v>264</v>
      </c>
      <c r="P658">
        <v>44</v>
      </c>
      <c r="Q658" s="8">
        <f t="shared" si="148"/>
        <v>44</v>
      </c>
      <c r="R658" s="8">
        <v>190</v>
      </c>
      <c r="S658" s="8">
        <f t="shared" si="149"/>
        <v>190</v>
      </c>
      <c r="T658" s="8">
        <f>(Table1[[#This Row],[Total Cholesterol (mg/dL)]]+Table1[[#This Row],[HDL (mg/dL)2]]+Table1[[#This Row],[Estimated LDL (mg/dL)2]])*5</f>
        <v>2490</v>
      </c>
      <c r="U658" s="8">
        <f>IF(O658="",Table1[[#This Row],[Estimated LDL (mg/dL)2]]+Table1[[#This Row],[HDL (mg/dL)2]]+(Table1[[#This Row],[Triglycerides]]/5),O658)</f>
        <v>264</v>
      </c>
      <c r="V658">
        <v>108</v>
      </c>
      <c r="W658" s="8">
        <f t="shared" si="150"/>
        <v>108</v>
      </c>
      <c r="X658" t="str">
        <f t="shared" si="151"/>
        <v>Prediabetes</v>
      </c>
      <c r="Y658" t="s">
        <v>22</v>
      </c>
      <c r="Z658" t="s">
        <v>23</v>
      </c>
      <c r="AA658" t="s">
        <v>37</v>
      </c>
      <c r="AB658" s="3" t="s">
        <v>185</v>
      </c>
      <c r="AC658">
        <v>97</v>
      </c>
      <c r="AD658" s="3" t="str">
        <f t="shared" si="152"/>
        <v>97</v>
      </c>
      <c r="AE658">
        <v>79</v>
      </c>
      <c r="AF658" s="3" t="str">
        <f t="shared" si="153"/>
        <v>79</v>
      </c>
      <c r="AG658" t="s">
        <v>33</v>
      </c>
      <c r="AH658" s="3">
        <v>18.29</v>
      </c>
      <c r="AI658" s="3">
        <f t="shared" si="154"/>
        <v>18.29</v>
      </c>
      <c r="AJ658" t="s">
        <v>30</v>
      </c>
      <c r="AK658" t="str">
        <f>PROPER(Table1[[#This Row],[CVD Risk Level]])</f>
        <v>High</v>
      </c>
    </row>
    <row r="659" spans="1:37" x14ac:dyDescent="0.3">
      <c r="A659" t="s">
        <v>20</v>
      </c>
      <c r="B659">
        <v>34</v>
      </c>
      <c r="C659" s="8">
        <f t="shared" si="143"/>
        <v>34</v>
      </c>
      <c r="D659" s="5">
        <v>66.8</v>
      </c>
      <c r="E659" s="8">
        <f t="shared" si="144"/>
        <v>66.8</v>
      </c>
      <c r="F659">
        <v>1.71</v>
      </c>
      <c r="G659" s="3">
        <f t="shared" si="145"/>
        <v>1.71</v>
      </c>
      <c r="H659">
        <v>22.8</v>
      </c>
      <c r="I659" s="5">
        <f t="shared" si="141"/>
        <v>22.8</v>
      </c>
      <c r="J659" s="16" t="str">
        <f t="shared" si="146"/>
        <v>Normal</v>
      </c>
      <c r="K659">
        <v>87.7</v>
      </c>
      <c r="L659">
        <v>0.51300000000000001</v>
      </c>
      <c r="M659" s="11">
        <f t="shared" si="142"/>
        <v>0.51300000000000001</v>
      </c>
      <c r="N659" s="5">
        <f t="shared" si="147"/>
        <v>87.7</v>
      </c>
      <c r="O659">
        <v>235</v>
      </c>
      <c r="P659">
        <v>58</v>
      </c>
      <c r="Q659" s="8">
        <f t="shared" si="148"/>
        <v>58</v>
      </c>
      <c r="R659" s="8">
        <v>147</v>
      </c>
      <c r="S659" s="8">
        <f t="shared" si="149"/>
        <v>147</v>
      </c>
      <c r="T659" s="8">
        <f>(Table1[[#This Row],[Total Cholesterol (mg/dL)]]+Table1[[#This Row],[HDL (mg/dL)2]]+Table1[[#This Row],[Estimated LDL (mg/dL)2]])*5</f>
        <v>2200</v>
      </c>
      <c r="U659" s="8">
        <f>IF(O659="",Table1[[#This Row],[Estimated LDL (mg/dL)2]]+Table1[[#This Row],[HDL (mg/dL)2]]+(Table1[[#This Row],[Triglycerides]]/5),O659)</f>
        <v>235</v>
      </c>
      <c r="V659">
        <v>85</v>
      </c>
      <c r="W659" s="8">
        <f t="shared" si="150"/>
        <v>85</v>
      </c>
      <c r="X659" t="str">
        <f t="shared" si="151"/>
        <v>Normal</v>
      </c>
      <c r="Y659" t="s">
        <v>22</v>
      </c>
      <c r="Z659" t="s">
        <v>23</v>
      </c>
      <c r="AA659" t="s">
        <v>24</v>
      </c>
      <c r="AB659" s="3" t="s">
        <v>541</v>
      </c>
      <c r="AC659">
        <v>120</v>
      </c>
      <c r="AD659" s="3" t="str">
        <f t="shared" si="152"/>
        <v>120</v>
      </c>
      <c r="AE659">
        <v>100</v>
      </c>
      <c r="AF659" s="3" t="str">
        <f t="shared" si="153"/>
        <v>100</v>
      </c>
      <c r="AG659" t="s">
        <v>38</v>
      </c>
      <c r="AH659" s="3">
        <v>17.260000000000002</v>
      </c>
      <c r="AI659" s="3">
        <f t="shared" si="154"/>
        <v>17.260000000000002</v>
      </c>
      <c r="AJ659" t="s">
        <v>30</v>
      </c>
      <c r="AK659" t="str">
        <f>PROPER(Table1[[#This Row],[CVD Risk Level]])</f>
        <v>High</v>
      </c>
    </row>
    <row r="660" spans="1:37" x14ac:dyDescent="0.3">
      <c r="A660" t="s">
        <v>20</v>
      </c>
      <c r="B660">
        <v>59</v>
      </c>
      <c r="C660" s="8">
        <f t="shared" si="143"/>
        <v>59</v>
      </c>
      <c r="D660" s="5">
        <v>60.6</v>
      </c>
      <c r="E660" s="8">
        <f t="shared" si="144"/>
        <v>60.6</v>
      </c>
      <c r="F660">
        <v>1.75</v>
      </c>
      <c r="G660" s="3">
        <f t="shared" si="145"/>
        <v>1.75</v>
      </c>
      <c r="H660">
        <v>19.8</v>
      </c>
      <c r="I660" s="5">
        <f t="shared" si="141"/>
        <v>19.8</v>
      </c>
      <c r="J660" s="16" t="str">
        <f t="shared" si="146"/>
        <v>Normal</v>
      </c>
      <c r="K660">
        <v>78.099999999999994</v>
      </c>
      <c r="L660">
        <v>0.44600000000000001</v>
      </c>
      <c r="M660" s="11">
        <f t="shared" si="142"/>
        <v>0.44600000000000001</v>
      </c>
      <c r="N660" s="5">
        <f t="shared" si="147"/>
        <v>78.099999999999994</v>
      </c>
      <c r="O660">
        <v>153</v>
      </c>
      <c r="P660">
        <v>58</v>
      </c>
      <c r="Q660" s="8">
        <f t="shared" si="148"/>
        <v>58</v>
      </c>
      <c r="R660" s="8">
        <v>65</v>
      </c>
      <c r="S660" s="8">
        <f t="shared" si="149"/>
        <v>65</v>
      </c>
      <c r="T660" s="8">
        <f>(Table1[[#This Row],[Total Cholesterol (mg/dL)]]+Table1[[#This Row],[HDL (mg/dL)2]]+Table1[[#This Row],[Estimated LDL (mg/dL)2]])*5</f>
        <v>1380</v>
      </c>
      <c r="U660" s="8">
        <f>IF(O660="",Table1[[#This Row],[Estimated LDL (mg/dL)2]]+Table1[[#This Row],[HDL (mg/dL)2]]+(Table1[[#This Row],[Triglycerides]]/5),O660)</f>
        <v>153</v>
      </c>
      <c r="V660">
        <v>144</v>
      </c>
      <c r="W660" s="8">
        <f t="shared" si="150"/>
        <v>144</v>
      </c>
      <c r="X660" t="str">
        <f t="shared" si="151"/>
        <v>Diabetes</v>
      </c>
      <c r="Y660" t="s">
        <v>22</v>
      </c>
      <c r="Z660" t="s">
        <v>23</v>
      </c>
      <c r="AA660" t="s">
        <v>24</v>
      </c>
      <c r="AB660" s="3" t="s">
        <v>598</v>
      </c>
      <c r="AC660">
        <v>130</v>
      </c>
      <c r="AD660" s="3" t="str">
        <f t="shared" si="152"/>
        <v>130</v>
      </c>
      <c r="AE660">
        <v>98</v>
      </c>
      <c r="AF660" s="3" t="str">
        <f t="shared" si="153"/>
        <v>98</v>
      </c>
      <c r="AG660" t="s">
        <v>29</v>
      </c>
      <c r="AH660" s="3">
        <v>15.52</v>
      </c>
      <c r="AI660" s="3">
        <f t="shared" si="154"/>
        <v>15.52</v>
      </c>
      <c r="AJ660" t="s">
        <v>30</v>
      </c>
      <c r="AK660" t="str">
        <f>PROPER(Table1[[#This Row],[CVD Risk Level]])</f>
        <v>High</v>
      </c>
    </row>
    <row r="661" spans="1:37" x14ac:dyDescent="0.3">
      <c r="A661" t="s">
        <v>31</v>
      </c>
      <c r="B661">
        <v>58</v>
      </c>
      <c r="C661" s="8">
        <f t="shared" si="143"/>
        <v>58</v>
      </c>
      <c r="D661" s="5">
        <v>109.5</v>
      </c>
      <c r="E661" s="8">
        <f t="shared" si="144"/>
        <v>109.5</v>
      </c>
      <c r="F661">
        <v>1.79</v>
      </c>
      <c r="G661" s="3">
        <f t="shared" si="145"/>
        <v>1.79</v>
      </c>
      <c r="H661">
        <v>34.200000000000003</v>
      </c>
      <c r="I661" s="5">
        <f t="shared" si="141"/>
        <v>34.200000000000003</v>
      </c>
      <c r="J661" s="16" t="str">
        <f t="shared" si="146"/>
        <v>Obese</v>
      </c>
      <c r="K661">
        <v>103.4</v>
      </c>
      <c r="L661">
        <v>0.57799999999999996</v>
      </c>
      <c r="M661" s="11">
        <f t="shared" si="142"/>
        <v>0.57799999999999996</v>
      </c>
      <c r="N661" s="5">
        <f t="shared" si="147"/>
        <v>103.4</v>
      </c>
      <c r="O661">
        <v>109</v>
      </c>
      <c r="Q661" s="8">
        <f t="shared" si="148"/>
        <v>56.197377501725327</v>
      </c>
      <c r="R661" s="8">
        <v>31</v>
      </c>
      <c r="S661" s="8">
        <f>IF(R661&lt;=0,MEDIAN($R$2:$R$1530),R661)</f>
        <v>31</v>
      </c>
      <c r="T661" s="8">
        <f>(Table1[[#This Row],[Total Cholesterol (mg/dL)]]+Table1[[#This Row],[HDL (mg/dL)2]]+Table1[[#This Row],[Estimated LDL (mg/dL)2]])*5</f>
        <v>980.98688750862664</v>
      </c>
      <c r="U661" s="8">
        <f>IF(O661="",Table1[[#This Row],[Estimated LDL (mg/dL)2]]+Table1[[#This Row],[HDL (mg/dL)2]]+(Table1[[#This Row],[Triglycerides]]/5),O661)</f>
        <v>109</v>
      </c>
      <c r="V661">
        <v>92</v>
      </c>
      <c r="W661" s="8">
        <f t="shared" si="150"/>
        <v>92</v>
      </c>
      <c r="X661" t="str">
        <f t="shared" si="151"/>
        <v>Normal</v>
      </c>
      <c r="Y661" t="s">
        <v>23</v>
      </c>
      <c r="Z661" t="s">
        <v>23</v>
      </c>
      <c r="AA661" t="s">
        <v>28</v>
      </c>
      <c r="AB661" s="3" t="s">
        <v>364</v>
      </c>
      <c r="AC661">
        <v>117</v>
      </c>
      <c r="AD661" s="3" t="str">
        <f t="shared" si="152"/>
        <v>117</v>
      </c>
      <c r="AE661">
        <v>81</v>
      </c>
      <c r="AF661" s="3" t="str">
        <f t="shared" si="153"/>
        <v>81</v>
      </c>
      <c r="AG661" t="s">
        <v>29</v>
      </c>
      <c r="AH661" s="3">
        <v>16.87</v>
      </c>
      <c r="AI661" s="3">
        <f t="shared" si="154"/>
        <v>16.87</v>
      </c>
      <c r="AJ661" t="s">
        <v>30</v>
      </c>
      <c r="AK661" t="str">
        <f>PROPER(Table1[[#This Row],[CVD Risk Level]])</f>
        <v>High</v>
      </c>
    </row>
    <row r="662" spans="1:37" x14ac:dyDescent="0.3">
      <c r="A662" t="s">
        <v>20</v>
      </c>
      <c r="B662">
        <v>51</v>
      </c>
      <c r="C662" s="8">
        <f t="shared" si="143"/>
        <v>51</v>
      </c>
      <c r="D662" s="5">
        <v>112.1</v>
      </c>
      <c r="E662" s="8">
        <f t="shared" si="144"/>
        <v>112.1</v>
      </c>
      <c r="F662">
        <v>1.81</v>
      </c>
      <c r="G662" s="3">
        <f t="shared" si="145"/>
        <v>1.81</v>
      </c>
      <c r="H662">
        <v>34.200000000000003</v>
      </c>
      <c r="I662" s="5">
        <f t="shared" si="141"/>
        <v>34.200000000000003</v>
      </c>
      <c r="J662" s="16" t="str">
        <f t="shared" si="146"/>
        <v>Obese</v>
      </c>
      <c r="K662">
        <v>100.2</v>
      </c>
      <c r="L662">
        <v>0.55400000000000005</v>
      </c>
      <c r="M662" s="11">
        <f t="shared" si="142"/>
        <v>0.55400000000000005</v>
      </c>
      <c r="N662" s="5">
        <f t="shared" si="147"/>
        <v>100.2</v>
      </c>
      <c r="O662">
        <v>289</v>
      </c>
      <c r="P662">
        <v>43</v>
      </c>
      <c r="Q662" s="8">
        <f t="shared" si="148"/>
        <v>43</v>
      </c>
      <c r="R662" s="8">
        <v>216</v>
      </c>
      <c r="S662" s="8">
        <f t="shared" si="149"/>
        <v>216</v>
      </c>
      <c r="T662" s="8">
        <f>(Table1[[#This Row],[Total Cholesterol (mg/dL)]]+Table1[[#This Row],[HDL (mg/dL)2]]+Table1[[#This Row],[Estimated LDL (mg/dL)2]])*5</f>
        <v>2740</v>
      </c>
      <c r="U662" s="8">
        <f>IF(O662="",Table1[[#This Row],[Estimated LDL (mg/dL)2]]+Table1[[#This Row],[HDL (mg/dL)2]]+(Table1[[#This Row],[Triglycerides]]/5),O662)</f>
        <v>289</v>
      </c>
      <c r="W662" s="8">
        <f t="shared" si="150"/>
        <v>117.48563611491107</v>
      </c>
      <c r="X662" t="str">
        <f t="shared" si="151"/>
        <v>Prediabetes</v>
      </c>
      <c r="Y662" t="s">
        <v>22</v>
      </c>
      <c r="Z662" t="s">
        <v>22</v>
      </c>
      <c r="AA662" t="s">
        <v>37</v>
      </c>
      <c r="AB662" s="3" t="s">
        <v>599</v>
      </c>
      <c r="AC662">
        <v>103</v>
      </c>
      <c r="AD662" s="3" t="str">
        <f t="shared" si="152"/>
        <v>103</v>
      </c>
      <c r="AE662">
        <v>85</v>
      </c>
      <c r="AF662" s="3" t="str">
        <f t="shared" si="153"/>
        <v>85</v>
      </c>
      <c r="AG662" t="s">
        <v>29</v>
      </c>
      <c r="AH662" s="3">
        <v>17.77</v>
      </c>
      <c r="AI662" s="3">
        <f t="shared" si="154"/>
        <v>17.77</v>
      </c>
      <c r="AJ662" t="s">
        <v>26</v>
      </c>
      <c r="AK662" t="str">
        <f>PROPER(Table1[[#This Row],[CVD Risk Level]])</f>
        <v>Intermediary</v>
      </c>
    </row>
    <row r="663" spans="1:37" x14ac:dyDescent="0.3">
      <c r="A663" t="s">
        <v>31</v>
      </c>
      <c r="B663">
        <v>41</v>
      </c>
      <c r="C663" s="8">
        <f t="shared" si="143"/>
        <v>41</v>
      </c>
      <c r="D663" s="5">
        <v>59.2</v>
      </c>
      <c r="E663" s="8">
        <f t="shared" si="144"/>
        <v>59.2</v>
      </c>
      <c r="F663">
        <v>1.65</v>
      </c>
      <c r="G663" s="3">
        <f t="shared" si="145"/>
        <v>1.65</v>
      </c>
      <c r="I663" s="5">
        <f t="shared" si="141"/>
        <v>21.74471992653811</v>
      </c>
      <c r="J663" s="16" t="str">
        <f t="shared" si="146"/>
        <v>Normal</v>
      </c>
      <c r="K663">
        <v>90.4</v>
      </c>
      <c r="L663">
        <v>0.54800000000000004</v>
      </c>
      <c r="M663" s="11">
        <f t="shared" si="142"/>
        <v>0.54800000000000004</v>
      </c>
      <c r="N663" s="5">
        <f t="shared" si="147"/>
        <v>90.4</v>
      </c>
      <c r="O663">
        <v>114</v>
      </c>
      <c r="P663">
        <v>56</v>
      </c>
      <c r="Q663" s="8">
        <f t="shared" si="148"/>
        <v>56</v>
      </c>
      <c r="R663" s="8">
        <v>28</v>
      </c>
      <c r="S663" s="8">
        <f t="shared" si="149"/>
        <v>28</v>
      </c>
      <c r="T663" s="8">
        <f>(Table1[[#This Row],[Total Cholesterol (mg/dL)]]+Table1[[#This Row],[HDL (mg/dL)2]]+Table1[[#This Row],[Estimated LDL (mg/dL)2]])*5</f>
        <v>990</v>
      </c>
      <c r="U663" s="8">
        <f>IF(O663="",Table1[[#This Row],[Estimated LDL (mg/dL)2]]+Table1[[#This Row],[HDL (mg/dL)2]]+(Table1[[#This Row],[Triglycerides]]/5),O663)</f>
        <v>114</v>
      </c>
      <c r="V663">
        <v>134</v>
      </c>
      <c r="W663" s="8">
        <f t="shared" si="150"/>
        <v>134</v>
      </c>
      <c r="X663" t="str">
        <f t="shared" si="151"/>
        <v>Diabetes</v>
      </c>
      <c r="Y663" t="s">
        <v>23</v>
      </c>
      <c r="Z663" t="s">
        <v>22</v>
      </c>
      <c r="AA663" t="s">
        <v>28</v>
      </c>
      <c r="AB663" s="3" t="s">
        <v>600</v>
      </c>
      <c r="AC663">
        <v>150</v>
      </c>
      <c r="AD663" s="3" t="str">
        <f t="shared" si="152"/>
        <v>150</v>
      </c>
      <c r="AE663">
        <v>98</v>
      </c>
      <c r="AF663" s="3" t="str">
        <f t="shared" si="153"/>
        <v>98</v>
      </c>
      <c r="AG663" t="s">
        <v>38</v>
      </c>
      <c r="AH663" s="3">
        <v>14.12</v>
      </c>
      <c r="AI663" s="3">
        <f t="shared" si="154"/>
        <v>14.12</v>
      </c>
      <c r="AJ663" t="s">
        <v>26</v>
      </c>
      <c r="AK663" t="str">
        <f>PROPER(Table1[[#This Row],[CVD Risk Level]])</f>
        <v>Intermediary</v>
      </c>
    </row>
    <row r="664" spans="1:37" x14ac:dyDescent="0.3">
      <c r="A664" t="s">
        <v>20</v>
      </c>
      <c r="B664">
        <v>32</v>
      </c>
      <c r="C664" s="8">
        <f t="shared" si="143"/>
        <v>32</v>
      </c>
      <c r="D664" s="5">
        <v>73.3</v>
      </c>
      <c r="E664" s="8">
        <f t="shared" si="144"/>
        <v>73.3</v>
      </c>
      <c r="F664">
        <v>1.61</v>
      </c>
      <c r="G664" s="3">
        <f t="shared" si="145"/>
        <v>1.61</v>
      </c>
      <c r="H664">
        <v>28.3</v>
      </c>
      <c r="I664" s="5">
        <f t="shared" si="141"/>
        <v>28.3</v>
      </c>
      <c r="J664" s="16" t="str">
        <f t="shared" si="146"/>
        <v>Overweight</v>
      </c>
      <c r="K664">
        <v>101.2</v>
      </c>
      <c r="M664" s="11">
        <f t="shared" si="142"/>
        <v>0.62857142857142856</v>
      </c>
      <c r="N664" s="5">
        <f t="shared" si="147"/>
        <v>101.2</v>
      </c>
      <c r="O664">
        <v>260</v>
      </c>
      <c r="P664">
        <v>78</v>
      </c>
      <c r="Q664" s="8">
        <f t="shared" si="148"/>
        <v>78</v>
      </c>
      <c r="R664" s="8">
        <v>152</v>
      </c>
      <c r="S664" s="8">
        <f t="shared" si="149"/>
        <v>152</v>
      </c>
      <c r="T664" s="8">
        <f>(Table1[[#This Row],[Total Cholesterol (mg/dL)]]+Table1[[#This Row],[HDL (mg/dL)2]]+Table1[[#This Row],[Estimated LDL (mg/dL)2]])*5</f>
        <v>2450</v>
      </c>
      <c r="U664" s="8">
        <f>IF(O664="",Table1[[#This Row],[Estimated LDL (mg/dL)2]]+Table1[[#This Row],[HDL (mg/dL)2]]+(Table1[[#This Row],[Triglycerides]]/5),O664)</f>
        <v>260</v>
      </c>
      <c r="V664">
        <v>74</v>
      </c>
      <c r="W664" s="8">
        <f t="shared" si="150"/>
        <v>74</v>
      </c>
      <c r="X664" t="str">
        <f t="shared" si="151"/>
        <v>Normal</v>
      </c>
      <c r="Y664" t="s">
        <v>22</v>
      </c>
      <c r="Z664" t="s">
        <v>23</v>
      </c>
      <c r="AA664" t="s">
        <v>37</v>
      </c>
      <c r="AB664" s="3" t="s">
        <v>69</v>
      </c>
      <c r="AC664">
        <v>136</v>
      </c>
      <c r="AD664" s="3" t="str">
        <f t="shared" si="152"/>
        <v>136</v>
      </c>
      <c r="AE664">
        <v>80</v>
      </c>
      <c r="AF664" s="3" t="str">
        <f t="shared" si="153"/>
        <v>80</v>
      </c>
      <c r="AG664" t="s">
        <v>29</v>
      </c>
      <c r="AH664" s="3">
        <v>19.66</v>
      </c>
      <c r="AI664" s="3">
        <f t="shared" si="154"/>
        <v>19.66</v>
      </c>
      <c r="AJ664" t="s">
        <v>26</v>
      </c>
      <c r="AK664" t="str">
        <f>PROPER(Table1[[#This Row],[CVD Risk Level]])</f>
        <v>Intermediary</v>
      </c>
    </row>
    <row r="665" spans="1:37" x14ac:dyDescent="0.3">
      <c r="A665" t="s">
        <v>31</v>
      </c>
      <c r="B665">
        <v>41</v>
      </c>
      <c r="C665" s="8">
        <f t="shared" si="143"/>
        <v>41</v>
      </c>
      <c r="D665" s="5">
        <v>110.9</v>
      </c>
      <c r="E665" s="8">
        <f t="shared" si="144"/>
        <v>110.9</v>
      </c>
      <c r="F665">
        <v>1.74</v>
      </c>
      <c r="G665" s="3">
        <f t="shared" si="145"/>
        <v>1.74</v>
      </c>
      <c r="H665">
        <v>36.6</v>
      </c>
      <c r="I665" s="5">
        <f t="shared" si="141"/>
        <v>36.6</v>
      </c>
      <c r="J665" s="16" t="str">
        <f t="shared" si="146"/>
        <v>Obese</v>
      </c>
      <c r="K665">
        <v>92.8</v>
      </c>
      <c r="L665">
        <v>0.53300000000000003</v>
      </c>
      <c r="M665" s="11">
        <f t="shared" si="142"/>
        <v>0.53300000000000003</v>
      </c>
      <c r="N665" s="5">
        <f t="shared" si="147"/>
        <v>92.8</v>
      </c>
      <c r="O665">
        <v>125</v>
      </c>
      <c r="P665">
        <v>70</v>
      </c>
      <c r="Q665" s="8">
        <f t="shared" si="148"/>
        <v>70</v>
      </c>
      <c r="R665" s="8">
        <v>25</v>
      </c>
      <c r="S665" s="8">
        <f t="shared" si="149"/>
        <v>25</v>
      </c>
      <c r="T665" s="8">
        <f>(Table1[[#This Row],[Total Cholesterol (mg/dL)]]+Table1[[#This Row],[HDL (mg/dL)2]]+Table1[[#This Row],[Estimated LDL (mg/dL)2]])*5</f>
        <v>1100</v>
      </c>
      <c r="U665" s="8">
        <f>IF(O665="",Table1[[#This Row],[Estimated LDL (mg/dL)2]]+Table1[[#This Row],[HDL (mg/dL)2]]+(Table1[[#This Row],[Triglycerides]]/5),O665)</f>
        <v>125</v>
      </c>
      <c r="V665">
        <v>85</v>
      </c>
      <c r="W665" s="8">
        <f t="shared" si="150"/>
        <v>85</v>
      </c>
      <c r="X665" t="str">
        <f t="shared" si="151"/>
        <v>Normal</v>
      </c>
      <c r="Y665" t="s">
        <v>23</v>
      </c>
      <c r="Z665" t="s">
        <v>23</v>
      </c>
      <c r="AA665" t="s">
        <v>24</v>
      </c>
      <c r="AB665" s="3" t="s">
        <v>601</v>
      </c>
      <c r="AC665">
        <v>114</v>
      </c>
      <c r="AD665" s="3" t="str">
        <f t="shared" si="152"/>
        <v>114</v>
      </c>
      <c r="AE665">
        <v>89</v>
      </c>
      <c r="AF665" s="3" t="str">
        <f t="shared" si="153"/>
        <v>89</v>
      </c>
      <c r="AG665" t="s">
        <v>29</v>
      </c>
      <c r="AH665" s="3">
        <v>17.52</v>
      </c>
      <c r="AI665" s="3">
        <f t="shared" si="154"/>
        <v>17.52</v>
      </c>
      <c r="AJ665" t="s">
        <v>30</v>
      </c>
      <c r="AK665" t="str">
        <f>PROPER(Table1[[#This Row],[CVD Risk Level]])</f>
        <v>High</v>
      </c>
    </row>
    <row r="666" spans="1:37" x14ac:dyDescent="0.3">
      <c r="A666" t="s">
        <v>20</v>
      </c>
      <c r="B666">
        <v>35</v>
      </c>
      <c r="C666" s="8">
        <f t="shared" si="143"/>
        <v>35</v>
      </c>
      <c r="D666" s="5">
        <v>50.1</v>
      </c>
      <c r="E666" s="8">
        <f t="shared" si="144"/>
        <v>50.1</v>
      </c>
      <c r="F666">
        <v>1.8</v>
      </c>
      <c r="G666" s="3">
        <f t="shared" si="145"/>
        <v>1.8</v>
      </c>
      <c r="H666">
        <v>15.5</v>
      </c>
      <c r="I666" s="5">
        <f t="shared" si="141"/>
        <v>15.5</v>
      </c>
      <c r="J666" s="16" t="str">
        <f t="shared" si="146"/>
        <v>Underweight</v>
      </c>
      <c r="K666">
        <v>89</v>
      </c>
      <c r="L666">
        <v>0.49399999999999999</v>
      </c>
      <c r="M666" s="11">
        <f t="shared" si="142"/>
        <v>0.49399999999999999</v>
      </c>
      <c r="N666" s="5">
        <f t="shared" si="147"/>
        <v>89</v>
      </c>
      <c r="O666">
        <v>262</v>
      </c>
      <c r="P666">
        <v>54</v>
      </c>
      <c r="Q666" s="8">
        <f t="shared" si="148"/>
        <v>54</v>
      </c>
      <c r="R666" s="8">
        <v>178</v>
      </c>
      <c r="S666" s="8">
        <f t="shared" si="149"/>
        <v>178</v>
      </c>
      <c r="T666" s="8">
        <f>(Table1[[#This Row],[Total Cholesterol (mg/dL)]]+Table1[[#This Row],[HDL (mg/dL)2]]+Table1[[#This Row],[Estimated LDL (mg/dL)2]])*5</f>
        <v>2470</v>
      </c>
      <c r="U666" s="8">
        <f>IF(O666="",Table1[[#This Row],[Estimated LDL (mg/dL)2]]+Table1[[#This Row],[HDL (mg/dL)2]]+(Table1[[#This Row],[Triglycerides]]/5),O666)</f>
        <v>262</v>
      </c>
      <c r="V666">
        <v>121</v>
      </c>
      <c r="W666" s="8">
        <f t="shared" si="150"/>
        <v>121</v>
      </c>
      <c r="X666" t="str">
        <f t="shared" si="151"/>
        <v>Prediabetes</v>
      </c>
      <c r="Y666" t="s">
        <v>22</v>
      </c>
      <c r="Z666" t="s">
        <v>22</v>
      </c>
      <c r="AA666" t="s">
        <v>24</v>
      </c>
      <c r="AB666" s="3" t="s">
        <v>602</v>
      </c>
      <c r="AC666">
        <v>127</v>
      </c>
      <c r="AD666" s="3" t="str">
        <f t="shared" si="152"/>
        <v>127</v>
      </c>
      <c r="AE666">
        <v>74</v>
      </c>
      <c r="AF666" s="3" t="str">
        <f t="shared" si="153"/>
        <v>74</v>
      </c>
      <c r="AG666" t="s">
        <v>25</v>
      </c>
      <c r="AH666" s="3">
        <v>14.69</v>
      </c>
      <c r="AI666" s="3">
        <f t="shared" si="154"/>
        <v>14.69</v>
      </c>
      <c r="AJ666" t="s">
        <v>26</v>
      </c>
      <c r="AK666" t="str">
        <f>PROPER(Table1[[#This Row],[CVD Risk Level]])</f>
        <v>Intermediary</v>
      </c>
    </row>
    <row r="667" spans="1:37" x14ac:dyDescent="0.3">
      <c r="A667" t="s">
        <v>31</v>
      </c>
      <c r="B667">
        <v>36</v>
      </c>
      <c r="C667" s="8">
        <f t="shared" si="143"/>
        <v>36</v>
      </c>
      <c r="D667" s="5">
        <v>58.7</v>
      </c>
      <c r="E667" s="8">
        <f t="shared" si="144"/>
        <v>58.7</v>
      </c>
      <c r="F667">
        <v>1.74</v>
      </c>
      <c r="G667" s="3">
        <f t="shared" si="145"/>
        <v>1.74</v>
      </c>
      <c r="I667" s="5">
        <f t="shared" si="141"/>
        <v>19.388294358567844</v>
      </c>
      <c r="J667" s="16" t="str">
        <f t="shared" si="146"/>
        <v>Normal</v>
      </c>
      <c r="K667">
        <v>98.7</v>
      </c>
      <c r="L667">
        <v>0.56699999999999995</v>
      </c>
      <c r="M667" s="11">
        <f t="shared" si="142"/>
        <v>0.56699999999999995</v>
      </c>
      <c r="N667" s="5">
        <f t="shared" si="147"/>
        <v>98.7</v>
      </c>
      <c r="O667">
        <v>159</v>
      </c>
      <c r="P667">
        <v>74</v>
      </c>
      <c r="Q667" s="8">
        <f t="shared" si="148"/>
        <v>74</v>
      </c>
      <c r="R667" s="8">
        <v>55</v>
      </c>
      <c r="S667" s="8">
        <f t="shared" si="149"/>
        <v>55</v>
      </c>
      <c r="T667" s="8">
        <f>(Table1[[#This Row],[Total Cholesterol (mg/dL)]]+Table1[[#This Row],[HDL (mg/dL)2]]+Table1[[#This Row],[Estimated LDL (mg/dL)2]])*5</f>
        <v>1440</v>
      </c>
      <c r="U667" s="8">
        <f>IF(O667="",Table1[[#This Row],[Estimated LDL (mg/dL)2]]+Table1[[#This Row],[HDL (mg/dL)2]]+(Table1[[#This Row],[Triglycerides]]/5),O667)</f>
        <v>159</v>
      </c>
      <c r="V667">
        <v>139</v>
      </c>
      <c r="W667" s="8">
        <f t="shared" si="150"/>
        <v>139</v>
      </c>
      <c r="X667" t="str">
        <f t="shared" si="151"/>
        <v>Diabetes</v>
      </c>
      <c r="Y667" t="s">
        <v>22</v>
      </c>
      <c r="Z667" t="s">
        <v>23</v>
      </c>
      <c r="AA667" t="s">
        <v>28</v>
      </c>
      <c r="AB667" s="3" t="s">
        <v>103</v>
      </c>
      <c r="AC667">
        <v>102</v>
      </c>
      <c r="AD667" s="3" t="str">
        <f t="shared" si="152"/>
        <v>102</v>
      </c>
      <c r="AE667">
        <v>79</v>
      </c>
      <c r="AF667" s="3" t="str">
        <f t="shared" si="153"/>
        <v>79</v>
      </c>
      <c r="AG667" t="s">
        <v>33</v>
      </c>
      <c r="AH667" s="3">
        <v>14.16</v>
      </c>
      <c r="AI667" s="3">
        <f t="shared" si="154"/>
        <v>14.16</v>
      </c>
      <c r="AJ667" t="s">
        <v>52</v>
      </c>
      <c r="AK667" t="str">
        <f>PROPER(Table1[[#This Row],[CVD Risk Level]])</f>
        <v>Low</v>
      </c>
    </row>
    <row r="668" spans="1:37" x14ac:dyDescent="0.3">
      <c r="A668" t="s">
        <v>31</v>
      </c>
      <c r="B668">
        <v>53</v>
      </c>
      <c r="C668" s="8">
        <f t="shared" si="143"/>
        <v>53</v>
      </c>
      <c r="D668" s="5">
        <v>87.9</v>
      </c>
      <c r="E668" s="8">
        <f t="shared" si="144"/>
        <v>87.9</v>
      </c>
      <c r="F668">
        <v>1.75</v>
      </c>
      <c r="G668" s="3">
        <f t="shared" si="145"/>
        <v>1.75</v>
      </c>
      <c r="H668">
        <v>28.7</v>
      </c>
      <c r="I668" s="5">
        <f t="shared" si="141"/>
        <v>28.7</v>
      </c>
      <c r="J668" s="16" t="str">
        <f t="shared" si="146"/>
        <v>Overweight</v>
      </c>
      <c r="K668">
        <v>89.9</v>
      </c>
      <c r="L668">
        <v>0.51400000000000001</v>
      </c>
      <c r="M668" s="11">
        <f t="shared" si="142"/>
        <v>0.51400000000000001</v>
      </c>
      <c r="N668" s="5">
        <f t="shared" si="147"/>
        <v>89.9</v>
      </c>
      <c r="O668">
        <v>230</v>
      </c>
      <c r="P668">
        <v>34</v>
      </c>
      <c r="Q668" s="8">
        <f t="shared" si="148"/>
        <v>34</v>
      </c>
      <c r="R668" s="8">
        <v>166</v>
      </c>
      <c r="S668" s="8">
        <f t="shared" si="149"/>
        <v>166</v>
      </c>
      <c r="T668" s="8">
        <f>(Table1[[#This Row],[Total Cholesterol (mg/dL)]]+Table1[[#This Row],[HDL (mg/dL)2]]+Table1[[#This Row],[Estimated LDL (mg/dL)2]])*5</f>
        <v>2150</v>
      </c>
      <c r="U668" s="8">
        <f>IF(O668="",Table1[[#This Row],[Estimated LDL (mg/dL)2]]+Table1[[#This Row],[HDL (mg/dL)2]]+(Table1[[#This Row],[Triglycerides]]/5),O668)</f>
        <v>230</v>
      </c>
      <c r="V668">
        <v>112</v>
      </c>
      <c r="W668" s="8">
        <f t="shared" si="150"/>
        <v>112</v>
      </c>
      <c r="X668" t="str">
        <f t="shared" si="151"/>
        <v>Prediabetes</v>
      </c>
      <c r="Y668" t="s">
        <v>22</v>
      </c>
      <c r="Z668" t="s">
        <v>22</v>
      </c>
      <c r="AA668" t="s">
        <v>37</v>
      </c>
      <c r="AB668" s="3" t="s">
        <v>603</v>
      </c>
      <c r="AC668">
        <v>140</v>
      </c>
      <c r="AD668" s="3" t="str">
        <f t="shared" si="152"/>
        <v>140</v>
      </c>
      <c r="AE668">
        <v>72</v>
      </c>
      <c r="AF668" s="3" t="str">
        <f t="shared" si="153"/>
        <v>72</v>
      </c>
      <c r="AG668" t="s">
        <v>38</v>
      </c>
      <c r="AH668" s="3">
        <v>17.34</v>
      </c>
      <c r="AI668" s="3">
        <f t="shared" si="154"/>
        <v>17.34</v>
      </c>
      <c r="AJ668" t="s">
        <v>30</v>
      </c>
      <c r="AK668" t="str">
        <f>PROPER(Table1[[#This Row],[CVD Risk Level]])</f>
        <v>High</v>
      </c>
    </row>
    <row r="669" spans="1:37" x14ac:dyDescent="0.3">
      <c r="A669" t="s">
        <v>31</v>
      </c>
      <c r="B669">
        <v>50</v>
      </c>
      <c r="C669" s="8">
        <f t="shared" si="143"/>
        <v>50</v>
      </c>
      <c r="D669" s="5">
        <v>52.1</v>
      </c>
      <c r="E669" s="8">
        <f t="shared" si="144"/>
        <v>52.1</v>
      </c>
      <c r="F669">
        <v>1.79</v>
      </c>
      <c r="G669" s="3">
        <f t="shared" si="145"/>
        <v>1.79</v>
      </c>
      <c r="H669">
        <v>16.3</v>
      </c>
      <c r="I669" s="5">
        <f t="shared" si="141"/>
        <v>16.3</v>
      </c>
      <c r="J669" s="16" t="str">
        <f t="shared" si="146"/>
        <v>Underweight</v>
      </c>
      <c r="K669">
        <v>73.7</v>
      </c>
      <c r="L669">
        <v>0.41199999999999998</v>
      </c>
      <c r="M669" s="11">
        <f t="shared" si="142"/>
        <v>0.41199999999999998</v>
      </c>
      <c r="N669" s="5">
        <f t="shared" si="147"/>
        <v>73.7</v>
      </c>
      <c r="O669">
        <v>296</v>
      </c>
      <c r="P669">
        <v>54</v>
      </c>
      <c r="Q669" s="8">
        <f t="shared" si="148"/>
        <v>54</v>
      </c>
      <c r="R669" s="8">
        <v>212</v>
      </c>
      <c r="S669" s="8">
        <f t="shared" si="149"/>
        <v>212</v>
      </c>
      <c r="T669" s="8">
        <f>(Table1[[#This Row],[Total Cholesterol (mg/dL)]]+Table1[[#This Row],[HDL (mg/dL)2]]+Table1[[#This Row],[Estimated LDL (mg/dL)2]])*5</f>
        <v>2810</v>
      </c>
      <c r="U669" s="8">
        <f>IF(O669="",Table1[[#This Row],[Estimated LDL (mg/dL)2]]+Table1[[#This Row],[HDL (mg/dL)2]]+(Table1[[#This Row],[Triglycerides]]/5),O669)</f>
        <v>296</v>
      </c>
      <c r="V669">
        <v>106</v>
      </c>
      <c r="W669" s="8">
        <f t="shared" si="150"/>
        <v>106</v>
      </c>
      <c r="X669" t="str">
        <f t="shared" si="151"/>
        <v>Prediabetes</v>
      </c>
      <c r="Y669" t="s">
        <v>23</v>
      </c>
      <c r="Z669" t="s">
        <v>22</v>
      </c>
      <c r="AA669" t="s">
        <v>24</v>
      </c>
      <c r="AB669" s="3" t="s">
        <v>573</v>
      </c>
      <c r="AC669">
        <v>118</v>
      </c>
      <c r="AD669" s="3" t="str">
        <f t="shared" si="152"/>
        <v>118</v>
      </c>
      <c r="AE669">
        <v>97</v>
      </c>
      <c r="AF669" s="3" t="str">
        <f t="shared" si="153"/>
        <v>97</v>
      </c>
      <c r="AG669" t="s">
        <v>38</v>
      </c>
      <c r="AH669" s="3">
        <v>15.08</v>
      </c>
      <c r="AI669" s="3">
        <f t="shared" si="154"/>
        <v>15.08</v>
      </c>
      <c r="AJ669" t="s">
        <v>30</v>
      </c>
      <c r="AK669" t="str">
        <f>PROPER(Table1[[#This Row],[CVD Risk Level]])</f>
        <v>High</v>
      </c>
    </row>
    <row r="670" spans="1:37" x14ac:dyDescent="0.3">
      <c r="A670" t="s">
        <v>20</v>
      </c>
      <c r="B670">
        <v>30</v>
      </c>
      <c r="C670" s="8">
        <f t="shared" si="143"/>
        <v>30</v>
      </c>
      <c r="E670" s="8">
        <f t="shared" si="144"/>
        <v>99.915750000000003</v>
      </c>
      <c r="F670">
        <v>1.65</v>
      </c>
      <c r="G670" s="3">
        <f t="shared" si="145"/>
        <v>1.65</v>
      </c>
      <c r="H670">
        <v>36.700000000000003</v>
      </c>
      <c r="I670" s="5">
        <f t="shared" si="141"/>
        <v>36.700000000000003</v>
      </c>
      <c r="J670" s="16" t="str">
        <f t="shared" si="146"/>
        <v>Obese</v>
      </c>
      <c r="K670">
        <v>108.1</v>
      </c>
      <c r="L670">
        <v>0.65500000000000003</v>
      </c>
      <c r="M670" s="11">
        <f t="shared" si="142"/>
        <v>0.65500000000000003</v>
      </c>
      <c r="N670" s="5">
        <f t="shared" si="147"/>
        <v>108.1</v>
      </c>
      <c r="O670">
        <v>101</v>
      </c>
      <c r="P670">
        <v>31</v>
      </c>
      <c r="Q670" s="8">
        <f t="shared" si="148"/>
        <v>31</v>
      </c>
      <c r="R670" s="8">
        <v>40</v>
      </c>
      <c r="S670" s="8">
        <f t="shared" si="149"/>
        <v>40</v>
      </c>
      <c r="T670" s="8">
        <f>(Table1[[#This Row],[Total Cholesterol (mg/dL)]]+Table1[[#This Row],[HDL (mg/dL)2]]+Table1[[#This Row],[Estimated LDL (mg/dL)2]])*5</f>
        <v>860</v>
      </c>
      <c r="U670" s="8">
        <f>IF(O670="",Table1[[#This Row],[Estimated LDL (mg/dL)2]]+Table1[[#This Row],[HDL (mg/dL)2]]+(Table1[[#This Row],[Triglycerides]]/5),O670)</f>
        <v>101</v>
      </c>
      <c r="V670">
        <v>83</v>
      </c>
      <c r="W670" s="8">
        <f t="shared" si="150"/>
        <v>83</v>
      </c>
      <c r="X670" t="str">
        <f t="shared" si="151"/>
        <v>Normal</v>
      </c>
      <c r="Y670" t="s">
        <v>22</v>
      </c>
      <c r="Z670" t="s">
        <v>23</v>
      </c>
      <c r="AA670" t="s">
        <v>37</v>
      </c>
      <c r="AB670" s="3" t="s">
        <v>604</v>
      </c>
      <c r="AC670">
        <v>130</v>
      </c>
      <c r="AD670" s="3" t="str">
        <f t="shared" si="152"/>
        <v>130</v>
      </c>
      <c r="AE670">
        <v>81</v>
      </c>
      <c r="AF670" s="3" t="str">
        <f t="shared" si="153"/>
        <v>81</v>
      </c>
      <c r="AG670" t="s">
        <v>29</v>
      </c>
      <c r="AH670" s="3">
        <v>17.86</v>
      </c>
      <c r="AI670" s="3">
        <f t="shared" si="154"/>
        <v>17.86</v>
      </c>
      <c r="AJ670" t="s">
        <v>26</v>
      </c>
      <c r="AK670" t="str">
        <f>PROPER(Table1[[#This Row],[CVD Risk Level]])</f>
        <v>Intermediary</v>
      </c>
    </row>
    <row r="671" spans="1:37" x14ac:dyDescent="0.3">
      <c r="A671" t="s">
        <v>20</v>
      </c>
      <c r="B671">
        <v>59</v>
      </c>
      <c r="C671" s="8">
        <f t="shared" si="143"/>
        <v>59</v>
      </c>
      <c r="D671" s="5">
        <v>85.6</v>
      </c>
      <c r="E671" s="8">
        <f t="shared" si="144"/>
        <v>85.6</v>
      </c>
      <c r="F671">
        <v>1.89</v>
      </c>
      <c r="G671" s="3">
        <f t="shared" si="145"/>
        <v>1.89</v>
      </c>
      <c r="H671">
        <v>24</v>
      </c>
      <c r="I671" s="5">
        <f t="shared" si="141"/>
        <v>24</v>
      </c>
      <c r="J671" s="16" t="str">
        <f t="shared" si="146"/>
        <v>Normal</v>
      </c>
      <c r="K671">
        <v>89.1</v>
      </c>
      <c r="L671">
        <v>0.47099999999999997</v>
      </c>
      <c r="M671" s="11">
        <f t="shared" si="142"/>
        <v>0.47099999999999997</v>
      </c>
      <c r="N671" s="5">
        <f t="shared" si="147"/>
        <v>89.1</v>
      </c>
      <c r="O671">
        <v>243</v>
      </c>
      <c r="P671">
        <v>79</v>
      </c>
      <c r="Q671" s="8">
        <f t="shared" si="148"/>
        <v>79</v>
      </c>
      <c r="R671" s="8">
        <v>134</v>
      </c>
      <c r="S671" s="8">
        <f t="shared" si="149"/>
        <v>134</v>
      </c>
      <c r="T671" s="8">
        <f>(Table1[[#This Row],[Total Cholesterol (mg/dL)]]+Table1[[#This Row],[HDL (mg/dL)2]]+Table1[[#This Row],[Estimated LDL (mg/dL)2]])*5</f>
        <v>2280</v>
      </c>
      <c r="U671" s="8">
        <f>IF(O671="",Table1[[#This Row],[Estimated LDL (mg/dL)2]]+Table1[[#This Row],[HDL (mg/dL)2]]+(Table1[[#This Row],[Triglycerides]]/5),O671)</f>
        <v>243</v>
      </c>
      <c r="V671">
        <v>104</v>
      </c>
      <c r="W671" s="8">
        <f t="shared" si="150"/>
        <v>104</v>
      </c>
      <c r="X671" t="str">
        <f t="shared" si="151"/>
        <v>Prediabetes</v>
      </c>
      <c r="Y671" t="s">
        <v>23</v>
      </c>
      <c r="Z671" t="s">
        <v>22</v>
      </c>
      <c r="AA671" t="s">
        <v>28</v>
      </c>
      <c r="AB671" s="3" t="s">
        <v>605</v>
      </c>
      <c r="AD671" s="3" t="str">
        <f t="shared" si="152"/>
        <v>91</v>
      </c>
      <c r="AE671">
        <v>69</v>
      </c>
      <c r="AF671" s="3" t="str">
        <f t="shared" si="153"/>
        <v>69</v>
      </c>
      <c r="AG671" t="s">
        <v>33</v>
      </c>
      <c r="AH671" s="3">
        <v>14.21</v>
      </c>
      <c r="AI671" s="3">
        <f t="shared" si="154"/>
        <v>14.21</v>
      </c>
      <c r="AJ671" t="s">
        <v>26</v>
      </c>
      <c r="AK671" t="str">
        <f>PROPER(Table1[[#This Row],[CVD Risk Level]])</f>
        <v>Intermediary</v>
      </c>
    </row>
    <row r="672" spans="1:37" x14ac:dyDescent="0.3">
      <c r="A672" t="s">
        <v>31</v>
      </c>
      <c r="B672">
        <v>39</v>
      </c>
      <c r="C672" s="8">
        <f t="shared" si="143"/>
        <v>39</v>
      </c>
      <c r="D672" s="5">
        <v>95.5</v>
      </c>
      <c r="E672" s="8">
        <f t="shared" si="144"/>
        <v>95.5</v>
      </c>
      <c r="F672">
        <v>1.61</v>
      </c>
      <c r="G672" s="3">
        <f t="shared" si="145"/>
        <v>1.61</v>
      </c>
      <c r="I672" s="5">
        <f t="shared" si="141"/>
        <v>36.842714401450557</v>
      </c>
      <c r="J672" s="16" t="str">
        <f t="shared" si="146"/>
        <v>Obese</v>
      </c>
      <c r="K672">
        <v>107.5</v>
      </c>
      <c r="L672">
        <v>0.66800000000000004</v>
      </c>
      <c r="M672" s="11">
        <f t="shared" si="142"/>
        <v>0.66800000000000004</v>
      </c>
      <c r="N672" s="5">
        <f t="shared" si="147"/>
        <v>107.5</v>
      </c>
      <c r="O672">
        <v>294</v>
      </c>
      <c r="P672">
        <v>34</v>
      </c>
      <c r="Q672" s="8">
        <f t="shared" si="148"/>
        <v>34</v>
      </c>
      <c r="R672" s="8">
        <v>230</v>
      </c>
      <c r="S672" s="8">
        <f t="shared" si="149"/>
        <v>230</v>
      </c>
      <c r="T672" s="8">
        <f>(Table1[[#This Row],[Total Cholesterol (mg/dL)]]+Table1[[#This Row],[HDL (mg/dL)2]]+Table1[[#This Row],[Estimated LDL (mg/dL)2]])*5</f>
        <v>2790</v>
      </c>
      <c r="U672" s="8">
        <f>IF(O672="",Table1[[#This Row],[Estimated LDL (mg/dL)2]]+Table1[[#This Row],[HDL (mg/dL)2]]+(Table1[[#This Row],[Triglycerides]]/5),O672)</f>
        <v>294</v>
      </c>
      <c r="V672">
        <v>125</v>
      </c>
      <c r="W672" s="8">
        <f t="shared" si="150"/>
        <v>125</v>
      </c>
      <c r="X672" t="str">
        <f t="shared" si="151"/>
        <v>Prediabetes</v>
      </c>
      <c r="Y672" t="s">
        <v>22</v>
      </c>
      <c r="Z672" t="s">
        <v>22</v>
      </c>
      <c r="AA672" t="s">
        <v>24</v>
      </c>
      <c r="AB672" s="3" t="s">
        <v>606</v>
      </c>
      <c r="AC672">
        <v>121</v>
      </c>
      <c r="AD672" s="3" t="str">
        <f t="shared" si="152"/>
        <v>121</v>
      </c>
      <c r="AE672">
        <v>61</v>
      </c>
      <c r="AF672" s="3" t="str">
        <f t="shared" si="153"/>
        <v>61</v>
      </c>
      <c r="AG672" t="s">
        <v>25</v>
      </c>
      <c r="AH672" s="3">
        <v>19.29</v>
      </c>
      <c r="AI672" s="3">
        <f t="shared" si="154"/>
        <v>19.29</v>
      </c>
      <c r="AJ672" t="s">
        <v>30</v>
      </c>
      <c r="AK672" t="str">
        <f>PROPER(Table1[[#This Row],[CVD Risk Level]])</f>
        <v>High</v>
      </c>
    </row>
    <row r="673" spans="1:37" x14ac:dyDescent="0.3">
      <c r="A673" t="s">
        <v>20</v>
      </c>
      <c r="B673">
        <v>35</v>
      </c>
      <c r="C673" s="8">
        <f t="shared" si="143"/>
        <v>35</v>
      </c>
      <c r="D673" s="5">
        <v>71.3</v>
      </c>
      <c r="E673" s="8">
        <f t="shared" si="144"/>
        <v>71.3</v>
      </c>
      <c r="F673">
        <v>1.72</v>
      </c>
      <c r="G673" s="3">
        <f t="shared" si="145"/>
        <v>1.72</v>
      </c>
      <c r="H673">
        <v>24.1</v>
      </c>
      <c r="I673" s="5">
        <f t="shared" si="141"/>
        <v>24.1</v>
      </c>
      <c r="J673" s="16" t="str">
        <f t="shared" si="146"/>
        <v>Normal</v>
      </c>
      <c r="K673">
        <v>82.2</v>
      </c>
      <c r="L673">
        <v>0.47799999999999998</v>
      </c>
      <c r="M673" s="11">
        <f t="shared" si="142"/>
        <v>0.47799999999999998</v>
      </c>
      <c r="N673" s="5">
        <f t="shared" si="147"/>
        <v>82.2</v>
      </c>
      <c r="O673">
        <v>106</v>
      </c>
      <c r="P673">
        <v>39</v>
      </c>
      <c r="Q673" s="8">
        <f t="shared" si="148"/>
        <v>39</v>
      </c>
      <c r="R673" s="8">
        <v>37</v>
      </c>
      <c r="S673" s="8">
        <f t="shared" si="149"/>
        <v>37</v>
      </c>
      <c r="T673" s="8">
        <f>(Table1[[#This Row],[Total Cholesterol (mg/dL)]]+Table1[[#This Row],[HDL (mg/dL)2]]+Table1[[#This Row],[Estimated LDL (mg/dL)2]])*5</f>
        <v>910</v>
      </c>
      <c r="U673" s="8">
        <f>IF(O673="",Table1[[#This Row],[Estimated LDL (mg/dL)2]]+Table1[[#This Row],[HDL (mg/dL)2]]+(Table1[[#This Row],[Triglycerides]]/5),O673)</f>
        <v>106</v>
      </c>
      <c r="V673">
        <v>95</v>
      </c>
      <c r="W673" s="8">
        <f t="shared" si="150"/>
        <v>95</v>
      </c>
      <c r="X673" t="str">
        <f t="shared" si="151"/>
        <v>Normal</v>
      </c>
      <c r="Y673" t="s">
        <v>23</v>
      </c>
      <c r="Z673" t="s">
        <v>22</v>
      </c>
      <c r="AA673" t="s">
        <v>28</v>
      </c>
      <c r="AB673" s="3" t="s">
        <v>607</v>
      </c>
      <c r="AC673">
        <v>113</v>
      </c>
      <c r="AD673" s="3" t="str">
        <f t="shared" si="152"/>
        <v>113</v>
      </c>
      <c r="AF673" s="3" t="str">
        <f t="shared" si="153"/>
        <v>77</v>
      </c>
      <c r="AG673" t="s">
        <v>33</v>
      </c>
      <c r="AH673" s="3">
        <v>12.59</v>
      </c>
      <c r="AI673" s="3">
        <f t="shared" si="154"/>
        <v>12.59</v>
      </c>
      <c r="AJ673" t="s">
        <v>26</v>
      </c>
      <c r="AK673" t="str">
        <f>PROPER(Table1[[#This Row],[CVD Risk Level]])</f>
        <v>Intermediary</v>
      </c>
    </row>
    <row r="674" spans="1:37" x14ac:dyDescent="0.3">
      <c r="A674" t="s">
        <v>31</v>
      </c>
      <c r="B674">
        <v>31</v>
      </c>
      <c r="C674" s="8">
        <f t="shared" si="143"/>
        <v>31</v>
      </c>
      <c r="D674" s="5">
        <v>64.2</v>
      </c>
      <c r="E674" s="8">
        <f t="shared" si="144"/>
        <v>64.2</v>
      </c>
      <c r="F674">
        <v>1.84</v>
      </c>
      <c r="G674" s="3">
        <f t="shared" si="145"/>
        <v>1.84</v>
      </c>
      <c r="I674" s="5">
        <f t="shared" si="141"/>
        <v>18.96266540642722</v>
      </c>
      <c r="J674" s="16" t="str">
        <f t="shared" si="146"/>
        <v>Normal</v>
      </c>
      <c r="K674">
        <v>75.5</v>
      </c>
      <c r="L674">
        <v>0.41</v>
      </c>
      <c r="M674" s="11">
        <f t="shared" si="142"/>
        <v>0.41</v>
      </c>
      <c r="N674" s="5">
        <f t="shared" si="147"/>
        <v>75.5</v>
      </c>
      <c r="O674">
        <v>294</v>
      </c>
      <c r="P674">
        <v>74</v>
      </c>
      <c r="Q674" s="8">
        <f t="shared" si="148"/>
        <v>74</v>
      </c>
      <c r="R674" s="8">
        <v>190</v>
      </c>
      <c r="S674" s="8">
        <f t="shared" si="149"/>
        <v>190</v>
      </c>
      <c r="T674" s="8">
        <f>(Table1[[#This Row],[Total Cholesterol (mg/dL)]]+Table1[[#This Row],[HDL (mg/dL)2]]+Table1[[#This Row],[Estimated LDL (mg/dL)2]])*5</f>
        <v>2790</v>
      </c>
      <c r="U674" s="8">
        <f>IF(O674="",Table1[[#This Row],[Estimated LDL (mg/dL)2]]+Table1[[#This Row],[HDL (mg/dL)2]]+(Table1[[#This Row],[Triglycerides]]/5),O674)</f>
        <v>294</v>
      </c>
      <c r="V674">
        <v>74</v>
      </c>
      <c r="W674" s="8">
        <f t="shared" si="150"/>
        <v>74</v>
      </c>
      <c r="X674" t="str">
        <f t="shared" si="151"/>
        <v>Normal</v>
      </c>
      <c r="Y674" t="s">
        <v>22</v>
      </c>
      <c r="Z674" t="s">
        <v>23</v>
      </c>
      <c r="AA674" t="s">
        <v>37</v>
      </c>
      <c r="AB674" s="3" t="s">
        <v>189</v>
      </c>
      <c r="AC674">
        <v>131</v>
      </c>
      <c r="AD674" s="3" t="str">
        <f t="shared" si="152"/>
        <v>131</v>
      </c>
      <c r="AE674">
        <v>79</v>
      </c>
      <c r="AF674" s="3" t="str">
        <f t="shared" si="153"/>
        <v>79</v>
      </c>
      <c r="AG674" t="s">
        <v>29</v>
      </c>
      <c r="AH674" s="3">
        <v>18.23</v>
      </c>
      <c r="AI674" s="3">
        <f t="shared" si="154"/>
        <v>18.23</v>
      </c>
      <c r="AJ674" t="s">
        <v>26</v>
      </c>
      <c r="AK674" t="str">
        <f>PROPER(Table1[[#This Row],[CVD Risk Level]])</f>
        <v>Intermediary</v>
      </c>
    </row>
    <row r="675" spans="1:37" x14ac:dyDescent="0.3">
      <c r="A675" t="s">
        <v>31</v>
      </c>
      <c r="B675">
        <v>33</v>
      </c>
      <c r="C675" s="8">
        <f t="shared" si="143"/>
        <v>33</v>
      </c>
      <c r="D675" s="5">
        <v>105.1</v>
      </c>
      <c r="E675" s="8">
        <f t="shared" si="144"/>
        <v>105.1</v>
      </c>
      <c r="F675">
        <v>1.83</v>
      </c>
      <c r="G675" s="3">
        <f t="shared" si="145"/>
        <v>1.83</v>
      </c>
      <c r="H675">
        <v>31.4</v>
      </c>
      <c r="I675" s="5">
        <f t="shared" si="141"/>
        <v>31.4</v>
      </c>
      <c r="J675" s="16" t="str">
        <f t="shared" si="146"/>
        <v>Obese</v>
      </c>
      <c r="K675">
        <v>78.099999999999994</v>
      </c>
      <c r="L675">
        <v>0.42699999999999999</v>
      </c>
      <c r="M675" s="11">
        <f t="shared" si="142"/>
        <v>0.42699999999999999</v>
      </c>
      <c r="N675" s="5">
        <f t="shared" si="147"/>
        <v>78.099999999999994</v>
      </c>
      <c r="O675">
        <v>146</v>
      </c>
      <c r="P675">
        <v>70</v>
      </c>
      <c r="Q675" s="8">
        <f t="shared" si="148"/>
        <v>70</v>
      </c>
      <c r="R675" s="8">
        <v>46</v>
      </c>
      <c r="S675" s="8">
        <f t="shared" si="149"/>
        <v>46</v>
      </c>
      <c r="T675" s="8">
        <f>(Table1[[#This Row],[Total Cholesterol (mg/dL)]]+Table1[[#This Row],[HDL (mg/dL)2]]+Table1[[#This Row],[Estimated LDL (mg/dL)2]])*5</f>
        <v>1310</v>
      </c>
      <c r="U675" s="8">
        <f>IF(O675="",Table1[[#This Row],[Estimated LDL (mg/dL)2]]+Table1[[#This Row],[HDL (mg/dL)2]]+(Table1[[#This Row],[Triglycerides]]/5),O675)</f>
        <v>146</v>
      </c>
      <c r="W675" s="8">
        <f t="shared" si="150"/>
        <v>117.48563611491107</v>
      </c>
      <c r="X675" t="str">
        <f t="shared" si="151"/>
        <v>Prediabetes</v>
      </c>
      <c r="Y675" t="s">
        <v>22</v>
      </c>
      <c r="Z675" t="s">
        <v>22</v>
      </c>
      <c r="AA675" t="s">
        <v>37</v>
      </c>
      <c r="AB675" s="3" t="s">
        <v>608</v>
      </c>
      <c r="AC675">
        <v>119</v>
      </c>
      <c r="AD675" s="3" t="str">
        <f t="shared" si="152"/>
        <v>119</v>
      </c>
      <c r="AE675">
        <v>97</v>
      </c>
      <c r="AF675" s="3" t="str">
        <f t="shared" si="153"/>
        <v>97</v>
      </c>
      <c r="AG675" t="s">
        <v>38</v>
      </c>
      <c r="AH675" s="3">
        <v>15.15</v>
      </c>
      <c r="AI675" s="3">
        <f t="shared" si="154"/>
        <v>15.15</v>
      </c>
      <c r="AJ675" t="s">
        <v>26</v>
      </c>
      <c r="AK675" t="str">
        <f>PROPER(Table1[[#This Row],[CVD Risk Level]])</f>
        <v>Intermediary</v>
      </c>
    </row>
    <row r="676" spans="1:37" x14ac:dyDescent="0.3">
      <c r="A676" t="s">
        <v>20</v>
      </c>
      <c r="B676">
        <v>55</v>
      </c>
      <c r="C676" s="8">
        <f t="shared" si="143"/>
        <v>55</v>
      </c>
      <c r="D676" s="5">
        <v>81.5</v>
      </c>
      <c r="E676" s="8">
        <f t="shared" si="144"/>
        <v>81.5</v>
      </c>
      <c r="F676">
        <v>1.8</v>
      </c>
      <c r="G676" s="3">
        <f t="shared" si="145"/>
        <v>1.8</v>
      </c>
      <c r="H676">
        <v>25.2</v>
      </c>
      <c r="I676" s="5">
        <f t="shared" si="141"/>
        <v>25.2</v>
      </c>
      <c r="J676" s="16" t="str">
        <f t="shared" si="146"/>
        <v>Overweight</v>
      </c>
      <c r="K676">
        <v>104.6</v>
      </c>
      <c r="L676">
        <v>0.58099999999999996</v>
      </c>
      <c r="M676" s="11">
        <f t="shared" si="142"/>
        <v>0.58099999999999996</v>
      </c>
      <c r="N676" s="5">
        <f t="shared" si="147"/>
        <v>104.6</v>
      </c>
      <c r="O676">
        <v>149</v>
      </c>
      <c r="P676">
        <v>40</v>
      </c>
      <c r="Q676" s="8">
        <f t="shared" si="148"/>
        <v>40</v>
      </c>
      <c r="R676" s="8">
        <v>79</v>
      </c>
      <c r="S676" s="8">
        <f t="shared" si="149"/>
        <v>79</v>
      </c>
      <c r="T676" s="8">
        <f>(Table1[[#This Row],[Total Cholesterol (mg/dL)]]+Table1[[#This Row],[HDL (mg/dL)2]]+Table1[[#This Row],[Estimated LDL (mg/dL)2]])*5</f>
        <v>1340</v>
      </c>
      <c r="U676" s="8">
        <f>IF(O676="",Table1[[#This Row],[Estimated LDL (mg/dL)2]]+Table1[[#This Row],[HDL (mg/dL)2]]+(Table1[[#This Row],[Triglycerides]]/5),O676)</f>
        <v>149</v>
      </c>
      <c r="V676">
        <v>140</v>
      </c>
      <c r="W676" s="8">
        <f t="shared" si="150"/>
        <v>140</v>
      </c>
      <c r="X676" t="str">
        <f t="shared" si="151"/>
        <v>Diabetes</v>
      </c>
      <c r="Y676" t="s">
        <v>23</v>
      </c>
      <c r="Z676" t="s">
        <v>23</v>
      </c>
      <c r="AA676" t="s">
        <v>28</v>
      </c>
      <c r="AB676" s="3" t="s">
        <v>401</v>
      </c>
      <c r="AC676">
        <v>133</v>
      </c>
      <c r="AD676" s="3" t="str">
        <f t="shared" si="152"/>
        <v>133</v>
      </c>
      <c r="AE676">
        <v>87</v>
      </c>
      <c r="AF676" s="3" t="str">
        <f t="shared" si="153"/>
        <v>87</v>
      </c>
      <c r="AG676" t="s">
        <v>29</v>
      </c>
      <c r="AH676" s="3">
        <v>16.670000000000002</v>
      </c>
      <c r="AI676" s="3">
        <f t="shared" si="154"/>
        <v>16.670000000000002</v>
      </c>
      <c r="AJ676" t="s">
        <v>30</v>
      </c>
      <c r="AK676" t="str">
        <f>PROPER(Table1[[#This Row],[CVD Risk Level]])</f>
        <v>High</v>
      </c>
    </row>
    <row r="677" spans="1:37" x14ac:dyDescent="0.3">
      <c r="A677" t="s">
        <v>31</v>
      </c>
      <c r="B677">
        <v>50</v>
      </c>
      <c r="C677" s="8">
        <f t="shared" si="143"/>
        <v>50</v>
      </c>
      <c r="D677" s="5">
        <v>57</v>
      </c>
      <c r="E677" s="8">
        <f t="shared" si="144"/>
        <v>57</v>
      </c>
      <c r="F677">
        <v>1.79</v>
      </c>
      <c r="G677" s="3">
        <f t="shared" si="145"/>
        <v>1.79</v>
      </c>
      <c r="H677">
        <v>17.8</v>
      </c>
      <c r="I677" s="5">
        <f t="shared" si="141"/>
        <v>17.8</v>
      </c>
      <c r="J677" s="16" t="str">
        <f t="shared" si="146"/>
        <v>Underweight</v>
      </c>
      <c r="K677">
        <v>86.4</v>
      </c>
      <c r="L677">
        <v>0.48299999999999998</v>
      </c>
      <c r="M677" s="11">
        <f t="shared" si="142"/>
        <v>0.48299999999999998</v>
      </c>
      <c r="N677" s="5">
        <f t="shared" si="147"/>
        <v>86.4</v>
      </c>
      <c r="O677">
        <v>269</v>
      </c>
      <c r="P677">
        <v>48</v>
      </c>
      <c r="Q677" s="8">
        <f t="shared" si="148"/>
        <v>48</v>
      </c>
      <c r="R677" s="8">
        <v>191</v>
      </c>
      <c r="S677" s="8">
        <f t="shared" si="149"/>
        <v>191</v>
      </c>
      <c r="T677" s="8">
        <f>(Table1[[#This Row],[Total Cholesterol (mg/dL)]]+Table1[[#This Row],[HDL (mg/dL)2]]+Table1[[#This Row],[Estimated LDL (mg/dL)2]])*5</f>
        <v>2540</v>
      </c>
      <c r="U677" s="8">
        <f>IF(O677="",Table1[[#This Row],[Estimated LDL (mg/dL)2]]+Table1[[#This Row],[HDL (mg/dL)2]]+(Table1[[#This Row],[Triglycerides]]/5),O677)</f>
        <v>269</v>
      </c>
      <c r="V677">
        <v>70</v>
      </c>
      <c r="W677" s="8">
        <f t="shared" si="150"/>
        <v>70</v>
      </c>
      <c r="X677" t="str">
        <f t="shared" si="151"/>
        <v>Normal</v>
      </c>
      <c r="Y677" t="s">
        <v>22</v>
      </c>
      <c r="Z677" t="s">
        <v>23</v>
      </c>
      <c r="AA677" t="s">
        <v>24</v>
      </c>
      <c r="AB677" s="3" t="s">
        <v>609</v>
      </c>
      <c r="AC677">
        <v>109</v>
      </c>
      <c r="AD677" s="3" t="str">
        <f t="shared" si="152"/>
        <v>109</v>
      </c>
      <c r="AE677">
        <v>84</v>
      </c>
      <c r="AF677" s="3" t="str">
        <f t="shared" si="153"/>
        <v>84</v>
      </c>
      <c r="AG677" t="s">
        <v>29</v>
      </c>
      <c r="AH677" s="3">
        <v>16.39</v>
      </c>
      <c r="AI677" s="3">
        <f t="shared" si="154"/>
        <v>16.39</v>
      </c>
      <c r="AJ677" t="s">
        <v>30</v>
      </c>
      <c r="AK677" t="str">
        <f>PROPER(Table1[[#This Row],[CVD Risk Level]])</f>
        <v>High</v>
      </c>
    </row>
    <row r="678" spans="1:37" x14ac:dyDescent="0.3">
      <c r="A678" t="s">
        <v>31</v>
      </c>
      <c r="B678">
        <v>36</v>
      </c>
      <c r="C678" s="8">
        <f t="shared" si="143"/>
        <v>36</v>
      </c>
      <c r="D678" s="5">
        <v>71.099999999999994</v>
      </c>
      <c r="E678" s="8">
        <f t="shared" si="144"/>
        <v>71.099999999999994</v>
      </c>
      <c r="F678">
        <v>1.87</v>
      </c>
      <c r="G678" s="3">
        <f t="shared" si="145"/>
        <v>1.87</v>
      </c>
      <c r="H678">
        <v>20.3</v>
      </c>
      <c r="I678" s="5">
        <f t="shared" si="141"/>
        <v>20.3</v>
      </c>
      <c r="J678" s="16" t="str">
        <f t="shared" si="146"/>
        <v>Normal</v>
      </c>
      <c r="K678">
        <v>81.599999999999994</v>
      </c>
      <c r="L678">
        <v>0.436</v>
      </c>
      <c r="M678" s="11">
        <f t="shared" si="142"/>
        <v>0.436</v>
      </c>
      <c r="N678" s="5">
        <f t="shared" si="147"/>
        <v>81.599999999999994</v>
      </c>
      <c r="O678">
        <v>289</v>
      </c>
      <c r="P678">
        <v>31</v>
      </c>
      <c r="Q678" s="8">
        <f t="shared" si="148"/>
        <v>31</v>
      </c>
      <c r="R678" s="8">
        <v>228</v>
      </c>
      <c r="S678" s="8">
        <f t="shared" si="149"/>
        <v>228</v>
      </c>
      <c r="T678" s="8">
        <f>(Table1[[#This Row],[Total Cholesterol (mg/dL)]]+Table1[[#This Row],[HDL (mg/dL)2]]+Table1[[#This Row],[Estimated LDL (mg/dL)2]])*5</f>
        <v>2740</v>
      </c>
      <c r="U678" s="8">
        <f>IF(O678="",Table1[[#This Row],[Estimated LDL (mg/dL)2]]+Table1[[#This Row],[HDL (mg/dL)2]]+(Table1[[#This Row],[Triglycerides]]/5),O678)</f>
        <v>289</v>
      </c>
      <c r="V678">
        <v>92</v>
      </c>
      <c r="W678" s="8">
        <f t="shared" si="150"/>
        <v>92</v>
      </c>
      <c r="X678" t="str">
        <f t="shared" si="151"/>
        <v>Normal</v>
      </c>
      <c r="Y678" t="s">
        <v>23</v>
      </c>
      <c r="Z678" t="s">
        <v>23</v>
      </c>
      <c r="AA678" t="s">
        <v>37</v>
      </c>
      <c r="AB678" s="3" t="s">
        <v>610</v>
      </c>
      <c r="AC678">
        <v>126</v>
      </c>
      <c r="AD678" s="3" t="str">
        <f t="shared" si="152"/>
        <v>126</v>
      </c>
      <c r="AE678">
        <v>91</v>
      </c>
      <c r="AF678" s="3" t="str">
        <f t="shared" si="153"/>
        <v>91</v>
      </c>
      <c r="AG678" t="s">
        <v>38</v>
      </c>
      <c r="AH678" s="3">
        <v>18.14</v>
      </c>
      <c r="AI678" s="3">
        <f t="shared" si="154"/>
        <v>18.14</v>
      </c>
      <c r="AJ678" t="s">
        <v>30</v>
      </c>
      <c r="AK678" t="str">
        <f>PROPER(Table1[[#This Row],[CVD Risk Level]])</f>
        <v>High</v>
      </c>
    </row>
    <row r="679" spans="1:37" x14ac:dyDescent="0.3">
      <c r="A679" t="s">
        <v>20</v>
      </c>
      <c r="B679">
        <v>48</v>
      </c>
      <c r="C679" s="8">
        <f t="shared" si="143"/>
        <v>48</v>
      </c>
      <c r="D679" s="5">
        <v>106.4</v>
      </c>
      <c r="E679" s="8">
        <f t="shared" si="144"/>
        <v>106.4</v>
      </c>
      <c r="F679">
        <v>1.73</v>
      </c>
      <c r="G679" s="3">
        <f t="shared" si="145"/>
        <v>1.73</v>
      </c>
      <c r="H679">
        <v>35.6</v>
      </c>
      <c r="I679" s="5">
        <f t="shared" si="141"/>
        <v>35.6</v>
      </c>
      <c r="J679" s="16" t="str">
        <f t="shared" si="146"/>
        <v>Obese</v>
      </c>
      <c r="K679">
        <v>108</v>
      </c>
      <c r="L679">
        <v>0.624</v>
      </c>
      <c r="M679" s="11">
        <f t="shared" si="142"/>
        <v>0.624</v>
      </c>
      <c r="N679" s="5">
        <f t="shared" si="147"/>
        <v>108</v>
      </c>
      <c r="O679">
        <v>181</v>
      </c>
      <c r="P679">
        <v>56</v>
      </c>
      <c r="Q679" s="8">
        <f t="shared" si="148"/>
        <v>56</v>
      </c>
      <c r="R679" s="8">
        <v>95</v>
      </c>
      <c r="S679" s="8">
        <f t="shared" si="149"/>
        <v>95</v>
      </c>
      <c r="T679" s="8">
        <f>(Table1[[#This Row],[Total Cholesterol (mg/dL)]]+Table1[[#This Row],[HDL (mg/dL)2]]+Table1[[#This Row],[Estimated LDL (mg/dL)2]])*5</f>
        <v>1660</v>
      </c>
      <c r="U679" s="8">
        <f>IF(O679="",Table1[[#This Row],[Estimated LDL (mg/dL)2]]+Table1[[#This Row],[HDL (mg/dL)2]]+(Table1[[#This Row],[Triglycerides]]/5),O679)</f>
        <v>181</v>
      </c>
      <c r="V679">
        <v>96</v>
      </c>
      <c r="W679" s="8">
        <f t="shared" si="150"/>
        <v>96</v>
      </c>
      <c r="X679" t="str">
        <f t="shared" si="151"/>
        <v>Normal</v>
      </c>
      <c r="Y679" t="s">
        <v>22</v>
      </c>
      <c r="Z679" t="s">
        <v>22</v>
      </c>
      <c r="AA679" t="s">
        <v>37</v>
      </c>
      <c r="AB679" s="3" t="s">
        <v>611</v>
      </c>
      <c r="AC679">
        <v>128</v>
      </c>
      <c r="AD679" s="3" t="str">
        <f t="shared" si="152"/>
        <v>128</v>
      </c>
      <c r="AE679">
        <v>67</v>
      </c>
      <c r="AF679" s="3" t="str">
        <f t="shared" si="153"/>
        <v>67</v>
      </c>
      <c r="AG679" t="s">
        <v>25</v>
      </c>
      <c r="AH679" s="3">
        <v>17.14</v>
      </c>
      <c r="AI679" s="3">
        <f t="shared" si="154"/>
        <v>17.14</v>
      </c>
      <c r="AJ679" t="s">
        <v>26</v>
      </c>
      <c r="AK679" t="str">
        <f>PROPER(Table1[[#This Row],[CVD Risk Level]])</f>
        <v>Intermediary</v>
      </c>
    </row>
    <row r="680" spans="1:37" x14ac:dyDescent="0.3">
      <c r="A680" t="s">
        <v>20</v>
      </c>
      <c r="B680">
        <v>51</v>
      </c>
      <c r="C680" s="8">
        <f t="shared" si="143"/>
        <v>51</v>
      </c>
      <c r="D680" s="5">
        <v>118.8</v>
      </c>
      <c r="E680" s="8">
        <f t="shared" si="144"/>
        <v>118.8</v>
      </c>
      <c r="F680">
        <v>1.88</v>
      </c>
      <c r="G680" s="3">
        <f t="shared" si="145"/>
        <v>1.88</v>
      </c>
      <c r="H680">
        <v>33.6</v>
      </c>
      <c r="I680" s="5">
        <f t="shared" si="141"/>
        <v>33.6</v>
      </c>
      <c r="J680" s="16" t="str">
        <f t="shared" si="146"/>
        <v>Obese</v>
      </c>
      <c r="K680">
        <v>89.9</v>
      </c>
      <c r="L680">
        <v>0.47799999999999998</v>
      </c>
      <c r="M680" s="11">
        <f t="shared" si="142"/>
        <v>0.47799999999999998</v>
      </c>
      <c r="N680" s="5">
        <f t="shared" si="147"/>
        <v>89.9</v>
      </c>
      <c r="O680">
        <v>150</v>
      </c>
      <c r="P680">
        <v>53</v>
      </c>
      <c r="Q680" s="8">
        <f t="shared" si="148"/>
        <v>53</v>
      </c>
      <c r="R680" s="8">
        <v>67</v>
      </c>
      <c r="S680" s="8">
        <f t="shared" si="149"/>
        <v>67</v>
      </c>
      <c r="T680" s="8">
        <f>(Table1[[#This Row],[Total Cholesterol (mg/dL)]]+Table1[[#This Row],[HDL (mg/dL)2]]+Table1[[#This Row],[Estimated LDL (mg/dL)2]])*5</f>
        <v>1350</v>
      </c>
      <c r="U680" s="8">
        <f>IF(O680="",Table1[[#This Row],[Estimated LDL (mg/dL)2]]+Table1[[#This Row],[HDL (mg/dL)2]]+(Table1[[#This Row],[Triglycerides]]/5),O680)</f>
        <v>150</v>
      </c>
      <c r="V680">
        <v>85</v>
      </c>
      <c r="W680" s="8">
        <f t="shared" si="150"/>
        <v>85</v>
      </c>
      <c r="X680" t="str">
        <f t="shared" si="151"/>
        <v>Normal</v>
      </c>
      <c r="Y680" t="s">
        <v>23</v>
      </c>
      <c r="Z680" t="s">
        <v>22</v>
      </c>
      <c r="AA680" t="s">
        <v>28</v>
      </c>
      <c r="AB680" s="3" t="s">
        <v>597</v>
      </c>
      <c r="AC680">
        <v>117</v>
      </c>
      <c r="AD680" s="3" t="str">
        <f t="shared" si="152"/>
        <v>117</v>
      </c>
      <c r="AE680">
        <v>92</v>
      </c>
      <c r="AF680" s="3" t="str">
        <f t="shared" si="153"/>
        <v>92</v>
      </c>
      <c r="AG680" t="s">
        <v>38</v>
      </c>
      <c r="AH680" s="3">
        <v>15.57</v>
      </c>
      <c r="AI680" s="3">
        <f t="shared" si="154"/>
        <v>15.57</v>
      </c>
      <c r="AJ680" t="s">
        <v>30</v>
      </c>
      <c r="AK680" t="str">
        <f>PROPER(Table1[[#This Row],[CVD Risk Level]])</f>
        <v>High</v>
      </c>
    </row>
    <row r="681" spans="1:37" x14ac:dyDescent="0.3">
      <c r="A681" t="s">
        <v>20</v>
      </c>
      <c r="B681">
        <v>44</v>
      </c>
      <c r="C681" s="8">
        <f t="shared" si="143"/>
        <v>44</v>
      </c>
      <c r="D681" s="5">
        <v>105.8</v>
      </c>
      <c r="E681" s="8">
        <f t="shared" si="144"/>
        <v>105.8</v>
      </c>
      <c r="F681">
        <v>1.8</v>
      </c>
      <c r="G681" s="3">
        <f t="shared" si="145"/>
        <v>1.8</v>
      </c>
      <c r="H681">
        <v>32.700000000000003</v>
      </c>
      <c r="I681" s="5">
        <f t="shared" si="141"/>
        <v>32.700000000000003</v>
      </c>
      <c r="J681" s="16" t="str">
        <f t="shared" si="146"/>
        <v>Obese</v>
      </c>
      <c r="K681">
        <v>99.1</v>
      </c>
      <c r="L681">
        <v>0.55100000000000005</v>
      </c>
      <c r="M681" s="11">
        <f t="shared" si="142"/>
        <v>0.55100000000000005</v>
      </c>
      <c r="N681" s="5">
        <f t="shared" si="147"/>
        <v>99.1</v>
      </c>
      <c r="O681">
        <v>244</v>
      </c>
      <c r="P681">
        <v>36</v>
      </c>
      <c r="Q681" s="8">
        <f t="shared" si="148"/>
        <v>36</v>
      </c>
      <c r="R681" s="8">
        <v>178</v>
      </c>
      <c r="S681" s="8">
        <f t="shared" si="149"/>
        <v>178</v>
      </c>
      <c r="T681" s="8">
        <f>(Table1[[#This Row],[Total Cholesterol (mg/dL)]]+Table1[[#This Row],[HDL (mg/dL)2]]+Table1[[#This Row],[Estimated LDL (mg/dL)2]])*5</f>
        <v>2290</v>
      </c>
      <c r="U681" s="8">
        <f>IF(O681="",Table1[[#This Row],[Estimated LDL (mg/dL)2]]+Table1[[#This Row],[HDL (mg/dL)2]]+(Table1[[#This Row],[Triglycerides]]/5),O681)</f>
        <v>244</v>
      </c>
      <c r="V681">
        <v>146</v>
      </c>
      <c r="W681" s="8">
        <f t="shared" si="150"/>
        <v>146</v>
      </c>
      <c r="X681" t="str">
        <f t="shared" si="151"/>
        <v>Diabetes</v>
      </c>
      <c r="Y681" t="s">
        <v>23</v>
      </c>
      <c r="Z681" t="s">
        <v>22</v>
      </c>
      <c r="AA681" t="s">
        <v>37</v>
      </c>
      <c r="AB681" s="3" t="s">
        <v>612</v>
      </c>
      <c r="AC681">
        <v>91</v>
      </c>
      <c r="AD681" s="3" t="str">
        <f t="shared" si="152"/>
        <v>91</v>
      </c>
      <c r="AE681">
        <v>98</v>
      </c>
      <c r="AF681" s="3" t="str">
        <f t="shared" si="153"/>
        <v>98</v>
      </c>
      <c r="AG681" t="s">
        <v>38</v>
      </c>
      <c r="AH681" s="3">
        <v>15.97</v>
      </c>
      <c r="AI681" s="3">
        <f t="shared" si="154"/>
        <v>15.97</v>
      </c>
      <c r="AJ681" t="s">
        <v>30</v>
      </c>
      <c r="AK681" t="str">
        <f>PROPER(Table1[[#This Row],[CVD Risk Level]])</f>
        <v>High</v>
      </c>
    </row>
    <row r="682" spans="1:37" x14ac:dyDescent="0.3">
      <c r="A682" t="s">
        <v>20</v>
      </c>
      <c r="B682">
        <v>52</v>
      </c>
      <c r="C682" s="8">
        <f t="shared" si="143"/>
        <v>52</v>
      </c>
      <c r="D682" s="5">
        <v>69.2</v>
      </c>
      <c r="E682" s="8">
        <f t="shared" si="144"/>
        <v>69.2</v>
      </c>
      <c r="F682">
        <v>1.82</v>
      </c>
      <c r="G682" s="3">
        <f t="shared" si="145"/>
        <v>1.82</v>
      </c>
      <c r="H682">
        <v>20.9</v>
      </c>
      <c r="I682" s="5">
        <f t="shared" si="141"/>
        <v>20.9</v>
      </c>
      <c r="J682" s="16" t="str">
        <f t="shared" si="146"/>
        <v>Normal</v>
      </c>
      <c r="K682">
        <v>104.5</v>
      </c>
      <c r="L682">
        <v>0.57399999999999995</v>
      </c>
      <c r="M682" s="11">
        <f t="shared" si="142"/>
        <v>0.57399999999999995</v>
      </c>
      <c r="N682" s="5">
        <f t="shared" si="147"/>
        <v>104.5</v>
      </c>
      <c r="O682">
        <v>254</v>
      </c>
      <c r="P682">
        <v>46</v>
      </c>
      <c r="Q682" s="8">
        <f t="shared" si="148"/>
        <v>46</v>
      </c>
      <c r="R682" s="8">
        <v>178</v>
      </c>
      <c r="S682" s="8">
        <f t="shared" si="149"/>
        <v>178</v>
      </c>
      <c r="T682" s="8">
        <f>(Table1[[#This Row],[Total Cholesterol (mg/dL)]]+Table1[[#This Row],[HDL (mg/dL)2]]+Table1[[#This Row],[Estimated LDL (mg/dL)2]])*5</f>
        <v>2390</v>
      </c>
      <c r="U682" s="8">
        <f>IF(O682="",Table1[[#This Row],[Estimated LDL (mg/dL)2]]+Table1[[#This Row],[HDL (mg/dL)2]]+(Table1[[#This Row],[Triglycerides]]/5),O682)</f>
        <v>254</v>
      </c>
      <c r="V682">
        <v>117</v>
      </c>
      <c r="W682" s="8">
        <f t="shared" si="150"/>
        <v>117</v>
      </c>
      <c r="X682" t="str">
        <f t="shared" si="151"/>
        <v>Prediabetes</v>
      </c>
      <c r="Y682" t="s">
        <v>22</v>
      </c>
      <c r="Z682" t="s">
        <v>23</v>
      </c>
      <c r="AA682" t="s">
        <v>24</v>
      </c>
      <c r="AB682" s="3" t="s">
        <v>613</v>
      </c>
      <c r="AC682">
        <v>105</v>
      </c>
      <c r="AD682" s="3" t="str">
        <f t="shared" si="152"/>
        <v>105</v>
      </c>
      <c r="AE682">
        <v>72</v>
      </c>
      <c r="AF682" s="3" t="str">
        <f t="shared" si="153"/>
        <v>72</v>
      </c>
      <c r="AG682" t="s">
        <v>33</v>
      </c>
      <c r="AH682" s="3">
        <v>16.510000000000002</v>
      </c>
      <c r="AI682" s="3">
        <f t="shared" si="154"/>
        <v>16.510000000000002</v>
      </c>
      <c r="AJ682" t="s">
        <v>30</v>
      </c>
      <c r="AK682" t="str">
        <f>PROPER(Table1[[#This Row],[CVD Risk Level]])</f>
        <v>High</v>
      </c>
    </row>
    <row r="683" spans="1:37" x14ac:dyDescent="0.3">
      <c r="A683" t="s">
        <v>20</v>
      </c>
      <c r="B683">
        <v>34</v>
      </c>
      <c r="C683" s="8">
        <f t="shared" si="143"/>
        <v>34</v>
      </c>
      <c r="D683" s="5">
        <v>108</v>
      </c>
      <c r="E683" s="8">
        <f t="shared" si="144"/>
        <v>108</v>
      </c>
      <c r="F683">
        <v>1.72</v>
      </c>
      <c r="G683" s="3">
        <f t="shared" si="145"/>
        <v>1.72</v>
      </c>
      <c r="H683">
        <v>36.5</v>
      </c>
      <c r="I683" s="5">
        <f t="shared" si="141"/>
        <v>36.5</v>
      </c>
      <c r="J683" s="16" t="str">
        <f t="shared" si="146"/>
        <v>Obese</v>
      </c>
      <c r="K683">
        <v>101.1</v>
      </c>
      <c r="L683">
        <v>0.58799999999999997</v>
      </c>
      <c r="M683" s="11">
        <f t="shared" si="142"/>
        <v>0.58799999999999997</v>
      </c>
      <c r="N683" s="5">
        <f t="shared" si="147"/>
        <v>101.1</v>
      </c>
      <c r="O683">
        <v>130</v>
      </c>
      <c r="P683">
        <v>52</v>
      </c>
      <c r="Q683" s="8">
        <f t="shared" si="148"/>
        <v>52</v>
      </c>
      <c r="R683" s="8">
        <v>48</v>
      </c>
      <c r="S683" s="8">
        <f t="shared" si="149"/>
        <v>48</v>
      </c>
      <c r="T683" s="8">
        <f>(Table1[[#This Row],[Total Cholesterol (mg/dL)]]+Table1[[#This Row],[HDL (mg/dL)2]]+Table1[[#This Row],[Estimated LDL (mg/dL)2]])*5</f>
        <v>1150</v>
      </c>
      <c r="U683" s="8">
        <f>IF(O683="",Table1[[#This Row],[Estimated LDL (mg/dL)2]]+Table1[[#This Row],[HDL (mg/dL)2]]+(Table1[[#This Row],[Triglycerides]]/5),O683)</f>
        <v>130</v>
      </c>
      <c r="V683">
        <v>98</v>
      </c>
      <c r="W683" s="8">
        <f t="shared" si="150"/>
        <v>98</v>
      </c>
      <c r="X683" t="str">
        <f t="shared" si="151"/>
        <v>Normal</v>
      </c>
      <c r="Y683" t="s">
        <v>22</v>
      </c>
      <c r="Z683" t="s">
        <v>22</v>
      </c>
      <c r="AA683" t="s">
        <v>28</v>
      </c>
      <c r="AB683" s="3" t="s">
        <v>614</v>
      </c>
      <c r="AC683">
        <v>134</v>
      </c>
      <c r="AD683" s="3" t="str">
        <f t="shared" si="152"/>
        <v>134</v>
      </c>
      <c r="AE683">
        <v>60</v>
      </c>
      <c r="AF683" s="3" t="str">
        <f t="shared" si="153"/>
        <v>60</v>
      </c>
      <c r="AG683" t="s">
        <v>29</v>
      </c>
      <c r="AH683" s="3">
        <v>16.600000000000001</v>
      </c>
      <c r="AI683" s="3">
        <f t="shared" si="154"/>
        <v>16.600000000000001</v>
      </c>
      <c r="AJ683" t="s">
        <v>52</v>
      </c>
      <c r="AK683" t="str">
        <f>PROPER(Table1[[#This Row],[CVD Risk Level]])</f>
        <v>Low</v>
      </c>
    </row>
    <row r="684" spans="1:37" x14ac:dyDescent="0.3">
      <c r="A684" t="s">
        <v>20</v>
      </c>
      <c r="B684">
        <v>35</v>
      </c>
      <c r="C684" s="8">
        <f t="shared" si="143"/>
        <v>35</v>
      </c>
      <c r="D684" s="5">
        <v>58</v>
      </c>
      <c r="E684" s="8">
        <f t="shared" si="144"/>
        <v>58</v>
      </c>
      <c r="F684">
        <v>1.63</v>
      </c>
      <c r="G684" s="3">
        <f t="shared" si="145"/>
        <v>1.63</v>
      </c>
      <c r="H684">
        <v>21.8</v>
      </c>
      <c r="I684" s="5">
        <f t="shared" si="141"/>
        <v>21.8</v>
      </c>
      <c r="J684" s="16" t="str">
        <f t="shared" si="146"/>
        <v>Normal</v>
      </c>
      <c r="K684">
        <v>78.2</v>
      </c>
      <c r="L684">
        <v>0.48</v>
      </c>
      <c r="M684" s="11">
        <f t="shared" si="142"/>
        <v>0.48</v>
      </c>
      <c r="N684" s="5">
        <f t="shared" si="147"/>
        <v>78.2</v>
      </c>
      <c r="O684">
        <v>262</v>
      </c>
      <c r="P684">
        <v>54</v>
      </c>
      <c r="Q684" s="8">
        <f t="shared" si="148"/>
        <v>54</v>
      </c>
      <c r="R684" s="8">
        <v>178</v>
      </c>
      <c r="S684" s="8">
        <f t="shared" si="149"/>
        <v>178</v>
      </c>
      <c r="T684" s="8">
        <f>(Table1[[#This Row],[Total Cholesterol (mg/dL)]]+Table1[[#This Row],[HDL (mg/dL)2]]+Table1[[#This Row],[Estimated LDL (mg/dL)2]])*5</f>
        <v>2470</v>
      </c>
      <c r="U684" s="8">
        <f>IF(O684="",Table1[[#This Row],[Estimated LDL (mg/dL)2]]+Table1[[#This Row],[HDL (mg/dL)2]]+(Table1[[#This Row],[Triglycerides]]/5),O684)</f>
        <v>262</v>
      </c>
      <c r="V684">
        <v>139</v>
      </c>
      <c r="W684" s="8">
        <f t="shared" si="150"/>
        <v>139</v>
      </c>
      <c r="X684" t="str">
        <f t="shared" si="151"/>
        <v>Diabetes</v>
      </c>
      <c r="Y684" t="s">
        <v>23</v>
      </c>
      <c r="Z684" t="s">
        <v>23</v>
      </c>
      <c r="AA684" t="s">
        <v>28</v>
      </c>
      <c r="AB684" s="3" t="s">
        <v>615</v>
      </c>
      <c r="AC684">
        <v>95</v>
      </c>
      <c r="AD684" s="3" t="str">
        <f t="shared" si="152"/>
        <v>95</v>
      </c>
      <c r="AE684">
        <v>100</v>
      </c>
      <c r="AF684" s="3" t="str">
        <f t="shared" si="153"/>
        <v>100</v>
      </c>
      <c r="AG684" t="s">
        <v>38</v>
      </c>
      <c r="AH684" s="3">
        <v>16.350000000000001</v>
      </c>
      <c r="AI684" s="3">
        <f t="shared" si="154"/>
        <v>16.350000000000001</v>
      </c>
      <c r="AJ684" t="s">
        <v>30</v>
      </c>
      <c r="AK684" t="str">
        <f>PROPER(Table1[[#This Row],[CVD Risk Level]])</f>
        <v>High</v>
      </c>
    </row>
    <row r="685" spans="1:37" x14ac:dyDescent="0.3">
      <c r="A685" t="s">
        <v>20</v>
      </c>
      <c r="B685">
        <v>37</v>
      </c>
      <c r="C685" s="8">
        <f t="shared" si="143"/>
        <v>37</v>
      </c>
      <c r="D685" s="5">
        <v>116.9</v>
      </c>
      <c r="E685" s="8">
        <f t="shared" si="144"/>
        <v>116.9</v>
      </c>
      <c r="F685">
        <v>1.85</v>
      </c>
      <c r="G685" s="3">
        <f t="shared" si="145"/>
        <v>1.85</v>
      </c>
      <c r="H685">
        <v>34.200000000000003</v>
      </c>
      <c r="I685" s="5">
        <f t="shared" si="141"/>
        <v>34.200000000000003</v>
      </c>
      <c r="J685" s="16" t="str">
        <f t="shared" si="146"/>
        <v>Obese</v>
      </c>
      <c r="K685">
        <v>96.7</v>
      </c>
      <c r="L685">
        <v>0.52300000000000002</v>
      </c>
      <c r="M685" s="11">
        <f t="shared" si="142"/>
        <v>0.52300000000000002</v>
      </c>
      <c r="N685" s="5">
        <f t="shared" si="147"/>
        <v>96.7</v>
      </c>
      <c r="O685">
        <v>198</v>
      </c>
      <c r="P685">
        <v>77</v>
      </c>
      <c r="Q685" s="8">
        <f t="shared" si="148"/>
        <v>77</v>
      </c>
      <c r="R685" s="8">
        <v>91</v>
      </c>
      <c r="S685" s="8">
        <f t="shared" si="149"/>
        <v>91</v>
      </c>
      <c r="T685" s="8">
        <f>(Table1[[#This Row],[Total Cholesterol (mg/dL)]]+Table1[[#This Row],[HDL (mg/dL)2]]+Table1[[#This Row],[Estimated LDL (mg/dL)2]])*5</f>
        <v>1830</v>
      </c>
      <c r="U685" s="8">
        <f>IF(O685="",Table1[[#This Row],[Estimated LDL (mg/dL)2]]+Table1[[#This Row],[HDL (mg/dL)2]]+(Table1[[#This Row],[Triglycerides]]/5),O685)</f>
        <v>198</v>
      </c>
      <c r="V685">
        <v>108</v>
      </c>
      <c r="W685" s="8">
        <f t="shared" si="150"/>
        <v>108</v>
      </c>
      <c r="X685" t="str">
        <f t="shared" si="151"/>
        <v>Prediabetes</v>
      </c>
      <c r="Y685" t="s">
        <v>23</v>
      </c>
      <c r="Z685" t="s">
        <v>22</v>
      </c>
      <c r="AA685" t="s">
        <v>24</v>
      </c>
      <c r="AB685" s="3" t="s">
        <v>104</v>
      </c>
      <c r="AC685">
        <v>96</v>
      </c>
      <c r="AD685" s="3" t="str">
        <f t="shared" si="152"/>
        <v>96</v>
      </c>
      <c r="AE685">
        <v>65</v>
      </c>
      <c r="AF685" s="3" t="str">
        <f t="shared" si="153"/>
        <v>65</v>
      </c>
      <c r="AG685" t="s">
        <v>33</v>
      </c>
      <c r="AI685" s="3">
        <f t="shared" si="154"/>
        <v>16.960925291295425</v>
      </c>
      <c r="AJ685" t="s">
        <v>26</v>
      </c>
      <c r="AK685" t="str">
        <f>PROPER(Table1[[#This Row],[CVD Risk Level]])</f>
        <v>Intermediary</v>
      </c>
    </row>
    <row r="686" spans="1:37" x14ac:dyDescent="0.3">
      <c r="A686" t="s">
        <v>20</v>
      </c>
      <c r="B686">
        <v>37</v>
      </c>
      <c r="C686" s="8">
        <f t="shared" si="143"/>
        <v>37</v>
      </c>
      <c r="D686" s="5">
        <v>105.4</v>
      </c>
      <c r="E686" s="8">
        <f t="shared" si="144"/>
        <v>105.4</v>
      </c>
      <c r="G686" s="3">
        <f t="shared" si="145"/>
        <v>1.6610726364806934</v>
      </c>
      <c r="H686">
        <v>38.200000000000003</v>
      </c>
      <c r="I686" s="5">
        <f t="shared" si="141"/>
        <v>38.200000000000003</v>
      </c>
      <c r="J686" s="16" t="str">
        <f t="shared" si="146"/>
        <v>Obese</v>
      </c>
      <c r="K686">
        <v>73.900000000000006</v>
      </c>
      <c r="L686">
        <v>0.44500000000000001</v>
      </c>
      <c r="M686" s="11">
        <f t="shared" si="142"/>
        <v>0.44500000000000001</v>
      </c>
      <c r="N686" s="5">
        <f t="shared" si="147"/>
        <v>73.900000000000006</v>
      </c>
      <c r="O686">
        <v>175</v>
      </c>
      <c r="P686">
        <v>44</v>
      </c>
      <c r="Q686" s="8">
        <f t="shared" si="148"/>
        <v>44</v>
      </c>
      <c r="R686" s="8">
        <v>101</v>
      </c>
      <c r="S686" s="8">
        <f t="shared" si="149"/>
        <v>101</v>
      </c>
      <c r="T686" s="8">
        <f>(Table1[[#This Row],[Total Cholesterol (mg/dL)]]+Table1[[#This Row],[HDL (mg/dL)2]]+Table1[[#This Row],[Estimated LDL (mg/dL)2]])*5</f>
        <v>1600</v>
      </c>
      <c r="U686" s="8">
        <f>IF(O686="",Table1[[#This Row],[Estimated LDL (mg/dL)2]]+Table1[[#This Row],[HDL (mg/dL)2]]+(Table1[[#This Row],[Triglycerides]]/5),O686)</f>
        <v>175</v>
      </c>
      <c r="V686">
        <v>72</v>
      </c>
      <c r="W686" s="8">
        <f t="shared" si="150"/>
        <v>72</v>
      </c>
      <c r="X686" t="str">
        <f t="shared" si="151"/>
        <v>Normal</v>
      </c>
      <c r="Y686" t="s">
        <v>23</v>
      </c>
      <c r="Z686" t="s">
        <v>22</v>
      </c>
      <c r="AA686" t="s">
        <v>37</v>
      </c>
      <c r="AB686" s="3" t="s">
        <v>43</v>
      </c>
      <c r="AC686">
        <v>129</v>
      </c>
      <c r="AD686" s="3" t="str">
        <f t="shared" si="152"/>
        <v>129</v>
      </c>
      <c r="AE686">
        <v>87</v>
      </c>
      <c r="AF686" s="3" t="str">
        <f t="shared" si="153"/>
        <v>87</v>
      </c>
      <c r="AG686" t="s">
        <v>29</v>
      </c>
      <c r="AI686" s="3">
        <f t="shared" si="154"/>
        <v>16.960925291295425</v>
      </c>
      <c r="AJ686" t="s">
        <v>26</v>
      </c>
      <c r="AK686" t="str">
        <f>PROPER(Table1[[#This Row],[CVD Risk Level]])</f>
        <v>Intermediary</v>
      </c>
    </row>
    <row r="687" spans="1:37" x14ac:dyDescent="0.3">
      <c r="A687" t="s">
        <v>31</v>
      </c>
      <c r="B687">
        <v>44</v>
      </c>
      <c r="C687" s="8">
        <f t="shared" si="143"/>
        <v>44</v>
      </c>
      <c r="D687" s="5">
        <v>98.7</v>
      </c>
      <c r="E687" s="8">
        <f t="shared" si="144"/>
        <v>98.7</v>
      </c>
      <c r="F687">
        <v>1.71</v>
      </c>
      <c r="G687" s="3">
        <f t="shared" si="145"/>
        <v>1.71</v>
      </c>
      <c r="H687">
        <v>33.799999999999997</v>
      </c>
      <c r="I687" s="5">
        <f t="shared" si="141"/>
        <v>33.799999999999997</v>
      </c>
      <c r="J687" s="16" t="str">
        <f t="shared" si="146"/>
        <v>Obese</v>
      </c>
      <c r="K687">
        <v>85.3</v>
      </c>
      <c r="L687">
        <v>0.499</v>
      </c>
      <c r="M687" s="11">
        <f t="shared" si="142"/>
        <v>0.499</v>
      </c>
      <c r="N687" s="5">
        <f t="shared" si="147"/>
        <v>85.3</v>
      </c>
      <c r="O687">
        <v>192</v>
      </c>
      <c r="P687">
        <v>37</v>
      </c>
      <c r="Q687" s="8">
        <f t="shared" si="148"/>
        <v>37</v>
      </c>
      <c r="R687" s="8">
        <v>125</v>
      </c>
      <c r="S687" s="8">
        <f t="shared" si="149"/>
        <v>125</v>
      </c>
      <c r="T687" s="8">
        <f>(Table1[[#This Row],[Total Cholesterol (mg/dL)]]+Table1[[#This Row],[HDL (mg/dL)2]]+Table1[[#This Row],[Estimated LDL (mg/dL)2]])*5</f>
        <v>1770</v>
      </c>
      <c r="U687" s="8">
        <f>IF(O687="",Table1[[#This Row],[Estimated LDL (mg/dL)2]]+Table1[[#This Row],[HDL (mg/dL)2]]+(Table1[[#This Row],[Triglycerides]]/5),O687)</f>
        <v>192</v>
      </c>
      <c r="V687">
        <v>76</v>
      </c>
      <c r="W687" s="8">
        <f t="shared" si="150"/>
        <v>76</v>
      </c>
      <c r="X687" t="str">
        <f t="shared" si="151"/>
        <v>Normal</v>
      </c>
      <c r="Y687" t="s">
        <v>22</v>
      </c>
      <c r="Z687" t="s">
        <v>23</v>
      </c>
      <c r="AA687" t="s">
        <v>37</v>
      </c>
      <c r="AB687" s="3" t="s">
        <v>533</v>
      </c>
      <c r="AC687">
        <v>137</v>
      </c>
      <c r="AD687" s="3" t="str">
        <f t="shared" si="152"/>
        <v>137</v>
      </c>
      <c r="AE687">
        <v>91</v>
      </c>
      <c r="AF687" s="3" t="str">
        <f t="shared" si="153"/>
        <v>91</v>
      </c>
      <c r="AG687" t="s">
        <v>29</v>
      </c>
      <c r="AH687" s="3">
        <v>19.45</v>
      </c>
      <c r="AI687" s="3">
        <f t="shared" si="154"/>
        <v>19.45</v>
      </c>
      <c r="AJ687" t="s">
        <v>26</v>
      </c>
      <c r="AK687" t="str">
        <f>PROPER(Table1[[#This Row],[CVD Risk Level]])</f>
        <v>Intermediary</v>
      </c>
    </row>
    <row r="688" spans="1:37" x14ac:dyDescent="0.3">
      <c r="A688" t="s">
        <v>31</v>
      </c>
      <c r="B688">
        <v>46</v>
      </c>
      <c r="C688" s="8">
        <f t="shared" si="143"/>
        <v>46</v>
      </c>
      <c r="D688" s="5">
        <v>61.8</v>
      </c>
      <c r="E688" s="8">
        <f t="shared" si="144"/>
        <v>61.8</v>
      </c>
      <c r="F688">
        <v>1.67</v>
      </c>
      <c r="G688" s="3">
        <f t="shared" si="145"/>
        <v>1.67</v>
      </c>
      <c r="H688">
        <v>22.2</v>
      </c>
      <c r="I688" s="5">
        <f t="shared" si="141"/>
        <v>22.2</v>
      </c>
      <c r="J688" s="16" t="str">
        <f t="shared" si="146"/>
        <v>Normal</v>
      </c>
      <c r="K688">
        <v>91.8</v>
      </c>
      <c r="L688">
        <v>0.55000000000000004</v>
      </c>
      <c r="M688" s="11">
        <f t="shared" si="142"/>
        <v>0.55000000000000004</v>
      </c>
      <c r="N688" s="5">
        <f t="shared" si="147"/>
        <v>91.8</v>
      </c>
      <c r="O688">
        <v>154</v>
      </c>
      <c r="P688">
        <v>46</v>
      </c>
      <c r="Q688" s="8">
        <f t="shared" si="148"/>
        <v>46</v>
      </c>
      <c r="R688" s="8">
        <v>78</v>
      </c>
      <c r="S688" s="8">
        <f t="shared" si="149"/>
        <v>78</v>
      </c>
      <c r="T688" s="8">
        <f>(Table1[[#This Row],[Total Cholesterol (mg/dL)]]+Table1[[#This Row],[HDL (mg/dL)2]]+Table1[[#This Row],[Estimated LDL (mg/dL)2]])*5</f>
        <v>1390</v>
      </c>
      <c r="U688" s="8">
        <f>IF(O688="",Table1[[#This Row],[Estimated LDL (mg/dL)2]]+Table1[[#This Row],[HDL (mg/dL)2]]+(Table1[[#This Row],[Triglycerides]]/5),O688)</f>
        <v>154</v>
      </c>
      <c r="V688">
        <v>121</v>
      </c>
      <c r="W688" s="8">
        <f t="shared" si="150"/>
        <v>121</v>
      </c>
      <c r="X688" t="str">
        <f t="shared" si="151"/>
        <v>Prediabetes</v>
      </c>
      <c r="Y688" t="s">
        <v>23</v>
      </c>
      <c r="Z688" t="s">
        <v>22</v>
      </c>
      <c r="AA688" t="s">
        <v>28</v>
      </c>
      <c r="AB688" s="3" t="s">
        <v>616</v>
      </c>
      <c r="AC688">
        <v>112</v>
      </c>
      <c r="AD688" s="3" t="str">
        <f t="shared" si="152"/>
        <v>112</v>
      </c>
      <c r="AE688">
        <v>61</v>
      </c>
      <c r="AF688" s="3" t="str">
        <f t="shared" si="153"/>
        <v>61</v>
      </c>
      <c r="AG688" t="s">
        <v>33</v>
      </c>
      <c r="AH688" s="3">
        <v>13.12</v>
      </c>
      <c r="AI688" s="3">
        <f t="shared" si="154"/>
        <v>13.12</v>
      </c>
      <c r="AJ688" t="s">
        <v>26</v>
      </c>
      <c r="AK688" t="str">
        <f>PROPER(Table1[[#This Row],[CVD Risk Level]])</f>
        <v>Intermediary</v>
      </c>
    </row>
    <row r="689" spans="1:37" x14ac:dyDescent="0.3">
      <c r="A689" t="s">
        <v>20</v>
      </c>
      <c r="B689">
        <v>43</v>
      </c>
      <c r="C689" s="8">
        <f t="shared" si="143"/>
        <v>43</v>
      </c>
      <c r="D689" s="5">
        <v>57.1</v>
      </c>
      <c r="E689" s="8">
        <f t="shared" si="144"/>
        <v>57.1</v>
      </c>
      <c r="G689" s="3">
        <f t="shared" si="145"/>
        <v>1.8602704267407093</v>
      </c>
      <c r="H689">
        <v>16.5</v>
      </c>
      <c r="I689" s="5">
        <f t="shared" si="141"/>
        <v>16.5</v>
      </c>
      <c r="J689" s="16" t="str">
        <f t="shared" si="146"/>
        <v>Underweight</v>
      </c>
      <c r="K689">
        <v>78.599999999999994</v>
      </c>
      <c r="L689">
        <v>0.42299999999999999</v>
      </c>
      <c r="M689" s="11">
        <f t="shared" si="142"/>
        <v>0.42299999999999999</v>
      </c>
      <c r="N689" s="5">
        <f t="shared" si="147"/>
        <v>78.599999999999994</v>
      </c>
      <c r="Q689" s="8">
        <f t="shared" si="148"/>
        <v>56.197377501725327</v>
      </c>
      <c r="R689" s="8">
        <v>101</v>
      </c>
      <c r="S689" s="8">
        <f>IF(R689&lt;=0,MEDIAN($R$2:$R$1530),R689)</f>
        <v>101</v>
      </c>
      <c r="T689" s="8">
        <f>(Table1[[#This Row],[Total Cholesterol (mg/dL)]]+Table1[[#This Row],[HDL (mg/dL)2]]+Table1[[#This Row],[Estimated LDL (mg/dL)2]])*5</f>
        <v>785.98688750862664</v>
      </c>
      <c r="U689" s="8">
        <f>IF(O689="",Table1[[#This Row],[Estimated LDL (mg/dL)2]]+Table1[[#This Row],[HDL (mg/dL)2]]+(Table1[[#This Row],[Triglycerides]]/5),O689)</f>
        <v>314.39475500345065</v>
      </c>
      <c r="V689">
        <v>137</v>
      </c>
      <c r="W689" s="8">
        <f t="shared" si="150"/>
        <v>137</v>
      </c>
      <c r="X689" t="str">
        <f t="shared" si="151"/>
        <v>Diabetes</v>
      </c>
      <c r="Y689" t="s">
        <v>23</v>
      </c>
      <c r="Z689" t="s">
        <v>22</v>
      </c>
      <c r="AA689" t="s">
        <v>24</v>
      </c>
      <c r="AB689" s="3" t="s">
        <v>617</v>
      </c>
      <c r="AD689" s="3" t="str">
        <f t="shared" si="152"/>
        <v>104</v>
      </c>
      <c r="AE689">
        <v>66</v>
      </c>
      <c r="AF689" s="3" t="str">
        <f t="shared" si="153"/>
        <v>66</v>
      </c>
      <c r="AG689" t="s">
        <v>33</v>
      </c>
      <c r="AH689" s="3">
        <v>12.04</v>
      </c>
      <c r="AI689" s="3">
        <f t="shared" si="154"/>
        <v>12.04</v>
      </c>
      <c r="AJ689" t="s">
        <v>26</v>
      </c>
      <c r="AK689" t="str">
        <f>PROPER(Table1[[#This Row],[CVD Risk Level]])</f>
        <v>Intermediary</v>
      </c>
    </row>
    <row r="690" spans="1:37" x14ac:dyDescent="0.3">
      <c r="A690" t="s">
        <v>31</v>
      </c>
      <c r="B690">
        <v>32</v>
      </c>
      <c r="C690" s="8">
        <f t="shared" si="143"/>
        <v>32</v>
      </c>
      <c r="D690" s="5">
        <v>74.8</v>
      </c>
      <c r="E690" s="8">
        <f t="shared" si="144"/>
        <v>74.8</v>
      </c>
      <c r="F690">
        <v>1.69</v>
      </c>
      <c r="G690" s="3">
        <f t="shared" si="145"/>
        <v>1.69</v>
      </c>
      <c r="H690">
        <v>26.2</v>
      </c>
      <c r="I690" s="5">
        <f t="shared" si="141"/>
        <v>26.2</v>
      </c>
      <c r="J690" s="16" t="str">
        <f t="shared" si="146"/>
        <v>Overweight</v>
      </c>
      <c r="K690">
        <v>102.5</v>
      </c>
      <c r="L690">
        <v>0.60699999999999998</v>
      </c>
      <c r="M690" s="11">
        <f t="shared" si="142"/>
        <v>0.60699999999999998</v>
      </c>
      <c r="N690" s="5">
        <f t="shared" si="147"/>
        <v>102.5</v>
      </c>
      <c r="O690">
        <v>207</v>
      </c>
      <c r="P690">
        <v>80</v>
      </c>
      <c r="Q690" s="8">
        <f t="shared" si="148"/>
        <v>80</v>
      </c>
      <c r="R690" s="8">
        <v>97</v>
      </c>
      <c r="S690" s="8">
        <f t="shared" si="149"/>
        <v>97</v>
      </c>
      <c r="T690" s="8">
        <f>(Table1[[#This Row],[Total Cholesterol (mg/dL)]]+Table1[[#This Row],[HDL (mg/dL)2]]+Table1[[#This Row],[Estimated LDL (mg/dL)2]])*5</f>
        <v>1920</v>
      </c>
      <c r="U690" s="8">
        <f>IF(O690="",Table1[[#This Row],[Estimated LDL (mg/dL)2]]+Table1[[#This Row],[HDL (mg/dL)2]]+(Table1[[#This Row],[Triglycerides]]/5),O690)</f>
        <v>207</v>
      </c>
      <c r="V690">
        <v>124</v>
      </c>
      <c r="W690" s="8">
        <f t="shared" si="150"/>
        <v>124</v>
      </c>
      <c r="X690" t="str">
        <f t="shared" si="151"/>
        <v>Prediabetes</v>
      </c>
      <c r="Y690" t="s">
        <v>22</v>
      </c>
      <c r="Z690" t="s">
        <v>23</v>
      </c>
      <c r="AA690" t="s">
        <v>28</v>
      </c>
      <c r="AB690" s="3" t="s">
        <v>618</v>
      </c>
      <c r="AC690">
        <v>148</v>
      </c>
      <c r="AD690" s="3" t="str">
        <f t="shared" si="152"/>
        <v>148</v>
      </c>
      <c r="AE690">
        <v>98</v>
      </c>
      <c r="AF690" s="3" t="str">
        <f t="shared" si="153"/>
        <v>98</v>
      </c>
      <c r="AG690" t="s">
        <v>38</v>
      </c>
      <c r="AH690" s="3">
        <v>18.78</v>
      </c>
      <c r="AI690" s="3">
        <f t="shared" si="154"/>
        <v>18.78</v>
      </c>
      <c r="AJ690" t="s">
        <v>26</v>
      </c>
      <c r="AK690" t="str">
        <f>PROPER(Table1[[#This Row],[CVD Risk Level]])</f>
        <v>Intermediary</v>
      </c>
    </row>
    <row r="691" spans="1:37" x14ac:dyDescent="0.3">
      <c r="A691" t="s">
        <v>20</v>
      </c>
      <c r="B691">
        <v>31</v>
      </c>
      <c r="C691" s="8">
        <f t="shared" si="143"/>
        <v>31</v>
      </c>
      <c r="D691" s="5">
        <v>89.2</v>
      </c>
      <c r="E691" s="8">
        <f t="shared" si="144"/>
        <v>89.2</v>
      </c>
      <c r="F691">
        <v>1.87</v>
      </c>
      <c r="G691" s="3">
        <f t="shared" si="145"/>
        <v>1.87</v>
      </c>
      <c r="H691">
        <v>25.5</v>
      </c>
      <c r="I691" s="5">
        <f t="shared" si="141"/>
        <v>25.5</v>
      </c>
      <c r="J691" s="16" t="str">
        <f t="shared" si="146"/>
        <v>Overweight</v>
      </c>
      <c r="K691">
        <v>72.5</v>
      </c>
      <c r="L691">
        <v>0.38800000000000001</v>
      </c>
      <c r="M691" s="11">
        <f t="shared" si="142"/>
        <v>0.38800000000000001</v>
      </c>
      <c r="N691" s="5">
        <f t="shared" si="147"/>
        <v>72.5</v>
      </c>
      <c r="O691">
        <v>229</v>
      </c>
      <c r="P691">
        <v>41</v>
      </c>
      <c r="Q691" s="8">
        <f t="shared" si="148"/>
        <v>41</v>
      </c>
      <c r="R691" s="8">
        <v>158</v>
      </c>
      <c r="S691" s="8">
        <f t="shared" si="149"/>
        <v>158</v>
      </c>
      <c r="T691" s="8">
        <f>(Table1[[#This Row],[Total Cholesterol (mg/dL)]]+Table1[[#This Row],[HDL (mg/dL)2]]+Table1[[#This Row],[Estimated LDL (mg/dL)2]])*5</f>
        <v>2140</v>
      </c>
      <c r="U691" s="8">
        <f>IF(O691="",Table1[[#This Row],[Estimated LDL (mg/dL)2]]+Table1[[#This Row],[HDL (mg/dL)2]]+(Table1[[#This Row],[Triglycerides]]/5),O691)</f>
        <v>229</v>
      </c>
      <c r="V691">
        <v>70</v>
      </c>
      <c r="W691" s="8">
        <f t="shared" si="150"/>
        <v>70</v>
      </c>
      <c r="X691" t="str">
        <f t="shared" si="151"/>
        <v>Normal</v>
      </c>
      <c r="Y691" t="s">
        <v>23</v>
      </c>
      <c r="Z691" t="s">
        <v>23</v>
      </c>
      <c r="AA691" t="s">
        <v>28</v>
      </c>
      <c r="AB691" s="3" t="s">
        <v>619</v>
      </c>
      <c r="AC691">
        <v>115</v>
      </c>
      <c r="AD691" s="3" t="str">
        <f t="shared" si="152"/>
        <v>115</v>
      </c>
      <c r="AE691">
        <v>72</v>
      </c>
      <c r="AF691" s="3" t="str">
        <f t="shared" si="153"/>
        <v>72</v>
      </c>
      <c r="AG691" t="s">
        <v>33</v>
      </c>
      <c r="AI691" s="3">
        <f t="shared" si="154"/>
        <v>16.960925291295425</v>
      </c>
      <c r="AJ691" t="s">
        <v>30</v>
      </c>
      <c r="AK691" t="str">
        <f>PROPER(Table1[[#This Row],[CVD Risk Level]])</f>
        <v>High</v>
      </c>
    </row>
    <row r="692" spans="1:37" x14ac:dyDescent="0.3">
      <c r="A692" t="s">
        <v>20</v>
      </c>
      <c r="B692">
        <v>50</v>
      </c>
      <c r="C692" s="8">
        <f t="shared" si="143"/>
        <v>50</v>
      </c>
      <c r="D692" s="5">
        <v>63.4</v>
      </c>
      <c r="E692" s="8">
        <f t="shared" si="144"/>
        <v>63.4</v>
      </c>
      <c r="F692">
        <v>1.63</v>
      </c>
      <c r="G692" s="3">
        <f t="shared" si="145"/>
        <v>1.63</v>
      </c>
      <c r="H692">
        <v>23.9</v>
      </c>
      <c r="I692" s="5">
        <f t="shared" si="141"/>
        <v>23.9</v>
      </c>
      <c r="J692" s="16" t="str">
        <f t="shared" si="146"/>
        <v>Normal</v>
      </c>
      <c r="K692">
        <v>76.3</v>
      </c>
      <c r="L692">
        <v>0.46800000000000003</v>
      </c>
      <c r="M692" s="11">
        <f t="shared" si="142"/>
        <v>0.46800000000000003</v>
      </c>
      <c r="N692" s="5">
        <f t="shared" si="147"/>
        <v>76.3</v>
      </c>
      <c r="O692">
        <v>141</v>
      </c>
      <c r="P692">
        <v>39</v>
      </c>
      <c r="Q692" s="8">
        <f t="shared" si="148"/>
        <v>39</v>
      </c>
      <c r="R692" s="8">
        <v>72</v>
      </c>
      <c r="S692" s="8">
        <f t="shared" si="149"/>
        <v>72</v>
      </c>
      <c r="T692" s="8">
        <f>(Table1[[#This Row],[Total Cholesterol (mg/dL)]]+Table1[[#This Row],[HDL (mg/dL)2]]+Table1[[#This Row],[Estimated LDL (mg/dL)2]])*5</f>
        <v>1260</v>
      </c>
      <c r="U692" s="8">
        <f>IF(O692="",Table1[[#This Row],[Estimated LDL (mg/dL)2]]+Table1[[#This Row],[HDL (mg/dL)2]]+(Table1[[#This Row],[Triglycerides]]/5),O692)</f>
        <v>141</v>
      </c>
      <c r="V692">
        <v>88</v>
      </c>
      <c r="W692" s="8">
        <f t="shared" si="150"/>
        <v>88</v>
      </c>
      <c r="X692" t="str">
        <f t="shared" si="151"/>
        <v>Normal</v>
      </c>
      <c r="Y692" t="s">
        <v>23</v>
      </c>
      <c r="Z692" t="s">
        <v>22</v>
      </c>
      <c r="AA692" t="s">
        <v>24</v>
      </c>
      <c r="AB692" s="3" t="s">
        <v>620</v>
      </c>
      <c r="AC692">
        <v>125</v>
      </c>
      <c r="AD692" s="3" t="str">
        <f t="shared" si="152"/>
        <v>125</v>
      </c>
      <c r="AE692">
        <v>87</v>
      </c>
      <c r="AF692" s="3" t="str">
        <f t="shared" si="153"/>
        <v>87</v>
      </c>
      <c r="AG692" t="s">
        <v>29</v>
      </c>
      <c r="AH692" s="3">
        <v>13.85</v>
      </c>
      <c r="AI692" s="3">
        <f t="shared" si="154"/>
        <v>13.85</v>
      </c>
      <c r="AJ692" t="s">
        <v>30</v>
      </c>
      <c r="AK692" t="str">
        <f>PROPER(Table1[[#This Row],[CVD Risk Level]])</f>
        <v>High</v>
      </c>
    </row>
    <row r="693" spans="1:37" x14ac:dyDescent="0.3">
      <c r="A693" t="s">
        <v>31</v>
      </c>
      <c r="B693">
        <v>32</v>
      </c>
      <c r="C693" s="8">
        <f t="shared" si="143"/>
        <v>32</v>
      </c>
      <c r="D693" s="5">
        <v>65.2</v>
      </c>
      <c r="E693" s="8">
        <f t="shared" si="144"/>
        <v>65.2</v>
      </c>
      <c r="F693">
        <v>1.76</v>
      </c>
      <c r="G693" s="3">
        <f t="shared" si="145"/>
        <v>1.76</v>
      </c>
      <c r="H693">
        <v>21</v>
      </c>
      <c r="I693" s="5">
        <f t="shared" si="141"/>
        <v>21</v>
      </c>
      <c r="J693" s="16" t="str">
        <f t="shared" si="146"/>
        <v>Normal</v>
      </c>
      <c r="K693">
        <v>72.599999999999994</v>
      </c>
      <c r="L693">
        <v>0.41199999999999998</v>
      </c>
      <c r="M693" s="11">
        <f t="shared" si="142"/>
        <v>0.41199999999999998</v>
      </c>
      <c r="N693" s="5">
        <f t="shared" si="147"/>
        <v>72.599999999999994</v>
      </c>
      <c r="O693">
        <v>147</v>
      </c>
      <c r="P693">
        <v>46</v>
      </c>
      <c r="Q693" s="8">
        <f t="shared" si="148"/>
        <v>46</v>
      </c>
      <c r="R693" s="8">
        <v>71</v>
      </c>
      <c r="S693" s="8">
        <f t="shared" si="149"/>
        <v>71</v>
      </c>
      <c r="T693" s="8">
        <f>(Table1[[#This Row],[Total Cholesterol (mg/dL)]]+Table1[[#This Row],[HDL (mg/dL)2]]+Table1[[#This Row],[Estimated LDL (mg/dL)2]])*5</f>
        <v>1320</v>
      </c>
      <c r="U693" s="8">
        <f>IF(O693="",Table1[[#This Row],[Estimated LDL (mg/dL)2]]+Table1[[#This Row],[HDL (mg/dL)2]]+(Table1[[#This Row],[Triglycerides]]/5),O693)</f>
        <v>147</v>
      </c>
      <c r="W693" s="8">
        <f t="shared" si="150"/>
        <v>117.48563611491107</v>
      </c>
      <c r="X693" t="str">
        <f t="shared" si="151"/>
        <v>Prediabetes</v>
      </c>
      <c r="Y693" t="s">
        <v>22</v>
      </c>
      <c r="Z693" t="s">
        <v>22</v>
      </c>
      <c r="AA693" t="s">
        <v>24</v>
      </c>
      <c r="AB693" s="3" t="s">
        <v>206</v>
      </c>
      <c r="AC693">
        <v>141</v>
      </c>
      <c r="AD693" s="3" t="str">
        <f t="shared" si="152"/>
        <v>141</v>
      </c>
      <c r="AE693">
        <v>69</v>
      </c>
      <c r="AF693" s="3" t="str">
        <f t="shared" si="153"/>
        <v>69</v>
      </c>
      <c r="AG693" t="s">
        <v>38</v>
      </c>
      <c r="AH693" s="3">
        <v>14.19</v>
      </c>
      <c r="AI693" s="3">
        <f t="shared" si="154"/>
        <v>14.19</v>
      </c>
      <c r="AJ693" t="s">
        <v>52</v>
      </c>
      <c r="AK693" t="str">
        <f>PROPER(Table1[[#This Row],[CVD Risk Level]])</f>
        <v>Low</v>
      </c>
    </row>
    <row r="694" spans="1:37" x14ac:dyDescent="0.3">
      <c r="A694" t="s">
        <v>20</v>
      </c>
      <c r="B694">
        <v>55</v>
      </c>
      <c r="C694" s="8">
        <f t="shared" si="143"/>
        <v>55</v>
      </c>
      <c r="D694" s="5">
        <v>91.8</v>
      </c>
      <c r="E694" s="8">
        <f t="shared" si="144"/>
        <v>91.8</v>
      </c>
      <c r="F694">
        <v>1.66</v>
      </c>
      <c r="G694" s="3">
        <f t="shared" si="145"/>
        <v>1.66</v>
      </c>
      <c r="H694">
        <v>33.299999999999997</v>
      </c>
      <c r="I694" s="5">
        <f t="shared" si="141"/>
        <v>33.299999999999997</v>
      </c>
      <c r="J694" s="16" t="str">
        <f t="shared" si="146"/>
        <v>Obese</v>
      </c>
      <c r="K694">
        <v>88.7</v>
      </c>
      <c r="L694">
        <v>0.53400000000000003</v>
      </c>
      <c r="M694" s="11">
        <f t="shared" si="142"/>
        <v>0.53400000000000003</v>
      </c>
      <c r="N694" s="5">
        <f t="shared" si="147"/>
        <v>88.7</v>
      </c>
      <c r="O694">
        <v>171</v>
      </c>
      <c r="P694">
        <v>41</v>
      </c>
      <c r="Q694" s="8">
        <f t="shared" si="148"/>
        <v>41</v>
      </c>
      <c r="R694" s="8">
        <v>100</v>
      </c>
      <c r="S694" s="8">
        <f t="shared" si="149"/>
        <v>100</v>
      </c>
      <c r="T694" s="8">
        <f>(Table1[[#This Row],[Total Cholesterol (mg/dL)]]+Table1[[#This Row],[HDL (mg/dL)2]]+Table1[[#This Row],[Estimated LDL (mg/dL)2]])*5</f>
        <v>1560</v>
      </c>
      <c r="U694" s="8">
        <f>IF(O694="",Table1[[#This Row],[Estimated LDL (mg/dL)2]]+Table1[[#This Row],[HDL (mg/dL)2]]+(Table1[[#This Row],[Triglycerides]]/5),O694)</f>
        <v>171</v>
      </c>
      <c r="V694">
        <v>89</v>
      </c>
      <c r="W694" s="8">
        <f t="shared" si="150"/>
        <v>89</v>
      </c>
      <c r="X694" t="str">
        <f t="shared" si="151"/>
        <v>Normal</v>
      </c>
      <c r="Y694" t="s">
        <v>22</v>
      </c>
      <c r="Z694" t="s">
        <v>22</v>
      </c>
      <c r="AA694" t="s">
        <v>24</v>
      </c>
      <c r="AB694" s="3" t="s">
        <v>621</v>
      </c>
      <c r="AC694">
        <v>132</v>
      </c>
      <c r="AD694" s="3" t="str">
        <f t="shared" si="152"/>
        <v>132</v>
      </c>
      <c r="AE694">
        <v>65</v>
      </c>
      <c r="AF694" s="3" t="str">
        <f t="shared" si="153"/>
        <v>65</v>
      </c>
      <c r="AG694" t="s">
        <v>29</v>
      </c>
      <c r="AH694" s="3">
        <v>16.68</v>
      </c>
      <c r="AI694" s="3">
        <f t="shared" si="154"/>
        <v>16.68</v>
      </c>
      <c r="AJ694" t="s">
        <v>30</v>
      </c>
      <c r="AK694" t="str">
        <f>PROPER(Table1[[#This Row],[CVD Risk Level]])</f>
        <v>High</v>
      </c>
    </row>
    <row r="695" spans="1:37" x14ac:dyDescent="0.3">
      <c r="A695" t="s">
        <v>31</v>
      </c>
      <c r="B695">
        <v>60</v>
      </c>
      <c r="C695" s="8">
        <f t="shared" si="143"/>
        <v>60</v>
      </c>
      <c r="D695" s="5">
        <v>69.2</v>
      </c>
      <c r="E695" s="8">
        <f t="shared" si="144"/>
        <v>69.2</v>
      </c>
      <c r="F695">
        <v>1.9</v>
      </c>
      <c r="G695" s="3">
        <f t="shared" si="145"/>
        <v>1.9</v>
      </c>
      <c r="H695">
        <v>19.2</v>
      </c>
      <c r="I695" s="5">
        <f t="shared" si="141"/>
        <v>19.2</v>
      </c>
      <c r="J695" s="16" t="str">
        <f t="shared" si="146"/>
        <v>Normal</v>
      </c>
      <c r="K695">
        <v>88.5</v>
      </c>
      <c r="L695">
        <v>0.46600000000000003</v>
      </c>
      <c r="M695" s="11">
        <f t="shared" si="142"/>
        <v>0.46600000000000003</v>
      </c>
      <c r="N695" s="5">
        <f t="shared" si="147"/>
        <v>88.5</v>
      </c>
      <c r="O695">
        <v>121</v>
      </c>
      <c r="P695">
        <v>44</v>
      </c>
      <c r="Q695" s="8">
        <f t="shared" si="148"/>
        <v>44</v>
      </c>
      <c r="R695" s="8">
        <v>47</v>
      </c>
      <c r="S695" s="8">
        <f t="shared" si="149"/>
        <v>47</v>
      </c>
      <c r="T695" s="8">
        <f>(Table1[[#This Row],[Total Cholesterol (mg/dL)]]+Table1[[#This Row],[HDL (mg/dL)2]]+Table1[[#This Row],[Estimated LDL (mg/dL)2]])*5</f>
        <v>1060</v>
      </c>
      <c r="U695" s="8">
        <f>IF(O695="",Table1[[#This Row],[Estimated LDL (mg/dL)2]]+Table1[[#This Row],[HDL (mg/dL)2]]+(Table1[[#This Row],[Triglycerides]]/5),O695)</f>
        <v>121</v>
      </c>
      <c r="V695">
        <v>124</v>
      </c>
      <c r="W695" s="8">
        <f t="shared" si="150"/>
        <v>124</v>
      </c>
      <c r="X695" t="str">
        <f t="shared" si="151"/>
        <v>Prediabetes</v>
      </c>
      <c r="Y695" t="s">
        <v>23</v>
      </c>
      <c r="Z695" t="s">
        <v>23</v>
      </c>
      <c r="AA695" t="s">
        <v>37</v>
      </c>
      <c r="AB695" s="3" t="s">
        <v>622</v>
      </c>
      <c r="AC695">
        <v>123</v>
      </c>
      <c r="AD695" s="3" t="str">
        <f t="shared" si="152"/>
        <v>123</v>
      </c>
      <c r="AE695">
        <v>72</v>
      </c>
      <c r="AF695" s="3" t="str">
        <f t="shared" si="153"/>
        <v>72</v>
      </c>
      <c r="AG695" t="s">
        <v>25</v>
      </c>
      <c r="AI695" s="3">
        <f t="shared" si="154"/>
        <v>16.960925291295425</v>
      </c>
      <c r="AJ695" t="s">
        <v>26</v>
      </c>
      <c r="AK695" t="str">
        <f>PROPER(Table1[[#This Row],[CVD Risk Level]])</f>
        <v>Intermediary</v>
      </c>
    </row>
    <row r="696" spans="1:37" x14ac:dyDescent="0.3">
      <c r="A696" t="s">
        <v>20</v>
      </c>
      <c r="B696">
        <v>33</v>
      </c>
      <c r="C696" s="8">
        <f t="shared" si="143"/>
        <v>33</v>
      </c>
      <c r="D696" s="5">
        <v>89.4</v>
      </c>
      <c r="E696" s="8">
        <f t="shared" si="144"/>
        <v>89.4</v>
      </c>
      <c r="F696">
        <v>1.61</v>
      </c>
      <c r="G696" s="3">
        <f t="shared" si="145"/>
        <v>1.61</v>
      </c>
      <c r="H696">
        <v>34.5</v>
      </c>
      <c r="I696" s="5">
        <f t="shared" si="141"/>
        <v>34.5</v>
      </c>
      <c r="J696" s="16" t="str">
        <f t="shared" si="146"/>
        <v>Obese</v>
      </c>
      <c r="K696">
        <v>97.6</v>
      </c>
      <c r="L696">
        <v>0.60599999999999998</v>
      </c>
      <c r="M696" s="11">
        <f t="shared" si="142"/>
        <v>0.60599999999999998</v>
      </c>
      <c r="N696" s="5">
        <f t="shared" si="147"/>
        <v>97.6</v>
      </c>
      <c r="O696">
        <v>214</v>
      </c>
      <c r="P696">
        <v>54</v>
      </c>
      <c r="Q696" s="8">
        <f t="shared" si="148"/>
        <v>54</v>
      </c>
      <c r="R696" s="8">
        <v>130</v>
      </c>
      <c r="S696" s="8">
        <f t="shared" si="149"/>
        <v>130</v>
      </c>
      <c r="T696" s="8">
        <f>(Table1[[#This Row],[Total Cholesterol (mg/dL)]]+Table1[[#This Row],[HDL (mg/dL)2]]+Table1[[#This Row],[Estimated LDL (mg/dL)2]])*5</f>
        <v>1990</v>
      </c>
      <c r="U696" s="8">
        <f>IF(O696="",Table1[[#This Row],[Estimated LDL (mg/dL)2]]+Table1[[#This Row],[HDL (mg/dL)2]]+(Table1[[#This Row],[Triglycerides]]/5),O696)</f>
        <v>214</v>
      </c>
      <c r="V696">
        <v>145</v>
      </c>
      <c r="W696" s="8">
        <f t="shared" si="150"/>
        <v>145</v>
      </c>
      <c r="X696" t="str">
        <f t="shared" si="151"/>
        <v>Diabetes</v>
      </c>
      <c r="Y696" t="s">
        <v>23</v>
      </c>
      <c r="Z696" t="s">
        <v>23</v>
      </c>
      <c r="AA696" t="s">
        <v>37</v>
      </c>
      <c r="AB696" s="3" t="s">
        <v>623</v>
      </c>
      <c r="AC696">
        <v>142</v>
      </c>
      <c r="AD696" s="3" t="str">
        <f t="shared" si="152"/>
        <v>142</v>
      </c>
      <c r="AE696">
        <v>61</v>
      </c>
      <c r="AF696" s="3" t="str">
        <f t="shared" si="153"/>
        <v>61</v>
      </c>
      <c r="AG696" t="s">
        <v>38</v>
      </c>
      <c r="AH696" s="3">
        <v>20.28</v>
      </c>
      <c r="AI696" s="3">
        <f t="shared" si="154"/>
        <v>20.28</v>
      </c>
      <c r="AJ696" t="s">
        <v>30</v>
      </c>
      <c r="AK696" t="str">
        <f>PROPER(Table1[[#This Row],[CVD Risk Level]])</f>
        <v>High</v>
      </c>
    </row>
    <row r="697" spans="1:37" x14ac:dyDescent="0.3">
      <c r="A697" t="s">
        <v>31</v>
      </c>
      <c r="B697">
        <v>33</v>
      </c>
      <c r="C697" s="8">
        <f t="shared" si="143"/>
        <v>33</v>
      </c>
      <c r="D697" s="5">
        <v>74</v>
      </c>
      <c r="E697" s="8">
        <f t="shared" si="144"/>
        <v>74</v>
      </c>
      <c r="F697">
        <v>1.76</v>
      </c>
      <c r="G697" s="3">
        <f t="shared" si="145"/>
        <v>1.76</v>
      </c>
      <c r="H697">
        <v>23.9</v>
      </c>
      <c r="I697" s="5">
        <f t="shared" si="141"/>
        <v>23.9</v>
      </c>
      <c r="J697" s="16" t="str">
        <f t="shared" si="146"/>
        <v>Normal</v>
      </c>
      <c r="K697">
        <v>77.400000000000006</v>
      </c>
      <c r="L697">
        <v>0.44</v>
      </c>
      <c r="M697" s="11">
        <f t="shared" si="142"/>
        <v>0.44</v>
      </c>
      <c r="N697" s="5">
        <f t="shared" si="147"/>
        <v>77.400000000000006</v>
      </c>
      <c r="O697">
        <v>165</v>
      </c>
      <c r="P697">
        <v>71</v>
      </c>
      <c r="Q697" s="8">
        <f t="shared" si="148"/>
        <v>71</v>
      </c>
      <c r="R697" s="8">
        <v>64</v>
      </c>
      <c r="S697" s="8">
        <f>IF(R697&lt;=0,MEDIAN($R$2:$R$1530),R697)</f>
        <v>64</v>
      </c>
      <c r="T697" s="8">
        <f>(Table1[[#This Row],[Total Cholesterol (mg/dL)]]+Table1[[#This Row],[HDL (mg/dL)2]]+Table1[[#This Row],[Estimated LDL (mg/dL)2]])*5</f>
        <v>1500</v>
      </c>
      <c r="U697" s="8">
        <f>IF(O697="",Table1[[#This Row],[Estimated LDL (mg/dL)2]]+Table1[[#This Row],[HDL (mg/dL)2]]+(Table1[[#This Row],[Triglycerides]]/5),O697)</f>
        <v>165</v>
      </c>
      <c r="V697">
        <v>90</v>
      </c>
      <c r="W697" s="8">
        <f t="shared" si="150"/>
        <v>90</v>
      </c>
      <c r="X697" t="str">
        <f t="shared" si="151"/>
        <v>Normal</v>
      </c>
      <c r="Y697" t="s">
        <v>22</v>
      </c>
      <c r="Z697" t="s">
        <v>22</v>
      </c>
      <c r="AA697" t="s">
        <v>28</v>
      </c>
      <c r="AB697" s="3" t="s">
        <v>624</v>
      </c>
      <c r="AC697">
        <v>118</v>
      </c>
      <c r="AD697" s="3" t="str">
        <f t="shared" si="152"/>
        <v>118</v>
      </c>
      <c r="AF697" s="3" t="str">
        <f t="shared" si="153"/>
        <v>86</v>
      </c>
      <c r="AG697" t="s">
        <v>29</v>
      </c>
      <c r="AH697" s="3">
        <v>13.98</v>
      </c>
      <c r="AI697" s="3">
        <f t="shared" si="154"/>
        <v>13.98</v>
      </c>
      <c r="AJ697" t="s">
        <v>52</v>
      </c>
      <c r="AK697" t="str">
        <f>PROPER(Table1[[#This Row],[CVD Risk Level]])</f>
        <v>Low</v>
      </c>
    </row>
    <row r="698" spans="1:37" x14ac:dyDescent="0.3">
      <c r="A698" t="s">
        <v>31</v>
      </c>
      <c r="B698">
        <v>36</v>
      </c>
      <c r="C698" s="8">
        <f t="shared" si="143"/>
        <v>36</v>
      </c>
      <c r="D698" s="5">
        <v>116.9</v>
      </c>
      <c r="E698" s="8">
        <f t="shared" si="144"/>
        <v>116.9</v>
      </c>
      <c r="F698">
        <v>1.74</v>
      </c>
      <c r="G698" s="3">
        <f t="shared" si="145"/>
        <v>1.74</v>
      </c>
      <c r="H698">
        <v>38.6</v>
      </c>
      <c r="I698" s="5">
        <f t="shared" si="141"/>
        <v>38.6</v>
      </c>
      <c r="J698" s="16" t="str">
        <f t="shared" si="146"/>
        <v>Obese</v>
      </c>
      <c r="K698">
        <v>89.3</v>
      </c>
      <c r="L698">
        <v>0.51300000000000001</v>
      </c>
      <c r="M698" s="11">
        <f t="shared" si="142"/>
        <v>0.51300000000000001</v>
      </c>
      <c r="N698" s="5">
        <f t="shared" si="147"/>
        <v>89.3</v>
      </c>
      <c r="O698">
        <v>103</v>
      </c>
      <c r="P698">
        <v>41</v>
      </c>
      <c r="Q698" s="8">
        <f t="shared" si="148"/>
        <v>41</v>
      </c>
      <c r="R698" s="8">
        <v>32</v>
      </c>
      <c r="S698" s="8">
        <f t="shared" si="149"/>
        <v>32</v>
      </c>
      <c r="T698" s="8">
        <f>(Table1[[#This Row],[Total Cholesterol (mg/dL)]]+Table1[[#This Row],[HDL (mg/dL)2]]+Table1[[#This Row],[Estimated LDL (mg/dL)2]])*5</f>
        <v>880</v>
      </c>
      <c r="U698" s="8">
        <f>IF(O698="",Table1[[#This Row],[Estimated LDL (mg/dL)2]]+Table1[[#This Row],[HDL (mg/dL)2]]+(Table1[[#This Row],[Triglycerides]]/5),O698)</f>
        <v>103</v>
      </c>
      <c r="V698">
        <v>148</v>
      </c>
      <c r="W698" s="8">
        <f t="shared" si="150"/>
        <v>148</v>
      </c>
      <c r="X698" t="str">
        <f t="shared" si="151"/>
        <v>Diabetes</v>
      </c>
      <c r="Y698" t="s">
        <v>22</v>
      </c>
      <c r="Z698" t="s">
        <v>22</v>
      </c>
      <c r="AA698" t="s">
        <v>37</v>
      </c>
      <c r="AB698" s="3" t="s">
        <v>625</v>
      </c>
      <c r="AC698">
        <v>126</v>
      </c>
      <c r="AD698" s="3" t="str">
        <f t="shared" si="152"/>
        <v>126</v>
      </c>
      <c r="AE698">
        <v>73</v>
      </c>
      <c r="AF698" s="3" t="str">
        <f t="shared" si="153"/>
        <v>73</v>
      </c>
      <c r="AG698" t="s">
        <v>25</v>
      </c>
      <c r="AH698" s="3">
        <v>16.079999999999998</v>
      </c>
      <c r="AI698" s="3">
        <f t="shared" si="154"/>
        <v>16.079999999999998</v>
      </c>
      <c r="AJ698" t="s">
        <v>26</v>
      </c>
      <c r="AK698" t="str">
        <f>PROPER(Table1[[#This Row],[CVD Risk Level]])</f>
        <v>Intermediary</v>
      </c>
    </row>
    <row r="699" spans="1:37" x14ac:dyDescent="0.3">
      <c r="A699" t="s">
        <v>20</v>
      </c>
      <c r="B699">
        <v>32</v>
      </c>
      <c r="C699" s="8">
        <f t="shared" si="143"/>
        <v>32</v>
      </c>
      <c r="E699" s="8">
        <f t="shared" si="144"/>
        <v>106.55064000000003</v>
      </c>
      <c r="F699">
        <v>1.62</v>
      </c>
      <c r="G699" s="3">
        <f t="shared" si="145"/>
        <v>1.62</v>
      </c>
      <c r="H699">
        <v>40.6</v>
      </c>
      <c r="I699" s="5">
        <f t="shared" si="141"/>
        <v>40.6</v>
      </c>
      <c r="J699" s="16" t="str">
        <f t="shared" si="146"/>
        <v>Obese</v>
      </c>
      <c r="K699">
        <v>98.2</v>
      </c>
      <c r="L699">
        <v>0.60599999999999998</v>
      </c>
      <c r="M699" s="11">
        <f t="shared" si="142"/>
        <v>0.60599999999999998</v>
      </c>
      <c r="N699" s="5">
        <f t="shared" si="147"/>
        <v>98.2</v>
      </c>
      <c r="O699">
        <v>255</v>
      </c>
      <c r="P699">
        <v>59</v>
      </c>
      <c r="Q699" s="8">
        <f t="shared" si="148"/>
        <v>59</v>
      </c>
      <c r="R699" s="8">
        <v>166</v>
      </c>
      <c r="S699" s="8">
        <f t="shared" si="149"/>
        <v>166</v>
      </c>
      <c r="T699" s="8">
        <f>(Table1[[#This Row],[Total Cholesterol (mg/dL)]]+Table1[[#This Row],[HDL (mg/dL)2]]+Table1[[#This Row],[Estimated LDL (mg/dL)2]])*5</f>
        <v>2400</v>
      </c>
      <c r="U699" s="8">
        <f>IF(O699="",Table1[[#This Row],[Estimated LDL (mg/dL)2]]+Table1[[#This Row],[HDL (mg/dL)2]]+(Table1[[#This Row],[Triglycerides]]/5),O699)</f>
        <v>255</v>
      </c>
      <c r="V699">
        <v>78</v>
      </c>
      <c r="W699" s="8">
        <f t="shared" si="150"/>
        <v>78</v>
      </c>
      <c r="X699" t="str">
        <f t="shared" si="151"/>
        <v>Normal</v>
      </c>
      <c r="Y699" t="s">
        <v>22</v>
      </c>
      <c r="Z699" t="s">
        <v>22</v>
      </c>
      <c r="AA699" t="s">
        <v>24</v>
      </c>
      <c r="AB699" s="3" t="s">
        <v>626</v>
      </c>
      <c r="AC699">
        <v>113</v>
      </c>
      <c r="AD699" s="3" t="str">
        <f t="shared" si="152"/>
        <v>113</v>
      </c>
      <c r="AE699">
        <v>98</v>
      </c>
      <c r="AF699" s="3" t="str">
        <f t="shared" si="153"/>
        <v>98</v>
      </c>
      <c r="AG699" t="s">
        <v>38</v>
      </c>
      <c r="AH699" s="3">
        <v>18.87</v>
      </c>
      <c r="AI699" s="3">
        <f t="shared" si="154"/>
        <v>18.87</v>
      </c>
      <c r="AJ699" t="s">
        <v>30</v>
      </c>
      <c r="AK699" t="str">
        <f>PROPER(Table1[[#This Row],[CVD Risk Level]])</f>
        <v>High</v>
      </c>
    </row>
    <row r="700" spans="1:37" x14ac:dyDescent="0.3">
      <c r="A700" t="s">
        <v>20</v>
      </c>
      <c r="B700">
        <v>37</v>
      </c>
      <c r="C700" s="8">
        <f t="shared" si="143"/>
        <v>37</v>
      </c>
      <c r="D700" s="5">
        <v>50.5</v>
      </c>
      <c r="E700" s="8">
        <f t="shared" si="144"/>
        <v>50.5</v>
      </c>
      <c r="F700">
        <v>1.72</v>
      </c>
      <c r="G700" s="3">
        <f t="shared" si="145"/>
        <v>1.72</v>
      </c>
      <c r="H700">
        <v>17.100000000000001</v>
      </c>
      <c r="I700" s="5">
        <f t="shared" si="141"/>
        <v>17.100000000000001</v>
      </c>
      <c r="J700" s="16" t="str">
        <f t="shared" si="146"/>
        <v>Underweight</v>
      </c>
      <c r="K700">
        <v>76.3</v>
      </c>
      <c r="L700">
        <v>0.44400000000000001</v>
      </c>
      <c r="M700" s="11">
        <f t="shared" si="142"/>
        <v>0.44400000000000001</v>
      </c>
      <c r="N700" s="5">
        <f t="shared" si="147"/>
        <v>76.3</v>
      </c>
      <c r="O700">
        <v>274</v>
      </c>
      <c r="P700">
        <v>54</v>
      </c>
      <c r="Q700" s="8">
        <f t="shared" si="148"/>
        <v>54</v>
      </c>
      <c r="R700" s="8">
        <v>190</v>
      </c>
      <c r="S700" s="8">
        <f t="shared" si="149"/>
        <v>190</v>
      </c>
      <c r="T700" s="8">
        <f>(Table1[[#This Row],[Total Cholesterol (mg/dL)]]+Table1[[#This Row],[HDL (mg/dL)2]]+Table1[[#This Row],[Estimated LDL (mg/dL)2]])*5</f>
        <v>2590</v>
      </c>
      <c r="U700" s="8">
        <f>IF(O700="",Table1[[#This Row],[Estimated LDL (mg/dL)2]]+Table1[[#This Row],[HDL (mg/dL)2]]+(Table1[[#This Row],[Triglycerides]]/5),O700)</f>
        <v>274</v>
      </c>
      <c r="V700">
        <v>84</v>
      </c>
      <c r="W700" s="8">
        <f t="shared" si="150"/>
        <v>84</v>
      </c>
      <c r="X700" t="str">
        <f t="shared" si="151"/>
        <v>Normal</v>
      </c>
      <c r="Y700" t="s">
        <v>22</v>
      </c>
      <c r="Z700" t="s">
        <v>22</v>
      </c>
      <c r="AA700" t="s">
        <v>24</v>
      </c>
      <c r="AB700" s="3" t="s">
        <v>627</v>
      </c>
      <c r="AC700">
        <v>146</v>
      </c>
      <c r="AD700" s="3" t="str">
        <f t="shared" si="152"/>
        <v>146</v>
      </c>
      <c r="AE700">
        <v>89</v>
      </c>
      <c r="AF700" s="3" t="str">
        <f t="shared" si="153"/>
        <v>89</v>
      </c>
      <c r="AG700" t="s">
        <v>29</v>
      </c>
      <c r="AH700" s="3">
        <v>16.2</v>
      </c>
      <c r="AI700" s="3">
        <f t="shared" si="154"/>
        <v>16.2</v>
      </c>
      <c r="AJ700" t="s">
        <v>26</v>
      </c>
      <c r="AK700" t="str">
        <f>PROPER(Table1[[#This Row],[CVD Risk Level]])</f>
        <v>Intermediary</v>
      </c>
    </row>
    <row r="701" spans="1:37" x14ac:dyDescent="0.3">
      <c r="A701" t="s">
        <v>31</v>
      </c>
      <c r="B701">
        <v>54</v>
      </c>
      <c r="C701" s="8">
        <f t="shared" si="143"/>
        <v>54</v>
      </c>
      <c r="D701" s="5">
        <v>89.5</v>
      </c>
      <c r="E701" s="8">
        <f t="shared" si="144"/>
        <v>89.5</v>
      </c>
      <c r="F701">
        <v>1.86</v>
      </c>
      <c r="G701" s="3">
        <f t="shared" si="145"/>
        <v>1.86</v>
      </c>
      <c r="H701">
        <v>25.9</v>
      </c>
      <c r="I701" s="5">
        <f t="shared" si="141"/>
        <v>25.9</v>
      </c>
      <c r="J701" s="16" t="str">
        <f t="shared" si="146"/>
        <v>Overweight</v>
      </c>
      <c r="K701">
        <v>73.8</v>
      </c>
      <c r="L701">
        <v>0.39700000000000002</v>
      </c>
      <c r="M701" s="11">
        <f t="shared" si="142"/>
        <v>0.39700000000000002</v>
      </c>
      <c r="N701" s="5">
        <f t="shared" si="147"/>
        <v>73.8</v>
      </c>
      <c r="O701">
        <v>298</v>
      </c>
      <c r="P701">
        <v>37</v>
      </c>
      <c r="Q701" s="8">
        <f t="shared" si="148"/>
        <v>37</v>
      </c>
      <c r="R701" s="8">
        <v>231</v>
      </c>
      <c r="S701" s="8">
        <f t="shared" si="149"/>
        <v>231</v>
      </c>
      <c r="T701" s="8">
        <f>(Table1[[#This Row],[Total Cholesterol (mg/dL)]]+Table1[[#This Row],[HDL (mg/dL)2]]+Table1[[#This Row],[Estimated LDL (mg/dL)2]])*5</f>
        <v>2830</v>
      </c>
      <c r="U701" s="8">
        <f>IF(O701="",Table1[[#This Row],[Estimated LDL (mg/dL)2]]+Table1[[#This Row],[HDL (mg/dL)2]]+(Table1[[#This Row],[Triglycerides]]/5),O701)</f>
        <v>298</v>
      </c>
      <c r="V701">
        <v>71</v>
      </c>
      <c r="W701" s="8">
        <f t="shared" si="150"/>
        <v>71</v>
      </c>
      <c r="X701" t="str">
        <f t="shared" si="151"/>
        <v>Normal</v>
      </c>
      <c r="Y701" t="s">
        <v>23</v>
      </c>
      <c r="Z701" t="s">
        <v>23</v>
      </c>
      <c r="AA701" t="s">
        <v>28</v>
      </c>
      <c r="AB701" s="3" t="s">
        <v>628</v>
      </c>
      <c r="AC701">
        <v>107</v>
      </c>
      <c r="AD701" s="3" t="str">
        <f t="shared" si="152"/>
        <v>107</v>
      </c>
      <c r="AE701">
        <v>83</v>
      </c>
      <c r="AF701" s="3" t="str">
        <f t="shared" si="153"/>
        <v>83</v>
      </c>
      <c r="AG701" t="s">
        <v>29</v>
      </c>
      <c r="AH701" s="3">
        <v>18.489999999999998</v>
      </c>
      <c r="AI701" s="3">
        <f t="shared" si="154"/>
        <v>18.489999999999998</v>
      </c>
      <c r="AJ701" t="s">
        <v>30</v>
      </c>
      <c r="AK701" t="str">
        <f>PROPER(Table1[[#This Row],[CVD Risk Level]])</f>
        <v>High</v>
      </c>
    </row>
    <row r="702" spans="1:37" x14ac:dyDescent="0.3">
      <c r="A702" t="s">
        <v>20</v>
      </c>
      <c r="B702">
        <v>60</v>
      </c>
      <c r="C702" s="8">
        <f t="shared" si="143"/>
        <v>60</v>
      </c>
      <c r="D702" s="5">
        <v>113.2</v>
      </c>
      <c r="E702" s="8">
        <f t="shared" si="144"/>
        <v>113.2</v>
      </c>
      <c r="F702">
        <v>1.73</v>
      </c>
      <c r="G702" s="3">
        <f t="shared" si="145"/>
        <v>1.73</v>
      </c>
      <c r="H702">
        <v>37.799999999999997</v>
      </c>
      <c r="I702" s="5">
        <f t="shared" si="141"/>
        <v>37.799999999999997</v>
      </c>
      <c r="J702" s="16" t="str">
        <f t="shared" si="146"/>
        <v>Obese</v>
      </c>
      <c r="K702">
        <v>82.1</v>
      </c>
      <c r="L702">
        <v>0.47499999999999998</v>
      </c>
      <c r="M702" s="11">
        <f t="shared" si="142"/>
        <v>0.47499999999999998</v>
      </c>
      <c r="N702" s="5">
        <f t="shared" si="147"/>
        <v>82.1</v>
      </c>
      <c r="O702">
        <v>216</v>
      </c>
      <c r="P702">
        <v>61</v>
      </c>
      <c r="Q702" s="8">
        <f t="shared" si="148"/>
        <v>61</v>
      </c>
      <c r="R702" s="8">
        <v>125</v>
      </c>
      <c r="S702" s="8">
        <f t="shared" si="149"/>
        <v>125</v>
      </c>
      <c r="T702" s="8">
        <f>(Table1[[#This Row],[Total Cholesterol (mg/dL)]]+Table1[[#This Row],[HDL (mg/dL)2]]+Table1[[#This Row],[Estimated LDL (mg/dL)2]])*5</f>
        <v>2010</v>
      </c>
      <c r="U702" s="8">
        <f>IF(O702="",Table1[[#This Row],[Estimated LDL (mg/dL)2]]+Table1[[#This Row],[HDL (mg/dL)2]]+(Table1[[#This Row],[Triglycerides]]/5),O702)</f>
        <v>216</v>
      </c>
      <c r="V702">
        <v>115</v>
      </c>
      <c r="W702" s="8">
        <f t="shared" si="150"/>
        <v>115</v>
      </c>
      <c r="X702" t="str">
        <f t="shared" si="151"/>
        <v>Prediabetes</v>
      </c>
      <c r="Y702" t="s">
        <v>23</v>
      </c>
      <c r="Z702" t="s">
        <v>23</v>
      </c>
      <c r="AA702" t="s">
        <v>37</v>
      </c>
      <c r="AB702" s="3" t="s">
        <v>629</v>
      </c>
      <c r="AC702">
        <v>137</v>
      </c>
      <c r="AD702" s="3" t="str">
        <f t="shared" si="152"/>
        <v>137</v>
      </c>
      <c r="AE702">
        <v>89</v>
      </c>
      <c r="AF702" s="3" t="str">
        <f t="shared" si="153"/>
        <v>89</v>
      </c>
      <c r="AG702" t="s">
        <v>29</v>
      </c>
      <c r="AH702" s="3">
        <v>20.73</v>
      </c>
      <c r="AI702" s="3">
        <f t="shared" si="154"/>
        <v>20.73</v>
      </c>
      <c r="AJ702" t="s">
        <v>30</v>
      </c>
      <c r="AK702" t="str">
        <f>PROPER(Table1[[#This Row],[CVD Risk Level]])</f>
        <v>High</v>
      </c>
    </row>
    <row r="703" spans="1:37" x14ac:dyDescent="0.3">
      <c r="A703" t="s">
        <v>31</v>
      </c>
      <c r="B703">
        <v>53</v>
      </c>
      <c r="C703" s="8">
        <f t="shared" si="143"/>
        <v>53</v>
      </c>
      <c r="D703" s="5">
        <v>57.8</v>
      </c>
      <c r="E703" s="8">
        <f t="shared" si="144"/>
        <v>57.8</v>
      </c>
      <c r="F703">
        <v>1.74</v>
      </c>
      <c r="G703" s="3">
        <f t="shared" si="145"/>
        <v>1.74</v>
      </c>
      <c r="H703">
        <v>19.100000000000001</v>
      </c>
      <c r="I703" s="5">
        <f t="shared" si="141"/>
        <v>19.100000000000001</v>
      </c>
      <c r="J703" s="16" t="str">
        <f t="shared" si="146"/>
        <v>Normal</v>
      </c>
      <c r="K703">
        <v>89</v>
      </c>
      <c r="L703">
        <v>0.51100000000000001</v>
      </c>
      <c r="M703" s="11">
        <f t="shared" si="142"/>
        <v>0.51100000000000001</v>
      </c>
      <c r="N703" s="5">
        <f t="shared" si="147"/>
        <v>89</v>
      </c>
      <c r="O703">
        <v>222</v>
      </c>
      <c r="P703">
        <v>52</v>
      </c>
      <c r="Q703" s="8">
        <f t="shared" si="148"/>
        <v>52</v>
      </c>
      <c r="R703" s="8">
        <v>140</v>
      </c>
      <c r="S703" s="8">
        <f t="shared" si="149"/>
        <v>140</v>
      </c>
      <c r="T703" s="8">
        <f>(Table1[[#This Row],[Total Cholesterol (mg/dL)]]+Table1[[#This Row],[HDL (mg/dL)2]]+Table1[[#This Row],[Estimated LDL (mg/dL)2]])*5</f>
        <v>2070</v>
      </c>
      <c r="U703" s="8">
        <f>IF(O703="",Table1[[#This Row],[Estimated LDL (mg/dL)2]]+Table1[[#This Row],[HDL (mg/dL)2]]+(Table1[[#This Row],[Triglycerides]]/5),O703)</f>
        <v>222</v>
      </c>
      <c r="V703">
        <v>137</v>
      </c>
      <c r="W703" s="8">
        <f t="shared" si="150"/>
        <v>137</v>
      </c>
      <c r="X703" t="str">
        <f t="shared" si="151"/>
        <v>Diabetes</v>
      </c>
      <c r="Y703" t="s">
        <v>22</v>
      </c>
      <c r="Z703" t="s">
        <v>22</v>
      </c>
      <c r="AA703" t="s">
        <v>24</v>
      </c>
      <c r="AB703" s="3" t="s">
        <v>630</v>
      </c>
      <c r="AC703">
        <v>119</v>
      </c>
      <c r="AD703" s="3" t="str">
        <f t="shared" si="152"/>
        <v>119</v>
      </c>
      <c r="AE703">
        <v>68</v>
      </c>
      <c r="AF703" s="3" t="str">
        <f t="shared" si="153"/>
        <v>68</v>
      </c>
      <c r="AG703" t="s">
        <v>33</v>
      </c>
      <c r="AH703" s="3">
        <v>14.21</v>
      </c>
      <c r="AI703" s="3">
        <f t="shared" si="154"/>
        <v>14.21</v>
      </c>
      <c r="AJ703" t="s">
        <v>30</v>
      </c>
      <c r="AK703" t="str">
        <f>PROPER(Table1[[#This Row],[CVD Risk Level]])</f>
        <v>High</v>
      </c>
    </row>
    <row r="704" spans="1:37" x14ac:dyDescent="0.3">
      <c r="A704" t="s">
        <v>20</v>
      </c>
      <c r="B704">
        <v>31</v>
      </c>
      <c r="C704" s="8">
        <f t="shared" si="143"/>
        <v>31</v>
      </c>
      <c r="D704" s="5">
        <v>87.7</v>
      </c>
      <c r="E704" s="8">
        <f t="shared" si="144"/>
        <v>87.7</v>
      </c>
      <c r="F704">
        <v>1.89</v>
      </c>
      <c r="G704" s="3">
        <f t="shared" si="145"/>
        <v>1.89</v>
      </c>
      <c r="H704">
        <v>24.6</v>
      </c>
      <c r="I704" s="5">
        <f t="shared" si="141"/>
        <v>24.6</v>
      </c>
      <c r="J704" s="16" t="str">
        <f t="shared" si="146"/>
        <v>Normal</v>
      </c>
      <c r="K704">
        <v>92.6</v>
      </c>
      <c r="M704" s="11">
        <f t="shared" si="142"/>
        <v>0.48994708994708991</v>
      </c>
      <c r="N704" s="5">
        <f t="shared" si="147"/>
        <v>92.6</v>
      </c>
      <c r="O704">
        <v>263</v>
      </c>
      <c r="P704">
        <v>52</v>
      </c>
      <c r="Q704" s="8">
        <f t="shared" si="148"/>
        <v>52</v>
      </c>
      <c r="R704" s="8">
        <v>181</v>
      </c>
      <c r="S704" s="8">
        <f t="shared" si="149"/>
        <v>181</v>
      </c>
      <c r="T704" s="8">
        <f>(Table1[[#This Row],[Total Cholesterol (mg/dL)]]+Table1[[#This Row],[HDL (mg/dL)2]]+Table1[[#This Row],[Estimated LDL (mg/dL)2]])*5</f>
        <v>2480</v>
      </c>
      <c r="U704" s="8">
        <f>IF(O704="",Table1[[#This Row],[Estimated LDL (mg/dL)2]]+Table1[[#This Row],[HDL (mg/dL)2]]+(Table1[[#This Row],[Triglycerides]]/5),O704)</f>
        <v>263</v>
      </c>
      <c r="V704">
        <v>126</v>
      </c>
      <c r="W704" s="8">
        <f t="shared" si="150"/>
        <v>126</v>
      </c>
      <c r="X704" t="str">
        <f t="shared" si="151"/>
        <v>Diabetes</v>
      </c>
      <c r="Y704" t="s">
        <v>23</v>
      </c>
      <c r="Z704" t="s">
        <v>23</v>
      </c>
      <c r="AA704" t="s">
        <v>24</v>
      </c>
      <c r="AB704" s="3" t="s">
        <v>631</v>
      </c>
      <c r="AC704">
        <v>105</v>
      </c>
      <c r="AD704" s="3" t="str">
        <f t="shared" si="152"/>
        <v>105</v>
      </c>
      <c r="AE704">
        <v>93</v>
      </c>
      <c r="AF704" s="3" t="str">
        <f t="shared" si="153"/>
        <v>93</v>
      </c>
      <c r="AG704" t="s">
        <v>38</v>
      </c>
      <c r="AH704" s="3">
        <v>17.43</v>
      </c>
      <c r="AI704" s="3">
        <f t="shared" si="154"/>
        <v>17.43</v>
      </c>
      <c r="AJ704" t="s">
        <v>30</v>
      </c>
      <c r="AK704" t="str">
        <f>PROPER(Table1[[#This Row],[CVD Risk Level]])</f>
        <v>High</v>
      </c>
    </row>
    <row r="705" spans="1:37" x14ac:dyDescent="0.3">
      <c r="A705" t="s">
        <v>31</v>
      </c>
      <c r="B705">
        <v>32</v>
      </c>
      <c r="C705" s="8">
        <f t="shared" si="143"/>
        <v>32</v>
      </c>
      <c r="D705" s="5">
        <v>57.7</v>
      </c>
      <c r="E705" s="8">
        <f t="shared" si="144"/>
        <v>57.7</v>
      </c>
      <c r="F705">
        <v>1.86</v>
      </c>
      <c r="G705" s="3">
        <f t="shared" si="145"/>
        <v>1.86</v>
      </c>
      <c r="H705">
        <v>16.7</v>
      </c>
      <c r="I705" s="5">
        <f t="shared" si="141"/>
        <v>16.7</v>
      </c>
      <c r="J705" s="16" t="str">
        <f t="shared" si="146"/>
        <v>Underweight</v>
      </c>
      <c r="K705">
        <v>84.3</v>
      </c>
      <c r="L705">
        <v>0.45300000000000001</v>
      </c>
      <c r="M705" s="11">
        <f t="shared" si="142"/>
        <v>0.45300000000000001</v>
      </c>
      <c r="N705" s="5">
        <f t="shared" si="147"/>
        <v>84.3</v>
      </c>
      <c r="P705">
        <v>79</v>
      </c>
      <c r="Q705" s="8">
        <f t="shared" si="148"/>
        <v>79</v>
      </c>
      <c r="S705" s="8">
        <f t="shared" si="149"/>
        <v>109</v>
      </c>
      <c r="T705" s="8">
        <f>(Table1[[#This Row],[Total Cholesterol (mg/dL)]]+Table1[[#This Row],[HDL (mg/dL)2]]+Table1[[#This Row],[Estimated LDL (mg/dL)2]])*5</f>
        <v>940</v>
      </c>
      <c r="U705" s="8">
        <f>IF(O705="",Table1[[#This Row],[Estimated LDL (mg/dL)2]]+Table1[[#This Row],[HDL (mg/dL)2]]+(Table1[[#This Row],[Triglycerides]]/5),O705)</f>
        <v>376</v>
      </c>
      <c r="V705">
        <v>150</v>
      </c>
      <c r="W705" s="8">
        <f t="shared" si="150"/>
        <v>150</v>
      </c>
      <c r="X705" t="str">
        <f t="shared" si="151"/>
        <v>Diabetes</v>
      </c>
      <c r="Y705" t="s">
        <v>23</v>
      </c>
      <c r="Z705" t="s">
        <v>22</v>
      </c>
      <c r="AA705" t="s">
        <v>28</v>
      </c>
      <c r="AB705" s="3" t="s">
        <v>161</v>
      </c>
      <c r="AC705">
        <v>107</v>
      </c>
      <c r="AD705" s="3" t="str">
        <f t="shared" si="152"/>
        <v>107</v>
      </c>
      <c r="AE705">
        <v>66</v>
      </c>
      <c r="AF705" s="3" t="str">
        <f t="shared" si="153"/>
        <v>66</v>
      </c>
      <c r="AG705" t="s">
        <v>33</v>
      </c>
      <c r="AH705" s="3">
        <v>13.45</v>
      </c>
      <c r="AI705" s="3">
        <f t="shared" si="154"/>
        <v>13.45</v>
      </c>
      <c r="AJ705" t="s">
        <v>26</v>
      </c>
      <c r="AK705" t="str">
        <f>PROPER(Table1[[#This Row],[CVD Risk Level]])</f>
        <v>Intermediary</v>
      </c>
    </row>
    <row r="706" spans="1:37" x14ac:dyDescent="0.3">
      <c r="A706" t="s">
        <v>31</v>
      </c>
      <c r="B706">
        <v>46</v>
      </c>
      <c r="C706" s="8">
        <f t="shared" si="143"/>
        <v>46</v>
      </c>
      <c r="D706" s="5">
        <v>70.400000000000006</v>
      </c>
      <c r="E706" s="8">
        <f t="shared" si="144"/>
        <v>70.400000000000006</v>
      </c>
      <c r="F706">
        <v>1.9</v>
      </c>
      <c r="G706" s="3">
        <f t="shared" si="145"/>
        <v>1.9</v>
      </c>
      <c r="H706">
        <v>19.5</v>
      </c>
      <c r="I706" s="5">
        <f t="shared" ref="I706:I769" si="155" xml:space="preserve"> IF(H706="",E706 / (G706^2),H706)</f>
        <v>19.5</v>
      </c>
      <c r="J706" s="16" t="str">
        <f t="shared" si="146"/>
        <v>Normal</v>
      </c>
      <c r="K706">
        <v>71.5</v>
      </c>
      <c r="L706">
        <v>0.376</v>
      </c>
      <c r="M706" s="11">
        <f t="shared" ref="M706:M769" si="156">IF(L706="",K706/(G706*100),L706)</f>
        <v>0.376</v>
      </c>
      <c r="N706" s="5">
        <f t="shared" si="147"/>
        <v>71.5</v>
      </c>
      <c r="O706">
        <v>281</v>
      </c>
      <c r="P706">
        <v>58</v>
      </c>
      <c r="Q706" s="8">
        <f t="shared" si="148"/>
        <v>58</v>
      </c>
      <c r="R706" s="8">
        <v>193</v>
      </c>
      <c r="S706" s="8">
        <f t="shared" si="149"/>
        <v>193</v>
      </c>
      <c r="T706" s="8">
        <f>(Table1[[#This Row],[Total Cholesterol (mg/dL)]]+Table1[[#This Row],[HDL (mg/dL)2]]+Table1[[#This Row],[Estimated LDL (mg/dL)2]])*5</f>
        <v>2660</v>
      </c>
      <c r="U706" s="8">
        <f>IF(O706="",Table1[[#This Row],[Estimated LDL (mg/dL)2]]+Table1[[#This Row],[HDL (mg/dL)2]]+(Table1[[#This Row],[Triglycerides]]/5),O706)</f>
        <v>281</v>
      </c>
      <c r="V706">
        <v>113</v>
      </c>
      <c r="W706" s="8">
        <f t="shared" si="150"/>
        <v>113</v>
      </c>
      <c r="X706" t="str">
        <f t="shared" si="151"/>
        <v>Prediabetes</v>
      </c>
      <c r="Y706" t="s">
        <v>22</v>
      </c>
      <c r="Z706" t="s">
        <v>22</v>
      </c>
      <c r="AA706" t="s">
        <v>28</v>
      </c>
      <c r="AB706" s="3" t="s">
        <v>632</v>
      </c>
      <c r="AC706">
        <v>95</v>
      </c>
      <c r="AD706" s="3" t="str">
        <f t="shared" si="152"/>
        <v>95</v>
      </c>
      <c r="AE706">
        <v>86</v>
      </c>
      <c r="AF706" s="3" t="str">
        <f t="shared" si="153"/>
        <v>86</v>
      </c>
      <c r="AG706" t="s">
        <v>29</v>
      </c>
      <c r="AH706" s="3">
        <v>14.27</v>
      </c>
      <c r="AI706" s="3">
        <f t="shared" si="154"/>
        <v>14.27</v>
      </c>
      <c r="AJ706" t="s">
        <v>26</v>
      </c>
      <c r="AK706" t="str">
        <f>PROPER(Table1[[#This Row],[CVD Risk Level]])</f>
        <v>Intermediary</v>
      </c>
    </row>
    <row r="707" spans="1:37" x14ac:dyDescent="0.3">
      <c r="A707" t="s">
        <v>20</v>
      </c>
      <c r="B707">
        <v>55</v>
      </c>
      <c r="C707" s="8">
        <f t="shared" ref="C707:C770" si="157">IF(B707="",AVERAGE($B$2:$B$1530),B707)</f>
        <v>55</v>
      </c>
      <c r="D707" s="5">
        <v>67.400000000000006</v>
      </c>
      <c r="E707" s="8">
        <f t="shared" ref="E707:E770" si="158">IF(D707="", H707*(F707^2),D707)</f>
        <v>67.400000000000006</v>
      </c>
      <c r="F707">
        <v>1.87</v>
      </c>
      <c r="G707" s="3">
        <f t="shared" ref="G707:G770" si="159">IF(F707="", SQRT(E707 / H707),F707)</f>
        <v>1.87</v>
      </c>
      <c r="H707">
        <v>19.3</v>
      </c>
      <c r="I707" s="5">
        <f t="shared" si="155"/>
        <v>19.3</v>
      </c>
      <c r="J707" s="16" t="str">
        <f t="shared" ref="J707:J770" si="160">IF(I707&lt;18.5,"Underweight",IF(I707&lt;25,"Normal",IF(I707&lt;30,"Overweight","Obese")))</f>
        <v>Normal</v>
      </c>
      <c r="L707">
        <v>0.52200000000000002</v>
      </c>
      <c r="M707" s="11">
        <f t="shared" si="156"/>
        <v>0.52200000000000002</v>
      </c>
      <c r="N707" s="5">
        <f t="shared" ref="N707:N770" si="161">IF(K707="",M707*(G707*100),K707)</f>
        <v>97.614000000000004</v>
      </c>
      <c r="O707">
        <v>177</v>
      </c>
      <c r="P707">
        <v>51</v>
      </c>
      <c r="Q707" s="8">
        <f t="shared" ref="Q707:Q770" si="162">IF(P707="",AVERAGE($P$2:$P$1530),P707)</f>
        <v>51</v>
      </c>
      <c r="R707" s="8">
        <v>96</v>
      </c>
      <c r="S707" s="8">
        <f t="shared" ref="S707:S770" si="163">IF(R707&lt;=0,MEDIAN($R$2:$R$1530),R707)</f>
        <v>96</v>
      </c>
      <c r="T707" s="8">
        <f>(Table1[[#This Row],[Total Cholesterol (mg/dL)]]+Table1[[#This Row],[HDL (mg/dL)2]]+Table1[[#This Row],[Estimated LDL (mg/dL)2]])*5</f>
        <v>1620</v>
      </c>
      <c r="U707" s="8">
        <f>IF(O707="",Table1[[#This Row],[Estimated LDL (mg/dL)2]]+Table1[[#This Row],[HDL (mg/dL)2]]+(Table1[[#This Row],[Triglycerides]]/5),O707)</f>
        <v>177</v>
      </c>
      <c r="V707">
        <v>93</v>
      </c>
      <c r="W707" s="8">
        <f t="shared" ref="W707:W770" si="164">IF(V707="",AVERAGE($V$2:$V$1530),V707)</f>
        <v>93</v>
      </c>
      <c r="X707" t="str">
        <f t="shared" ref="X707:X770" si="165">IF(W707&lt;100,"Normal",IF(W707&lt;126,"Prediabetes","Diabetes"))</f>
        <v>Normal</v>
      </c>
      <c r="Y707" t="s">
        <v>23</v>
      </c>
      <c r="Z707" t="s">
        <v>22</v>
      </c>
      <c r="AA707" t="s">
        <v>28</v>
      </c>
      <c r="AB707" s="3" t="s">
        <v>89</v>
      </c>
      <c r="AC707">
        <v>94</v>
      </c>
      <c r="AD707" s="3" t="str">
        <f t="shared" ref="AD707:AD770" si="166">LEFT(AB707,FIND("/",AB707)-1)</f>
        <v>94</v>
      </c>
      <c r="AE707">
        <v>81</v>
      </c>
      <c r="AF707" s="3" t="str">
        <f t="shared" ref="AF707:AF770" si="167">RIGHT(AB707,LEN(AB707)-FIND("/",AB707))</f>
        <v>81</v>
      </c>
      <c r="AG707" t="s">
        <v>29</v>
      </c>
      <c r="AH707" s="3">
        <v>12.1</v>
      </c>
      <c r="AI707" s="3">
        <f t="shared" ref="AI707:AI770" si="168">IF(AH707="",AVERAGE($AH$2:$AH$1530),AH707)</f>
        <v>12.1</v>
      </c>
      <c r="AJ707" t="s">
        <v>26</v>
      </c>
      <c r="AK707" t="str">
        <f>PROPER(Table1[[#This Row],[CVD Risk Level]])</f>
        <v>Intermediary</v>
      </c>
    </row>
    <row r="708" spans="1:37" x14ac:dyDescent="0.3">
      <c r="A708" t="s">
        <v>31</v>
      </c>
      <c r="B708">
        <v>40</v>
      </c>
      <c r="C708" s="8">
        <f t="shared" si="157"/>
        <v>40</v>
      </c>
      <c r="D708" s="5">
        <v>84.4</v>
      </c>
      <c r="E708" s="8">
        <f t="shared" si="158"/>
        <v>84.4</v>
      </c>
      <c r="F708">
        <v>1.76</v>
      </c>
      <c r="G708" s="3">
        <f t="shared" si="159"/>
        <v>1.76</v>
      </c>
      <c r="H708">
        <v>27.2</v>
      </c>
      <c r="I708" s="5">
        <f t="shared" si="155"/>
        <v>27.2</v>
      </c>
      <c r="J708" s="16" t="str">
        <f t="shared" si="160"/>
        <v>Overweight</v>
      </c>
      <c r="K708">
        <v>102.8</v>
      </c>
      <c r="L708">
        <v>0.58399999999999996</v>
      </c>
      <c r="M708" s="11">
        <f t="shared" si="156"/>
        <v>0.58399999999999996</v>
      </c>
      <c r="N708" s="5">
        <f t="shared" si="161"/>
        <v>102.8</v>
      </c>
      <c r="P708">
        <v>60</v>
      </c>
      <c r="Q708" s="8">
        <f t="shared" si="162"/>
        <v>60</v>
      </c>
      <c r="R708" s="8">
        <v>56</v>
      </c>
      <c r="S708" s="8">
        <f t="shared" si="163"/>
        <v>56</v>
      </c>
      <c r="T708" s="8">
        <f>(Table1[[#This Row],[Total Cholesterol (mg/dL)]]+Table1[[#This Row],[HDL (mg/dL)2]]+Table1[[#This Row],[Estimated LDL (mg/dL)2]])*5</f>
        <v>580</v>
      </c>
      <c r="U708" s="8">
        <f>IF(O708="",Table1[[#This Row],[Estimated LDL (mg/dL)2]]+Table1[[#This Row],[HDL (mg/dL)2]]+(Table1[[#This Row],[Triglycerides]]/5),O708)</f>
        <v>232</v>
      </c>
      <c r="V708">
        <v>129</v>
      </c>
      <c r="W708" s="8">
        <f t="shared" si="164"/>
        <v>129</v>
      </c>
      <c r="X708" t="str">
        <f t="shared" si="165"/>
        <v>Diabetes</v>
      </c>
      <c r="Y708" t="s">
        <v>23</v>
      </c>
      <c r="Z708" t="s">
        <v>23</v>
      </c>
      <c r="AA708" t="s">
        <v>28</v>
      </c>
      <c r="AB708" s="3" t="s">
        <v>633</v>
      </c>
      <c r="AC708">
        <v>127</v>
      </c>
      <c r="AD708" s="3" t="str">
        <f t="shared" si="166"/>
        <v>127</v>
      </c>
      <c r="AE708">
        <v>89</v>
      </c>
      <c r="AF708" s="3" t="str">
        <f t="shared" si="167"/>
        <v>89</v>
      </c>
      <c r="AG708" t="s">
        <v>29</v>
      </c>
      <c r="AH708" s="3">
        <v>16.71</v>
      </c>
      <c r="AI708" s="3">
        <f t="shared" si="168"/>
        <v>16.71</v>
      </c>
      <c r="AJ708" t="s">
        <v>26</v>
      </c>
      <c r="AK708" t="str">
        <f>PROPER(Table1[[#This Row],[CVD Risk Level]])</f>
        <v>Intermediary</v>
      </c>
    </row>
    <row r="709" spans="1:37" x14ac:dyDescent="0.3">
      <c r="A709" t="s">
        <v>31</v>
      </c>
      <c r="C709" s="8">
        <f t="shared" si="157"/>
        <v>47.025499655410059</v>
      </c>
      <c r="D709" s="5">
        <v>92</v>
      </c>
      <c r="E709" s="8">
        <f t="shared" si="158"/>
        <v>92</v>
      </c>
      <c r="F709">
        <v>1.84</v>
      </c>
      <c r="G709" s="3">
        <f t="shared" si="159"/>
        <v>1.84</v>
      </c>
      <c r="H709">
        <v>27.2</v>
      </c>
      <c r="I709" s="5">
        <f t="shared" si="155"/>
        <v>27.2</v>
      </c>
      <c r="J709" s="16" t="str">
        <f t="shared" si="160"/>
        <v>Overweight</v>
      </c>
      <c r="K709">
        <v>89.5</v>
      </c>
      <c r="L709">
        <v>0.48599999999999999</v>
      </c>
      <c r="M709" s="11">
        <f t="shared" si="156"/>
        <v>0.48599999999999999</v>
      </c>
      <c r="N709" s="5">
        <f t="shared" si="161"/>
        <v>89.5</v>
      </c>
      <c r="O709">
        <v>247</v>
      </c>
      <c r="P709">
        <v>61</v>
      </c>
      <c r="Q709" s="8">
        <f t="shared" si="162"/>
        <v>61</v>
      </c>
      <c r="R709" s="8">
        <v>156</v>
      </c>
      <c r="S709" s="8">
        <f t="shared" si="163"/>
        <v>156</v>
      </c>
      <c r="T709" s="8">
        <f>(Table1[[#This Row],[Total Cholesterol (mg/dL)]]+Table1[[#This Row],[HDL (mg/dL)2]]+Table1[[#This Row],[Estimated LDL (mg/dL)2]])*5</f>
        <v>2320</v>
      </c>
      <c r="U709" s="8">
        <f>IF(O709="",Table1[[#This Row],[Estimated LDL (mg/dL)2]]+Table1[[#This Row],[HDL (mg/dL)2]]+(Table1[[#This Row],[Triglycerides]]/5),O709)</f>
        <v>247</v>
      </c>
      <c r="V709">
        <v>103</v>
      </c>
      <c r="W709" s="8">
        <f t="shared" si="164"/>
        <v>103</v>
      </c>
      <c r="X709" t="str">
        <f t="shared" si="165"/>
        <v>Prediabetes</v>
      </c>
      <c r="Y709" t="s">
        <v>23</v>
      </c>
      <c r="Z709" t="s">
        <v>22</v>
      </c>
      <c r="AA709" t="s">
        <v>24</v>
      </c>
      <c r="AB709" s="3" t="s">
        <v>634</v>
      </c>
      <c r="AC709">
        <v>136</v>
      </c>
      <c r="AD709" s="3" t="str">
        <f t="shared" si="166"/>
        <v>136</v>
      </c>
      <c r="AE709">
        <v>77</v>
      </c>
      <c r="AF709" s="3" t="str">
        <f t="shared" si="167"/>
        <v>77</v>
      </c>
      <c r="AG709" t="s">
        <v>29</v>
      </c>
      <c r="AH709" s="3">
        <v>17.18</v>
      </c>
      <c r="AI709" s="3">
        <f t="shared" si="168"/>
        <v>17.18</v>
      </c>
      <c r="AJ709" t="s">
        <v>30</v>
      </c>
      <c r="AK709" t="str">
        <f>PROPER(Table1[[#This Row],[CVD Risk Level]])</f>
        <v>High</v>
      </c>
    </row>
    <row r="710" spans="1:37" x14ac:dyDescent="0.3">
      <c r="A710" t="s">
        <v>31</v>
      </c>
      <c r="B710">
        <v>56</v>
      </c>
      <c r="C710" s="8">
        <f t="shared" si="157"/>
        <v>56</v>
      </c>
      <c r="D710" s="5">
        <v>110.6</v>
      </c>
      <c r="E710" s="8">
        <f t="shared" si="158"/>
        <v>110.6</v>
      </c>
      <c r="F710">
        <v>1.85</v>
      </c>
      <c r="G710" s="3">
        <f t="shared" si="159"/>
        <v>1.85</v>
      </c>
      <c r="H710">
        <v>32.299999999999997</v>
      </c>
      <c r="I710" s="5">
        <f t="shared" si="155"/>
        <v>32.299999999999997</v>
      </c>
      <c r="J710" s="16" t="str">
        <f t="shared" si="160"/>
        <v>Obese</v>
      </c>
      <c r="K710">
        <v>70.8</v>
      </c>
      <c r="L710">
        <v>0.38300000000000001</v>
      </c>
      <c r="M710" s="11">
        <f t="shared" si="156"/>
        <v>0.38300000000000001</v>
      </c>
      <c r="N710" s="5">
        <f t="shared" si="161"/>
        <v>70.8</v>
      </c>
      <c r="O710">
        <v>115</v>
      </c>
      <c r="P710">
        <v>40</v>
      </c>
      <c r="Q710" s="8">
        <f t="shared" si="162"/>
        <v>40</v>
      </c>
      <c r="R710" s="8">
        <v>45</v>
      </c>
      <c r="S710" s="8">
        <f t="shared" si="163"/>
        <v>45</v>
      </c>
      <c r="T710" s="8">
        <f>(Table1[[#This Row],[Total Cholesterol (mg/dL)]]+Table1[[#This Row],[HDL (mg/dL)2]]+Table1[[#This Row],[Estimated LDL (mg/dL)2]])*5</f>
        <v>1000</v>
      </c>
      <c r="U710" s="8">
        <f>IF(O710="",Table1[[#This Row],[Estimated LDL (mg/dL)2]]+Table1[[#This Row],[HDL (mg/dL)2]]+(Table1[[#This Row],[Triglycerides]]/5),O710)</f>
        <v>115</v>
      </c>
      <c r="V710">
        <v>72</v>
      </c>
      <c r="W710" s="8">
        <f t="shared" si="164"/>
        <v>72</v>
      </c>
      <c r="X710" t="str">
        <f t="shared" si="165"/>
        <v>Normal</v>
      </c>
      <c r="Y710" t="s">
        <v>23</v>
      </c>
      <c r="Z710" t="s">
        <v>22</v>
      </c>
      <c r="AA710" t="s">
        <v>28</v>
      </c>
      <c r="AB710" s="3" t="s">
        <v>635</v>
      </c>
      <c r="AD710" s="3" t="str">
        <f t="shared" si="166"/>
        <v>118</v>
      </c>
      <c r="AE710">
        <v>68</v>
      </c>
      <c r="AF710" s="3" t="str">
        <f t="shared" si="167"/>
        <v>68</v>
      </c>
      <c r="AG710" t="s">
        <v>33</v>
      </c>
      <c r="AH710" s="3">
        <v>14.66</v>
      </c>
      <c r="AI710" s="3">
        <f t="shared" si="168"/>
        <v>14.66</v>
      </c>
      <c r="AJ710" t="s">
        <v>26</v>
      </c>
      <c r="AK710" t="str">
        <f>PROPER(Table1[[#This Row],[CVD Risk Level]])</f>
        <v>Intermediary</v>
      </c>
    </row>
    <row r="711" spans="1:37" x14ac:dyDescent="0.3">
      <c r="A711" t="s">
        <v>31</v>
      </c>
      <c r="B711">
        <v>41</v>
      </c>
      <c r="C711" s="8">
        <f t="shared" si="157"/>
        <v>41</v>
      </c>
      <c r="D711" s="5">
        <v>72.8</v>
      </c>
      <c r="E711" s="8">
        <f t="shared" si="158"/>
        <v>72.8</v>
      </c>
      <c r="F711">
        <v>1.76</v>
      </c>
      <c r="G711" s="3">
        <f t="shared" si="159"/>
        <v>1.76</v>
      </c>
      <c r="H711">
        <v>23.5</v>
      </c>
      <c r="I711" s="5">
        <f t="shared" si="155"/>
        <v>23.5</v>
      </c>
      <c r="J711" s="16" t="str">
        <f t="shared" si="160"/>
        <v>Normal</v>
      </c>
      <c r="K711">
        <v>76.3</v>
      </c>
      <c r="L711">
        <v>0.434</v>
      </c>
      <c r="M711" s="11">
        <f t="shared" si="156"/>
        <v>0.434</v>
      </c>
      <c r="N711" s="5">
        <f t="shared" si="161"/>
        <v>76.3</v>
      </c>
      <c r="O711">
        <v>118</v>
      </c>
      <c r="P711">
        <v>63</v>
      </c>
      <c r="Q711" s="8">
        <f t="shared" si="162"/>
        <v>63</v>
      </c>
      <c r="R711" s="8">
        <v>25</v>
      </c>
      <c r="S711" s="8">
        <f t="shared" si="163"/>
        <v>25</v>
      </c>
      <c r="T711" s="8">
        <f>(Table1[[#This Row],[Total Cholesterol (mg/dL)]]+Table1[[#This Row],[HDL (mg/dL)2]]+Table1[[#This Row],[Estimated LDL (mg/dL)2]])*5</f>
        <v>1030</v>
      </c>
      <c r="U711" s="8">
        <f>IF(O711="",Table1[[#This Row],[Estimated LDL (mg/dL)2]]+Table1[[#This Row],[HDL (mg/dL)2]]+(Table1[[#This Row],[Triglycerides]]/5),O711)</f>
        <v>118</v>
      </c>
      <c r="V711">
        <v>109</v>
      </c>
      <c r="W711" s="8">
        <f t="shared" si="164"/>
        <v>109</v>
      </c>
      <c r="X711" t="str">
        <f t="shared" si="165"/>
        <v>Prediabetes</v>
      </c>
      <c r="Y711" t="s">
        <v>23</v>
      </c>
      <c r="Z711" t="s">
        <v>22</v>
      </c>
      <c r="AA711" t="s">
        <v>37</v>
      </c>
      <c r="AB711" s="3" t="s">
        <v>636</v>
      </c>
      <c r="AC711">
        <v>130</v>
      </c>
      <c r="AD711" s="3" t="str">
        <f t="shared" si="166"/>
        <v>130</v>
      </c>
      <c r="AE711">
        <v>66</v>
      </c>
      <c r="AF711" s="3" t="str">
        <f t="shared" si="167"/>
        <v>66</v>
      </c>
      <c r="AG711" t="s">
        <v>29</v>
      </c>
      <c r="AH711" s="3">
        <v>13.56</v>
      </c>
      <c r="AI711" s="3">
        <f t="shared" si="168"/>
        <v>13.56</v>
      </c>
      <c r="AJ711" t="s">
        <v>52</v>
      </c>
      <c r="AK711" t="str">
        <f>PROPER(Table1[[#This Row],[CVD Risk Level]])</f>
        <v>Low</v>
      </c>
    </row>
    <row r="712" spans="1:37" x14ac:dyDescent="0.3">
      <c r="A712" t="s">
        <v>31</v>
      </c>
      <c r="B712">
        <v>49</v>
      </c>
      <c r="C712" s="8">
        <f t="shared" si="157"/>
        <v>49</v>
      </c>
      <c r="D712" s="5">
        <v>61.1</v>
      </c>
      <c r="E712" s="8">
        <f t="shared" si="158"/>
        <v>61.1</v>
      </c>
      <c r="F712">
        <v>1.63</v>
      </c>
      <c r="G712" s="3">
        <f t="shared" si="159"/>
        <v>1.63</v>
      </c>
      <c r="H712">
        <v>23</v>
      </c>
      <c r="I712" s="5">
        <f t="shared" si="155"/>
        <v>23</v>
      </c>
      <c r="J712" s="16" t="str">
        <f t="shared" si="160"/>
        <v>Normal</v>
      </c>
      <c r="K712">
        <v>91.5</v>
      </c>
      <c r="L712">
        <v>0.56100000000000005</v>
      </c>
      <c r="M712" s="11">
        <f t="shared" si="156"/>
        <v>0.56100000000000005</v>
      </c>
      <c r="N712" s="5">
        <f t="shared" si="161"/>
        <v>91.5</v>
      </c>
      <c r="O712">
        <v>111</v>
      </c>
      <c r="P712">
        <v>73</v>
      </c>
      <c r="Q712" s="8">
        <f t="shared" si="162"/>
        <v>73</v>
      </c>
      <c r="R712" s="8">
        <v>8</v>
      </c>
      <c r="S712" s="8">
        <f t="shared" si="163"/>
        <v>8</v>
      </c>
      <c r="T712" s="8">
        <f>(Table1[[#This Row],[Total Cholesterol (mg/dL)]]+Table1[[#This Row],[HDL (mg/dL)2]]+Table1[[#This Row],[Estimated LDL (mg/dL)2]])*5</f>
        <v>960</v>
      </c>
      <c r="U712" s="8">
        <f>IF(O712="",Table1[[#This Row],[Estimated LDL (mg/dL)2]]+Table1[[#This Row],[HDL (mg/dL)2]]+(Table1[[#This Row],[Triglycerides]]/5),O712)</f>
        <v>111</v>
      </c>
      <c r="V712">
        <v>113</v>
      </c>
      <c r="W712" s="8">
        <f t="shared" si="164"/>
        <v>113</v>
      </c>
      <c r="X712" t="str">
        <f t="shared" si="165"/>
        <v>Prediabetes</v>
      </c>
      <c r="Y712" t="s">
        <v>23</v>
      </c>
      <c r="Z712" t="s">
        <v>23</v>
      </c>
      <c r="AA712" t="s">
        <v>28</v>
      </c>
      <c r="AB712" s="3" t="s">
        <v>637</v>
      </c>
      <c r="AC712">
        <v>98</v>
      </c>
      <c r="AD712" s="3" t="str">
        <f t="shared" si="166"/>
        <v>98</v>
      </c>
      <c r="AE712">
        <v>85</v>
      </c>
      <c r="AF712" s="3" t="str">
        <f t="shared" si="167"/>
        <v>85</v>
      </c>
      <c r="AG712" t="s">
        <v>29</v>
      </c>
      <c r="AH712" s="3">
        <v>13.72</v>
      </c>
      <c r="AI712" s="3">
        <f t="shared" si="168"/>
        <v>13.72</v>
      </c>
      <c r="AJ712" t="s">
        <v>30</v>
      </c>
      <c r="AK712" t="str">
        <f>PROPER(Table1[[#This Row],[CVD Risk Level]])</f>
        <v>High</v>
      </c>
    </row>
    <row r="713" spans="1:37" x14ac:dyDescent="0.3">
      <c r="A713" t="s">
        <v>20</v>
      </c>
      <c r="C713" s="8">
        <f t="shared" si="157"/>
        <v>47.025499655410059</v>
      </c>
      <c r="D713" s="5">
        <v>85.6</v>
      </c>
      <c r="E713" s="8">
        <f t="shared" si="158"/>
        <v>85.6</v>
      </c>
      <c r="F713">
        <v>1.66</v>
      </c>
      <c r="G713" s="3">
        <f t="shared" si="159"/>
        <v>1.66</v>
      </c>
      <c r="H713">
        <v>31.1</v>
      </c>
      <c r="I713" s="5">
        <f t="shared" si="155"/>
        <v>31.1</v>
      </c>
      <c r="J713" s="16" t="str">
        <f t="shared" si="160"/>
        <v>Obese</v>
      </c>
      <c r="K713">
        <v>83.6</v>
      </c>
      <c r="L713">
        <v>0.504</v>
      </c>
      <c r="M713" s="11">
        <f t="shared" si="156"/>
        <v>0.504</v>
      </c>
      <c r="N713" s="5">
        <f t="shared" si="161"/>
        <v>83.6</v>
      </c>
      <c r="O713">
        <v>222</v>
      </c>
      <c r="P713">
        <v>66</v>
      </c>
      <c r="Q713" s="8">
        <f t="shared" si="162"/>
        <v>66</v>
      </c>
      <c r="R713" s="8">
        <v>126</v>
      </c>
      <c r="S713" s="8">
        <f t="shared" si="163"/>
        <v>126</v>
      </c>
      <c r="T713" s="8">
        <f>(Table1[[#This Row],[Total Cholesterol (mg/dL)]]+Table1[[#This Row],[HDL (mg/dL)2]]+Table1[[#This Row],[Estimated LDL (mg/dL)2]])*5</f>
        <v>2070</v>
      </c>
      <c r="U713" s="8">
        <f>IF(O713="",Table1[[#This Row],[Estimated LDL (mg/dL)2]]+Table1[[#This Row],[HDL (mg/dL)2]]+(Table1[[#This Row],[Triglycerides]]/5),O713)</f>
        <v>222</v>
      </c>
      <c r="V713">
        <v>99</v>
      </c>
      <c r="W713" s="8">
        <f t="shared" si="164"/>
        <v>99</v>
      </c>
      <c r="X713" t="str">
        <f t="shared" si="165"/>
        <v>Normal</v>
      </c>
      <c r="Y713" t="s">
        <v>23</v>
      </c>
      <c r="Z713" t="s">
        <v>23</v>
      </c>
      <c r="AA713" t="s">
        <v>28</v>
      </c>
      <c r="AB713" s="3" t="s">
        <v>286</v>
      </c>
      <c r="AC713">
        <v>103</v>
      </c>
      <c r="AD713" s="3" t="str">
        <f t="shared" si="166"/>
        <v>103</v>
      </c>
      <c r="AE713">
        <v>99</v>
      </c>
      <c r="AF713" s="3" t="str">
        <f t="shared" si="167"/>
        <v>99</v>
      </c>
      <c r="AG713" t="s">
        <v>38</v>
      </c>
      <c r="AI713" s="3">
        <f t="shared" si="168"/>
        <v>16.960925291295425</v>
      </c>
      <c r="AJ713" t="s">
        <v>30</v>
      </c>
      <c r="AK713" t="str">
        <f>PROPER(Table1[[#This Row],[CVD Risk Level]])</f>
        <v>High</v>
      </c>
    </row>
    <row r="714" spans="1:37" x14ac:dyDescent="0.3">
      <c r="A714" t="s">
        <v>20</v>
      </c>
      <c r="B714">
        <v>47</v>
      </c>
      <c r="C714" s="8">
        <f t="shared" si="157"/>
        <v>47</v>
      </c>
      <c r="D714" s="5">
        <v>82.2</v>
      </c>
      <c r="E714" s="8">
        <f t="shared" si="158"/>
        <v>82.2</v>
      </c>
      <c r="F714">
        <v>1.87</v>
      </c>
      <c r="G714" s="3">
        <f t="shared" si="159"/>
        <v>1.87</v>
      </c>
      <c r="H714">
        <v>23.5</v>
      </c>
      <c r="I714" s="5">
        <f t="shared" si="155"/>
        <v>23.5</v>
      </c>
      <c r="J714" s="16" t="str">
        <f t="shared" si="160"/>
        <v>Normal</v>
      </c>
      <c r="L714">
        <v>0.48699999999999999</v>
      </c>
      <c r="M714" s="11">
        <f t="shared" si="156"/>
        <v>0.48699999999999999</v>
      </c>
      <c r="N714" s="5">
        <f t="shared" si="161"/>
        <v>91.069000000000003</v>
      </c>
      <c r="O714">
        <v>217</v>
      </c>
      <c r="P714">
        <v>34</v>
      </c>
      <c r="Q714" s="8">
        <f t="shared" si="162"/>
        <v>34</v>
      </c>
      <c r="R714" s="8">
        <v>153</v>
      </c>
      <c r="S714" s="8">
        <f t="shared" si="163"/>
        <v>153</v>
      </c>
      <c r="T714" s="8">
        <f>(Table1[[#This Row],[Total Cholesterol (mg/dL)]]+Table1[[#This Row],[HDL (mg/dL)2]]+Table1[[#This Row],[Estimated LDL (mg/dL)2]])*5</f>
        <v>2020</v>
      </c>
      <c r="U714" s="8">
        <f>IF(O714="",Table1[[#This Row],[Estimated LDL (mg/dL)2]]+Table1[[#This Row],[HDL (mg/dL)2]]+(Table1[[#This Row],[Triglycerides]]/5),O714)</f>
        <v>217</v>
      </c>
      <c r="V714">
        <v>103</v>
      </c>
      <c r="W714" s="8">
        <f t="shared" si="164"/>
        <v>103</v>
      </c>
      <c r="X714" t="str">
        <f t="shared" si="165"/>
        <v>Prediabetes</v>
      </c>
      <c r="Y714" t="s">
        <v>23</v>
      </c>
      <c r="Z714" t="s">
        <v>23</v>
      </c>
      <c r="AA714" t="s">
        <v>24</v>
      </c>
      <c r="AB714" s="3" t="s">
        <v>278</v>
      </c>
      <c r="AC714">
        <v>113</v>
      </c>
      <c r="AD714" s="3" t="str">
        <f t="shared" si="166"/>
        <v>113</v>
      </c>
      <c r="AE714">
        <v>69</v>
      </c>
      <c r="AF714" s="3" t="str">
        <f t="shared" si="167"/>
        <v>69</v>
      </c>
      <c r="AG714" t="s">
        <v>33</v>
      </c>
      <c r="AH714" s="3">
        <v>16.690000000000001</v>
      </c>
      <c r="AI714" s="3">
        <f t="shared" si="168"/>
        <v>16.690000000000001</v>
      </c>
      <c r="AJ714" t="s">
        <v>30</v>
      </c>
      <c r="AK714" t="str">
        <f>PROPER(Table1[[#This Row],[CVD Risk Level]])</f>
        <v>High</v>
      </c>
    </row>
    <row r="715" spans="1:37" x14ac:dyDescent="0.3">
      <c r="A715" t="s">
        <v>20</v>
      </c>
      <c r="B715">
        <v>56</v>
      </c>
      <c r="C715" s="8">
        <f t="shared" si="157"/>
        <v>56</v>
      </c>
      <c r="D715" s="5">
        <v>113.9</v>
      </c>
      <c r="E715" s="8">
        <f t="shared" si="158"/>
        <v>113.9</v>
      </c>
      <c r="F715">
        <v>1.89</v>
      </c>
      <c r="G715" s="3">
        <f t="shared" si="159"/>
        <v>1.89</v>
      </c>
      <c r="H715">
        <v>31.9</v>
      </c>
      <c r="I715" s="5">
        <f t="shared" si="155"/>
        <v>31.9</v>
      </c>
      <c r="J715" s="16" t="str">
        <f t="shared" si="160"/>
        <v>Obese</v>
      </c>
      <c r="L715">
        <v>0.40400000000000003</v>
      </c>
      <c r="M715" s="11">
        <f t="shared" si="156"/>
        <v>0.40400000000000003</v>
      </c>
      <c r="N715" s="5">
        <f t="shared" si="161"/>
        <v>76.356000000000009</v>
      </c>
      <c r="O715">
        <v>239</v>
      </c>
      <c r="P715">
        <v>61</v>
      </c>
      <c r="Q715" s="8">
        <f t="shared" si="162"/>
        <v>61</v>
      </c>
      <c r="R715" s="8">
        <v>148</v>
      </c>
      <c r="S715" s="8">
        <f t="shared" si="163"/>
        <v>148</v>
      </c>
      <c r="T715" s="8">
        <f>(Table1[[#This Row],[Total Cholesterol (mg/dL)]]+Table1[[#This Row],[HDL (mg/dL)2]]+Table1[[#This Row],[Estimated LDL (mg/dL)2]])*5</f>
        <v>2240</v>
      </c>
      <c r="U715" s="8">
        <f>IF(O715="",Table1[[#This Row],[Estimated LDL (mg/dL)2]]+Table1[[#This Row],[HDL (mg/dL)2]]+(Table1[[#This Row],[Triglycerides]]/5),O715)</f>
        <v>239</v>
      </c>
      <c r="V715">
        <v>90</v>
      </c>
      <c r="W715" s="8">
        <f t="shared" si="164"/>
        <v>90</v>
      </c>
      <c r="X715" t="str">
        <f t="shared" si="165"/>
        <v>Normal</v>
      </c>
      <c r="Y715" t="s">
        <v>22</v>
      </c>
      <c r="Z715" t="s">
        <v>23</v>
      </c>
      <c r="AA715" t="s">
        <v>28</v>
      </c>
      <c r="AB715" s="3" t="s">
        <v>638</v>
      </c>
      <c r="AC715">
        <v>129</v>
      </c>
      <c r="AD715" s="3" t="str">
        <f t="shared" si="166"/>
        <v>129</v>
      </c>
      <c r="AE715">
        <v>82</v>
      </c>
      <c r="AF715" s="3" t="str">
        <f t="shared" si="167"/>
        <v>82</v>
      </c>
      <c r="AG715" t="s">
        <v>29</v>
      </c>
      <c r="AH715" s="3">
        <v>19.61</v>
      </c>
      <c r="AI715" s="3">
        <f t="shared" si="168"/>
        <v>19.61</v>
      </c>
      <c r="AJ715" t="s">
        <v>30</v>
      </c>
      <c r="AK715" t="str">
        <f>PROPER(Table1[[#This Row],[CVD Risk Level]])</f>
        <v>High</v>
      </c>
    </row>
    <row r="716" spans="1:37" x14ac:dyDescent="0.3">
      <c r="A716" t="s">
        <v>20</v>
      </c>
      <c r="C716" s="8">
        <f t="shared" si="157"/>
        <v>47.025499655410059</v>
      </c>
      <c r="D716" s="5">
        <v>86.8</v>
      </c>
      <c r="E716" s="8">
        <f t="shared" si="158"/>
        <v>86.8</v>
      </c>
      <c r="F716">
        <v>1.67</v>
      </c>
      <c r="G716" s="3">
        <f t="shared" si="159"/>
        <v>1.67</v>
      </c>
      <c r="H716">
        <v>31.1</v>
      </c>
      <c r="I716" s="5">
        <f t="shared" si="155"/>
        <v>31.1</v>
      </c>
      <c r="J716" s="16" t="str">
        <f t="shared" si="160"/>
        <v>Obese</v>
      </c>
      <c r="K716">
        <v>71.599999999999994</v>
      </c>
      <c r="L716">
        <v>0.42899999999999999</v>
      </c>
      <c r="M716" s="11">
        <f t="shared" si="156"/>
        <v>0.42899999999999999</v>
      </c>
      <c r="N716" s="5">
        <f t="shared" si="161"/>
        <v>71.599999999999994</v>
      </c>
      <c r="O716">
        <v>105</v>
      </c>
      <c r="P716">
        <v>53</v>
      </c>
      <c r="Q716" s="8">
        <f t="shared" si="162"/>
        <v>53</v>
      </c>
      <c r="R716" s="8">
        <v>22</v>
      </c>
      <c r="S716" s="8">
        <f t="shared" si="163"/>
        <v>22</v>
      </c>
      <c r="T716" s="8">
        <f>(Table1[[#This Row],[Total Cholesterol (mg/dL)]]+Table1[[#This Row],[HDL (mg/dL)2]]+Table1[[#This Row],[Estimated LDL (mg/dL)2]])*5</f>
        <v>900</v>
      </c>
      <c r="U716" s="8">
        <f>IF(O716="",Table1[[#This Row],[Estimated LDL (mg/dL)2]]+Table1[[#This Row],[HDL (mg/dL)2]]+(Table1[[#This Row],[Triglycerides]]/5),O716)</f>
        <v>105</v>
      </c>
      <c r="V716">
        <v>97</v>
      </c>
      <c r="W716" s="8">
        <f t="shared" si="164"/>
        <v>97</v>
      </c>
      <c r="X716" t="str">
        <f t="shared" si="165"/>
        <v>Normal</v>
      </c>
      <c r="Y716" t="s">
        <v>23</v>
      </c>
      <c r="Z716" t="s">
        <v>23</v>
      </c>
      <c r="AA716" t="s">
        <v>28</v>
      </c>
      <c r="AB716" s="3" t="s">
        <v>639</v>
      </c>
      <c r="AC716">
        <v>120</v>
      </c>
      <c r="AD716" s="3" t="str">
        <f t="shared" si="166"/>
        <v>120</v>
      </c>
      <c r="AE716">
        <v>69</v>
      </c>
      <c r="AF716" s="3" t="str">
        <f t="shared" si="167"/>
        <v>69</v>
      </c>
      <c r="AG716" t="s">
        <v>25</v>
      </c>
      <c r="AH716" s="3">
        <v>16.32</v>
      </c>
      <c r="AI716" s="3">
        <f t="shared" si="168"/>
        <v>16.32</v>
      </c>
      <c r="AJ716" t="s">
        <v>30</v>
      </c>
      <c r="AK716" t="str">
        <f>PROPER(Table1[[#This Row],[CVD Risk Level]])</f>
        <v>High</v>
      </c>
    </row>
    <row r="717" spans="1:37" x14ac:dyDescent="0.3">
      <c r="A717" t="s">
        <v>31</v>
      </c>
      <c r="B717">
        <v>32</v>
      </c>
      <c r="C717" s="8">
        <f t="shared" si="157"/>
        <v>32</v>
      </c>
      <c r="D717" s="5">
        <v>53.1</v>
      </c>
      <c r="E717" s="8">
        <f t="shared" si="158"/>
        <v>53.1</v>
      </c>
      <c r="F717">
        <v>1.69</v>
      </c>
      <c r="G717" s="3">
        <f t="shared" si="159"/>
        <v>1.69</v>
      </c>
      <c r="H717">
        <v>18.600000000000001</v>
      </c>
      <c r="I717" s="5">
        <f t="shared" si="155"/>
        <v>18.600000000000001</v>
      </c>
      <c r="J717" s="16" t="str">
        <f t="shared" si="160"/>
        <v>Normal</v>
      </c>
      <c r="K717">
        <v>82.9</v>
      </c>
      <c r="L717">
        <v>0.49099999999999999</v>
      </c>
      <c r="M717" s="11">
        <f t="shared" si="156"/>
        <v>0.49099999999999999</v>
      </c>
      <c r="N717" s="5">
        <f t="shared" si="161"/>
        <v>82.9</v>
      </c>
      <c r="O717">
        <v>192</v>
      </c>
      <c r="P717">
        <v>76</v>
      </c>
      <c r="Q717" s="8">
        <f t="shared" si="162"/>
        <v>76</v>
      </c>
      <c r="R717" s="8">
        <v>86</v>
      </c>
      <c r="S717" s="8">
        <f t="shared" si="163"/>
        <v>86</v>
      </c>
      <c r="T717" s="8">
        <f>(Table1[[#This Row],[Total Cholesterol (mg/dL)]]+Table1[[#This Row],[HDL (mg/dL)2]]+Table1[[#This Row],[Estimated LDL (mg/dL)2]])*5</f>
        <v>1770</v>
      </c>
      <c r="U717" s="8">
        <f>IF(O717="",Table1[[#This Row],[Estimated LDL (mg/dL)2]]+Table1[[#This Row],[HDL (mg/dL)2]]+(Table1[[#This Row],[Triglycerides]]/5),O717)</f>
        <v>192</v>
      </c>
      <c r="V717">
        <v>103</v>
      </c>
      <c r="W717" s="8">
        <f t="shared" si="164"/>
        <v>103</v>
      </c>
      <c r="X717" t="str">
        <f t="shared" si="165"/>
        <v>Prediabetes</v>
      </c>
      <c r="Y717" t="s">
        <v>22</v>
      </c>
      <c r="Z717" t="s">
        <v>22</v>
      </c>
      <c r="AA717" t="s">
        <v>37</v>
      </c>
      <c r="AB717" s="3" t="s">
        <v>640</v>
      </c>
      <c r="AD717" s="3" t="str">
        <f t="shared" si="166"/>
        <v>124</v>
      </c>
      <c r="AE717">
        <v>73</v>
      </c>
      <c r="AF717" s="3" t="str">
        <f t="shared" si="167"/>
        <v>73</v>
      </c>
      <c r="AG717" t="s">
        <v>25</v>
      </c>
      <c r="AH717" s="3">
        <v>13.76</v>
      </c>
      <c r="AI717" s="3">
        <f t="shared" si="168"/>
        <v>13.76</v>
      </c>
      <c r="AJ717" t="s">
        <v>52</v>
      </c>
      <c r="AK717" t="str">
        <f>PROPER(Table1[[#This Row],[CVD Risk Level]])</f>
        <v>Low</v>
      </c>
    </row>
    <row r="718" spans="1:37" x14ac:dyDescent="0.3">
      <c r="A718" t="s">
        <v>20</v>
      </c>
      <c r="B718">
        <v>55</v>
      </c>
      <c r="C718" s="8">
        <f t="shared" si="157"/>
        <v>55</v>
      </c>
      <c r="D718" s="5">
        <v>79.7</v>
      </c>
      <c r="E718" s="8">
        <f t="shared" si="158"/>
        <v>79.7</v>
      </c>
      <c r="F718">
        <v>1.78</v>
      </c>
      <c r="G718" s="3">
        <f t="shared" si="159"/>
        <v>1.78</v>
      </c>
      <c r="H718">
        <v>25.2</v>
      </c>
      <c r="I718" s="5">
        <f t="shared" si="155"/>
        <v>25.2</v>
      </c>
      <c r="J718" s="16" t="str">
        <f t="shared" si="160"/>
        <v>Overweight</v>
      </c>
      <c r="K718">
        <v>86.9</v>
      </c>
      <c r="L718">
        <v>0.48799999999999999</v>
      </c>
      <c r="M718" s="11">
        <f t="shared" si="156"/>
        <v>0.48799999999999999</v>
      </c>
      <c r="N718" s="5">
        <f t="shared" si="161"/>
        <v>86.9</v>
      </c>
      <c r="O718">
        <v>248</v>
      </c>
      <c r="P718">
        <v>36</v>
      </c>
      <c r="Q718" s="8">
        <f t="shared" si="162"/>
        <v>36</v>
      </c>
      <c r="R718" s="8">
        <v>182</v>
      </c>
      <c r="S718" s="8">
        <f t="shared" si="163"/>
        <v>182</v>
      </c>
      <c r="T718" s="8">
        <f>(Table1[[#This Row],[Total Cholesterol (mg/dL)]]+Table1[[#This Row],[HDL (mg/dL)2]]+Table1[[#This Row],[Estimated LDL (mg/dL)2]])*5</f>
        <v>2330</v>
      </c>
      <c r="U718" s="8">
        <f>IF(O718="",Table1[[#This Row],[Estimated LDL (mg/dL)2]]+Table1[[#This Row],[HDL (mg/dL)2]]+(Table1[[#This Row],[Triglycerides]]/5),O718)</f>
        <v>248</v>
      </c>
      <c r="V718">
        <v>73</v>
      </c>
      <c r="W718" s="8">
        <f t="shared" si="164"/>
        <v>73</v>
      </c>
      <c r="X718" t="str">
        <f t="shared" si="165"/>
        <v>Normal</v>
      </c>
      <c r="Y718" t="s">
        <v>23</v>
      </c>
      <c r="Z718" t="s">
        <v>23</v>
      </c>
      <c r="AA718" t="s">
        <v>37</v>
      </c>
      <c r="AB718" s="3" t="s">
        <v>641</v>
      </c>
      <c r="AC718">
        <v>140</v>
      </c>
      <c r="AD718" s="3" t="str">
        <f t="shared" si="166"/>
        <v>140</v>
      </c>
      <c r="AE718">
        <v>62</v>
      </c>
      <c r="AF718" s="3" t="str">
        <f t="shared" si="167"/>
        <v>62</v>
      </c>
      <c r="AG718" t="s">
        <v>38</v>
      </c>
      <c r="AH718" s="3">
        <v>19</v>
      </c>
      <c r="AI718" s="3">
        <f t="shared" si="168"/>
        <v>19</v>
      </c>
      <c r="AJ718" t="s">
        <v>30</v>
      </c>
      <c r="AK718" t="str">
        <f>PROPER(Table1[[#This Row],[CVD Risk Level]])</f>
        <v>High</v>
      </c>
    </row>
    <row r="719" spans="1:37" x14ac:dyDescent="0.3">
      <c r="A719" t="s">
        <v>31</v>
      </c>
      <c r="B719">
        <v>34</v>
      </c>
      <c r="C719" s="8">
        <f t="shared" si="157"/>
        <v>34</v>
      </c>
      <c r="D719" s="5">
        <v>115.8</v>
      </c>
      <c r="E719" s="8">
        <f t="shared" si="158"/>
        <v>115.8</v>
      </c>
      <c r="F719">
        <v>1.61</v>
      </c>
      <c r="G719" s="3">
        <f t="shared" si="159"/>
        <v>1.61</v>
      </c>
      <c r="H719">
        <v>44.7</v>
      </c>
      <c r="I719" s="5">
        <f t="shared" si="155"/>
        <v>44.7</v>
      </c>
      <c r="J719" s="16" t="str">
        <f t="shared" si="160"/>
        <v>Obese</v>
      </c>
      <c r="K719">
        <v>81.3</v>
      </c>
      <c r="L719">
        <v>0.505</v>
      </c>
      <c r="M719" s="11">
        <f t="shared" si="156"/>
        <v>0.505</v>
      </c>
      <c r="N719" s="5">
        <f t="shared" si="161"/>
        <v>81.3</v>
      </c>
      <c r="O719">
        <v>232</v>
      </c>
      <c r="P719">
        <v>64</v>
      </c>
      <c r="Q719" s="8">
        <f t="shared" si="162"/>
        <v>64</v>
      </c>
      <c r="R719" s="8">
        <v>138</v>
      </c>
      <c r="S719" s="8">
        <f t="shared" si="163"/>
        <v>138</v>
      </c>
      <c r="T719" s="8">
        <f>(Table1[[#This Row],[Total Cholesterol (mg/dL)]]+Table1[[#This Row],[HDL (mg/dL)2]]+Table1[[#This Row],[Estimated LDL (mg/dL)2]])*5</f>
        <v>2170</v>
      </c>
      <c r="U719" s="8">
        <f>IF(O719="",Table1[[#This Row],[Estimated LDL (mg/dL)2]]+Table1[[#This Row],[HDL (mg/dL)2]]+(Table1[[#This Row],[Triglycerides]]/5),O719)</f>
        <v>232</v>
      </c>
      <c r="V719">
        <v>89</v>
      </c>
      <c r="W719" s="8">
        <f t="shared" si="164"/>
        <v>89</v>
      </c>
      <c r="X719" t="str">
        <f t="shared" si="165"/>
        <v>Normal</v>
      </c>
      <c r="Y719" t="s">
        <v>22</v>
      </c>
      <c r="Z719" t="s">
        <v>23</v>
      </c>
      <c r="AA719" t="s">
        <v>37</v>
      </c>
      <c r="AB719" s="3" t="s">
        <v>55</v>
      </c>
      <c r="AC719">
        <v>120</v>
      </c>
      <c r="AD719" s="3" t="str">
        <f t="shared" si="166"/>
        <v>120</v>
      </c>
      <c r="AE719">
        <v>89</v>
      </c>
      <c r="AF719" s="3" t="str">
        <f t="shared" si="167"/>
        <v>89</v>
      </c>
      <c r="AG719" t="s">
        <v>29</v>
      </c>
      <c r="AH719" s="3">
        <v>21.58</v>
      </c>
      <c r="AI719" s="3">
        <f t="shared" si="168"/>
        <v>21.58</v>
      </c>
      <c r="AJ719" t="s">
        <v>30</v>
      </c>
      <c r="AK719" t="str">
        <f>PROPER(Table1[[#This Row],[CVD Risk Level]])</f>
        <v>High</v>
      </c>
    </row>
    <row r="720" spans="1:37" x14ac:dyDescent="0.3">
      <c r="A720" t="s">
        <v>20</v>
      </c>
      <c r="B720">
        <v>34</v>
      </c>
      <c r="C720" s="8">
        <f t="shared" si="157"/>
        <v>34</v>
      </c>
      <c r="D720" s="5">
        <v>111.3</v>
      </c>
      <c r="E720" s="8">
        <f t="shared" si="158"/>
        <v>111.3</v>
      </c>
      <c r="F720">
        <v>1.63</v>
      </c>
      <c r="G720" s="3">
        <f t="shared" si="159"/>
        <v>1.63</v>
      </c>
      <c r="H720">
        <v>41.9</v>
      </c>
      <c r="I720" s="5">
        <f t="shared" si="155"/>
        <v>41.9</v>
      </c>
      <c r="J720" s="16" t="str">
        <f t="shared" si="160"/>
        <v>Obese</v>
      </c>
      <c r="K720">
        <v>94.9</v>
      </c>
      <c r="L720">
        <v>0.58199999999999996</v>
      </c>
      <c r="M720" s="11">
        <f t="shared" si="156"/>
        <v>0.58199999999999996</v>
      </c>
      <c r="N720" s="5">
        <f t="shared" si="161"/>
        <v>94.9</v>
      </c>
      <c r="O720">
        <v>224</v>
      </c>
      <c r="P720">
        <v>41</v>
      </c>
      <c r="Q720" s="8">
        <f t="shared" si="162"/>
        <v>41</v>
      </c>
      <c r="R720" s="8">
        <v>153</v>
      </c>
      <c r="S720" s="8">
        <f t="shared" si="163"/>
        <v>153</v>
      </c>
      <c r="T720" s="8">
        <f>(Table1[[#This Row],[Total Cholesterol (mg/dL)]]+Table1[[#This Row],[HDL (mg/dL)2]]+Table1[[#This Row],[Estimated LDL (mg/dL)2]])*5</f>
        <v>2090</v>
      </c>
      <c r="U720" s="8">
        <f>IF(O720="",Table1[[#This Row],[Estimated LDL (mg/dL)2]]+Table1[[#This Row],[HDL (mg/dL)2]]+(Table1[[#This Row],[Triglycerides]]/5),O720)</f>
        <v>224</v>
      </c>
      <c r="V720">
        <v>78</v>
      </c>
      <c r="W720" s="8">
        <f t="shared" si="164"/>
        <v>78</v>
      </c>
      <c r="X720" t="str">
        <f t="shared" si="165"/>
        <v>Normal</v>
      </c>
      <c r="Y720" t="s">
        <v>23</v>
      </c>
      <c r="Z720" t="s">
        <v>23</v>
      </c>
      <c r="AA720" t="s">
        <v>37</v>
      </c>
      <c r="AB720" s="3" t="s">
        <v>640</v>
      </c>
      <c r="AC720">
        <v>124</v>
      </c>
      <c r="AD720" s="3" t="str">
        <f t="shared" si="166"/>
        <v>124</v>
      </c>
      <c r="AE720">
        <v>73</v>
      </c>
      <c r="AF720" s="3" t="str">
        <f t="shared" si="167"/>
        <v>73</v>
      </c>
      <c r="AG720" t="s">
        <v>25</v>
      </c>
      <c r="AH720" s="3">
        <v>21.06</v>
      </c>
      <c r="AI720" s="3">
        <f t="shared" si="168"/>
        <v>21.06</v>
      </c>
      <c r="AJ720" t="s">
        <v>30</v>
      </c>
      <c r="AK720" t="str">
        <f>PROPER(Table1[[#This Row],[CVD Risk Level]])</f>
        <v>High</v>
      </c>
    </row>
    <row r="721" spans="1:37" x14ac:dyDescent="0.3">
      <c r="A721" t="s">
        <v>20</v>
      </c>
      <c r="B721">
        <v>41</v>
      </c>
      <c r="C721" s="8">
        <f t="shared" si="157"/>
        <v>41</v>
      </c>
      <c r="D721" s="5">
        <v>91.8</v>
      </c>
      <c r="E721" s="8">
        <f t="shared" si="158"/>
        <v>91.8</v>
      </c>
      <c r="F721">
        <v>1.76</v>
      </c>
      <c r="G721" s="3">
        <f t="shared" si="159"/>
        <v>1.76</v>
      </c>
      <c r="H721">
        <v>29.6</v>
      </c>
      <c r="I721" s="5">
        <f t="shared" si="155"/>
        <v>29.6</v>
      </c>
      <c r="J721" s="16" t="str">
        <f t="shared" si="160"/>
        <v>Overweight</v>
      </c>
      <c r="K721">
        <v>71</v>
      </c>
      <c r="L721">
        <v>0.40300000000000002</v>
      </c>
      <c r="M721" s="11">
        <f t="shared" si="156"/>
        <v>0.40300000000000002</v>
      </c>
      <c r="N721" s="5">
        <f t="shared" si="161"/>
        <v>71</v>
      </c>
      <c r="O721">
        <v>256</v>
      </c>
      <c r="P721">
        <v>73</v>
      </c>
      <c r="Q721" s="8">
        <f t="shared" si="162"/>
        <v>73</v>
      </c>
      <c r="R721" s="8">
        <v>153</v>
      </c>
      <c r="S721" s="8">
        <f t="shared" si="163"/>
        <v>153</v>
      </c>
      <c r="T721" s="8">
        <f>(Table1[[#This Row],[Total Cholesterol (mg/dL)]]+Table1[[#This Row],[HDL (mg/dL)2]]+Table1[[#This Row],[Estimated LDL (mg/dL)2]])*5</f>
        <v>2410</v>
      </c>
      <c r="U721" s="8">
        <f>IF(O721="",Table1[[#This Row],[Estimated LDL (mg/dL)2]]+Table1[[#This Row],[HDL (mg/dL)2]]+(Table1[[#This Row],[Triglycerides]]/5),O721)</f>
        <v>256</v>
      </c>
      <c r="V721">
        <v>134</v>
      </c>
      <c r="W721" s="8">
        <f t="shared" si="164"/>
        <v>134</v>
      </c>
      <c r="X721" t="str">
        <f t="shared" si="165"/>
        <v>Diabetes</v>
      </c>
      <c r="Y721" t="s">
        <v>23</v>
      </c>
      <c r="Z721" t="s">
        <v>23</v>
      </c>
      <c r="AA721" t="s">
        <v>24</v>
      </c>
      <c r="AB721" s="3" t="s">
        <v>642</v>
      </c>
      <c r="AC721">
        <v>148</v>
      </c>
      <c r="AD721" s="3" t="str">
        <f t="shared" si="166"/>
        <v>148</v>
      </c>
      <c r="AE721">
        <v>67</v>
      </c>
      <c r="AF721" s="3" t="str">
        <f t="shared" si="167"/>
        <v>67</v>
      </c>
      <c r="AG721" t="s">
        <v>38</v>
      </c>
      <c r="AH721" s="3">
        <v>20.440000000000001</v>
      </c>
      <c r="AI721" s="3">
        <f t="shared" si="168"/>
        <v>20.440000000000001</v>
      </c>
      <c r="AJ721" t="s">
        <v>30</v>
      </c>
      <c r="AK721" t="str">
        <f>PROPER(Table1[[#This Row],[CVD Risk Level]])</f>
        <v>High</v>
      </c>
    </row>
    <row r="722" spans="1:37" x14ac:dyDescent="0.3">
      <c r="A722" t="s">
        <v>31</v>
      </c>
      <c r="B722">
        <v>47</v>
      </c>
      <c r="C722" s="8">
        <f t="shared" si="157"/>
        <v>47</v>
      </c>
      <c r="D722" s="5">
        <v>117</v>
      </c>
      <c r="E722" s="8">
        <f t="shared" si="158"/>
        <v>117</v>
      </c>
      <c r="G722" s="3">
        <f t="shared" si="159"/>
        <v>1.699673171197595</v>
      </c>
      <c r="H722">
        <v>40.5</v>
      </c>
      <c r="I722" s="5">
        <f t="shared" si="155"/>
        <v>40.5</v>
      </c>
      <c r="J722" s="16" t="str">
        <f t="shared" si="160"/>
        <v>Obese</v>
      </c>
      <c r="K722">
        <v>81.3</v>
      </c>
      <c r="L722">
        <v>0.47799999999999998</v>
      </c>
      <c r="M722" s="11">
        <f t="shared" si="156"/>
        <v>0.47799999999999998</v>
      </c>
      <c r="N722" s="5">
        <f t="shared" si="161"/>
        <v>81.3</v>
      </c>
      <c r="O722">
        <v>238</v>
      </c>
      <c r="P722">
        <v>67</v>
      </c>
      <c r="Q722" s="8">
        <f t="shared" si="162"/>
        <v>67</v>
      </c>
      <c r="R722" s="8">
        <v>141</v>
      </c>
      <c r="S722" s="8">
        <f>IF(R722&lt;=0,MEDIAN($R$2:$R$1530),R722)</f>
        <v>141</v>
      </c>
      <c r="T722" s="8">
        <f>(Table1[[#This Row],[Total Cholesterol (mg/dL)]]+Table1[[#This Row],[HDL (mg/dL)2]]+Table1[[#This Row],[Estimated LDL (mg/dL)2]])*5</f>
        <v>2230</v>
      </c>
      <c r="U722" s="8">
        <f>IF(O722="",Table1[[#This Row],[Estimated LDL (mg/dL)2]]+Table1[[#This Row],[HDL (mg/dL)2]]+(Table1[[#This Row],[Triglycerides]]/5),O722)</f>
        <v>238</v>
      </c>
      <c r="V722">
        <v>96</v>
      </c>
      <c r="W722" s="8">
        <f t="shared" si="164"/>
        <v>96</v>
      </c>
      <c r="X722" t="str">
        <f t="shared" si="165"/>
        <v>Normal</v>
      </c>
      <c r="Y722" t="s">
        <v>23</v>
      </c>
      <c r="Z722" t="s">
        <v>22</v>
      </c>
      <c r="AA722" t="s">
        <v>28</v>
      </c>
      <c r="AB722" s="3" t="s">
        <v>643</v>
      </c>
      <c r="AC722">
        <v>122</v>
      </c>
      <c r="AD722" s="3" t="str">
        <f t="shared" si="166"/>
        <v>122</v>
      </c>
      <c r="AE722">
        <v>74</v>
      </c>
      <c r="AF722" s="3" t="str">
        <f t="shared" si="167"/>
        <v>74</v>
      </c>
      <c r="AG722" t="s">
        <v>25</v>
      </c>
      <c r="AH722" s="3">
        <v>18.96</v>
      </c>
      <c r="AI722" s="3">
        <f t="shared" si="168"/>
        <v>18.96</v>
      </c>
      <c r="AJ722" t="s">
        <v>30</v>
      </c>
      <c r="AK722" t="str">
        <f>PROPER(Table1[[#This Row],[CVD Risk Level]])</f>
        <v>High</v>
      </c>
    </row>
    <row r="723" spans="1:37" x14ac:dyDescent="0.3">
      <c r="A723" t="s">
        <v>31</v>
      </c>
      <c r="B723">
        <v>32</v>
      </c>
      <c r="C723" s="8">
        <f t="shared" si="157"/>
        <v>32</v>
      </c>
      <c r="D723" s="5">
        <v>110.5</v>
      </c>
      <c r="E723" s="8">
        <f t="shared" si="158"/>
        <v>110.5</v>
      </c>
      <c r="F723">
        <v>1.76</v>
      </c>
      <c r="G723" s="3">
        <f t="shared" si="159"/>
        <v>1.76</v>
      </c>
      <c r="H723">
        <v>35.700000000000003</v>
      </c>
      <c r="I723" s="5">
        <f t="shared" si="155"/>
        <v>35.700000000000003</v>
      </c>
      <c r="J723" s="16" t="str">
        <f t="shared" si="160"/>
        <v>Obese</v>
      </c>
      <c r="K723">
        <v>87.5</v>
      </c>
      <c r="L723">
        <v>0.497</v>
      </c>
      <c r="M723" s="11">
        <f t="shared" si="156"/>
        <v>0.497</v>
      </c>
      <c r="N723" s="5">
        <f t="shared" si="161"/>
        <v>87.5</v>
      </c>
      <c r="O723">
        <v>150</v>
      </c>
      <c r="P723">
        <v>44</v>
      </c>
      <c r="Q723" s="8">
        <f t="shared" si="162"/>
        <v>44</v>
      </c>
      <c r="R723" s="8">
        <v>76</v>
      </c>
      <c r="S723" s="8">
        <f t="shared" si="163"/>
        <v>76</v>
      </c>
      <c r="T723" s="8">
        <f>(Table1[[#This Row],[Total Cholesterol (mg/dL)]]+Table1[[#This Row],[HDL (mg/dL)2]]+Table1[[#This Row],[Estimated LDL (mg/dL)2]])*5</f>
        <v>1350</v>
      </c>
      <c r="U723" s="8">
        <f>IF(O723="",Table1[[#This Row],[Estimated LDL (mg/dL)2]]+Table1[[#This Row],[HDL (mg/dL)2]]+(Table1[[#This Row],[Triglycerides]]/5),O723)</f>
        <v>150</v>
      </c>
      <c r="V723">
        <v>136</v>
      </c>
      <c r="W723" s="8">
        <f t="shared" si="164"/>
        <v>136</v>
      </c>
      <c r="X723" t="str">
        <f t="shared" si="165"/>
        <v>Diabetes</v>
      </c>
      <c r="Y723" t="s">
        <v>23</v>
      </c>
      <c r="Z723" t="s">
        <v>22</v>
      </c>
      <c r="AA723" t="s">
        <v>37</v>
      </c>
      <c r="AB723" s="3" t="s">
        <v>644</v>
      </c>
      <c r="AC723">
        <v>119</v>
      </c>
      <c r="AD723" s="3" t="str">
        <f t="shared" si="166"/>
        <v>119</v>
      </c>
      <c r="AE723">
        <v>74</v>
      </c>
      <c r="AF723" s="3" t="str">
        <f t="shared" si="167"/>
        <v>74</v>
      </c>
      <c r="AG723" t="s">
        <v>33</v>
      </c>
      <c r="AH723" s="3">
        <v>16.09</v>
      </c>
      <c r="AI723" s="3">
        <f t="shared" si="168"/>
        <v>16.09</v>
      </c>
      <c r="AJ723" t="s">
        <v>26</v>
      </c>
      <c r="AK723" t="str">
        <f>PROPER(Table1[[#This Row],[CVD Risk Level]])</f>
        <v>Intermediary</v>
      </c>
    </row>
    <row r="724" spans="1:37" x14ac:dyDescent="0.3">
      <c r="A724" t="s">
        <v>31</v>
      </c>
      <c r="B724">
        <v>40</v>
      </c>
      <c r="C724" s="8">
        <f t="shared" si="157"/>
        <v>40</v>
      </c>
      <c r="E724" s="8">
        <f t="shared" si="158"/>
        <v>110.52704</v>
      </c>
      <c r="F724">
        <v>1.63</v>
      </c>
      <c r="G724" s="3">
        <f t="shared" si="159"/>
        <v>1.63</v>
      </c>
      <c r="H724">
        <v>41.6</v>
      </c>
      <c r="I724" s="5">
        <f t="shared" si="155"/>
        <v>41.6</v>
      </c>
      <c r="J724" s="16" t="str">
        <f t="shared" si="160"/>
        <v>Obese</v>
      </c>
      <c r="K724">
        <v>108.7</v>
      </c>
      <c r="L724">
        <v>0.66700000000000004</v>
      </c>
      <c r="M724" s="11">
        <f t="shared" si="156"/>
        <v>0.66700000000000004</v>
      </c>
      <c r="N724" s="5">
        <f t="shared" si="161"/>
        <v>108.7</v>
      </c>
      <c r="O724">
        <v>273</v>
      </c>
      <c r="Q724" s="8">
        <f t="shared" si="162"/>
        <v>56.197377501725327</v>
      </c>
      <c r="R724" s="8">
        <v>172</v>
      </c>
      <c r="S724" s="8">
        <f>IF(R724&lt;=0,MEDIAN($R$2:$R$1530),R724)</f>
        <v>172</v>
      </c>
      <c r="T724" s="8">
        <f>(Table1[[#This Row],[Total Cholesterol (mg/dL)]]+Table1[[#This Row],[HDL (mg/dL)2]]+Table1[[#This Row],[Estimated LDL (mg/dL)2]])*5</f>
        <v>2505.9868875086268</v>
      </c>
      <c r="U724" s="8">
        <f>IF(O724="",Table1[[#This Row],[Estimated LDL (mg/dL)2]]+Table1[[#This Row],[HDL (mg/dL)2]]+(Table1[[#This Row],[Triglycerides]]/5),O724)</f>
        <v>273</v>
      </c>
      <c r="V724">
        <v>71</v>
      </c>
      <c r="W724" s="8">
        <f t="shared" si="164"/>
        <v>71</v>
      </c>
      <c r="X724" t="str">
        <f t="shared" si="165"/>
        <v>Normal</v>
      </c>
      <c r="Y724" t="s">
        <v>23</v>
      </c>
      <c r="Z724" t="s">
        <v>23</v>
      </c>
      <c r="AA724" t="s">
        <v>37</v>
      </c>
      <c r="AB724" s="3" t="s">
        <v>645</v>
      </c>
      <c r="AC724">
        <v>122</v>
      </c>
      <c r="AD724" s="3" t="str">
        <f t="shared" si="166"/>
        <v>122</v>
      </c>
      <c r="AE724">
        <v>73</v>
      </c>
      <c r="AF724" s="3" t="str">
        <f t="shared" si="167"/>
        <v>73</v>
      </c>
      <c r="AG724" t="s">
        <v>25</v>
      </c>
      <c r="AH724" s="3">
        <v>21.88</v>
      </c>
      <c r="AI724" s="3">
        <f t="shared" si="168"/>
        <v>21.88</v>
      </c>
      <c r="AJ724" t="s">
        <v>30</v>
      </c>
      <c r="AK724" t="str">
        <f>PROPER(Table1[[#This Row],[CVD Risk Level]])</f>
        <v>High</v>
      </c>
    </row>
    <row r="725" spans="1:37" x14ac:dyDescent="0.3">
      <c r="A725" t="s">
        <v>20</v>
      </c>
      <c r="B725">
        <v>43</v>
      </c>
      <c r="C725" s="8">
        <f t="shared" si="157"/>
        <v>43</v>
      </c>
      <c r="D725" s="5">
        <v>115.5</v>
      </c>
      <c r="E725" s="8">
        <f t="shared" si="158"/>
        <v>115.5</v>
      </c>
      <c r="F725">
        <v>1.88</v>
      </c>
      <c r="G725" s="3">
        <f t="shared" si="159"/>
        <v>1.88</v>
      </c>
      <c r="H725">
        <v>32.700000000000003</v>
      </c>
      <c r="I725" s="5">
        <f t="shared" si="155"/>
        <v>32.700000000000003</v>
      </c>
      <c r="J725" s="16" t="str">
        <f t="shared" si="160"/>
        <v>Obese</v>
      </c>
      <c r="K725">
        <v>74.5</v>
      </c>
      <c r="L725">
        <v>0.39600000000000002</v>
      </c>
      <c r="M725" s="11">
        <f t="shared" si="156"/>
        <v>0.39600000000000002</v>
      </c>
      <c r="N725" s="5">
        <f t="shared" si="161"/>
        <v>74.5</v>
      </c>
      <c r="O725">
        <v>232</v>
      </c>
      <c r="P725">
        <v>62</v>
      </c>
      <c r="Q725" s="8">
        <f t="shared" si="162"/>
        <v>62</v>
      </c>
      <c r="R725" s="8">
        <v>140</v>
      </c>
      <c r="S725" s="8">
        <f t="shared" si="163"/>
        <v>140</v>
      </c>
      <c r="T725" s="8">
        <f>(Table1[[#This Row],[Total Cholesterol (mg/dL)]]+Table1[[#This Row],[HDL (mg/dL)2]]+Table1[[#This Row],[Estimated LDL (mg/dL)2]])*5</f>
        <v>2170</v>
      </c>
      <c r="U725" s="8">
        <f>IF(O725="",Table1[[#This Row],[Estimated LDL (mg/dL)2]]+Table1[[#This Row],[HDL (mg/dL)2]]+(Table1[[#This Row],[Triglycerides]]/5),O725)</f>
        <v>232</v>
      </c>
      <c r="V725">
        <v>142</v>
      </c>
      <c r="W725" s="8">
        <f t="shared" si="164"/>
        <v>142</v>
      </c>
      <c r="X725" t="str">
        <f t="shared" si="165"/>
        <v>Diabetes</v>
      </c>
      <c r="Y725" t="s">
        <v>23</v>
      </c>
      <c r="Z725" t="s">
        <v>23</v>
      </c>
      <c r="AA725" t="s">
        <v>28</v>
      </c>
      <c r="AB725" s="3" t="s">
        <v>646</v>
      </c>
      <c r="AC725">
        <v>131</v>
      </c>
      <c r="AD725" s="3" t="str">
        <f t="shared" si="166"/>
        <v>131</v>
      </c>
      <c r="AE725">
        <v>68</v>
      </c>
      <c r="AF725" s="3" t="str">
        <f t="shared" si="167"/>
        <v>68</v>
      </c>
      <c r="AG725" t="s">
        <v>29</v>
      </c>
      <c r="AH725" s="3">
        <v>19.73</v>
      </c>
      <c r="AI725" s="3">
        <f t="shared" si="168"/>
        <v>19.73</v>
      </c>
      <c r="AJ725" t="s">
        <v>30</v>
      </c>
      <c r="AK725" t="str">
        <f>PROPER(Table1[[#This Row],[CVD Risk Level]])</f>
        <v>High</v>
      </c>
    </row>
    <row r="726" spans="1:37" x14ac:dyDescent="0.3">
      <c r="A726" t="s">
        <v>31</v>
      </c>
      <c r="B726">
        <v>49</v>
      </c>
      <c r="C726" s="8">
        <f t="shared" si="157"/>
        <v>49</v>
      </c>
      <c r="D726" s="5">
        <v>68.2</v>
      </c>
      <c r="E726" s="8">
        <f t="shared" si="158"/>
        <v>68.2</v>
      </c>
      <c r="F726">
        <v>1.87</v>
      </c>
      <c r="G726" s="3">
        <f t="shared" si="159"/>
        <v>1.87</v>
      </c>
      <c r="H726">
        <v>19.5</v>
      </c>
      <c r="I726" s="5">
        <f t="shared" si="155"/>
        <v>19.5</v>
      </c>
      <c r="J726" s="16" t="str">
        <f t="shared" si="160"/>
        <v>Normal</v>
      </c>
      <c r="K726">
        <v>79.3</v>
      </c>
      <c r="L726">
        <v>0.42399999999999999</v>
      </c>
      <c r="M726" s="11">
        <f t="shared" si="156"/>
        <v>0.42399999999999999</v>
      </c>
      <c r="N726" s="5">
        <f t="shared" si="161"/>
        <v>79.3</v>
      </c>
      <c r="O726">
        <v>175</v>
      </c>
      <c r="P726">
        <v>56</v>
      </c>
      <c r="Q726" s="8">
        <f t="shared" si="162"/>
        <v>56</v>
      </c>
      <c r="R726" s="8">
        <v>89</v>
      </c>
      <c r="S726" s="8">
        <f t="shared" si="163"/>
        <v>89</v>
      </c>
      <c r="T726" s="8">
        <f>(Table1[[#This Row],[Total Cholesterol (mg/dL)]]+Table1[[#This Row],[HDL (mg/dL)2]]+Table1[[#This Row],[Estimated LDL (mg/dL)2]])*5</f>
        <v>1600</v>
      </c>
      <c r="U726" s="8">
        <f>IF(O726="",Table1[[#This Row],[Estimated LDL (mg/dL)2]]+Table1[[#This Row],[HDL (mg/dL)2]]+(Table1[[#This Row],[Triglycerides]]/5),O726)</f>
        <v>175</v>
      </c>
      <c r="V726">
        <v>139</v>
      </c>
      <c r="W726" s="8">
        <f t="shared" si="164"/>
        <v>139</v>
      </c>
      <c r="X726" t="str">
        <f t="shared" si="165"/>
        <v>Diabetes</v>
      </c>
      <c r="Y726" t="s">
        <v>22</v>
      </c>
      <c r="Z726" t="s">
        <v>22</v>
      </c>
      <c r="AA726" t="s">
        <v>37</v>
      </c>
      <c r="AB726" s="3" t="s">
        <v>647</v>
      </c>
      <c r="AC726">
        <v>107</v>
      </c>
      <c r="AD726" s="3" t="str">
        <f t="shared" si="166"/>
        <v>107</v>
      </c>
      <c r="AE726">
        <v>100</v>
      </c>
      <c r="AF726" s="3" t="str">
        <f t="shared" si="167"/>
        <v>100</v>
      </c>
      <c r="AG726" t="s">
        <v>38</v>
      </c>
      <c r="AH726" s="3">
        <v>12.75</v>
      </c>
      <c r="AI726" s="3">
        <f t="shared" si="168"/>
        <v>12.75</v>
      </c>
      <c r="AJ726" t="s">
        <v>26</v>
      </c>
      <c r="AK726" t="str">
        <f>PROPER(Table1[[#This Row],[CVD Risk Level]])</f>
        <v>Intermediary</v>
      </c>
    </row>
    <row r="727" spans="1:37" x14ac:dyDescent="0.3">
      <c r="A727" t="s">
        <v>31</v>
      </c>
      <c r="B727">
        <v>60</v>
      </c>
      <c r="C727" s="8">
        <f t="shared" si="157"/>
        <v>60</v>
      </c>
      <c r="D727" s="5">
        <v>113.3</v>
      </c>
      <c r="E727" s="8">
        <f t="shared" si="158"/>
        <v>113.3</v>
      </c>
      <c r="F727">
        <v>1.81</v>
      </c>
      <c r="G727" s="3">
        <f t="shared" si="159"/>
        <v>1.81</v>
      </c>
      <c r="H727">
        <v>34.6</v>
      </c>
      <c r="I727" s="5">
        <f t="shared" si="155"/>
        <v>34.6</v>
      </c>
      <c r="J727" s="16" t="str">
        <f t="shared" si="160"/>
        <v>Obese</v>
      </c>
      <c r="K727">
        <v>83.7</v>
      </c>
      <c r="L727">
        <v>0.46200000000000002</v>
      </c>
      <c r="M727" s="11">
        <f t="shared" si="156"/>
        <v>0.46200000000000002</v>
      </c>
      <c r="N727" s="5">
        <f t="shared" si="161"/>
        <v>83.7</v>
      </c>
      <c r="O727">
        <v>177</v>
      </c>
      <c r="P727">
        <v>44</v>
      </c>
      <c r="Q727" s="8">
        <f t="shared" si="162"/>
        <v>44</v>
      </c>
      <c r="R727" s="8">
        <v>103</v>
      </c>
      <c r="S727" s="8">
        <f t="shared" si="163"/>
        <v>103</v>
      </c>
      <c r="T727" s="8">
        <f>(Table1[[#This Row],[Total Cholesterol (mg/dL)]]+Table1[[#This Row],[HDL (mg/dL)2]]+Table1[[#This Row],[Estimated LDL (mg/dL)2]])*5</f>
        <v>1620</v>
      </c>
      <c r="U727" s="8">
        <f>IF(O727="",Table1[[#This Row],[Estimated LDL (mg/dL)2]]+Table1[[#This Row],[HDL (mg/dL)2]]+(Table1[[#This Row],[Triglycerides]]/5),O727)</f>
        <v>177</v>
      </c>
      <c r="V727">
        <v>74</v>
      </c>
      <c r="W727" s="8">
        <f t="shared" si="164"/>
        <v>74</v>
      </c>
      <c r="X727" t="str">
        <f t="shared" si="165"/>
        <v>Normal</v>
      </c>
      <c r="Y727" t="s">
        <v>22</v>
      </c>
      <c r="Z727" t="s">
        <v>23</v>
      </c>
      <c r="AA727" t="s">
        <v>37</v>
      </c>
      <c r="AB727" s="3" t="s">
        <v>648</v>
      </c>
      <c r="AD727" s="3" t="str">
        <f t="shared" si="166"/>
        <v>95</v>
      </c>
      <c r="AE727">
        <v>82</v>
      </c>
      <c r="AF727" s="3" t="str">
        <f t="shared" si="167"/>
        <v>82</v>
      </c>
      <c r="AG727" t="s">
        <v>29</v>
      </c>
      <c r="AH727" s="3">
        <v>17.21</v>
      </c>
      <c r="AI727" s="3">
        <f t="shared" si="168"/>
        <v>17.21</v>
      </c>
      <c r="AJ727" t="s">
        <v>26</v>
      </c>
      <c r="AK727" t="str">
        <f>PROPER(Table1[[#This Row],[CVD Risk Level]])</f>
        <v>Intermediary</v>
      </c>
    </row>
    <row r="728" spans="1:37" x14ac:dyDescent="0.3">
      <c r="A728" t="s">
        <v>20</v>
      </c>
      <c r="B728">
        <v>34</v>
      </c>
      <c r="C728" s="8">
        <f t="shared" si="157"/>
        <v>34</v>
      </c>
      <c r="D728" s="5">
        <v>67.2</v>
      </c>
      <c r="E728" s="8">
        <f t="shared" si="158"/>
        <v>67.2</v>
      </c>
      <c r="F728">
        <v>1.82</v>
      </c>
      <c r="G728" s="3">
        <f t="shared" si="159"/>
        <v>1.82</v>
      </c>
      <c r="H728">
        <v>20.3</v>
      </c>
      <c r="I728" s="5">
        <f t="shared" si="155"/>
        <v>20.3</v>
      </c>
      <c r="J728" s="16" t="str">
        <f t="shared" si="160"/>
        <v>Normal</v>
      </c>
      <c r="K728">
        <v>109.5</v>
      </c>
      <c r="L728">
        <v>0.60199999999999998</v>
      </c>
      <c r="M728" s="11">
        <f t="shared" si="156"/>
        <v>0.60199999999999998</v>
      </c>
      <c r="N728" s="5">
        <f t="shared" si="161"/>
        <v>109.5</v>
      </c>
      <c r="O728">
        <v>290</v>
      </c>
      <c r="P728">
        <v>66</v>
      </c>
      <c r="Q728" s="8">
        <f t="shared" si="162"/>
        <v>66</v>
      </c>
      <c r="R728" s="8">
        <v>194</v>
      </c>
      <c r="S728" s="8">
        <f t="shared" si="163"/>
        <v>194</v>
      </c>
      <c r="T728" s="8">
        <f>(Table1[[#This Row],[Total Cholesterol (mg/dL)]]+Table1[[#This Row],[HDL (mg/dL)2]]+Table1[[#This Row],[Estimated LDL (mg/dL)2]])*5</f>
        <v>2750</v>
      </c>
      <c r="U728" s="8">
        <f>IF(O728="",Table1[[#This Row],[Estimated LDL (mg/dL)2]]+Table1[[#This Row],[HDL (mg/dL)2]]+(Table1[[#This Row],[Triglycerides]]/5),O728)</f>
        <v>290</v>
      </c>
      <c r="V728">
        <v>96</v>
      </c>
      <c r="W728" s="8">
        <f t="shared" si="164"/>
        <v>96</v>
      </c>
      <c r="X728" t="str">
        <f t="shared" si="165"/>
        <v>Normal</v>
      </c>
      <c r="Y728" t="s">
        <v>23</v>
      </c>
      <c r="Z728" t="s">
        <v>23</v>
      </c>
      <c r="AA728" t="s">
        <v>37</v>
      </c>
      <c r="AB728" s="3" t="s">
        <v>649</v>
      </c>
      <c r="AC728">
        <v>96</v>
      </c>
      <c r="AD728" s="3" t="str">
        <f t="shared" si="166"/>
        <v>96</v>
      </c>
      <c r="AE728">
        <v>60</v>
      </c>
      <c r="AF728" s="3" t="str">
        <f t="shared" si="167"/>
        <v>60</v>
      </c>
      <c r="AG728" t="s">
        <v>33</v>
      </c>
      <c r="AH728" s="3">
        <v>16.66</v>
      </c>
      <c r="AI728" s="3">
        <f t="shared" si="168"/>
        <v>16.66</v>
      </c>
      <c r="AJ728" t="s">
        <v>26</v>
      </c>
      <c r="AK728" t="str">
        <f>PROPER(Table1[[#This Row],[CVD Risk Level]])</f>
        <v>Intermediary</v>
      </c>
    </row>
    <row r="729" spans="1:37" x14ac:dyDescent="0.3">
      <c r="A729" t="s">
        <v>31</v>
      </c>
      <c r="B729">
        <v>30</v>
      </c>
      <c r="C729" s="8">
        <f t="shared" si="157"/>
        <v>30</v>
      </c>
      <c r="D729" s="5">
        <v>78</v>
      </c>
      <c r="E729" s="8">
        <f t="shared" si="158"/>
        <v>78</v>
      </c>
      <c r="F729">
        <v>1.71</v>
      </c>
      <c r="G729" s="3">
        <f t="shared" si="159"/>
        <v>1.71</v>
      </c>
      <c r="H729">
        <v>26.7</v>
      </c>
      <c r="I729" s="5">
        <f t="shared" si="155"/>
        <v>26.7</v>
      </c>
      <c r="J729" s="16" t="str">
        <f t="shared" si="160"/>
        <v>Overweight</v>
      </c>
      <c r="K729">
        <v>102.1</v>
      </c>
      <c r="L729">
        <v>0.59699999999999998</v>
      </c>
      <c r="M729" s="11">
        <f t="shared" si="156"/>
        <v>0.59699999999999998</v>
      </c>
      <c r="N729" s="5">
        <f t="shared" si="161"/>
        <v>102.1</v>
      </c>
      <c r="O729">
        <v>275</v>
      </c>
      <c r="Q729" s="8">
        <f t="shared" si="162"/>
        <v>56.197377501725327</v>
      </c>
      <c r="R729" s="8">
        <v>168</v>
      </c>
      <c r="S729" s="8">
        <f>IF(R729&lt;=0,MEDIAN($R$2:$R$1530),R729)</f>
        <v>168</v>
      </c>
      <c r="T729" s="8">
        <f>(Table1[[#This Row],[Total Cholesterol (mg/dL)]]+Table1[[#This Row],[HDL (mg/dL)2]]+Table1[[#This Row],[Estimated LDL (mg/dL)2]])*5</f>
        <v>2495.9868875086268</v>
      </c>
      <c r="U729" s="8">
        <f>IF(O729="",Table1[[#This Row],[Estimated LDL (mg/dL)2]]+Table1[[#This Row],[HDL (mg/dL)2]]+(Table1[[#This Row],[Triglycerides]]/5),O729)</f>
        <v>275</v>
      </c>
      <c r="V729">
        <v>108</v>
      </c>
      <c r="W729" s="8">
        <f t="shared" si="164"/>
        <v>108</v>
      </c>
      <c r="X729" t="str">
        <f t="shared" si="165"/>
        <v>Prediabetes</v>
      </c>
      <c r="Y729" t="s">
        <v>22</v>
      </c>
      <c r="Z729" t="s">
        <v>22</v>
      </c>
      <c r="AA729" t="s">
        <v>28</v>
      </c>
      <c r="AB729" s="3" t="s">
        <v>645</v>
      </c>
      <c r="AC729">
        <v>122</v>
      </c>
      <c r="AD729" s="3" t="str">
        <f t="shared" si="166"/>
        <v>122</v>
      </c>
      <c r="AE729">
        <v>73</v>
      </c>
      <c r="AF729" s="3" t="str">
        <f t="shared" si="167"/>
        <v>73</v>
      </c>
      <c r="AG729" t="s">
        <v>25</v>
      </c>
      <c r="AH729" s="3">
        <v>16.940000000000001</v>
      </c>
      <c r="AI729" s="3">
        <f t="shared" si="168"/>
        <v>16.940000000000001</v>
      </c>
      <c r="AJ729" t="s">
        <v>26</v>
      </c>
      <c r="AK729" t="str">
        <f>PROPER(Table1[[#This Row],[CVD Risk Level]])</f>
        <v>Intermediary</v>
      </c>
    </row>
    <row r="730" spans="1:37" x14ac:dyDescent="0.3">
      <c r="A730" t="s">
        <v>31</v>
      </c>
      <c r="B730">
        <v>42</v>
      </c>
      <c r="C730" s="8">
        <f t="shared" si="157"/>
        <v>42</v>
      </c>
      <c r="D730" s="5">
        <v>115.8</v>
      </c>
      <c r="E730" s="8">
        <f t="shared" si="158"/>
        <v>115.8</v>
      </c>
      <c r="F730">
        <v>1.74</v>
      </c>
      <c r="G730" s="3">
        <f t="shared" si="159"/>
        <v>1.74</v>
      </c>
      <c r="H730">
        <v>38.200000000000003</v>
      </c>
      <c r="I730" s="5">
        <f t="shared" si="155"/>
        <v>38.200000000000003</v>
      </c>
      <c r="J730" s="16" t="str">
        <f t="shared" si="160"/>
        <v>Obese</v>
      </c>
      <c r="K730">
        <v>88.8</v>
      </c>
      <c r="L730">
        <v>0.51</v>
      </c>
      <c r="M730" s="11">
        <f t="shared" si="156"/>
        <v>0.51</v>
      </c>
      <c r="N730" s="5">
        <f t="shared" si="161"/>
        <v>88.8</v>
      </c>
      <c r="O730">
        <v>249</v>
      </c>
      <c r="P730">
        <v>66</v>
      </c>
      <c r="Q730" s="8">
        <f t="shared" si="162"/>
        <v>66</v>
      </c>
      <c r="R730" s="8">
        <v>153</v>
      </c>
      <c r="S730" s="8">
        <f t="shared" si="163"/>
        <v>153</v>
      </c>
      <c r="T730" s="8">
        <f>(Table1[[#This Row],[Total Cholesterol (mg/dL)]]+Table1[[#This Row],[HDL (mg/dL)2]]+Table1[[#This Row],[Estimated LDL (mg/dL)2]])*5</f>
        <v>2340</v>
      </c>
      <c r="U730" s="8">
        <f>IF(O730="",Table1[[#This Row],[Estimated LDL (mg/dL)2]]+Table1[[#This Row],[HDL (mg/dL)2]]+(Table1[[#This Row],[Triglycerides]]/5),O730)</f>
        <v>249</v>
      </c>
      <c r="V730">
        <v>92</v>
      </c>
      <c r="W730" s="8">
        <f t="shared" si="164"/>
        <v>92</v>
      </c>
      <c r="X730" t="str">
        <f t="shared" si="165"/>
        <v>Normal</v>
      </c>
      <c r="Y730" t="s">
        <v>23</v>
      </c>
      <c r="Z730" t="s">
        <v>23</v>
      </c>
      <c r="AA730" t="s">
        <v>37</v>
      </c>
      <c r="AB730" s="3" t="s">
        <v>650</v>
      </c>
      <c r="AC730">
        <v>143</v>
      </c>
      <c r="AD730" s="3" t="str">
        <f t="shared" si="166"/>
        <v>143</v>
      </c>
      <c r="AE730">
        <v>82</v>
      </c>
      <c r="AF730" s="3" t="str">
        <f t="shared" si="167"/>
        <v>82</v>
      </c>
      <c r="AG730" t="s">
        <v>29</v>
      </c>
      <c r="AH730" s="3">
        <v>21.77</v>
      </c>
      <c r="AI730" s="3">
        <f t="shared" si="168"/>
        <v>21.77</v>
      </c>
      <c r="AJ730" t="s">
        <v>30</v>
      </c>
      <c r="AK730" t="str">
        <f>PROPER(Table1[[#This Row],[CVD Risk Level]])</f>
        <v>High</v>
      </c>
    </row>
    <row r="731" spans="1:37" x14ac:dyDescent="0.3">
      <c r="A731" t="s">
        <v>31</v>
      </c>
      <c r="B731">
        <v>37</v>
      </c>
      <c r="C731" s="8">
        <f t="shared" si="157"/>
        <v>37</v>
      </c>
      <c r="D731" s="5">
        <v>112.7</v>
      </c>
      <c r="E731" s="8">
        <f t="shared" si="158"/>
        <v>112.7</v>
      </c>
      <c r="F731">
        <v>1.64</v>
      </c>
      <c r="G731" s="3">
        <f t="shared" si="159"/>
        <v>1.64</v>
      </c>
      <c r="H731">
        <v>41.9</v>
      </c>
      <c r="I731" s="5">
        <f t="shared" si="155"/>
        <v>41.9</v>
      </c>
      <c r="J731" s="16" t="str">
        <f t="shared" si="160"/>
        <v>Obese</v>
      </c>
      <c r="K731">
        <v>76.099999999999994</v>
      </c>
      <c r="L731">
        <v>0.46400000000000002</v>
      </c>
      <c r="M731" s="11">
        <f t="shared" si="156"/>
        <v>0.46400000000000002</v>
      </c>
      <c r="N731" s="5">
        <f t="shared" si="161"/>
        <v>76.099999999999994</v>
      </c>
      <c r="O731">
        <v>189</v>
      </c>
      <c r="P731">
        <v>68</v>
      </c>
      <c r="Q731" s="8">
        <f t="shared" si="162"/>
        <v>68</v>
      </c>
      <c r="R731" s="8">
        <v>91</v>
      </c>
      <c r="S731" s="8">
        <f t="shared" si="163"/>
        <v>91</v>
      </c>
      <c r="T731" s="8">
        <f>(Table1[[#This Row],[Total Cholesterol (mg/dL)]]+Table1[[#This Row],[HDL (mg/dL)2]]+Table1[[#This Row],[Estimated LDL (mg/dL)2]])*5</f>
        <v>1740</v>
      </c>
      <c r="U731" s="8">
        <f>IF(O731="",Table1[[#This Row],[Estimated LDL (mg/dL)2]]+Table1[[#This Row],[HDL (mg/dL)2]]+(Table1[[#This Row],[Triglycerides]]/5),O731)</f>
        <v>189</v>
      </c>
      <c r="V731">
        <v>111</v>
      </c>
      <c r="W731" s="8">
        <f t="shared" si="164"/>
        <v>111</v>
      </c>
      <c r="X731" t="str">
        <f t="shared" si="165"/>
        <v>Prediabetes</v>
      </c>
      <c r="Y731" t="s">
        <v>23</v>
      </c>
      <c r="Z731" t="s">
        <v>23</v>
      </c>
      <c r="AA731" t="s">
        <v>28</v>
      </c>
      <c r="AB731" s="3" t="s">
        <v>651</v>
      </c>
      <c r="AC731">
        <v>98</v>
      </c>
      <c r="AD731" s="3" t="str">
        <f t="shared" si="166"/>
        <v>98</v>
      </c>
      <c r="AE731">
        <v>92</v>
      </c>
      <c r="AF731" s="3" t="str">
        <f t="shared" si="167"/>
        <v>92</v>
      </c>
      <c r="AG731" t="s">
        <v>38</v>
      </c>
      <c r="AH731" s="3">
        <v>19.059999999999999</v>
      </c>
      <c r="AI731" s="3">
        <f t="shared" si="168"/>
        <v>19.059999999999999</v>
      </c>
      <c r="AJ731" t="s">
        <v>30</v>
      </c>
      <c r="AK731" t="str">
        <f>PROPER(Table1[[#This Row],[CVD Risk Level]])</f>
        <v>High</v>
      </c>
    </row>
    <row r="732" spans="1:37" x14ac:dyDescent="0.3">
      <c r="A732" t="s">
        <v>31</v>
      </c>
      <c r="B732">
        <v>48</v>
      </c>
      <c r="C732" s="8">
        <f t="shared" si="157"/>
        <v>48</v>
      </c>
      <c r="D732" s="5">
        <v>117.8</v>
      </c>
      <c r="E732" s="8">
        <f t="shared" si="158"/>
        <v>117.8</v>
      </c>
      <c r="F732">
        <v>1.85</v>
      </c>
      <c r="G732" s="3">
        <f t="shared" si="159"/>
        <v>1.85</v>
      </c>
      <c r="H732">
        <v>34.4</v>
      </c>
      <c r="I732" s="5">
        <f t="shared" si="155"/>
        <v>34.4</v>
      </c>
      <c r="J732" s="16" t="str">
        <f t="shared" si="160"/>
        <v>Obese</v>
      </c>
      <c r="K732">
        <v>93.3</v>
      </c>
      <c r="L732">
        <v>0.504</v>
      </c>
      <c r="M732" s="11">
        <f t="shared" si="156"/>
        <v>0.504</v>
      </c>
      <c r="N732" s="5">
        <f t="shared" si="161"/>
        <v>93.3</v>
      </c>
      <c r="O732">
        <v>141</v>
      </c>
      <c r="P732">
        <v>42</v>
      </c>
      <c r="Q732" s="8">
        <f t="shared" si="162"/>
        <v>42</v>
      </c>
      <c r="S732" s="8">
        <f t="shared" si="163"/>
        <v>109</v>
      </c>
      <c r="T732" s="8">
        <f>(Table1[[#This Row],[Total Cholesterol (mg/dL)]]+Table1[[#This Row],[HDL (mg/dL)2]]+Table1[[#This Row],[Estimated LDL (mg/dL)2]])*5</f>
        <v>1460</v>
      </c>
      <c r="U732" s="8">
        <f>IF(O732="",Table1[[#This Row],[Estimated LDL (mg/dL)2]]+Table1[[#This Row],[HDL (mg/dL)2]]+(Table1[[#This Row],[Triglycerides]]/5),O732)</f>
        <v>141</v>
      </c>
      <c r="V732">
        <v>106</v>
      </c>
      <c r="W732" s="8">
        <f t="shared" si="164"/>
        <v>106</v>
      </c>
      <c r="X732" t="str">
        <f t="shared" si="165"/>
        <v>Prediabetes</v>
      </c>
      <c r="Y732" t="s">
        <v>22</v>
      </c>
      <c r="Z732" t="s">
        <v>22</v>
      </c>
      <c r="AA732" t="s">
        <v>24</v>
      </c>
      <c r="AB732" s="3" t="s">
        <v>652</v>
      </c>
      <c r="AD732" s="3" t="str">
        <f t="shared" si="166"/>
        <v>110</v>
      </c>
      <c r="AE732">
        <v>76</v>
      </c>
      <c r="AF732" s="3" t="str">
        <f t="shared" si="167"/>
        <v>76</v>
      </c>
      <c r="AG732" t="s">
        <v>33</v>
      </c>
      <c r="AH732" s="3">
        <v>15.2</v>
      </c>
      <c r="AI732" s="3">
        <f t="shared" si="168"/>
        <v>15.2</v>
      </c>
      <c r="AJ732" t="s">
        <v>26</v>
      </c>
      <c r="AK732" t="str">
        <f>PROPER(Table1[[#This Row],[CVD Risk Level]])</f>
        <v>Intermediary</v>
      </c>
    </row>
    <row r="733" spans="1:37" x14ac:dyDescent="0.3">
      <c r="A733" t="s">
        <v>20</v>
      </c>
      <c r="B733">
        <v>60</v>
      </c>
      <c r="C733" s="8">
        <f t="shared" si="157"/>
        <v>60</v>
      </c>
      <c r="D733" s="5">
        <v>116.2</v>
      </c>
      <c r="E733" s="8">
        <f t="shared" si="158"/>
        <v>116.2</v>
      </c>
      <c r="G733" s="3">
        <f t="shared" si="159"/>
        <v>1.7793854371832836</v>
      </c>
      <c r="H733">
        <v>36.700000000000003</v>
      </c>
      <c r="I733" s="5">
        <f t="shared" si="155"/>
        <v>36.700000000000003</v>
      </c>
      <c r="J733" s="16" t="str">
        <f t="shared" si="160"/>
        <v>Obese</v>
      </c>
      <c r="K733">
        <v>97.8</v>
      </c>
      <c r="L733">
        <v>0.54900000000000004</v>
      </c>
      <c r="M733" s="11">
        <f t="shared" si="156"/>
        <v>0.54900000000000004</v>
      </c>
      <c r="N733" s="5">
        <f t="shared" si="161"/>
        <v>97.8</v>
      </c>
      <c r="O733">
        <v>188</v>
      </c>
      <c r="P733">
        <v>52</v>
      </c>
      <c r="Q733" s="8">
        <f t="shared" si="162"/>
        <v>52</v>
      </c>
      <c r="R733" s="8">
        <v>106</v>
      </c>
      <c r="S733" s="8">
        <f t="shared" si="163"/>
        <v>106</v>
      </c>
      <c r="T733" s="8">
        <f>(Table1[[#This Row],[Total Cholesterol (mg/dL)]]+Table1[[#This Row],[HDL (mg/dL)2]]+Table1[[#This Row],[Estimated LDL (mg/dL)2]])*5</f>
        <v>1730</v>
      </c>
      <c r="U733" s="8">
        <f>IF(O733="",Table1[[#This Row],[Estimated LDL (mg/dL)2]]+Table1[[#This Row],[HDL (mg/dL)2]]+(Table1[[#This Row],[Triglycerides]]/5),O733)</f>
        <v>188</v>
      </c>
      <c r="V733">
        <v>97</v>
      </c>
      <c r="W733" s="8">
        <f t="shared" si="164"/>
        <v>97</v>
      </c>
      <c r="X733" t="str">
        <f t="shared" si="165"/>
        <v>Normal</v>
      </c>
      <c r="Y733" t="s">
        <v>23</v>
      </c>
      <c r="Z733" t="s">
        <v>22</v>
      </c>
      <c r="AA733" t="s">
        <v>37</v>
      </c>
      <c r="AB733" s="3" t="s">
        <v>653</v>
      </c>
      <c r="AC733">
        <v>112</v>
      </c>
      <c r="AD733" s="3" t="str">
        <f t="shared" si="166"/>
        <v>112</v>
      </c>
      <c r="AE733">
        <v>80</v>
      </c>
      <c r="AF733" s="3" t="str">
        <f t="shared" si="167"/>
        <v>80</v>
      </c>
      <c r="AG733" t="s">
        <v>29</v>
      </c>
      <c r="AH733" s="3">
        <v>16.7</v>
      </c>
      <c r="AI733" s="3">
        <f t="shared" si="168"/>
        <v>16.7</v>
      </c>
      <c r="AJ733" t="s">
        <v>26</v>
      </c>
      <c r="AK733" t="str">
        <f>PROPER(Table1[[#This Row],[CVD Risk Level]])</f>
        <v>Intermediary</v>
      </c>
    </row>
    <row r="734" spans="1:37" x14ac:dyDescent="0.3">
      <c r="A734" t="s">
        <v>31</v>
      </c>
      <c r="B734">
        <v>44</v>
      </c>
      <c r="C734" s="8">
        <f t="shared" si="157"/>
        <v>44</v>
      </c>
      <c r="D734" s="5">
        <v>97.8</v>
      </c>
      <c r="E734" s="8">
        <f t="shared" si="158"/>
        <v>97.8</v>
      </c>
      <c r="F734">
        <v>1.89</v>
      </c>
      <c r="G734" s="3">
        <f t="shared" si="159"/>
        <v>1.89</v>
      </c>
      <c r="H734">
        <v>27.4</v>
      </c>
      <c r="I734" s="5">
        <f t="shared" si="155"/>
        <v>27.4</v>
      </c>
      <c r="J734" s="16" t="str">
        <f t="shared" si="160"/>
        <v>Overweight</v>
      </c>
      <c r="K734">
        <v>91.9</v>
      </c>
      <c r="L734">
        <v>0.48599999999999999</v>
      </c>
      <c r="M734" s="11">
        <f t="shared" si="156"/>
        <v>0.48599999999999999</v>
      </c>
      <c r="N734" s="5">
        <f t="shared" si="161"/>
        <v>91.9</v>
      </c>
      <c r="O734">
        <v>166</v>
      </c>
      <c r="P734">
        <v>61</v>
      </c>
      <c r="Q734" s="8">
        <f t="shared" si="162"/>
        <v>61</v>
      </c>
      <c r="R734" s="8">
        <v>75</v>
      </c>
      <c r="S734" s="8">
        <f t="shared" si="163"/>
        <v>75</v>
      </c>
      <c r="T734" s="8">
        <f>(Table1[[#This Row],[Total Cholesterol (mg/dL)]]+Table1[[#This Row],[HDL (mg/dL)2]]+Table1[[#This Row],[Estimated LDL (mg/dL)2]])*5</f>
        <v>1510</v>
      </c>
      <c r="U734" s="8">
        <f>IF(O734="",Table1[[#This Row],[Estimated LDL (mg/dL)2]]+Table1[[#This Row],[HDL (mg/dL)2]]+(Table1[[#This Row],[Triglycerides]]/5),O734)</f>
        <v>166</v>
      </c>
      <c r="V734">
        <v>143</v>
      </c>
      <c r="W734" s="8">
        <f t="shared" si="164"/>
        <v>143</v>
      </c>
      <c r="X734" t="str">
        <f t="shared" si="165"/>
        <v>Diabetes</v>
      </c>
      <c r="Y734" t="s">
        <v>23</v>
      </c>
      <c r="Z734" t="s">
        <v>23</v>
      </c>
      <c r="AA734" t="s">
        <v>37</v>
      </c>
      <c r="AB734" s="3" t="s">
        <v>446</v>
      </c>
      <c r="AC734">
        <v>129</v>
      </c>
      <c r="AD734" s="3" t="str">
        <f t="shared" si="166"/>
        <v>129</v>
      </c>
      <c r="AE734">
        <v>61</v>
      </c>
      <c r="AF734" s="3" t="str">
        <f t="shared" si="167"/>
        <v>61</v>
      </c>
      <c r="AG734" t="s">
        <v>25</v>
      </c>
      <c r="AH734" s="3">
        <v>17.25</v>
      </c>
      <c r="AI734" s="3">
        <f t="shared" si="168"/>
        <v>17.25</v>
      </c>
      <c r="AJ734" t="s">
        <v>30</v>
      </c>
      <c r="AK734" t="str">
        <f>PROPER(Table1[[#This Row],[CVD Risk Level]])</f>
        <v>High</v>
      </c>
    </row>
    <row r="735" spans="1:37" x14ac:dyDescent="0.3">
      <c r="A735" t="s">
        <v>20</v>
      </c>
      <c r="B735">
        <v>58</v>
      </c>
      <c r="C735" s="8">
        <f t="shared" si="157"/>
        <v>58</v>
      </c>
      <c r="D735" s="5">
        <v>115</v>
      </c>
      <c r="E735" s="8">
        <f t="shared" si="158"/>
        <v>115</v>
      </c>
      <c r="F735">
        <v>1.81</v>
      </c>
      <c r="G735" s="3">
        <f t="shared" si="159"/>
        <v>1.81</v>
      </c>
      <c r="H735">
        <v>35.1</v>
      </c>
      <c r="I735" s="5">
        <f t="shared" si="155"/>
        <v>35.1</v>
      </c>
      <c r="J735" s="16" t="str">
        <f t="shared" si="160"/>
        <v>Obese</v>
      </c>
      <c r="K735">
        <v>107.1</v>
      </c>
      <c r="L735">
        <v>0.59199999999999997</v>
      </c>
      <c r="M735" s="11">
        <f t="shared" si="156"/>
        <v>0.59199999999999997</v>
      </c>
      <c r="N735" s="5">
        <f t="shared" si="161"/>
        <v>107.1</v>
      </c>
      <c r="O735">
        <v>293</v>
      </c>
      <c r="P735">
        <v>68</v>
      </c>
      <c r="Q735" s="8">
        <f t="shared" si="162"/>
        <v>68</v>
      </c>
      <c r="R735" s="8">
        <v>195</v>
      </c>
      <c r="S735" s="8">
        <f t="shared" si="163"/>
        <v>195</v>
      </c>
      <c r="T735" s="8">
        <f>(Table1[[#This Row],[Total Cholesterol (mg/dL)]]+Table1[[#This Row],[HDL (mg/dL)2]]+Table1[[#This Row],[Estimated LDL (mg/dL)2]])*5</f>
        <v>2780</v>
      </c>
      <c r="U735" s="8">
        <f>IF(O735="",Table1[[#This Row],[Estimated LDL (mg/dL)2]]+Table1[[#This Row],[HDL (mg/dL)2]]+(Table1[[#This Row],[Triglycerides]]/5),O735)</f>
        <v>293</v>
      </c>
      <c r="V735">
        <v>124</v>
      </c>
      <c r="W735" s="8">
        <f t="shared" si="164"/>
        <v>124</v>
      </c>
      <c r="X735" t="str">
        <f t="shared" si="165"/>
        <v>Prediabetes</v>
      </c>
      <c r="Y735" t="s">
        <v>23</v>
      </c>
      <c r="Z735" t="s">
        <v>23</v>
      </c>
      <c r="AA735" t="s">
        <v>24</v>
      </c>
      <c r="AB735" s="3" t="s">
        <v>228</v>
      </c>
      <c r="AC735">
        <v>139</v>
      </c>
      <c r="AD735" s="3" t="str">
        <f t="shared" si="166"/>
        <v>139</v>
      </c>
      <c r="AF735" s="3" t="str">
        <f t="shared" si="167"/>
        <v>76</v>
      </c>
      <c r="AG735" t="s">
        <v>29</v>
      </c>
      <c r="AH735" s="3">
        <v>21.83</v>
      </c>
      <c r="AI735" s="3">
        <f t="shared" si="168"/>
        <v>21.83</v>
      </c>
      <c r="AJ735" t="s">
        <v>30</v>
      </c>
      <c r="AK735" t="str">
        <f>PROPER(Table1[[#This Row],[CVD Risk Level]])</f>
        <v>High</v>
      </c>
    </row>
    <row r="736" spans="1:37" x14ac:dyDescent="0.3">
      <c r="A736" t="s">
        <v>31</v>
      </c>
      <c r="B736">
        <v>60</v>
      </c>
      <c r="C736" s="8">
        <f t="shared" si="157"/>
        <v>60</v>
      </c>
      <c r="D736" s="5">
        <v>78.599999999999994</v>
      </c>
      <c r="E736" s="8">
        <f t="shared" si="158"/>
        <v>78.599999999999994</v>
      </c>
      <c r="F736">
        <v>1.8</v>
      </c>
      <c r="G736" s="3">
        <f t="shared" si="159"/>
        <v>1.8</v>
      </c>
      <c r="H736">
        <v>24.3</v>
      </c>
      <c r="I736" s="5">
        <f t="shared" si="155"/>
        <v>24.3</v>
      </c>
      <c r="J736" s="16" t="str">
        <f t="shared" si="160"/>
        <v>Normal</v>
      </c>
      <c r="K736">
        <v>105.7</v>
      </c>
      <c r="L736">
        <v>0.58699999999999997</v>
      </c>
      <c r="M736" s="11">
        <f t="shared" si="156"/>
        <v>0.58699999999999997</v>
      </c>
      <c r="N736" s="5">
        <f t="shared" si="161"/>
        <v>105.7</v>
      </c>
      <c r="O736">
        <v>141</v>
      </c>
      <c r="P736">
        <v>37</v>
      </c>
      <c r="Q736" s="8">
        <f t="shared" si="162"/>
        <v>37</v>
      </c>
      <c r="R736" s="8">
        <v>74</v>
      </c>
      <c r="S736" s="8">
        <f t="shared" si="163"/>
        <v>74</v>
      </c>
      <c r="T736" s="8">
        <f>(Table1[[#This Row],[Total Cholesterol (mg/dL)]]+Table1[[#This Row],[HDL (mg/dL)2]]+Table1[[#This Row],[Estimated LDL (mg/dL)2]])*5</f>
        <v>1260</v>
      </c>
      <c r="U736" s="8">
        <f>IF(O736="",Table1[[#This Row],[Estimated LDL (mg/dL)2]]+Table1[[#This Row],[HDL (mg/dL)2]]+(Table1[[#This Row],[Triglycerides]]/5),O736)</f>
        <v>141</v>
      </c>
      <c r="V736">
        <v>80</v>
      </c>
      <c r="W736" s="8">
        <f t="shared" si="164"/>
        <v>80</v>
      </c>
      <c r="X736" t="str">
        <f t="shared" si="165"/>
        <v>Normal</v>
      </c>
      <c r="Y736" t="s">
        <v>23</v>
      </c>
      <c r="Z736" t="s">
        <v>22</v>
      </c>
      <c r="AA736" t="s">
        <v>24</v>
      </c>
      <c r="AB736" s="3" t="s">
        <v>207</v>
      </c>
      <c r="AC736">
        <v>130</v>
      </c>
      <c r="AD736" s="3" t="str">
        <f t="shared" si="166"/>
        <v>130</v>
      </c>
      <c r="AE736">
        <v>71</v>
      </c>
      <c r="AF736" s="3" t="str">
        <f t="shared" si="167"/>
        <v>71</v>
      </c>
      <c r="AG736" t="s">
        <v>29</v>
      </c>
      <c r="AH736" s="3">
        <v>14.18</v>
      </c>
      <c r="AI736" s="3">
        <f t="shared" si="168"/>
        <v>14.18</v>
      </c>
      <c r="AJ736" t="s">
        <v>30</v>
      </c>
      <c r="AK736" t="str">
        <f>PROPER(Table1[[#This Row],[CVD Risk Level]])</f>
        <v>High</v>
      </c>
    </row>
    <row r="737" spans="1:37" x14ac:dyDescent="0.3">
      <c r="A737" t="s">
        <v>20</v>
      </c>
      <c r="B737">
        <v>46</v>
      </c>
      <c r="C737" s="8">
        <f t="shared" si="157"/>
        <v>46</v>
      </c>
      <c r="D737" s="5">
        <v>74.5</v>
      </c>
      <c r="E737" s="8">
        <f t="shared" si="158"/>
        <v>74.5</v>
      </c>
      <c r="F737">
        <v>1.81</v>
      </c>
      <c r="G737" s="3">
        <f t="shared" si="159"/>
        <v>1.81</v>
      </c>
      <c r="H737">
        <v>22.7</v>
      </c>
      <c r="I737" s="5">
        <f t="shared" si="155"/>
        <v>22.7</v>
      </c>
      <c r="J737" s="16" t="str">
        <f t="shared" si="160"/>
        <v>Normal</v>
      </c>
      <c r="K737">
        <v>79</v>
      </c>
      <c r="L737">
        <v>0.436</v>
      </c>
      <c r="M737" s="11">
        <f t="shared" si="156"/>
        <v>0.436</v>
      </c>
      <c r="N737" s="5">
        <f t="shared" si="161"/>
        <v>79</v>
      </c>
      <c r="O737">
        <v>231</v>
      </c>
      <c r="Q737" s="8">
        <f t="shared" si="162"/>
        <v>56.197377501725327</v>
      </c>
      <c r="R737" s="8">
        <v>132</v>
      </c>
      <c r="S737" s="8">
        <f>IF(R737&lt;=0,MEDIAN($R$2:$R$1530),R737)</f>
        <v>132</v>
      </c>
      <c r="T737" s="8">
        <f>(Table1[[#This Row],[Total Cholesterol (mg/dL)]]+Table1[[#This Row],[HDL (mg/dL)2]]+Table1[[#This Row],[Estimated LDL (mg/dL)2]])*5</f>
        <v>2095.9868875086268</v>
      </c>
      <c r="U737" s="8">
        <f>IF(O737="",Table1[[#This Row],[Estimated LDL (mg/dL)2]]+Table1[[#This Row],[HDL (mg/dL)2]]+(Table1[[#This Row],[Triglycerides]]/5),O737)</f>
        <v>231</v>
      </c>
      <c r="V737">
        <v>97</v>
      </c>
      <c r="W737" s="8">
        <f t="shared" si="164"/>
        <v>97</v>
      </c>
      <c r="X737" t="str">
        <f t="shared" si="165"/>
        <v>Normal</v>
      </c>
      <c r="Y737" t="s">
        <v>22</v>
      </c>
      <c r="Z737" t="s">
        <v>22</v>
      </c>
      <c r="AA737" t="s">
        <v>37</v>
      </c>
      <c r="AB737" s="3" t="s">
        <v>356</v>
      </c>
      <c r="AC737">
        <v>129</v>
      </c>
      <c r="AD737" s="3" t="str">
        <f t="shared" si="166"/>
        <v>129</v>
      </c>
      <c r="AE737">
        <v>80</v>
      </c>
      <c r="AF737" s="3" t="str">
        <f t="shared" si="167"/>
        <v>80</v>
      </c>
      <c r="AG737" t="s">
        <v>29</v>
      </c>
      <c r="AH737" s="3">
        <v>15.61</v>
      </c>
      <c r="AI737" s="3">
        <f t="shared" si="168"/>
        <v>15.61</v>
      </c>
      <c r="AJ737" t="s">
        <v>26</v>
      </c>
      <c r="AK737" t="str">
        <f>PROPER(Table1[[#This Row],[CVD Risk Level]])</f>
        <v>Intermediary</v>
      </c>
    </row>
    <row r="738" spans="1:37" x14ac:dyDescent="0.3">
      <c r="A738" t="s">
        <v>20</v>
      </c>
      <c r="B738">
        <v>44</v>
      </c>
      <c r="C738" s="8">
        <f t="shared" si="157"/>
        <v>44</v>
      </c>
      <c r="D738" s="5">
        <v>81.7</v>
      </c>
      <c r="E738" s="8">
        <f t="shared" si="158"/>
        <v>81.7</v>
      </c>
      <c r="F738">
        <v>1.61</v>
      </c>
      <c r="G738" s="3">
        <f t="shared" si="159"/>
        <v>1.61</v>
      </c>
      <c r="H738">
        <v>31.5</v>
      </c>
      <c r="I738" s="5">
        <f t="shared" si="155"/>
        <v>31.5</v>
      </c>
      <c r="J738" s="16" t="str">
        <f t="shared" si="160"/>
        <v>Obese</v>
      </c>
      <c r="K738">
        <v>70.8</v>
      </c>
      <c r="L738">
        <v>0.44</v>
      </c>
      <c r="M738" s="11">
        <f t="shared" si="156"/>
        <v>0.44</v>
      </c>
      <c r="N738" s="5">
        <f t="shared" si="161"/>
        <v>70.8</v>
      </c>
      <c r="O738">
        <v>140</v>
      </c>
      <c r="P738">
        <v>70</v>
      </c>
      <c r="Q738" s="8">
        <f t="shared" si="162"/>
        <v>70</v>
      </c>
      <c r="R738" s="8">
        <v>40</v>
      </c>
      <c r="S738" s="8">
        <f t="shared" si="163"/>
        <v>40</v>
      </c>
      <c r="T738" s="8">
        <f>(Table1[[#This Row],[Total Cholesterol (mg/dL)]]+Table1[[#This Row],[HDL (mg/dL)2]]+Table1[[#This Row],[Estimated LDL (mg/dL)2]])*5</f>
        <v>1250</v>
      </c>
      <c r="U738" s="8">
        <f>IF(O738="",Table1[[#This Row],[Estimated LDL (mg/dL)2]]+Table1[[#This Row],[HDL (mg/dL)2]]+(Table1[[#This Row],[Triglycerides]]/5),O738)</f>
        <v>140</v>
      </c>
      <c r="V738">
        <v>108</v>
      </c>
      <c r="W738" s="8">
        <f t="shared" si="164"/>
        <v>108</v>
      </c>
      <c r="X738" t="str">
        <f t="shared" si="165"/>
        <v>Prediabetes</v>
      </c>
      <c r="Y738" t="s">
        <v>22</v>
      </c>
      <c r="Z738" t="s">
        <v>23</v>
      </c>
      <c r="AA738" t="s">
        <v>24</v>
      </c>
      <c r="AB738" s="3" t="s">
        <v>654</v>
      </c>
      <c r="AC738">
        <v>148</v>
      </c>
      <c r="AD738" s="3" t="str">
        <f t="shared" si="166"/>
        <v>148</v>
      </c>
      <c r="AE738">
        <v>65</v>
      </c>
      <c r="AF738" s="3" t="str">
        <f t="shared" si="167"/>
        <v>65</v>
      </c>
      <c r="AG738" t="s">
        <v>38</v>
      </c>
      <c r="AH738" s="3">
        <v>18.5</v>
      </c>
      <c r="AI738" s="3">
        <f t="shared" si="168"/>
        <v>18.5</v>
      </c>
      <c r="AJ738" t="s">
        <v>30</v>
      </c>
      <c r="AK738" t="str">
        <f>PROPER(Table1[[#This Row],[CVD Risk Level]])</f>
        <v>High</v>
      </c>
    </row>
    <row r="739" spans="1:37" x14ac:dyDescent="0.3">
      <c r="A739" t="s">
        <v>20</v>
      </c>
      <c r="B739">
        <v>58</v>
      </c>
      <c r="C739" s="8">
        <f t="shared" si="157"/>
        <v>58</v>
      </c>
      <c r="D739" s="5">
        <v>88.6</v>
      </c>
      <c r="E739" s="8">
        <f t="shared" si="158"/>
        <v>88.6</v>
      </c>
      <c r="F739">
        <v>1.67</v>
      </c>
      <c r="G739" s="3">
        <f t="shared" si="159"/>
        <v>1.67</v>
      </c>
      <c r="H739">
        <v>31.8</v>
      </c>
      <c r="I739" s="5">
        <f t="shared" si="155"/>
        <v>31.8</v>
      </c>
      <c r="J739" s="16" t="str">
        <f t="shared" si="160"/>
        <v>Obese</v>
      </c>
      <c r="K739">
        <v>95.3</v>
      </c>
      <c r="L739">
        <v>0.57099999999999995</v>
      </c>
      <c r="M739" s="11">
        <f t="shared" si="156"/>
        <v>0.57099999999999995</v>
      </c>
      <c r="N739" s="5">
        <f t="shared" si="161"/>
        <v>95.3</v>
      </c>
      <c r="O739">
        <v>133</v>
      </c>
      <c r="P739">
        <v>80</v>
      </c>
      <c r="Q739" s="8">
        <f t="shared" si="162"/>
        <v>80</v>
      </c>
      <c r="R739" s="8">
        <v>23</v>
      </c>
      <c r="S739" s="8">
        <f t="shared" si="163"/>
        <v>23</v>
      </c>
      <c r="T739" s="8">
        <f>(Table1[[#This Row],[Total Cholesterol (mg/dL)]]+Table1[[#This Row],[HDL (mg/dL)2]]+Table1[[#This Row],[Estimated LDL (mg/dL)2]])*5</f>
        <v>1180</v>
      </c>
      <c r="U739" s="8">
        <f>IF(O739="",Table1[[#This Row],[Estimated LDL (mg/dL)2]]+Table1[[#This Row],[HDL (mg/dL)2]]+(Table1[[#This Row],[Triglycerides]]/5),O739)</f>
        <v>133</v>
      </c>
      <c r="V739">
        <v>73</v>
      </c>
      <c r="W739" s="8">
        <f t="shared" si="164"/>
        <v>73</v>
      </c>
      <c r="X739" t="str">
        <f t="shared" si="165"/>
        <v>Normal</v>
      </c>
      <c r="Y739" t="s">
        <v>23</v>
      </c>
      <c r="Z739" t="s">
        <v>23</v>
      </c>
      <c r="AA739" t="s">
        <v>28</v>
      </c>
      <c r="AB739" s="3" t="s">
        <v>655</v>
      </c>
      <c r="AC739">
        <v>90</v>
      </c>
      <c r="AD739" s="3" t="str">
        <f t="shared" si="166"/>
        <v>90</v>
      </c>
      <c r="AE739">
        <v>74</v>
      </c>
      <c r="AF739" s="3" t="str">
        <f t="shared" si="167"/>
        <v>74</v>
      </c>
      <c r="AG739" t="s">
        <v>33</v>
      </c>
      <c r="AH739" s="3">
        <v>15.52</v>
      </c>
      <c r="AI739" s="3">
        <f t="shared" si="168"/>
        <v>15.52</v>
      </c>
      <c r="AJ739" t="s">
        <v>30</v>
      </c>
      <c r="AK739" t="str">
        <f>PROPER(Table1[[#This Row],[CVD Risk Level]])</f>
        <v>High</v>
      </c>
    </row>
    <row r="740" spans="1:37" x14ac:dyDescent="0.3">
      <c r="A740" t="s">
        <v>31</v>
      </c>
      <c r="B740">
        <v>41</v>
      </c>
      <c r="C740" s="8">
        <f t="shared" si="157"/>
        <v>41</v>
      </c>
      <c r="D740" s="5">
        <v>92.4</v>
      </c>
      <c r="E740" s="8">
        <f t="shared" si="158"/>
        <v>92.4</v>
      </c>
      <c r="F740">
        <v>1.8</v>
      </c>
      <c r="G740" s="3">
        <f t="shared" si="159"/>
        <v>1.8</v>
      </c>
      <c r="H740">
        <v>28.5</v>
      </c>
      <c r="I740" s="5">
        <f t="shared" si="155"/>
        <v>28.5</v>
      </c>
      <c r="J740" s="16" t="str">
        <f t="shared" si="160"/>
        <v>Overweight</v>
      </c>
      <c r="K740">
        <v>78.8</v>
      </c>
      <c r="L740">
        <v>0.438</v>
      </c>
      <c r="M740" s="11">
        <f t="shared" si="156"/>
        <v>0.438</v>
      </c>
      <c r="N740" s="5">
        <f t="shared" si="161"/>
        <v>78.8</v>
      </c>
      <c r="O740">
        <v>135</v>
      </c>
      <c r="P740">
        <v>67</v>
      </c>
      <c r="Q740" s="8">
        <f t="shared" si="162"/>
        <v>67</v>
      </c>
      <c r="R740" s="8">
        <v>38</v>
      </c>
      <c r="S740" s="8">
        <f>IF(R740&lt;=0,MEDIAN($R$2:$R$1530),R740)</f>
        <v>38</v>
      </c>
      <c r="T740" s="8">
        <f>(Table1[[#This Row],[Total Cholesterol (mg/dL)]]+Table1[[#This Row],[HDL (mg/dL)2]]+Table1[[#This Row],[Estimated LDL (mg/dL)2]])*5</f>
        <v>1200</v>
      </c>
      <c r="U740" s="8">
        <f>IF(O740="",Table1[[#This Row],[Estimated LDL (mg/dL)2]]+Table1[[#This Row],[HDL (mg/dL)2]]+(Table1[[#This Row],[Triglycerides]]/5),O740)</f>
        <v>135</v>
      </c>
      <c r="V740">
        <v>123</v>
      </c>
      <c r="W740" s="8">
        <f t="shared" si="164"/>
        <v>123</v>
      </c>
      <c r="X740" t="str">
        <f t="shared" si="165"/>
        <v>Prediabetes</v>
      </c>
      <c r="Y740" t="s">
        <v>23</v>
      </c>
      <c r="Z740" t="s">
        <v>23</v>
      </c>
      <c r="AA740" t="s">
        <v>24</v>
      </c>
      <c r="AB740" s="3" t="s">
        <v>656</v>
      </c>
      <c r="AC740">
        <v>101</v>
      </c>
      <c r="AD740" s="3" t="str">
        <f t="shared" si="166"/>
        <v>101</v>
      </c>
      <c r="AE740">
        <v>77</v>
      </c>
      <c r="AF740" s="3" t="str">
        <f t="shared" si="167"/>
        <v>77</v>
      </c>
      <c r="AG740" t="s">
        <v>33</v>
      </c>
      <c r="AH740" s="3">
        <v>15.45</v>
      </c>
      <c r="AI740" s="3">
        <f t="shared" si="168"/>
        <v>15.45</v>
      </c>
      <c r="AJ740" t="s">
        <v>30</v>
      </c>
      <c r="AK740" t="str">
        <f>PROPER(Table1[[#This Row],[CVD Risk Level]])</f>
        <v>High</v>
      </c>
    </row>
    <row r="741" spans="1:37" x14ac:dyDescent="0.3">
      <c r="A741" t="s">
        <v>31</v>
      </c>
      <c r="B741">
        <v>31</v>
      </c>
      <c r="C741" s="8">
        <f t="shared" si="157"/>
        <v>31</v>
      </c>
      <c r="D741" s="5">
        <v>119.7</v>
      </c>
      <c r="E741" s="8">
        <f t="shared" si="158"/>
        <v>119.7</v>
      </c>
      <c r="F741">
        <v>1.61</v>
      </c>
      <c r="G741" s="3">
        <f t="shared" si="159"/>
        <v>1.61</v>
      </c>
      <c r="H741">
        <v>46.2</v>
      </c>
      <c r="I741" s="5">
        <f t="shared" si="155"/>
        <v>46.2</v>
      </c>
      <c r="J741" s="16" t="str">
        <f t="shared" si="160"/>
        <v>Obese</v>
      </c>
      <c r="L741">
        <v>0.55300000000000005</v>
      </c>
      <c r="M741" s="11">
        <f t="shared" si="156"/>
        <v>0.55300000000000005</v>
      </c>
      <c r="N741" s="5">
        <f t="shared" si="161"/>
        <v>89.033000000000001</v>
      </c>
      <c r="O741">
        <v>280</v>
      </c>
      <c r="P741">
        <v>80</v>
      </c>
      <c r="Q741" s="8">
        <f t="shared" si="162"/>
        <v>80</v>
      </c>
      <c r="R741" s="8">
        <v>170</v>
      </c>
      <c r="S741" s="8">
        <f t="shared" si="163"/>
        <v>170</v>
      </c>
      <c r="T741" s="8">
        <f>(Table1[[#This Row],[Total Cholesterol (mg/dL)]]+Table1[[#This Row],[HDL (mg/dL)2]]+Table1[[#This Row],[Estimated LDL (mg/dL)2]])*5</f>
        <v>2650</v>
      </c>
      <c r="U741" s="8">
        <f>IF(O741="",Table1[[#This Row],[Estimated LDL (mg/dL)2]]+Table1[[#This Row],[HDL (mg/dL)2]]+(Table1[[#This Row],[Triglycerides]]/5),O741)</f>
        <v>280</v>
      </c>
      <c r="V741">
        <v>136</v>
      </c>
      <c r="W741" s="8">
        <f t="shared" si="164"/>
        <v>136</v>
      </c>
      <c r="X741" t="str">
        <f t="shared" si="165"/>
        <v>Diabetes</v>
      </c>
      <c r="Y741" t="s">
        <v>23</v>
      </c>
      <c r="Z741" t="s">
        <v>22</v>
      </c>
      <c r="AA741" t="s">
        <v>37</v>
      </c>
      <c r="AB741" s="3" t="s">
        <v>657</v>
      </c>
      <c r="AC741">
        <v>127</v>
      </c>
      <c r="AD741" s="3" t="str">
        <f t="shared" si="166"/>
        <v>127</v>
      </c>
      <c r="AE741">
        <v>70</v>
      </c>
      <c r="AF741" s="3" t="str">
        <f t="shared" si="167"/>
        <v>70</v>
      </c>
      <c r="AG741" t="s">
        <v>25</v>
      </c>
      <c r="AH741" s="3">
        <v>21.19</v>
      </c>
      <c r="AI741" s="3">
        <f t="shared" si="168"/>
        <v>21.19</v>
      </c>
      <c r="AJ741" t="s">
        <v>30</v>
      </c>
      <c r="AK741" t="str">
        <f>PROPER(Table1[[#This Row],[CVD Risk Level]])</f>
        <v>High</v>
      </c>
    </row>
    <row r="742" spans="1:37" x14ac:dyDescent="0.3">
      <c r="A742" t="s">
        <v>31</v>
      </c>
      <c r="B742">
        <v>53</v>
      </c>
      <c r="C742" s="8">
        <f t="shared" si="157"/>
        <v>53</v>
      </c>
      <c r="D742" s="5">
        <v>112.7</v>
      </c>
      <c r="E742" s="8">
        <f t="shared" si="158"/>
        <v>112.7</v>
      </c>
      <c r="G742" s="3">
        <f t="shared" si="159"/>
        <v>1.7405659690092525</v>
      </c>
      <c r="H742">
        <v>37.200000000000003</v>
      </c>
      <c r="I742" s="5">
        <f t="shared" si="155"/>
        <v>37.200000000000003</v>
      </c>
      <c r="J742" s="16" t="str">
        <f t="shared" si="160"/>
        <v>Obese</v>
      </c>
      <c r="K742">
        <v>104.1</v>
      </c>
      <c r="L742">
        <v>0.59799999999999998</v>
      </c>
      <c r="M742" s="11">
        <f t="shared" si="156"/>
        <v>0.59799999999999998</v>
      </c>
      <c r="N742" s="5">
        <f t="shared" si="161"/>
        <v>104.1</v>
      </c>
      <c r="O742">
        <v>126</v>
      </c>
      <c r="P742">
        <v>30</v>
      </c>
      <c r="Q742" s="8">
        <f t="shared" si="162"/>
        <v>30</v>
      </c>
      <c r="R742" s="8">
        <v>66</v>
      </c>
      <c r="S742" s="8">
        <f t="shared" si="163"/>
        <v>66</v>
      </c>
      <c r="T742" s="8">
        <f>(Table1[[#This Row],[Total Cholesterol (mg/dL)]]+Table1[[#This Row],[HDL (mg/dL)2]]+Table1[[#This Row],[Estimated LDL (mg/dL)2]])*5</f>
        <v>1110</v>
      </c>
      <c r="U742" s="8">
        <f>IF(O742="",Table1[[#This Row],[Estimated LDL (mg/dL)2]]+Table1[[#This Row],[HDL (mg/dL)2]]+(Table1[[#This Row],[Triglycerides]]/5),O742)</f>
        <v>126</v>
      </c>
      <c r="V742">
        <v>74</v>
      </c>
      <c r="W742" s="8">
        <f t="shared" si="164"/>
        <v>74</v>
      </c>
      <c r="X742" t="str">
        <f t="shared" si="165"/>
        <v>Normal</v>
      </c>
      <c r="Y742" t="s">
        <v>23</v>
      </c>
      <c r="Z742" t="s">
        <v>22</v>
      </c>
      <c r="AA742" t="s">
        <v>24</v>
      </c>
      <c r="AB742" s="3" t="s">
        <v>658</v>
      </c>
      <c r="AC742">
        <v>132</v>
      </c>
      <c r="AD742" s="3" t="str">
        <f t="shared" si="166"/>
        <v>132</v>
      </c>
      <c r="AE742">
        <v>83</v>
      </c>
      <c r="AF742" s="3" t="str">
        <f t="shared" si="167"/>
        <v>83</v>
      </c>
      <c r="AG742" t="s">
        <v>29</v>
      </c>
      <c r="AH742" s="3">
        <v>16.559999999999999</v>
      </c>
      <c r="AI742" s="3">
        <f t="shared" si="168"/>
        <v>16.559999999999999</v>
      </c>
      <c r="AJ742" t="s">
        <v>30</v>
      </c>
      <c r="AK742" t="str">
        <f>PROPER(Table1[[#This Row],[CVD Risk Level]])</f>
        <v>High</v>
      </c>
    </row>
    <row r="743" spans="1:37" x14ac:dyDescent="0.3">
      <c r="A743" t="s">
        <v>31</v>
      </c>
      <c r="B743">
        <v>45</v>
      </c>
      <c r="C743" s="8">
        <f t="shared" si="157"/>
        <v>45</v>
      </c>
      <c r="D743" s="5">
        <v>105.6</v>
      </c>
      <c r="E743" s="8">
        <f t="shared" si="158"/>
        <v>105.6</v>
      </c>
      <c r="F743">
        <v>1.81</v>
      </c>
      <c r="G743" s="3">
        <f t="shared" si="159"/>
        <v>1.81</v>
      </c>
      <c r="H743">
        <v>32.200000000000003</v>
      </c>
      <c r="I743" s="5">
        <f t="shared" si="155"/>
        <v>32.200000000000003</v>
      </c>
      <c r="J743" s="16" t="str">
        <f t="shared" si="160"/>
        <v>Obese</v>
      </c>
      <c r="K743">
        <v>100.6</v>
      </c>
      <c r="L743">
        <v>0.55600000000000005</v>
      </c>
      <c r="M743" s="11">
        <f t="shared" si="156"/>
        <v>0.55600000000000005</v>
      </c>
      <c r="N743" s="5">
        <f t="shared" si="161"/>
        <v>100.6</v>
      </c>
      <c r="O743">
        <v>201</v>
      </c>
      <c r="P743">
        <v>36</v>
      </c>
      <c r="Q743" s="8">
        <f t="shared" si="162"/>
        <v>36</v>
      </c>
      <c r="R743" s="8">
        <v>135</v>
      </c>
      <c r="S743" s="8">
        <f t="shared" si="163"/>
        <v>135</v>
      </c>
      <c r="T743" s="8">
        <f>(Table1[[#This Row],[Total Cholesterol (mg/dL)]]+Table1[[#This Row],[HDL (mg/dL)2]]+Table1[[#This Row],[Estimated LDL (mg/dL)2]])*5</f>
        <v>1860</v>
      </c>
      <c r="U743" s="8">
        <f>IF(O743="",Table1[[#This Row],[Estimated LDL (mg/dL)2]]+Table1[[#This Row],[HDL (mg/dL)2]]+(Table1[[#This Row],[Triglycerides]]/5),O743)</f>
        <v>201</v>
      </c>
      <c r="V743">
        <v>77</v>
      </c>
      <c r="W743" s="8">
        <f t="shared" si="164"/>
        <v>77</v>
      </c>
      <c r="X743" t="str">
        <f t="shared" si="165"/>
        <v>Normal</v>
      </c>
      <c r="Y743" t="s">
        <v>23</v>
      </c>
      <c r="Z743" t="s">
        <v>23</v>
      </c>
      <c r="AA743" t="s">
        <v>24</v>
      </c>
      <c r="AB743" s="3" t="s">
        <v>659</v>
      </c>
      <c r="AC743">
        <v>111</v>
      </c>
      <c r="AD743" s="3" t="str">
        <f t="shared" si="166"/>
        <v>111</v>
      </c>
      <c r="AE743">
        <v>97</v>
      </c>
      <c r="AF743" s="3" t="str">
        <f t="shared" si="167"/>
        <v>97</v>
      </c>
      <c r="AG743" t="s">
        <v>38</v>
      </c>
      <c r="AH743" s="3">
        <v>18.010000000000002</v>
      </c>
      <c r="AI743" s="3">
        <f t="shared" si="168"/>
        <v>18.010000000000002</v>
      </c>
      <c r="AJ743" t="s">
        <v>30</v>
      </c>
      <c r="AK743" t="str">
        <f>PROPER(Table1[[#This Row],[CVD Risk Level]])</f>
        <v>High</v>
      </c>
    </row>
    <row r="744" spans="1:37" x14ac:dyDescent="0.3">
      <c r="A744" t="s">
        <v>20</v>
      </c>
      <c r="B744">
        <v>50</v>
      </c>
      <c r="C744" s="8">
        <f t="shared" si="157"/>
        <v>50</v>
      </c>
      <c r="D744" s="5">
        <v>99.4</v>
      </c>
      <c r="E744" s="8">
        <f t="shared" si="158"/>
        <v>99.4</v>
      </c>
      <c r="F744">
        <v>1.67</v>
      </c>
      <c r="G744" s="3">
        <f t="shared" si="159"/>
        <v>1.67</v>
      </c>
      <c r="H744">
        <v>35.6</v>
      </c>
      <c r="I744" s="5">
        <f t="shared" si="155"/>
        <v>35.6</v>
      </c>
      <c r="J744" s="16" t="str">
        <f t="shared" si="160"/>
        <v>Obese</v>
      </c>
      <c r="K744">
        <v>96.3</v>
      </c>
      <c r="L744">
        <v>0.57699999999999996</v>
      </c>
      <c r="M744" s="11">
        <f t="shared" si="156"/>
        <v>0.57699999999999996</v>
      </c>
      <c r="N744" s="5">
        <f t="shared" si="161"/>
        <v>96.3</v>
      </c>
      <c r="O744">
        <v>256</v>
      </c>
      <c r="P744">
        <v>30</v>
      </c>
      <c r="Q744" s="8">
        <f t="shared" si="162"/>
        <v>30</v>
      </c>
      <c r="R744" s="8">
        <v>196</v>
      </c>
      <c r="S744" s="8">
        <f t="shared" si="163"/>
        <v>196</v>
      </c>
      <c r="T744" s="8">
        <f>(Table1[[#This Row],[Total Cholesterol (mg/dL)]]+Table1[[#This Row],[HDL (mg/dL)2]]+Table1[[#This Row],[Estimated LDL (mg/dL)2]])*5</f>
        <v>2410</v>
      </c>
      <c r="U744" s="8">
        <f>IF(O744="",Table1[[#This Row],[Estimated LDL (mg/dL)2]]+Table1[[#This Row],[HDL (mg/dL)2]]+(Table1[[#This Row],[Triglycerides]]/5),O744)</f>
        <v>256</v>
      </c>
      <c r="V744">
        <v>107</v>
      </c>
      <c r="W744" s="8">
        <f t="shared" si="164"/>
        <v>107</v>
      </c>
      <c r="X744" t="str">
        <f t="shared" si="165"/>
        <v>Prediabetes</v>
      </c>
      <c r="Y744" t="s">
        <v>23</v>
      </c>
      <c r="Z744" t="s">
        <v>22</v>
      </c>
      <c r="AA744" t="s">
        <v>37</v>
      </c>
      <c r="AB744" s="3" t="s">
        <v>660</v>
      </c>
      <c r="AC744">
        <v>144</v>
      </c>
      <c r="AD744" s="3" t="str">
        <f t="shared" si="166"/>
        <v>144</v>
      </c>
      <c r="AE744">
        <v>81</v>
      </c>
      <c r="AF744" s="3" t="str">
        <f t="shared" si="167"/>
        <v>81</v>
      </c>
      <c r="AG744" t="s">
        <v>29</v>
      </c>
      <c r="AH744" s="3">
        <v>19.440000000000001</v>
      </c>
      <c r="AI744" s="3">
        <f t="shared" si="168"/>
        <v>19.440000000000001</v>
      </c>
      <c r="AJ744" t="s">
        <v>30</v>
      </c>
      <c r="AK744" t="str">
        <f>PROPER(Table1[[#This Row],[CVD Risk Level]])</f>
        <v>High</v>
      </c>
    </row>
    <row r="745" spans="1:37" x14ac:dyDescent="0.3">
      <c r="A745" t="s">
        <v>31</v>
      </c>
      <c r="B745">
        <v>49</v>
      </c>
      <c r="C745" s="8">
        <f t="shared" si="157"/>
        <v>49</v>
      </c>
      <c r="D745" s="5">
        <v>118.3</v>
      </c>
      <c r="E745" s="8">
        <f t="shared" si="158"/>
        <v>118.3</v>
      </c>
      <c r="F745">
        <v>1.89</v>
      </c>
      <c r="G745" s="3">
        <f t="shared" si="159"/>
        <v>1.89</v>
      </c>
      <c r="H745">
        <v>33.1</v>
      </c>
      <c r="I745" s="5">
        <f t="shared" si="155"/>
        <v>33.1</v>
      </c>
      <c r="J745" s="16" t="str">
        <f t="shared" si="160"/>
        <v>Obese</v>
      </c>
      <c r="K745">
        <v>96.2</v>
      </c>
      <c r="L745">
        <v>0.50900000000000001</v>
      </c>
      <c r="M745" s="11">
        <f t="shared" si="156"/>
        <v>0.50900000000000001</v>
      </c>
      <c r="N745" s="5">
        <f t="shared" si="161"/>
        <v>96.2</v>
      </c>
      <c r="O745">
        <v>240</v>
      </c>
      <c r="P745">
        <v>61</v>
      </c>
      <c r="Q745" s="8">
        <f t="shared" si="162"/>
        <v>61</v>
      </c>
      <c r="R745" s="8">
        <v>149</v>
      </c>
      <c r="S745" s="8">
        <f t="shared" si="163"/>
        <v>149</v>
      </c>
      <c r="T745" s="8">
        <f>(Table1[[#This Row],[Total Cholesterol (mg/dL)]]+Table1[[#This Row],[HDL (mg/dL)2]]+Table1[[#This Row],[Estimated LDL (mg/dL)2]])*5</f>
        <v>2250</v>
      </c>
      <c r="U745" s="8">
        <f>IF(O745="",Table1[[#This Row],[Estimated LDL (mg/dL)2]]+Table1[[#This Row],[HDL (mg/dL)2]]+(Table1[[#This Row],[Triglycerides]]/5),O745)</f>
        <v>240</v>
      </c>
      <c r="V745">
        <v>86</v>
      </c>
      <c r="W745" s="8">
        <f t="shared" si="164"/>
        <v>86</v>
      </c>
      <c r="X745" t="str">
        <f t="shared" si="165"/>
        <v>Normal</v>
      </c>
      <c r="Y745" t="s">
        <v>22</v>
      </c>
      <c r="Z745" t="s">
        <v>22</v>
      </c>
      <c r="AA745" t="s">
        <v>37</v>
      </c>
      <c r="AB745" s="3" t="s">
        <v>661</v>
      </c>
      <c r="AC745">
        <v>130</v>
      </c>
      <c r="AD745" s="3" t="str">
        <f t="shared" si="166"/>
        <v>130</v>
      </c>
      <c r="AE745">
        <v>68</v>
      </c>
      <c r="AF745" s="3" t="str">
        <f t="shared" si="167"/>
        <v>68</v>
      </c>
      <c r="AG745" t="s">
        <v>29</v>
      </c>
      <c r="AI745" s="3">
        <f t="shared" si="168"/>
        <v>16.960925291295425</v>
      </c>
      <c r="AJ745" t="s">
        <v>26</v>
      </c>
      <c r="AK745" t="str">
        <f>PROPER(Table1[[#This Row],[CVD Risk Level]])</f>
        <v>Intermediary</v>
      </c>
    </row>
    <row r="746" spans="1:37" x14ac:dyDescent="0.3">
      <c r="A746" t="s">
        <v>20</v>
      </c>
      <c r="B746">
        <v>54</v>
      </c>
      <c r="C746" s="8">
        <f t="shared" si="157"/>
        <v>54</v>
      </c>
      <c r="D746" s="5">
        <v>74.599999999999994</v>
      </c>
      <c r="E746" s="8">
        <f t="shared" si="158"/>
        <v>74.599999999999994</v>
      </c>
      <c r="F746">
        <v>1.86</v>
      </c>
      <c r="G746" s="3">
        <f t="shared" si="159"/>
        <v>1.86</v>
      </c>
      <c r="H746">
        <v>21.6</v>
      </c>
      <c r="I746" s="5">
        <f t="shared" si="155"/>
        <v>21.6</v>
      </c>
      <c r="J746" s="16" t="str">
        <f t="shared" si="160"/>
        <v>Normal</v>
      </c>
      <c r="K746">
        <v>103.6</v>
      </c>
      <c r="L746">
        <v>0.55700000000000005</v>
      </c>
      <c r="M746" s="11">
        <f t="shared" si="156"/>
        <v>0.55700000000000005</v>
      </c>
      <c r="N746" s="5">
        <f t="shared" si="161"/>
        <v>103.6</v>
      </c>
      <c r="O746">
        <v>279</v>
      </c>
      <c r="P746">
        <v>38</v>
      </c>
      <c r="Q746" s="8">
        <f t="shared" si="162"/>
        <v>38</v>
      </c>
      <c r="S746" s="8">
        <f t="shared" si="163"/>
        <v>109</v>
      </c>
      <c r="T746" s="8">
        <f>(Table1[[#This Row],[Total Cholesterol (mg/dL)]]+Table1[[#This Row],[HDL (mg/dL)2]]+Table1[[#This Row],[Estimated LDL (mg/dL)2]])*5</f>
        <v>2130</v>
      </c>
      <c r="U746" s="8">
        <f>IF(O746="",Table1[[#This Row],[Estimated LDL (mg/dL)2]]+Table1[[#This Row],[HDL (mg/dL)2]]+(Table1[[#This Row],[Triglycerides]]/5),O746)</f>
        <v>279</v>
      </c>
      <c r="V746">
        <v>146</v>
      </c>
      <c r="W746" s="8">
        <f t="shared" si="164"/>
        <v>146</v>
      </c>
      <c r="X746" t="str">
        <f t="shared" si="165"/>
        <v>Diabetes</v>
      </c>
      <c r="Y746" t="s">
        <v>22</v>
      </c>
      <c r="Z746" t="s">
        <v>22</v>
      </c>
      <c r="AA746" t="s">
        <v>24</v>
      </c>
      <c r="AB746" s="3" t="s">
        <v>662</v>
      </c>
      <c r="AC746">
        <v>102</v>
      </c>
      <c r="AD746" s="3" t="str">
        <f t="shared" si="166"/>
        <v>102</v>
      </c>
      <c r="AE746">
        <v>73</v>
      </c>
      <c r="AF746" s="3" t="str">
        <f t="shared" si="167"/>
        <v>73</v>
      </c>
      <c r="AG746" t="s">
        <v>33</v>
      </c>
      <c r="AH746" s="3">
        <v>15</v>
      </c>
      <c r="AI746" s="3">
        <f t="shared" si="168"/>
        <v>15</v>
      </c>
      <c r="AJ746" t="s">
        <v>30</v>
      </c>
      <c r="AK746" t="str">
        <f>PROPER(Table1[[#This Row],[CVD Risk Level]])</f>
        <v>High</v>
      </c>
    </row>
    <row r="747" spans="1:37" x14ac:dyDescent="0.3">
      <c r="A747" t="s">
        <v>31</v>
      </c>
      <c r="B747">
        <v>35</v>
      </c>
      <c r="C747" s="8">
        <f t="shared" si="157"/>
        <v>35</v>
      </c>
      <c r="D747" s="5">
        <v>86.5</v>
      </c>
      <c r="E747" s="8">
        <f t="shared" si="158"/>
        <v>86.5</v>
      </c>
      <c r="F747">
        <v>1.8</v>
      </c>
      <c r="G747" s="3">
        <f t="shared" si="159"/>
        <v>1.8</v>
      </c>
      <c r="H747">
        <v>26.7</v>
      </c>
      <c r="I747" s="5">
        <f t="shared" si="155"/>
        <v>26.7</v>
      </c>
      <c r="J747" s="16" t="str">
        <f t="shared" si="160"/>
        <v>Overweight</v>
      </c>
      <c r="K747">
        <v>96.6</v>
      </c>
      <c r="L747">
        <v>0.53700000000000003</v>
      </c>
      <c r="M747" s="11">
        <f t="shared" si="156"/>
        <v>0.53700000000000003</v>
      </c>
      <c r="N747" s="5">
        <f t="shared" si="161"/>
        <v>96.6</v>
      </c>
      <c r="O747">
        <v>284</v>
      </c>
      <c r="P747">
        <v>39</v>
      </c>
      <c r="Q747" s="8">
        <f t="shared" si="162"/>
        <v>39</v>
      </c>
      <c r="R747" s="8">
        <v>215</v>
      </c>
      <c r="S747" s="8">
        <f t="shared" si="163"/>
        <v>215</v>
      </c>
      <c r="T747" s="8">
        <f>(Table1[[#This Row],[Total Cholesterol (mg/dL)]]+Table1[[#This Row],[HDL (mg/dL)2]]+Table1[[#This Row],[Estimated LDL (mg/dL)2]])*5</f>
        <v>2690</v>
      </c>
      <c r="U747" s="8">
        <f>IF(O747="",Table1[[#This Row],[Estimated LDL (mg/dL)2]]+Table1[[#This Row],[HDL (mg/dL)2]]+(Table1[[#This Row],[Triglycerides]]/5),O747)</f>
        <v>284</v>
      </c>
      <c r="V747">
        <v>77</v>
      </c>
      <c r="W747" s="8">
        <f t="shared" si="164"/>
        <v>77</v>
      </c>
      <c r="X747" t="str">
        <f t="shared" si="165"/>
        <v>Normal</v>
      </c>
      <c r="Y747" t="s">
        <v>23</v>
      </c>
      <c r="Z747" t="s">
        <v>22</v>
      </c>
      <c r="AA747" t="s">
        <v>28</v>
      </c>
      <c r="AB747" s="3" t="s">
        <v>663</v>
      </c>
      <c r="AC747">
        <v>118</v>
      </c>
      <c r="AD747" s="3" t="str">
        <f t="shared" si="166"/>
        <v>118</v>
      </c>
      <c r="AE747">
        <v>78</v>
      </c>
      <c r="AF747" s="3" t="str">
        <f t="shared" si="167"/>
        <v>78</v>
      </c>
      <c r="AG747" t="s">
        <v>33</v>
      </c>
      <c r="AH747" s="3">
        <v>16.920000000000002</v>
      </c>
      <c r="AI747" s="3">
        <f t="shared" si="168"/>
        <v>16.920000000000002</v>
      </c>
      <c r="AJ747" t="s">
        <v>30</v>
      </c>
      <c r="AK747" t="str">
        <f>PROPER(Table1[[#This Row],[CVD Risk Level]])</f>
        <v>High</v>
      </c>
    </row>
    <row r="748" spans="1:37" x14ac:dyDescent="0.3">
      <c r="A748" t="s">
        <v>20</v>
      </c>
      <c r="B748">
        <v>37</v>
      </c>
      <c r="C748" s="8">
        <f t="shared" si="157"/>
        <v>37</v>
      </c>
      <c r="D748" s="5">
        <v>54.9</v>
      </c>
      <c r="E748" s="8">
        <f t="shared" si="158"/>
        <v>54.9</v>
      </c>
      <c r="F748">
        <v>1.63</v>
      </c>
      <c r="G748" s="3">
        <f t="shared" si="159"/>
        <v>1.63</v>
      </c>
      <c r="H748">
        <v>20.7</v>
      </c>
      <c r="I748" s="5">
        <f t="shared" si="155"/>
        <v>20.7</v>
      </c>
      <c r="J748" s="16" t="str">
        <f t="shared" si="160"/>
        <v>Normal</v>
      </c>
      <c r="K748">
        <v>75.2</v>
      </c>
      <c r="L748">
        <v>0.46100000000000002</v>
      </c>
      <c r="M748" s="11">
        <f t="shared" si="156"/>
        <v>0.46100000000000002</v>
      </c>
      <c r="N748" s="5">
        <f t="shared" si="161"/>
        <v>75.2</v>
      </c>
      <c r="O748">
        <v>114</v>
      </c>
      <c r="P748">
        <v>38</v>
      </c>
      <c r="Q748" s="8">
        <f t="shared" si="162"/>
        <v>38</v>
      </c>
      <c r="R748" s="8">
        <v>46</v>
      </c>
      <c r="S748" s="8">
        <f t="shared" si="163"/>
        <v>46</v>
      </c>
      <c r="T748" s="8">
        <f>(Table1[[#This Row],[Total Cholesterol (mg/dL)]]+Table1[[#This Row],[HDL (mg/dL)2]]+Table1[[#This Row],[Estimated LDL (mg/dL)2]])*5</f>
        <v>990</v>
      </c>
      <c r="U748" s="8">
        <f>IF(O748="",Table1[[#This Row],[Estimated LDL (mg/dL)2]]+Table1[[#This Row],[HDL (mg/dL)2]]+(Table1[[#This Row],[Triglycerides]]/5),O748)</f>
        <v>114</v>
      </c>
      <c r="V748">
        <v>110</v>
      </c>
      <c r="W748" s="8">
        <f t="shared" si="164"/>
        <v>110</v>
      </c>
      <c r="X748" t="str">
        <f t="shared" si="165"/>
        <v>Prediabetes</v>
      </c>
      <c r="Y748" t="s">
        <v>23</v>
      </c>
      <c r="Z748" t="s">
        <v>23</v>
      </c>
      <c r="AA748" t="s">
        <v>24</v>
      </c>
      <c r="AB748" s="3" t="s">
        <v>664</v>
      </c>
      <c r="AD748" s="3" t="str">
        <f t="shared" si="166"/>
        <v>118</v>
      </c>
      <c r="AE748">
        <v>81</v>
      </c>
      <c r="AF748" s="3" t="str">
        <f t="shared" si="167"/>
        <v>81</v>
      </c>
      <c r="AG748" t="s">
        <v>29</v>
      </c>
      <c r="AI748" s="3">
        <f t="shared" si="168"/>
        <v>16.960925291295425</v>
      </c>
      <c r="AJ748" t="s">
        <v>30</v>
      </c>
      <c r="AK748" t="str">
        <f>PROPER(Table1[[#This Row],[CVD Risk Level]])</f>
        <v>High</v>
      </c>
    </row>
    <row r="749" spans="1:37" x14ac:dyDescent="0.3">
      <c r="A749" t="s">
        <v>20</v>
      </c>
      <c r="B749">
        <v>34</v>
      </c>
      <c r="C749" s="8">
        <f t="shared" si="157"/>
        <v>34</v>
      </c>
      <c r="D749" s="5">
        <v>61.1</v>
      </c>
      <c r="E749" s="8">
        <f t="shared" si="158"/>
        <v>61.1</v>
      </c>
      <c r="F749">
        <v>1.75</v>
      </c>
      <c r="G749" s="3">
        <f t="shared" si="159"/>
        <v>1.75</v>
      </c>
      <c r="H749">
        <v>20</v>
      </c>
      <c r="I749" s="5">
        <f t="shared" si="155"/>
        <v>20</v>
      </c>
      <c r="J749" s="16" t="str">
        <f t="shared" si="160"/>
        <v>Normal</v>
      </c>
      <c r="K749">
        <v>71.599999999999994</v>
      </c>
      <c r="L749">
        <v>0.40899999999999997</v>
      </c>
      <c r="M749" s="11">
        <f t="shared" si="156"/>
        <v>0.40899999999999997</v>
      </c>
      <c r="N749" s="5">
        <f t="shared" si="161"/>
        <v>71.599999999999994</v>
      </c>
      <c r="O749">
        <v>277</v>
      </c>
      <c r="P749">
        <v>40</v>
      </c>
      <c r="Q749" s="8">
        <f t="shared" si="162"/>
        <v>40</v>
      </c>
      <c r="R749" s="8">
        <v>207</v>
      </c>
      <c r="S749" s="8">
        <f t="shared" si="163"/>
        <v>207</v>
      </c>
      <c r="T749" s="8">
        <f>(Table1[[#This Row],[Total Cholesterol (mg/dL)]]+Table1[[#This Row],[HDL (mg/dL)2]]+Table1[[#This Row],[Estimated LDL (mg/dL)2]])*5</f>
        <v>2620</v>
      </c>
      <c r="U749" s="8">
        <f>IF(O749="",Table1[[#This Row],[Estimated LDL (mg/dL)2]]+Table1[[#This Row],[HDL (mg/dL)2]]+(Table1[[#This Row],[Triglycerides]]/5),O749)</f>
        <v>277</v>
      </c>
      <c r="V749">
        <v>97</v>
      </c>
      <c r="W749" s="8">
        <f t="shared" si="164"/>
        <v>97</v>
      </c>
      <c r="X749" t="str">
        <f t="shared" si="165"/>
        <v>Normal</v>
      </c>
      <c r="Y749" t="s">
        <v>23</v>
      </c>
      <c r="Z749" t="s">
        <v>22</v>
      </c>
      <c r="AA749" t="s">
        <v>37</v>
      </c>
      <c r="AB749" s="3" t="s">
        <v>665</v>
      </c>
      <c r="AC749">
        <v>108</v>
      </c>
      <c r="AD749" s="3" t="str">
        <f t="shared" si="166"/>
        <v>108</v>
      </c>
      <c r="AE749">
        <v>100</v>
      </c>
      <c r="AF749" s="3" t="str">
        <f t="shared" si="167"/>
        <v>100</v>
      </c>
      <c r="AG749" t="s">
        <v>38</v>
      </c>
      <c r="AH749" s="3">
        <v>14.94</v>
      </c>
      <c r="AI749" s="3">
        <f t="shared" si="168"/>
        <v>14.94</v>
      </c>
      <c r="AJ749" t="s">
        <v>26</v>
      </c>
      <c r="AK749" t="str">
        <f>PROPER(Table1[[#This Row],[CVD Risk Level]])</f>
        <v>Intermediary</v>
      </c>
    </row>
    <row r="750" spans="1:37" x14ac:dyDescent="0.3">
      <c r="A750" t="s">
        <v>20</v>
      </c>
      <c r="B750">
        <v>34</v>
      </c>
      <c r="C750" s="8">
        <f t="shared" si="157"/>
        <v>34</v>
      </c>
      <c r="D750" s="5">
        <v>67.7</v>
      </c>
      <c r="E750" s="8">
        <f t="shared" si="158"/>
        <v>67.7</v>
      </c>
      <c r="F750">
        <v>1.81</v>
      </c>
      <c r="G750" s="3">
        <f t="shared" si="159"/>
        <v>1.81</v>
      </c>
      <c r="I750" s="5">
        <f t="shared" si="155"/>
        <v>20.664814871340923</v>
      </c>
      <c r="J750" s="16" t="str">
        <f t="shared" si="160"/>
        <v>Normal</v>
      </c>
      <c r="K750">
        <v>79.8</v>
      </c>
      <c r="L750">
        <v>0.441</v>
      </c>
      <c r="M750" s="11">
        <f t="shared" si="156"/>
        <v>0.441</v>
      </c>
      <c r="N750" s="5">
        <f t="shared" si="161"/>
        <v>79.8</v>
      </c>
      <c r="O750">
        <v>235</v>
      </c>
      <c r="P750">
        <v>31</v>
      </c>
      <c r="Q750" s="8">
        <f t="shared" si="162"/>
        <v>31</v>
      </c>
      <c r="R750" s="8">
        <v>174</v>
      </c>
      <c r="S750" s="8">
        <f t="shared" si="163"/>
        <v>174</v>
      </c>
      <c r="T750" s="8">
        <f>(Table1[[#This Row],[Total Cholesterol (mg/dL)]]+Table1[[#This Row],[HDL (mg/dL)2]]+Table1[[#This Row],[Estimated LDL (mg/dL)2]])*5</f>
        <v>2200</v>
      </c>
      <c r="U750" s="8">
        <f>IF(O750="",Table1[[#This Row],[Estimated LDL (mg/dL)2]]+Table1[[#This Row],[HDL (mg/dL)2]]+(Table1[[#This Row],[Triglycerides]]/5),O750)</f>
        <v>235</v>
      </c>
      <c r="V750">
        <v>147</v>
      </c>
      <c r="W750" s="8">
        <f t="shared" si="164"/>
        <v>147</v>
      </c>
      <c r="X750" t="str">
        <f t="shared" si="165"/>
        <v>Diabetes</v>
      </c>
      <c r="Y750" t="s">
        <v>23</v>
      </c>
      <c r="Z750" t="s">
        <v>22</v>
      </c>
      <c r="AA750" t="s">
        <v>24</v>
      </c>
      <c r="AB750" s="3" t="s">
        <v>354</v>
      </c>
      <c r="AD750" s="3" t="str">
        <f t="shared" si="166"/>
        <v>135</v>
      </c>
      <c r="AE750">
        <v>91</v>
      </c>
      <c r="AF750" s="3" t="str">
        <f t="shared" si="167"/>
        <v>91</v>
      </c>
      <c r="AG750" t="s">
        <v>29</v>
      </c>
      <c r="AH750" s="3">
        <v>15.59</v>
      </c>
      <c r="AI750" s="3">
        <f t="shared" si="168"/>
        <v>15.59</v>
      </c>
      <c r="AJ750" t="s">
        <v>30</v>
      </c>
      <c r="AK750" t="str">
        <f>PROPER(Table1[[#This Row],[CVD Risk Level]])</f>
        <v>High</v>
      </c>
    </row>
    <row r="751" spans="1:37" x14ac:dyDescent="0.3">
      <c r="A751" t="s">
        <v>20</v>
      </c>
      <c r="B751">
        <v>36</v>
      </c>
      <c r="C751" s="8">
        <f t="shared" si="157"/>
        <v>36</v>
      </c>
      <c r="D751" s="5">
        <v>60.2</v>
      </c>
      <c r="E751" s="8">
        <f t="shared" si="158"/>
        <v>60.2</v>
      </c>
      <c r="F751">
        <v>1.68</v>
      </c>
      <c r="G751" s="3">
        <f t="shared" si="159"/>
        <v>1.68</v>
      </c>
      <c r="H751">
        <v>21.3</v>
      </c>
      <c r="I751" s="5">
        <f t="shared" si="155"/>
        <v>21.3</v>
      </c>
      <c r="J751" s="16" t="str">
        <f t="shared" si="160"/>
        <v>Normal</v>
      </c>
      <c r="K751">
        <v>104.7</v>
      </c>
      <c r="L751">
        <v>0.623</v>
      </c>
      <c r="M751" s="11">
        <f t="shared" si="156"/>
        <v>0.623</v>
      </c>
      <c r="N751" s="5">
        <f t="shared" si="161"/>
        <v>104.7</v>
      </c>
      <c r="O751">
        <v>289</v>
      </c>
      <c r="P751">
        <v>68</v>
      </c>
      <c r="Q751" s="8">
        <f t="shared" si="162"/>
        <v>68</v>
      </c>
      <c r="R751" s="8">
        <v>191</v>
      </c>
      <c r="S751" s="8">
        <f t="shared" si="163"/>
        <v>191</v>
      </c>
      <c r="T751" s="8">
        <f>(Table1[[#This Row],[Total Cholesterol (mg/dL)]]+Table1[[#This Row],[HDL (mg/dL)2]]+Table1[[#This Row],[Estimated LDL (mg/dL)2]])*5</f>
        <v>2740</v>
      </c>
      <c r="U751" s="8">
        <f>IF(O751="",Table1[[#This Row],[Estimated LDL (mg/dL)2]]+Table1[[#This Row],[HDL (mg/dL)2]]+(Table1[[#This Row],[Triglycerides]]/5),O751)</f>
        <v>289</v>
      </c>
      <c r="V751">
        <v>116</v>
      </c>
      <c r="W751" s="8">
        <f t="shared" si="164"/>
        <v>116</v>
      </c>
      <c r="X751" t="str">
        <f t="shared" si="165"/>
        <v>Prediabetes</v>
      </c>
      <c r="Y751" t="s">
        <v>23</v>
      </c>
      <c r="Z751" t="s">
        <v>22</v>
      </c>
      <c r="AA751" t="s">
        <v>37</v>
      </c>
      <c r="AB751" s="3" t="s">
        <v>666</v>
      </c>
      <c r="AC751">
        <v>111</v>
      </c>
      <c r="AD751" s="3" t="str">
        <f t="shared" si="166"/>
        <v>111</v>
      </c>
      <c r="AE751">
        <v>87</v>
      </c>
      <c r="AF751" s="3" t="str">
        <f t="shared" si="167"/>
        <v>87</v>
      </c>
      <c r="AG751" t="s">
        <v>29</v>
      </c>
      <c r="AH751" s="3">
        <v>15.59</v>
      </c>
      <c r="AI751" s="3">
        <f t="shared" si="168"/>
        <v>15.59</v>
      </c>
      <c r="AJ751" t="s">
        <v>26</v>
      </c>
      <c r="AK751" t="str">
        <f>PROPER(Table1[[#This Row],[CVD Risk Level]])</f>
        <v>Intermediary</v>
      </c>
    </row>
    <row r="752" spans="1:37" x14ac:dyDescent="0.3">
      <c r="A752" t="s">
        <v>20</v>
      </c>
      <c r="B752">
        <v>43</v>
      </c>
      <c r="C752" s="8">
        <f t="shared" si="157"/>
        <v>43</v>
      </c>
      <c r="D752" s="5">
        <v>72</v>
      </c>
      <c r="E752" s="8">
        <f t="shared" si="158"/>
        <v>72</v>
      </c>
      <c r="F752">
        <v>1.67</v>
      </c>
      <c r="G752" s="3">
        <f t="shared" si="159"/>
        <v>1.67</v>
      </c>
      <c r="H752">
        <v>25.8</v>
      </c>
      <c r="I752" s="5">
        <f t="shared" si="155"/>
        <v>25.8</v>
      </c>
      <c r="J752" s="16" t="str">
        <f t="shared" si="160"/>
        <v>Overweight</v>
      </c>
      <c r="K752">
        <v>84.9</v>
      </c>
      <c r="L752">
        <v>0.50800000000000001</v>
      </c>
      <c r="M752" s="11">
        <f t="shared" si="156"/>
        <v>0.50800000000000001</v>
      </c>
      <c r="N752" s="5">
        <f t="shared" si="161"/>
        <v>84.9</v>
      </c>
      <c r="O752">
        <v>190</v>
      </c>
      <c r="P752">
        <v>67</v>
      </c>
      <c r="Q752" s="8">
        <f t="shared" si="162"/>
        <v>67</v>
      </c>
      <c r="R752" s="8">
        <v>93</v>
      </c>
      <c r="S752" s="8">
        <f>IF(R752&lt;=0,MEDIAN($R$2:$R$1530),R752)</f>
        <v>93</v>
      </c>
      <c r="T752" s="8">
        <f>(Table1[[#This Row],[Total Cholesterol (mg/dL)]]+Table1[[#This Row],[HDL (mg/dL)2]]+Table1[[#This Row],[Estimated LDL (mg/dL)2]])*5</f>
        <v>1750</v>
      </c>
      <c r="U752" s="8">
        <f>IF(O752="",Table1[[#This Row],[Estimated LDL (mg/dL)2]]+Table1[[#This Row],[HDL (mg/dL)2]]+(Table1[[#This Row],[Triglycerides]]/5),O752)</f>
        <v>190</v>
      </c>
      <c r="V752">
        <v>144</v>
      </c>
      <c r="W752" s="8">
        <f t="shared" si="164"/>
        <v>144</v>
      </c>
      <c r="X752" t="str">
        <f t="shared" si="165"/>
        <v>Diabetes</v>
      </c>
      <c r="Y752" t="s">
        <v>23</v>
      </c>
      <c r="Z752" t="s">
        <v>22</v>
      </c>
      <c r="AA752" t="s">
        <v>37</v>
      </c>
      <c r="AB752" s="3" t="s">
        <v>667</v>
      </c>
      <c r="AC752">
        <v>92</v>
      </c>
      <c r="AD752" s="3" t="str">
        <f t="shared" si="166"/>
        <v>92</v>
      </c>
      <c r="AE752">
        <v>69</v>
      </c>
      <c r="AF752" s="3" t="str">
        <f t="shared" si="167"/>
        <v>69</v>
      </c>
      <c r="AG752" t="s">
        <v>33</v>
      </c>
      <c r="AH752" s="3">
        <v>13.56</v>
      </c>
      <c r="AI752" s="3">
        <f t="shared" si="168"/>
        <v>13.56</v>
      </c>
      <c r="AJ752" t="s">
        <v>26</v>
      </c>
      <c r="AK752" t="str">
        <f>PROPER(Table1[[#This Row],[CVD Risk Level]])</f>
        <v>Intermediary</v>
      </c>
    </row>
    <row r="753" spans="1:37" x14ac:dyDescent="0.3">
      <c r="A753" t="s">
        <v>31</v>
      </c>
      <c r="B753">
        <v>55</v>
      </c>
      <c r="C753" s="8">
        <f t="shared" si="157"/>
        <v>55</v>
      </c>
      <c r="D753" s="5">
        <v>85</v>
      </c>
      <c r="E753" s="8">
        <f t="shared" si="158"/>
        <v>85</v>
      </c>
      <c r="F753">
        <v>1.75</v>
      </c>
      <c r="G753" s="3">
        <f t="shared" si="159"/>
        <v>1.75</v>
      </c>
      <c r="H753">
        <v>27.8</v>
      </c>
      <c r="I753" s="5">
        <f t="shared" si="155"/>
        <v>27.8</v>
      </c>
      <c r="J753" s="16" t="str">
        <f t="shared" si="160"/>
        <v>Overweight</v>
      </c>
      <c r="K753">
        <v>79.400000000000006</v>
      </c>
      <c r="L753">
        <v>0.45400000000000001</v>
      </c>
      <c r="M753" s="11">
        <f t="shared" si="156"/>
        <v>0.45400000000000001</v>
      </c>
      <c r="N753" s="5">
        <f t="shared" si="161"/>
        <v>79.400000000000006</v>
      </c>
      <c r="O753">
        <v>240</v>
      </c>
      <c r="P753">
        <v>32</v>
      </c>
      <c r="Q753" s="8">
        <f t="shared" si="162"/>
        <v>32</v>
      </c>
      <c r="R753" s="8">
        <v>178</v>
      </c>
      <c r="S753" s="8">
        <f t="shared" si="163"/>
        <v>178</v>
      </c>
      <c r="T753" s="8">
        <f>(Table1[[#This Row],[Total Cholesterol (mg/dL)]]+Table1[[#This Row],[HDL (mg/dL)2]]+Table1[[#This Row],[Estimated LDL (mg/dL)2]])*5</f>
        <v>2250</v>
      </c>
      <c r="U753" s="8">
        <f>IF(O753="",Table1[[#This Row],[Estimated LDL (mg/dL)2]]+Table1[[#This Row],[HDL (mg/dL)2]]+(Table1[[#This Row],[Triglycerides]]/5),O753)</f>
        <v>240</v>
      </c>
      <c r="W753" s="8">
        <f t="shared" si="164"/>
        <v>117.48563611491107</v>
      </c>
      <c r="X753" t="str">
        <f t="shared" si="165"/>
        <v>Prediabetes</v>
      </c>
      <c r="Y753" t="s">
        <v>22</v>
      </c>
      <c r="Z753" t="s">
        <v>23</v>
      </c>
      <c r="AA753" t="s">
        <v>24</v>
      </c>
      <c r="AB753" s="3" t="s">
        <v>668</v>
      </c>
      <c r="AC753">
        <v>94</v>
      </c>
      <c r="AD753" s="3" t="str">
        <f t="shared" si="166"/>
        <v>94</v>
      </c>
      <c r="AE753">
        <v>71</v>
      </c>
      <c r="AF753" s="3" t="str">
        <f t="shared" si="167"/>
        <v>71</v>
      </c>
      <c r="AG753" t="s">
        <v>33</v>
      </c>
      <c r="AH753" s="3">
        <v>17.059999999999999</v>
      </c>
      <c r="AI753" s="3">
        <f t="shared" si="168"/>
        <v>17.059999999999999</v>
      </c>
      <c r="AJ753" t="s">
        <v>30</v>
      </c>
      <c r="AK753" t="str">
        <f>PROPER(Table1[[#This Row],[CVD Risk Level]])</f>
        <v>High</v>
      </c>
    </row>
    <row r="754" spans="1:37" x14ac:dyDescent="0.3">
      <c r="A754" t="s">
        <v>20</v>
      </c>
      <c r="B754">
        <v>41</v>
      </c>
      <c r="C754" s="8">
        <f t="shared" si="157"/>
        <v>41</v>
      </c>
      <c r="D754" s="5">
        <v>80</v>
      </c>
      <c r="E754" s="8">
        <f t="shared" si="158"/>
        <v>80</v>
      </c>
      <c r="F754">
        <v>1.63</v>
      </c>
      <c r="G754" s="3">
        <f t="shared" si="159"/>
        <v>1.63</v>
      </c>
      <c r="H754">
        <v>30.1</v>
      </c>
      <c r="I754" s="5">
        <f t="shared" si="155"/>
        <v>30.1</v>
      </c>
      <c r="J754" s="16" t="str">
        <f t="shared" si="160"/>
        <v>Obese</v>
      </c>
      <c r="K754">
        <v>84.5</v>
      </c>
      <c r="L754">
        <v>0.51800000000000002</v>
      </c>
      <c r="M754" s="11">
        <f t="shared" si="156"/>
        <v>0.51800000000000002</v>
      </c>
      <c r="N754" s="5">
        <f t="shared" si="161"/>
        <v>84.5</v>
      </c>
      <c r="O754">
        <v>250</v>
      </c>
      <c r="P754">
        <v>34</v>
      </c>
      <c r="Q754" s="8">
        <f t="shared" si="162"/>
        <v>34</v>
      </c>
      <c r="R754" s="8">
        <v>186</v>
      </c>
      <c r="S754" s="8">
        <f t="shared" si="163"/>
        <v>186</v>
      </c>
      <c r="T754" s="8">
        <f>(Table1[[#This Row],[Total Cholesterol (mg/dL)]]+Table1[[#This Row],[HDL (mg/dL)2]]+Table1[[#This Row],[Estimated LDL (mg/dL)2]])*5</f>
        <v>2350</v>
      </c>
      <c r="U754" s="8">
        <f>IF(O754="",Table1[[#This Row],[Estimated LDL (mg/dL)2]]+Table1[[#This Row],[HDL (mg/dL)2]]+(Table1[[#This Row],[Triglycerides]]/5),O754)</f>
        <v>250</v>
      </c>
      <c r="V754">
        <v>122</v>
      </c>
      <c r="W754" s="8">
        <f t="shared" si="164"/>
        <v>122</v>
      </c>
      <c r="X754" t="str">
        <f t="shared" si="165"/>
        <v>Prediabetes</v>
      </c>
      <c r="Y754" t="s">
        <v>22</v>
      </c>
      <c r="Z754" t="s">
        <v>22</v>
      </c>
      <c r="AA754" t="s">
        <v>37</v>
      </c>
      <c r="AB754" s="3" t="s">
        <v>669</v>
      </c>
      <c r="AC754">
        <v>119</v>
      </c>
      <c r="AD754" s="3" t="str">
        <f t="shared" si="166"/>
        <v>119</v>
      </c>
      <c r="AE754">
        <v>73</v>
      </c>
      <c r="AF754" s="3" t="str">
        <f t="shared" si="167"/>
        <v>73</v>
      </c>
      <c r="AG754" t="s">
        <v>33</v>
      </c>
      <c r="AH754" s="3">
        <v>16.97</v>
      </c>
      <c r="AI754" s="3">
        <f t="shared" si="168"/>
        <v>16.97</v>
      </c>
      <c r="AJ754" t="s">
        <v>26</v>
      </c>
      <c r="AK754" t="str">
        <f>PROPER(Table1[[#This Row],[CVD Risk Level]])</f>
        <v>Intermediary</v>
      </c>
    </row>
    <row r="755" spans="1:37" x14ac:dyDescent="0.3">
      <c r="A755" t="s">
        <v>31</v>
      </c>
      <c r="B755">
        <v>39</v>
      </c>
      <c r="C755" s="8">
        <f t="shared" si="157"/>
        <v>39</v>
      </c>
      <c r="D755" s="5">
        <v>70.900000000000006</v>
      </c>
      <c r="E755" s="8">
        <f t="shared" si="158"/>
        <v>70.900000000000006</v>
      </c>
      <c r="F755">
        <v>1.85</v>
      </c>
      <c r="G755" s="3">
        <f t="shared" si="159"/>
        <v>1.85</v>
      </c>
      <c r="H755">
        <v>20.7</v>
      </c>
      <c r="I755" s="5">
        <f t="shared" si="155"/>
        <v>20.7</v>
      </c>
      <c r="J755" s="16" t="str">
        <f t="shared" si="160"/>
        <v>Normal</v>
      </c>
      <c r="K755">
        <v>73.2</v>
      </c>
      <c r="L755">
        <v>0.39600000000000002</v>
      </c>
      <c r="M755" s="11">
        <f t="shared" si="156"/>
        <v>0.39600000000000002</v>
      </c>
      <c r="N755" s="5">
        <f t="shared" si="161"/>
        <v>73.2</v>
      </c>
      <c r="O755">
        <v>172</v>
      </c>
      <c r="P755">
        <v>34</v>
      </c>
      <c r="Q755" s="8">
        <f t="shared" si="162"/>
        <v>34</v>
      </c>
      <c r="R755" s="8">
        <v>108</v>
      </c>
      <c r="S755" s="8">
        <f t="shared" si="163"/>
        <v>108</v>
      </c>
      <c r="T755" s="8">
        <f>(Table1[[#This Row],[Total Cholesterol (mg/dL)]]+Table1[[#This Row],[HDL (mg/dL)2]]+Table1[[#This Row],[Estimated LDL (mg/dL)2]])*5</f>
        <v>1570</v>
      </c>
      <c r="U755" s="8">
        <f>IF(O755="",Table1[[#This Row],[Estimated LDL (mg/dL)2]]+Table1[[#This Row],[HDL (mg/dL)2]]+(Table1[[#This Row],[Triglycerides]]/5),O755)</f>
        <v>172</v>
      </c>
      <c r="V755">
        <v>133</v>
      </c>
      <c r="W755" s="8">
        <f t="shared" si="164"/>
        <v>133</v>
      </c>
      <c r="X755" t="str">
        <f t="shared" si="165"/>
        <v>Diabetes</v>
      </c>
      <c r="Y755" t="s">
        <v>23</v>
      </c>
      <c r="Z755" t="s">
        <v>23</v>
      </c>
      <c r="AA755" t="s">
        <v>28</v>
      </c>
      <c r="AB755" s="3" t="s">
        <v>670</v>
      </c>
      <c r="AC755">
        <v>127</v>
      </c>
      <c r="AD755" s="3" t="str">
        <f t="shared" si="166"/>
        <v>127</v>
      </c>
      <c r="AE755">
        <v>86</v>
      </c>
      <c r="AF755" s="3" t="str">
        <f t="shared" si="167"/>
        <v>86</v>
      </c>
      <c r="AG755" t="s">
        <v>29</v>
      </c>
      <c r="AH755" s="3">
        <v>15.93</v>
      </c>
      <c r="AI755" s="3">
        <f t="shared" si="168"/>
        <v>15.93</v>
      </c>
      <c r="AJ755" t="s">
        <v>30</v>
      </c>
      <c r="AK755" t="str">
        <f>PROPER(Table1[[#This Row],[CVD Risk Level]])</f>
        <v>High</v>
      </c>
    </row>
    <row r="756" spans="1:37" x14ac:dyDescent="0.3">
      <c r="A756" t="s">
        <v>20</v>
      </c>
      <c r="C756" s="8">
        <f t="shared" si="157"/>
        <v>47.025499655410059</v>
      </c>
      <c r="D756" s="5">
        <v>79.599999999999994</v>
      </c>
      <c r="E756" s="8">
        <f t="shared" si="158"/>
        <v>79.599999999999994</v>
      </c>
      <c r="F756">
        <v>1.88</v>
      </c>
      <c r="G756" s="3">
        <f t="shared" si="159"/>
        <v>1.88</v>
      </c>
      <c r="H756">
        <v>22.5</v>
      </c>
      <c r="I756" s="5">
        <f t="shared" si="155"/>
        <v>22.5</v>
      </c>
      <c r="J756" s="16" t="str">
        <f t="shared" si="160"/>
        <v>Normal</v>
      </c>
      <c r="K756">
        <v>97</v>
      </c>
      <c r="L756">
        <v>0.51600000000000001</v>
      </c>
      <c r="M756" s="11">
        <f t="shared" si="156"/>
        <v>0.51600000000000001</v>
      </c>
      <c r="N756" s="5">
        <f t="shared" si="161"/>
        <v>97</v>
      </c>
      <c r="O756">
        <v>194</v>
      </c>
      <c r="P756">
        <v>76</v>
      </c>
      <c r="Q756" s="8">
        <f t="shared" si="162"/>
        <v>76</v>
      </c>
      <c r="S756" s="8">
        <f t="shared" si="163"/>
        <v>109</v>
      </c>
      <c r="T756" s="8">
        <f>(Table1[[#This Row],[Total Cholesterol (mg/dL)]]+Table1[[#This Row],[HDL (mg/dL)2]]+Table1[[#This Row],[Estimated LDL (mg/dL)2]])*5</f>
        <v>1895</v>
      </c>
      <c r="U756" s="8">
        <f>IF(O756="",Table1[[#This Row],[Estimated LDL (mg/dL)2]]+Table1[[#This Row],[HDL (mg/dL)2]]+(Table1[[#This Row],[Triglycerides]]/5),O756)</f>
        <v>194</v>
      </c>
      <c r="V756">
        <v>90</v>
      </c>
      <c r="W756" s="8">
        <f t="shared" si="164"/>
        <v>90</v>
      </c>
      <c r="X756" t="str">
        <f t="shared" si="165"/>
        <v>Normal</v>
      </c>
      <c r="Y756" t="s">
        <v>23</v>
      </c>
      <c r="Z756" t="s">
        <v>22</v>
      </c>
      <c r="AA756" t="s">
        <v>37</v>
      </c>
      <c r="AB756" s="3" t="s">
        <v>671</v>
      </c>
      <c r="AC756">
        <v>114</v>
      </c>
      <c r="AD756" s="3" t="str">
        <f t="shared" si="166"/>
        <v>114</v>
      </c>
      <c r="AE756">
        <v>85</v>
      </c>
      <c r="AF756" s="3" t="str">
        <f t="shared" si="167"/>
        <v>85</v>
      </c>
      <c r="AG756" t="s">
        <v>29</v>
      </c>
      <c r="AH756" s="3">
        <v>14.08</v>
      </c>
      <c r="AI756" s="3">
        <f t="shared" si="168"/>
        <v>14.08</v>
      </c>
      <c r="AJ756" t="s">
        <v>26</v>
      </c>
      <c r="AK756" t="str">
        <f>PROPER(Table1[[#This Row],[CVD Risk Level]])</f>
        <v>Intermediary</v>
      </c>
    </row>
    <row r="757" spans="1:37" x14ac:dyDescent="0.3">
      <c r="A757" t="s">
        <v>31</v>
      </c>
      <c r="B757">
        <v>58</v>
      </c>
      <c r="C757" s="8">
        <f t="shared" si="157"/>
        <v>58</v>
      </c>
      <c r="D757" s="5">
        <v>117.8</v>
      </c>
      <c r="E757" s="8">
        <f t="shared" si="158"/>
        <v>117.8</v>
      </c>
      <c r="F757">
        <v>1.66</v>
      </c>
      <c r="G757" s="3">
        <f t="shared" si="159"/>
        <v>1.66</v>
      </c>
      <c r="H757">
        <v>42.7</v>
      </c>
      <c r="I757" s="5">
        <f t="shared" si="155"/>
        <v>42.7</v>
      </c>
      <c r="J757" s="16" t="str">
        <f t="shared" si="160"/>
        <v>Obese</v>
      </c>
      <c r="K757">
        <v>103.3</v>
      </c>
      <c r="L757">
        <v>0.622</v>
      </c>
      <c r="M757" s="11">
        <f t="shared" si="156"/>
        <v>0.622</v>
      </c>
      <c r="N757" s="5">
        <f t="shared" si="161"/>
        <v>103.3</v>
      </c>
      <c r="O757">
        <v>249</v>
      </c>
      <c r="P757">
        <v>71</v>
      </c>
      <c r="Q757" s="8">
        <f t="shared" si="162"/>
        <v>71</v>
      </c>
      <c r="R757" s="8">
        <v>148</v>
      </c>
      <c r="S757" s="8">
        <f>IF(R757&lt;=0,MEDIAN($R$2:$R$1530),R757)</f>
        <v>148</v>
      </c>
      <c r="T757" s="8">
        <f>(Table1[[#This Row],[Total Cholesterol (mg/dL)]]+Table1[[#This Row],[HDL (mg/dL)2]]+Table1[[#This Row],[Estimated LDL (mg/dL)2]])*5</f>
        <v>2340</v>
      </c>
      <c r="U757" s="8">
        <f>IF(O757="",Table1[[#This Row],[Estimated LDL (mg/dL)2]]+Table1[[#This Row],[HDL (mg/dL)2]]+(Table1[[#This Row],[Triglycerides]]/5),O757)</f>
        <v>249</v>
      </c>
      <c r="V757">
        <v>122</v>
      </c>
      <c r="W757" s="8">
        <f t="shared" si="164"/>
        <v>122</v>
      </c>
      <c r="X757" t="str">
        <f t="shared" si="165"/>
        <v>Prediabetes</v>
      </c>
      <c r="Y757" t="s">
        <v>23</v>
      </c>
      <c r="Z757" t="s">
        <v>22</v>
      </c>
      <c r="AA757" t="s">
        <v>24</v>
      </c>
      <c r="AB757" s="3" t="s">
        <v>672</v>
      </c>
      <c r="AC757">
        <v>113</v>
      </c>
      <c r="AD757" s="3" t="str">
        <f t="shared" si="166"/>
        <v>113</v>
      </c>
      <c r="AE757">
        <v>73</v>
      </c>
      <c r="AF757" s="3" t="str">
        <f t="shared" si="167"/>
        <v>73</v>
      </c>
      <c r="AG757" t="s">
        <v>33</v>
      </c>
      <c r="AH757" s="3">
        <v>19.170000000000002</v>
      </c>
      <c r="AI757" s="3">
        <f t="shared" si="168"/>
        <v>19.170000000000002</v>
      </c>
      <c r="AJ757" t="s">
        <v>30</v>
      </c>
      <c r="AK757" t="str">
        <f>PROPER(Table1[[#This Row],[CVD Risk Level]])</f>
        <v>High</v>
      </c>
    </row>
    <row r="758" spans="1:37" x14ac:dyDescent="0.3">
      <c r="A758" t="s">
        <v>20</v>
      </c>
      <c r="B758">
        <v>35</v>
      </c>
      <c r="C758" s="8">
        <f t="shared" si="157"/>
        <v>35</v>
      </c>
      <c r="D758" s="5">
        <v>116.2</v>
      </c>
      <c r="E758" s="8">
        <f t="shared" si="158"/>
        <v>116.2</v>
      </c>
      <c r="F758">
        <v>1.83</v>
      </c>
      <c r="G758" s="3">
        <f t="shared" si="159"/>
        <v>1.83</v>
      </c>
      <c r="H758">
        <v>34.700000000000003</v>
      </c>
      <c r="I758" s="5">
        <f t="shared" si="155"/>
        <v>34.700000000000003</v>
      </c>
      <c r="J758" s="16" t="str">
        <f t="shared" si="160"/>
        <v>Obese</v>
      </c>
      <c r="K758">
        <v>108.4</v>
      </c>
      <c r="L758">
        <v>0.59199999999999997</v>
      </c>
      <c r="M758" s="11">
        <f t="shared" si="156"/>
        <v>0.59199999999999997</v>
      </c>
      <c r="N758" s="5">
        <f t="shared" si="161"/>
        <v>108.4</v>
      </c>
      <c r="O758">
        <v>220</v>
      </c>
      <c r="P758">
        <v>62</v>
      </c>
      <c r="Q758" s="8">
        <f t="shared" si="162"/>
        <v>62</v>
      </c>
      <c r="R758" s="8">
        <v>128</v>
      </c>
      <c r="S758" s="8">
        <f t="shared" si="163"/>
        <v>128</v>
      </c>
      <c r="T758" s="8">
        <f>(Table1[[#This Row],[Total Cholesterol (mg/dL)]]+Table1[[#This Row],[HDL (mg/dL)2]]+Table1[[#This Row],[Estimated LDL (mg/dL)2]])*5</f>
        <v>2050</v>
      </c>
      <c r="U758" s="8">
        <f>IF(O758="",Table1[[#This Row],[Estimated LDL (mg/dL)2]]+Table1[[#This Row],[HDL (mg/dL)2]]+(Table1[[#This Row],[Triglycerides]]/5),O758)</f>
        <v>220</v>
      </c>
      <c r="V758">
        <v>135</v>
      </c>
      <c r="W758" s="8">
        <f t="shared" si="164"/>
        <v>135</v>
      </c>
      <c r="X758" t="str">
        <f t="shared" si="165"/>
        <v>Diabetes</v>
      </c>
      <c r="Y758" t="s">
        <v>22</v>
      </c>
      <c r="Z758" t="s">
        <v>23</v>
      </c>
      <c r="AA758" t="s">
        <v>37</v>
      </c>
      <c r="AB758" s="3" t="s">
        <v>673</v>
      </c>
      <c r="AC758">
        <v>119</v>
      </c>
      <c r="AD758" s="3" t="str">
        <f t="shared" si="166"/>
        <v>119</v>
      </c>
      <c r="AE758">
        <v>66</v>
      </c>
      <c r="AF758" s="3" t="str">
        <f t="shared" si="167"/>
        <v>66</v>
      </c>
      <c r="AG758" t="s">
        <v>33</v>
      </c>
      <c r="AH758" s="3">
        <v>19.29</v>
      </c>
      <c r="AI758" s="3">
        <f t="shared" si="168"/>
        <v>19.29</v>
      </c>
      <c r="AJ758" t="s">
        <v>26</v>
      </c>
      <c r="AK758" t="str">
        <f>PROPER(Table1[[#This Row],[CVD Risk Level]])</f>
        <v>Intermediary</v>
      </c>
    </row>
    <row r="759" spans="1:37" x14ac:dyDescent="0.3">
      <c r="A759" t="s">
        <v>20</v>
      </c>
      <c r="B759">
        <v>41</v>
      </c>
      <c r="C759" s="8">
        <f t="shared" si="157"/>
        <v>41</v>
      </c>
      <c r="D759" s="5">
        <v>103.9</v>
      </c>
      <c r="E759" s="8">
        <f t="shared" si="158"/>
        <v>103.9</v>
      </c>
      <c r="F759">
        <v>1.9</v>
      </c>
      <c r="G759" s="3">
        <f t="shared" si="159"/>
        <v>1.9</v>
      </c>
      <c r="H759">
        <v>28.8</v>
      </c>
      <c r="I759" s="5">
        <f t="shared" si="155"/>
        <v>28.8</v>
      </c>
      <c r="J759" s="16" t="str">
        <f t="shared" si="160"/>
        <v>Overweight</v>
      </c>
      <c r="K759">
        <v>82.4</v>
      </c>
      <c r="L759">
        <v>0.434</v>
      </c>
      <c r="M759" s="11">
        <f t="shared" si="156"/>
        <v>0.434</v>
      </c>
      <c r="N759" s="5">
        <f t="shared" si="161"/>
        <v>82.4</v>
      </c>
      <c r="O759">
        <v>110</v>
      </c>
      <c r="Q759" s="8">
        <f t="shared" si="162"/>
        <v>56.197377501725327</v>
      </c>
      <c r="R759" s="8">
        <v>18</v>
      </c>
      <c r="S759" s="8">
        <f>IF(R759&lt;=0,MEDIAN($R$2:$R$1530),R759)</f>
        <v>18</v>
      </c>
      <c r="T759" s="8">
        <f>(Table1[[#This Row],[Total Cholesterol (mg/dL)]]+Table1[[#This Row],[HDL (mg/dL)2]]+Table1[[#This Row],[Estimated LDL (mg/dL)2]])*5</f>
        <v>920.98688750862664</v>
      </c>
      <c r="U759" s="8">
        <f>IF(O759="",Table1[[#This Row],[Estimated LDL (mg/dL)2]]+Table1[[#This Row],[HDL (mg/dL)2]]+(Table1[[#This Row],[Triglycerides]]/5),O759)</f>
        <v>110</v>
      </c>
      <c r="V759">
        <v>127</v>
      </c>
      <c r="W759" s="8">
        <f t="shared" si="164"/>
        <v>127</v>
      </c>
      <c r="X759" t="str">
        <f t="shared" si="165"/>
        <v>Diabetes</v>
      </c>
      <c r="Y759" t="s">
        <v>23</v>
      </c>
      <c r="Z759" t="s">
        <v>23</v>
      </c>
      <c r="AA759" t="s">
        <v>37</v>
      </c>
      <c r="AB759" s="3" t="s">
        <v>674</v>
      </c>
      <c r="AC759">
        <v>142</v>
      </c>
      <c r="AD759" s="3" t="str">
        <f t="shared" si="166"/>
        <v>142</v>
      </c>
      <c r="AE759">
        <v>93</v>
      </c>
      <c r="AF759" s="3" t="str">
        <f t="shared" si="167"/>
        <v>93</v>
      </c>
      <c r="AG759" t="s">
        <v>38</v>
      </c>
      <c r="AH759" s="3">
        <v>17.059999999999999</v>
      </c>
      <c r="AI759" s="3">
        <f t="shared" si="168"/>
        <v>17.059999999999999</v>
      </c>
      <c r="AJ759" t="s">
        <v>30</v>
      </c>
      <c r="AK759" t="str">
        <f>PROPER(Table1[[#This Row],[CVD Risk Level]])</f>
        <v>High</v>
      </c>
    </row>
    <row r="760" spans="1:37" x14ac:dyDescent="0.3">
      <c r="A760" t="s">
        <v>31</v>
      </c>
      <c r="B760">
        <v>51</v>
      </c>
      <c r="C760" s="8">
        <f t="shared" si="157"/>
        <v>51</v>
      </c>
      <c r="D760" s="5">
        <v>50.5</v>
      </c>
      <c r="E760" s="8">
        <f t="shared" si="158"/>
        <v>50.5</v>
      </c>
      <c r="F760">
        <v>1.66</v>
      </c>
      <c r="G760" s="3">
        <f t="shared" si="159"/>
        <v>1.66</v>
      </c>
      <c r="H760">
        <v>18.3</v>
      </c>
      <c r="I760" s="5">
        <f t="shared" si="155"/>
        <v>18.3</v>
      </c>
      <c r="J760" s="16" t="str">
        <f t="shared" si="160"/>
        <v>Underweight</v>
      </c>
      <c r="K760">
        <v>108</v>
      </c>
      <c r="L760">
        <v>0.65100000000000002</v>
      </c>
      <c r="M760" s="11">
        <f t="shared" si="156"/>
        <v>0.65100000000000002</v>
      </c>
      <c r="N760" s="5">
        <f t="shared" si="161"/>
        <v>108</v>
      </c>
      <c r="O760">
        <v>208</v>
      </c>
      <c r="P760">
        <v>40</v>
      </c>
      <c r="Q760" s="8">
        <f t="shared" si="162"/>
        <v>40</v>
      </c>
      <c r="R760" s="8">
        <v>138</v>
      </c>
      <c r="S760" s="8">
        <f t="shared" si="163"/>
        <v>138</v>
      </c>
      <c r="T760" s="8">
        <f>(Table1[[#This Row],[Total Cholesterol (mg/dL)]]+Table1[[#This Row],[HDL (mg/dL)2]]+Table1[[#This Row],[Estimated LDL (mg/dL)2]])*5</f>
        <v>1930</v>
      </c>
      <c r="U760" s="8">
        <f>IF(O760="",Table1[[#This Row],[Estimated LDL (mg/dL)2]]+Table1[[#This Row],[HDL (mg/dL)2]]+(Table1[[#This Row],[Triglycerides]]/5),O760)</f>
        <v>208</v>
      </c>
      <c r="V760">
        <v>80</v>
      </c>
      <c r="W760" s="8">
        <f t="shared" si="164"/>
        <v>80</v>
      </c>
      <c r="X760" t="str">
        <f t="shared" si="165"/>
        <v>Normal</v>
      </c>
      <c r="Y760" t="s">
        <v>23</v>
      </c>
      <c r="Z760" t="s">
        <v>23</v>
      </c>
      <c r="AA760" t="s">
        <v>37</v>
      </c>
      <c r="AB760" s="3" t="s">
        <v>675</v>
      </c>
      <c r="AC760">
        <v>148</v>
      </c>
      <c r="AD760" s="3" t="str">
        <f t="shared" si="166"/>
        <v>148</v>
      </c>
      <c r="AE760">
        <v>73</v>
      </c>
      <c r="AF760" s="3" t="str">
        <f t="shared" si="167"/>
        <v>73</v>
      </c>
      <c r="AG760" t="s">
        <v>38</v>
      </c>
      <c r="AH760" s="3">
        <v>17.22</v>
      </c>
      <c r="AI760" s="3">
        <f t="shared" si="168"/>
        <v>17.22</v>
      </c>
      <c r="AJ760" t="s">
        <v>30</v>
      </c>
      <c r="AK760" t="str">
        <f>PROPER(Table1[[#This Row],[CVD Risk Level]])</f>
        <v>High</v>
      </c>
    </row>
    <row r="761" spans="1:37" x14ac:dyDescent="0.3">
      <c r="A761" t="s">
        <v>31</v>
      </c>
      <c r="C761" s="8">
        <f t="shared" si="157"/>
        <v>47.025499655410059</v>
      </c>
      <c r="D761" s="5">
        <v>55.6</v>
      </c>
      <c r="E761" s="8">
        <f t="shared" si="158"/>
        <v>55.6</v>
      </c>
      <c r="F761">
        <v>1.83</v>
      </c>
      <c r="G761" s="3">
        <f t="shared" si="159"/>
        <v>1.83</v>
      </c>
      <c r="H761">
        <v>16.600000000000001</v>
      </c>
      <c r="I761" s="5">
        <f t="shared" si="155"/>
        <v>16.600000000000001</v>
      </c>
      <c r="J761" s="16" t="str">
        <f t="shared" si="160"/>
        <v>Underweight</v>
      </c>
      <c r="K761">
        <v>104.8</v>
      </c>
      <c r="L761">
        <v>0.57299999999999995</v>
      </c>
      <c r="M761" s="11">
        <f t="shared" si="156"/>
        <v>0.57299999999999995</v>
      </c>
      <c r="N761" s="5">
        <f t="shared" si="161"/>
        <v>104.8</v>
      </c>
      <c r="O761">
        <v>289</v>
      </c>
      <c r="P761">
        <v>58</v>
      </c>
      <c r="Q761" s="8">
        <f t="shared" si="162"/>
        <v>58</v>
      </c>
      <c r="R761" s="8">
        <v>201</v>
      </c>
      <c r="S761" s="8">
        <f t="shared" si="163"/>
        <v>201</v>
      </c>
      <c r="T761" s="8">
        <f>(Table1[[#This Row],[Total Cholesterol (mg/dL)]]+Table1[[#This Row],[HDL (mg/dL)2]]+Table1[[#This Row],[Estimated LDL (mg/dL)2]])*5</f>
        <v>2740</v>
      </c>
      <c r="U761" s="8">
        <f>IF(O761="",Table1[[#This Row],[Estimated LDL (mg/dL)2]]+Table1[[#This Row],[HDL (mg/dL)2]]+(Table1[[#This Row],[Triglycerides]]/5),O761)</f>
        <v>289</v>
      </c>
      <c r="V761">
        <v>135</v>
      </c>
      <c r="W761" s="8">
        <f t="shared" si="164"/>
        <v>135</v>
      </c>
      <c r="X761" t="str">
        <f t="shared" si="165"/>
        <v>Diabetes</v>
      </c>
      <c r="Y761" t="s">
        <v>23</v>
      </c>
      <c r="Z761" t="s">
        <v>22</v>
      </c>
      <c r="AA761" t="s">
        <v>28</v>
      </c>
      <c r="AB761" s="3" t="s">
        <v>676</v>
      </c>
      <c r="AC761">
        <v>126</v>
      </c>
      <c r="AD761" s="3" t="str">
        <f t="shared" si="166"/>
        <v>126</v>
      </c>
      <c r="AE761">
        <v>95</v>
      </c>
      <c r="AF761" s="3" t="str">
        <f t="shared" si="167"/>
        <v>95</v>
      </c>
      <c r="AG761" t="s">
        <v>38</v>
      </c>
      <c r="AH761" s="3">
        <v>15.4</v>
      </c>
      <c r="AI761" s="3">
        <f t="shared" si="168"/>
        <v>15.4</v>
      </c>
      <c r="AJ761" t="s">
        <v>26</v>
      </c>
      <c r="AK761" t="str">
        <f>PROPER(Table1[[#This Row],[CVD Risk Level]])</f>
        <v>Intermediary</v>
      </c>
    </row>
    <row r="762" spans="1:37" x14ac:dyDescent="0.3">
      <c r="A762" t="s">
        <v>20</v>
      </c>
      <c r="B762">
        <v>52</v>
      </c>
      <c r="C762" s="8">
        <f t="shared" si="157"/>
        <v>52</v>
      </c>
      <c r="D762" s="5">
        <v>98.9</v>
      </c>
      <c r="E762" s="8">
        <f t="shared" si="158"/>
        <v>98.9</v>
      </c>
      <c r="F762">
        <v>1.78</v>
      </c>
      <c r="G762" s="3">
        <f t="shared" si="159"/>
        <v>1.78</v>
      </c>
      <c r="H762">
        <v>31.2</v>
      </c>
      <c r="I762" s="5">
        <f t="shared" si="155"/>
        <v>31.2</v>
      </c>
      <c r="J762" s="16" t="str">
        <f t="shared" si="160"/>
        <v>Obese</v>
      </c>
      <c r="K762">
        <v>86.4</v>
      </c>
      <c r="L762">
        <v>0.48499999999999999</v>
      </c>
      <c r="M762" s="11">
        <f t="shared" si="156"/>
        <v>0.48499999999999999</v>
      </c>
      <c r="N762" s="5">
        <f t="shared" si="161"/>
        <v>86.4</v>
      </c>
      <c r="O762">
        <v>277</v>
      </c>
      <c r="P762">
        <v>36</v>
      </c>
      <c r="Q762" s="8">
        <f t="shared" si="162"/>
        <v>36</v>
      </c>
      <c r="R762" s="8">
        <v>211</v>
      </c>
      <c r="S762" s="8">
        <f t="shared" si="163"/>
        <v>211</v>
      </c>
      <c r="T762" s="8">
        <f>(Table1[[#This Row],[Total Cholesterol (mg/dL)]]+Table1[[#This Row],[HDL (mg/dL)2]]+Table1[[#This Row],[Estimated LDL (mg/dL)2]])*5</f>
        <v>2620</v>
      </c>
      <c r="U762" s="8">
        <f>IF(O762="",Table1[[#This Row],[Estimated LDL (mg/dL)2]]+Table1[[#This Row],[HDL (mg/dL)2]]+(Table1[[#This Row],[Triglycerides]]/5),O762)</f>
        <v>277</v>
      </c>
      <c r="V762">
        <v>88</v>
      </c>
      <c r="W762" s="8">
        <f t="shared" si="164"/>
        <v>88</v>
      </c>
      <c r="X762" t="str">
        <f t="shared" si="165"/>
        <v>Normal</v>
      </c>
      <c r="Y762" t="s">
        <v>23</v>
      </c>
      <c r="Z762" t="s">
        <v>23</v>
      </c>
      <c r="AA762" t="s">
        <v>37</v>
      </c>
      <c r="AB762" s="3" t="s">
        <v>677</v>
      </c>
      <c r="AC762">
        <v>138</v>
      </c>
      <c r="AD762" s="3" t="str">
        <f t="shared" si="166"/>
        <v>138</v>
      </c>
      <c r="AE762">
        <v>84</v>
      </c>
      <c r="AF762" s="3" t="str">
        <f t="shared" si="167"/>
        <v>84</v>
      </c>
      <c r="AG762" t="s">
        <v>29</v>
      </c>
      <c r="AH762" s="3">
        <v>20.68</v>
      </c>
      <c r="AI762" s="3">
        <f t="shared" si="168"/>
        <v>20.68</v>
      </c>
      <c r="AJ762" t="s">
        <v>30</v>
      </c>
      <c r="AK762" t="str">
        <f>PROPER(Table1[[#This Row],[CVD Risk Level]])</f>
        <v>High</v>
      </c>
    </row>
    <row r="763" spans="1:37" x14ac:dyDescent="0.3">
      <c r="A763" t="s">
        <v>31</v>
      </c>
      <c r="B763">
        <v>51</v>
      </c>
      <c r="C763" s="8">
        <f t="shared" si="157"/>
        <v>51</v>
      </c>
      <c r="D763" s="5">
        <v>72.8</v>
      </c>
      <c r="E763" s="8">
        <f t="shared" si="158"/>
        <v>72.8</v>
      </c>
      <c r="F763">
        <v>1.81</v>
      </c>
      <c r="G763" s="3">
        <f t="shared" si="159"/>
        <v>1.81</v>
      </c>
      <c r="H763">
        <v>22.2</v>
      </c>
      <c r="I763" s="5">
        <f t="shared" si="155"/>
        <v>22.2</v>
      </c>
      <c r="J763" s="16" t="str">
        <f t="shared" si="160"/>
        <v>Normal</v>
      </c>
      <c r="L763">
        <v>0.50800000000000001</v>
      </c>
      <c r="M763" s="11">
        <f t="shared" si="156"/>
        <v>0.50800000000000001</v>
      </c>
      <c r="N763" s="5">
        <f t="shared" si="161"/>
        <v>91.948000000000008</v>
      </c>
      <c r="O763">
        <v>101</v>
      </c>
      <c r="P763">
        <v>78</v>
      </c>
      <c r="Q763" s="8">
        <f t="shared" si="162"/>
        <v>78</v>
      </c>
      <c r="R763" s="8">
        <v>-7</v>
      </c>
      <c r="S763" s="8">
        <f t="shared" si="163"/>
        <v>109</v>
      </c>
      <c r="T763" s="8">
        <f>(Table1[[#This Row],[Total Cholesterol (mg/dL)]]+Table1[[#This Row],[HDL (mg/dL)2]]+Table1[[#This Row],[Estimated LDL (mg/dL)2]])*5</f>
        <v>1440</v>
      </c>
      <c r="U763" s="8">
        <f>IF(O763="",Table1[[#This Row],[Estimated LDL (mg/dL)2]]+Table1[[#This Row],[HDL (mg/dL)2]]+(Table1[[#This Row],[Triglycerides]]/5),O763)</f>
        <v>101</v>
      </c>
      <c r="V763">
        <v>76</v>
      </c>
      <c r="W763" s="8">
        <f t="shared" si="164"/>
        <v>76</v>
      </c>
      <c r="X763" t="str">
        <f t="shared" si="165"/>
        <v>Normal</v>
      </c>
      <c r="Y763" t="s">
        <v>22</v>
      </c>
      <c r="Z763" t="s">
        <v>22</v>
      </c>
      <c r="AA763" t="s">
        <v>37</v>
      </c>
      <c r="AB763" s="3" t="s">
        <v>678</v>
      </c>
      <c r="AC763">
        <v>126</v>
      </c>
      <c r="AD763" s="3" t="str">
        <f t="shared" si="166"/>
        <v>126</v>
      </c>
      <c r="AE763">
        <v>82</v>
      </c>
      <c r="AF763" s="3" t="str">
        <f t="shared" si="167"/>
        <v>82</v>
      </c>
      <c r="AG763" t="s">
        <v>29</v>
      </c>
      <c r="AH763" s="3">
        <v>12.76</v>
      </c>
      <c r="AI763" s="3">
        <f t="shared" si="168"/>
        <v>12.76</v>
      </c>
      <c r="AJ763" t="s">
        <v>26</v>
      </c>
      <c r="AK763" t="str">
        <f>PROPER(Table1[[#This Row],[CVD Risk Level]])</f>
        <v>Intermediary</v>
      </c>
    </row>
    <row r="764" spans="1:37" x14ac:dyDescent="0.3">
      <c r="A764" t="s">
        <v>20</v>
      </c>
      <c r="B764">
        <v>49</v>
      </c>
      <c r="C764" s="8">
        <f t="shared" si="157"/>
        <v>49</v>
      </c>
      <c r="D764" s="5">
        <v>85.8</v>
      </c>
      <c r="E764" s="8">
        <f t="shared" si="158"/>
        <v>85.8</v>
      </c>
      <c r="F764">
        <v>1.78</v>
      </c>
      <c r="G764" s="3">
        <f t="shared" si="159"/>
        <v>1.78</v>
      </c>
      <c r="H764">
        <v>27.1</v>
      </c>
      <c r="I764" s="5">
        <f t="shared" si="155"/>
        <v>27.1</v>
      </c>
      <c r="J764" s="16" t="str">
        <f t="shared" si="160"/>
        <v>Overweight</v>
      </c>
      <c r="K764">
        <v>76.900000000000006</v>
      </c>
      <c r="L764">
        <v>0.432</v>
      </c>
      <c r="M764" s="11">
        <f t="shared" si="156"/>
        <v>0.432</v>
      </c>
      <c r="N764" s="5">
        <f t="shared" si="161"/>
        <v>76.900000000000006</v>
      </c>
      <c r="O764">
        <v>136</v>
      </c>
      <c r="P764">
        <v>31</v>
      </c>
      <c r="Q764" s="8">
        <f t="shared" si="162"/>
        <v>31</v>
      </c>
      <c r="R764" s="8">
        <v>75</v>
      </c>
      <c r="S764" s="8">
        <f t="shared" si="163"/>
        <v>75</v>
      </c>
      <c r="T764" s="8">
        <f>(Table1[[#This Row],[Total Cholesterol (mg/dL)]]+Table1[[#This Row],[HDL (mg/dL)2]]+Table1[[#This Row],[Estimated LDL (mg/dL)2]])*5</f>
        <v>1210</v>
      </c>
      <c r="U764" s="8">
        <f>IF(O764="",Table1[[#This Row],[Estimated LDL (mg/dL)2]]+Table1[[#This Row],[HDL (mg/dL)2]]+(Table1[[#This Row],[Triglycerides]]/5),O764)</f>
        <v>136</v>
      </c>
      <c r="V764">
        <v>125</v>
      </c>
      <c r="W764" s="8">
        <f t="shared" si="164"/>
        <v>125</v>
      </c>
      <c r="X764" t="str">
        <f t="shared" si="165"/>
        <v>Prediabetes</v>
      </c>
      <c r="Y764" t="s">
        <v>22</v>
      </c>
      <c r="Z764" t="s">
        <v>23</v>
      </c>
      <c r="AA764" t="s">
        <v>37</v>
      </c>
      <c r="AB764" s="3" t="s">
        <v>187</v>
      </c>
      <c r="AC764">
        <v>121</v>
      </c>
      <c r="AD764" s="3" t="str">
        <f t="shared" si="166"/>
        <v>121</v>
      </c>
      <c r="AE764">
        <v>67</v>
      </c>
      <c r="AF764" s="3" t="str">
        <f t="shared" si="167"/>
        <v>67</v>
      </c>
      <c r="AG764" t="s">
        <v>25</v>
      </c>
      <c r="AH764" s="3">
        <v>16.190000000000001</v>
      </c>
      <c r="AI764" s="3">
        <f t="shared" si="168"/>
        <v>16.190000000000001</v>
      </c>
      <c r="AJ764" t="s">
        <v>30</v>
      </c>
      <c r="AK764" t="str">
        <f>PROPER(Table1[[#This Row],[CVD Risk Level]])</f>
        <v>High</v>
      </c>
    </row>
    <row r="765" spans="1:37" x14ac:dyDescent="0.3">
      <c r="A765" t="s">
        <v>20</v>
      </c>
      <c r="B765">
        <v>37</v>
      </c>
      <c r="C765" s="8">
        <f t="shared" si="157"/>
        <v>37</v>
      </c>
      <c r="E765" s="8">
        <f t="shared" si="158"/>
        <v>90.569710000000015</v>
      </c>
      <c r="F765">
        <v>1.87</v>
      </c>
      <c r="G765" s="3">
        <f t="shared" si="159"/>
        <v>1.87</v>
      </c>
      <c r="H765">
        <v>25.9</v>
      </c>
      <c r="I765" s="5">
        <f t="shared" si="155"/>
        <v>25.9</v>
      </c>
      <c r="J765" s="16" t="str">
        <f t="shared" si="160"/>
        <v>Overweight</v>
      </c>
      <c r="K765">
        <v>87.6</v>
      </c>
      <c r="L765">
        <v>0.46800000000000003</v>
      </c>
      <c r="M765" s="11">
        <f t="shared" si="156"/>
        <v>0.46800000000000003</v>
      </c>
      <c r="N765" s="5">
        <f t="shared" si="161"/>
        <v>87.6</v>
      </c>
      <c r="O765">
        <v>252</v>
      </c>
      <c r="P765">
        <v>79</v>
      </c>
      <c r="Q765" s="8">
        <f t="shared" si="162"/>
        <v>79</v>
      </c>
      <c r="R765" s="8">
        <v>143</v>
      </c>
      <c r="S765" s="8">
        <f t="shared" si="163"/>
        <v>143</v>
      </c>
      <c r="T765" s="8">
        <f>(Table1[[#This Row],[Total Cholesterol (mg/dL)]]+Table1[[#This Row],[HDL (mg/dL)2]]+Table1[[#This Row],[Estimated LDL (mg/dL)2]])*5</f>
        <v>2370</v>
      </c>
      <c r="U765" s="8">
        <f>IF(O765="",Table1[[#This Row],[Estimated LDL (mg/dL)2]]+Table1[[#This Row],[HDL (mg/dL)2]]+(Table1[[#This Row],[Triglycerides]]/5),O765)</f>
        <v>252</v>
      </c>
      <c r="V765">
        <v>133</v>
      </c>
      <c r="W765" s="8">
        <f t="shared" si="164"/>
        <v>133</v>
      </c>
      <c r="X765" t="str">
        <f t="shared" si="165"/>
        <v>Diabetes</v>
      </c>
      <c r="Y765" t="s">
        <v>23</v>
      </c>
      <c r="Z765" t="s">
        <v>23</v>
      </c>
      <c r="AA765" t="s">
        <v>28</v>
      </c>
      <c r="AB765" s="3" t="s">
        <v>679</v>
      </c>
      <c r="AC765">
        <v>113</v>
      </c>
      <c r="AD765" s="3" t="str">
        <f t="shared" si="166"/>
        <v>113</v>
      </c>
      <c r="AE765">
        <v>75</v>
      </c>
      <c r="AF765" s="3" t="str">
        <f t="shared" si="167"/>
        <v>75</v>
      </c>
      <c r="AG765" t="s">
        <v>33</v>
      </c>
      <c r="AH765" s="3">
        <v>17.87</v>
      </c>
      <c r="AI765" s="3">
        <f t="shared" si="168"/>
        <v>17.87</v>
      </c>
      <c r="AJ765" t="s">
        <v>30</v>
      </c>
      <c r="AK765" t="str">
        <f>PROPER(Table1[[#This Row],[CVD Risk Level]])</f>
        <v>High</v>
      </c>
    </row>
    <row r="766" spans="1:37" x14ac:dyDescent="0.3">
      <c r="A766" t="s">
        <v>20</v>
      </c>
      <c r="B766">
        <v>60</v>
      </c>
      <c r="C766" s="8">
        <f t="shared" si="157"/>
        <v>60</v>
      </c>
      <c r="D766" s="5">
        <v>71.3</v>
      </c>
      <c r="E766" s="8">
        <f t="shared" si="158"/>
        <v>71.3</v>
      </c>
      <c r="F766">
        <v>1.68</v>
      </c>
      <c r="G766" s="3">
        <f t="shared" si="159"/>
        <v>1.68</v>
      </c>
      <c r="H766">
        <v>25.3</v>
      </c>
      <c r="I766" s="5">
        <f t="shared" si="155"/>
        <v>25.3</v>
      </c>
      <c r="J766" s="16" t="str">
        <f t="shared" si="160"/>
        <v>Overweight</v>
      </c>
      <c r="K766">
        <v>95.3</v>
      </c>
      <c r="M766" s="11">
        <f t="shared" si="156"/>
        <v>0.56726190476190474</v>
      </c>
      <c r="N766" s="5">
        <f t="shared" si="161"/>
        <v>95.3</v>
      </c>
      <c r="O766">
        <v>271</v>
      </c>
      <c r="P766">
        <v>59</v>
      </c>
      <c r="Q766" s="8">
        <f t="shared" si="162"/>
        <v>59</v>
      </c>
      <c r="R766" s="8">
        <v>182</v>
      </c>
      <c r="S766" s="8">
        <f t="shared" si="163"/>
        <v>182</v>
      </c>
      <c r="T766" s="8">
        <f>(Table1[[#This Row],[Total Cholesterol (mg/dL)]]+Table1[[#This Row],[HDL (mg/dL)2]]+Table1[[#This Row],[Estimated LDL (mg/dL)2]])*5</f>
        <v>2560</v>
      </c>
      <c r="U766" s="8">
        <f>IF(O766="",Table1[[#This Row],[Estimated LDL (mg/dL)2]]+Table1[[#This Row],[HDL (mg/dL)2]]+(Table1[[#This Row],[Triglycerides]]/5),O766)</f>
        <v>271</v>
      </c>
      <c r="V766">
        <v>93</v>
      </c>
      <c r="W766" s="8">
        <f t="shared" si="164"/>
        <v>93</v>
      </c>
      <c r="X766" t="str">
        <f t="shared" si="165"/>
        <v>Normal</v>
      </c>
      <c r="Y766" t="s">
        <v>23</v>
      </c>
      <c r="Z766" t="s">
        <v>23</v>
      </c>
      <c r="AA766" t="s">
        <v>28</v>
      </c>
      <c r="AB766" s="3" t="s">
        <v>680</v>
      </c>
      <c r="AC766">
        <v>92</v>
      </c>
      <c r="AD766" s="3" t="str">
        <f t="shared" si="166"/>
        <v>92</v>
      </c>
      <c r="AE766">
        <v>70</v>
      </c>
      <c r="AF766" s="3" t="str">
        <f t="shared" si="167"/>
        <v>70</v>
      </c>
      <c r="AG766" t="s">
        <v>33</v>
      </c>
      <c r="AH766" s="3">
        <v>17.079999999999998</v>
      </c>
      <c r="AI766" s="3">
        <f t="shared" si="168"/>
        <v>17.079999999999998</v>
      </c>
      <c r="AJ766" t="s">
        <v>30</v>
      </c>
      <c r="AK766" t="str">
        <f>PROPER(Table1[[#This Row],[CVD Risk Level]])</f>
        <v>High</v>
      </c>
    </row>
    <row r="767" spans="1:37" x14ac:dyDescent="0.3">
      <c r="A767" t="s">
        <v>20</v>
      </c>
      <c r="B767">
        <v>31</v>
      </c>
      <c r="C767" s="8">
        <f t="shared" si="157"/>
        <v>31</v>
      </c>
      <c r="D767" s="5">
        <v>94.5</v>
      </c>
      <c r="E767" s="8">
        <f t="shared" si="158"/>
        <v>94.5</v>
      </c>
      <c r="F767">
        <v>1.82</v>
      </c>
      <c r="G767" s="3">
        <f t="shared" si="159"/>
        <v>1.82</v>
      </c>
      <c r="H767">
        <v>28.5</v>
      </c>
      <c r="I767" s="5">
        <f t="shared" si="155"/>
        <v>28.5</v>
      </c>
      <c r="J767" s="16" t="str">
        <f t="shared" si="160"/>
        <v>Overweight</v>
      </c>
      <c r="K767">
        <v>74.599999999999994</v>
      </c>
      <c r="L767">
        <v>0.41</v>
      </c>
      <c r="M767" s="11">
        <f t="shared" si="156"/>
        <v>0.41</v>
      </c>
      <c r="N767" s="5">
        <f t="shared" si="161"/>
        <v>74.599999999999994</v>
      </c>
      <c r="O767">
        <v>115</v>
      </c>
      <c r="Q767" s="8">
        <f t="shared" si="162"/>
        <v>56.197377501725327</v>
      </c>
      <c r="R767" s="8">
        <v>13</v>
      </c>
      <c r="S767" s="8">
        <f>IF(R767&lt;=0,MEDIAN($R$2:$R$1530),R767)</f>
        <v>13</v>
      </c>
      <c r="T767" s="8">
        <f>(Table1[[#This Row],[Total Cholesterol (mg/dL)]]+Table1[[#This Row],[HDL (mg/dL)2]]+Table1[[#This Row],[Estimated LDL (mg/dL)2]])*5</f>
        <v>920.98688750862664</v>
      </c>
      <c r="U767" s="8">
        <f>IF(O767="",Table1[[#This Row],[Estimated LDL (mg/dL)2]]+Table1[[#This Row],[HDL (mg/dL)2]]+(Table1[[#This Row],[Triglycerides]]/5),O767)</f>
        <v>115</v>
      </c>
      <c r="V767">
        <v>144</v>
      </c>
      <c r="W767" s="8">
        <f t="shared" si="164"/>
        <v>144</v>
      </c>
      <c r="X767" t="str">
        <f t="shared" si="165"/>
        <v>Diabetes</v>
      </c>
      <c r="Y767" t="s">
        <v>23</v>
      </c>
      <c r="Z767" t="s">
        <v>23</v>
      </c>
      <c r="AA767" t="s">
        <v>37</v>
      </c>
      <c r="AB767" s="3" t="s">
        <v>681</v>
      </c>
      <c r="AC767">
        <v>90</v>
      </c>
      <c r="AD767" s="3" t="str">
        <f t="shared" si="166"/>
        <v>90</v>
      </c>
      <c r="AE767">
        <v>79</v>
      </c>
      <c r="AF767" s="3" t="str">
        <f t="shared" si="167"/>
        <v>79</v>
      </c>
      <c r="AG767" t="s">
        <v>33</v>
      </c>
      <c r="AH767" s="3">
        <v>14.5</v>
      </c>
      <c r="AI767" s="3">
        <f t="shared" si="168"/>
        <v>14.5</v>
      </c>
      <c r="AJ767" t="s">
        <v>26</v>
      </c>
      <c r="AK767" t="str">
        <f>PROPER(Table1[[#This Row],[CVD Risk Level]])</f>
        <v>Intermediary</v>
      </c>
    </row>
    <row r="768" spans="1:37" x14ac:dyDescent="0.3">
      <c r="A768" t="s">
        <v>20</v>
      </c>
      <c r="B768">
        <v>36</v>
      </c>
      <c r="C768" s="8">
        <f t="shared" si="157"/>
        <v>36</v>
      </c>
      <c r="D768" s="5">
        <v>62.1</v>
      </c>
      <c r="E768" s="8">
        <f t="shared" si="158"/>
        <v>62.1</v>
      </c>
      <c r="F768">
        <v>1.76</v>
      </c>
      <c r="G768" s="3">
        <f t="shared" si="159"/>
        <v>1.76</v>
      </c>
      <c r="H768">
        <v>20</v>
      </c>
      <c r="I768" s="5">
        <f t="shared" si="155"/>
        <v>20</v>
      </c>
      <c r="J768" s="16" t="str">
        <f t="shared" si="160"/>
        <v>Normal</v>
      </c>
      <c r="K768">
        <v>70.599999999999994</v>
      </c>
      <c r="L768">
        <v>0.40100000000000002</v>
      </c>
      <c r="M768" s="11">
        <f t="shared" si="156"/>
        <v>0.40100000000000002</v>
      </c>
      <c r="N768" s="5">
        <f t="shared" si="161"/>
        <v>70.599999999999994</v>
      </c>
      <c r="O768">
        <v>226</v>
      </c>
      <c r="P768">
        <v>63</v>
      </c>
      <c r="Q768" s="8">
        <f t="shared" si="162"/>
        <v>63</v>
      </c>
      <c r="R768" s="8">
        <v>133</v>
      </c>
      <c r="S768" s="8">
        <f t="shared" si="163"/>
        <v>133</v>
      </c>
      <c r="T768" s="8">
        <f>(Table1[[#This Row],[Total Cholesterol (mg/dL)]]+Table1[[#This Row],[HDL (mg/dL)2]]+Table1[[#This Row],[Estimated LDL (mg/dL)2]])*5</f>
        <v>2110</v>
      </c>
      <c r="U768" s="8">
        <f>IF(O768="",Table1[[#This Row],[Estimated LDL (mg/dL)2]]+Table1[[#This Row],[HDL (mg/dL)2]]+(Table1[[#This Row],[Triglycerides]]/5),O768)</f>
        <v>226</v>
      </c>
      <c r="V768">
        <v>107</v>
      </c>
      <c r="W768" s="8">
        <f t="shared" si="164"/>
        <v>107</v>
      </c>
      <c r="X768" t="str">
        <f t="shared" si="165"/>
        <v>Prediabetes</v>
      </c>
      <c r="Y768" t="s">
        <v>23</v>
      </c>
      <c r="Z768" t="s">
        <v>22</v>
      </c>
      <c r="AA768" t="s">
        <v>28</v>
      </c>
      <c r="AB768" s="3" t="s">
        <v>682</v>
      </c>
      <c r="AC768">
        <v>126</v>
      </c>
      <c r="AD768" s="3" t="str">
        <f t="shared" si="166"/>
        <v>126</v>
      </c>
      <c r="AE768">
        <v>89</v>
      </c>
      <c r="AF768" s="3" t="str">
        <f t="shared" si="167"/>
        <v>89</v>
      </c>
      <c r="AG768" t="s">
        <v>29</v>
      </c>
      <c r="AI768" s="3">
        <f t="shared" si="168"/>
        <v>16.960925291295425</v>
      </c>
      <c r="AJ768" t="s">
        <v>26</v>
      </c>
      <c r="AK768" t="str">
        <f>PROPER(Table1[[#This Row],[CVD Risk Level]])</f>
        <v>Intermediary</v>
      </c>
    </row>
    <row r="769" spans="1:37" x14ac:dyDescent="0.3">
      <c r="A769" t="s">
        <v>31</v>
      </c>
      <c r="B769">
        <v>58</v>
      </c>
      <c r="C769" s="8">
        <f t="shared" si="157"/>
        <v>58</v>
      </c>
      <c r="D769" s="5">
        <v>56</v>
      </c>
      <c r="E769" s="8">
        <f t="shared" si="158"/>
        <v>56</v>
      </c>
      <c r="F769">
        <v>1.82</v>
      </c>
      <c r="G769" s="3">
        <f t="shared" si="159"/>
        <v>1.82</v>
      </c>
      <c r="H769">
        <v>16.899999999999999</v>
      </c>
      <c r="I769" s="5">
        <f t="shared" si="155"/>
        <v>16.899999999999999</v>
      </c>
      <c r="J769" s="16" t="str">
        <f t="shared" si="160"/>
        <v>Underweight</v>
      </c>
      <c r="K769">
        <v>104.2</v>
      </c>
      <c r="M769" s="11">
        <f t="shared" si="156"/>
        <v>0.57252747252747249</v>
      </c>
      <c r="N769" s="5">
        <f t="shared" si="161"/>
        <v>104.2</v>
      </c>
      <c r="O769">
        <v>144</v>
      </c>
      <c r="P769">
        <v>43</v>
      </c>
      <c r="Q769" s="8">
        <f t="shared" si="162"/>
        <v>43</v>
      </c>
      <c r="R769" s="8">
        <v>71</v>
      </c>
      <c r="S769" s="8">
        <f t="shared" si="163"/>
        <v>71</v>
      </c>
      <c r="T769" s="8">
        <f>(Table1[[#This Row],[Total Cholesterol (mg/dL)]]+Table1[[#This Row],[HDL (mg/dL)2]]+Table1[[#This Row],[Estimated LDL (mg/dL)2]])*5</f>
        <v>1290</v>
      </c>
      <c r="U769" s="8">
        <f>IF(O769="",Table1[[#This Row],[Estimated LDL (mg/dL)2]]+Table1[[#This Row],[HDL (mg/dL)2]]+(Table1[[#This Row],[Triglycerides]]/5),O769)</f>
        <v>144</v>
      </c>
      <c r="V769">
        <v>98</v>
      </c>
      <c r="W769" s="8">
        <f t="shared" si="164"/>
        <v>98</v>
      </c>
      <c r="X769" t="str">
        <f t="shared" si="165"/>
        <v>Normal</v>
      </c>
      <c r="Y769" t="s">
        <v>23</v>
      </c>
      <c r="Z769" t="s">
        <v>22</v>
      </c>
      <c r="AA769" t="s">
        <v>24</v>
      </c>
      <c r="AB769" s="3" t="s">
        <v>683</v>
      </c>
      <c r="AC769">
        <v>132</v>
      </c>
      <c r="AD769" s="3" t="str">
        <f t="shared" si="166"/>
        <v>132</v>
      </c>
      <c r="AE769">
        <v>78</v>
      </c>
      <c r="AF769" s="3" t="str">
        <f t="shared" si="167"/>
        <v>78</v>
      </c>
      <c r="AG769" t="s">
        <v>29</v>
      </c>
      <c r="AH769" s="3">
        <v>12.86</v>
      </c>
      <c r="AI769" s="3">
        <f t="shared" si="168"/>
        <v>12.86</v>
      </c>
      <c r="AJ769" t="s">
        <v>30</v>
      </c>
      <c r="AK769" t="str">
        <f>PROPER(Table1[[#This Row],[CVD Risk Level]])</f>
        <v>High</v>
      </c>
    </row>
    <row r="770" spans="1:37" x14ac:dyDescent="0.3">
      <c r="A770" t="s">
        <v>20</v>
      </c>
      <c r="B770">
        <v>53</v>
      </c>
      <c r="C770" s="8">
        <f t="shared" si="157"/>
        <v>53</v>
      </c>
      <c r="D770" s="5">
        <v>68.599999999999994</v>
      </c>
      <c r="E770" s="8">
        <f t="shared" si="158"/>
        <v>68.599999999999994</v>
      </c>
      <c r="F770">
        <v>1.89</v>
      </c>
      <c r="G770" s="3">
        <f t="shared" si="159"/>
        <v>1.89</v>
      </c>
      <c r="H770">
        <v>19.2</v>
      </c>
      <c r="I770" s="5">
        <f t="shared" ref="I770:I833" si="169" xml:space="preserve"> IF(H770="",E770 / (G770^2),H770)</f>
        <v>19.2</v>
      </c>
      <c r="J770" s="16" t="str">
        <f t="shared" si="160"/>
        <v>Normal</v>
      </c>
      <c r="K770">
        <v>88.2</v>
      </c>
      <c r="L770">
        <v>0.46700000000000003</v>
      </c>
      <c r="M770" s="11">
        <f t="shared" ref="M770:M833" si="170">IF(L770="",K770/(G770*100),L770)</f>
        <v>0.46700000000000003</v>
      </c>
      <c r="N770" s="5">
        <f t="shared" si="161"/>
        <v>88.2</v>
      </c>
      <c r="O770">
        <v>199</v>
      </c>
      <c r="P770">
        <v>73</v>
      </c>
      <c r="Q770" s="8">
        <f t="shared" si="162"/>
        <v>73</v>
      </c>
      <c r="R770" s="8">
        <v>96</v>
      </c>
      <c r="S770" s="8">
        <f t="shared" si="163"/>
        <v>96</v>
      </c>
      <c r="T770" s="8">
        <f>(Table1[[#This Row],[Total Cholesterol (mg/dL)]]+Table1[[#This Row],[HDL (mg/dL)2]]+Table1[[#This Row],[Estimated LDL (mg/dL)2]])*5</f>
        <v>1840</v>
      </c>
      <c r="U770" s="8">
        <f>IF(O770="",Table1[[#This Row],[Estimated LDL (mg/dL)2]]+Table1[[#This Row],[HDL (mg/dL)2]]+(Table1[[#This Row],[Triglycerides]]/5),O770)</f>
        <v>199</v>
      </c>
      <c r="V770">
        <v>129</v>
      </c>
      <c r="W770" s="8">
        <f t="shared" si="164"/>
        <v>129</v>
      </c>
      <c r="X770" t="str">
        <f t="shared" si="165"/>
        <v>Diabetes</v>
      </c>
      <c r="Y770" t="s">
        <v>22</v>
      </c>
      <c r="Z770" t="s">
        <v>23</v>
      </c>
      <c r="AA770" t="s">
        <v>28</v>
      </c>
      <c r="AB770" s="3" t="s">
        <v>187</v>
      </c>
      <c r="AC770">
        <v>121</v>
      </c>
      <c r="AD770" s="3" t="str">
        <f t="shared" si="166"/>
        <v>121</v>
      </c>
      <c r="AE770">
        <v>67</v>
      </c>
      <c r="AF770" s="3" t="str">
        <f t="shared" si="167"/>
        <v>67</v>
      </c>
      <c r="AG770" t="s">
        <v>25</v>
      </c>
      <c r="AH770" s="3">
        <v>15.87</v>
      </c>
      <c r="AI770" s="3">
        <f t="shared" si="168"/>
        <v>15.87</v>
      </c>
      <c r="AJ770" t="s">
        <v>26</v>
      </c>
      <c r="AK770" t="str">
        <f>PROPER(Table1[[#This Row],[CVD Risk Level]])</f>
        <v>Intermediary</v>
      </c>
    </row>
    <row r="771" spans="1:37" x14ac:dyDescent="0.3">
      <c r="A771" t="s">
        <v>20</v>
      </c>
      <c r="B771">
        <v>49</v>
      </c>
      <c r="C771" s="8">
        <f t="shared" ref="C771:C834" si="171">IF(B771="",AVERAGE($B$2:$B$1530),B771)</f>
        <v>49</v>
      </c>
      <c r="D771" s="5">
        <v>51.7</v>
      </c>
      <c r="E771" s="8">
        <f t="shared" ref="E771:E834" si="172">IF(D771="", H771*(F771^2),D771)</f>
        <v>51.7</v>
      </c>
      <c r="F771">
        <v>1.63</v>
      </c>
      <c r="G771" s="3">
        <f t="shared" ref="G771:G834" si="173">IF(F771="", SQRT(E771 / H771),F771)</f>
        <v>1.63</v>
      </c>
      <c r="H771">
        <v>19.5</v>
      </c>
      <c r="I771" s="5">
        <f t="shared" si="169"/>
        <v>19.5</v>
      </c>
      <c r="J771" s="16" t="str">
        <f t="shared" ref="J771:J834" si="174">IF(I771&lt;18.5,"Underweight",IF(I771&lt;25,"Normal",IF(I771&lt;30,"Overweight","Obese")))</f>
        <v>Normal</v>
      </c>
      <c r="K771">
        <v>105.1</v>
      </c>
      <c r="L771">
        <v>0.64500000000000002</v>
      </c>
      <c r="M771" s="11">
        <f t="shared" si="170"/>
        <v>0.64500000000000002</v>
      </c>
      <c r="N771" s="5">
        <f t="shared" ref="N771:N834" si="175">IF(K771="",M771*(G771*100),K771)</f>
        <v>105.1</v>
      </c>
      <c r="O771">
        <v>135</v>
      </c>
      <c r="P771">
        <v>77</v>
      </c>
      <c r="Q771" s="8">
        <f t="shared" ref="Q771:Q834" si="176">IF(P771="",AVERAGE($P$2:$P$1530),P771)</f>
        <v>77</v>
      </c>
      <c r="R771" s="8">
        <v>28</v>
      </c>
      <c r="S771" s="8">
        <f t="shared" ref="S771:S834" si="177">IF(R771&lt;=0,MEDIAN($R$2:$R$1530),R771)</f>
        <v>28</v>
      </c>
      <c r="T771" s="8">
        <f>(Table1[[#This Row],[Total Cholesterol (mg/dL)]]+Table1[[#This Row],[HDL (mg/dL)2]]+Table1[[#This Row],[Estimated LDL (mg/dL)2]])*5</f>
        <v>1200</v>
      </c>
      <c r="U771" s="8">
        <f>IF(O771="",Table1[[#This Row],[Estimated LDL (mg/dL)2]]+Table1[[#This Row],[HDL (mg/dL)2]]+(Table1[[#This Row],[Triglycerides]]/5),O771)</f>
        <v>135</v>
      </c>
      <c r="V771">
        <v>125</v>
      </c>
      <c r="W771" s="8">
        <f t="shared" ref="W771:W834" si="178">IF(V771="",AVERAGE($V$2:$V$1530),V771)</f>
        <v>125</v>
      </c>
      <c r="X771" t="str">
        <f t="shared" ref="X771:X834" si="179">IF(W771&lt;100,"Normal",IF(W771&lt;126,"Prediabetes","Diabetes"))</f>
        <v>Prediabetes</v>
      </c>
      <c r="Y771" t="s">
        <v>22</v>
      </c>
      <c r="Z771" t="s">
        <v>23</v>
      </c>
      <c r="AA771" t="s">
        <v>37</v>
      </c>
      <c r="AB771" s="3" t="s">
        <v>193</v>
      </c>
      <c r="AC771">
        <v>137</v>
      </c>
      <c r="AD771" s="3" t="str">
        <f t="shared" ref="AD771:AD834" si="180">LEFT(AB771,FIND("/",AB771)-1)</f>
        <v>137</v>
      </c>
      <c r="AE771">
        <v>64</v>
      </c>
      <c r="AF771" s="3" t="str">
        <f t="shared" ref="AF771:AF834" si="181">RIGHT(AB771,LEN(AB771)-FIND("/",AB771))</f>
        <v>64</v>
      </c>
      <c r="AG771" t="s">
        <v>29</v>
      </c>
      <c r="AH771" s="3">
        <v>15.45</v>
      </c>
      <c r="AI771" s="3">
        <f t="shared" ref="AI771:AI834" si="182">IF(AH771="",AVERAGE($AH$2:$AH$1530),AH771)</f>
        <v>15.45</v>
      </c>
      <c r="AJ771" t="s">
        <v>26</v>
      </c>
      <c r="AK771" t="str">
        <f>PROPER(Table1[[#This Row],[CVD Risk Level]])</f>
        <v>Intermediary</v>
      </c>
    </row>
    <row r="772" spans="1:37" x14ac:dyDescent="0.3">
      <c r="A772" t="s">
        <v>31</v>
      </c>
      <c r="B772">
        <v>50</v>
      </c>
      <c r="C772" s="8">
        <f t="shared" si="171"/>
        <v>50</v>
      </c>
      <c r="D772" s="5">
        <v>95.4</v>
      </c>
      <c r="E772" s="8">
        <f t="shared" si="172"/>
        <v>95.4</v>
      </c>
      <c r="F772">
        <v>1.87</v>
      </c>
      <c r="G772" s="3">
        <f t="shared" si="173"/>
        <v>1.87</v>
      </c>
      <c r="H772">
        <v>27.3</v>
      </c>
      <c r="I772" s="5">
        <f t="shared" si="169"/>
        <v>27.3</v>
      </c>
      <c r="J772" s="16" t="str">
        <f t="shared" si="174"/>
        <v>Overweight</v>
      </c>
      <c r="K772">
        <v>94.4</v>
      </c>
      <c r="L772">
        <v>0.505</v>
      </c>
      <c r="M772" s="11">
        <f t="shared" si="170"/>
        <v>0.505</v>
      </c>
      <c r="N772" s="5">
        <f t="shared" si="175"/>
        <v>94.4</v>
      </c>
      <c r="P772">
        <v>56</v>
      </c>
      <c r="Q772" s="8">
        <f t="shared" si="176"/>
        <v>56</v>
      </c>
      <c r="R772" s="8">
        <v>24</v>
      </c>
      <c r="S772" s="8">
        <f t="shared" si="177"/>
        <v>24</v>
      </c>
      <c r="T772" s="8">
        <f>(Table1[[#This Row],[Total Cholesterol (mg/dL)]]+Table1[[#This Row],[HDL (mg/dL)2]]+Table1[[#This Row],[Estimated LDL (mg/dL)2]])*5</f>
        <v>400</v>
      </c>
      <c r="U772" s="8">
        <f>IF(O772="",Table1[[#This Row],[Estimated LDL (mg/dL)2]]+Table1[[#This Row],[HDL (mg/dL)2]]+(Table1[[#This Row],[Triglycerides]]/5),O772)</f>
        <v>160</v>
      </c>
      <c r="V772">
        <v>128</v>
      </c>
      <c r="W772" s="8">
        <f t="shared" si="178"/>
        <v>128</v>
      </c>
      <c r="X772" t="str">
        <f t="shared" si="179"/>
        <v>Diabetes</v>
      </c>
      <c r="Y772" t="s">
        <v>23</v>
      </c>
      <c r="Z772" t="s">
        <v>22</v>
      </c>
      <c r="AA772" t="s">
        <v>28</v>
      </c>
      <c r="AB772" s="3" t="s">
        <v>636</v>
      </c>
      <c r="AC772">
        <v>130</v>
      </c>
      <c r="AD772" s="3" t="str">
        <f t="shared" si="180"/>
        <v>130</v>
      </c>
      <c r="AE772">
        <v>66</v>
      </c>
      <c r="AF772" s="3" t="str">
        <f t="shared" si="181"/>
        <v>66</v>
      </c>
      <c r="AG772" t="s">
        <v>29</v>
      </c>
      <c r="AH772" s="3">
        <v>14.16</v>
      </c>
      <c r="AI772" s="3">
        <f t="shared" si="182"/>
        <v>14.16</v>
      </c>
      <c r="AJ772" t="s">
        <v>30</v>
      </c>
      <c r="AK772" t="str">
        <f>PROPER(Table1[[#This Row],[CVD Risk Level]])</f>
        <v>High</v>
      </c>
    </row>
    <row r="773" spans="1:37" x14ac:dyDescent="0.3">
      <c r="A773" t="s">
        <v>20</v>
      </c>
      <c r="B773">
        <v>35</v>
      </c>
      <c r="C773" s="8">
        <f t="shared" si="171"/>
        <v>35</v>
      </c>
      <c r="E773" s="8">
        <f t="shared" si="172"/>
        <v>84.798899999999989</v>
      </c>
      <c r="F773">
        <v>1.71</v>
      </c>
      <c r="G773" s="3">
        <f t="shared" si="173"/>
        <v>1.71</v>
      </c>
      <c r="H773">
        <v>29</v>
      </c>
      <c r="I773" s="5">
        <f t="shared" si="169"/>
        <v>29</v>
      </c>
      <c r="J773" s="16" t="str">
        <f t="shared" si="174"/>
        <v>Overweight</v>
      </c>
      <c r="K773">
        <v>92.8</v>
      </c>
      <c r="L773">
        <v>0.54300000000000004</v>
      </c>
      <c r="M773" s="11">
        <f t="shared" si="170"/>
        <v>0.54300000000000004</v>
      </c>
      <c r="N773" s="5">
        <f t="shared" si="175"/>
        <v>92.8</v>
      </c>
      <c r="O773">
        <v>151</v>
      </c>
      <c r="P773">
        <v>42</v>
      </c>
      <c r="Q773" s="8">
        <f t="shared" si="176"/>
        <v>42</v>
      </c>
      <c r="R773" s="8">
        <v>79</v>
      </c>
      <c r="S773" s="8">
        <f t="shared" si="177"/>
        <v>79</v>
      </c>
      <c r="T773" s="8">
        <f>(Table1[[#This Row],[Total Cholesterol (mg/dL)]]+Table1[[#This Row],[HDL (mg/dL)2]]+Table1[[#This Row],[Estimated LDL (mg/dL)2]])*5</f>
        <v>1360</v>
      </c>
      <c r="U773" s="8">
        <f>IF(O773="",Table1[[#This Row],[Estimated LDL (mg/dL)2]]+Table1[[#This Row],[HDL (mg/dL)2]]+(Table1[[#This Row],[Triglycerides]]/5),O773)</f>
        <v>151</v>
      </c>
      <c r="V773">
        <v>99</v>
      </c>
      <c r="W773" s="8">
        <f t="shared" si="178"/>
        <v>99</v>
      </c>
      <c r="X773" t="str">
        <f t="shared" si="179"/>
        <v>Normal</v>
      </c>
      <c r="Y773" t="s">
        <v>22</v>
      </c>
      <c r="Z773" t="s">
        <v>22</v>
      </c>
      <c r="AA773" t="s">
        <v>28</v>
      </c>
      <c r="AB773" s="3" t="s">
        <v>684</v>
      </c>
      <c r="AC773">
        <v>149</v>
      </c>
      <c r="AD773" s="3" t="str">
        <f t="shared" si="180"/>
        <v>149</v>
      </c>
      <c r="AE773">
        <v>69</v>
      </c>
      <c r="AF773" s="3" t="str">
        <f t="shared" si="181"/>
        <v>69</v>
      </c>
      <c r="AG773" t="s">
        <v>38</v>
      </c>
      <c r="AH773" s="3">
        <v>16.27</v>
      </c>
      <c r="AI773" s="3">
        <f t="shared" si="182"/>
        <v>16.27</v>
      </c>
      <c r="AJ773" t="s">
        <v>26</v>
      </c>
      <c r="AK773" t="str">
        <f>PROPER(Table1[[#This Row],[CVD Risk Level]])</f>
        <v>Intermediary</v>
      </c>
    </row>
    <row r="774" spans="1:37" x14ac:dyDescent="0.3">
      <c r="A774" t="s">
        <v>20</v>
      </c>
      <c r="B774">
        <v>56</v>
      </c>
      <c r="C774" s="8">
        <f t="shared" si="171"/>
        <v>56</v>
      </c>
      <c r="D774" s="5">
        <v>111.3</v>
      </c>
      <c r="E774" s="8">
        <f t="shared" si="172"/>
        <v>111.3</v>
      </c>
      <c r="F774">
        <v>1.82</v>
      </c>
      <c r="G774" s="3">
        <f t="shared" si="173"/>
        <v>1.82</v>
      </c>
      <c r="H774">
        <v>33.6</v>
      </c>
      <c r="I774" s="5">
        <f t="shared" si="169"/>
        <v>33.6</v>
      </c>
      <c r="J774" s="16" t="str">
        <f t="shared" si="174"/>
        <v>Obese</v>
      </c>
      <c r="K774">
        <v>79.5</v>
      </c>
      <c r="L774">
        <v>0.437</v>
      </c>
      <c r="M774" s="11">
        <f t="shared" si="170"/>
        <v>0.437</v>
      </c>
      <c r="N774" s="5">
        <f t="shared" si="175"/>
        <v>79.5</v>
      </c>
      <c r="O774">
        <v>296</v>
      </c>
      <c r="P774">
        <v>62</v>
      </c>
      <c r="Q774" s="8">
        <f t="shared" si="176"/>
        <v>62</v>
      </c>
      <c r="R774" s="8">
        <v>204</v>
      </c>
      <c r="S774" s="8">
        <f t="shared" si="177"/>
        <v>204</v>
      </c>
      <c r="T774" s="8">
        <f>(Table1[[#This Row],[Total Cholesterol (mg/dL)]]+Table1[[#This Row],[HDL (mg/dL)2]]+Table1[[#This Row],[Estimated LDL (mg/dL)2]])*5</f>
        <v>2810</v>
      </c>
      <c r="U774" s="8">
        <f>IF(O774="",Table1[[#This Row],[Estimated LDL (mg/dL)2]]+Table1[[#This Row],[HDL (mg/dL)2]]+(Table1[[#This Row],[Triglycerides]]/5),O774)</f>
        <v>296</v>
      </c>
      <c r="V774">
        <v>137</v>
      </c>
      <c r="W774" s="8">
        <f t="shared" si="178"/>
        <v>137</v>
      </c>
      <c r="X774" t="str">
        <f t="shared" si="179"/>
        <v>Diabetes</v>
      </c>
      <c r="Y774" t="s">
        <v>22</v>
      </c>
      <c r="Z774" t="s">
        <v>23</v>
      </c>
      <c r="AA774" t="s">
        <v>37</v>
      </c>
      <c r="AB774" s="3" t="s">
        <v>685</v>
      </c>
      <c r="AC774">
        <v>110</v>
      </c>
      <c r="AD774" s="3" t="str">
        <f t="shared" si="180"/>
        <v>110</v>
      </c>
      <c r="AE774">
        <v>86</v>
      </c>
      <c r="AF774" s="3" t="str">
        <f t="shared" si="181"/>
        <v>86</v>
      </c>
      <c r="AG774" t="s">
        <v>29</v>
      </c>
      <c r="AH774" s="3">
        <v>20.14</v>
      </c>
      <c r="AI774" s="3">
        <f t="shared" si="182"/>
        <v>20.14</v>
      </c>
      <c r="AJ774" t="s">
        <v>30</v>
      </c>
      <c r="AK774" t="str">
        <f>PROPER(Table1[[#This Row],[CVD Risk Level]])</f>
        <v>High</v>
      </c>
    </row>
    <row r="775" spans="1:37" x14ac:dyDescent="0.3">
      <c r="A775" t="s">
        <v>20</v>
      </c>
      <c r="B775">
        <v>35</v>
      </c>
      <c r="C775" s="8">
        <f t="shared" si="171"/>
        <v>35</v>
      </c>
      <c r="D775" s="5">
        <v>100.7</v>
      </c>
      <c r="E775" s="8">
        <f t="shared" si="172"/>
        <v>100.7</v>
      </c>
      <c r="F775">
        <v>1.83</v>
      </c>
      <c r="G775" s="3">
        <f t="shared" si="173"/>
        <v>1.83</v>
      </c>
      <c r="H775">
        <v>30.1</v>
      </c>
      <c r="I775" s="5">
        <f t="shared" si="169"/>
        <v>30.1</v>
      </c>
      <c r="J775" s="16" t="str">
        <f t="shared" si="174"/>
        <v>Obese</v>
      </c>
      <c r="K775">
        <v>108.8</v>
      </c>
      <c r="L775">
        <v>0.59499999999999997</v>
      </c>
      <c r="M775" s="11">
        <f t="shared" si="170"/>
        <v>0.59499999999999997</v>
      </c>
      <c r="N775" s="5">
        <f t="shared" si="175"/>
        <v>108.8</v>
      </c>
      <c r="O775">
        <v>162</v>
      </c>
      <c r="P775">
        <v>57</v>
      </c>
      <c r="Q775" s="8">
        <f t="shared" si="176"/>
        <v>57</v>
      </c>
      <c r="R775" s="8">
        <v>75</v>
      </c>
      <c r="S775" s="8">
        <f t="shared" si="177"/>
        <v>75</v>
      </c>
      <c r="T775" s="8">
        <f>(Table1[[#This Row],[Total Cholesterol (mg/dL)]]+Table1[[#This Row],[HDL (mg/dL)2]]+Table1[[#This Row],[Estimated LDL (mg/dL)2]])*5</f>
        <v>1470</v>
      </c>
      <c r="U775" s="8">
        <f>IF(O775="",Table1[[#This Row],[Estimated LDL (mg/dL)2]]+Table1[[#This Row],[HDL (mg/dL)2]]+(Table1[[#This Row],[Triglycerides]]/5),O775)</f>
        <v>162</v>
      </c>
      <c r="V775">
        <v>90</v>
      </c>
      <c r="W775" s="8">
        <f t="shared" si="178"/>
        <v>90</v>
      </c>
      <c r="X775" t="str">
        <f t="shared" si="179"/>
        <v>Normal</v>
      </c>
      <c r="Y775" t="s">
        <v>23</v>
      </c>
      <c r="Z775" t="s">
        <v>22</v>
      </c>
      <c r="AA775" t="s">
        <v>37</v>
      </c>
      <c r="AB775" s="3" t="s">
        <v>686</v>
      </c>
      <c r="AC775">
        <v>143</v>
      </c>
      <c r="AD775" s="3" t="str">
        <f t="shared" si="180"/>
        <v>143</v>
      </c>
      <c r="AE775">
        <v>64</v>
      </c>
      <c r="AF775" s="3" t="str">
        <f t="shared" si="181"/>
        <v>64</v>
      </c>
      <c r="AG775" t="s">
        <v>38</v>
      </c>
      <c r="AI775" s="3">
        <f t="shared" si="182"/>
        <v>16.960925291295425</v>
      </c>
      <c r="AJ775" t="s">
        <v>26</v>
      </c>
      <c r="AK775" t="str">
        <f>PROPER(Table1[[#This Row],[CVD Risk Level]])</f>
        <v>Intermediary</v>
      </c>
    </row>
    <row r="776" spans="1:37" x14ac:dyDescent="0.3">
      <c r="A776" t="s">
        <v>31</v>
      </c>
      <c r="B776">
        <v>55</v>
      </c>
      <c r="C776" s="8">
        <f t="shared" si="171"/>
        <v>55</v>
      </c>
      <c r="D776" s="5">
        <v>110.5</v>
      </c>
      <c r="E776" s="8">
        <f t="shared" si="172"/>
        <v>110.5</v>
      </c>
      <c r="F776">
        <v>1.73</v>
      </c>
      <c r="G776" s="3">
        <f t="shared" si="173"/>
        <v>1.73</v>
      </c>
      <c r="H776">
        <v>36.9</v>
      </c>
      <c r="I776" s="5">
        <f t="shared" si="169"/>
        <v>36.9</v>
      </c>
      <c r="J776" s="16" t="str">
        <f t="shared" si="174"/>
        <v>Obese</v>
      </c>
      <c r="L776">
        <v>0.441</v>
      </c>
      <c r="M776" s="11">
        <f t="shared" si="170"/>
        <v>0.441</v>
      </c>
      <c r="N776" s="5">
        <f t="shared" si="175"/>
        <v>76.293000000000006</v>
      </c>
      <c r="O776">
        <v>196</v>
      </c>
      <c r="P776">
        <v>39</v>
      </c>
      <c r="Q776" s="8">
        <f t="shared" si="176"/>
        <v>39</v>
      </c>
      <c r="R776" s="8">
        <v>127</v>
      </c>
      <c r="S776" s="8">
        <f t="shared" si="177"/>
        <v>127</v>
      </c>
      <c r="T776" s="8">
        <f>(Table1[[#This Row],[Total Cholesterol (mg/dL)]]+Table1[[#This Row],[HDL (mg/dL)2]]+Table1[[#This Row],[Estimated LDL (mg/dL)2]])*5</f>
        <v>1810</v>
      </c>
      <c r="U776" s="8">
        <f>IF(O776="",Table1[[#This Row],[Estimated LDL (mg/dL)2]]+Table1[[#This Row],[HDL (mg/dL)2]]+(Table1[[#This Row],[Triglycerides]]/5),O776)</f>
        <v>196</v>
      </c>
      <c r="V776">
        <v>98</v>
      </c>
      <c r="W776" s="8">
        <f t="shared" si="178"/>
        <v>98</v>
      </c>
      <c r="X776" t="str">
        <f t="shared" si="179"/>
        <v>Normal</v>
      </c>
      <c r="Y776" t="s">
        <v>23</v>
      </c>
      <c r="Z776" t="s">
        <v>22</v>
      </c>
      <c r="AA776" t="s">
        <v>28</v>
      </c>
      <c r="AB776" s="3" t="s">
        <v>687</v>
      </c>
      <c r="AC776">
        <v>118</v>
      </c>
      <c r="AD776" s="3" t="str">
        <f t="shared" si="180"/>
        <v>118</v>
      </c>
      <c r="AE776">
        <v>72</v>
      </c>
      <c r="AF776" s="3" t="str">
        <f t="shared" si="181"/>
        <v>72</v>
      </c>
      <c r="AG776" t="s">
        <v>33</v>
      </c>
      <c r="AI776" s="3">
        <f t="shared" si="182"/>
        <v>16.960925291295425</v>
      </c>
      <c r="AJ776" t="s">
        <v>30</v>
      </c>
      <c r="AK776" t="str">
        <f>PROPER(Table1[[#This Row],[CVD Risk Level]])</f>
        <v>High</v>
      </c>
    </row>
    <row r="777" spans="1:37" x14ac:dyDescent="0.3">
      <c r="A777" t="s">
        <v>20</v>
      </c>
      <c r="B777">
        <v>40</v>
      </c>
      <c r="C777" s="8">
        <f t="shared" si="171"/>
        <v>40</v>
      </c>
      <c r="D777" s="5">
        <v>101.7</v>
      </c>
      <c r="E777" s="8">
        <f t="shared" si="172"/>
        <v>101.7</v>
      </c>
      <c r="F777">
        <v>1.82</v>
      </c>
      <c r="G777" s="3">
        <f t="shared" si="173"/>
        <v>1.82</v>
      </c>
      <c r="H777">
        <v>30.7</v>
      </c>
      <c r="I777" s="5">
        <f t="shared" si="169"/>
        <v>30.7</v>
      </c>
      <c r="J777" s="16" t="str">
        <f t="shared" si="174"/>
        <v>Obese</v>
      </c>
      <c r="K777">
        <v>77.099999999999994</v>
      </c>
      <c r="L777">
        <v>0.42399999999999999</v>
      </c>
      <c r="M777" s="11">
        <f t="shared" si="170"/>
        <v>0.42399999999999999</v>
      </c>
      <c r="N777" s="5">
        <f t="shared" si="175"/>
        <v>77.099999999999994</v>
      </c>
      <c r="O777">
        <v>172</v>
      </c>
      <c r="P777">
        <v>42</v>
      </c>
      <c r="Q777" s="8">
        <f t="shared" si="176"/>
        <v>42</v>
      </c>
      <c r="R777" s="8">
        <v>100</v>
      </c>
      <c r="S777" s="8">
        <f t="shared" si="177"/>
        <v>100</v>
      </c>
      <c r="T777" s="8">
        <f>(Table1[[#This Row],[Total Cholesterol (mg/dL)]]+Table1[[#This Row],[HDL (mg/dL)2]]+Table1[[#This Row],[Estimated LDL (mg/dL)2]])*5</f>
        <v>1570</v>
      </c>
      <c r="U777" s="8">
        <f>IF(O777="",Table1[[#This Row],[Estimated LDL (mg/dL)2]]+Table1[[#This Row],[HDL (mg/dL)2]]+(Table1[[#This Row],[Triglycerides]]/5),O777)</f>
        <v>172</v>
      </c>
      <c r="V777">
        <v>135</v>
      </c>
      <c r="W777" s="8">
        <f t="shared" si="178"/>
        <v>135</v>
      </c>
      <c r="X777" t="str">
        <f t="shared" si="179"/>
        <v>Diabetes</v>
      </c>
      <c r="Y777" t="s">
        <v>22</v>
      </c>
      <c r="Z777" t="s">
        <v>22</v>
      </c>
      <c r="AA777" t="s">
        <v>24</v>
      </c>
      <c r="AB777" s="3" t="s">
        <v>688</v>
      </c>
      <c r="AC777">
        <v>125</v>
      </c>
      <c r="AD777" s="3" t="str">
        <f t="shared" si="180"/>
        <v>125</v>
      </c>
      <c r="AE777">
        <v>80</v>
      </c>
      <c r="AF777" s="3" t="str">
        <f t="shared" si="181"/>
        <v>80</v>
      </c>
      <c r="AG777" t="s">
        <v>29</v>
      </c>
      <c r="AH777" s="3">
        <v>15.83</v>
      </c>
      <c r="AI777" s="3">
        <f t="shared" si="182"/>
        <v>15.83</v>
      </c>
      <c r="AJ777" t="s">
        <v>26</v>
      </c>
      <c r="AK777" t="str">
        <f>PROPER(Table1[[#This Row],[CVD Risk Level]])</f>
        <v>Intermediary</v>
      </c>
    </row>
    <row r="778" spans="1:37" x14ac:dyDescent="0.3">
      <c r="A778" t="s">
        <v>20</v>
      </c>
      <c r="B778">
        <v>37</v>
      </c>
      <c r="C778" s="8">
        <f t="shared" si="171"/>
        <v>37</v>
      </c>
      <c r="D778" s="5">
        <v>95.7</v>
      </c>
      <c r="E778" s="8">
        <f t="shared" si="172"/>
        <v>95.7</v>
      </c>
      <c r="F778">
        <v>1.76</v>
      </c>
      <c r="G778" s="3">
        <f t="shared" si="173"/>
        <v>1.76</v>
      </c>
      <c r="H778">
        <v>30.9</v>
      </c>
      <c r="I778" s="5">
        <f t="shared" si="169"/>
        <v>30.9</v>
      </c>
      <c r="J778" s="16" t="str">
        <f t="shared" si="174"/>
        <v>Obese</v>
      </c>
      <c r="K778">
        <v>102.8</v>
      </c>
      <c r="L778">
        <v>0.58399999999999996</v>
      </c>
      <c r="M778" s="11">
        <f t="shared" si="170"/>
        <v>0.58399999999999996</v>
      </c>
      <c r="N778" s="5">
        <f t="shared" si="175"/>
        <v>102.8</v>
      </c>
      <c r="O778">
        <v>256</v>
      </c>
      <c r="P778">
        <v>47</v>
      </c>
      <c r="Q778" s="8">
        <f t="shared" si="176"/>
        <v>47</v>
      </c>
      <c r="R778" s="8">
        <v>179</v>
      </c>
      <c r="S778" s="8">
        <f t="shared" si="177"/>
        <v>179</v>
      </c>
      <c r="T778" s="8">
        <f>(Table1[[#This Row],[Total Cholesterol (mg/dL)]]+Table1[[#This Row],[HDL (mg/dL)2]]+Table1[[#This Row],[Estimated LDL (mg/dL)2]])*5</f>
        <v>2410</v>
      </c>
      <c r="U778" s="8">
        <f>IF(O778="",Table1[[#This Row],[Estimated LDL (mg/dL)2]]+Table1[[#This Row],[HDL (mg/dL)2]]+(Table1[[#This Row],[Triglycerides]]/5),O778)</f>
        <v>256</v>
      </c>
      <c r="V778">
        <v>102</v>
      </c>
      <c r="W778" s="8">
        <f t="shared" si="178"/>
        <v>102</v>
      </c>
      <c r="X778" t="str">
        <f t="shared" si="179"/>
        <v>Prediabetes</v>
      </c>
      <c r="Y778" t="s">
        <v>22</v>
      </c>
      <c r="Z778" t="s">
        <v>23</v>
      </c>
      <c r="AA778" t="s">
        <v>24</v>
      </c>
      <c r="AB778" s="3" t="s">
        <v>689</v>
      </c>
      <c r="AC778">
        <v>93</v>
      </c>
      <c r="AD778" s="3" t="str">
        <f t="shared" si="180"/>
        <v>93</v>
      </c>
      <c r="AF778" s="3" t="str">
        <f t="shared" si="181"/>
        <v>71</v>
      </c>
      <c r="AG778" t="s">
        <v>33</v>
      </c>
      <c r="AH778" s="3">
        <v>17.95</v>
      </c>
      <c r="AI778" s="3">
        <f t="shared" si="182"/>
        <v>17.95</v>
      </c>
      <c r="AJ778" t="s">
        <v>30</v>
      </c>
      <c r="AK778" t="str">
        <f>PROPER(Table1[[#This Row],[CVD Risk Level]])</f>
        <v>High</v>
      </c>
    </row>
    <row r="779" spans="1:37" x14ac:dyDescent="0.3">
      <c r="A779" t="s">
        <v>20</v>
      </c>
      <c r="B779">
        <v>60</v>
      </c>
      <c r="C779" s="8">
        <f t="shared" si="171"/>
        <v>60</v>
      </c>
      <c r="D779" s="5">
        <v>104.2</v>
      </c>
      <c r="E779" s="8">
        <f t="shared" si="172"/>
        <v>104.2</v>
      </c>
      <c r="F779">
        <v>1.7</v>
      </c>
      <c r="G779" s="3">
        <f t="shared" si="173"/>
        <v>1.7</v>
      </c>
      <c r="H779">
        <v>36.1</v>
      </c>
      <c r="I779" s="5">
        <f t="shared" si="169"/>
        <v>36.1</v>
      </c>
      <c r="J779" s="16" t="str">
        <f t="shared" si="174"/>
        <v>Obese</v>
      </c>
      <c r="K779">
        <v>73.7</v>
      </c>
      <c r="L779">
        <v>0.434</v>
      </c>
      <c r="M779" s="11">
        <f t="shared" si="170"/>
        <v>0.434</v>
      </c>
      <c r="N779" s="5">
        <f t="shared" si="175"/>
        <v>73.7</v>
      </c>
      <c r="O779">
        <v>155</v>
      </c>
      <c r="P779">
        <v>59</v>
      </c>
      <c r="Q779" s="8">
        <f t="shared" si="176"/>
        <v>59</v>
      </c>
      <c r="R779" s="8">
        <v>66</v>
      </c>
      <c r="S779" s="8">
        <f t="shared" si="177"/>
        <v>66</v>
      </c>
      <c r="T779" s="8">
        <f>(Table1[[#This Row],[Total Cholesterol (mg/dL)]]+Table1[[#This Row],[HDL (mg/dL)2]]+Table1[[#This Row],[Estimated LDL (mg/dL)2]])*5</f>
        <v>1400</v>
      </c>
      <c r="U779" s="8">
        <f>IF(O779="",Table1[[#This Row],[Estimated LDL (mg/dL)2]]+Table1[[#This Row],[HDL (mg/dL)2]]+(Table1[[#This Row],[Triglycerides]]/5),O779)</f>
        <v>155</v>
      </c>
      <c r="V779">
        <v>115</v>
      </c>
      <c r="W779" s="8">
        <f t="shared" si="178"/>
        <v>115</v>
      </c>
      <c r="X779" t="str">
        <f t="shared" si="179"/>
        <v>Prediabetes</v>
      </c>
      <c r="Y779" t="s">
        <v>23</v>
      </c>
      <c r="Z779" t="s">
        <v>23</v>
      </c>
      <c r="AA779" t="s">
        <v>24</v>
      </c>
      <c r="AB779" s="3" t="s">
        <v>690</v>
      </c>
      <c r="AC779">
        <v>150</v>
      </c>
      <c r="AD779" s="3" t="str">
        <f t="shared" si="180"/>
        <v>150</v>
      </c>
      <c r="AE779">
        <v>67</v>
      </c>
      <c r="AF779" s="3" t="str">
        <f t="shared" si="181"/>
        <v>67</v>
      </c>
      <c r="AG779" t="s">
        <v>38</v>
      </c>
      <c r="AH779" s="3">
        <v>19.82</v>
      </c>
      <c r="AI779" s="3">
        <f t="shared" si="182"/>
        <v>19.82</v>
      </c>
      <c r="AJ779" t="s">
        <v>30</v>
      </c>
      <c r="AK779" t="str">
        <f>PROPER(Table1[[#This Row],[CVD Risk Level]])</f>
        <v>High</v>
      </c>
    </row>
    <row r="780" spans="1:37" x14ac:dyDescent="0.3">
      <c r="A780" t="s">
        <v>31</v>
      </c>
      <c r="B780">
        <v>45</v>
      </c>
      <c r="C780" s="8">
        <f t="shared" si="171"/>
        <v>45</v>
      </c>
      <c r="D780" s="5">
        <v>62.1</v>
      </c>
      <c r="E780" s="8">
        <f t="shared" si="172"/>
        <v>62.1</v>
      </c>
      <c r="F780">
        <v>1.8</v>
      </c>
      <c r="G780" s="3">
        <f t="shared" si="173"/>
        <v>1.8</v>
      </c>
      <c r="H780">
        <v>19.2</v>
      </c>
      <c r="I780" s="5">
        <f t="shared" si="169"/>
        <v>19.2</v>
      </c>
      <c r="J780" s="16" t="str">
        <f t="shared" si="174"/>
        <v>Normal</v>
      </c>
      <c r="K780">
        <v>84.1</v>
      </c>
      <c r="L780">
        <v>0.46700000000000003</v>
      </c>
      <c r="M780" s="11">
        <f t="shared" si="170"/>
        <v>0.46700000000000003</v>
      </c>
      <c r="N780" s="5">
        <f t="shared" si="175"/>
        <v>84.1</v>
      </c>
      <c r="O780">
        <v>141</v>
      </c>
      <c r="P780">
        <v>45</v>
      </c>
      <c r="Q780" s="8">
        <f t="shared" si="176"/>
        <v>45</v>
      </c>
      <c r="R780" s="8">
        <v>66</v>
      </c>
      <c r="S780" s="8">
        <f t="shared" si="177"/>
        <v>66</v>
      </c>
      <c r="T780" s="8">
        <f>(Table1[[#This Row],[Total Cholesterol (mg/dL)]]+Table1[[#This Row],[HDL (mg/dL)2]]+Table1[[#This Row],[Estimated LDL (mg/dL)2]])*5</f>
        <v>1260</v>
      </c>
      <c r="U780" s="8">
        <f>IF(O780="",Table1[[#This Row],[Estimated LDL (mg/dL)2]]+Table1[[#This Row],[HDL (mg/dL)2]]+(Table1[[#This Row],[Triglycerides]]/5),O780)</f>
        <v>141</v>
      </c>
      <c r="V780">
        <v>117</v>
      </c>
      <c r="W780" s="8">
        <f t="shared" si="178"/>
        <v>117</v>
      </c>
      <c r="X780" t="str">
        <f t="shared" si="179"/>
        <v>Prediabetes</v>
      </c>
      <c r="Y780" t="s">
        <v>23</v>
      </c>
      <c r="Z780" t="s">
        <v>23</v>
      </c>
      <c r="AA780" t="s">
        <v>28</v>
      </c>
      <c r="AB780" s="3" t="s">
        <v>691</v>
      </c>
      <c r="AC780">
        <v>117</v>
      </c>
      <c r="AD780" s="3" t="str">
        <f t="shared" si="180"/>
        <v>117</v>
      </c>
      <c r="AE780">
        <v>60</v>
      </c>
      <c r="AF780" s="3" t="str">
        <f t="shared" si="181"/>
        <v>60</v>
      </c>
      <c r="AG780" t="s">
        <v>33</v>
      </c>
      <c r="AH780" s="3">
        <v>14.51</v>
      </c>
      <c r="AI780" s="3">
        <f t="shared" si="182"/>
        <v>14.51</v>
      </c>
      <c r="AJ780" t="s">
        <v>26</v>
      </c>
      <c r="AK780" t="str">
        <f>PROPER(Table1[[#This Row],[CVD Risk Level]])</f>
        <v>Intermediary</v>
      </c>
    </row>
    <row r="781" spans="1:37" x14ac:dyDescent="0.3">
      <c r="A781" t="s">
        <v>31</v>
      </c>
      <c r="B781">
        <v>44</v>
      </c>
      <c r="C781" s="8">
        <f t="shared" si="171"/>
        <v>44</v>
      </c>
      <c r="D781" s="5">
        <v>97.8</v>
      </c>
      <c r="E781" s="8">
        <f t="shared" si="172"/>
        <v>97.8</v>
      </c>
      <c r="F781">
        <v>1.63</v>
      </c>
      <c r="G781" s="3">
        <f t="shared" si="173"/>
        <v>1.63</v>
      </c>
      <c r="H781">
        <v>36.799999999999997</v>
      </c>
      <c r="I781" s="5">
        <f t="shared" si="169"/>
        <v>36.799999999999997</v>
      </c>
      <c r="J781" s="16" t="str">
        <f t="shared" si="174"/>
        <v>Obese</v>
      </c>
      <c r="K781">
        <v>104</v>
      </c>
      <c r="M781" s="11">
        <f t="shared" si="170"/>
        <v>0.6380368098159509</v>
      </c>
      <c r="N781" s="5">
        <f t="shared" si="175"/>
        <v>104</v>
      </c>
      <c r="O781">
        <v>155</v>
      </c>
      <c r="P781">
        <v>55</v>
      </c>
      <c r="Q781" s="8">
        <f t="shared" si="176"/>
        <v>55</v>
      </c>
      <c r="R781" s="8">
        <v>70</v>
      </c>
      <c r="S781" s="8">
        <f t="shared" si="177"/>
        <v>70</v>
      </c>
      <c r="T781" s="8">
        <f>(Table1[[#This Row],[Total Cholesterol (mg/dL)]]+Table1[[#This Row],[HDL (mg/dL)2]]+Table1[[#This Row],[Estimated LDL (mg/dL)2]])*5</f>
        <v>1400</v>
      </c>
      <c r="U781" s="8">
        <f>IF(O781="",Table1[[#This Row],[Estimated LDL (mg/dL)2]]+Table1[[#This Row],[HDL (mg/dL)2]]+(Table1[[#This Row],[Triglycerides]]/5),O781)</f>
        <v>155</v>
      </c>
      <c r="V781">
        <v>142</v>
      </c>
      <c r="W781" s="8">
        <f t="shared" si="178"/>
        <v>142</v>
      </c>
      <c r="X781" t="str">
        <f t="shared" si="179"/>
        <v>Diabetes</v>
      </c>
      <c r="Y781" t="s">
        <v>23</v>
      </c>
      <c r="Z781" t="s">
        <v>23</v>
      </c>
      <c r="AA781" t="s">
        <v>37</v>
      </c>
      <c r="AB781" s="3" t="s">
        <v>692</v>
      </c>
      <c r="AC781">
        <v>141</v>
      </c>
      <c r="AD781" s="3" t="str">
        <f t="shared" si="180"/>
        <v>141</v>
      </c>
      <c r="AE781">
        <v>68</v>
      </c>
      <c r="AF781" s="3" t="str">
        <f t="shared" si="181"/>
        <v>68</v>
      </c>
      <c r="AG781" t="s">
        <v>38</v>
      </c>
      <c r="AH781" s="3">
        <v>19.510000000000002</v>
      </c>
      <c r="AI781" s="3">
        <f t="shared" si="182"/>
        <v>19.510000000000002</v>
      </c>
      <c r="AJ781" t="s">
        <v>26</v>
      </c>
      <c r="AK781" t="str">
        <f>PROPER(Table1[[#This Row],[CVD Risk Level]])</f>
        <v>Intermediary</v>
      </c>
    </row>
    <row r="782" spans="1:37" x14ac:dyDescent="0.3">
      <c r="A782" t="s">
        <v>20</v>
      </c>
      <c r="C782" s="8">
        <f t="shared" si="171"/>
        <v>47.025499655410059</v>
      </c>
      <c r="D782" s="5">
        <v>54.7</v>
      </c>
      <c r="E782" s="8">
        <f t="shared" si="172"/>
        <v>54.7</v>
      </c>
      <c r="F782">
        <v>1.82</v>
      </c>
      <c r="G782" s="3">
        <f t="shared" si="173"/>
        <v>1.82</v>
      </c>
      <c r="H782">
        <v>16.5</v>
      </c>
      <c r="I782" s="5">
        <f t="shared" si="169"/>
        <v>16.5</v>
      </c>
      <c r="J782" s="16" t="str">
        <f t="shared" si="174"/>
        <v>Underweight</v>
      </c>
      <c r="K782">
        <v>83.2</v>
      </c>
      <c r="L782">
        <v>0.45700000000000002</v>
      </c>
      <c r="M782" s="11">
        <f t="shared" si="170"/>
        <v>0.45700000000000002</v>
      </c>
      <c r="N782" s="5">
        <f t="shared" si="175"/>
        <v>83.2</v>
      </c>
      <c r="O782">
        <v>193</v>
      </c>
      <c r="P782">
        <v>61</v>
      </c>
      <c r="Q782" s="8">
        <f t="shared" si="176"/>
        <v>61</v>
      </c>
      <c r="R782" s="8">
        <v>102</v>
      </c>
      <c r="S782" s="8">
        <f t="shared" si="177"/>
        <v>102</v>
      </c>
      <c r="T782" s="8">
        <f>(Table1[[#This Row],[Total Cholesterol (mg/dL)]]+Table1[[#This Row],[HDL (mg/dL)2]]+Table1[[#This Row],[Estimated LDL (mg/dL)2]])*5</f>
        <v>1780</v>
      </c>
      <c r="U782" s="8">
        <f>IF(O782="",Table1[[#This Row],[Estimated LDL (mg/dL)2]]+Table1[[#This Row],[HDL (mg/dL)2]]+(Table1[[#This Row],[Triglycerides]]/5),O782)</f>
        <v>193</v>
      </c>
      <c r="V782">
        <v>133</v>
      </c>
      <c r="W782" s="8">
        <f t="shared" si="178"/>
        <v>133</v>
      </c>
      <c r="X782" t="str">
        <f t="shared" si="179"/>
        <v>Diabetes</v>
      </c>
      <c r="Y782" t="s">
        <v>23</v>
      </c>
      <c r="Z782" t="s">
        <v>23</v>
      </c>
      <c r="AA782" t="s">
        <v>28</v>
      </c>
      <c r="AB782" s="3" t="s">
        <v>693</v>
      </c>
      <c r="AC782">
        <v>150</v>
      </c>
      <c r="AD782" s="3" t="str">
        <f t="shared" si="180"/>
        <v>150</v>
      </c>
      <c r="AE782">
        <v>81</v>
      </c>
      <c r="AF782" s="3" t="str">
        <f t="shared" si="181"/>
        <v>81</v>
      </c>
      <c r="AG782" t="s">
        <v>29</v>
      </c>
      <c r="AH782" s="3">
        <v>16.66</v>
      </c>
      <c r="AI782" s="3">
        <f t="shared" si="182"/>
        <v>16.66</v>
      </c>
      <c r="AJ782" t="s">
        <v>26</v>
      </c>
      <c r="AK782" t="str">
        <f>PROPER(Table1[[#This Row],[CVD Risk Level]])</f>
        <v>Intermediary</v>
      </c>
    </row>
    <row r="783" spans="1:37" x14ac:dyDescent="0.3">
      <c r="A783" t="s">
        <v>31</v>
      </c>
      <c r="B783">
        <v>53</v>
      </c>
      <c r="C783" s="8">
        <f t="shared" si="171"/>
        <v>53</v>
      </c>
      <c r="D783" s="5">
        <v>62.7</v>
      </c>
      <c r="E783" s="8">
        <f t="shared" si="172"/>
        <v>62.7</v>
      </c>
      <c r="F783">
        <v>1.6</v>
      </c>
      <c r="G783" s="3">
        <f t="shared" si="173"/>
        <v>1.6</v>
      </c>
      <c r="H783">
        <v>24.5</v>
      </c>
      <c r="I783" s="5">
        <f t="shared" si="169"/>
        <v>24.5</v>
      </c>
      <c r="J783" s="16" t="str">
        <f t="shared" si="174"/>
        <v>Normal</v>
      </c>
      <c r="K783">
        <v>73.7</v>
      </c>
      <c r="L783">
        <v>0.46100000000000002</v>
      </c>
      <c r="M783" s="11">
        <f t="shared" si="170"/>
        <v>0.46100000000000002</v>
      </c>
      <c r="N783" s="5">
        <f t="shared" si="175"/>
        <v>73.7</v>
      </c>
      <c r="O783">
        <v>172</v>
      </c>
      <c r="P783">
        <v>73</v>
      </c>
      <c r="Q783" s="8">
        <f t="shared" si="176"/>
        <v>73</v>
      </c>
      <c r="R783" s="8">
        <v>69</v>
      </c>
      <c r="S783" s="8">
        <f t="shared" si="177"/>
        <v>69</v>
      </c>
      <c r="T783" s="8">
        <f>(Table1[[#This Row],[Total Cholesterol (mg/dL)]]+Table1[[#This Row],[HDL (mg/dL)2]]+Table1[[#This Row],[Estimated LDL (mg/dL)2]])*5</f>
        <v>1570</v>
      </c>
      <c r="U783" s="8">
        <f>IF(O783="",Table1[[#This Row],[Estimated LDL (mg/dL)2]]+Table1[[#This Row],[HDL (mg/dL)2]]+(Table1[[#This Row],[Triglycerides]]/5),O783)</f>
        <v>172</v>
      </c>
      <c r="V783">
        <v>142</v>
      </c>
      <c r="W783" s="8">
        <f t="shared" si="178"/>
        <v>142</v>
      </c>
      <c r="X783" t="str">
        <f t="shared" si="179"/>
        <v>Diabetes</v>
      </c>
      <c r="Y783" t="s">
        <v>23</v>
      </c>
      <c r="Z783" t="s">
        <v>23</v>
      </c>
      <c r="AA783" t="s">
        <v>28</v>
      </c>
      <c r="AB783" s="3" t="s">
        <v>694</v>
      </c>
      <c r="AD783" s="3" t="str">
        <f t="shared" si="180"/>
        <v>131</v>
      </c>
      <c r="AE783">
        <v>73</v>
      </c>
      <c r="AF783" s="3" t="str">
        <f t="shared" si="181"/>
        <v>73</v>
      </c>
      <c r="AG783" t="s">
        <v>29</v>
      </c>
      <c r="AH783" s="3">
        <v>16.89</v>
      </c>
      <c r="AI783" s="3">
        <f t="shared" si="182"/>
        <v>16.89</v>
      </c>
      <c r="AJ783" t="s">
        <v>30</v>
      </c>
      <c r="AK783" t="str">
        <f>PROPER(Table1[[#This Row],[CVD Risk Level]])</f>
        <v>High</v>
      </c>
    </row>
    <row r="784" spans="1:37" x14ac:dyDescent="0.3">
      <c r="A784" t="s">
        <v>20</v>
      </c>
      <c r="B784">
        <v>30</v>
      </c>
      <c r="C784" s="8">
        <f t="shared" si="171"/>
        <v>30</v>
      </c>
      <c r="D784" s="5">
        <v>68.599999999999994</v>
      </c>
      <c r="E784" s="8">
        <f t="shared" si="172"/>
        <v>68.599999999999994</v>
      </c>
      <c r="F784">
        <v>1.73</v>
      </c>
      <c r="G784" s="3">
        <f t="shared" si="173"/>
        <v>1.73</v>
      </c>
      <c r="H784">
        <v>22.9</v>
      </c>
      <c r="I784" s="5">
        <f t="shared" si="169"/>
        <v>22.9</v>
      </c>
      <c r="J784" s="16" t="str">
        <f t="shared" si="174"/>
        <v>Normal</v>
      </c>
      <c r="K784">
        <v>86.7</v>
      </c>
      <c r="L784">
        <v>0.501</v>
      </c>
      <c r="M784" s="11">
        <f t="shared" si="170"/>
        <v>0.501</v>
      </c>
      <c r="N784" s="5">
        <f t="shared" si="175"/>
        <v>86.7</v>
      </c>
      <c r="O784">
        <v>142</v>
      </c>
      <c r="P784">
        <v>59</v>
      </c>
      <c r="Q784" s="8">
        <f t="shared" si="176"/>
        <v>59</v>
      </c>
      <c r="R784" s="8">
        <v>53</v>
      </c>
      <c r="S784" s="8">
        <f t="shared" si="177"/>
        <v>53</v>
      </c>
      <c r="T784" s="8">
        <f>(Table1[[#This Row],[Total Cholesterol (mg/dL)]]+Table1[[#This Row],[HDL (mg/dL)2]]+Table1[[#This Row],[Estimated LDL (mg/dL)2]])*5</f>
        <v>1270</v>
      </c>
      <c r="U784" s="8">
        <f>IF(O784="",Table1[[#This Row],[Estimated LDL (mg/dL)2]]+Table1[[#This Row],[HDL (mg/dL)2]]+(Table1[[#This Row],[Triglycerides]]/5),O784)</f>
        <v>142</v>
      </c>
      <c r="V784">
        <v>94</v>
      </c>
      <c r="W784" s="8">
        <f t="shared" si="178"/>
        <v>94</v>
      </c>
      <c r="X784" t="str">
        <f t="shared" si="179"/>
        <v>Normal</v>
      </c>
      <c r="Y784" t="s">
        <v>22</v>
      </c>
      <c r="Z784" t="s">
        <v>23</v>
      </c>
      <c r="AA784" t="s">
        <v>28</v>
      </c>
      <c r="AB784" s="3" t="s">
        <v>100</v>
      </c>
      <c r="AC784">
        <v>142</v>
      </c>
      <c r="AD784" s="3" t="str">
        <f t="shared" si="180"/>
        <v>142</v>
      </c>
      <c r="AE784">
        <v>66</v>
      </c>
      <c r="AF784" s="3" t="str">
        <f t="shared" si="181"/>
        <v>66</v>
      </c>
      <c r="AG784" t="s">
        <v>38</v>
      </c>
      <c r="AH784" s="3">
        <v>16.52</v>
      </c>
      <c r="AI784" s="3">
        <f t="shared" si="182"/>
        <v>16.52</v>
      </c>
      <c r="AJ784" t="s">
        <v>52</v>
      </c>
      <c r="AK784" t="str">
        <f>PROPER(Table1[[#This Row],[CVD Risk Level]])</f>
        <v>Low</v>
      </c>
    </row>
    <row r="785" spans="1:37" x14ac:dyDescent="0.3">
      <c r="A785" t="s">
        <v>31</v>
      </c>
      <c r="B785">
        <v>50</v>
      </c>
      <c r="C785" s="8">
        <f t="shared" si="171"/>
        <v>50</v>
      </c>
      <c r="D785" s="5">
        <v>95.3</v>
      </c>
      <c r="E785" s="8">
        <f t="shared" si="172"/>
        <v>95.3</v>
      </c>
      <c r="F785">
        <v>1.9</v>
      </c>
      <c r="G785" s="3">
        <f t="shared" si="173"/>
        <v>1.9</v>
      </c>
      <c r="H785">
        <v>26.4</v>
      </c>
      <c r="I785" s="5">
        <f t="shared" si="169"/>
        <v>26.4</v>
      </c>
      <c r="J785" s="16" t="str">
        <f t="shared" si="174"/>
        <v>Overweight</v>
      </c>
      <c r="K785">
        <v>90</v>
      </c>
      <c r="L785">
        <v>0.47399999999999998</v>
      </c>
      <c r="M785" s="11">
        <f t="shared" si="170"/>
        <v>0.47399999999999998</v>
      </c>
      <c r="N785" s="5">
        <f t="shared" si="175"/>
        <v>90</v>
      </c>
      <c r="O785">
        <v>205</v>
      </c>
      <c r="P785">
        <v>38</v>
      </c>
      <c r="Q785" s="8">
        <f t="shared" si="176"/>
        <v>38</v>
      </c>
      <c r="R785" s="8">
        <v>137</v>
      </c>
      <c r="S785" s="8">
        <f t="shared" si="177"/>
        <v>137</v>
      </c>
      <c r="T785" s="8">
        <f>(Table1[[#This Row],[Total Cholesterol (mg/dL)]]+Table1[[#This Row],[HDL (mg/dL)2]]+Table1[[#This Row],[Estimated LDL (mg/dL)2]])*5</f>
        <v>1900</v>
      </c>
      <c r="U785" s="8">
        <f>IF(O785="",Table1[[#This Row],[Estimated LDL (mg/dL)2]]+Table1[[#This Row],[HDL (mg/dL)2]]+(Table1[[#This Row],[Triglycerides]]/5),O785)</f>
        <v>205</v>
      </c>
      <c r="V785">
        <v>82</v>
      </c>
      <c r="W785" s="8">
        <f t="shared" si="178"/>
        <v>82</v>
      </c>
      <c r="X785" t="str">
        <f t="shared" si="179"/>
        <v>Normal</v>
      </c>
      <c r="Y785" t="s">
        <v>22</v>
      </c>
      <c r="Z785" t="s">
        <v>23</v>
      </c>
      <c r="AA785" t="s">
        <v>37</v>
      </c>
      <c r="AB785" s="3" t="s">
        <v>695</v>
      </c>
      <c r="AC785">
        <v>125</v>
      </c>
      <c r="AD785" s="3" t="str">
        <f t="shared" si="180"/>
        <v>125</v>
      </c>
      <c r="AE785">
        <v>90</v>
      </c>
      <c r="AF785" s="3" t="str">
        <f t="shared" si="181"/>
        <v>90</v>
      </c>
      <c r="AG785" t="s">
        <v>38</v>
      </c>
      <c r="AH785" s="3">
        <v>17.63</v>
      </c>
      <c r="AI785" s="3">
        <f t="shared" si="182"/>
        <v>17.63</v>
      </c>
      <c r="AJ785" t="s">
        <v>30</v>
      </c>
      <c r="AK785" t="str">
        <f>PROPER(Table1[[#This Row],[CVD Risk Level]])</f>
        <v>High</v>
      </c>
    </row>
    <row r="786" spans="1:37" x14ac:dyDescent="0.3">
      <c r="A786" t="s">
        <v>31</v>
      </c>
      <c r="B786">
        <v>31</v>
      </c>
      <c r="C786" s="8">
        <f t="shared" si="171"/>
        <v>31</v>
      </c>
      <c r="D786" s="5">
        <v>65.5</v>
      </c>
      <c r="E786" s="8">
        <f t="shared" si="172"/>
        <v>65.5</v>
      </c>
      <c r="F786">
        <v>1.8</v>
      </c>
      <c r="G786" s="3">
        <f t="shared" si="173"/>
        <v>1.8</v>
      </c>
      <c r="H786">
        <v>20.2</v>
      </c>
      <c r="I786" s="5">
        <f t="shared" si="169"/>
        <v>20.2</v>
      </c>
      <c r="J786" s="16" t="str">
        <f t="shared" si="174"/>
        <v>Normal</v>
      </c>
      <c r="K786">
        <v>79.2</v>
      </c>
      <c r="L786">
        <v>0.44</v>
      </c>
      <c r="M786" s="11">
        <f t="shared" si="170"/>
        <v>0.44</v>
      </c>
      <c r="N786" s="5">
        <f t="shared" si="175"/>
        <v>79.2</v>
      </c>
      <c r="O786">
        <v>266</v>
      </c>
      <c r="P786">
        <v>60</v>
      </c>
      <c r="Q786" s="8">
        <f t="shared" si="176"/>
        <v>60</v>
      </c>
      <c r="R786" s="8">
        <v>176</v>
      </c>
      <c r="S786" s="8">
        <f t="shared" si="177"/>
        <v>176</v>
      </c>
      <c r="T786" s="8">
        <f>(Table1[[#This Row],[Total Cholesterol (mg/dL)]]+Table1[[#This Row],[HDL (mg/dL)2]]+Table1[[#This Row],[Estimated LDL (mg/dL)2]])*5</f>
        <v>2510</v>
      </c>
      <c r="U786" s="8">
        <f>IF(O786="",Table1[[#This Row],[Estimated LDL (mg/dL)2]]+Table1[[#This Row],[HDL (mg/dL)2]]+(Table1[[#This Row],[Triglycerides]]/5),O786)</f>
        <v>266</v>
      </c>
      <c r="V786">
        <v>111</v>
      </c>
      <c r="W786" s="8">
        <f t="shared" si="178"/>
        <v>111</v>
      </c>
      <c r="X786" t="str">
        <f t="shared" si="179"/>
        <v>Prediabetes</v>
      </c>
      <c r="Y786" t="s">
        <v>23</v>
      </c>
      <c r="Z786" t="s">
        <v>23</v>
      </c>
      <c r="AA786" t="s">
        <v>24</v>
      </c>
      <c r="AB786" s="3" t="s">
        <v>696</v>
      </c>
      <c r="AC786">
        <v>124</v>
      </c>
      <c r="AD786" s="3" t="str">
        <f t="shared" si="180"/>
        <v>124</v>
      </c>
      <c r="AE786">
        <v>61</v>
      </c>
      <c r="AF786" s="3" t="str">
        <f t="shared" si="181"/>
        <v>61</v>
      </c>
      <c r="AG786" t="s">
        <v>25</v>
      </c>
      <c r="AH786" s="3">
        <v>17.559999999999999</v>
      </c>
      <c r="AI786" s="3">
        <f t="shared" si="182"/>
        <v>17.559999999999999</v>
      </c>
      <c r="AJ786" t="s">
        <v>30</v>
      </c>
      <c r="AK786" t="str">
        <f>PROPER(Table1[[#This Row],[CVD Risk Level]])</f>
        <v>High</v>
      </c>
    </row>
    <row r="787" spans="1:37" x14ac:dyDescent="0.3">
      <c r="A787" t="s">
        <v>31</v>
      </c>
      <c r="B787">
        <v>43</v>
      </c>
      <c r="C787" s="8">
        <f t="shared" si="171"/>
        <v>43</v>
      </c>
      <c r="D787" s="5">
        <v>110.9</v>
      </c>
      <c r="E787" s="8">
        <f t="shared" si="172"/>
        <v>110.9</v>
      </c>
      <c r="F787">
        <v>1.83</v>
      </c>
      <c r="G787" s="3">
        <f t="shared" si="173"/>
        <v>1.83</v>
      </c>
      <c r="H787">
        <v>33.1</v>
      </c>
      <c r="I787" s="5">
        <f t="shared" si="169"/>
        <v>33.1</v>
      </c>
      <c r="J787" s="16" t="str">
        <f t="shared" si="174"/>
        <v>Obese</v>
      </c>
      <c r="K787">
        <v>90.5</v>
      </c>
      <c r="M787" s="11">
        <f t="shared" si="170"/>
        <v>0.49453551912568305</v>
      </c>
      <c r="N787" s="5">
        <f t="shared" si="175"/>
        <v>90.5</v>
      </c>
      <c r="O787">
        <v>160</v>
      </c>
      <c r="Q787" s="8">
        <f t="shared" si="176"/>
        <v>56.197377501725327</v>
      </c>
      <c r="R787" s="8">
        <v>62</v>
      </c>
      <c r="S787" s="8">
        <f>IF(R787&lt;=0,MEDIAN($R$2:$R$1530),R787)</f>
        <v>62</v>
      </c>
      <c r="T787" s="8">
        <f>(Table1[[#This Row],[Total Cholesterol (mg/dL)]]+Table1[[#This Row],[HDL (mg/dL)2]]+Table1[[#This Row],[Estimated LDL (mg/dL)2]])*5</f>
        <v>1390.9868875086268</v>
      </c>
      <c r="U787" s="8">
        <f>IF(O787="",Table1[[#This Row],[Estimated LDL (mg/dL)2]]+Table1[[#This Row],[HDL (mg/dL)2]]+(Table1[[#This Row],[Triglycerides]]/5),O787)</f>
        <v>160</v>
      </c>
      <c r="V787">
        <v>144</v>
      </c>
      <c r="W787" s="8">
        <f t="shared" si="178"/>
        <v>144</v>
      </c>
      <c r="X787" t="str">
        <f t="shared" si="179"/>
        <v>Diabetes</v>
      </c>
      <c r="Y787" t="s">
        <v>22</v>
      </c>
      <c r="Z787" t="s">
        <v>23</v>
      </c>
      <c r="AA787" t="s">
        <v>37</v>
      </c>
      <c r="AB787" s="3" t="s">
        <v>446</v>
      </c>
      <c r="AC787">
        <v>129</v>
      </c>
      <c r="AD787" s="3" t="str">
        <f t="shared" si="180"/>
        <v>129</v>
      </c>
      <c r="AE787">
        <v>61</v>
      </c>
      <c r="AF787" s="3" t="str">
        <f t="shared" si="181"/>
        <v>61</v>
      </c>
      <c r="AG787" t="s">
        <v>25</v>
      </c>
      <c r="AH787" s="3">
        <v>18.27</v>
      </c>
      <c r="AI787" s="3">
        <f t="shared" si="182"/>
        <v>18.27</v>
      </c>
      <c r="AJ787" t="s">
        <v>26</v>
      </c>
      <c r="AK787" t="str">
        <f>PROPER(Table1[[#This Row],[CVD Risk Level]])</f>
        <v>Intermediary</v>
      </c>
    </row>
    <row r="788" spans="1:37" x14ac:dyDescent="0.3">
      <c r="A788" t="s">
        <v>31</v>
      </c>
      <c r="B788">
        <v>55</v>
      </c>
      <c r="C788" s="8">
        <f t="shared" si="171"/>
        <v>55</v>
      </c>
      <c r="D788" s="5">
        <v>75.3</v>
      </c>
      <c r="E788" s="8">
        <f t="shared" si="172"/>
        <v>75.3</v>
      </c>
      <c r="F788">
        <v>1.66</v>
      </c>
      <c r="G788" s="3">
        <f t="shared" si="173"/>
        <v>1.66</v>
      </c>
      <c r="H788">
        <v>27.3</v>
      </c>
      <c r="I788" s="5">
        <f t="shared" si="169"/>
        <v>27.3</v>
      </c>
      <c r="J788" s="16" t="str">
        <f t="shared" si="174"/>
        <v>Overweight</v>
      </c>
      <c r="K788">
        <v>76.3</v>
      </c>
      <c r="L788">
        <v>0.46</v>
      </c>
      <c r="M788" s="11">
        <f t="shared" si="170"/>
        <v>0.46</v>
      </c>
      <c r="N788" s="5">
        <f t="shared" si="175"/>
        <v>76.3</v>
      </c>
      <c r="O788">
        <v>122</v>
      </c>
      <c r="P788">
        <v>51</v>
      </c>
      <c r="Q788" s="8">
        <f t="shared" si="176"/>
        <v>51</v>
      </c>
      <c r="R788" s="8">
        <v>41</v>
      </c>
      <c r="S788" s="8">
        <f t="shared" si="177"/>
        <v>41</v>
      </c>
      <c r="T788" s="8">
        <f>(Table1[[#This Row],[Total Cholesterol (mg/dL)]]+Table1[[#This Row],[HDL (mg/dL)2]]+Table1[[#This Row],[Estimated LDL (mg/dL)2]])*5</f>
        <v>1070</v>
      </c>
      <c r="U788" s="8">
        <f>IF(O788="",Table1[[#This Row],[Estimated LDL (mg/dL)2]]+Table1[[#This Row],[HDL (mg/dL)2]]+(Table1[[#This Row],[Triglycerides]]/5),O788)</f>
        <v>122</v>
      </c>
      <c r="V788">
        <v>81</v>
      </c>
      <c r="W788" s="8">
        <f t="shared" si="178"/>
        <v>81</v>
      </c>
      <c r="X788" t="str">
        <f t="shared" si="179"/>
        <v>Normal</v>
      </c>
      <c r="Y788" t="s">
        <v>23</v>
      </c>
      <c r="Z788" t="s">
        <v>23</v>
      </c>
      <c r="AA788" t="s">
        <v>37</v>
      </c>
      <c r="AB788" s="3" t="s">
        <v>697</v>
      </c>
      <c r="AC788">
        <v>134</v>
      </c>
      <c r="AD788" s="3" t="str">
        <f t="shared" si="180"/>
        <v>134</v>
      </c>
      <c r="AE788">
        <v>90</v>
      </c>
      <c r="AF788" s="3" t="str">
        <f t="shared" si="181"/>
        <v>90</v>
      </c>
      <c r="AG788" t="s">
        <v>29</v>
      </c>
      <c r="AI788" s="3">
        <f t="shared" si="182"/>
        <v>16.960925291295425</v>
      </c>
      <c r="AJ788" t="s">
        <v>30</v>
      </c>
      <c r="AK788" t="str">
        <f>PROPER(Table1[[#This Row],[CVD Risk Level]])</f>
        <v>High</v>
      </c>
    </row>
    <row r="789" spans="1:37" x14ac:dyDescent="0.3">
      <c r="A789" t="s">
        <v>20</v>
      </c>
      <c r="B789">
        <v>31</v>
      </c>
      <c r="C789" s="8">
        <f t="shared" si="171"/>
        <v>31</v>
      </c>
      <c r="D789" s="5">
        <v>92.3</v>
      </c>
      <c r="E789" s="8">
        <f t="shared" si="172"/>
        <v>92.3</v>
      </c>
      <c r="F789">
        <v>1.72</v>
      </c>
      <c r="G789" s="3">
        <f t="shared" si="173"/>
        <v>1.72</v>
      </c>
      <c r="H789">
        <v>31.2</v>
      </c>
      <c r="I789" s="5">
        <f t="shared" si="169"/>
        <v>31.2</v>
      </c>
      <c r="J789" s="16" t="str">
        <f t="shared" si="174"/>
        <v>Obese</v>
      </c>
      <c r="K789">
        <v>94</v>
      </c>
      <c r="L789">
        <v>0.54700000000000004</v>
      </c>
      <c r="M789" s="11">
        <f t="shared" si="170"/>
        <v>0.54700000000000004</v>
      </c>
      <c r="N789" s="5">
        <f t="shared" si="175"/>
        <v>94</v>
      </c>
      <c r="O789">
        <v>182</v>
      </c>
      <c r="P789">
        <v>60</v>
      </c>
      <c r="Q789" s="8">
        <f t="shared" si="176"/>
        <v>60</v>
      </c>
      <c r="R789" s="8">
        <v>92</v>
      </c>
      <c r="S789" s="8">
        <f t="shared" si="177"/>
        <v>92</v>
      </c>
      <c r="T789" s="8">
        <f>(Table1[[#This Row],[Total Cholesterol (mg/dL)]]+Table1[[#This Row],[HDL (mg/dL)2]]+Table1[[#This Row],[Estimated LDL (mg/dL)2]])*5</f>
        <v>1670</v>
      </c>
      <c r="U789" s="8">
        <f>IF(O789="",Table1[[#This Row],[Estimated LDL (mg/dL)2]]+Table1[[#This Row],[HDL (mg/dL)2]]+(Table1[[#This Row],[Triglycerides]]/5),O789)</f>
        <v>182</v>
      </c>
      <c r="V789">
        <v>73</v>
      </c>
      <c r="W789" s="8">
        <f t="shared" si="178"/>
        <v>73</v>
      </c>
      <c r="X789" t="str">
        <f t="shared" si="179"/>
        <v>Normal</v>
      </c>
      <c r="Y789" t="s">
        <v>22</v>
      </c>
      <c r="Z789" t="s">
        <v>22</v>
      </c>
      <c r="AA789" t="s">
        <v>37</v>
      </c>
      <c r="AB789" s="3" t="s">
        <v>698</v>
      </c>
      <c r="AC789">
        <v>108</v>
      </c>
      <c r="AD789" s="3" t="str">
        <f t="shared" si="180"/>
        <v>108</v>
      </c>
      <c r="AE789">
        <v>71</v>
      </c>
      <c r="AF789" s="3" t="str">
        <f t="shared" si="181"/>
        <v>71</v>
      </c>
      <c r="AG789" t="s">
        <v>33</v>
      </c>
      <c r="AH789" s="3">
        <v>15.28</v>
      </c>
      <c r="AI789" s="3">
        <f t="shared" si="182"/>
        <v>15.28</v>
      </c>
      <c r="AJ789" t="s">
        <v>52</v>
      </c>
      <c r="AK789" t="str">
        <f>PROPER(Table1[[#This Row],[CVD Risk Level]])</f>
        <v>Low</v>
      </c>
    </row>
    <row r="790" spans="1:37" x14ac:dyDescent="0.3">
      <c r="A790" t="s">
        <v>20</v>
      </c>
      <c r="B790">
        <v>42</v>
      </c>
      <c r="C790" s="8">
        <f t="shared" si="171"/>
        <v>42</v>
      </c>
      <c r="D790" s="5">
        <v>69.099999999999994</v>
      </c>
      <c r="E790" s="8">
        <f t="shared" si="172"/>
        <v>69.099999999999994</v>
      </c>
      <c r="G790" s="3">
        <f t="shared" si="173"/>
        <v>1.8776342040135592</v>
      </c>
      <c r="H790">
        <v>19.600000000000001</v>
      </c>
      <c r="I790" s="5">
        <f t="shared" si="169"/>
        <v>19.600000000000001</v>
      </c>
      <c r="J790" s="16" t="str">
        <f t="shared" si="174"/>
        <v>Normal</v>
      </c>
      <c r="L790">
        <v>0.54500000000000004</v>
      </c>
      <c r="M790" s="11">
        <f t="shared" si="170"/>
        <v>0.54500000000000004</v>
      </c>
      <c r="N790" s="5">
        <f t="shared" si="175"/>
        <v>102.33106411873898</v>
      </c>
      <c r="O790">
        <v>263</v>
      </c>
      <c r="P790">
        <v>74</v>
      </c>
      <c r="Q790" s="8">
        <f t="shared" si="176"/>
        <v>74</v>
      </c>
      <c r="S790" s="8">
        <f t="shared" si="177"/>
        <v>109</v>
      </c>
      <c r="T790" s="8">
        <f>(Table1[[#This Row],[Total Cholesterol (mg/dL)]]+Table1[[#This Row],[HDL (mg/dL)2]]+Table1[[#This Row],[Estimated LDL (mg/dL)2]])*5</f>
        <v>2230</v>
      </c>
      <c r="U790" s="8">
        <f>IF(O790="",Table1[[#This Row],[Estimated LDL (mg/dL)2]]+Table1[[#This Row],[HDL (mg/dL)2]]+(Table1[[#This Row],[Triglycerides]]/5),O790)</f>
        <v>263</v>
      </c>
      <c r="V790">
        <v>94</v>
      </c>
      <c r="W790" s="8">
        <f t="shared" si="178"/>
        <v>94</v>
      </c>
      <c r="X790" t="str">
        <f t="shared" si="179"/>
        <v>Normal</v>
      </c>
      <c r="Y790" t="s">
        <v>22</v>
      </c>
      <c r="Z790" t="s">
        <v>22</v>
      </c>
      <c r="AA790" t="s">
        <v>24</v>
      </c>
      <c r="AB790" s="3" t="s">
        <v>699</v>
      </c>
      <c r="AC790">
        <v>92</v>
      </c>
      <c r="AD790" s="3" t="str">
        <f t="shared" si="180"/>
        <v>92</v>
      </c>
      <c r="AE790">
        <v>95</v>
      </c>
      <c r="AF790" s="3" t="str">
        <f t="shared" si="181"/>
        <v>95</v>
      </c>
      <c r="AG790" t="s">
        <v>38</v>
      </c>
      <c r="AH790" s="3">
        <v>13.78</v>
      </c>
      <c r="AI790" s="3">
        <f t="shared" si="182"/>
        <v>13.78</v>
      </c>
      <c r="AJ790" t="s">
        <v>26</v>
      </c>
      <c r="AK790" t="str">
        <f>PROPER(Table1[[#This Row],[CVD Risk Level]])</f>
        <v>Intermediary</v>
      </c>
    </row>
    <row r="791" spans="1:37" x14ac:dyDescent="0.3">
      <c r="A791" t="s">
        <v>31</v>
      </c>
      <c r="B791">
        <v>50</v>
      </c>
      <c r="C791" s="8">
        <f t="shared" si="171"/>
        <v>50</v>
      </c>
      <c r="D791" s="5">
        <v>119</v>
      </c>
      <c r="E791" s="8">
        <f t="shared" si="172"/>
        <v>119</v>
      </c>
      <c r="F791">
        <v>1.64</v>
      </c>
      <c r="G791" s="3">
        <f t="shared" si="173"/>
        <v>1.64</v>
      </c>
      <c r="H791">
        <v>44.2</v>
      </c>
      <c r="I791" s="5">
        <f t="shared" si="169"/>
        <v>44.2</v>
      </c>
      <c r="J791" s="16" t="str">
        <f t="shared" si="174"/>
        <v>Obese</v>
      </c>
      <c r="K791">
        <v>70.900000000000006</v>
      </c>
      <c r="L791">
        <v>0.432</v>
      </c>
      <c r="M791" s="11">
        <f t="shared" si="170"/>
        <v>0.432</v>
      </c>
      <c r="N791" s="5">
        <f t="shared" si="175"/>
        <v>70.900000000000006</v>
      </c>
      <c r="O791">
        <v>188</v>
      </c>
      <c r="P791">
        <v>68</v>
      </c>
      <c r="Q791" s="8">
        <f t="shared" si="176"/>
        <v>68</v>
      </c>
      <c r="R791" s="8">
        <v>90</v>
      </c>
      <c r="S791" s="8">
        <f t="shared" si="177"/>
        <v>90</v>
      </c>
      <c r="T791" s="8">
        <f>(Table1[[#This Row],[Total Cholesterol (mg/dL)]]+Table1[[#This Row],[HDL (mg/dL)2]]+Table1[[#This Row],[Estimated LDL (mg/dL)2]])*5</f>
        <v>1730</v>
      </c>
      <c r="U791" s="8">
        <f>IF(O791="",Table1[[#This Row],[Estimated LDL (mg/dL)2]]+Table1[[#This Row],[HDL (mg/dL)2]]+(Table1[[#This Row],[Triglycerides]]/5),O791)</f>
        <v>188</v>
      </c>
      <c r="V791">
        <v>113</v>
      </c>
      <c r="W791" s="8">
        <f t="shared" si="178"/>
        <v>113</v>
      </c>
      <c r="X791" t="str">
        <f t="shared" si="179"/>
        <v>Prediabetes</v>
      </c>
      <c r="Y791" t="s">
        <v>23</v>
      </c>
      <c r="Z791" t="s">
        <v>23</v>
      </c>
      <c r="AA791" t="s">
        <v>37</v>
      </c>
      <c r="AB791" s="3" t="s">
        <v>700</v>
      </c>
      <c r="AC791">
        <v>126</v>
      </c>
      <c r="AD791" s="3" t="str">
        <f t="shared" si="180"/>
        <v>126</v>
      </c>
      <c r="AE791">
        <v>77</v>
      </c>
      <c r="AF791" s="3" t="str">
        <f t="shared" si="181"/>
        <v>77</v>
      </c>
      <c r="AG791" t="s">
        <v>25</v>
      </c>
      <c r="AI791" s="3">
        <f t="shared" si="182"/>
        <v>16.960925291295425</v>
      </c>
      <c r="AJ791" t="s">
        <v>30</v>
      </c>
      <c r="AK791" t="str">
        <f>PROPER(Table1[[#This Row],[CVD Risk Level]])</f>
        <v>High</v>
      </c>
    </row>
    <row r="792" spans="1:37" x14ac:dyDescent="0.3">
      <c r="A792" t="s">
        <v>20</v>
      </c>
      <c r="B792">
        <v>42</v>
      </c>
      <c r="C792" s="8">
        <f t="shared" si="171"/>
        <v>42</v>
      </c>
      <c r="D792" s="5">
        <v>114.2</v>
      </c>
      <c r="E792" s="8">
        <f t="shared" si="172"/>
        <v>114.2</v>
      </c>
      <c r="F792">
        <v>1.89</v>
      </c>
      <c r="G792" s="3">
        <f t="shared" si="173"/>
        <v>1.89</v>
      </c>
      <c r="H792">
        <v>32</v>
      </c>
      <c r="I792" s="5">
        <f t="shared" si="169"/>
        <v>32</v>
      </c>
      <c r="J792" s="16" t="str">
        <f t="shared" si="174"/>
        <v>Obese</v>
      </c>
      <c r="K792">
        <v>84.4</v>
      </c>
      <c r="L792">
        <v>0.44700000000000001</v>
      </c>
      <c r="M792" s="11">
        <f t="shared" si="170"/>
        <v>0.44700000000000001</v>
      </c>
      <c r="N792" s="5">
        <f t="shared" si="175"/>
        <v>84.4</v>
      </c>
      <c r="O792">
        <v>153</v>
      </c>
      <c r="P792">
        <v>68</v>
      </c>
      <c r="Q792" s="8">
        <f t="shared" si="176"/>
        <v>68</v>
      </c>
      <c r="R792" s="8">
        <v>55</v>
      </c>
      <c r="S792" s="8">
        <f t="shared" si="177"/>
        <v>55</v>
      </c>
      <c r="T792" s="8">
        <f>(Table1[[#This Row],[Total Cholesterol (mg/dL)]]+Table1[[#This Row],[HDL (mg/dL)2]]+Table1[[#This Row],[Estimated LDL (mg/dL)2]])*5</f>
        <v>1380</v>
      </c>
      <c r="U792" s="8">
        <f>IF(O792="",Table1[[#This Row],[Estimated LDL (mg/dL)2]]+Table1[[#This Row],[HDL (mg/dL)2]]+(Table1[[#This Row],[Triglycerides]]/5),O792)</f>
        <v>153</v>
      </c>
      <c r="V792">
        <v>137</v>
      </c>
      <c r="W792" s="8">
        <f t="shared" si="178"/>
        <v>137</v>
      </c>
      <c r="X792" t="str">
        <f t="shared" si="179"/>
        <v>Diabetes</v>
      </c>
      <c r="Y792" t="s">
        <v>22</v>
      </c>
      <c r="Z792" t="s">
        <v>23</v>
      </c>
      <c r="AA792" t="s">
        <v>28</v>
      </c>
      <c r="AB792" s="3" t="s">
        <v>701</v>
      </c>
      <c r="AC792">
        <v>109</v>
      </c>
      <c r="AD792" s="3" t="str">
        <f t="shared" si="180"/>
        <v>109</v>
      </c>
      <c r="AE792">
        <v>91</v>
      </c>
      <c r="AF792" s="3" t="str">
        <f t="shared" si="181"/>
        <v>91</v>
      </c>
      <c r="AG792" t="s">
        <v>38</v>
      </c>
      <c r="AH792" s="3">
        <v>16.91</v>
      </c>
      <c r="AI792" s="3">
        <f t="shared" si="182"/>
        <v>16.91</v>
      </c>
      <c r="AJ792" t="s">
        <v>26</v>
      </c>
      <c r="AK792" t="str">
        <f>PROPER(Table1[[#This Row],[CVD Risk Level]])</f>
        <v>Intermediary</v>
      </c>
    </row>
    <row r="793" spans="1:37" x14ac:dyDescent="0.3">
      <c r="A793" t="s">
        <v>31</v>
      </c>
      <c r="B793">
        <v>56</v>
      </c>
      <c r="C793" s="8">
        <f t="shared" si="171"/>
        <v>56</v>
      </c>
      <c r="E793" s="8">
        <f t="shared" si="172"/>
        <v>72.733069999999998</v>
      </c>
      <c r="F793">
        <v>1.79</v>
      </c>
      <c r="G793" s="3">
        <f t="shared" si="173"/>
        <v>1.79</v>
      </c>
      <c r="H793">
        <v>22.7</v>
      </c>
      <c r="I793" s="5">
        <f t="shared" si="169"/>
        <v>22.7</v>
      </c>
      <c r="J793" s="16" t="str">
        <f t="shared" si="174"/>
        <v>Normal</v>
      </c>
      <c r="K793">
        <v>104.8</v>
      </c>
      <c r="L793">
        <v>0.58499999999999996</v>
      </c>
      <c r="M793" s="11">
        <f t="shared" si="170"/>
        <v>0.58499999999999996</v>
      </c>
      <c r="N793" s="5">
        <f t="shared" si="175"/>
        <v>104.8</v>
      </c>
      <c r="O793">
        <v>295</v>
      </c>
      <c r="P793">
        <v>57</v>
      </c>
      <c r="Q793" s="8">
        <f t="shared" si="176"/>
        <v>57</v>
      </c>
      <c r="R793" s="8">
        <v>208</v>
      </c>
      <c r="S793" s="8">
        <f t="shared" si="177"/>
        <v>208</v>
      </c>
      <c r="T793" s="8">
        <f>(Table1[[#This Row],[Total Cholesterol (mg/dL)]]+Table1[[#This Row],[HDL (mg/dL)2]]+Table1[[#This Row],[Estimated LDL (mg/dL)2]])*5</f>
        <v>2800</v>
      </c>
      <c r="U793" s="8">
        <f>IF(O793="",Table1[[#This Row],[Estimated LDL (mg/dL)2]]+Table1[[#This Row],[HDL (mg/dL)2]]+(Table1[[#This Row],[Triglycerides]]/5),O793)</f>
        <v>295</v>
      </c>
      <c r="V793">
        <v>93</v>
      </c>
      <c r="W793" s="8">
        <f t="shared" si="178"/>
        <v>93</v>
      </c>
      <c r="X793" t="str">
        <f t="shared" si="179"/>
        <v>Normal</v>
      </c>
      <c r="Y793" t="s">
        <v>22</v>
      </c>
      <c r="Z793" t="s">
        <v>23</v>
      </c>
      <c r="AA793" t="s">
        <v>37</v>
      </c>
      <c r="AB793" s="3" t="s">
        <v>475</v>
      </c>
      <c r="AC793">
        <v>150</v>
      </c>
      <c r="AD793" s="3" t="str">
        <f t="shared" si="180"/>
        <v>150</v>
      </c>
      <c r="AE793">
        <v>97</v>
      </c>
      <c r="AF793" s="3" t="str">
        <f t="shared" si="181"/>
        <v>97</v>
      </c>
      <c r="AG793" t="s">
        <v>38</v>
      </c>
      <c r="AH793" s="3">
        <v>19.940000000000001</v>
      </c>
      <c r="AI793" s="3">
        <f t="shared" si="182"/>
        <v>19.940000000000001</v>
      </c>
      <c r="AJ793" t="s">
        <v>26</v>
      </c>
      <c r="AK793" t="str">
        <f>PROPER(Table1[[#This Row],[CVD Risk Level]])</f>
        <v>Intermediary</v>
      </c>
    </row>
    <row r="794" spans="1:37" x14ac:dyDescent="0.3">
      <c r="A794" t="s">
        <v>31</v>
      </c>
      <c r="B794">
        <v>54</v>
      </c>
      <c r="C794" s="8">
        <f t="shared" si="171"/>
        <v>54</v>
      </c>
      <c r="D794" s="5">
        <v>53.1</v>
      </c>
      <c r="E794" s="8">
        <f t="shared" si="172"/>
        <v>53.1</v>
      </c>
      <c r="F794">
        <v>1.73</v>
      </c>
      <c r="G794" s="3">
        <f t="shared" si="173"/>
        <v>1.73</v>
      </c>
      <c r="H794">
        <v>17.7</v>
      </c>
      <c r="I794" s="5">
        <f t="shared" si="169"/>
        <v>17.7</v>
      </c>
      <c r="J794" s="16" t="str">
        <f t="shared" si="174"/>
        <v>Underweight</v>
      </c>
      <c r="K794">
        <v>103.3</v>
      </c>
      <c r="L794">
        <v>0.59699999999999998</v>
      </c>
      <c r="M794" s="11">
        <f t="shared" si="170"/>
        <v>0.59699999999999998</v>
      </c>
      <c r="N794" s="5">
        <f t="shared" si="175"/>
        <v>103.3</v>
      </c>
      <c r="P794">
        <v>71</v>
      </c>
      <c r="Q794" s="8">
        <f t="shared" si="176"/>
        <v>71</v>
      </c>
      <c r="R794" s="8">
        <v>56</v>
      </c>
      <c r="S794" s="8">
        <f t="shared" si="177"/>
        <v>56</v>
      </c>
      <c r="T794" s="8">
        <f>(Table1[[#This Row],[Total Cholesterol (mg/dL)]]+Table1[[#This Row],[HDL (mg/dL)2]]+Table1[[#This Row],[Estimated LDL (mg/dL)2]])*5</f>
        <v>635</v>
      </c>
      <c r="U794" s="8">
        <f>IF(O794="",Table1[[#This Row],[Estimated LDL (mg/dL)2]]+Table1[[#This Row],[HDL (mg/dL)2]]+(Table1[[#This Row],[Triglycerides]]/5),O794)</f>
        <v>254</v>
      </c>
      <c r="V794">
        <v>106</v>
      </c>
      <c r="W794" s="8">
        <f t="shared" si="178"/>
        <v>106</v>
      </c>
      <c r="X794" t="str">
        <f t="shared" si="179"/>
        <v>Prediabetes</v>
      </c>
      <c r="Y794" t="s">
        <v>23</v>
      </c>
      <c r="Z794" t="s">
        <v>22</v>
      </c>
      <c r="AA794" t="s">
        <v>37</v>
      </c>
      <c r="AB794" s="3" t="s">
        <v>702</v>
      </c>
      <c r="AC794">
        <v>137</v>
      </c>
      <c r="AD794" s="3" t="str">
        <f t="shared" si="180"/>
        <v>137</v>
      </c>
      <c r="AE794">
        <v>65</v>
      </c>
      <c r="AF794" s="3" t="str">
        <f t="shared" si="181"/>
        <v>65</v>
      </c>
      <c r="AG794" t="s">
        <v>29</v>
      </c>
      <c r="AH794" s="3">
        <v>13.53</v>
      </c>
      <c r="AI794" s="3">
        <f t="shared" si="182"/>
        <v>13.53</v>
      </c>
      <c r="AJ794" t="s">
        <v>26</v>
      </c>
      <c r="AK794" t="str">
        <f>PROPER(Table1[[#This Row],[CVD Risk Level]])</f>
        <v>Intermediary</v>
      </c>
    </row>
    <row r="795" spans="1:37" x14ac:dyDescent="0.3">
      <c r="A795" t="s">
        <v>31</v>
      </c>
      <c r="C795" s="8">
        <f t="shared" si="171"/>
        <v>47.025499655410059</v>
      </c>
      <c r="D795" s="5">
        <v>94.9</v>
      </c>
      <c r="E795" s="8">
        <f t="shared" si="172"/>
        <v>94.9</v>
      </c>
      <c r="F795">
        <v>1.67</v>
      </c>
      <c r="G795" s="3">
        <f t="shared" si="173"/>
        <v>1.67</v>
      </c>
      <c r="H795">
        <v>34</v>
      </c>
      <c r="I795" s="5">
        <f t="shared" si="169"/>
        <v>34</v>
      </c>
      <c r="J795" s="16" t="str">
        <f t="shared" si="174"/>
        <v>Obese</v>
      </c>
      <c r="K795">
        <v>98.6</v>
      </c>
      <c r="L795">
        <v>0.59</v>
      </c>
      <c r="M795" s="11">
        <f t="shared" si="170"/>
        <v>0.59</v>
      </c>
      <c r="N795" s="5">
        <f t="shared" si="175"/>
        <v>98.6</v>
      </c>
      <c r="O795">
        <v>234</v>
      </c>
      <c r="Q795" s="8">
        <f t="shared" si="176"/>
        <v>56.197377501725327</v>
      </c>
      <c r="R795" s="8">
        <v>136</v>
      </c>
      <c r="S795" s="8">
        <f t="shared" si="177"/>
        <v>136</v>
      </c>
      <c r="T795" s="8">
        <f>(Table1[[#This Row],[Total Cholesterol (mg/dL)]]+Table1[[#This Row],[HDL (mg/dL)2]]+Table1[[#This Row],[Estimated LDL (mg/dL)2]])*5</f>
        <v>2130.9868875086268</v>
      </c>
      <c r="U795" s="8">
        <f>IF(O795="",Table1[[#This Row],[Estimated LDL (mg/dL)2]]+Table1[[#This Row],[HDL (mg/dL)2]]+(Table1[[#This Row],[Triglycerides]]/5),O795)</f>
        <v>234</v>
      </c>
      <c r="V795">
        <v>148</v>
      </c>
      <c r="W795" s="8">
        <f t="shared" si="178"/>
        <v>148</v>
      </c>
      <c r="X795" t="str">
        <f t="shared" si="179"/>
        <v>Diabetes</v>
      </c>
      <c r="Y795" t="s">
        <v>23</v>
      </c>
      <c r="Z795" t="s">
        <v>22</v>
      </c>
      <c r="AA795" t="s">
        <v>37</v>
      </c>
      <c r="AB795" s="3" t="s">
        <v>703</v>
      </c>
      <c r="AC795">
        <v>150</v>
      </c>
      <c r="AD795" s="3" t="str">
        <f t="shared" si="180"/>
        <v>150</v>
      </c>
      <c r="AE795">
        <v>86</v>
      </c>
      <c r="AF795" s="3" t="str">
        <f t="shared" si="181"/>
        <v>86</v>
      </c>
      <c r="AG795" t="s">
        <v>29</v>
      </c>
      <c r="AH795" s="3">
        <v>18.98</v>
      </c>
      <c r="AI795" s="3">
        <f t="shared" si="182"/>
        <v>18.98</v>
      </c>
      <c r="AJ795" t="s">
        <v>30</v>
      </c>
      <c r="AK795" t="str">
        <f>PROPER(Table1[[#This Row],[CVD Risk Level]])</f>
        <v>High</v>
      </c>
    </row>
    <row r="796" spans="1:37" x14ac:dyDescent="0.3">
      <c r="A796" t="s">
        <v>20</v>
      </c>
      <c r="B796">
        <v>48</v>
      </c>
      <c r="C796" s="8">
        <f t="shared" si="171"/>
        <v>48</v>
      </c>
      <c r="D796" s="5">
        <v>88.9</v>
      </c>
      <c r="E796" s="8">
        <f t="shared" si="172"/>
        <v>88.9</v>
      </c>
      <c r="F796">
        <v>1.88</v>
      </c>
      <c r="G796" s="3">
        <f t="shared" si="173"/>
        <v>1.88</v>
      </c>
      <c r="H796">
        <v>25.2</v>
      </c>
      <c r="I796" s="5">
        <f t="shared" si="169"/>
        <v>25.2</v>
      </c>
      <c r="J796" s="16" t="str">
        <f t="shared" si="174"/>
        <v>Overweight</v>
      </c>
      <c r="K796">
        <v>97.9</v>
      </c>
      <c r="L796">
        <v>0.52100000000000002</v>
      </c>
      <c r="M796" s="11">
        <f t="shared" si="170"/>
        <v>0.52100000000000002</v>
      </c>
      <c r="N796" s="5">
        <f t="shared" si="175"/>
        <v>97.9</v>
      </c>
      <c r="O796">
        <v>234</v>
      </c>
      <c r="P796">
        <v>63</v>
      </c>
      <c r="Q796" s="8">
        <f t="shared" si="176"/>
        <v>63</v>
      </c>
      <c r="R796" s="8">
        <v>141</v>
      </c>
      <c r="S796" s="8">
        <f t="shared" si="177"/>
        <v>141</v>
      </c>
      <c r="T796" s="8">
        <f>(Table1[[#This Row],[Total Cholesterol (mg/dL)]]+Table1[[#This Row],[HDL (mg/dL)2]]+Table1[[#This Row],[Estimated LDL (mg/dL)2]])*5</f>
        <v>2190</v>
      </c>
      <c r="U796" s="8">
        <f>IF(O796="",Table1[[#This Row],[Estimated LDL (mg/dL)2]]+Table1[[#This Row],[HDL (mg/dL)2]]+(Table1[[#This Row],[Triglycerides]]/5),O796)</f>
        <v>234</v>
      </c>
      <c r="V796">
        <v>96</v>
      </c>
      <c r="W796" s="8">
        <f t="shared" si="178"/>
        <v>96</v>
      </c>
      <c r="X796" t="str">
        <f t="shared" si="179"/>
        <v>Normal</v>
      </c>
      <c r="Y796" t="s">
        <v>23</v>
      </c>
      <c r="Z796" t="s">
        <v>23</v>
      </c>
      <c r="AA796" t="s">
        <v>37</v>
      </c>
      <c r="AB796" s="3" t="s">
        <v>704</v>
      </c>
      <c r="AC796">
        <v>110</v>
      </c>
      <c r="AD796" s="3" t="str">
        <f t="shared" si="180"/>
        <v>110</v>
      </c>
      <c r="AE796">
        <v>72</v>
      </c>
      <c r="AF796" s="3" t="str">
        <f t="shared" si="181"/>
        <v>72</v>
      </c>
      <c r="AG796" t="s">
        <v>33</v>
      </c>
      <c r="AH796" s="3">
        <v>17.22</v>
      </c>
      <c r="AI796" s="3">
        <f t="shared" si="182"/>
        <v>17.22</v>
      </c>
      <c r="AJ796" t="s">
        <v>30</v>
      </c>
      <c r="AK796" t="str">
        <f>PROPER(Table1[[#This Row],[CVD Risk Level]])</f>
        <v>High</v>
      </c>
    </row>
    <row r="797" spans="1:37" x14ac:dyDescent="0.3">
      <c r="A797" t="s">
        <v>31</v>
      </c>
      <c r="B797">
        <v>44</v>
      </c>
      <c r="C797" s="8">
        <f t="shared" si="171"/>
        <v>44</v>
      </c>
      <c r="D797" s="5">
        <v>86.5</v>
      </c>
      <c r="E797" s="8">
        <f t="shared" si="172"/>
        <v>86.5</v>
      </c>
      <c r="F797">
        <v>1.67</v>
      </c>
      <c r="G797" s="3">
        <f t="shared" si="173"/>
        <v>1.67</v>
      </c>
      <c r="H797">
        <v>31</v>
      </c>
      <c r="I797" s="5">
        <f t="shared" si="169"/>
        <v>31</v>
      </c>
      <c r="J797" s="16" t="str">
        <f t="shared" si="174"/>
        <v>Obese</v>
      </c>
      <c r="K797">
        <v>81.400000000000006</v>
      </c>
      <c r="L797">
        <v>0.48699999999999999</v>
      </c>
      <c r="M797" s="11">
        <f t="shared" si="170"/>
        <v>0.48699999999999999</v>
      </c>
      <c r="N797" s="5">
        <f t="shared" si="175"/>
        <v>81.400000000000006</v>
      </c>
      <c r="O797">
        <v>103</v>
      </c>
      <c r="P797">
        <v>58</v>
      </c>
      <c r="Q797" s="8">
        <f t="shared" si="176"/>
        <v>58</v>
      </c>
      <c r="R797" s="8">
        <v>15</v>
      </c>
      <c r="S797" s="8">
        <f t="shared" si="177"/>
        <v>15</v>
      </c>
      <c r="T797" s="8">
        <f>(Table1[[#This Row],[Total Cholesterol (mg/dL)]]+Table1[[#This Row],[HDL (mg/dL)2]]+Table1[[#This Row],[Estimated LDL (mg/dL)2]])*5</f>
        <v>880</v>
      </c>
      <c r="U797" s="8">
        <f>IF(O797="",Table1[[#This Row],[Estimated LDL (mg/dL)2]]+Table1[[#This Row],[HDL (mg/dL)2]]+(Table1[[#This Row],[Triglycerides]]/5),O797)</f>
        <v>103</v>
      </c>
      <c r="V797">
        <v>79</v>
      </c>
      <c r="W797" s="8">
        <f t="shared" si="178"/>
        <v>79</v>
      </c>
      <c r="X797" t="str">
        <f t="shared" si="179"/>
        <v>Normal</v>
      </c>
      <c r="Y797" t="s">
        <v>23</v>
      </c>
      <c r="Z797" t="s">
        <v>23</v>
      </c>
      <c r="AA797" t="s">
        <v>37</v>
      </c>
      <c r="AB797" s="3" t="s">
        <v>705</v>
      </c>
      <c r="AC797">
        <v>101</v>
      </c>
      <c r="AD797" s="3" t="str">
        <f t="shared" si="180"/>
        <v>101</v>
      </c>
      <c r="AE797">
        <v>73</v>
      </c>
      <c r="AF797" s="3" t="str">
        <f t="shared" si="181"/>
        <v>73</v>
      </c>
      <c r="AG797" t="s">
        <v>33</v>
      </c>
      <c r="AH797" s="3">
        <v>15.31</v>
      </c>
      <c r="AI797" s="3">
        <f t="shared" si="182"/>
        <v>15.31</v>
      </c>
      <c r="AJ797" t="s">
        <v>30</v>
      </c>
      <c r="AK797" t="str">
        <f>PROPER(Table1[[#This Row],[CVD Risk Level]])</f>
        <v>High</v>
      </c>
    </row>
    <row r="798" spans="1:37" x14ac:dyDescent="0.3">
      <c r="A798" t="s">
        <v>31</v>
      </c>
      <c r="B798">
        <v>42</v>
      </c>
      <c r="C798" s="8">
        <f t="shared" si="171"/>
        <v>42</v>
      </c>
      <c r="D798" s="5">
        <v>104.5</v>
      </c>
      <c r="E798" s="8">
        <f t="shared" si="172"/>
        <v>104.5</v>
      </c>
      <c r="F798">
        <v>1.66</v>
      </c>
      <c r="G798" s="3">
        <f t="shared" si="173"/>
        <v>1.66</v>
      </c>
      <c r="H798">
        <v>37.9</v>
      </c>
      <c r="I798" s="5">
        <f t="shared" si="169"/>
        <v>37.9</v>
      </c>
      <c r="J798" s="16" t="str">
        <f t="shared" si="174"/>
        <v>Obese</v>
      </c>
      <c r="K798">
        <v>90.2</v>
      </c>
      <c r="L798">
        <v>0.54300000000000004</v>
      </c>
      <c r="M798" s="11">
        <f t="shared" si="170"/>
        <v>0.54300000000000004</v>
      </c>
      <c r="N798" s="5">
        <f t="shared" si="175"/>
        <v>90.2</v>
      </c>
      <c r="O798">
        <v>125</v>
      </c>
      <c r="P798">
        <v>32</v>
      </c>
      <c r="Q798" s="8">
        <f t="shared" si="176"/>
        <v>32</v>
      </c>
      <c r="R798" s="8">
        <v>63</v>
      </c>
      <c r="S798" s="8">
        <f t="shared" si="177"/>
        <v>63</v>
      </c>
      <c r="T798" s="8">
        <f>(Table1[[#This Row],[Total Cholesterol (mg/dL)]]+Table1[[#This Row],[HDL (mg/dL)2]]+Table1[[#This Row],[Estimated LDL (mg/dL)2]])*5</f>
        <v>1100</v>
      </c>
      <c r="U798" s="8">
        <f>IF(O798="",Table1[[#This Row],[Estimated LDL (mg/dL)2]]+Table1[[#This Row],[HDL (mg/dL)2]]+(Table1[[#This Row],[Triglycerides]]/5),O798)</f>
        <v>125</v>
      </c>
      <c r="V798">
        <v>134</v>
      </c>
      <c r="W798" s="8">
        <f t="shared" si="178"/>
        <v>134</v>
      </c>
      <c r="X798" t="str">
        <f t="shared" si="179"/>
        <v>Diabetes</v>
      </c>
      <c r="Y798" t="s">
        <v>23</v>
      </c>
      <c r="Z798" t="s">
        <v>23</v>
      </c>
      <c r="AA798" t="s">
        <v>28</v>
      </c>
      <c r="AB798" s="3" t="s">
        <v>706</v>
      </c>
      <c r="AC798">
        <v>123</v>
      </c>
      <c r="AD798" s="3" t="str">
        <f t="shared" si="180"/>
        <v>123</v>
      </c>
      <c r="AE798">
        <v>62</v>
      </c>
      <c r="AF798" s="3" t="str">
        <f t="shared" si="181"/>
        <v>62</v>
      </c>
      <c r="AG798" t="s">
        <v>25</v>
      </c>
      <c r="AH798" s="3">
        <v>18.23</v>
      </c>
      <c r="AI798" s="3">
        <f t="shared" si="182"/>
        <v>18.23</v>
      </c>
      <c r="AJ798" t="s">
        <v>30</v>
      </c>
      <c r="AK798" t="str">
        <f>PROPER(Table1[[#This Row],[CVD Risk Level]])</f>
        <v>High</v>
      </c>
    </row>
    <row r="799" spans="1:37" x14ac:dyDescent="0.3">
      <c r="A799" t="s">
        <v>20</v>
      </c>
      <c r="B799">
        <v>49</v>
      </c>
      <c r="C799" s="8">
        <f t="shared" si="171"/>
        <v>49</v>
      </c>
      <c r="D799" s="5">
        <v>58.5</v>
      </c>
      <c r="E799" s="8">
        <f t="shared" si="172"/>
        <v>58.5</v>
      </c>
      <c r="F799">
        <v>1.72</v>
      </c>
      <c r="G799" s="3">
        <f t="shared" si="173"/>
        <v>1.72</v>
      </c>
      <c r="H799">
        <v>19.8</v>
      </c>
      <c r="I799" s="5">
        <f t="shared" si="169"/>
        <v>19.8</v>
      </c>
      <c r="J799" s="16" t="str">
        <f t="shared" si="174"/>
        <v>Normal</v>
      </c>
      <c r="K799">
        <v>90.1</v>
      </c>
      <c r="L799">
        <v>0.52400000000000002</v>
      </c>
      <c r="M799" s="11">
        <f t="shared" si="170"/>
        <v>0.52400000000000002</v>
      </c>
      <c r="N799" s="5">
        <f t="shared" si="175"/>
        <v>90.1</v>
      </c>
      <c r="O799">
        <v>131</v>
      </c>
      <c r="P799">
        <v>62</v>
      </c>
      <c r="Q799" s="8">
        <f t="shared" si="176"/>
        <v>62</v>
      </c>
      <c r="R799" s="8">
        <v>39</v>
      </c>
      <c r="S799" s="8">
        <f t="shared" si="177"/>
        <v>39</v>
      </c>
      <c r="T799" s="8">
        <f>(Table1[[#This Row],[Total Cholesterol (mg/dL)]]+Table1[[#This Row],[HDL (mg/dL)2]]+Table1[[#This Row],[Estimated LDL (mg/dL)2]])*5</f>
        <v>1160</v>
      </c>
      <c r="U799" s="8">
        <f>IF(O799="",Table1[[#This Row],[Estimated LDL (mg/dL)2]]+Table1[[#This Row],[HDL (mg/dL)2]]+(Table1[[#This Row],[Triglycerides]]/5),O799)</f>
        <v>131</v>
      </c>
      <c r="V799">
        <v>150</v>
      </c>
      <c r="W799" s="8">
        <f t="shared" si="178"/>
        <v>150</v>
      </c>
      <c r="X799" t="str">
        <f t="shared" si="179"/>
        <v>Diabetes</v>
      </c>
      <c r="Y799" t="s">
        <v>23</v>
      </c>
      <c r="Z799" t="s">
        <v>22</v>
      </c>
      <c r="AA799" t="s">
        <v>37</v>
      </c>
      <c r="AB799" s="3" t="s">
        <v>707</v>
      </c>
      <c r="AC799">
        <v>150</v>
      </c>
      <c r="AD799" s="3" t="str">
        <f t="shared" si="180"/>
        <v>150</v>
      </c>
      <c r="AE799">
        <v>79</v>
      </c>
      <c r="AF799" s="3" t="str">
        <f t="shared" si="181"/>
        <v>79</v>
      </c>
      <c r="AG799" t="s">
        <v>38</v>
      </c>
      <c r="AH799" s="3">
        <v>14.08</v>
      </c>
      <c r="AI799" s="3">
        <f t="shared" si="182"/>
        <v>14.08</v>
      </c>
      <c r="AJ799" t="s">
        <v>26</v>
      </c>
      <c r="AK799" t="str">
        <f>PROPER(Table1[[#This Row],[CVD Risk Level]])</f>
        <v>Intermediary</v>
      </c>
    </row>
    <row r="800" spans="1:37" x14ac:dyDescent="0.3">
      <c r="A800" t="s">
        <v>20</v>
      </c>
      <c r="B800">
        <v>54</v>
      </c>
      <c r="C800" s="8">
        <f t="shared" si="171"/>
        <v>54</v>
      </c>
      <c r="D800" s="5">
        <v>119.8</v>
      </c>
      <c r="E800" s="8">
        <f t="shared" si="172"/>
        <v>119.8</v>
      </c>
      <c r="F800">
        <v>1.62</v>
      </c>
      <c r="G800" s="3">
        <f t="shared" si="173"/>
        <v>1.62</v>
      </c>
      <c r="H800">
        <v>45.6</v>
      </c>
      <c r="I800" s="5">
        <f t="shared" si="169"/>
        <v>45.6</v>
      </c>
      <c r="J800" s="16" t="str">
        <f t="shared" si="174"/>
        <v>Obese</v>
      </c>
      <c r="K800">
        <v>103.9</v>
      </c>
      <c r="L800">
        <v>0.64100000000000001</v>
      </c>
      <c r="M800" s="11">
        <f t="shared" si="170"/>
        <v>0.64100000000000001</v>
      </c>
      <c r="N800" s="5">
        <f t="shared" si="175"/>
        <v>103.9</v>
      </c>
      <c r="O800">
        <v>185</v>
      </c>
      <c r="P800">
        <v>38</v>
      </c>
      <c r="Q800" s="8">
        <f t="shared" si="176"/>
        <v>38</v>
      </c>
      <c r="R800" s="8">
        <v>117</v>
      </c>
      <c r="S800" s="8">
        <f t="shared" si="177"/>
        <v>117</v>
      </c>
      <c r="T800" s="8">
        <f>(Table1[[#This Row],[Total Cholesterol (mg/dL)]]+Table1[[#This Row],[HDL (mg/dL)2]]+Table1[[#This Row],[Estimated LDL (mg/dL)2]])*5</f>
        <v>1700</v>
      </c>
      <c r="U800" s="8">
        <f>IF(O800="",Table1[[#This Row],[Estimated LDL (mg/dL)2]]+Table1[[#This Row],[HDL (mg/dL)2]]+(Table1[[#This Row],[Triglycerides]]/5),O800)</f>
        <v>185</v>
      </c>
      <c r="V800">
        <v>85</v>
      </c>
      <c r="W800" s="8">
        <f t="shared" si="178"/>
        <v>85</v>
      </c>
      <c r="X800" t="str">
        <f t="shared" si="179"/>
        <v>Normal</v>
      </c>
      <c r="Y800" t="s">
        <v>23</v>
      </c>
      <c r="Z800" t="s">
        <v>22</v>
      </c>
      <c r="AA800" t="s">
        <v>24</v>
      </c>
      <c r="AB800" s="3" t="s">
        <v>708</v>
      </c>
      <c r="AC800">
        <v>129</v>
      </c>
      <c r="AD800" s="3" t="str">
        <f t="shared" si="180"/>
        <v>129</v>
      </c>
      <c r="AE800">
        <v>98</v>
      </c>
      <c r="AF800" s="3" t="str">
        <f t="shared" si="181"/>
        <v>98</v>
      </c>
      <c r="AG800" t="s">
        <v>38</v>
      </c>
      <c r="AH800" s="3">
        <v>19.27</v>
      </c>
      <c r="AI800" s="3">
        <f t="shared" si="182"/>
        <v>19.27</v>
      </c>
      <c r="AJ800" t="s">
        <v>30</v>
      </c>
      <c r="AK800" t="str">
        <f>PROPER(Table1[[#This Row],[CVD Risk Level]])</f>
        <v>High</v>
      </c>
    </row>
    <row r="801" spans="1:37" x14ac:dyDescent="0.3">
      <c r="A801" t="s">
        <v>31</v>
      </c>
      <c r="B801">
        <v>49</v>
      </c>
      <c r="C801" s="8">
        <f t="shared" si="171"/>
        <v>49</v>
      </c>
      <c r="E801" s="8">
        <f t="shared" si="172"/>
        <v>61.374389999999998</v>
      </c>
      <c r="F801">
        <v>1.63</v>
      </c>
      <c r="G801" s="3">
        <f t="shared" si="173"/>
        <v>1.63</v>
      </c>
      <c r="H801">
        <v>23.1</v>
      </c>
      <c r="I801" s="5">
        <f t="shared" si="169"/>
        <v>23.1</v>
      </c>
      <c r="J801" s="16" t="str">
        <f t="shared" si="174"/>
        <v>Normal</v>
      </c>
      <c r="K801">
        <v>93.8</v>
      </c>
      <c r="L801">
        <v>0.57499999999999996</v>
      </c>
      <c r="M801" s="11">
        <f t="shared" si="170"/>
        <v>0.57499999999999996</v>
      </c>
      <c r="N801" s="5">
        <f t="shared" si="175"/>
        <v>93.8</v>
      </c>
      <c r="O801">
        <v>191</v>
      </c>
      <c r="P801">
        <v>79</v>
      </c>
      <c r="Q801" s="8">
        <f t="shared" si="176"/>
        <v>79</v>
      </c>
      <c r="R801" s="8">
        <v>82</v>
      </c>
      <c r="S801" s="8">
        <f t="shared" si="177"/>
        <v>82</v>
      </c>
      <c r="T801" s="8">
        <f>(Table1[[#This Row],[Total Cholesterol (mg/dL)]]+Table1[[#This Row],[HDL (mg/dL)2]]+Table1[[#This Row],[Estimated LDL (mg/dL)2]])*5</f>
        <v>1760</v>
      </c>
      <c r="U801" s="8">
        <f>IF(O801="",Table1[[#This Row],[Estimated LDL (mg/dL)2]]+Table1[[#This Row],[HDL (mg/dL)2]]+(Table1[[#This Row],[Triglycerides]]/5),O801)</f>
        <v>191</v>
      </c>
      <c r="V801">
        <v>117</v>
      </c>
      <c r="W801" s="8">
        <f t="shared" si="178"/>
        <v>117</v>
      </c>
      <c r="X801" t="str">
        <f t="shared" si="179"/>
        <v>Prediabetes</v>
      </c>
      <c r="Y801" t="s">
        <v>23</v>
      </c>
      <c r="Z801" t="s">
        <v>23</v>
      </c>
      <c r="AA801" t="s">
        <v>37</v>
      </c>
      <c r="AB801" s="3" t="s">
        <v>709</v>
      </c>
      <c r="AC801">
        <v>144</v>
      </c>
      <c r="AD801" s="3" t="str">
        <f t="shared" si="180"/>
        <v>144</v>
      </c>
      <c r="AF801" s="3" t="str">
        <f t="shared" si="181"/>
        <v>91</v>
      </c>
      <c r="AG801" t="s">
        <v>38</v>
      </c>
      <c r="AH801" s="3">
        <v>17.64</v>
      </c>
      <c r="AI801" s="3">
        <f t="shared" si="182"/>
        <v>17.64</v>
      </c>
      <c r="AJ801" t="s">
        <v>30</v>
      </c>
      <c r="AK801" t="str">
        <f>PROPER(Table1[[#This Row],[CVD Risk Level]])</f>
        <v>High</v>
      </c>
    </row>
    <row r="802" spans="1:37" x14ac:dyDescent="0.3">
      <c r="A802" t="s">
        <v>20</v>
      </c>
      <c r="B802">
        <v>52</v>
      </c>
      <c r="C802" s="8">
        <f t="shared" si="171"/>
        <v>52</v>
      </c>
      <c r="D802" s="5">
        <v>50.2</v>
      </c>
      <c r="E802" s="8">
        <f t="shared" si="172"/>
        <v>50.2</v>
      </c>
      <c r="F802">
        <v>1.65</v>
      </c>
      <c r="G802" s="3">
        <f t="shared" si="173"/>
        <v>1.65</v>
      </c>
      <c r="H802">
        <v>18.399999999999999</v>
      </c>
      <c r="I802" s="5">
        <f t="shared" si="169"/>
        <v>18.399999999999999</v>
      </c>
      <c r="J802" s="16" t="str">
        <f t="shared" si="174"/>
        <v>Underweight</v>
      </c>
      <c r="K802">
        <v>80.099999999999994</v>
      </c>
      <c r="L802">
        <v>0.48499999999999999</v>
      </c>
      <c r="M802" s="11">
        <f t="shared" si="170"/>
        <v>0.48499999999999999</v>
      </c>
      <c r="N802" s="5">
        <f t="shared" si="175"/>
        <v>80.099999999999994</v>
      </c>
      <c r="O802">
        <v>257</v>
      </c>
      <c r="P802">
        <v>78</v>
      </c>
      <c r="Q802" s="8">
        <f t="shared" si="176"/>
        <v>78</v>
      </c>
      <c r="R802" s="8">
        <v>149</v>
      </c>
      <c r="S802" s="8">
        <f t="shared" si="177"/>
        <v>149</v>
      </c>
      <c r="T802" s="8">
        <f>(Table1[[#This Row],[Total Cholesterol (mg/dL)]]+Table1[[#This Row],[HDL (mg/dL)2]]+Table1[[#This Row],[Estimated LDL (mg/dL)2]])*5</f>
        <v>2420</v>
      </c>
      <c r="U802" s="8">
        <f>IF(O802="",Table1[[#This Row],[Estimated LDL (mg/dL)2]]+Table1[[#This Row],[HDL (mg/dL)2]]+(Table1[[#This Row],[Triglycerides]]/5),O802)</f>
        <v>257</v>
      </c>
      <c r="V802">
        <v>104</v>
      </c>
      <c r="W802" s="8">
        <f t="shared" si="178"/>
        <v>104</v>
      </c>
      <c r="X802" t="str">
        <f t="shared" si="179"/>
        <v>Prediabetes</v>
      </c>
      <c r="Y802" t="s">
        <v>22</v>
      </c>
      <c r="Z802" t="s">
        <v>22</v>
      </c>
      <c r="AA802" t="s">
        <v>24</v>
      </c>
      <c r="AB802" s="3" t="s">
        <v>710</v>
      </c>
      <c r="AC802">
        <v>108</v>
      </c>
      <c r="AD802" s="3" t="str">
        <f t="shared" si="180"/>
        <v>108</v>
      </c>
      <c r="AE802">
        <v>73</v>
      </c>
      <c r="AF802" s="3" t="str">
        <f t="shared" si="181"/>
        <v>73</v>
      </c>
      <c r="AG802" t="s">
        <v>33</v>
      </c>
      <c r="AH802" s="3">
        <v>14.22</v>
      </c>
      <c r="AI802" s="3">
        <f t="shared" si="182"/>
        <v>14.22</v>
      </c>
      <c r="AJ802" t="s">
        <v>30</v>
      </c>
      <c r="AK802" t="str">
        <f>PROPER(Table1[[#This Row],[CVD Risk Level]])</f>
        <v>High</v>
      </c>
    </row>
    <row r="803" spans="1:37" x14ac:dyDescent="0.3">
      <c r="A803" t="s">
        <v>31</v>
      </c>
      <c r="B803">
        <v>54</v>
      </c>
      <c r="C803" s="8">
        <f t="shared" si="171"/>
        <v>54</v>
      </c>
      <c r="D803" s="5">
        <v>114.1</v>
      </c>
      <c r="E803" s="8">
        <f t="shared" si="172"/>
        <v>114.1</v>
      </c>
      <c r="F803">
        <v>1.61</v>
      </c>
      <c r="G803" s="3">
        <f t="shared" si="173"/>
        <v>1.61</v>
      </c>
      <c r="H803">
        <v>44</v>
      </c>
      <c r="I803" s="5">
        <f t="shared" si="169"/>
        <v>44</v>
      </c>
      <c r="J803" s="16" t="str">
        <f t="shared" si="174"/>
        <v>Obese</v>
      </c>
      <c r="K803">
        <v>107.2</v>
      </c>
      <c r="L803">
        <v>0.66600000000000004</v>
      </c>
      <c r="M803" s="11">
        <f t="shared" si="170"/>
        <v>0.66600000000000004</v>
      </c>
      <c r="N803" s="5">
        <f t="shared" si="175"/>
        <v>107.2</v>
      </c>
      <c r="O803">
        <v>279</v>
      </c>
      <c r="P803">
        <v>49</v>
      </c>
      <c r="Q803" s="8">
        <f t="shared" si="176"/>
        <v>49</v>
      </c>
      <c r="R803" s="8">
        <v>200</v>
      </c>
      <c r="S803" s="8">
        <f t="shared" si="177"/>
        <v>200</v>
      </c>
      <c r="T803" s="8">
        <f>(Table1[[#This Row],[Total Cholesterol (mg/dL)]]+Table1[[#This Row],[HDL (mg/dL)2]]+Table1[[#This Row],[Estimated LDL (mg/dL)2]])*5</f>
        <v>2640</v>
      </c>
      <c r="U803" s="8">
        <f>IF(O803="",Table1[[#This Row],[Estimated LDL (mg/dL)2]]+Table1[[#This Row],[HDL (mg/dL)2]]+(Table1[[#This Row],[Triglycerides]]/5),O803)</f>
        <v>279</v>
      </c>
      <c r="V803">
        <v>75</v>
      </c>
      <c r="W803" s="8">
        <f t="shared" si="178"/>
        <v>75</v>
      </c>
      <c r="X803" t="str">
        <f t="shared" si="179"/>
        <v>Normal</v>
      </c>
      <c r="Y803" t="s">
        <v>23</v>
      </c>
      <c r="Z803" t="s">
        <v>22</v>
      </c>
      <c r="AA803" t="s">
        <v>24</v>
      </c>
      <c r="AB803" s="3" t="s">
        <v>711</v>
      </c>
      <c r="AC803">
        <v>134</v>
      </c>
      <c r="AD803" s="3" t="str">
        <f t="shared" si="180"/>
        <v>134</v>
      </c>
      <c r="AE803">
        <v>88</v>
      </c>
      <c r="AF803" s="3" t="str">
        <f t="shared" si="181"/>
        <v>88</v>
      </c>
      <c r="AG803" t="s">
        <v>29</v>
      </c>
      <c r="AH803" s="3">
        <v>21.08</v>
      </c>
      <c r="AI803" s="3">
        <f t="shared" si="182"/>
        <v>21.08</v>
      </c>
      <c r="AJ803" t="s">
        <v>30</v>
      </c>
      <c r="AK803" t="str">
        <f>PROPER(Table1[[#This Row],[CVD Risk Level]])</f>
        <v>High</v>
      </c>
    </row>
    <row r="804" spans="1:37" x14ac:dyDescent="0.3">
      <c r="A804" t="s">
        <v>20</v>
      </c>
      <c r="B804">
        <v>51</v>
      </c>
      <c r="C804" s="8">
        <f t="shared" si="171"/>
        <v>51</v>
      </c>
      <c r="E804" s="8">
        <f t="shared" si="172"/>
        <v>73.695039999999977</v>
      </c>
      <c r="F804">
        <v>1.64</v>
      </c>
      <c r="G804" s="3">
        <f t="shared" si="173"/>
        <v>1.64</v>
      </c>
      <c r="H804">
        <v>27.4</v>
      </c>
      <c r="I804" s="5">
        <f t="shared" si="169"/>
        <v>27.4</v>
      </c>
      <c r="J804" s="16" t="str">
        <f t="shared" si="174"/>
        <v>Overweight</v>
      </c>
      <c r="K804">
        <v>75</v>
      </c>
      <c r="L804">
        <v>0.45700000000000002</v>
      </c>
      <c r="M804" s="11">
        <f t="shared" si="170"/>
        <v>0.45700000000000002</v>
      </c>
      <c r="N804" s="5">
        <f t="shared" si="175"/>
        <v>75</v>
      </c>
      <c r="O804">
        <v>235</v>
      </c>
      <c r="Q804" s="8">
        <f t="shared" si="176"/>
        <v>56.197377501725327</v>
      </c>
      <c r="R804" s="8">
        <v>128</v>
      </c>
      <c r="S804" s="8">
        <f>IF(R804&lt;=0,MEDIAN($R$2:$R$1530),R804)</f>
        <v>128</v>
      </c>
      <c r="T804" s="8">
        <f>(Table1[[#This Row],[Total Cholesterol (mg/dL)]]+Table1[[#This Row],[HDL (mg/dL)2]]+Table1[[#This Row],[Estimated LDL (mg/dL)2]])*5</f>
        <v>2095.9868875086268</v>
      </c>
      <c r="U804" s="8">
        <f>IF(O804="",Table1[[#This Row],[Estimated LDL (mg/dL)2]]+Table1[[#This Row],[HDL (mg/dL)2]]+(Table1[[#This Row],[Triglycerides]]/5),O804)</f>
        <v>235</v>
      </c>
      <c r="V804">
        <v>146</v>
      </c>
      <c r="W804" s="8">
        <f t="shared" si="178"/>
        <v>146</v>
      </c>
      <c r="X804" t="str">
        <f t="shared" si="179"/>
        <v>Diabetes</v>
      </c>
      <c r="Y804" t="s">
        <v>23</v>
      </c>
      <c r="Z804" t="s">
        <v>22</v>
      </c>
      <c r="AA804" t="s">
        <v>24</v>
      </c>
      <c r="AB804" s="3" t="s">
        <v>712</v>
      </c>
      <c r="AC804">
        <v>149</v>
      </c>
      <c r="AD804" s="3" t="str">
        <f t="shared" si="180"/>
        <v>149</v>
      </c>
      <c r="AE804">
        <v>92</v>
      </c>
      <c r="AF804" s="3" t="str">
        <f t="shared" si="181"/>
        <v>92</v>
      </c>
      <c r="AG804" t="s">
        <v>38</v>
      </c>
      <c r="AH804" s="3">
        <v>17.63</v>
      </c>
      <c r="AI804" s="3">
        <f t="shared" si="182"/>
        <v>17.63</v>
      </c>
      <c r="AJ804" t="s">
        <v>30</v>
      </c>
      <c r="AK804" t="str">
        <f>PROPER(Table1[[#This Row],[CVD Risk Level]])</f>
        <v>High</v>
      </c>
    </row>
    <row r="805" spans="1:37" x14ac:dyDescent="0.3">
      <c r="A805" t="s">
        <v>20</v>
      </c>
      <c r="B805">
        <v>45</v>
      </c>
      <c r="C805" s="8">
        <f t="shared" si="171"/>
        <v>45</v>
      </c>
      <c r="D805" s="5">
        <v>107.4</v>
      </c>
      <c r="E805" s="8">
        <f t="shared" si="172"/>
        <v>107.4</v>
      </c>
      <c r="F805">
        <v>1.63</v>
      </c>
      <c r="G805" s="3">
        <f t="shared" si="173"/>
        <v>1.63</v>
      </c>
      <c r="H805">
        <v>40.4</v>
      </c>
      <c r="I805" s="5">
        <f t="shared" si="169"/>
        <v>40.4</v>
      </c>
      <c r="J805" s="16" t="str">
        <f t="shared" si="174"/>
        <v>Obese</v>
      </c>
      <c r="K805">
        <v>102.3</v>
      </c>
      <c r="L805">
        <v>0.628</v>
      </c>
      <c r="M805" s="11">
        <f t="shared" si="170"/>
        <v>0.628</v>
      </c>
      <c r="N805" s="5">
        <f t="shared" si="175"/>
        <v>102.3</v>
      </c>
      <c r="O805">
        <v>247</v>
      </c>
      <c r="P805">
        <v>52</v>
      </c>
      <c r="Q805" s="8">
        <f t="shared" si="176"/>
        <v>52</v>
      </c>
      <c r="R805" s="8">
        <v>165</v>
      </c>
      <c r="S805" s="8">
        <f t="shared" si="177"/>
        <v>165</v>
      </c>
      <c r="T805" s="8">
        <f>(Table1[[#This Row],[Total Cholesterol (mg/dL)]]+Table1[[#This Row],[HDL (mg/dL)2]]+Table1[[#This Row],[Estimated LDL (mg/dL)2]])*5</f>
        <v>2320</v>
      </c>
      <c r="U805" s="8">
        <f>IF(O805="",Table1[[#This Row],[Estimated LDL (mg/dL)2]]+Table1[[#This Row],[HDL (mg/dL)2]]+(Table1[[#This Row],[Triglycerides]]/5),O805)</f>
        <v>247</v>
      </c>
      <c r="V805">
        <v>82</v>
      </c>
      <c r="W805" s="8">
        <f t="shared" si="178"/>
        <v>82</v>
      </c>
      <c r="X805" t="str">
        <f t="shared" si="179"/>
        <v>Normal</v>
      </c>
      <c r="Y805" t="s">
        <v>23</v>
      </c>
      <c r="Z805" t="s">
        <v>22</v>
      </c>
      <c r="AA805" t="s">
        <v>28</v>
      </c>
      <c r="AB805" s="3" t="s">
        <v>713</v>
      </c>
      <c r="AC805">
        <v>140</v>
      </c>
      <c r="AD805" s="3" t="str">
        <f t="shared" si="180"/>
        <v>140</v>
      </c>
      <c r="AE805">
        <v>77</v>
      </c>
      <c r="AF805" s="3" t="str">
        <f t="shared" si="181"/>
        <v>77</v>
      </c>
      <c r="AG805" t="s">
        <v>38</v>
      </c>
      <c r="AH805" s="3">
        <v>20.02</v>
      </c>
      <c r="AI805" s="3">
        <f t="shared" si="182"/>
        <v>20.02</v>
      </c>
      <c r="AJ805" t="s">
        <v>30</v>
      </c>
      <c r="AK805" t="str">
        <f>PROPER(Table1[[#This Row],[CVD Risk Level]])</f>
        <v>High</v>
      </c>
    </row>
    <row r="806" spans="1:37" x14ac:dyDescent="0.3">
      <c r="A806" t="s">
        <v>31</v>
      </c>
      <c r="B806">
        <v>43</v>
      </c>
      <c r="C806" s="8">
        <f t="shared" si="171"/>
        <v>43</v>
      </c>
      <c r="D806" s="5">
        <v>111.9</v>
      </c>
      <c r="E806" s="8">
        <f t="shared" si="172"/>
        <v>111.9</v>
      </c>
      <c r="F806">
        <v>1.81</v>
      </c>
      <c r="G806" s="3">
        <f t="shared" si="173"/>
        <v>1.81</v>
      </c>
      <c r="H806">
        <v>34.200000000000003</v>
      </c>
      <c r="I806" s="5">
        <f t="shared" si="169"/>
        <v>34.200000000000003</v>
      </c>
      <c r="J806" s="16" t="str">
        <f t="shared" si="174"/>
        <v>Obese</v>
      </c>
      <c r="K806">
        <v>75.900000000000006</v>
      </c>
      <c r="L806">
        <v>0.41899999999999998</v>
      </c>
      <c r="M806" s="11">
        <f t="shared" si="170"/>
        <v>0.41899999999999998</v>
      </c>
      <c r="N806" s="5">
        <f t="shared" si="175"/>
        <v>75.900000000000006</v>
      </c>
      <c r="O806">
        <v>136</v>
      </c>
      <c r="P806">
        <v>66</v>
      </c>
      <c r="Q806" s="8">
        <f t="shared" si="176"/>
        <v>66</v>
      </c>
      <c r="R806" s="8">
        <v>40</v>
      </c>
      <c r="S806" s="8">
        <f t="shared" si="177"/>
        <v>40</v>
      </c>
      <c r="T806" s="8">
        <f>(Table1[[#This Row],[Total Cholesterol (mg/dL)]]+Table1[[#This Row],[HDL (mg/dL)2]]+Table1[[#This Row],[Estimated LDL (mg/dL)2]])*5</f>
        <v>1210</v>
      </c>
      <c r="U806" s="8">
        <f>IF(O806="",Table1[[#This Row],[Estimated LDL (mg/dL)2]]+Table1[[#This Row],[HDL (mg/dL)2]]+(Table1[[#This Row],[Triglycerides]]/5),O806)</f>
        <v>136</v>
      </c>
      <c r="W806" s="8">
        <f t="shared" si="178"/>
        <v>117.48563611491107</v>
      </c>
      <c r="X806" t="str">
        <f t="shared" si="179"/>
        <v>Prediabetes</v>
      </c>
      <c r="Y806" t="s">
        <v>23</v>
      </c>
      <c r="Z806" t="s">
        <v>22</v>
      </c>
      <c r="AA806" t="s">
        <v>37</v>
      </c>
      <c r="AB806" s="3" t="s">
        <v>714</v>
      </c>
      <c r="AC806">
        <v>142</v>
      </c>
      <c r="AD806" s="3" t="str">
        <f t="shared" si="180"/>
        <v>142</v>
      </c>
      <c r="AE806">
        <v>88</v>
      </c>
      <c r="AF806" s="3" t="str">
        <f t="shared" si="181"/>
        <v>88</v>
      </c>
      <c r="AG806" t="s">
        <v>29</v>
      </c>
      <c r="AH806" s="3">
        <v>16.66</v>
      </c>
      <c r="AI806" s="3">
        <f t="shared" si="182"/>
        <v>16.66</v>
      </c>
      <c r="AJ806" t="s">
        <v>26</v>
      </c>
      <c r="AK806" t="str">
        <f>PROPER(Table1[[#This Row],[CVD Risk Level]])</f>
        <v>Intermediary</v>
      </c>
    </row>
    <row r="807" spans="1:37" x14ac:dyDescent="0.3">
      <c r="A807" t="s">
        <v>20</v>
      </c>
      <c r="B807">
        <v>37</v>
      </c>
      <c r="C807" s="8">
        <f t="shared" si="171"/>
        <v>37</v>
      </c>
      <c r="D807" s="5">
        <v>75.2</v>
      </c>
      <c r="E807" s="8">
        <f t="shared" si="172"/>
        <v>75.2</v>
      </c>
      <c r="F807">
        <v>1.8</v>
      </c>
      <c r="G807" s="3">
        <f t="shared" si="173"/>
        <v>1.8</v>
      </c>
      <c r="H807">
        <v>23.2</v>
      </c>
      <c r="I807" s="5">
        <f t="shared" si="169"/>
        <v>23.2</v>
      </c>
      <c r="J807" s="16" t="str">
        <f t="shared" si="174"/>
        <v>Normal</v>
      </c>
      <c r="L807">
        <v>0.59799999999999998</v>
      </c>
      <c r="M807" s="11">
        <f t="shared" si="170"/>
        <v>0.59799999999999998</v>
      </c>
      <c r="N807" s="5">
        <f t="shared" si="175"/>
        <v>107.64</v>
      </c>
      <c r="O807">
        <v>187</v>
      </c>
      <c r="P807">
        <v>49</v>
      </c>
      <c r="Q807" s="8">
        <f t="shared" si="176"/>
        <v>49</v>
      </c>
      <c r="R807" s="8">
        <v>108</v>
      </c>
      <c r="S807" s="8">
        <f t="shared" si="177"/>
        <v>108</v>
      </c>
      <c r="T807" s="8">
        <f>(Table1[[#This Row],[Total Cholesterol (mg/dL)]]+Table1[[#This Row],[HDL (mg/dL)2]]+Table1[[#This Row],[Estimated LDL (mg/dL)2]])*5</f>
        <v>1720</v>
      </c>
      <c r="U807" s="8">
        <f>IF(O807="",Table1[[#This Row],[Estimated LDL (mg/dL)2]]+Table1[[#This Row],[HDL (mg/dL)2]]+(Table1[[#This Row],[Triglycerides]]/5),O807)</f>
        <v>187</v>
      </c>
      <c r="V807">
        <v>113</v>
      </c>
      <c r="W807" s="8">
        <f t="shared" si="178"/>
        <v>113</v>
      </c>
      <c r="X807" t="str">
        <f t="shared" si="179"/>
        <v>Prediabetes</v>
      </c>
      <c r="Y807" t="s">
        <v>23</v>
      </c>
      <c r="Z807" t="s">
        <v>22</v>
      </c>
      <c r="AA807" t="s">
        <v>37</v>
      </c>
      <c r="AB807" s="3" t="s">
        <v>312</v>
      </c>
      <c r="AC807">
        <v>108</v>
      </c>
      <c r="AD807" s="3" t="str">
        <f t="shared" si="180"/>
        <v>108</v>
      </c>
      <c r="AE807">
        <v>67</v>
      </c>
      <c r="AF807" s="3" t="str">
        <f t="shared" si="181"/>
        <v>67</v>
      </c>
      <c r="AG807" t="s">
        <v>33</v>
      </c>
      <c r="AI807" s="3">
        <f t="shared" si="182"/>
        <v>16.960925291295425</v>
      </c>
      <c r="AJ807" t="s">
        <v>26</v>
      </c>
      <c r="AK807" t="str">
        <f>PROPER(Table1[[#This Row],[CVD Risk Level]])</f>
        <v>Intermediary</v>
      </c>
    </row>
    <row r="808" spans="1:37" x14ac:dyDescent="0.3">
      <c r="A808" t="s">
        <v>31</v>
      </c>
      <c r="B808">
        <v>50</v>
      </c>
      <c r="C808" s="8">
        <f t="shared" si="171"/>
        <v>50</v>
      </c>
      <c r="D808" s="5">
        <v>65.5</v>
      </c>
      <c r="E808" s="8">
        <f t="shared" si="172"/>
        <v>65.5</v>
      </c>
      <c r="F808">
        <v>1.63</v>
      </c>
      <c r="G808" s="3">
        <f t="shared" si="173"/>
        <v>1.63</v>
      </c>
      <c r="H808">
        <v>24.7</v>
      </c>
      <c r="I808" s="5">
        <f t="shared" si="169"/>
        <v>24.7</v>
      </c>
      <c r="J808" s="16" t="str">
        <f t="shared" si="174"/>
        <v>Normal</v>
      </c>
      <c r="K808">
        <v>74.599999999999994</v>
      </c>
      <c r="L808">
        <v>0.45800000000000002</v>
      </c>
      <c r="M808" s="11">
        <f t="shared" si="170"/>
        <v>0.45800000000000002</v>
      </c>
      <c r="N808" s="5">
        <f t="shared" si="175"/>
        <v>74.599999999999994</v>
      </c>
      <c r="O808">
        <v>166</v>
      </c>
      <c r="P808">
        <v>41</v>
      </c>
      <c r="Q808" s="8">
        <f t="shared" si="176"/>
        <v>41</v>
      </c>
      <c r="R808" s="8">
        <v>95</v>
      </c>
      <c r="S808" s="8">
        <f t="shared" si="177"/>
        <v>95</v>
      </c>
      <c r="T808" s="8">
        <f>(Table1[[#This Row],[Total Cholesterol (mg/dL)]]+Table1[[#This Row],[HDL (mg/dL)2]]+Table1[[#This Row],[Estimated LDL (mg/dL)2]])*5</f>
        <v>1510</v>
      </c>
      <c r="U808" s="8">
        <f>IF(O808="",Table1[[#This Row],[Estimated LDL (mg/dL)2]]+Table1[[#This Row],[HDL (mg/dL)2]]+(Table1[[#This Row],[Triglycerides]]/5),O808)</f>
        <v>166</v>
      </c>
      <c r="V808">
        <v>107</v>
      </c>
      <c r="W808" s="8">
        <f t="shared" si="178"/>
        <v>107</v>
      </c>
      <c r="X808" t="str">
        <f t="shared" si="179"/>
        <v>Prediabetes</v>
      </c>
      <c r="Y808" t="s">
        <v>23</v>
      </c>
      <c r="Z808" t="s">
        <v>23</v>
      </c>
      <c r="AA808" t="s">
        <v>37</v>
      </c>
      <c r="AB808" s="3" t="s">
        <v>715</v>
      </c>
      <c r="AC808">
        <v>123</v>
      </c>
      <c r="AD808" s="3" t="str">
        <f t="shared" si="180"/>
        <v>123</v>
      </c>
      <c r="AE808">
        <v>99</v>
      </c>
      <c r="AF808" s="3" t="str">
        <f t="shared" si="181"/>
        <v>99</v>
      </c>
      <c r="AG808" t="s">
        <v>38</v>
      </c>
      <c r="AH808" s="3">
        <v>16.41</v>
      </c>
      <c r="AI808" s="3">
        <f t="shared" si="182"/>
        <v>16.41</v>
      </c>
      <c r="AJ808" t="s">
        <v>26</v>
      </c>
      <c r="AK808" t="str">
        <f>PROPER(Table1[[#This Row],[CVD Risk Level]])</f>
        <v>Intermediary</v>
      </c>
    </row>
    <row r="809" spans="1:37" x14ac:dyDescent="0.3">
      <c r="A809" t="s">
        <v>20</v>
      </c>
      <c r="B809">
        <v>55</v>
      </c>
      <c r="C809" s="8">
        <f t="shared" si="171"/>
        <v>55</v>
      </c>
      <c r="D809" s="5">
        <v>115.3</v>
      </c>
      <c r="E809" s="8">
        <f t="shared" si="172"/>
        <v>115.3</v>
      </c>
      <c r="G809" s="3">
        <f t="shared" si="173"/>
        <v>1.8893542396079297</v>
      </c>
      <c r="H809">
        <v>32.299999999999997</v>
      </c>
      <c r="I809" s="5">
        <f t="shared" si="169"/>
        <v>32.299999999999997</v>
      </c>
      <c r="J809" s="16" t="str">
        <f t="shared" si="174"/>
        <v>Obese</v>
      </c>
      <c r="K809">
        <v>85.6</v>
      </c>
      <c r="L809">
        <v>0.45300000000000001</v>
      </c>
      <c r="M809" s="11">
        <f t="shared" si="170"/>
        <v>0.45300000000000001</v>
      </c>
      <c r="N809" s="5">
        <f t="shared" si="175"/>
        <v>85.6</v>
      </c>
      <c r="O809">
        <v>192</v>
      </c>
      <c r="P809">
        <v>55</v>
      </c>
      <c r="Q809" s="8">
        <f t="shared" si="176"/>
        <v>55</v>
      </c>
      <c r="R809" s="8">
        <v>107</v>
      </c>
      <c r="S809" s="8">
        <f t="shared" si="177"/>
        <v>107</v>
      </c>
      <c r="T809" s="8">
        <f>(Table1[[#This Row],[Total Cholesterol (mg/dL)]]+Table1[[#This Row],[HDL (mg/dL)2]]+Table1[[#This Row],[Estimated LDL (mg/dL)2]])*5</f>
        <v>1770</v>
      </c>
      <c r="U809" s="8">
        <f>IF(O809="",Table1[[#This Row],[Estimated LDL (mg/dL)2]]+Table1[[#This Row],[HDL (mg/dL)2]]+(Table1[[#This Row],[Triglycerides]]/5),O809)</f>
        <v>192</v>
      </c>
      <c r="V809">
        <v>83</v>
      </c>
      <c r="W809" s="8">
        <f t="shared" si="178"/>
        <v>83</v>
      </c>
      <c r="X809" t="str">
        <f t="shared" si="179"/>
        <v>Normal</v>
      </c>
      <c r="Y809" t="s">
        <v>22</v>
      </c>
      <c r="Z809" t="s">
        <v>23</v>
      </c>
      <c r="AA809" t="s">
        <v>24</v>
      </c>
      <c r="AB809" s="3" t="s">
        <v>626</v>
      </c>
      <c r="AC809">
        <v>113</v>
      </c>
      <c r="AD809" s="3" t="str">
        <f t="shared" si="180"/>
        <v>113</v>
      </c>
      <c r="AE809">
        <v>98</v>
      </c>
      <c r="AF809" s="3" t="str">
        <f t="shared" si="181"/>
        <v>98</v>
      </c>
      <c r="AG809" t="s">
        <v>38</v>
      </c>
      <c r="AH809" s="3">
        <v>17.95</v>
      </c>
      <c r="AI809" s="3">
        <f t="shared" si="182"/>
        <v>17.95</v>
      </c>
      <c r="AJ809" t="s">
        <v>30</v>
      </c>
      <c r="AK809" t="str">
        <f>PROPER(Table1[[#This Row],[CVD Risk Level]])</f>
        <v>High</v>
      </c>
    </row>
    <row r="810" spans="1:37" x14ac:dyDescent="0.3">
      <c r="A810" t="s">
        <v>20</v>
      </c>
      <c r="B810">
        <v>48</v>
      </c>
      <c r="C810" s="8">
        <f t="shared" si="171"/>
        <v>48</v>
      </c>
      <c r="D810" s="5">
        <v>106.8</v>
      </c>
      <c r="E810" s="8">
        <f t="shared" si="172"/>
        <v>106.8</v>
      </c>
      <c r="F810">
        <v>1.79</v>
      </c>
      <c r="G810" s="3">
        <f t="shared" si="173"/>
        <v>1.79</v>
      </c>
      <c r="H810">
        <v>33.299999999999997</v>
      </c>
      <c r="I810" s="5">
        <f t="shared" si="169"/>
        <v>33.299999999999997</v>
      </c>
      <c r="J810" s="16" t="str">
        <f t="shared" si="174"/>
        <v>Obese</v>
      </c>
      <c r="K810">
        <v>93.2</v>
      </c>
      <c r="L810">
        <v>0.52100000000000002</v>
      </c>
      <c r="M810" s="11">
        <f t="shared" si="170"/>
        <v>0.52100000000000002</v>
      </c>
      <c r="N810" s="5">
        <f t="shared" si="175"/>
        <v>93.2</v>
      </c>
      <c r="O810">
        <v>150</v>
      </c>
      <c r="P810">
        <v>61</v>
      </c>
      <c r="Q810" s="8">
        <f t="shared" si="176"/>
        <v>61</v>
      </c>
      <c r="R810" s="8">
        <v>59</v>
      </c>
      <c r="S810" s="8">
        <f t="shared" si="177"/>
        <v>59</v>
      </c>
      <c r="T810" s="8">
        <f>(Table1[[#This Row],[Total Cholesterol (mg/dL)]]+Table1[[#This Row],[HDL (mg/dL)2]]+Table1[[#This Row],[Estimated LDL (mg/dL)2]])*5</f>
        <v>1350</v>
      </c>
      <c r="U810" s="8">
        <f>IF(O810="",Table1[[#This Row],[Estimated LDL (mg/dL)2]]+Table1[[#This Row],[HDL (mg/dL)2]]+(Table1[[#This Row],[Triglycerides]]/5),O810)</f>
        <v>150</v>
      </c>
      <c r="V810">
        <v>91</v>
      </c>
      <c r="W810" s="8">
        <f t="shared" si="178"/>
        <v>91</v>
      </c>
      <c r="X810" t="str">
        <f t="shared" si="179"/>
        <v>Normal</v>
      </c>
      <c r="Y810" t="s">
        <v>22</v>
      </c>
      <c r="Z810" t="s">
        <v>23</v>
      </c>
      <c r="AA810" t="s">
        <v>37</v>
      </c>
      <c r="AB810" s="3" t="s">
        <v>716</v>
      </c>
      <c r="AC810">
        <v>110</v>
      </c>
      <c r="AD810" s="3" t="str">
        <f t="shared" si="180"/>
        <v>110</v>
      </c>
      <c r="AE810">
        <v>64</v>
      </c>
      <c r="AF810" s="3" t="str">
        <f t="shared" si="181"/>
        <v>64</v>
      </c>
      <c r="AG810" t="s">
        <v>33</v>
      </c>
      <c r="AH810" s="3">
        <v>17.16</v>
      </c>
      <c r="AI810" s="3">
        <f t="shared" si="182"/>
        <v>17.16</v>
      </c>
      <c r="AJ810" t="s">
        <v>26</v>
      </c>
      <c r="AK810" t="str">
        <f>PROPER(Table1[[#This Row],[CVD Risk Level]])</f>
        <v>Intermediary</v>
      </c>
    </row>
    <row r="811" spans="1:37" x14ac:dyDescent="0.3">
      <c r="A811" t="s">
        <v>31</v>
      </c>
      <c r="B811">
        <v>48</v>
      </c>
      <c r="C811" s="8">
        <f t="shared" si="171"/>
        <v>48</v>
      </c>
      <c r="D811" s="5">
        <v>71.099999999999994</v>
      </c>
      <c r="E811" s="8">
        <f t="shared" si="172"/>
        <v>71.099999999999994</v>
      </c>
      <c r="F811">
        <v>1.74</v>
      </c>
      <c r="G811" s="3">
        <f t="shared" si="173"/>
        <v>1.74</v>
      </c>
      <c r="H811">
        <v>23.5</v>
      </c>
      <c r="I811" s="5">
        <f t="shared" si="169"/>
        <v>23.5</v>
      </c>
      <c r="J811" s="16" t="str">
        <f t="shared" si="174"/>
        <v>Normal</v>
      </c>
      <c r="K811">
        <v>71.7</v>
      </c>
      <c r="L811">
        <v>0.41199999999999998</v>
      </c>
      <c r="M811" s="11">
        <f t="shared" si="170"/>
        <v>0.41199999999999998</v>
      </c>
      <c r="N811" s="5">
        <f t="shared" si="175"/>
        <v>71.7</v>
      </c>
      <c r="O811">
        <v>226</v>
      </c>
      <c r="P811">
        <v>66</v>
      </c>
      <c r="Q811" s="8">
        <f t="shared" si="176"/>
        <v>66</v>
      </c>
      <c r="R811" s="8">
        <v>130</v>
      </c>
      <c r="S811" s="8">
        <f t="shared" si="177"/>
        <v>130</v>
      </c>
      <c r="T811" s="8">
        <f>(Table1[[#This Row],[Total Cholesterol (mg/dL)]]+Table1[[#This Row],[HDL (mg/dL)2]]+Table1[[#This Row],[Estimated LDL (mg/dL)2]])*5</f>
        <v>2110</v>
      </c>
      <c r="U811" s="8">
        <f>IF(O811="",Table1[[#This Row],[Estimated LDL (mg/dL)2]]+Table1[[#This Row],[HDL (mg/dL)2]]+(Table1[[#This Row],[Triglycerides]]/5),O811)</f>
        <v>226</v>
      </c>
      <c r="V811">
        <v>114</v>
      </c>
      <c r="W811" s="8">
        <f t="shared" si="178"/>
        <v>114</v>
      </c>
      <c r="X811" t="str">
        <f t="shared" si="179"/>
        <v>Prediabetes</v>
      </c>
      <c r="Y811" t="s">
        <v>22</v>
      </c>
      <c r="Z811" t="s">
        <v>22</v>
      </c>
      <c r="AA811" t="s">
        <v>24</v>
      </c>
      <c r="AB811" s="3" t="s">
        <v>717</v>
      </c>
      <c r="AC811">
        <v>99</v>
      </c>
      <c r="AD811" s="3" t="str">
        <f t="shared" si="180"/>
        <v>99</v>
      </c>
      <c r="AE811">
        <v>62</v>
      </c>
      <c r="AF811" s="3" t="str">
        <f t="shared" si="181"/>
        <v>62</v>
      </c>
      <c r="AG811" t="s">
        <v>33</v>
      </c>
      <c r="AH811" s="3">
        <v>14.17</v>
      </c>
      <c r="AI811" s="3">
        <f t="shared" si="182"/>
        <v>14.17</v>
      </c>
      <c r="AJ811" t="s">
        <v>30</v>
      </c>
      <c r="AK811" t="str">
        <f>PROPER(Table1[[#This Row],[CVD Risk Level]])</f>
        <v>High</v>
      </c>
    </row>
    <row r="812" spans="1:37" x14ac:dyDescent="0.3">
      <c r="A812" t="s">
        <v>31</v>
      </c>
      <c r="B812">
        <v>43</v>
      </c>
      <c r="C812" s="8">
        <f t="shared" si="171"/>
        <v>43</v>
      </c>
      <c r="D812" s="5">
        <v>73.5</v>
      </c>
      <c r="E812" s="8">
        <f t="shared" si="172"/>
        <v>73.5</v>
      </c>
      <c r="F812">
        <v>1.62</v>
      </c>
      <c r="G812" s="3">
        <f t="shared" si="173"/>
        <v>1.62</v>
      </c>
      <c r="H812">
        <v>28</v>
      </c>
      <c r="I812" s="5">
        <f t="shared" si="169"/>
        <v>28</v>
      </c>
      <c r="J812" s="16" t="str">
        <f t="shared" si="174"/>
        <v>Overweight</v>
      </c>
      <c r="K812">
        <v>86.7</v>
      </c>
      <c r="L812">
        <v>0.53500000000000003</v>
      </c>
      <c r="M812" s="11">
        <f t="shared" si="170"/>
        <v>0.53500000000000003</v>
      </c>
      <c r="N812" s="5">
        <f t="shared" si="175"/>
        <v>86.7</v>
      </c>
      <c r="O812">
        <v>200</v>
      </c>
      <c r="P812">
        <v>62</v>
      </c>
      <c r="Q812" s="8">
        <f t="shared" si="176"/>
        <v>62</v>
      </c>
      <c r="R812" s="8">
        <v>108</v>
      </c>
      <c r="S812" s="8">
        <f t="shared" si="177"/>
        <v>108</v>
      </c>
      <c r="T812" s="8">
        <f>(Table1[[#This Row],[Total Cholesterol (mg/dL)]]+Table1[[#This Row],[HDL (mg/dL)2]]+Table1[[#This Row],[Estimated LDL (mg/dL)2]])*5</f>
        <v>1850</v>
      </c>
      <c r="U812" s="8">
        <f>IF(O812="",Table1[[#This Row],[Estimated LDL (mg/dL)2]]+Table1[[#This Row],[HDL (mg/dL)2]]+(Table1[[#This Row],[Triglycerides]]/5),O812)</f>
        <v>200</v>
      </c>
      <c r="V812">
        <v>100</v>
      </c>
      <c r="W812" s="8">
        <f t="shared" si="178"/>
        <v>100</v>
      </c>
      <c r="X812" t="str">
        <f t="shared" si="179"/>
        <v>Prediabetes</v>
      </c>
      <c r="Y812" t="s">
        <v>22</v>
      </c>
      <c r="Z812" t="s">
        <v>22</v>
      </c>
      <c r="AA812" t="s">
        <v>28</v>
      </c>
      <c r="AB812" s="3" t="s">
        <v>666</v>
      </c>
      <c r="AC812">
        <v>111</v>
      </c>
      <c r="AD812" s="3" t="str">
        <f t="shared" si="180"/>
        <v>111</v>
      </c>
      <c r="AE812">
        <v>87</v>
      </c>
      <c r="AF812" s="3" t="str">
        <f t="shared" si="181"/>
        <v>87</v>
      </c>
      <c r="AG812" t="s">
        <v>29</v>
      </c>
      <c r="AH812" s="3">
        <v>15.15</v>
      </c>
      <c r="AI812" s="3">
        <f t="shared" si="182"/>
        <v>15.15</v>
      </c>
      <c r="AJ812" t="s">
        <v>52</v>
      </c>
      <c r="AK812" t="str">
        <f>PROPER(Table1[[#This Row],[CVD Risk Level]])</f>
        <v>Low</v>
      </c>
    </row>
    <row r="813" spans="1:37" x14ac:dyDescent="0.3">
      <c r="A813" t="s">
        <v>31</v>
      </c>
      <c r="B813">
        <v>49</v>
      </c>
      <c r="C813" s="8">
        <f t="shared" si="171"/>
        <v>49</v>
      </c>
      <c r="D813" s="5">
        <v>51.6</v>
      </c>
      <c r="E813" s="8">
        <f t="shared" si="172"/>
        <v>51.6</v>
      </c>
      <c r="F813">
        <v>1.77</v>
      </c>
      <c r="G813" s="3">
        <f t="shared" si="173"/>
        <v>1.77</v>
      </c>
      <c r="H813">
        <v>16.5</v>
      </c>
      <c r="I813" s="5">
        <f t="shared" si="169"/>
        <v>16.5</v>
      </c>
      <c r="J813" s="16" t="str">
        <f t="shared" si="174"/>
        <v>Underweight</v>
      </c>
      <c r="K813">
        <v>91.7</v>
      </c>
      <c r="L813">
        <v>0.51800000000000002</v>
      </c>
      <c r="M813" s="11">
        <f t="shared" si="170"/>
        <v>0.51800000000000002</v>
      </c>
      <c r="N813" s="5">
        <f t="shared" si="175"/>
        <v>91.7</v>
      </c>
      <c r="O813">
        <v>289</v>
      </c>
      <c r="P813">
        <v>62</v>
      </c>
      <c r="Q813" s="8">
        <f t="shared" si="176"/>
        <v>62</v>
      </c>
      <c r="R813" s="8">
        <v>197</v>
      </c>
      <c r="S813" s="8">
        <f t="shared" si="177"/>
        <v>197</v>
      </c>
      <c r="T813" s="8">
        <f>(Table1[[#This Row],[Total Cholesterol (mg/dL)]]+Table1[[#This Row],[HDL (mg/dL)2]]+Table1[[#This Row],[Estimated LDL (mg/dL)2]])*5</f>
        <v>2740</v>
      </c>
      <c r="U813" s="8">
        <f>IF(O813="",Table1[[#This Row],[Estimated LDL (mg/dL)2]]+Table1[[#This Row],[HDL (mg/dL)2]]+(Table1[[#This Row],[Triglycerides]]/5),O813)</f>
        <v>289</v>
      </c>
      <c r="V813">
        <v>83</v>
      </c>
      <c r="W813" s="8">
        <f t="shared" si="178"/>
        <v>83</v>
      </c>
      <c r="X813" t="str">
        <f t="shared" si="179"/>
        <v>Normal</v>
      </c>
      <c r="Y813" t="s">
        <v>22</v>
      </c>
      <c r="Z813" t="s">
        <v>23</v>
      </c>
      <c r="AA813" t="s">
        <v>37</v>
      </c>
      <c r="AB813" s="3" t="s">
        <v>718</v>
      </c>
      <c r="AC813">
        <v>98</v>
      </c>
      <c r="AD813" s="3" t="str">
        <f t="shared" si="180"/>
        <v>98</v>
      </c>
      <c r="AE813">
        <v>65</v>
      </c>
      <c r="AF813" s="3" t="str">
        <f t="shared" si="181"/>
        <v>65</v>
      </c>
      <c r="AG813" t="s">
        <v>33</v>
      </c>
      <c r="AH813" s="3">
        <v>15.98</v>
      </c>
      <c r="AI813" s="3">
        <f t="shared" si="182"/>
        <v>15.98</v>
      </c>
      <c r="AJ813" t="s">
        <v>30</v>
      </c>
      <c r="AK813" t="str">
        <f>PROPER(Table1[[#This Row],[CVD Risk Level]])</f>
        <v>High</v>
      </c>
    </row>
    <row r="814" spans="1:37" x14ac:dyDescent="0.3">
      <c r="A814" t="s">
        <v>20</v>
      </c>
      <c r="C814" s="8">
        <f t="shared" si="171"/>
        <v>47.025499655410059</v>
      </c>
      <c r="D814" s="5">
        <v>73.400000000000006</v>
      </c>
      <c r="E814" s="8">
        <f t="shared" si="172"/>
        <v>73.400000000000006</v>
      </c>
      <c r="F814">
        <v>1.65</v>
      </c>
      <c r="G814" s="3">
        <f t="shared" si="173"/>
        <v>1.65</v>
      </c>
      <c r="H814">
        <v>27</v>
      </c>
      <c r="I814" s="5">
        <f t="shared" si="169"/>
        <v>27</v>
      </c>
      <c r="J814" s="16" t="str">
        <f t="shared" si="174"/>
        <v>Overweight</v>
      </c>
      <c r="K814">
        <v>78.099999999999994</v>
      </c>
      <c r="L814">
        <v>0.47299999999999998</v>
      </c>
      <c r="M814" s="11">
        <f t="shared" si="170"/>
        <v>0.47299999999999998</v>
      </c>
      <c r="N814" s="5">
        <f t="shared" si="175"/>
        <v>78.099999999999994</v>
      </c>
      <c r="O814">
        <v>135</v>
      </c>
      <c r="P814">
        <v>60</v>
      </c>
      <c r="Q814" s="8">
        <f t="shared" si="176"/>
        <v>60</v>
      </c>
      <c r="R814" s="8">
        <v>45</v>
      </c>
      <c r="S814" s="8">
        <f t="shared" si="177"/>
        <v>45</v>
      </c>
      <c r="T814" s="8">
        <f>(Table1[[#This Row],[Total Cholesterol (mg/dL)]]+Table1[[#This Row],[HDL (mg/dL)2]]+Table1[[#This Row],[Estimated LDL (mg/dL)2]])*5</f>
        <v>1200</v>
      </c>
      <c r="U814" s="8">
        <f>IF(O814="",Table1[[#This Row],[Estimated LDL (mg/dL)2]]+Table1[[#This Row],[HDL (mg/dL)2]]+(Table1[[#This Row],[Triglycerides]]/5),O814)</f>
        <v>135</v>
      </c>
      <c r="V814">
        <v>150</v>
      </c>
      <c r="W814" s="8">
        <f t="shared" si="178"/>
        <v>150</v>
      </c>
      <c r="X814" t="str">
        <f t="shared" si="179"/>
        <v>Diabetes</v>
      </c>
      <c r="Y814" t="s">
        <v>22</v>
      </c>
      <c r="Z814" t="s">
        <v>22</v>
      </c>
      <c r="AA814" t="s">
        <v>28</v>
      </c>
      <c r="AB814" s="3" t="s">
        <v>655</v>
      </c>
      <c r="AC814">
        <v>90</v>
      </c>
      <c r="AD814" s="3" t="str">
        <f t="shared" si="180"/>
        <v>90</v>
      </c>
      <c r="AE814">
        <v>74</v>
      </c>
      <c r="AF814" s="3" t="str">
        <f t="shared" si="181"/>
        <v>74</v>
      </c>
      <c r="AG814" t="s">
        <v>33</v>
      </c>
      <c r="AH814" s="3">
        <v>12.6</v>
      </c>
      <c r="AI814" s="3">
        <f t="shared" si="182"/>
        <v>12.6</v>
      </c>
      <c r="AJ814" t="s">
        <v>52</v>
      </c>
      <c r="AK814" t="str">
        <f>PROPER(Table1[[#This Row],[CVD Risk Level]])</f>
        <v>Low</v>
      </c>
    </row>
    <row r="815" spans="1:37" x14ac:dyDescent="0.3">
      <c r="A815" t="s">
        <v>20</v>
      </c>
      <c r="B815">
        <v>40</v>
      </c>
      <c r="C815" s="8">
        <f t="shared" si="171"/>
        <v>40</v>
      </c>
      <c r="D815" s="5">
        <v>107.5</v>
      </c>
      <c r="E815" s="8">
        <f t="shared" si="172"/>
        <v>107.5</v>
      </c>
      <c r="F815">
        <v>1.63</v>
      </c>
      <c r="G815" s="3">
        <f t="shared" si="173"/>
        <v>1.63</v>
      </c>
      <c r="H815">
        <v>40.5</v>
      </c>
      <c r="I815" s="5">
        <f t="shared" si="169"/>
        <v>40.5</v>
      </c>
      <c r="J815" s="16" t="str">
        <f t="shared" si="174"/>
        <v>Obese</v>
      </c>
      <c r="K815">
        <v>87.3</v>
      </c>
      <c r="L815">
        <v>0.53600000000000003</v>
      </c>
      <c r="M815" s="11">
        <f t="shared" si="170"/>
        <v>0.53600000000000003</v>
      </c>
      <c r="N815" s="5">
        <f t="shared" si="175"/>
        <v>87.3</v>
      </c>
      <c r="O815">
        <v>289</v>
      </c>
      <c r="P815">
        <v>41</v>
      </c>
      <c r="Q815" s="8">
        <f t="shared" si="176"/>
        <v>41</v>
      </c>
      <c r="S815" s="8">
        <f t="shared" si="177"/>
        <v>109</v>
      </c>
      <c r="T815" s="8">
        <f>(Table1[[#This Row],[Total Cholesterol (mg/dL)]]+Table1[[#This Row],[HDL (mg/dL)2]]+Table1[[#This Row],[Estimated LDL (mg/dL)2]])*5</f>
        <v>2195</v>
      </c>
      <c r="U815" s="8">
        <f>IF(O815="",Table1[[#This Row],[Estimated LDL (mg/dL)2]]+Table1[[#This Row],[HDL (mg/dL)2]]+(Table1[[#This Row],[Triglycerides]]/5),O815)</f>
        <v>289</v>
      </c>
      <c r="V815">
        <v>80</v>
      </c>
      <c r="W815" s="8">
        <f t="shared" si="178"/>
        <v>80</v>
      </c>
      <c r="X815" t="str">
        <f t="shared" si="179"/>
        <v>Normal</v>
      </c>
      <c r="Y815" t="s">
        <v>22</v>
      </c>
      <c r="Z815" t="s">
        <v>23</v>
      </c>
      <c r="AA815" t="s">
        <v>28</v>
      </c>
      <c r="AB815" s="3" t="s">
        <v>719</v>
      </c>
      <c r="AC815">
        <v>104</v>
      </c>
      <c r="AD815" s="3" t="str">
        <f t="shared" si="180"/>
        <v>104</v>
      </c>
      <c r="AE815">
        <v>70</v>
      </c>
      <c r="AF815" s="3" t="str">
        <f t="shared" si="181"/>
        <v>70</v>
      </c>
      <c r="AG815" t="s">
        <v>33</v>
      </c>
      <c r="AH815" s="3">
        <v>21.08</v>
      </c>
      <c r="AI815" s="3">
        <f t="shared" si="182"/>
        <v>21.08</v>
      </c>
      <c r="AJ815" t="s">
        <v>26</v>
      </c>
      <c r="AK815" t="str">
        <f>PROPER(Table1[[#This Row],[CVD Risk Level]])</f>
        <v>Intermediary</v>
      </c>
    </row>
    <row r="816" spans="1:37" x14ac:dyDescent="0.3">
      <c r="A816" t="s">
        <v>31</v>
      </c>
      <c r="B816">
        <v>37</v>
      </c>
      <c r="C816" s="8">
        <f t="shared" si="171"/>
        <v>37</v>
      </c>
      <c r="D816" s="5">
        <v>67.900000000000006</v>
      </c>
      <c r="E816" s="8">
        <f t="shared" si="172"/>
        <v>67.900000000000006</v>
      </c>
      <c r="F816">
        <v>1.61</v>
      </c>
      <c r="G816" s="3">
        <f t="shared" si="173"/>
        <v>1.61</v>
      </c>
      <c r="H816">
        <v>26.2</v>
      </c>
      <c r="I816" s="5">
        <f t="shared" si="169"/>
        <v>26.2</v>
      </c>
      <c r="J816" s="16" t="str">
        <f t="shared" si="174"/>
        <v>Overweight</v>
      </c>
      <c r="K816">
        <v>79.3</v>
      </c>
      <c r="L816">
        <v>0.49299999999999999</v>
      </c>
      <c r="M816" s="11">
        <f t="shared" si="170"/>
        <v>0.49299999999999999</v>
      </c>
      <c r="N816" s="5">
        <f t="shared" si="175"/>
        <v>79.3</v>
      </c>
      <c r="O816">
        <v>122</v>
      </c>
      <c r="P816">
        <v>74</v>
      </c>
      <c r="Q816" s="8">
        <f t="shared" si="176"/>
        <v>74</v>
      </c>
      <c r="S816" s="8">
        <f t="shared" si="177"/>
        <v>109</v>
      </c>
      <c r="T816" s="8">
        <f>(Table1[[#This Row],[Total Cholesterol (mg/dL)]]+Table1[[#This Row],[HDL (mg/dL)2]]+Table1[[#This Row],[Estimated LDL (mg/dL)2]])*5</f>
        <v>1525</v>
      </c>
      <c r="U816" s="8">
        <f>IF(O816="",Table1[[#This Row],[Estimated LDL (mg/dL)2]]+Table1[[#This Row],[HDL (mg/dL)2]]+(Table1[[#This Row],[Triglycerides]]/5),O816)</f>
        <v>122</v>
      </c>
      <c r="V816">
        <v>95</v>
      </c>
      <c r="W816" s="8">
        <f t="shared" si="178"/>
        <v>95</v>
      </c>
      <c r="X816" t="str">
        <f t="shared" si="179"/>
        <v>Normal</v>
      </c>
      <c r="Y816" t="s">
        <v>23</v>
      </c>
      <c r="Z816" t="s">
        <v>23</v>
      </c>
      <c r="AA816" t="s">
        <v>24</v>
      </c>
      <c r="AB816" s="3" t="s">
        <v>720</v>
      </c>
      <c r="AC816">
        <v>147</v>
      </c>
      <c r="AD816" s="3" t="str">
        <f t="shared" si="180"/>
        <v>147</v>
      </c>
      <c r="AE816">
        <v>71</v>
      </c>
      <c r="AF816" s="3" t="str">
        <f t="shared" si="181"/>
        <v>71</v>
      </c>
      <c r="AG816" t="s">
        <v>38</v>
      </c>
      <c r="AH816" s="3">
        <v>17.03</v>
      </c>
      <c r="AI816" s="3">
        <f t="shared" si="182"/>
        <v>17.03</v>
      </c>
      <c r="AJ816" t="s">
        <v>30</v>
      </c>
      <c r="AK816" t="str">
        <f>PROPER(Table1[[#This Row],[CVD Risk Level]])</f>
        <v>High</v>
      </c>
    </row>
    <row r="817" spans="1:37" x14ac:dyDescent="0.3">
      <c r="A817" t="s">
        <v>20</v>
      </c>
      <c r="B817">
        <v>40</v>
      </c>
      <c r="C817" s="8">
        <f t="shared" si="171"/>
        <v>40</v>
      </c>
      <c r="D817" s="5">
        <v>63.2</v>
      </c>
      <c r="E817" s="8">
        <f t="shared" si="172"/>
        <v>63.2</v>
      </c>
      <c r="F817">
        <v>1.89</v>
      </c>
      <c r="G817" s="3">
        <f t="shared" si="173"/>
        <v>1.89</v>
      </c>
      <c r="H817">
        <v>17.7</v>
      </c>
      <c r="I817" s="5">
        <f t="shared" si="169"/>
        <v>17.7</v>
      </c>
      <c r="J817" s="16" t="str">
        <f t="shared" si="174"/>
        <v>Underweight</v>
      </c>
      <c r="K817">
        <v>73.099999999999994</v>
      </c>
      <c r="L817">
        <v>0.38700000000000001</v>
      </c>
      <c r="M817" s="11">
        <f t="shared" si="170"/>
        <v>0.38700000000000001</v>
      </c>
      <c r="N817" s="5">
        <f t="shared" si="175"/>
        <v>73.099999999999994</v>
      </c>
      <c r="O817">
        <v>252</v>
      </c>
      <c r="P817">
        <v>63</v>
      </c>
      <c r="Q817" s="8">
        <f t="shared" si="176"/>
        <v>63</v>
      </c>
      <c r="R817" s="8">
        <v>159</v>
      </c>
      <c r="S817" s="8">
        <f t="shared" si="177"/>
        <v>159</v>
      </c>
      <c r="T817" s="8">
        <f>(Table1[[#This Row],[Total Cholesterol (mg/dL)]]+Table1[[#This Row],[HDL (mg/dL)2]]+Table1[[#This Row],[Estimated LDL (mg/dL)2]])*5</f>
        <v>2370</v>
      </c>
      <c r="U817" s="8">
        <f>IF(O817="",Table1[[#This Row],[Estimated LDL (mg/dL)2]]+Table1[[#This Row],[HDL (mg/dL)2]]+(Table1[[#This Row],[Triglycerides]]/5),O817)</f>
        <v>252</v>
      </c>
      <c r="V817">
        <v>130</v>
      </c>
      <c r="W817" s="8">
        <f t="shared" si="178"/>
        <v>130</v>
      </c>
      <c r="X817" t="str">
        <f t="shared" si="179"/>
        <v>Diabetes</v>
      </c>
      <c r="Y817" t="s">
        <v>22</v>
      </c>
      <c r="Z817" t="s">
        <v>23</v>
      </c>
      <c r="AA817" t="s">
        <v>37</v>
      </c>
      <c r="AB817" s="3" t="s">
        <v>721</v>
      </c>
      <c r="AC817">
        <v>95</v>
      </c>
      <c r="AD817" s="3" t="str">
        <f t="shared" si="180"/>
        <v>95</v>
      </c>
      <c r="AE817">
        <v>90</v>
      </c>
      <c r="AF817" s="3" t="str">
        <f t="shared" si="181"/>
        <v>90</v>
      </c>
      <c r="AG817" t="s">
        <v>38</v>
      </c>
      <c r="AH817" s="3">
        <v>15.33</v>
      </c>
      <c r="AI817" s="3">
        <f t="shared" si="182"/>
        <v>15.33</v>
      </c>
      <c r="AJ817" t="s">
        <v>26</v>
      </c>
      <c r="AK817" t="str">
        <f>PROPER(Table1[[#This Row],[CVD Risk Level]])</f>
        <v>Intermediary</v>
      </c>
    </row>
    <row r="818" spans="1:37" x14ac:dyDescent="0.3">
      <c r="A818" t="s">
        <v>31</v>
      </c>
      <c r="B818">
        <v>53</v>
      </c>
      <c r="C818" s="8">
        <f t="shared" si="171"/>
        <v>53</v>
      </c>
      <c r="D818" s="5">
        <v>108</v>
      </c>
      <c r="E818" s="8">
        <f t="shared" si="172"/>
        <v>108</v>
      </c>
      <c r="F818">
        <v>1.89</v>
      </c>
      <c r="G818" s="3">
        <f t="shared" si="173"/>
        <v>1.89</v>
      </c>
      <c r="H818">
        <v>30.2</v>
      </c>
      <c r="I818" s="5">
        <f t="shared" si="169"/>
        <v>30.2</v>
      </c>
      <c r="J818" s="16" t="str">
        <f t="shared" si="174"/>
        <v>Obese</v>
      </c>
      <c r="K818">
        <v>86</v>
      </c>
      <c r="L818">
        <v>0.45500000000000002</v>
      </c>
      <c r="M818" s="11">
        <f t="shared" si="170"/>
        <v>0.45500000000000002</v>
      </c>
      <c r="N818" s="5">
        <f t="shared" si="175"/>
        <v>86</v>
      </c>
      <c r="O818">
        <v>261</v>
      </c>
      <c r="P818">
        <v>68</v>
      </c>
      <c r="Q818" s="8">
        <f t="shared" si="176"/>
        <v>68</v>
      </c>
      <c r="R818" s="8">
        <v>163</v>
      </c>
      <c r="S818" s="8">
        <f t="shared" si="177"/>
        <v>163</v>
      </c>
      <c r="T818" s="8">
        <f>(Table1[[#This Row],[Total Cholesterol (mg/dL)]]+Table1[[#This Row],[HDL (mg/dL)2]]+Table1[[#This Row],[Estimated LDL (mg/dL)2]])*5</f>
        <v>2460</v>
      </c>
      <c r="U818" s="8">
        <f>IF(O818="",Table1[[#This Row],[Estimated LDL (mg/dL)2]]+Table1[[#This Row],[HDL (mg/dL)2]]+(Table1[[#This Row],[Triglycerides]]/5),O818)</f>
        <v>261</v>
      </c>
      <c r="V818">
        <v>109</v>
      </c>
      <c r="W818" s="8">
        <f t="shared" si="178"/>
        <v>109</v>
      </c>
      <c r="X818" t="str">
        <f t="shared" si="179"/>
        <v>Prediabetes</v>
      </c>
      <c r="Y818" t="s">
        <v>22</v>
      </c>
      <c r="Z818" t="s">
        <v>22</v>
      </c>
      <c r="AA818" t="s">
        <v>24</v>
      </c>
      <c r="AB818" s="3" t="s">
        <v>722</v>
      </c>
      <c r="AC818">
        <v>141</v>
      </c>
      <c r="AD818" s="3" t="str">
        <f t="shared" si="180"/>
        <v>141</v>
      </c>
      <c r="AE818">
        <v>62</v>
      </c>
      <c r="AF818" s="3" t="str">
        <f t="shared" si="181"/>
        <v>62</v>
      </c>
      <c r="AG818" t="s">
        <v>38</v>
      </c>
      <c r="AH818" s="3">
        <v>18.309999999999999</v>
      </c>
      <c r="AI818" s="3">
        <f t="shared" si="182"/>
        <v>18.309999999999999</v>
      </c>
      <c r="AJ818" t="s">
        <v>30</v>
      </c>
      <c r="AK818" t="str">
        <f>PROPER(Table1[[#This Row],[CVD Risk Level]])</f>
        <v>High</v>
      </c>
    </row>
    <row r="819" spans="1:37" x14ac:dyDescent="0.3">
      <c r="A819" t="s">
        <v>20</v>
      </c>
      <c r="B819">
        <v>32</v>
      </c>
      <c r="C819" s="8">
        <f t="shared" si="171"/>
        <v>32</v>
      </c>
      <c r="D819" s="5">
        <v>54</v>
      </c>
      <c r="E819" s="8">
        <f t="shared" si="172"/>
        <v>54</v>
      </c>
      <c r="F819">
        <v>1.63</v>
      </c>
      <c r="G819" s="3">
        <f t="shared" si="173"/>
        <v>1.63</v>
      </c>
      <c r="H819">
        <v>20.3</v>
      </c>
      <c r="I819" s="5">
        <f t="shared" si="169"/>
        <v>20.3</v>
      </c>
      <c r="J819" s="16" t="str">
        <f t="shared" si="174"/>
        <v>Normal</v>
      </c>
      <c r="K819">
        <v>108.3</v>
      </c>
      <c r="L819">
        <v>0.66400000000000003</v>
      </c>
      <c r="M819" s="11">
        <f t="shared" si="170"/>
        <v>0.66400000000000003</v>
      </c>
      <c r="N819" s="5">
        <f t="shared" si="175"/>
        <v>108.3</v>
      </c>
      <c r="O819">
        <v>288</v>
      </c>
      <c r="P819">
        <v>62</v>
      </c>
      <c r="Q819" s="8">
        <f t="shared" si="176"/>
        <v>62</v>
      </c>
      <c r="R819" s="8">
        <v>196</v>
      </c>
      <c r="S819" s="8">
        <f t="shared" si="177"/>
        <v>196</v>
      </c>
      <c r="T819" s="8">
        <f>(Table1[[#This Row],[Total Cholesterol (mg/dL)]]+Table1[[#This Row],[HDL (mg/dL)2]]+Table1[[#This Row],[Estimated LDL (mg/dL)2]])*5</f>
        <v>2730</v>
      </c>
      <c r="U819" s="8">
        <f>IF(O819="",Table1[[#This Row],[Estimated LDL (mg/dL)2]]+Table1[[#This Row],[HDL (mg/dL)2]]+(Table1[[#This Row],[Triglycerides]]/5),O819)</f>
        <v>288</v>
      </c>
      <c r="V819">
        <v>76</v>
      </c>
      <c r="W819" s="8">
        <f t="shared" si="178"/>
        <v>76</v>
      </c>
      <c r="X819" t="str">
        <f t="shared" si="179"/>
        <v>Normal</v>
      </c>
      <c r="Y819" t="s">
        <v>22</v>
      </c>
      <c r="Z819" t="s">
        <v>22</v>
      </c>
      <c r="AA819" t="s">
        <v>24</v>
      </c>
      <c r="AB819" s="3" t="s">
        <v>723</v>
      </c>
      <c r="AC819">
        <v>103</v>
      </c>
      <c r="AD819" s="3" t="str">
        <f t="shared" si="180"/>
        <v>103</v>
      </c>
      <c r="AE819">
        <v>63</v>
      </c>
      <c r="AF819" s="3" t="str">
        <f t="shared" si="181"/>
        <v>63</v>
      </c>
      <c r="AG819" t="s">
        <v>33</v>
      </c>
      <c r="AH819" s="3">
        <v>14.97</v>
      </c>
      <c r="AI819" s="3">
        <f t="shared" si="182"/>
        <v>14.97</v>
      </c>
      <c r="AJ819" t="s">
        <v>26</v>
      </c>
      <c r="AK819" t="str">
        <f>PROPER(Table1[[#This Row],[CVD Risk Level]])</f>
        <v>Intermediary</v>
      </c>
    </row>
    <row r="820" spans="1:37" x14ac:dyDescent="0.3">
      <c r="A820" t="s">
        <v>31</v>
      </c>
      <c r="B820">
        <v>47</v>
      </c>
      <c r="C820" s="8">
        <f t="shared" si="171"/>
        <v>47</v>
      </c>
      <c r="D820" s="5">
        <v>61.2</v>
      </c>
      <c r="E820" s="8">
        <f t="shared" si="172"/>
        <v>61.2</v>
      </c>
      <c r="F820">
        <v>1.7</v>
      </c>
      <c r="G820" s="3">
        <f t="shared" si="173"/>
        <v>1.7</v>
      </c>
      <c r="H820">
        <v>21.2</v>
      </c>
      <c r="I820" s="5">
        <f t="shared" si="169"/>
        <v>21.2</v>
      </c>
      <c r="J820" s="16" t="str">
        <f t="shared" si="174"/>
        <v>Normal</v>
      </c>
      <c r="K820">
        <v>92.6</v>
      </c>
      <c r="L820">
        <v>0.54500000000000004</v>
      </c>
      <c r="M820" s="11">
        <f t="shared" si="170"/>
        <v>0.54500000000000004</v>
      </c>
      <c r="N820" s="5">
        <f t="shared" si="175"/>
        <v>92.6</v>
      </c>
      <c r="O820">
        <v>209</v>
      </c>
      <c r="P820">
        <v>65</v>
      </c>
      <c r="Q820" s="8">
        <f t="shared" si="176"/>
        <v>65</v>
      </c>
      <c r="R820" s="8">
        <v>114</v>
      </c>
      <c r="S820" s="8">
        <f t="shared" si="177"/>
        <v>114</v>
      </c>
      <c r="T820" s="8">
        <f>(Table1[[#This Row],[Total Cholesterol (mg/dL)]]+Table1[[#This Row],[HDL (mg/dL)2]]+Table1[[#This Row],[Estimated LDL (mg/dL)2]])*5</f>
        <v>1940</v>
      </c>
      <c r="U820" s="8">
        <f>IF(O820="",Table1[[#This Row],[Estimated LDL (mg/dL)2]]+Table1[[#This Row],[HDL (mg/dL)2]]+(Table1[[#This Row],[Triglycerides]]/5),O820)</f>
        <v>209</v>
      </c>
      <c r="V820">
        <v>121</v>
      </c>
      <c r="W820" s="8">
        <f t="shared" si="178"/>
        <v>121</v>
      </c>
      <c r="X820" t="str">
        <f t="shared" si="179"/>
        <v>Prediabetes</v>
      </c>
      <c r="Y820" t="s">
        <v>23</v>
      </c>
      <c r="Z820" t="s">
        <v>23</v>
      </c>
      <c r="AA820" t="s">
        <v>37</v>
      </c>
      <c r="AB820" s="3" t="s">
        <v>724</v>
      </c>
      <c r="AC820">
        <v>98</v>
      </c>
      <c r="AD820" s="3" t="str">
        <f t="shared" si="180"/>
        <v>98</v>
      </c>
      <c r="AE820">
        <v>89</v>
      </c>
      <c r="AF820" s="3" t="str">
        <f t="shared" si="181"/>
        <v>89</v>
      </c>
      <c r="AG820" t="s">
        <v>29</v>
      </c>
      <c r="AI820" s="3">
        <f t="shared" si="182"/>
        <v>16.960925291295425</v>
      </c>
      <c r="AJ820" t="s">
        <v>30</v>
      </c>
      <c r="AK820" t="str">
        <f>PROPER(Table1[[#This Row],[CVD Risk Level]])</f>
        <v>High</v>
      </c>
    </row>
    <row r="821" spans="1:37" x14ac:dyDescent="0.3">
      <c r="A821" t="s">
        <v>20</v>
      </c>
      <c r="B821">
        <v>46</v>
      </c>
      <c r="C821" s="8">
        <f t="shared" si="171"/>
        <v>46</v>
      </c>
      <c r="D821" s="5">
        <v>67.3</v>
      </c>
      <c r="E821" s="8">
        <f t="shared" si="172"/>
        <v>67.3</v>
      </c>
      <c r="F821">
        <v>1.86</v>
      </c>
      <c r="G821" s="3">
        <f t="shared" si="173"/>
        <v>1.86</v>
      </c>
      <c r="H821">
        <v>19.5</v>
      </c>
      <c r="I821" s="5">
        <f t="shared" si="169"/>
        <v>19.5</v>
      </c>
      <c r="J821" s="16" t="str">
        <f t="shared" si="174"/>
        <v>Normal</v>
      </c>
      <c r="K821">
        <v>82.6</v>
      </c>
      <c r="L821">
        <v>0.44400000000000001</v>
      </c>
      <c r="M821" s="11">
        <f t="shared" si="170"/>
        <v>0.44400000000000001</v>
      </c>
      <c r="N821" s="5">
        <f t="shared" si="175"/>
        <v>82.6</v>
      </c>
      <c r="O821">
        <v>279</v>
      </c>
      <c r="P821">
        <v>73</v>
      </c>
      <c r="Q821" s="8">
        <f t="shared" si="176"/>
        <v>73</v>
      </c>
      <c r="R821" s="8">
        <v>176</v>
      </c>
      <c r="S821" s="8">
        <f t="shared" si="177"/>
        <v>176</v>
      </c>
      <c r="T821" s="8">
        <f>(Table1[[#This Row],[Total Cholesterol (mg/dL)]]+Table1[[#This Row],[HDL (mg/dL)2]]+Table1[[#This Row],[Estimated LDL (mg/dL)2]])*5</f>
        <v>2640</v>
      </c>
      <c r="U821" s="8">
        <f>IF(O821="",Table1[[#This Row],[Estimated LDL (mg/dL)2]]+Table1[[#This Row],[HDL (mg/dL)2]]+(Table1[[#This Row],[Triglycerides]]/5),O821)</f>
        <v>279</v>
      </c>
      <c r="V821">
        <v>82</v>
      </c>
      <c r="W821" s="8">
        <f t="shared" si="178"/>
        <v>82</v>
      </c>
      <c r="X821" t="str">
        <f t="shared" si="179"/>
        <v>Normal</v>
      </c>
      <c r="Y821" t="s">
        <v>23</v>
      </c>
      <c r="Z821" t="s">
        <v>23</v>
      </c>
      <c r="AA821" t="s">
        <v>37</v>
      </c>
      <c r="AB821" s="3" t="s">
        <v>725</v>
      </c>
      <c r="AC821">
        <v>130</v>
      </c>
      <c r="AD821" s="3" t="str">
        <f t="shared" si="180"/>
        <v>130</v>
      </c>
      <c r="AE821">
        <v>93</v>
      </c>
      <c r="AF821" s="3" t="str">
        <f t="shared" si="181"/>
        <v>93</v>
      </c>
      <c r="AG821" t="s">
        <v>29</v>
      </c>
      <c r="AH821" s="3">
        <v>17.98</v>
      </c>
      <c r="AI821" s="3">
        <f t="shared" si="182"/>
        <v>17.98</v>
      </c>
      <c r="AJ821" t="s">
        <v>30</v>
      </c>
      <c r="AK821" t="str">
        <f>PROPER(Table1[[#This Row],[CVD Risk Level]])</f>
        <v>High</v>
      </c>
    </row>
    <row r="822" spans="1:37" x14ac:dyDescent="0.3">
      <c r="A822" t="s">
        <v>31</v>
      </c>
      <c r="B822">
        <v>42</v>
      </c>
      <c r="C822" s="8">
        <f t="shared" si="171"/>
        <v>42</v>
      </c>
      <c r="D822" s="5">
        <v>116.5</v>
      </c>
      <c r="E822" s="8">
        <f t="shared" si="172"/>
        <v>116.5</v>
      </c>
      <c r="F822">
        <v>1.62</v>
      </c>
      <c r="G822" s="3">
        <f t="shared" si="173"/>
        <v>1.62</v>
      </c>
      <c r="H822">
        <v>44.4</v>
      </c>
      <c r="I822" s="5">
        <f t="shared" si="169"/>
        <v>44.4</v>
      </c>
      <c r="J822" s="16" t="str">
        <f t="shared" si="174"/>
        <v>Obese</v>
      </c>
      <c r="K822">
        <v>103.3</v>
      </c>
      <c r="L822">
        <v>0.63800000000000001</v>
      </c>
      <c r="M822" s="11">
        <f t="shared" si="170"/>
        <v>0.63800000000000001</v>
      </c>
      <c r="N822" s="5">
        <f t="shared" si="175"/>
        <v>103.3</v>
      </c>
      <c r="O822">
        <v>113</v>
      </c>
      <c r="P822">
        <v>62</v>
      </c>
      <c r="Q822" s="8">
        <f t="shared" si="176"/>
        <v>62</v>
      </c>
      <c r="R822" s="8">
        <v>21</v>
      </c>
      <c r="S822" s="8">
        <f t="shared" si="177"/>
        <v>21</v>
      </c>
      <c r="T822" s="8">
        <f>(Table1[[#This Row],[Total Cholesterol (mg/dL)]]+Table1[[#This Row],[HDL (mg/dL)2]]+Table1[[#This Row],[Estimated LDL (mg/dL)2]])*5</f>
        <v>980</v>
      </c>
      <c r="U822" s="8">
        <f>IF(O822="",Table1[[#This Row],[Estimated LDL (mg/dL)2]]+Table1[[#This Row],[HDL (mg/dL)2]]+(Table1[[#This Row],[Triglycerides]]/5),O822)</f>
        <v>113</v>
      </c>
      <c r="V822">
        <v>110</v>
      </c>
      <c r="W822" s="8">
        <f t="shared" si="178"/>
        <v>110</v>
      </c>
      <c r="X822" t="str">
        <f t="shared" si="179"/>
        <v>Prediabetes</v>
      </c>
      <c r="Y822" t="s">
        <v>22</v>
      </c>
      <c r="Z822" t="s">
        <v>23</v>
      </c>
      <c r="AA822" t="s">
        <v>24</v>
      </c>
      <c r="AB822" s="3" t="s">
        <v>726</v>
      </c>
      <c r="AC822">
        <v>139</v>
      </c>
      <c r="AD822" s="3" t="str">
        <f t="shared" si="180"/>
        <v>139</v>
      </c>
      <c r="AE822">
        <v>62</v>
      </c>
      <c r="AF822" s="3" t="str">
        <f t="shared" si="181"/>
        <v>62</v>
      </c>
      <c r="AG822" t="s">
        <v>29</v>
      </c>
      <c r="AH822" s="3">
        <v>20.09</v>
      </c>
      <c r="AI822" s="3">
        <f t="shared" si="182"/>
        <v>20.09</v>
      </c>
      <c r="AJ822" t="s">
        <v>26</v>
      </c>
      <c r="AK822" t="str">
        <f>PROPER(Table1[[#This Row],[CVD Risk Level]])</f>
        <v>Intermediary</v>
      </c>
    </row>
    <row r="823" spans="1:37" x14ac:dyDescent="0.3">
      <c r="A823" t="s">
        <v>20</v>
      </c>
      <c r="C823" s="8">
        <f t="shared" si="171"/>
        <v>47.025499655410059</v>
      </c>
      <c r="D823" s="5">
        <v>118.5</v>
      </c>
      <c r="E823" s="8">
        <f t="shared" si="172"/>
        <v>118.5</v>
      </c>
      <c r="F823">
        <v>1.77</v>
      </c>
      <c r="G823" s="3">
        <f t="shared" si="173"/>
        <v>1.77</v>
      </c>
      <c r="H823">
        <v>37.799999999999997</v>
      </c>
      <c r="I823" s="5">
        <f t="shared" si="169"/>
        <v>37.799999999999997</v>
      </c>
      <c r="J823" s="16" t="str">
        <f t="shared" si="174"/>
        <v>Obese</v>
      </c>
      <c r="K823">
        <v>91.7</v>
      </c>
      <c r="L823">
        <v>0.51800000000000002</v>
      </c>
      <c r="M823" s="11">
        <f t="shared" si="170"/>
        <v>0.51800000000000002</v>
      </c>
      <c r="N823" s="5">
        <f t="shared" si="175"/>
        <v>91.7</v>
      </c>
      <c r="O823">
        <v>185</v>
      </c>
      <c r="P823">
        <v>30</v>
      </c>
      <c r="Q823" s="8">
        <f t="shared" si="176"/>
        <v>30</v>
      </c>
      <c r="R823" s="8">
        <v>125</v>
      </c>
      <c r="S823" s="8">
        <f t="shared" si="177"/>
        <v>125</v>
      </c>
      <c r="T823" s="8">
        <f>(Table1[[#This Row],[Total Cholesterol (mg/dL)]]+Table1[[#This Row],[HDL (mg/dL)2]]+Table1[[#This Row],[Estimated LDL (mg/dL)2]])*5</f>
        <v>1700</v>
      </c>
      <c r="U823" s="8">
        <f>IF(O823="",Table1[[#This Row],[Estimated LDL (mg/dL)2]]+Table1[[#This Row],[HDL (mg/dL)2]]+(Table1[[#This Row],[Triglycerides]]/5),O823)</f>
        <v>185</v>
      </c>
      <c r="V823">
        <v>123</v>
      </c>
      <c r="W823" s="8">
        <f t="shared" si="178"/>
        <v>123</v>
      </c>
      <c r="X823" t="str">
        <f t="shared" si="179"/>
        <v>Prediabetes</v>
      </c>
      <c r="Y823" t="s">
        <v>22</v>
      </c>
      <c r="Z823" t="s">
        <v>23</v>
      </c>
      <c r="AA823" t="s">
        <v>24</v>
      </c>
      <c r="AB823" s="3" t="s">
        <v>727</v>
      </c>
      <c r="AC823">
        <v>121</v>
      </c>
      <c r="AD823" s="3" t="str">
        <f t="shared" si="180"/>
        <v>121</v>
      </c>
      <c r="AE823">
        <v>84</v>
      </c>
      <c r="AF823" s="3" t="str">
        <f t="shared" si="181"/>
        <v>84</v>
      </c>
      <c r="AG823" t="s">
        <v>29</v>
      </c>
      <c r="AH823" s="3">
        <v>19.309999999999999</v>
      </c>
      <c r="AI823" s="3">
        <f t="shared" si="182"/>
        <v>19.309999999999999</v>
      </c>
      <c r="AJ823" t="s">
        <v>30</v>
      </c>
      <c r="AK823" t="str">
        <f>PROPER(Table1[[#This Row],[CVD Risk Level]])</f>
        <v>High</v>
      </c>
    </row>
    <row r="824" spans="1:37" x14ac:dyDescent="0.3">
      <c r="A824" t="s">
        <v>31</v>
      </c>
      <c r="B824">
        <v>41</v>
      </c>
      <c r="C824" s="8">
        <f t="shared" si="171"/>
        <v>41</v>
      </c>
      <c r="D824" s="5">
        <v>66.8</v>
      </c>
      <c r="E824" s="8">
        <f t="shared" si="172"/>
        <v>66.8</v>
      </c>
      <c r="F824">
        <v>1.68</v>
      </c>
      <c r="G824" s="3">
        <f t="shared" si="173"/>
        <v>1.68</v>
      </c>
      <c r="H824">
        <v>23.7</v>
      </c>
      <c r="I824" s="5">
        <f t="shared" si="169"/>
        <v>23.7</v>
      </c>
      <c r="J824" s="16" t="str">
        <f t="shared" si="174"/>
        <v>Normal</v>
      </c>
      <c r="K824">
        <v>76.2</v>
      </c>
      <c r="L824">
        <v>0.45400000000000001</v>
      </c>
      <c r="M824" s="11">
        <f t="shared" si="170"/>
        <v>0.45400000000000001</v>
      </c>
      <c r="N824" s="5">
        <f t="shared" si="175"/>
        <v>76.2</v>
      </c>
      <c r="O824">
        <v>204</v>
      </c>
      <c r="P824">
        <v>55</v>
      </c>
      <c r="Q824" s="8">
        <f t="shared" si="176"/>
        <v>55</v>
      </c>
      <c r="R824" s="8">
        <v>119</v>
      </c>
      <c r="S824" s="8">
        <f t="shared" si="177"/>
        <v>119</v>
      </c>
      <c r="T824" s="8">
        <f>(Table1[[#This Row],[Total Cholesterol (mg/dL)]]+Table1[[#This Row],[HDL (mg/dL)2]]+Table1[[#This Row],[Estimated LDL (mg/dL)2]])*5</f>
        <v>1890</v>
      </c>
      <c r="U824" s="8">
        <f>IF(O824="",Table1[[#This Row],[Estimated LDL (mg/dL)2]]+Table1[[#This Row],[HDL (mg/dL)2]]+(Table1[[#This Row],[Triglycerides]]/5),O824)</f>
        <v>204</v>
      </c>
      <c r="V824">
        <v>75</v>
      </c>
      <c r="W824" s="8">
        <f t="shared" si="178"/>
        <v>75</v>
      </c>
      <c r="X824" t="str">
        <f t="shared" si="179"/>
        <v>Normal</v>
      </c>
      <c r="Y824" t="s">
        <v>22</v>
      </c>
      <c r="Z824" t="s">
        <v>23</v>
      </c>
      <c r="AA824" t="s">
        <v>24</v>
      </c>
      <c r="AB824" s="3" t="s">
        <v>728</v>
      </c>
      <c r="AD824" s="3" t="str">
        <f t="shared" si="180"/>
        <v>136</v>
      </c>
      <c r="AE824">
        <v>78</v>
      </c>
      <c r="AF824" s="3" t="str">
        <f t="shared" si="181"/>
        <v>78</v>
      </c>
      <c r="AG824" t="s">
        <v>29</v>
      </c>
      <c r="AH824" s="3">
        <v>17.62</v>
      </c>
      <c r="AI824" s="3">
        <f t="shared" si="182"/>
        <v>17.62</v>
      </c>
      <c r="AJ824" t="s">
        <v>26</v>
      </c>
      <c r="AK824" t="str">
        <f>PROPER(Table1[[#This Row],[CVD Risk Level]])</f>
        <v>Intermediary</v>
      </c>
    </row>
    <row r="825" spans="1:37" x14ac:dyDescent="0.3">
      <c r="A825" t="s">
        <v>31</v>
      </c>
      <c r="B825">
        <v>39</v>
      </c>
      <c r="C825" s="8">
        <f t="shared" si="171"/>
        <v>39</v>
      </c>
      <c r="D825" s="5">
        <v>102.5</v>
      </c>
      <c r="E825" s="8">
        <f t="shared" si="172"/>
        <v>102.5</v>
      </c>
      <c r="F825">
        <v>1.84</v>
      </c>
      <c r="G825" s="3">
        <f t="shared" si="173"/>
        <v>1.84</v>
      </c>
      <c r="H825">
        <v>30.3</v>
      </c>
      <c r="I825" s="5">
        <f t="shared" si="169"/>
        <v>30.3</v>
      </c>
      <c r="J825" s="16" t="str">
        <f t="shared" si="174"/>
        <v>Obese</v>
      </c>
      <c r="K825">
        <v>84</v>
      </c>
      <c r="L825">
        <v>0.45700000000000002</v>
      </c>
      <c r="M825" s="11">
        <f t="shared" si="170"/>
        <v>0.45700000000000002</v>
      </c>
      <c r="N825" s="5">
        <f t="shared" si="175"/>
        <v>84</v>
      </c>
      <c r="O825">
        <v>292</v>
      </c>
      <c r="P825">
        <v>38</v>
      </c>
      <c r="Q825" s="8">
        <f t="shared" si="176"/>
        <v>38</v>
      </c>
      <c r="R825" s="8">
        <v>224</v>
      </c>
      <c r="S825" s="8">
        <f t="shared" si="177"/>
        <v>224</v>
      </c>
      <c r="T825" s="8">
        <f>(Table1[[#This Row],[Total Cholesterol (mg/dL)]]+Table1[[#This Row],[HDL (mg/dL)2]]+Table1[[#This Row],[Estimated LDL (mg/dL)2]])*5</f>
        <v>2770</v>
      </c>
      <c r="U825" s="8">
        <f>IF(O825="",Table1[[#This Row],[Estimated LDL (mg/dL)2]]+Table1[[#This Row],[HDL (mg/dL)2]]+(Table1[[#This Row],[Triglycerides]]/5),O825)</f>
        <v>292</v>
      </c>
      <c r="W825" s="8">
        <f t="shared" si="178"/>
        <v>117.48563611491107</v>
      </c>
      <c r="X825" t="str">
        <f t="shared" si="179"/>
        <v>Prediabetes</v>
      </c>
      <c r="Y825" t="s">
        <v>22</v>
      </c>
      <c r="Z825" t="s">
        <v>22</v>
      </c>
      <c r="AA825" t="s">
        <v>37</v>
      </c>
      <c r="AB825" s="3" t="s">
        <v>614</v>
      </c>
      <c r="AC825">
        <v>134</v>
      </c>
      <c r="AD825" s="3" t="str">
        <f t="shared" si="180"/>
        <v>134</v>
      </c>
      <c r="AE825">
        <v>60</v>
      </c>
      <c r="AF825" s="3" t="str">
        <f t="shared" si="181"/>
        <v>60</v>
      </c>
      <c r="AG825" t="s">
        <v>29</v>
      </c>
      <c r="AH825" s="3">
        <v>18.600000000000001</v>
      </c>
      <c r="AI825" s="3">
        <f t="shared" si="182"/>
        <v>18.600000000000001</v>
      </c>
      <c r="AJ825" t="s">
        <v>26</v>
      </c>
      <c r="AK825" t="str">
        <f>PROPER(Table1[[#This Row],[CVD Risk Level]])</f>
        <v>Intermediary</v>
      </c>
    </row>
    <row r="826" spans="1:37" x14ac:dyDescent="0.3">
      <c r="A826" t="s">
        <v>31</v>
      </c>
      <c r="B826">
        <v>56</v>
      </c>
      <c r="C826" s="8">
        <f t="shared" si="171"/>
        <v>56</v>
      </c>
      <c r="D826" s="5">
        <v>111.6</v>
      </c>
      <c r="E826" s="8">
        <f t="shared" si="172"/>
        <v>111.6</v>
      </c>
      <c r="F826">
        <v>1.81</v>
      </c>
      <c r="G826" s="3">
        <f t="shared" si="173"/>
        <v>1.81</v>
      </c>
      <c r="H826">
        <v>34.1</v>
      </c>
      <c r="I826" s="5">
        <f t="shared" si="169"/>
        <v>34.1</v>
      </c>
      <c r="J826" s="16" t="str">
        <f t="shared" si="174"/>
        <v>Obese</v>
      </c>
      <c r="K826">
        <v>86</v>
      </c>
      <c r="L826">
        <v>0.47499999999999998</v>
      </c>
      <c r="M826" s="11">
        <f t="shared" si="170"/>
        <v>0.47499999999999998</v>
      </c>
      <c r="N826" s="5">
        <f t="shared" si="175"/>
        <v>86</v>
      </c>
      <c r="O826">
        <v>161</v>
      </c>
      <c r="P826">
        <v>69</v>
      </c>
      <c r="Q826" s="8">
        <f t="shared" si="176"/>
        <v>69</v>
      </c>
      <c r="R826" s="8">
        <v>62</v>
      </c>
      <c r="S826" s="8">
        <f t="shared" si="177"/>
        <v>62</v>
      </c>
      <c r="T826" s="8">
        <f>(Table1[[#This Row],[Total Cholesterol (mg/dL)]]+Table1[[#This Row],[HDL (mg/dL)2]]+Table1[[#This Row],[Estimated LDL (mg/dL)2]])*5</f>
        <v>1460</v>
      </c>
      <c r="U826" s="8">
        <f>IF(O826="",Table1[[#This Row],[Estimated LDL (mg/dL)2]]+Table1[[#This Row],[HDL (mg/dL)2]]+(Table1[[#This Row],[Triglycerides]]/5),O826)</f>
        <v>161</v>
      </c>
      <c r="V826">
        <v>145</v>
      </c>
      <c r="W826" s="8">
        <f t="shared" si="178"/>
        <v>145</v>
      </c>
      <c r="X826" t="str">
        <f t="shared" si="179"/>
        <v>Diabetes</v>
      </c>
      <c r="Y826" t="s">
        <v>23</v>
      </c>
      <c r="Z826" t="s">
        <v>23</v>
      </c>
      <c r="AA826" t="s">
        <v>37</v>
      </c>
      <c r="AB826" s="3" t="s">
        <v>729</v>
      </c>
      <c r="AC826">
        <v>102</v>
      </c>
      <c r="AD826" s="3" t="str">
        <f t="shared" si="180"/>
        <v>102</v>
      </c>
      <c r="AE826">
        <v>100</v>
      </c>
      <c r="AF826" s="3" t="str">
        <f t="shared" si="181"/>
        <v>100</v>
      </c>
      <c r="AG826" t="s">
        <v>38</v>
      </c>
      <c r="AH826" s="3">
        <v>17.14</v>
      </c>
      <c r="AI826" s="3">
        <f t="shared" si="182"/>
        <v>17.14</v>
      </c>
      <c r="AJ826" t="s">
        <v>30</v>
      </c>
      <c r="AK826" t="str">
        <f>PROPER(Table1[[#This Row],[CVD Risk Level]])</f>
        <v>High</v>
      </c>
    </row>
    <row r="827" spans="1:37" x14ac:dyDescent="0.3">
      <c r="A827" t="s">
        <v>20</v>
      </c>
      <c r="B827">
        <v>38</v>
      </c>
      <c r="C827" s="8">
        <f t="shared" si="171"/>
        <v>38</v>
      </c>
      <c r="D827" s="5">
        <v>95.6</v>
      </c>
      <c r="E827" s="8">
        <f t="shared" si="172"/>
        <v>95.6</v>
      </c>
      <c r="F827">
        <v>1.9</v>
      </c>
      <c r="G827" s="3">
        <f t="shared" si="173"/>
        <v>1.9</v>
      </c>
      <c r="H827">
        <v>26.5</v>
      </c>
      <c r="I827" s="5">
        <f t="shared" si="169"/>
        <v>26.5</v>
      </c>
      <c r="J827" s="16" t="str">
        <f t="shared" si="174"/>
        <v>Overweight</v>
      </c>
      <c r="K827">
        <v>102.6</v>
      </c>
      <c r="M827" s="11">
        <f t="shared" si="170"/>
        <v>0.53999999999999992</v>
      </c>
      <c r="N827" s="5">
        <f t="shared" si="175"/>
        <v>102.6</v>
      </c>
      <c r="O827">
        <v>192</v>
      </c>
      <c r="P827">
        <v>37</v>
      </c>
      <c r="Q827" s="8">
        <f t="shared" si="176"/>
        <v>37</v>
      </c>
      <c r="R827" s="8">
        <v>125</v>
      </c>
      <c r="S827" s="8">
        <f t="shared" si="177"/>
        <v>125</v>
      </c>
      <c r="T827" s="8">
        <f>(Table1[[#This Row],[Total Cholesterol (mg/dL)]]+Table1[[#This Row],[HDL (mg/dL)2]]+Table1[[#This Row],[Estimated LDL (mg/dL)2]])*5</f>
        <v>1770</v>
      </c>
      <c r="U827" s="8">
        <f>IF(O827="",Table1[[#This Row],[Estimated LDL (mg/dL)2]]+Table1[[#This Row],[HDL (mg/dL)2]]+(Table1[[#This Row],[Triglycerides]]/5),O827)</f>
        <v>192</v>
      </c>
      <c r="V827">
        <v>70</v>
      </c>
      <c r="W827" s="8">
        <f t="shared" si="178"/>
        <v>70</v>
      </c>
      <c r="X827" t="str">
        <f t="shared" si="179"/>
        <v>Normal</v>
      </c>
      <c r="Y827" t="s">
        <v>23</v>
      </c>
      <c r="Z827" t="s">
        <v>23</v>
      </c>
      <c r="AA827" t="s">
        <v>37</v>
      </c>
      <c r="AB827" s="3" t="s">
        <v>730</v>
      </c>
      <c r="AC827">
        <v>124</v>
      </c>
      <c r="AD827" s="3" t="str">
        <f t="shared" si="180"/>
        <v>124</v>
      </c>
      <c r="AE827">
        <v>98</v>
      </c>
      <c r="AF827" s="3" t="str">
        <f t="shared" si="181"/>
        <v>98</v>
      </c>
      <c r="AG827" t="s">
        <v>38</v>
      </c>
      <c r="AH827" s="3">
        <v>17.34</v>
      </c>
      <c r="AI827" s="3">
        <f t="shared" si="182"/>
        <v>17.34</v>
      </c>
      <c r="AJ827" t="s">
        <v>30</v>
      </c>
      <c r="AK827" t="str">
        <f>PROPER(Table1[[#This Row],[CVD Risk Level]])</f>
        <v>High</v>
      </c>
    </row>
    <row r="828" spans="1:37" x14ac:dyDescent="0.3">
      <c r="A828" t="s">
        <v>31</v>
      </c>
      <c r="B828">
        <v>32</v>
      </c>
      <c r="C828" s="8">
        <f t="shared" si="171"/>
        <v>32</v>
      </c>
      <c r="D828" s="5">
        <v>58.9</v>
      </c>
      <c r="E828" s="8">
        <f t="shared" si="172"/>
        <v>58.9</v>
      </c>
      <c r="F828">
        <v>1.74</v>
      </c>
      <c r="G828" s="3">
        <f t="shared" si="173"/>
        <v>1.74</v>
      </c>
      <c r="H828">
        <v>19.5</v>
      </c>
      <c r="I828" s="5">
        <f t="shared" si="169"/>
        <v>19.5</v>
      </c>
      <c r="J828" s="16" t="str">
        <f t="shared" si="174"/>
        <v>Normal</v>
      </c>
      <c r="K828">
        <v>107.1</v>
      </c>
      <c r="L828">
        <v>0.61599999999999999</v>
      </c>
      <c r="M828" s="11">
        <f t="shared" si="170"/>
        <v>0.61599999999999999</v>
      </c>
      <c r="N828" s="5">
        <f t="shared" si="175"/>
        <v>107.1</v>
      </c>
      <c r="P828">
        <v>37</v>
      </c>
      <c r="Q828" s="8">
        <f t="shared" si="176"/>
        <v>37</v>
      </c>
      <c r="R828" s="8">
        <v>202</v>
      </c>
      <c r="S828" s="8">
        <f t="shared" si="177"/>
        <v>202</v>
      </c>
      <c r="T828" s="8">
        <f>(Table1[[#This Row],[Total Cholesterol (mg/dL)]]+Table1[[#This Row],[HDL (mg/dL)2]]+Table1[[#This Row],[Estimated LDL (mg/dL)2]])*5</f>
        <v>1195</v>
      </c>
      <c r="U828" s="8">
        <f>IF(O828="",Table1[[#This Row],[Estimated LDL (mg/dL)2]]+Table1[[#This Row],[HDL (mg/dL)2]]+(Table1[[#This Row],[Triglycerides]]/5),O828)</f>
        <v>478</v>
      </c>
      <c r="V828">
        <v>123</v>
      </c>
      <c r="W828" s="8">
        <f t="shared" si="178"/>
        <v>123</v>
      </c>
      <c r="X828" t="str">
        <f t="shared" si="179"/>
        <v>Prediabetes</v>
      </c>
      <c r="Y828" t="s">
        <v>23</v>
      </c>
      <c r="Z828" t="s">
        <v>22</v>
      </c>
      <c r="AA828" t="s">
        <v>24</v>
      </c>
      <c r="AB828" s="3" t="s">
        <v>449</v>
      </c>
      <c r="AC828">
        <v>123</v>
      </c>
      <c r="AD828" s="3" t="str">
        <f t="shared" si="180"/>
        <v>123</v>
      </c>
      <c r="AE828">
        <v>83</v>
      </c>
      <c r="AF828" s="3" t="str">
        <f t="shared" si="181"/>
        <v>83</v>
      </c>
      <c r="AG828" t="s">
        <v>29</v>
      </c>
      <c r="AH828" s="3">
        <v>15.43</v>
      </c>
      <c r="AI828" s="3">
        <f t="shared" si="182"/>
        <v>15.43</v>
      </c>
      <c r="AJ828" t="s">
        <v>30</v>
      </c>
      <c r="AK828" t="str">
        <f>PROPER(Table1[[#This Row],[CVD Risk Level]])</f>
        <v>High</v>
      </c>
    </row>
    <row r="829" spans="1:37" x14ac:dyDescent="0.3">
      <c r="A829" t="s">
        <v>31</v>
      </c>
      <c r="B829">
        <v>32</v>
      </c>
      <c r="C829" s="8">
        <f t="shared" si="171"/>
        <v>32</v>
      </c>
      <c r="D829" s="5">
        <v>68.900000000000006</v>
      </c>
      <c r="E829" s="8">
        <f t="shared" si="172"/>
        <v>68.900000000000006</v>
      </c>
      <c r="F829">
        <v>1.85</v>
      </c>
      <c r="G829" s="3">
        <f t="shared" si="173"/>
        <v>1.85</v>
      </c>
      <c r="H829">
        <v>20.100000000000001</v>
      </c>
      <c r="I829" s="5">
        <f t="shared" si="169"/>
        <v>20.100000000000001</v>
      </c>
      <c r="J829" s="16" t="str">
        <f t="shared" si="174"/>
        <v>Normal</v>
      </c>
      <c r="K829">
        <v>85.8</v>
      </c>
      <c r="M829" s="11">
        <f t="shared" si="170"/>
        <v>0.46378378378378377</v>
      </c>
      <c r="N829" s="5">
        <f t="shared" si="175"/>
        <v>85.8</v>
      </c>
      <c r="O829">
        <v>151</v>
      </c>
      <c r="P829">
        <v>35</v>
      </c>
      <c r="Q829" s="8">
        <f t="shared" si="176"/>
        <v>35</v>
      </c>
      <c r="S829" s="8">
        <f t="shared" si="177"/>
        <v>109</v>
      </c>
      <c r="T829" s="8">
        <f>(Table1[[#This Row],[Total Cholesterol (mg/dL)]]+Table1[[#This Row],[HDL (mg/dL)2]]+Table1[[#This Row],[Estimated LDL (mg/dL)2]])*5</f>
        <v>1475</v>
      </c>
      <c r="U829" s="8">
        <f>IF(O829="",Table1[[#This Row],[Estimated LDL (mg/dL)2]]+Table1[[#This Row],[HDL (mg/dL)2]]+(Table1[[#This Row],[Triglycerides]]/5),O829)</f>
        <v>151</v>
      </c>
      <c r="V829">
        <v>136</v>
      </c>
      <c r="W829" s="8">
        <f t="shared" si="178"/>
        <v>136</v>
      </c>
      <c r="X829" t="str">
        <f t="shared" si="179"/>
        <v>Diabetes</v>
      </c>
      <c r="Y829" t="s">
        <v>23</v>
      </c>
      <c r="Z829" t="s">
        <v>23</v>
      </c>
      <c r="AA829" t="s">
        <v>37</v>
      </c>
      <c r="AB829" s="3" t="s">
        <v>731</v>
      </c>
      <c r="AC829">
        <v>111</v>
      </c>
      <c r="AD829" s="3" t="str">
        <f t="shared" si="180"/>
        <v>111</v>
      </c>
      <c r="AE829">
        <v>73</v>
      </c>
      <c r="AF829" s="3" t="str">
        <f t="shared" si="181"/>
        <v>73</v>
      </c>
      <c r="AG829" t="s">
        <v>33</v>
      </c>
      <c r="AH829" s="3">
        <v>14.59</v>
      </c>
      <c r="AI829" s="3">
        <f t="shared" si="182"/>
        <v>14.59</v>
      </c>
      <c r="AJ829" t="s">
        <v>26</v>
      </c>
      <c r="AK829" t="str">
        <f>PROPER(Table1[[#This Row],[CVD Risk Level]])</f>
        <v>Intermediary</v>
      </c>
    </row>
    <row r="830" spans="1:37" x14ac:dyDescent="0.3">
      <c r="A830" t="s">
        <v>20</v>
      </c>
      <c r="B830">
        <v>41</v>
      </c>
      <c r="C830" s="8">
        <f t="shared" si="171"/>
        <v>41</v>
      </c>
      <c r="D830" s="5">
        <v>94.3</v>
      </c>
      <c r="E830" s="8">
        <f t="shared" si="172"/>
        <v>94.3</v>
      </c>
      <c r="F830">
        <v>1.72</v>
      </c>
      <c r="G830" s="3">
        <f t="shared" si="173"/>
        <v>1.72</v>
      </c>
      <c r="H830">
        <v>31.9</v>
      </c>
      <c r="I830" s="5">
        <f t="shared" si="169"/>
        <v>31.9</v>
      </c>
      <c r="J830" s="16" t="str">
        <f t="shared" si="174"/>
        <v>Obese</v>
      </c>
      <c r="K830">
        <v>76.599999999999994</v>
      </c>
      <c r="L830">
        <v>0.44500000000000001</v>
      </c>
      <c r="M830" s="11">
        <f t="shared" si="170"/>
        <v>0.44500000000000001</v>
      </c>
      <c r="N830" s="5">
        <f t="shared" si="175"/>
        <v>76.599999999999994</v>
      </c>
      <c r="O830">
        <v>166</v>
      </c>
      <c r="P830">
        <v>44</v>
      </c>
      <c r="Q830" s="8">
        <f t="shared" si="176"/>
        <v>44</v>
      </c>
      <c r="R830" s="8">
        <v>92</v>
      </c>
      <c r="S830" s="8">
        <f t="shared" si="177"/>
        <v>92</v>
      </c>
      <c r="T830" s="8">
        <f>(Table1[[#This Row],[Total Cholesterol (mg/dL)]]+Table1[[#This Row],[HDL (mg/dL)2]]+Table1[[#This Row],[Estimated LDL (mg/dL)2]])*5</f>
        <v>1510</v>
      </c>
      <c r="U830" s="8">
        <f>IF(O830="",Table1[[#This Row],[Estimated LDL (mg/dL)2]]+Table1[[#This Row],[HDL (mg/dL)2]]+(Table1[[#This Row],[Triglycerides]]/5),O830)</f>
        <v>166</v>
      </c>
      <c r="V830">
        <v>139</v>
      </c>
      <c r="W830" s="8">
        <f t="shared" si="178"/>
        <v>139</v>
      </c>
      <c r="X830" t="str">
        <f t="shared" si="179"/>
        <v>Diabetes</v>
      </c>
      <c r="Y830" t="s">
        <v>22</v>
      </c>
      <c r="Z830" t="s">
        <v>22</v>
      </c>
      <c r="AA830" t="s">
        <v>28</v>
      </c>
      <c r="AB830" s="3" t="s">
        <v>732</v>
      </c>
      <c r="AD830" s="3" t="str">
        <f t="shared" si="180"/>
        <v>144</v>
      </c>
      <c r="AE830">
        <v>92</v>
      </c>
      <c r="AF830" s="3" t="str">
        <f t="shared" si="181"/>
        <v>92</v>
      </c>
      <c r="AG830" t="s">
        <v>38</v>
      </c>
      <c r="AH830" s="3">
        <v>16.899999999999999</v>
      </c>
      <c r="AI830" s="3">
        <f t="shared" si="182"/>
        <v>16.899999999999999</v>
      </c>
      <c r="AJ830" t="s">
        <v>52</v>
      </c>
      <c r="AK830" t="str">
        <f>PROPER(Table1[[#This Row],[CVD Risk Level]])</f>
        <v>Low</v>
      </c>
    </row>
    <row r="831" spans="1:37" x14ac:dyDescent="0.3">
      <c r="A831" t="s">
        <v>31</v>
      </c>
      <c r="B831">
        <v>54</v>
      </c>
      <c r="C831" s="8">
        <f t="shared" si="171"/>
        <v>54</v>
      </c>
      <c r="D831" s="5">
        <v>119.2</v>
      </c>
      <c r="E831" s="8">
        <f t="shared" si="172"/>
        <v>119.2</v>
      </c>
      <c r="F831">
        <v>1.68</v>
      </c>
      <c r="G831" s="3">
        <f t="shared" si="173"/>
        <v>1.68</v>
      </c>
      <c r="H831">
        <v>42.2</v>
      </c>
      <c r="I831" s="5">
        <f t="shared" si="169"/>
        <v>42.2</v>
      </c>
      <c r="J831" s="16" t="str">
        <f t="shared" si="174"/>
        <v>Obese</v>
      </c>
      <c r="K831">
        <v>79.2</v>
      </c>
      <c r="M831" s="11">
        <f t="shared" si="170"/>
        <v>0.47142857142857142</v>
      </c>
      <c r="N831" s="5">
        <f t="shared" si="175"/>
        <v>79.2</v>
      </c>
      <c r="O831">
        <v>265</v>
      </c>
      <c r="P831">
        <v>70</v>
      </c>
      <c r="Q831" s="8">
        <f t="shared" si="176"/>
        <v>70</v>
      </c>
      <c r="R831" s="8">
        <v>165</v>
      </c>
      <c r="S831" s="8">
        <f t="shared" si="177"/>
        <v>165</v>
      </c>
      <c r="T831" s="8">
        <f>(Table1[[#This Row],[Total Cholesterol (mg/dL)]]+Table1[[#This Row],[HDL (mg/dL)2]]+Table1[[#This Row],[Estimated LDL (mg/dL)2]])*5</f>
        <v>2500</v>
      </c>
      <c r="U831" s="8">
        <f>IF(O831="",Table1[[#This Row],[Estimated LDL (mg/dL)2]]+Table1[[#This Row],[HDL (mg/dL)2]]+(Table1[[#This Row],[Triglycerides]]/5),O831)</f>
        <v>265</v>
      </c>
      <c r="V831">
        <v>109</v>
      </c>
      <c r="W831" s="8">
        <f t="shared" si="178"/>
        <v>109</v>
      </c>
      <c r="X831" t="str">
        <f t="shared" si="179"/>
        <v>Prediabetes</v>
      </c>
      <c r="Y831" t="s">
        <v>22</v>
      </c>
      <c r="Z831" t="s">
        <v>23</v>
      </c>
      <c r="AA831" t="s">
        <v>37</v>
      </c>
      <c r="AB831" s="3" t="s">
        <v>733</v>
      </c>
      <c r="AC831">
        <v>114</v>
      </c>
      <c r="AD831" s="3" t="str">
        <f t="shared" si="180"/>
        <v>114</v>
      </c>
      <c r="AE831">
        <v>88</v>
      </c>
      <c r="AF831" s="3" t="str">
        <f t="shared" si="181"/>
        <v>88</v>
      </c>
      <c r="AG831" t="s">
        <v>29</v>
      </c>
      <c r="AH831" s="3">
        <v>21.44</v>
      </c>
      <c r="AI831" s="3">
        <f t="shared" si="182"/>
        <v>21.44</v>
      </c>
      <c r="AJ831" t="s">
        <v>30</v>
      </c>
      <c r="AK831" t="str">
        <f>PROPER(Table1[[#This Row],[CVD Risk Level]])</f>
        <v>High</v>
      </c>
    </row>
    <row r="832" spans="1:37" x14ac:dyDescent="0.3">
      <c r="A832" t="s">
        <v>31</v>
      </c>
      <c r="B832">
        <v>52</v>
      </c>
      <c r="C832" s="8">
        <f t="shared" si="171"/>
        <v>52</v>
      </c>
      <c r="D832" s="5">
        <v>57.9</v>
      </c>
      <c r="E832" s="8">
        <f t="shared" si="172"/>
        <v>57.9</v>
      </c>
      <c r="F832">
        <v>1.67</v>
      </c>
      <c r="G832" s="3">
        <f t="shared" si="173"/>
        <v>1.67</v>
      </c>
      <c r="H832">
        <v>20.8</v>
      </c>
      <c r="I832" s="5">
        <f t="shared" si="169"/>
        <v>20.8</v>
      </c>
      <c r="J832" s="16" t="str">
        <f t="shared" si="174"/>
        <v>Normal</v>
      </c>
      <c r="K832">
        <v>101.4</v>
      </c>
      <c r="L832">
        <v>0.60699999999999998</v>
      </c>
      <c r="M832" s="11">
        <f t="shared" si="170"/>
        <v>0.60699999999999998</v>
      </c>
      <c r="N832" s="5">
        <f t="shared" si="175"/>
        <v>101.4</v>
      </c>
      <c r="O832">
        <v>265</v>
      </c>
      <c r="P832">
        <v>46</v>
      </c>
      <c r="Q832" s="8">
        <f t="shared" si="176"/>
        <v>46</v>
      </c>
      <c r="R832" s="8">
        <v>189</v>
      </c>
      <c r="S832" s="8">
        <f t="shared" si="177"/>
        <v>189</v>
      </c>
      <c r="T832" s="8">
        <f>(Table1[[#This Row],[Total Cholesterol (mg/dL)]]+Table1[[#This Row],[HDL (mg/dL)2]]+Table1[[#This Row],[Estimated LDL (mg/dL)2]])*5</f>
        <v>2500</v>
      </c>
      <c r="U832" s="8">
        <f>IF(O832="",Table1[[#This Row],[Estimated LDL (mg/dL)2]]+Table1[[#This Row],[HDL (mg/dL)2]]+(Table1[[#This Row],[Triglycerides]]/5),O832)</f>
        <v>265</v>
      </c>
      <c r="V832">
        <v>86</v>
      </c>
      <c r="W832" s="8">
        <f t="shared" si="178"/>
        <v>86</v>
      </c>
      <c r="X832" t="str">
        <f t="shared" si="179"/>
        <v>Normal</v>
      </c>
      <c r="Y832" t="s">
        <v>22</v>
      </c>
      <c r="Z832" t="s">
        <v>22</v>
      </c>
      <c r="AA832" t="s">
        <v>28</v>
      </c>
      <c r="AB832" s="3" t="s">
        <v>460</v>
      </c>
      <c r="AC832">
        <v>140</v>
      </c>
      <c r="AD832" s="3" t="str">
        <f t="shared" si="180"/>
        <v>140</v>
      </c>
      <c r="AE832">
        <v>98</v>
      </c>
      <c r="AF832" s="3" t="str">
        <f t="shared" si="181"/>
        <v>98</v>
      </c>
      <c r="AG832" t="s">
        <v>38</v>
      </c>
      <c r="AH832" s="3">
        <v>16.46</v>
      </c>
      <c r="AI832" s="3">
        <f t="shared" si="182"/>
        <v>16.46</v>
      </c>
      <c r="AJ832" t="s">
        <v>26</v>
      </c>
      <c r="AK832" t="str">
        <f>PROPER(Table1[[#This Row],[CVD Risk Level]])</f>
        <v>Intermediary</v>
      </c>
    </row>
    <row r="833" spans="1:37" x14ac:dyDescent="0.3">
      <c r="A833" t="s">
        <v>20</v>
      </c>
      <c r="B833">
        <v>37</v>
      </c>
      <c r="C833" s="8">
        <f t="shared" si="171"/>
        <v>37</v>
      </c>
      <c r="D833" s="5">
        <v>119</v>
      </c>
      <c r="E833" s="8">
        <f t="shared" si="172"/>
        <v>119</v>
      </c>
      <c r="F833">
        <v>1.73</v>
      </c>
      <c r="G833" s="3">
        <f t="shared" si="173"/>
        <v>1.73</v>
      </c>
      <c r="H833">
        <v>39.799999999999997</v>
      </c>
      <c r="I833" s="5">
        <f t="shared" si="169"/>
        <v>39.799999999999997</v>
      </c>
      <c r="J833" s="16" t="str">
        <f t="shared" si="174"/>
        <v>Obese</v>
      </c>
      <c r="K833">
        <v>86.2</v>
      </c>
      <c r="L833">
        <v>0.498</v>
      </c>
      <c r="M833" s="11">
        <f t="shared" si="170"/>
        <v>0.498</v>
      </c>
      <c r="N833" s="5">
        <f t="shared" si="175"/>
        <v>86.2</v>
      </c>
      <c r="O833">
        <v>215</v>
      </c>
      <c r="P833">
        <v>30</v>
      </c>
      <c r="Q833" s="8">
        <f t="shared" si="176"/>
        <v>30</v>
      </c>
      <c r="R833" s="8">
        <v>155</v>
      </c>
      <c r="S833" s="8">
        <f t="shared" si="177"/>
        <v>155</v>
      </c>
      <c r="T833" s="8">
        <f>(Table1[[#This Row],[Total Cholesterol (mg/dL)]]+Table1[[#This Row],[HDL (mg/dL)2]]+Table1[[#This Row],[Estimated LDL (mg/dL)2]])*5</f>
        <v>2000</v>
      </c>
      <c r="U833" s="8">
        <f>IF(O833="",Table1[[#This Row],[Estimated LDL (mg/dL)2]]+Table1[[#This Row],[HDL (mg/dL)2]]+(Table1[[#This Row],[Triglycerides]]/5),O833)</f>
        <v>215</v>
      </c>
      <c r="V833">
        <v>94</v>
      </c>
      <c r="W833" s="8">
        <f t="shared" si="178"/>
        <v>94</v>
      </c>
      <c r="X833" t="str">
        <f t="shared" si="179"/>
        <v>Normal</v>
      </c>
      <c r="Y833" t="s">
        <v>22</v>
      </c>
      <c r="Z833" t="s">
        <v>23</v>
      </c>
      <c r="AA833" t="s">
        <v>28</v>
      </c>
      <c r="AB833" s="3" t="s">
        <v>734</v>
      </c>
      <c r="AD833" s="3" t="str">
        <f t="shared" si="180"/>
        <v>127</v>
      </c>
      <c r="AE833">
        <v>87</v>
      </c>
      <c r="AF833" s="3" t="str">
        <f t="shared" si="181"/>
        <v>87</v>
      </c>
      <c r="AG833" t="s">
        <v>29</v>
      </c>
      <c r="AH833" s="3">
        <v>20.61</v>
      </c>
      <c r="AI833" s="3">
        <f t="shared" si="182"/>
        <v>20.61</v>
      </c>
      <c r="AJ833" t="s">
        <v>30</v>
      </c>
      <c r="AK833" t="str">
        <f>PROPER(Table1[[#This Row],[CVD Risk Level]])</f>
        <v>High</v>
      </c>
    </row>
    <row r="834" spans="1:37" x14ac:dyDescent="0.3">
      <c r="A834" t="s">
        <v>20</v>
      </c>
      <c r="B834">
        <v>57</v>
      </c>
      <c r="C834" s="8">
        <f t="shared" si="171"/>
        <v>57</v>
      </c>
      <c r="D834" s="5">
        <v>54.2</v>
      </c>
      <c r="E834" s="8">
        <f t="shared" si="172"/>
        <v>54.2</v>
      </c>
      <c r="F834">
        <v>1.85</v>
      </c>
      <c r="G834" s="3">
        <f t="shared" si="173"/>
        <v>1.85</v>
      </c>
      <c r="H834">
        <v>15.8</v>
      </c>
      <c r="I834" s="5">
        <f t="shared" ref="I834:I897" si="183" xml:space="preserve"> IF(H834="",E834 / (G834^2),H834)</f>
        <v>15.8</v>
      </c>
      <c r="J834" s="16" t="str">
        <f t="shared" si="174"/>
        <v>Underweight</v>
      </c>
      <c r="K834">
        <v>88.6</v>
      </c>
      <c r="L834">
        <v>0.47899999999999998</v>
      </c>
      <c r="M834" s="11">
        <f t="shared" ref="M834:M897" si="184">IF(L834="",K834/(G834*100),L834)</f>
        <v>0.47899999999999998</v>
      </c>
      <c r="N834" s="5">
        <f t="shared" si="175"/>
        <v>88.6</v>
      </c>
      <c r="O834">
        <v>251</v>
      </c>
      <c r="P834">
        <v>69</v>
      </c>
      <c r="Q834" s="8">
        <f t="shared" si="176"/>
        <v>69</v>
      </c>
      <c r="R834" s="8">
        <v>152</v>
      </c>
      <c r="S834" s="8">
        <f t="shared" si="177"/>
        <v>152</v>
      </c>
      <c r="T834" s="8">
        <f>(Table1[[#This Row],[Total Cholesterol (mg/dL)]]+Table1[[#This Row],[HDL (mg/dL)2]]+Table1[[#This Row],[Estimated LDL (mg/dL)2]])*5</f>
        <v>2360</v>
      </c>
      <c r="U834" s="8">
        <f>IF(O834="",Table1[[#This Row],[Estimated LDL (mg/dL)2]]+Table1[[#This Row],[HDL (mg/dL)2]]+(Table1[[#This Row],[Triglycerides]]/5),O834)</f>
        <v>251</v>
      </c>
      <c r="V834">
        <v>76</v>
      </c>
      <c r="W834" s="8">
        <f t="shared" si="178"/>
        <v>76</v>
      </c>
      <c r="X834" t="str">
        <f t="shared" si="179"/>
        <v>Normal</v>
      </c>
      <c r="Y834" t="s">
        <v>22</v>
      </c>
      <c r="Z834" t="s">
        <v>22</v>
      </c>
      <c r="AA834" t="s">
        <v>28</v>
      </c>
      <c r="AB834" s="3" t="s">
        <v>735</v>
      </c>
      <c r="AC834">
        <v>137</v>
      </c>
      <c r="AD834" s="3" t="str">
        <f t="shared" si="180"/>
        <v>137</v>
      </c>
      <c r="AE834">
        <v>88</v>
      </c>
      <c r="AF834" s="3" t="str">
        <f t="shared" si="181"/>
        <v>88</v>
      </c>
      <c r="AG834" t="s">
        <v>29</v>
      </c>
      <c r="AH834" s="3">
        <v>15.03</v>
      </c>
      <c r="AI834" s="3">
        <f t="shared" si="182"/>
        <v>15.03</v>
      </c>
      <c r="AJ834" t="s">
        <v>26</v>
      </c>
      <c r="AK834" t="str">
        <f>PROPER(Table1[[#This Row],[CVD Risk Level]])</f>
        <v>Intermediary</v>
      </c>
    </row>
    <row r="835" spans="1:37" x14ac:dyDescent="0.3">
      <c r="A835" t="s">
        <v>20</v>
      </c>
      <c r="B835">
        <v>55</v>
      </c>
      <c r="C835" s="8">
        <f t="shared" ref="C835:C898" si="185">IF(B835="",AVERAGE($B$2:$B$1530),B835)</f>
        <v>55</v>
      </c>
      <c r="D835" s="5">
        <v>69.2</v>
      </c>
      <c r="E835" s="8">
        <f t="shared" ref="E835:E898" si="186">IF(D835="", H835*(F835^2),D835)</f>
        <v>69.2</v>
      </c>
      <c r="G835" s="3">
        <f t="shared" ref="G835:G898" si="187">IF(F835="", SQRT(E835 / H835),F835)</f>
        <v>1.8789923482808435</v>
      </c>
      <c r="H835">
        <v>19.600000000000001</v>
      </c>
      <c r="I835" s="5">
        <f t="shared" si="183"/>
        <v>19.600000000000001</v>
      </c>
      <c r="J835" s="16" t="str">
        <f t="shared" ref="J835:J898" si="188">IF(I835&lt;18.5,"Underweight",IF(I835&lt;25,"Normal",IF(I835&lt;30,"Overweight","Obese")))</f>
        <v>Normal</v>
      </c>
      <c r="K835">
        <v>77.5</v>
      </c>
      <c r="L835">
        <v>0.41199999999999998</v>
      </c>
      <c r="M835" s="11">
        <f t="shared" si="184"/>
        <v>0.41199999999999998</v>
      </c>
      <c r="N835" s="5">
        <f t="shared" ref="N835:N898" si="189">IF(K835="",M835*(G835*100),K835)</f>
        <v>77.5</v>
      </c>
      <c r="O835">
        <v>279</v>
      </c>
      <c r="P835">
        <v>68</v>
      </c>
      <c r="Q835" s="8">
        <f t="shared" ref="Q835:Q898" si="190">IF(P835="",AVERAGE($P$2:$P$1530),P835)</f>
        <v>68</v>
      </c>
      <c r="R835" s="8">
        <v>181</v>
      </c>
      <c r="S835" s="8">
        <f t="shared" ref="S835:S898" si="191">IF(R835&lt;=0,MEDIAN($R$2:$R$1530),R835)</f>
        <v>181</v>
      </c>
      <c r="T835" s="8">
        <f>(Table1[[#This Row],[Total Cholesterol (mg/dL)]]+Table1[[#This Row],[HDL (mg/dL)2]]+Table1[[#This Row],[Estimated LDL (mg/dL)2]])*5</f>
        <v>2640</v>
      </c>
      <c r="U835" s="8">
        <f>IF(O835="",Table1[[#This Row],[Estimated LDL (mg/dL)2]]+Table1[[#This Row],[HDL (mg/dL)2]]+(Table1[[#This Row],[Triglycerides]]/5),O835)</f>
        <v>279</v>
      </c>
      <c r="V835">
        <v>90</v>
      </c>
      <c r="W835" s="8">
        <f t="shared" ref="W835:W898" si="192">IF(V835="",AVERAGE($V$2:$V$1530),V835)</f>
        <v>90</v>
      </c>
      <c r="X835" t="str">
        <f t="shared" ref="X835:X898" si="193">IF(W835&lt;100,"Normal",IF(W835&lt;126,"Prediabetes","Diabetes"))</f>
        <v>Normal</v>
      </c>
      <c r="Y835" t="s">
        <v>23</v>
      </c>
      <c r="Z835" t="s">
        <v>22</v>
      </c>
      <c r="AA835" t="s">
        <v>37</v>
      </c>
      <c r="AB835" s="3" t="s">
        <v>736</v>
      </c>
      <c r="AD835" s="3" t="str">
        <f t="shared" ref="AD835:AD898" si="194">LEFT(AB835,FIND("/",AB835)-1)</f>
        <v>90</v>
      </c>
      <c r="AE835">
        <v>63</v>
      </c>
      <c r="AF835" s="3" t="str">
        <f t="shared" ref="AF835:AF898" si="195">RIGHT(AB835,LEN(AB835)-FIND("/",AB835))</f>
        <v>63</v>
      </c>
      <c r="AG835" t="s">
        <v>33</v>
      </c>
      <c r="AH835" s="3">
        <v>14</v>
      </c>
      <c r="AI835" s="3">
        <f t="shared" ref="AI835:AI898" si="196">IF(AH835="",AVERAGE($AH$2:$AH$1530),AH835)</f>
        <v>14</v>
      </c>
      <c r="AJ835" t="s">
        <v>30</v>
      </c>
      <c r="AK835" t="str">
        <f>PROPER(Table1[[#This Row],[CVD Risk Level]])</f>
        <v>High</v>
      </c>
    </row>
    <row r="836" spans="1:37" x14ac:dyDescent="0.3">
      <c r="A836" t="s">
        <v>20</v>
      </c>
      <c r="B836">
        <v>42</v>
      </c>
      <c r="C836" s="8">
        <f t="shared" si="185"/>
        <v>42</v>
      </c>
      <c r="D836" s="5">
        <v>116.2</v>
      </c>
      <c r="E836" s="8">
        <f t="shared" si="186"/>
        <v>116.2</v>
      </c>
      <c r="F836">
        <v>1.65</v>
      </c>
      <c r="G836" s="3">
        <f t="shared" si="187"/>
        <v>1.65</v>
      </c>
      <c r="H836">
        <v>42.7</v>
      </c>
      <c r="I836" s="5">
        <f t="shared" si="183"/>
        <v>42.7</v>
      </c>
      <c r="J836" s="16" t="str">
        <f t="shared" si="188"/>
        <v>Obese</v>
      </c>
      <c r="K836">
        <v>89.4</v>
      </c>
      <c r="L836">
        <v>0.54200000000000004</v>
      </c>
      <c r="M836" s="11">
        <f t="shared" si="184"/>
        <v>0.54200000000000004</v>
      </c>
      <c r="N836" s="5">
        <f t="shared" si="189"/>
        <v>89.4</v>
      </c>
      <c r="O836">
        <v>205</v>
      </c>
      <c r="P836">
        <v>68</v>
      </c>
      <c r="Q836" s="8">
        <f t="shared" si="190"/>
        <v>68</v>
      </c>
      <c r="R836" s="8">
        <v>107</v>
      </c>
      <c r="S836" s="8">
        <f t="shared" si="191"/>
        <v>107</v>
      </c>
      <c r="T836" s="8">
        <f>(Table1[[#This Row],[Total Cholesterol (mg/dL)]]+Table1[[#This Row],[HDL (mg/dL)2]]+Table1[[#This Row],[Estimated LDL (mg/dL)2]])*5</f>
        <v>1900</v>
      </c>
      <c r="U836" s="8">
        <f>IF(O836="",Table1[[#This Row],[Estimated LDL (mg/dL)2]]+Table1[[#This Row],[HDL (mg/dL)2]]+(Table1[[#This Row],[Triglycerides]]/5),O836)</f>
        <v>205</v>
      </c>
      <c r="V836">
        <v>80</v>
      </c>
      <c r="W836" s="8">
        <f t="shared" si="192"/>
        <v>80</v>
      </c>
      <c r="X836" t="str">
        <f t="shared" si="193"/>
        <v>Normal</v>
      </c>
      <c r="Y836" t="s">
        <v>23</v>
      </c>
      <c r="Z836" t="s">
        <v>23</v>
      </c>
      <c r="AA836" t="s">
        <v>28</v>
      </c>
      <c r="AB836" s="3" t="s">
        <v>737</v>
      </c>
      <c r="AC836">
        <v>139</v>
      </c>
      <c r="AD836" s="3" t="str">
        <f t="shared" si="194"/>
        <v>139</v>
      </c>
      <c r="AE836">
        <v>96</v>
      </c>
      <c r="AF836" s="3" t="str">
        <f t="shared" si="195"/>
        <v>96</v>
      </c>
      <c r="AG836" t="s">
        <v>29</v>
      </c>
      <c r="AH836" s="3">
        <v>21.59</v>
      </c>
      <c r="AI836" s="3">
        <f t="shared" si="196"/>
        <v>21.59</v>
      </c>
      <c r="AJ836" t="s">
        <v>30</v>
      </c>
      <c r="AK836" t="str">
        <f>PROPER(Table1[[#This Row],[CVD Risk Level]])</f>
        <v>High</v>
      </c>
    </row>
    <row r="837" spans="1:37" x14ac:dyDescent="0.3">
      <c r="A837" t="s">
        <v>20</v>
      </c>
      <c r="B837">
        <v>47</v>
      </c>
      <c r="C837" s="8">
        <f t="shared" si="185"/>
        <v>47</v>
      </c>
      <c r="D837" s="5">
        <v>90.7</v>
      </c>
      <c r="E837" s="8">
        <f t="shared" si="186"/>
        <v>90.7</v>
      </c>
      <c r="F837">
        <v>1.7</v>
      </c>
      <c r="G837" s="3">
        <f t="shared" si="187"/>
        <v>1.7</v>
      </c>
      <c r="H837">
        <v>31.4</v>
      </c>
      <c r="I837" s="5">
        <f t="shared" si="183"/>
        <v>31.4</v>
      </c>
      <c r="J837" s="16" t="str">
        <f t="shared" si="188"/>
        <v>Obese</v>
      </c>
      <c r="K837">
        <v>77.599999999999994</v>
      </c>
      <c r="L837">
        <v>0.45600000000000002</v>
      </c>
      <c r="M837" s="11">
        <f t="shared" si="184"/>
        <v>0.45600000000000002</v>
      </c>
      <c r="N837" s="5">
        <f t="shared" si="189"/>
        <v>77.599999999999994</v>
      </c>
      <c r="O837">
        <v>141</v>
      </c>
      <c r="P837">
        <v>68</v>
      </c>
      <c r="Q837" s="8">
        <f t="shared" si="190"/>
        <v>68</v>
      </c>
      <c r="R837" s="8">
        <v>43</v>
      </c>
      <c r="S837" s="8">
        <f t="shared" si="191"/>
        <v>43</v>
      </c>
      <c r="T837" s="8">
        <f>(Table1[[#This Row],[Total Cholesterol (mg/dL)]]+Table1[[#This Row],[HDL (mg/dL)2]]+Table1[[#This Row],[Estimated LDL (mg/dL)2]])*5</f>
        <v>1260</v>
      </c>
      <c r="U837" s="8">
        <f>IF(O837="",Table1[[#This Row],[Estimated LDL (mg/dL)2]]+Table1[[#This Row],[HDL (mg/dL)2]]+(Table1[[#This Row],[Triglycerides]]/5),O837)</f>
        <v>141</v>
      </c>
      <c r="V837">
        <v>79</v>
      </c>
      <c r="W837" s="8">
        <f t="shared" si="192"/>
        <v>79</v>
      </c>
      <c r="X837" t="str">
        <f t="shared" si="193"/>
        <v>Normal</v>
      </c>
      <c r="Y837" t="s">
        <v>22</v>
      </c>
      <c r="Z837" t="s">
        <v>23</v>
      </c>
      <c r="AA837" t="s">
        <v>24</v>
      </c>
      <c r="AB837" s="3" t="s">
        <v>723</v>
      </c>
      <c r="AC837">
        <v>103</v>
      </c>
      <c r="AD837" s="3" t="str">
        <f t="shared" si="194"/>
        <v>103</v>
      </c>
      <c r="AF837" s="3" t="str">
        <f t="shared" si="195"/>
        <v>63</v>
      </c>
      <c r="AG837" t="s">
        <v>33</v>
      </c>
      <c r="AH837" s="3">
        <v>16.25</v>
      </c>
      <c r="AI837" s="3">
        <f t="shared" si="196"/>
        <v>16.25</v>
      </c>
      <c r="AJ837" t="s">
        <v>30</v>
      </c>
      <c r="AK837" t="str">
        <f>PROPER(Table1[[#This Row],[CVD Risk Level]])</f>
        <v>High</v>
      </c>
    </row>
    <row r="838" spans="1:37" x14ac:dyDescent="0.3">
      <c r="A838" t="s">
        <v>20</v>
      </c>
      <c r="B838">
        <v>37</v>
      </c>
      <c r="C838" s="8">
        <f t="shared" si="185"/>
        <v>37</v>
      </c>
      <c r="D838" s="5">
        <v>86.7</v>
      </c>
      <c r="E838" s="8">
        <f t="shared" si="186"/>
        <v>86.7</v>
      </c>
      <c r="F838">
        <v>1.62</v>
      </c>
      <c r="G838" s="3">
        <f t="shared" si="187"/>
        <v>1.62</v>
      </c>
      <c r="H838">
        <v>33</v>
      </c>
      <c r="I838" s="5">
        <f t="shared" si="183"/>
        <v>33</v>
      </c>
      <c r="J838" s="16" t="str">
        <f t="shared" si="188"/>
        <v>Obese</v>
      </c>
      <c r="K838">
        <v>88.5</v>
      </c>
      <c r="L838">
        <v>0.54600000000000004</v>
      </c>
      <c r="M838" s="11">
        <f t="shared" si="184"/>
        <v>0.54600000000000004</v>
      </c>
      <c r="N838" s="5">
        <f t="shared" si="189"/>
        <v>88.5</v>
      </c>
      <c r="O838">
        <v>250</v>
      </c>
      <c r="P838">
        <v>36</v>
      </c>
      <c r="Q838" s="8">
        <f t="shared" si="190"/>
        <v>36</v>
      </c>
      <c r="R838" s="8">
        <v>184</v>
      </c>
      <c r="S838" s="8">
        <f t="shared" si="191"/>
        <v>184</v>
      </c>
      <c r="T838" s="8">
        <f>(Table1[[#This Row],[Total Cholesterol (mg/dL)]]+Table1[[#This Row],[HDL (mg/dL)2]]+Table1[[#This Row],[Estimated LDL (mg/dL)2]])*5</f>
        <v>2350</v>
      </c>
      <c r="U838" s="8">
        <f>IF(O838="",Table1[[#This Row],[Estimated LDL (mg/dL)2]]+Table1[[#This Row],[HDL (mg/dL)2]]+(Table1[[#This Row],[Triglycerides]]/5),O838)</f>
        <v>250</v>
      </c>
      <c r="V838">
        <v>104</v>
      </c>
      <c r="W838" s="8">
        <f t="shared" si="192"/>
        <v>104</v>
      </c>
      <c r="X838" t="str">
        <f t="shared" si="193"/>
        <v>Prediabetes</v>
      </c>
      <c r="Y838" t="s">
        <v>22</v>
      </c>
      <c r="Z838" t="s">
        <v>23</v>
      </c>
      <c r="AA838" t="s">
        <v>28</v>
      </c>
      <c r="AB838" s="3" t="s">
        <v>607</v>
      </c>
      <c r="AC838">
        <v>113</v>
      </c>
      <c r="AD838" s="3" t="str">
        <f t="shared" si="194"/>
        <v>113</v>
      </c>
      <c r="AE838">
        <v>77</v>
      </c>
      <c r="AF838" s="3" t="str">
        <f t="shared" si="195"/>
        <v>77</v>
      </c>
      <c r="AG838" t="s">
        <v>33</v>
      </c>
      <c r="AH838" s="3">
        <v>19.25</v>
      </c>
      <c r="AI838" s="3">
        <f t="shared" si="196"/>
        <v>19.25</v>
      </c>
      <c r="AJ838" t="s">
        <v>30</v>
      </c>
      <c r="AK838" t="str">
        <f>PROPER(Table1[[#This Row],[CVD Risk Level]])</f>
        <v>High</v>
      </c>
    </row>
    <row r="839" spans="1:37" x14ac:dyDescent="0.3">
      <c r="A839" t="s">
        <v>31</v>
      </c>
      <c r="B839">
        <v>42</v>
      </c>
      <c r="C839" s="8">
        <f t="shared" si="185"/>
        <v>42</v>
      </c>
      <c r="D839" s="5">
        <v>75.099999999999994</v>
      </c>
      <c r="E839" s="8">
        <f t="shared" si="186"/>
        <v>75.099999999999994</v>
      </c>
      <c r="F839">
        <v>1.89</v>
      </c>
      <c r="G839" s="3">
        <f t="shared" si="187"/>
        <v>1.89</v>
      </c>
      <c r="H839">
        <v>21</v>
      </c>
      <c r="I839" s="5">
        <f t="shared" si="183"/>
        <v>21</v>
      </c>
      <c r="J839" s="16" t="str">
        <f t="shared" si="188"/>
        <v>Normal</v>
      </c>
      <c r="K839">
        <v>104.3</v>
      </c>
      <c r="L839">
        <v>0.55200000000000005</v>
      </c>
      <c r="M839" s="11">
        <f t="shared" si="184"/>
        <v>0.55200000000000005</v>
      </c>
      <c r="N839" s="5">
        <f t="shared" si="189"/>
        <v>104.3</v>
      </c>
      <c r="O839">
        <v>111</v>
      </c>
      <c r="P839">
        <v>42</v>
      </c>
      <c r="Q839" s="8">
        <f t="shared" si="190"/>
        <v>42</v>
      </c>
      <c r="R839" s="8">
        <v>39</v>
      </c>
      <c r="S839" s="8">
        <f t="shared" si="191"/>
        <v>39</v>
      </c>
      <c r="T839" s="8">
        <f>(Table1[[#This Row],[Total Cholesterol (mg/dL)]]+Table1[[#This Row],[HDL (mg/dL)2]]+Table1[[#This Row],[Estimated LDL (mg/dL)2]])*5</f>
        <v>960</v>
      </c>
      <c r="U839" s="8">
        <f>IF(O839="",Table1[[#This Row],[Estimated LDL (mg/dL)2]]+Table1[[#This Row],[HDL (mg/dL)2]]+(Table1[[#This Row],[Triglycerides]]/5),O839)</f>
        <v>111</v>
      </c>
      <c r="V839">
        <v>95</v>
      </c>
      <c r="W839" s="8">
        <f t="shared" si="192"/>
        <v>95</v>
      </c>
      <c r="X839" t="str">
        <f t="shared" si="193"/>
        <v>Normal</v>
      </c>
      <c r="Y839" t="s">
        <v>22</v>
      </c>
      <c r="Z839" t="s">
        <v>23</v>
      </c>
      <c r="AA839" t="s">
        <v>24</v>
      </c>
      <c r="AB839" s="3" t="s">
        <v>738</v>
      </c>
      <c r="AC839">
        <v>112</v>
      </c>
      <c r="AD839" s="3" t="str">
        <f t="shared" si="194"/>
        <v>112</v>
      </c>
      <c r="AE839">
        <v>93</v>
      </c>
      <c r="AF839" s="3" t="str">
        <f t="shared" si="195"/>
        <v>93</v>
      </c>
      <c r="AG839" t="s">
        <v>38</v>
      </c>
      <c r="AH839" s="3">
        <v>14.02</v>
      </c>
      <c r="AI839" s="3">
        <f t="shared" si="196"/>
        <v>14.02</v>
      </c>
      <c r="AJ839" t="s">
        <v>26</v>
      </c>
      <c r="AK839" t="str">
        <f>PROPER(Table1[[#This Row],[CVD Risk Level]])</f>
        <v>Intermediary</v>
      </c>
    </row>
    <row r="840" spans="1:37" x14ac:dyDescent="0.3">
      <c r="A840" t="s">
        <v>31</v>
      </c>
      <c r="C840" s="8">
        <f t="shared" si="185"/>
        <v>47.025499655410059</v>
      </c>
      <c r="D840" s="5">
        <v>64.900000000000006</v>
      </c>
      <c r="E840" s="8">
        <f t="shared" si="186"/>
        <v>64.900000000000006</v>
      </c>
      <c r="F840">
        <v>1.83</v>
      </c>
      <c r="G840" s="3">
        <f t="shared" si="187"/>
        <v>1.83</v>
      </c>
      <c r="H840">
        <v>19.399999999999999</v>
      </c>
      <c r="I840" s="5">
        <f t="shared" si="183"/>
        <v>19.399999999999999</v>
      </c>
      <c r="J840" s="16" t="str">
        <f t="shared" si="188"/>
        <v>Normal</v>
      </c>
      <c r="K840">
        <v>99.8</v>
      </c>
      <c r="L840">
        <v>0.54500000000000004</v>
      </c>
      <c r="M840" s="11">
        <f t="shared" si="184"/>
        <v>0.54500000000000004</v>
      </c>
      <c r="N840" s="5">
        <f t="shared" si="189"/>
        <v>99.8</v>
      </c>
      <c r="O840">
        <v>173</v>
      </c>
      <c r="P840">
        <v>65</v>
      </c>
      <c r="Q840" s="8">
        <f t="shared" si="190"/>
        <v>65</v>
      </c>
      <c r="R840" s="8">
        <v>78</v>
      </c>
      <c r="S840" s="8">
        <f t="shared" si="191"/>
        <v>78</v>
      </c>
      <c r="T840" s="8">
        <f>(Table1[[#This Row],[Total Cholesterol (mg/dL)]]+Table1[[#This Row],[HDL (mg/dL)2]]+Table1[[#This Row],[Estimated LDL (mg/dL)2]])*5</f>
        <v>1580</v>
      </c>
      <c r="U840" s="8">
        <f>IF(O840="",Table1[[#This Row],[Estimated LDL (mg/dL)2]]+Table1[[#This Row],[HDL (mg/dL)2]]+(Table1[[#This Row],[Triglycerides]]/5),O840)</f>
        <v>173</v>
      </c>
      <c r="V840">
        <v>101</v>
      </c>
      <c r="W840" s="8">
        <f t="shared" si="192"/>
        <v>101</v>
      </c>
      <c r="X840" t="str">
        <f t="shared" si="193"/>
        <v>Prediabetes</v>
      </c>
      <c r="Y840" t="s">
        <v>22</v>
      </c>
      <c r="Z840" t="s">
        <v>22</v>
      </c>
      <c r="AA840" t="s">
        <v>28</v>
      </c>
      <c r="AB840" s="3" t="s">
        <v>358</v>
      </c>
      <c r="AC840">
        <v>96</v>
      </c>
      <c r="AD840" s="3" t="str">
        <f t="shared" si="194"/>
        <v>96</v>
      </c>
      <c r="AE840">
        <v>93</v>
      </c>
      <c r="AF840" s="3" t="str">
        <f t="shared" si="195"/>
        <v>93</v>
      </c>
      <c r="AG840" t="s">
        <v>38</v>
      </c>
      <c r="AH840" s="3">
        <v>12.14</v>
      </c>
      <c r="AI840" s="3">
        <f t="shared" si="196"/>
        <v>12.14</v>
      </c>
      <c r="AJ840" t="s">
        <v>52</v>
      </c>
      <c r="AK840" t="str">
        <f>PROPER(Table1[[#This Row],[CVD Risk Level]])</f>
        <v>Low</v>
      </c>
    </row>
    <row r="841" spans="1:37" x14ac:dyDescent="0.3">
      <c r="A841" t="s">
        <v>20</v>
      </c>
      <c r="B841">
        <v>47</v>
      </c>
      <c r="C841" s="8">
        <f t="shared" si="185"/>
        <v>47</v>
      </c>
      <c r="D841" s="5">
        <v>79.099999999999994</v>
      </c>
      <c r="E841" s="8">
        <f t="shared" si="186"/>
        <v>79.099999999999994</v>
      </c>
      <c r="F841">
        <v>1.81</v>
      </c>
      <c r="G841" s="3">
        <f t="shared" si="187"/>
        <v>1.81</v>
      </c>
      <c r="H841">
        <v>24.1</v>
      </c>
      <c r="I841" s="5">
        <f t="shared" si="183"/>
        <v>24.1</v>
      </c>
      <c r="J841" s="16" t="str">
        <f t="shared" si="188"/>
        <v>Normal</v>
      </c>
      <c r="K841">
        <v>76.400000000000006</v>
      </c>
      <c r="L841">
        <v>0.42199999999999999</v>
      </c>
      <c r="M841" s="11">
        <f t="shared" si="184"/>
        <v>0.42199999999999999</v>
      </c>
      <c r="N841" s="5">
        <f t="shared" si="189"/>
        <v>76.400000000000006</v>
      </c>
      <c r="O841">
        <v>147</v>
      </c>
      <c r="P841">
        <v>70</v>
      </c>
      <c r="Q841" s="8">
        <f t="shared" si="190"/>
        <v>70</v>
      </c>
      <c r="R841" s="8">
        <v>47</v>
      </c>
      <c r="S841" s="8">
        <f t="shared" si="191"/>
        <v>47</v>
      </c>
      <c r="T841" s="8">
        <f>(Table1[[#This Row],[Total Cholesterol (mg/dL)]]+Table1[[#This Row],[HDL (mg/dL)2]]+Table1[[#This Row],[Estimated LDL (mg/dL)2]])*5</f>
        <v>1320</v>
      </c>
      <c r="U841" s="8">
        <f>IF(O841="",Table1[[#This Row],[Estimated LDL (mg/dL)2]]+Table1[[#This Row],[HDL (mg/dL)2]]+(Table1[[#This Row],[Triglycerides]]/5),O841)</f>
        <v>147</v>
      </c>
      <c r="V841">
        <v>83</v>
      </c>
      <c r="W841" s="8">
        <f t="shared" si="192"/>
        <v>83</v>
      </c>
      <c r="X841" t="str">
        <f t="shared" si="193"/>
        <v>Normal</v>
      </c>
      <c r="Y841" t="s">
        <v>23</v>
      </c>
      <c r="Z841" t="s">
        <v>23</v>
      </c>
      <c r="AA841" t="s">
        <v>24</v>
      </c>
      <c r="AB841" s="3" t="s">
        <v>573</v>
      </c>
      <c r="AC841">
        <v>118</v>
      </c>
      <c r="AD841" s="3" t="str">
        <f t="shared" si="194"/>
        <v>118</v>
      </c>
      <c r="AE841">
        <v>97</v>
      </c>
      <c r="AF841" s="3" t="str">
        <f t="shared" si="195"/>
        <v>97</v>
      </c>
      <c r="AG841" t="s">
        <v>38</v>
      </c>
      <c r="AH841" s="3">
        <v>15.66</v>
      </c>
      <c r="AI841" s="3">
        <f t="shared" si="196"/>
        <v>15.66</v>
      </c>
      <c r="AJ841" t="s">
        <v>30</v>
      </c>
      <c r="AK841" t="str">
        <f>PROPER(Table1[[#This Row],[CVD Risk Level]])</f>
        <v>High</v>
      </c>
    </row>
    <row r="842" spans="1:37" x14ac:dyDescent="0.3">
      <c r="A842" t="s">
        <v>31</v>
      </c>
      <c r="B842">
        <v>38</v>
      </c>
      <c r="C842" s="8">
        <f t="shared" si="185"/>
        <v>38</v>
      </c>
      <c r="D842" s="5">
        <v>103.6</v>
      </c>
      <c r="E842" s="8">
        <f t="shared" si="186"/>
        <v>103.6</v>
      </c>
      <c r="F842">
        <v>1.83</v>
      </c>
      <c r="G842" s="3">
        <f t="shared" si="187"/>
        <v>1.83</v>
      </c>
      <c r="H842">
        <v>30.9</v>
      </c>
      <c r="I842" s="5">
        <f t="shared" si="183"/>
        <v>30.9</v>
      </c>
      <c r="J842" s="16" t="str">
        <f t="shared" si="188"/>
        <v>Obese</v>
      </c>
      <c r="K842">
        <v>78.599999999999994</v>
      </c>
      <c r="L842">
        <v>0.43</v>
      </c>
      <c r="M842" s="11">
        <f t="shared" si="184"/>
        <v>0.43</v>
      </c>
      <c r="N842" s="5">
        <f t="shared" si="189"/>
        <v>78.599999999999994</v>
      </c>
      <c r="P842">
        <v>79</v>
      </c>
      <c r="Q842" s="8">
        <f t="shared" si="190"/>
        <v>79</v>
      </c>
      <c r="R842" s="8">
        <v>55</v>
      </c>
      <c r="S842" s="8">
        <f t="shared" si="191"/>
        <v>55</v>
      </c>
      <c r="T842" s="8">
        <f>(Table1[[#This Row],[Total Cholesterol (mg/dL)]]+Table1[[#This Row],[HDL (mg/dL)2]]+Table1[[#This Row],[Estimated LDL (mg/dL)2]])*5</f>
        <v>670</v>
      </c>
      <c r="U842" s="8">
        <f>IF(O842="",Table1[[#This Row],[Estimated LDL (mg/dL)2]]+Table1[[#This Row],[HDL (mg/dL)2]]+(Table1[[#This Row],[Triglycerides]]/5),O842)</f>
        <v>268</v>
      </c>
      <c r="V842">
        <v>75</v>
      </c>
      <c r="W842" s="8">
        <f t="shared" si="192"/>
        <v>75</v>
      </c>
      <c r="X842" t="str">
        <f t="shared" si="193"/>
        <v>Normal</v>
      </c>
      <c r="Y842" t="s">
        <v>22</v>
      </c>
      <c r="Z842" t="s">
        <v>22</v>
      </c>
      <c r="AA842" t="s">
        <v>37</v>
      </c>
      <c r="AB842" s="3" t="s">
        <v>112</v>
      </c>
      <c r="AC842">
        <v>94</v>
      </c>
      <c r="AD842" s="3" t="str">
        <f t="shared" si="194"/>
        <v>94</v>
      </c>
      <c r="AE842">
        <v>78</v>
      </c>
      <c r="AF842" s="3" t="str">
        <f t="shared" si="195"/>
        <v>78</v>
      </c>
      <c r="AG842" t="s">
        <v>33</v>
      </c>
      <c r="AH842" s="3">
        <v>14.16</v>
      </c>
      <c r="AI842" s="3">
        <f t="shared" si="196"/>
        <v>14.16</v>
      </c>
      <c r="AJ842" t="s">
        <v>52</v>
      </c>
      <c r="AK842" t="str">
        <f>PROPER(Table1[[#This Row],[CVD Risk Level]])</f>
        <v>Low</v>
      </c>
    </row>
    <row r="843" spans="1:37" x14ac:dyDescent="0.3">
      <c r="A843" t="s">
        <v>20</v>
      </c>
      <c r="B843">
        <v>46</v>
      </c>
      <c r="C843" s="8">
        <f t="shared" si="185"/>
        <v>46</v>
      </c>
      <c r="D843" s="5">
        <v>88.1</v>
      </c>
      <c r="E843" s="8">
        <f t="shared" si="186"/>
        <v>88.1</v>
      </c>
      <c r="F843">
        <v>1.63</v>
      </c>
      <c r="G843" s="3">
        <f t="shared" si="187"/>
        <v>1.63</v>
      </c>
      <c r="H843">
        <v>33.200000000000003</v>
      </c>
      <c r="I843" s="5">
        <f t="shared" si="183"/>
        <v>33.200000000000003</v>
      </c>
      <c r="J843" s="16" t="str">
        <f t="shared" si="188"/>
        <v>Obese</v>
      </c>
      <c r="K843">
        <v>98.7</v>
      </c>
      <c r="L843">
        <v>0.60599999999999998</v>
      </c>
      <c r="M843" s="11">
        <f t="shared" si="184"/>
        <v>0.60599999999999998</v>
      </c>
      <c r="N843" s="5">
        <f t="shared" si="189"/>
        <v>98.7</v>
      </c>
      <c r="O843">
        <v>166</v>
      </c>
      <c r="P843">
        <v>78</v>
      </c>
      <c r="Q843" s="8">
        <f t="shared" si="190"/>
        <v>78</v>
      </c>
      <c r="R843" s="8">
        <v>58</v>
      </c>
      <c r="S843" s="8">
        <f t="shared" si="191"/>
        <v>58</v>
      </c>
      <c r="T843" s="8">
        <f>(Table1[[#This Row],[Total Cholesterol (mg/dL)]]+Table1[[#This Row],[HDL (mg/dL)2]]+Table1[[#This Row],[Estimated LDL (mg/dL)2]])*5</f>
        <v>1510</v>
      </c>
      <c r="U843" s="8">
        <f>IF(O843="",Table1[[#This Row],[Estimated LDL (mg/dL)2]]+Table1[[#This Row],[HDL (mg/dL)2]]+(Table1[[#This Row],[Triglycerides]]/5),O843)</f>
        <v>166</v>
      </c>
      <c r="V843">
        <v>103</v>
      </c>
      <c r="W843" s="8">
        <f t="shared" si="192"/>
        <v>103</v>
      </c>
      <c r="X843" t="str">
        <f t="shared" si="193"/>
        <v>Prediabetes</v>
      </c>
      <c r="Y843" t="s">
        <v>23</v>
      </c>
      <c r="Z843" t="s">
        <v>23</v>
      </c>
      <c r="AA843" t="s">
        <v>24</v>
      </c>
      <c r="AB843" s="3" t="s">
        <v>739</v>
      </c>
      <c r="AC843">
        <v>95</v>
      </c>
      <c r="AD843" s="3" t="str">
        <f t="shared" si="194"/>
        <v>95</v>
      </c>
      <c r="AE843">
        <v>81</v>
      </c>
      <c r="AF843" s="3" t="str">
        <f t="shared" si="195"/>
        <v>81</v>
      </c>
      <c r="AG843" t="s">
        <v>29</v>
      </c>
      <c r="AH843" s="3">
        <v>16.71</v>
      </c>
      <c r="AI843" s="3">
        <f t="shared" si="196"/>
        <v>16.71</v>
      </c>
      <c r="AJ843" t="s">
        <v>30</v>
      </c>
      <c r="AK843" t="str">
        <f>PROPER(Table1[[#This Row],[CVD Risk Level]])</f>
        <v>High</v>
      </c>
    </row>
    <row r="844" spans="1:37" x14ac:dyDescent="0.3">
      <c r="A844" t="s">
        <v>20</v>
      </c>
      <c r="B844">
        <v>30</v>
      </c>
      <c r="C844" s="8">
        <f t="shared" si="185"/>
        <v>30</v>
      </c>
      <c r="D844" s="5">
        <v>80</v>
      </c>
      <c r="E844" s="8">
        <f t="shared" si="186"/>
        <v>80</v>
      </c>
      <c r="F844">
        <v>1.86</v>
      </c>
      <c r="G844" s="3">
        <f t="shared" si="187"/>
        <v>1.86</v>
      </c>
      <c r="H844">
        <v>23.1</v>
      </c>
      <c r="I844" s="5">
        <f t="shared" si="183"/>
        <v>23.1</v>
      </c>
      <c r="J844" s="16" t="str">
        <f t="shared" si="188"/>
        <v>Normal</v>
      </c>
      <c r="K844">
        <v>93.5</v>
      </c>
      <c r="L844">
        <v>0.503</v>
      </c>
      <c r="M844" s="11">
        <f t="shared" si="184"/>
        <v>0.503</v>
      </c>
      <c r="N844" s="5">
        <f t="shared" si="189"/>
        <v>93.5</v>
      </c>
      <c r="O844">
        <v>143</v>
      </c>
      <c r="P844">
        <v>60</v>
      </c>
      <c r="Q844" s="8">
        <f t="shared" si="190"/>
        <v>60</v>
      </c>
      <c r="R844" s="8">
        <v>53</v>
      </c>
      <c r="S844" s="8">
        <f t="shared" si="191"/>
        <v>53</v>
      </c>
      <c r="T844" s="8">
        <f>(Table1[[#This Row],[Total Cholesterol (mg/dL)]]+Table1[[#This Row],[HDL (mg/dL)2]]+Table1[[#This Row],[Estimated LDL (mg/dL)2]])*5</f>
        <v>1280</v>
      </c>
      <c r="U844" s="8">
        <f>IF(O844="",Table1[[#This Row],[Estimated LDL (mg/dL)2]]+Table1[[#This Row],[HDL (mg/dL)2]]+(Table1[[#This Row],[Triglycerides]]/5),O844)</f>
        <v>143</v>
      </c>
      <c r="V844">
        <v>139</v>
      </c>
      <c r="W844" s="8">
        <f t="shared" si="192"/>
        <v>139</v>
      </c>
      <c r="X844" t="str">
        <f t="shared" si="193"/>
        <v>Diabetes</v>
      </c>
      <c r="Y844" t="s">
        <v>23</v>
      </c>
      <c r="Z844" t="s">
        <v>22</v>
      </c>
      <c r="AA844" t="s">
        <v>28</v>
      </c>
      <c r="AB844" s="3" t="s">
        <v>740</v>
      </c>
      <c r="AC844">
        <v>110</v>
      </c>
      <c r="AD844" s="3" t="str">
        <f t="shared" si="194"/>
        <v>110</v>
      </c>
      <c r="AE844">
        <v>98</v>
      </c>
      <c r="AF844" s="3" t="str">
        <f t="shared" si="195"/>
        <v>98</v>
      </c>
      <c r="AG844" t="s">
        <v>38</v>
      </c>
      <c r="AH844" s="3">
        <v>12.98</v>
      </c>
      <c r="AI844" s="3">
        <f t="shared" si="196"/>
        <v>12.98</v>
      </c>
      <c r="AJ844" t="s">
        <v>26</v>
      </c>
      <c r="AK844" t="str">
        <f>PROPER(Table1[[#This Row],[CVD Risk Level]])</f>
        <v>Intermediary</v>
      </c>
    </row>
    <row r="845" spans="1:37" x14ac:dyDescent="0.3">
      <c r="A845" t="s">
        <v>31</v>
      </c>
      <c r="B845">
        <v>52</v>
      </c>
      <c r="C845" s="8">
        <f t="shared" si="185"/>
        <v>52</v>
      </c>
      <c r="D845" s="5">
        <v>55</v>
      </c>
      <c r="E845" s="8">
        <f t="shared" si="186"/>
        <v>55</v>
      </c>
      <c r="G845" s="3">
        <f t="shared" si="187"/>
        <v>1.7104186373205879</v>
      </c>
      <c r="H845">
        <v>18.8</v>
      </c>
      <c r="I845" s="5">
        <f t="shared" si="183"/>
        <v>18.8</v>
      </c>
      <c r="J845" s="16" t="str">
        <f t="shared" si="188"/>
        <v>Normal</v>
      </c>
      <c r="K845">
        <v>108.6</v>
      </c>
      <c r="L845">
        <v>0.63500000000000001</v>
      </c>
      <c r="M845" s="11">
        <f t="shared" si="184"/>
        <v>0.63500000000000001</v>
      </c>
      <c r="N845" s="5">
        <f t="shared" si="189"/>
        <v>108.6</v>
      </c>
      <c r="O845">
        <v>183</v>
      </c>
      <c r="P845">
        <v>53</v>
      </c>
      <c r="Q845" s="8">
        <f t="shared" si="190"/>
        <v>53</v>
      </c>
      <c r="R845" s="8">
        <v>100</v>
      </c>
      <c r="S845" s="8">
        <f t="shared" si="191"/>
        <v>100</v>
      </c>
      <c r="T845" s="8">
        <f>(Table1[[#This Row],[Total Cholesterol (mg/dL)]]+Table1[[#This Row],[HDL (mg/dL)2]]+Table1[[#This Row],[Estimated LDL (mg/dL)2]])*5</f>
        <v>1680</v>
      </c>
      <c r="U845" s="8">
        <f>IF(O845="",Table1[[#This Row],[Estimated LDL (mg/dL)2]]+Table1[[#This Row],[HDL (mg/dL)2]]+(Table1[[#This Row],[Triglycerides]]/5),O845)</f>
        <v>183</v>
      </c>
      <c r="V845">
        <v>115</v>
      </c>
      <c r="W845" s="8">
        <f t="shared" si="192"/>
        <v>115</v>
      </c>
      <c r="X845" t="str">
        <f t="shared" si="193"/>
        <v>Prediabetes</v>
      </c>
      <c r="Y845" t="s">
        <v>22</v>
      </c>
      <c r="Z845" t="s">
        <v>23</v>
      </c>
      <c r="AA845" t="s">
        <v>37</v>
      </c>
      <c r="AB845" s="3" t="s">
        <v>741</v>
      </c>
      <c r="AC845">
        <v>132</v>
      </c>
      <c r="AD845" s="3" t="str">
        <f t="shared" si="194"/>
        <v>132</v>
      </c>
      <c r="AE845">
        <v>76</v>
      </c>
      <c r="AF845" s="3" t="str">
        <f t="shared" si="195"/>
        <v>76</v>
      </c>
      <c r="AG845" t="s">
        <v>29</v>
      </c>
      <c r="AH845" s="3">
        <v>16.02</v>
      </c>
      <c r="AI845" s="3">
        <f t="shared" si="196"/>
        <v>16.02</v>
      </c>
      <c r="AJ845" t="s">
        <v>26</v>
      </c>
      <c r="AK845" t="str">
        <f>PROPER(Table1[[#This Row],[CVD Risk Level]])</f>
        <v>Intermediary</v>
      </c>
    </row>
    <row r="846" spans="1:37" x14ac:dyDescent="0.3">
      <c r="A846" t="s">
        <v>20</v>
      </c>
      <c r="B846">
        <v>30</v>
      </c>
      <c r="C846" s="8">
        <f t="shared" si="185"/>
        <v>30</v>
      </c>
      <c r="D846" s="5">
        <v>110.4</v>
      </c>
      <c r="E846" s="8">
        <f t="shared" si="186"/>
        <v>110.4</v>
      </c>
      <c r="F846">
        <v>1.71</v>
      </c>
      <c r="G846" s="3">
        <f t="shared" si="187"/>
        <v>1.71</v>
      </c>
      <c r="H846">
        <v>37.799999999999997</v>
      </c>
      <c r="I846" s="5">
        <f t="shared" si="183"/>
        <v>37.799999999999997</v>
      </c>
      <c r="J846" s="16" t="str">
        <f t="shared" si="188"/>
        <v>Obese</v>
      </c>
      <c r="K846">
        <v>99</v>
      </c>
      <c r="L846">
        <v>0.57899999999999996</v>
      </c>
      <c r="M846" s="11">
        <f t="shared" si="184"/>
        <v>0.57899999999999996</v>
      </c>
      <c r="N846" s="5">
        <f t="shared" si="189"/>
        <v>99</v>
      </c>
      <c r="O846">
        <v>265</v>
      </c>
      <c r="P846">
        <v>65</v>
      </c>
      <c r="Q846" s="8">
        <f t="shared" si="190"/>
        <v>65</v>
      </c>
      <c r="R846" s="8">
        <v>170</v>
      </c>
      <c r="S846" s="8">
        <f t="shared" si="191"/>
        <v>170</v>
      </c>
      <c r="T846" s="8">
        <f>(Table1[[#This Row],[Total Cholesterol (mg/dL)]]+Table1[[#This Row],[HDL (mg/dL)2]]+Table1[[#This Row],[Estimated LDL (mg/dL)2]])*5</f>
        <v>2500</v>
      </c>
      <c r="U846" s="8">
        <f>IF(O846="",Table1[[#This Row],[Estimated LDL (mg/dL)2]]+Table1[[#This Row],[HDL (mg/dL)2]]+(Table1[[#This Row],[Triglycerides]]/5),O846)</f>
        <v>265</v>
      </c>
      <c r="V846">
        <v>124</v>
      </c>
      <c r="W846" s="8">
        <f t="shared" si="192"/>
        <v>124</v>
      </c>
      <c r="X846" t="str">
        <f t="shared" si="193"/>
        <v>Prediabetes</v>
      </c>
      <c r="Y846" t="s">
        <v>23</v>
      </c>
      <c r="Z846" t="s">
        <v>23</v>
      </c>
      <c r="AA846" t="s">
        <v>37</v>
      </c>
      <c r="AB846" s="3" t="s">
        <v>742</v>
      </c>
      <c r="AC846">
        <v>116</v>
      </c>
      <c r="AD846" s="3" t="str">
        <f t="shared" si="194"/>
        <v>116</v>
      </c>
      <c r="AF846" s="3" t="str">
        <f t="shared" si="195"/>
        <v>95</v>
      </c>
      <c r="AG846" t="s">
        <v>38</v>
      </c>
      <c r="AH846" s="3">
        <v>20.66</v>
      </c>
      <c r="AI846" s="3">
        <f t="shared" si="196"/>
        <v>20.66</v>
      </c>
      <c r="AJ846" t="s">
        <v>30</v>
      </c>
      <c r="AK846" t="str">
        <f>PROPER(Table1[[#This Row],[CVD Risk Level]])</f>
        <v>High</v>
      </c>
    </row>
    <row r="847" spans="1:37" x14ac:dyDescent="0.3">
      <c r="A847" t="s">
        <v>31</v>
      </c>
      <c r="B847">
        <v>52</v>
      </c>
      <c r="C847" s="8">
        <f t="shared" si="185"/>
        <v>52</v>
      </c>
      <c r="D847" s="5">
        <v>59.5</v>
      </c>
      <c r="E847" s="8">
        <f t="shared" si="186"/>
        <v>59.5</v>
      </c>
      <c r="F847">
        <v>1.74</v>
      </c>
      <c r="G847" s="3">
        <f t="shared" si="187"/>
        <v>1.74</v>
      </c>
      <c r="H847">
        <v>19.7</v>
      </c>
      <c r="I847" s="5">
        <f t="shared" si="183"/>
        <v>19.7</v>
      </c>
      <c r="J847" s="16" t="str">
        <f t="shared" si="188"/>
        <v>Normal</v>
      </c>
      <c r="L847">
        <v>0.499</v>
      </c>
      <c r="M847" s="11">
        <f t="shared" si="184"/>
        <v>0.499</v>
      </c>
      <c r="N847" s="5">
        <f t="shared" si="189"/>
        <v>86.825999999999993</v>
      </c>
      <c r="O847">
        <v>183</v>
      </c>
      <c r="P847">
        <v>63</v>
      </c>
      <c r="Q847" s="8">
        <f t="shared" si="190"/>
        <v>63</v>
      </c>
      <c r="R847" s="8">
        <v>90</v>
      </c>
      <c r="S847" s="8">
        <f t="shared" si="191"/>
        <v>90</v>
      </c>
      <c r="T847" s="8">
        <f>(Table1[[#This Row],[Total Cholesterol (mg/dL)]]+Table1[[#This Row],[HDL (mg/dL)2]]+Table1[[#This Row],[Estimated LDL (mg/dL)2]])*5</f>
        <v>1680</v>
      </c>
      <c r="U847" s="8">
        <f>IF(O847="",Table1[[#This Row],[Estimated LDL (mg/dL)2]]+Table1[[#This Row],[HDL (mg/dL)2]]+(Table1[[#This Row],[Triglycerides]]/5),O847)</f>
        <v>183</v>
      </c>
      <c r="V847">
        <v>85</v>
      </c>
      <c r="W847" s="8">
        <f t="shared" si="192"/>
        <v>85</v>
      </c>
      <c r="X847" t="str">
        <f t="shared" si="193"/>
        <v>Normal</v>
      </c>
      <c r="Y847" t="s">
        <v>22</v>
      </c>
      <c r="Z847" t="s">
        <v>22</v>
      </c>
      <c r="AA847" t="s">
        <v>37</v>
      </c>
      <c r="AB847" s="3" t="s">
        <v>743</v>
      </c>
      <c r="AC847">
        <v>107</v>
      </c>
      <c r="AD847" s="3" t="str">
        <f t="shared" si="194"/>
        <v>107</v>
      </c>
      <c r="AE847">
        <v>80</v>
      </c>
      <c r="AF847" s="3" t="str">
        <f t="shared" si="195"/>
        <v>80</v>
      </c>
      <c r="AG847" t="s">
        <v>29</v>
      </c>
      <c r="AH847" s="3">
        <v>12.95</v>
      </c>
      <c r="AI847" s="3">
        <f t="shared" si="196"/>
        <v>12.95</v>
      </c>
      <c r="AJ847" t="s">
        <v>26</v>
      </c>
      <c r="AK847" t="str">
        <f>PROPER(Table1[[#This Row],[CVD Risk Level]])</f>
        <v>Intermediary</v>
      </c>
    </row>
    <row r="848" spans="1:37" x14ac:dyDescent="0.3">
      <c r="A848" t="s">
        <v>31</v>
      </c>
      <c r="B848">
        <v>31</v>
      </c>
      <c r="C848" s="8">
        <f t="shared" si="185"/>
        <v>31</v>
      </c>
      <c r="D848" s="5">
        <v>82.5</v>
      </c>
      <c r="E848" s="8">
        <f t="shared" si="186"/>
        <v>82.5</v>
      </c>
      <c r="F848">
        <v>1.74</v>
      </c>
      <c r="G848" s="3">
        <f t="shared" si="187"/>
        <v>1.74</v>
      </c>
      <c r="H848">
        <v>27.2</v>
      </c>
      <c r="I848" s="5">
        <f t="shared" si="183"/>
        <v>27.2</v>
      </c>
      <c r="J848" s="16" t="str">
        <f t="shared" si="188"/>
        <v>Overweight</v>
      </c>
      <c r="K848">
        <v>81.7</v>
      </c>
      <c r="L848">
        <v>0.47</v>
      </c>
      <c r="M848" s="11">
        <f t="shared" si="184"/>
        <v>0.47</v>
      </c>
      <c r="N848" s="5">
        <f t="shared" si="189"/>
        <v>81.7</v>
      </c>
      <c r="O848">
        <v>200</v>
      </c>
      <c r="P848">
        <v>52</v>
      </c>
      <c r="Q848" s="8">
        <f t="shared" si="190"/>
        <v>52</v>
      </c>
      <c r="R848" s="8">
        <v>118</v>
      </c>
      <c r="S848" s="8">
        <f t="shared" si="191"/>
        <v>118</v>
      </c>
      <c r="T848" s="8">
        <f>(Table1[[#This Row],[Total Cholesterol (mg/dL)]]+Table1[[#This Row],[HDL (mg/dL)2]]+Table1[[#This Row],[Estimated LDL (mg/dL)2]])*5</f>
        <v>1850</v>
      </c>
      <c r="U848" s="8">
        <f>IF(O848="",Table1[[#This Row],[Estimated LDL (mg/dL)2]]+Table1[[#This Row],[HDL (mg/dL)2]]+(Table1[[#This Row],[Triglycerides]]/5),O848)</f>
        <v>200</v>
      </c>
      <c r="V848">
        <v>108</v>
      </c>
      <c r="W848" s="8">
        <f t="shared" si="192"/>
        <v>108</v>
      </c>
      <c r="X848" t="str">
        <f t="shared" si="193"/>
        <v>Prediabetes</v>
      </c>
      <c r="Y848" t="s">
        <v>23</v>
      </c>
      <c r="Z848" t="s">
        <v>23</v>
      </c>
      <c r="AA848" t="s">
        <v>24</v>
      </c>
      <c r="AB848" s="3" t="s">
        <v>744</v>
      </c>
      <c r="AC848">
        <v>136</v>
      </c>
      <c r="AD848" s="3" t="str">
        <f t="shared" si="194"/>
        <v>136</v>
      </c>
      <c r="AE848">
        <v>92</v>
      </c>
      <c r="AF848" s="3" t="str">
        <f t="shared" si="195"/>
        <v>92</v>
      </c>
      <c r="AG848" t="s">
        <v>29</v>
      </c>
      <c r="AH848" s="3">
        <v>18.239999999999998</v>
      </c>
      <c r="AI848" s="3">
        <f t="shared" si="196"/>
        <v>18.239999999999998</v>
      </c>
      <c r="AJ848" t="s">
        <v>30</v>
      </c>
      <c r="AK848" t="str">
        <f>PROPER(Table1[[#This Row],[CVD Risk Level]])</f>
        <v>High</v>
      </c>
    </row>
    <row r="849" spans="1:37" x14ac:dyDescent="0.3">
      <c r="A849" t="s">
        <v>31</v>
      </c>
      <c r="B849">
        <v>45</v>
      </c>
      <c r="C849" s="8">
        <f t="shared" si="185"/>
        <v>45</v>
      </c>
      <c r="D849" s="5">
        <v>91.3</v>
      </c>
      <c r="E849" s="8">
        <f t="shared" si="186"/>
        <v>91.3</v>
      </c>
      <c r="F849">
        <v>1.87</v>
      </c>
      <c r="G849" s="3">
        <f t="shared" si="187"/>
        <v>1.87</v>
      </c>
      <c r="H849">
        <v>26.1</v>
      </c>
      <c r="I849" s="5">
        <f t="shared" si="183"/>
        <v>26.1</v>
      </c>
      <c r="J849" s="16" t="str">
        <f t="shared" si="188"/>
        <v>Overweight</v>
      </c>
      <c r="K849">
        <v>80</v>
      </c>
      <c r="L849">
        <v>0.42799999999999999</v>
      </c>
      <c r="M849" s="11">
        <f t="shared" si="184"/>
        <v>0.42799999999999999</v>
      </c>
      <c r="N849" s="5">
        <f t="shared" si="189"/>
        <v>80</v>
      </c>
      <c r="O849">
        <v>271</v>
      </c>
      <c r="P849">
        <v>31</v>
      </c>
      <c r="Q849" s="8">
        <f t="shared" si="190"/>
        <v>31</v>
      </c>
      <c r="R849" s="8">
        <v>210</v>
      </c>
      <c r="S849" s="8">
        <f t="shared" si="191"/>
        <v>210</v>
      </c>
      <c r="T849" s="8">
        <f>(Table1[[#This Row],[Total Cholesterol (mg/dL)]]+Table1[[#This Row],[HDL (mg/dL)2]]+Table1[[#This Row],[Estimated LDL (mg/dL)2]])*5</f>
        <v>2560</v>
      </c>
      <c r="U849" s="8">
        <f>IF(O849="",Table1[[#This Row],[Estimated LDL (mg/dL)2]]+Table1[[#This Row],[HDL (mg/dL)2]]+(Table1[[#This Row],[Triglycerides]]/5),O849)</f>
        <v>271</v>
      </c>
      <c r="V849">
        <v>126</v>
      </c>
      <c r="W849" s="8">
        <f t="shared" si="192"/>
        <v>126</v>
      </c>
      <c r="X849" t="str">
        <f t="shared" si="193"/>
        <v>Diabetes</v>
      </c>
      <c r="Y849" t="s">
        <v>23</v>
      </c>
      <c r="Z849" t="s">
        <v>23</v>
      </c>
      <c r="AA849" t="s">
        <v>28</v>
      </c>
      <c r="AB849" s="3" t="s">
        <v>745</v>
      </c>
      <c r="AC849">
        <v>102</v>
      </c>
      <c r="AD849" s="3" t="str">
        <f t="shared" si="194"/>
        <v>102</v>
      </c>
      <c r="AE849">
        <v>61</v>
      </c>
      <c r="AF849" s="3" t="str">
        <f t="shared" si="195"/>
        <v>61</v>
      </c>
      <c r="AG849" t="s">
        <v>33</v>
      </c>
      <c r="AH849" s="3">
        <v>17.739999999999998</v>
      </c>
      <c r="AI849" s="3">
        <f t="shared" si="196"/>
        <v>17.739999999999998</v>
      </c>
      <c r="AJ849" t="s">
        <v>30</v>
      </c>
      <c r="AK849" t="str">
        <f>PROPER(Table1[[#This Row],[CVD Risk Level]])</f>
        <v>High</v>
      </c>
    </row>
    <row r="850" spans="1:37" x14ac:dyDescent="0.3">
      <c r="A850" t="s">
        <v>20</v>
      </c>
      <c r="B850">
        <v>46</v>
      </c>
      <c r="C850" s="8">
        <f t="shared" si="185"/>
        <v>46</v>
      </c>
      <c r="D850" s="5">
        <v>93.4</v>
      </c>
      <c r="E850" s="8">
        <f t="shared" si="186"/>
        <v>93.4</v>
      </c>
      <c r="F850">
        <v>1.63</v>
      </c>
      <c r="G850" s="3">
        <f t="shared" si="187"/>
        <v>1.63</v>
      </c>
      <c r="H850">
        <v>35.200000000000003</v>
      </c>
      <c r="I850" s="5">
        <f t="shared" si="183"/>
        <v>35.200000000000003</v>
      </c>
      <c r="J850" s="16" t="str">
        <f t="shared" si="188"/>
        <v>Obese</v>
      </c>
      <c r="K850">
        <v>77.599999999999994</v>
      </c>
      <c r="L850">
        <v>0.47599999999999998</v>
      </c>
      <c r="M850" s="11">
        <f t="shared" si="184"/>
        <v>0.47599999999999998</v>
      </c>
      <c r="N850" s="5">
        <f t="shared" si="189"/>
        <v>77.599999999999994</v>
      </c>
      <c r="O850">
        <v>297</v>
      </c>
      <c r="P850">
        <v>48</v>
      </c>
      <c r="Q850" s="8">
        <f t="shared" si="190"/>
        <v>48</v>
      </c>
      <c r="R850" s="8">
        <v>219</v>
      </c>
      <c r="S850" s="8">
        <f t="shared" si="191"/>
        <v>219</v>
      </c>
      <c r="T850" s="8">
        <f>(Table1[[#This Row],[Total Cholesterol (mg/dL)]]+Table1[[#This Row],[HDL (mg/dL)2]]+Table1[[#This Row],[Estimated LDL (mg/dL)2]])*5</f>
        <v>2820</v>
      </c>
      <c r="U850" s="8">
        <f>IF(O850="",Table1[[#This Row],[Estimated LDL (mg/dL)2]]+Table1[[#This Row],[HDL (mg/dL)2]]+(Table1[[#This Row],[Triglycerides]]/5),O850)</f>
        <v>297</v>
      </c>
      <c r="V850">
        <v>147</v>
      </c>
      <c r="W850" s="8">
        <f t="shared" si="192"/>
        <v>147</v>
      </c>
      <c r="X850" t="str">
        <f t="shared" si="193"/>
        <v>Diabetes</v>
      </c>
      <c r="Y850" t="s">
        <v>23</v>
      </c>
      <c r="Z850" t="s">
        <v>22</v>
      </c>
      <c r="AA850" t="s">
        <v>28</v>
      </c>
      <c r="AB850" s="3" t="s">
        <v>746</v>
      </c>
      <c r="AC850">
        <v>116</v>
      </c>
      <c r="AD850" s="3" t="str">
        <f t="shared" si="194"/>
        <v>116</v>
      </c>
      <c r="AE850">
        <v>65</v>
      </c>
      <c r="AF850" s="3" t="str">
        <f t="shared" si="195"/>
        <v>65</v>
      </c>
      <c r="AG850" t="s">
        <v>33</v>
      </c>
      <c r="AH850" s="3">
        <v>18.78</v>
      </c>
      <c r="AI850" s="3">
        <f t="shared" si="196"/>
        <v>18.78</v>
      </c>
      <c r="AJ850" t="s">
        <v>30</v>
      </c>
      <c r="AK850" t="str">
        <f>PROPER(Table1[[#This Row],[CVD Risk Level]])</f>
        <v>High</v>
      </c>
    </row>
    <row r="851" spans="1:37" x14ac:dyDescent="0.3">
      <c r="A851" t="s">
        <v>20</v>
      </c>
      <c r="B851">
        <v>46</v>
      </c>
      <c r="C851" s="8">
        <f t="shared" si="185"/>
        <v>46</v>
      </c>
      <c r="D851" s="5">
        <v>63.7</v>
      </c>
      <c r="E851" s="8">
        <f t="shared" si="186"/>
        <v>63.7</v>
      </c>
      <c r="F851">
        <v>1.84</v>
      </c>
      <c r="G851" s="3">
        <f t="shared" si="187"/>
        <v>1.84</v>
      </c>
      <c r="I851" s="5">
        <f t="shared" si="183"/>
        <v>18.814981096408317</v>
      </c>
      <c r="J851" s="16" t="str">
        <f t="shared" si="188"/>
        <v>Normal</v>
      </c>
      <c r="K851">
        <v>89.7</v>
      </c>
      <c r="L851">
        <v>0.48699999999999999</v>
      </c>
      <c r="M851" s="11">
        <f t="shared" si="184"/>
        <v>0.48699999999999999</v>
      </c>
      <c r="N851" s="5">
        <f t="shared" si="189"/>
        <v>89.7</v>
      </c>
      <c r="O851">
        <v>155</v>
      </c>
      <c r="P851">
        <v>41</v>
      </c>
      <c r="Q851" s="8">
        <f t="shared" si="190"/>
        <v>41</v>
      </c>
      <c r="R851" s="8">
        <v>84</v>
      </c>
      <c r="S851" s="8">
        <f t="shared" si="191"/>
        <v>84</v>
      </c>
      <c r="T851" s="8">
        <f>(Table1[[#This Row],[Total Cholesterol (mg/dL)]]+Table1[[#This Row],[HDL (mg/dL)2]]+Table1[[#This Row],[Estimated LDL (mg/dL)2]])*5</f>
        <v>1400</v>
      </c>
      <c r="U851" s="8">
        <f>IF(O851="",Table1[[#This Row],[Estimated LDL (mg/dL)2]]+Table1[[#This Row],[HDL (mg/dL)2]]+(Table1[[#This Row],[Triglycerides]]/5),O851)</f>
        <v>155</v>
      </c>
      <c r="V851">
        <v>105</v>
      </c>
      <c r="W851" s="8">
        <f t="shared" si="192"/>
        <v>105</v>
      </c>
      <c r="X851" t="str">
        <f t="shared" si="193"/>
        <v>Prediabetes</v>
      </c>
      <c r="Y851" t="s">
        <v>22</v>
      </c>
      <c r="Z851" t="s">
        <v>23</v>
      </c>
      <c r="AA851" t="s">
        <v>24</v>
      </c>
      <c r="AB851" s="3" t="s">
        <v>747</v>
      </c>
      <c r="AC851">
        <v>92</v>
      </c>
      <c r="AD851" s="3" t="str">
        <f t="shared" si="194"/>
        <v>92</v>
      </c>
      <c r="AE851">
        <v>62</v>
      </c>
      <c r="AF851" s="3" t="str">
        <f t="shared" si="195"/>
        <v>62</v>
      </c>
      <c r="AG851" t="s">
        <v>33</v>
      </c>
      <c r="AI851" s="3">
        <f t="shared" si="196"/>
        <v>16.960925291295425</v>
      </c>
      <c r="AJ851" t="s">
        <v>30</v>
      </c>
      <c r="AK851" t="str">
        <f>PROPER(Table1[[#This Row],[CVD Risk Level]])</f>
        <v>High</v>
      </c>
    </row>
    <row r="852" spans="1:37" x14ac:dyDescent="0.3">
      <c r="A852" t="s">
        <v>20</v>
      </c>
      <c r="B852">
        <v>56</v>
      </c>
      <c r="C852" s="8">
        <f t="shared" si="185"/>
        <v>56</v>
      </c>
      <c r="E852" s="8">
        <f t="shared" si="186"/>
        <v>99.962860000000006</v>
      </c>
      <c r="F852">
        <v>1.73</v>
      </c>
      <c r="G852" s="3">
        <f t="shared" si="187"/>
        <v>1.73</v>
      </c>
      <c r="H852">
        <v>33.4</v>
      </c>
      <c r="I852" s="5">
        <f t="shared" si="183"/>
        <v>33.4</v>
      </c>
      <c r="J852" s="16" t="str">
        <f t="shared" si="188"/>
        <v>Obese</v>
      </c>
      <c r="K852">
        <v>93.8</v>
      </c>
      <c r="L852">
        <v>0.54200000000000004</v>
      </c>
      <c r="M852" s="11">
        <f t="shared" si="184"/>
        <v>0.54200000000000004</v>
      </c>
      <c r="N852" s="5">
        <f t="shared" si="189"/>
        <v>93.8</v>
      </c>
      <c r="O852">
        <v>208</v>
      </c>
      <c r="P852">
        <v>61</v>
      </c>
      <c r="Q852" s="8">
        <f t="shared" si="190"/>
        <v>61</v>
      </c>
      <c r="R852" s="8">
        <v>117</v>
      </c>
      <c r="S852" s="8">
        <f t="shared" si="191"/>
        <v>117</v>
      </c>
      <c r="T852" s="8">
        <f>(Table1[[#This Row],[Total Cholesterol (mg/dL)]]+Table1[[#This Row],[HDL (mg/dL)2]]+Table1[[#This Row],[Estimated LDL (mg/dL)2]])*5</f>
        <v>1930</v>
      </c>
      <c r="U852" s="8">
        <f>IF(O852="",Table1[[#This Row],[Estimated LDL (mg/dL)2]]+Table1[[#This Row],[HDL (mg/dL)2]]+(Table1[[#This Row],[Triglycerides]]/5),O852)</f>
        <v>208</v>
      </c>
      <c r="V852">
        <v>79</v>
      </c>
      <c r="W852" s="8">
        <f t="shared" si="192"/>
        <v>79</v>
      </c>
      <c r="X852" t="str">
        <f t="shared" si="193"/>
        <v>Normal</v>
      </c>
      <c r="Y852" t="s">
        <v>22</v>
      </c>
      <c r="Z852" t="s">
        <v>22</v>
      </c>
      <c r="AA852" t="s">
        <v>37</v>
      </c>
      <c r="AB852" s="3" t="s">
        <v>748</v>
      </c>
      <c r="AC852">
        <v>145</v>
      </c>
      <c r="AD852" s="3" t="str">
        <f t="shared" si="194"/>
        <v>145</v>
      </c>
      <c r="AE852">
        <v>79</v>
      </c>
      <c r="AF852" s="3" t="str">
        <f t="shared" si="195"/>
        <v>79</v>
      </c>
      <c r="AG852" t="s">
        <v>38</v>
      </c>
      <c r="AH852" s="3">
        <v>18.09</v>
      </c>
      <c r="AI852" s="3">
        <f t="shared" si="196"/>
        <v>18.09</v>
      </c>
      <c r="AJ852" t="s">
        <v>26</v>
      </c>
      <c r="AK852" t="str">
        <f>PROPER(Table1[[#This Row],[CVD Risk Level]])</f>
        <v>Intermediary</v>
      </c>
    </row>
    <row r="853" spans="1:37" x14ac:dyDescent="0.3">
      <c r="A853" t="s">
        <v>31</v>
      </c>
      <c r="C853" s="8">
        <f t="shared" si="185"/>
        <v>47.025499655410059</v>
      </c>
      <c r="D853" s="5">
        <v>99.4</v>
      </c>
      <c r="E853" s="8">
        <f t="shared" si="186"/>
        <v>99.4</v>
      </c>
      <c r="F853">
        <v>1.61</v>
      </c>
      <c r="G853" s="3">
        <f t="shared" si="187"/>
        <v>1.61</v>
      </c>
      <c r="H853">
        <v>38.299999999999997</v>
      </c>
      <c r="I853" s="5">
        <f t="shared" si="183"/>
        <v>38.299999999999997</v>
      </c>
      <c r="J853" s="16" t="str">
        <f t="shared" si="188"/>
        <v>Obese</v>
      </c>
      <c r="K853">
        <v>99.4</v>
      </c>
      <c r="L853">
        <v>0.61699999999999999</v>
      </c>
      <c r="M853" s="11">
        <f t="shared" si="184"/>
        <v>0.61699999999999999</v>
      </c>
      <c r="N853" s="5">
        <f t="shared" si="189"/>
        <v>99.4</v>
      </c>
      <c r="O853">
        <v>191</v>
      </c>
      <c r="P853">
        <v>71</v>
      </c>
      <c r="Q853" s="8">
        <f t="shared" si="190"/>
        <v>71</v>
      </c>
      <c r="R853" s="8">
        <v>90</v>
      </c>
      <c r="S853" s="8">
        <f>IF(R853&lt;=0,MEDIAN($R$2:$R$1530),R853)</f>
        <v>90</v>
      </c>
      <c r="T853" s="8">
        <f>(Table1[[#This Row],[Total Cholesterol (mg/dL)]]+Table1[[#This Row],[HDL (mg/dL)2]]+Table1[[#This Row],[Estimated LDL (mg/dL)2]])*5</f>
        <v>1760</v>
      </c>
      <c r="U853" s="8">
        <f>IF(O853="",Table1[[#This Row],[Estimated LDL (mg/dL)2]]+Table1[[#This Row],[HDL (mg/dL)2]]+(Table1[[#This Row],[Triglycerides]]/5),O853)</f>
        <v>191</v>
      </c>
      <c r="V853">
        <v>125</v>
      </c>
      <c r="W853" s="8">
        <f t="shared" si="192"/>
        <v>125</v>
      </c>
      <c r="X853" t="str">
        <f t="shared" si="193"/>
        <v>Prediabetes</v>
      </c>
      <c r="Y853" t="s">
        <v>22</v>
      </c>
      <c r="Z853" t="s">
        <v>23</v>
      </c>
      <c r="AA853" t="s">
        <v>24</v>
      </c>
      <c r="AB853" s="3" t="s">
        <v>749</v>
      </c>
      <c r="AD853" s="3" t="str">
        <f t="shared" si="194"/>
        <v>95</v>
      </c>
      <c r="AE853">
        <v>93</v>
      </c>
      <c r="AF853" s="3" t="str">
        <f t="shared" si="195"/>
        <v>93</v>
      </c>
      <c r="AG853" t="s">
        <v>38</v>
      </c>
      <c r="AH853" s="3">
        <v>18.23</v>
      </c>
      <c r="AI853" s="3">
        <f t="shared" si="196"/>
        <v>18.23</v>
      </c>
      <c r="AJ853" t="s">
        <v>26</v>
      </c>
      <c r="AK853" t="str">
        <f>PROPER(Table1[[#This Row],[CVD Risk Level]])</f>
        <v>Intermediary</v>
      </c>
    </row>
    <row r="854" spans="1:37" x14ac:dyDescent="0.3">
      <c r="A854" t="s">
        <v>20</v>
      </c>
      <c r="B854">
        <v>35</v>
      </c>
      <c r="C854" s="8">
        <f t="shared" si="185"/>
        <v>35</v>
      </c>
      <c r="D854" s="5">
        <v>67.5</v>
      </c>
      <c r="E854" s="8">
        <f t="shared" si="186"/>
        <v>67.5</v>
      </c>
      <c r="F854">
        <v>1.73</v>
      </c>
      <c r="G854" s="3">
        <f t="shared" si="187"/>
        <v>1.73</v>
      </c>
      <c r="H854">
        <v>22.6</v>
      </c>
      <c r="I854" s="5">
        <f t="shared" si="183"/>
        <v>22.6</v>
      </c>
      <c r="J854" s="16" t="str">
        <f t="shared" si="188"/>
        <v>Normal</v>
      </c>
      <c r="K854">
        <v>91.9</v>
      </c>
      <c r="L854">
        <v>0.53100000000000003</v>
      </c>
      <c r="M854" s="11">
        <f t="shared" si="184"/>
        <v>0.53100000000000003</v>
      </c>
      <c r="N854" s="5">
        <f t="shared" si="189"/>
        <v>91.9</v>
      </c>
      <c r="O854">
        <v>286</v>
      </c>
      <c r="P854">
        <v>54</v>
      </c>
      <c r="Q854" s="8">
        <f t="shared" si="190"/>
        <v>54</v>
      </c>
      <c r="R854" s="8">
        <v>202</v>
      </c>
      <c r="S854" s="8">
        <f t="shared" si="191"/>
        <v>202</v>
      </c>
      <c r="T854" s="8">
        <f>(Table1[[#This Row],[Total Cholesterol (mg/dL)]]+Table1[[#This Row],[HDL (mg/dL)2]]+Table1[[#This Row],[Estimated LDL (mg/dL)2]])*5</f>
        <v>2710</v>
      </c>
      <c r="U854" s="8">
        <f>IF(O854="",Table1[[#This Row],[Estimated LDL (mg/dL)2]]+Table1[[#This Row],[HDL (mg/dL)2]]+(Table1[[#This Row],[Triglycerides]]/5),O854)</f>
        <v>286</v>
      </c>
      <c r="V854">
        <v>112</v>
      </c>
      <c r="W854" s="8">
        <f t="shared" si="192"/>
        <v>112</v>
      </c>
      <c r="X854" t="str">
        <f t="shared" si="193"/>
        <v>Prediabetes</v>
      </c>
      <c r="Y854" t="s">
        <v>23</v>
      </c>
      <c r="Z854" t="s">
        <v>22</v>
      </c>
      <c r="AA854" t="s">
        <v>24</v>
      </c>
      <c r="AB854" s="3" t="s">
        <v>750</v>
      </c>
      <c r="AC854">
        <v>144</v>
      </c>
      <c r="AD854" s="3" t="str">
        <f t="shared" si="194"/>
        <v>144</v>
      </c>
      <c r="AE854">
        <v>63</v>
      </c>
      <c r="AF854" s="3" t="str">
        <f t="shared" si="195"/>
        <v>63</v>
      </c>
      <c r="AG854" t="s">
        <v>38</v>
      </c>
      <c r="AH854" s="3">
        <v>17.440000000000001</v>
      </c>
      <c r="AI854" s="3">
        <f t="shared" si="196"/>
        <v>17.440000000000001</v>
      </c>
      <c r="AJ854" t="s">
        <v>26</v>
      </c>
      <c r="AK854" t="str">
        <f>PROPER(Table1[[#This Row],[CVD Risk Level]])</f>
        <v>Intermediary</v>
      </c>
    </row>
    <row r="855" spans="1:37" x14ac:dyDescent="0.3">
      <c r="A855" t="s">
        <v>31</v>
      </c>
      <c r="B855">
        <v>46</v>
      </c>
      <c r="C855" s="8">
        <f t="shared" si="185"/>
        <v>46</v>
      </c>
      <c r="D855" s="5">
        <v>99.5</v>
      </c>
      <c r="E855" s="8">
        <f t="shared" si="186"/>
        <v>99.5</v>
      </c>
      <c r="F855">
        <v>1.89</v>
      </c>
      <c r="G855" s="3">
        <f t="shared" si="187"/>
        <v>1.89</v>
      </c>
      <c r="H855">
        <v>27.9</v>
      </c>
      <c r="I855" s="5">
        <f t="shared" si="183"/>
        <v>27.9</v>
      </c>
      <c r="J855" s="16" t="str">
        <f t="shared" si="188"/>
        <v>Overweight</v>
      </c>
      <c r="K855">
        <v>83.7</v>
      </c>
      <c r="L855">
        <v>0.443</v>
      </c>
      <c r="M855" s="11">
        <f t="shared" si="184"/>
        <v>0.443</v>
      </c>
      <c r="N855" s="5">
        <f t="shared" si="189"/>
        <v>83.7</v>
      </c>
      <c r="O855">
        <v>105</v>
      </c>
      <c r="P855">
        <v>33</v>
      </c>
      <c r="Q855" s="8">
        <f t="shared" si="190"/>
        <v>33</v>
      </c>
      <c r="R855" s="8">
        <v>42</v>
      </c>
      <c r="S855" s="8">
        <f t="shared" si="191"/>
        <v>42</v>
      </c>
      <c r="T855" s="8">
        <f>(Table1[[#This Row],[Total Cholesterol (mg/dL)]]+Table1[[#This Row],[HDL (mg/dL)2]]+Table1[[#This Row],[Estimated LDL (mg/dL)2]])*5</f>
        <v>900</v>
      </c>
      <c r="U855" s="8">
        <f>IF(O855="",Table1[[#This Row],[Estimated LDL (mg/dL)2]]+Table1[[#This Row],[HDL (mg/dL)2]]+(Table1[[#This Row],[Triglycerides]]/5),O855)</f>
        <v>105</v>
      </c>
      <c r="V855">
        <v>134</v>
      </c>
      <c r="W855" s="8">
        <f t="shared" si="192"/>
        <v>134</v>
      </c>
      <c r="X855" t="str">
        <f t="shared" si="193"/>
        <v>Diabetes</v>
      </c>
      <c r="Y855" t="s">
        <v>22</v>
      </c>
      <c r="Z855" t="s">
        <v>22</v>
      </c>
      <c r="AA855" t="s">
        <v>24</v>
      </c>
      <c r="AB855" s="3" t="s">
        <v>516</v>
      </c>
      <c r="AC855">
        <v>116</v>
      </c>
      <c r="AD855" s="3" t="str">
        <f t="shared" si="194"/>
        <v>116</v>
      </c>
      <c r="AE855">
        <v>91</v>
      </c>
      <c r="AF855" s="3" t="str">
        <f t="shared" si="195"/>
        <v>91</v>
      </c>
      <c r="AG855" t="s">
        <v>38</v>
      </c>
      <c r="AH855" s="3">
        <v>13.48</v>
      </c>
      <c r="AI855" s="3">
        <f t="shared" si="196"/>
        <v>13.48</v>
      </c>
      <c r="AJ855" t="s">
        <v>30</v>
      </c>
      <c r="AK855" t="str">
        <f>PROPER(Table1[[#This Row],[CVD Risk Level]])</f>
        <v>High</v>
      </c>
    </row>
    <row r="856" spans="1:37" x14ac:dyDescent="0.3">
      <c r="A856" t="s">
        <v>20</v>
      </c>
      <c r="B856">
        <v>34</v>
      </c>
      <c r="C856" s="8">
        <f t="shared" si="185"/>
        <v>34</v>
      </c>
      <c r="D856" s="5">
        <v>70.599999999999994</v>
      </c>
      <c r="E856" s="8">
        <f t="shared" si="186"/>
        <v>70.599999999999994</v>
      </c>
      <c r="F856">
        <v>1.66</v>
      </c>
      <c r="G856" s="3">
        <f t="shared" si="187"/>
        <v>1.66</v>
      </c>
      <c r="H856">
        <v>25.6</v>
      </c>
      <c r="I856" s="5">
        <f t="shared" si="183"/>
        <v>25.6</v>
      </c>
      <c r="J856" s="16" t="str">
        <f t="shared" si="188"/>
        <v>Overweight</v>
      </c>
      <c r="K856">
        <v>86.1</v>
      </c>
      <c r="L856">
        <v>0.51900000000000002</v>
      </c>
      <c r="M856" s="11">
        <f t="shared" si="184"/>
        <v>0.51900000000000002</v>
      </c>
      <c r="N856" s="5">
        <f t="shared" si="189"/>
        <v>86.1</v>
      </c>
      <c r="O856">
        <v>187</v>
      </c>
      <c r="P856">
        <v>65</v>
      </c>
      <c r="Q856" s="8">
        <f t="shared" si="190"/>
        <v>65</v>
      </c>
      <c r="R856" s="8">
        <v>92</v>
      </c>
      <c r="S856" s="8">
        <f t="shared" si="191"/>
        <v>92</v>
      </c>
      <c r="T856" s="8">
        <f>(Table1[[#This Row],[Total Cholesterol (mg/dL)]]+Table1[[#This Row],[HDL (mg/dL)2]]+Table1[[#This Row],[Estimated LDL (mg/dL)2]])*5</f>
        <v>1720</v>
      </c>
      <c r="U856" s="8">
        <f>IF(O856="",Table1[[#This Row],[Estimated LDL (mg/dL)2]]+Table1[[#This Row],[HDL (mg/dL)2]]+(Table1[[#This Row],[Triglycerides]]/5),O856)</f>
        <v>187</v>
      </c>
      <c r="V856">
        <v>75</v>
      </c>
      <c r="W856" s="8">
        <f t="shared" si="192"/>
        <v>75</v>
      </c>
      <c r="X856" t="str">
        <f t="shared" si="193"/>
        <v>Normal</v>
      </c>
      <c r="Y856" t="s">
        <v>23</v>
      </c>
      <c r="Z856" t="s">
        <v>23</v>
      </c>
      <c r="AA856" t="s">
        <v>24</v>
      </c>
      <c r="AB856" s="3" t="s">
        <v>751</v>
      </c>
      <c r="AC856">
        <v>116</v>
      </c>
      <c r="AD856" s="3" t="str">
        <f t="shared" si="194"/>
        <v>116</v>
      </c>
      <c r="AE856">
        <v>85</v>
      </c>
      <c r="AF856" s="3" t="str">
        <f t="shared" si="195"/>
        <v>85</v>
      </c>
      <c r="AG856" t="s">
        <v>29</v>
      </c>
      <c r="AH856" s="3">
        <v>16.66</v>
      </c>
      <c r="AI856" s="3">
        <f t="shared" si="196"/>
        <v>16.66</v>
      </c>
      <c r="AJ856" t="s">
        <v>30</v>
      </c>
      <c r="AK856" t="str">
        <f>PROPER(Table1[[#This Row],[CVD Risk Level]])</f>
        <v>High</v>
      </c>
    </row>
    <row r="857" spans="1:37" x14ac:dyDescent="0.3">
      <c r="A857" t="s">
        <v>31</v>
      </c>
      <c r="B857">
        <v>32</v>
      </c>
      <c r="C857" s="8">
        <f t="shared" si="185"/>
        <v>32</v>
      </c>
      <c r="D857" s="5">
        <v>119.2</v>
      </c>
      <c r="E857" s="8">
        <f t="shared" si="186"/>
        <v>119.2</v>
      </c>
      <c r="F857">
        <v>1.65</v>
      </c>
      <c r="G857" s="3">
        <f t="shared" si="187"/>
        <v>1.65</v>
      </c>
      <c r="H857">
        <v>43.8</v>
      </c>
      <c r="I857" s="5">
        <f t="shared" si="183"/>
        <v>43.8</v>
      </c>
      <c r="J857" s="16" t="str">
        <f t="shared" si="188"/>
        <v>Obese</v>
      </c>
      <c r="K857">
        <v>85</v>
      </c>
      <c r="L857">
        <v>0.51500000000000001</v>
      </c>
      <c r="M857" s="11">
        <f t="shared" si="184"/>
        <v>0.51500000000000001</v>
      </c>
      <c r="N857" s="5">
        <f t="shared" si="189"/>
        <v>85</v>
      </c>
      <c r="O857">
        <v>205</v>
      </c>
      <c r="P857">
        <v>80</v>
      </c>
      <c r="Q857" s="8">
        <f t="shared" si="190"/>
        <v>80</v>
      </c>
      <c r="R857" s="8">
        <v>95</v>
      </c>
      <c r="S857" s="8">
        <f t="shared" si="191"/>
        <v>95</v>
      </c>
      <c r="T857" s="8">
        <f>(Table1[[#This Row],[Total Cholesterol (mg/dL)]]+Table1[[#This Row],[HDL (mg/dL)2]]+Table1[[#This Row],[Estimated LDL (mg/dL)2]])*5</f>
        <v>1900</v>
      </c>
      <c r="U857" s="8">
        <f>IF(O857="",Table1[[#This Row],[Estimated LDL (mg/dL)2]]+Table1[[#This Row],[HDL (mg/dL)2]]+(Table1[[#This Row],[Triglycerides]]/5),O857)</f>
        <v>205</v>
      </c>
      <c r="V857">
        <v>121</v>
      </c>
      <c r="W857" s="8">
        <f t="shared" si="192"/>
        <v>121</v>
      </c>
      <c r="X857" t="str">
        <f t="shared" si="193"/>
        <v>Prediabetes</v>
      </c>
      <c r="Y857" t="s">
        <v>23</v>
      </c>
      <c r="Z857" t="s">
        <v>22</v>
      </c>
      <c r="AA857" t="s">
        <v>37</v>
      </c>
      <c r="AB857" s="3" t="s">
        <v>752</v>
      </c>
      <c r="AC857">
        <v>144</v>
      </c>
      <c r="AD857" s="3" t="str">
        <f t="shared" si="194"/>
        <v>144</v>
      </c>
      <c r="AE857">
        <v>96</v>
      </c>
      <c r="AF857" s="3" t="str">
        <f t="shared" si="195"/>
        <v>96</v>
      </c>
      <c r="AG857" t="s">
        <v>38</v>
      </c>
      <c r="AH857" s="3">
        <v>20.059999999999999</v>
      </c>
      <c r="AI857" s="3">
        <f t="shared" si="196"/>
        <v>20.059999999999999</v>
      </c>
      <c r="AJ857" t="s">
        <v>26</v>
      </c>
      <c r="AK857" t="str">
        <f>PROPER(Table1[[#This Row],[CVD Risk Level]])</f>
        <v>Intermediary</v>
      </c>
    </row>
    <row r="858" spans="1:37" x14ac:dyDescent="0.3">
      <c r="A858" t="s">
        <v>31</v>
      </c>
      <c r="B858">
        <v>40</v>
      </c>
      <c r="C858" s="8">
        <f t="shared" si="185"/>
        <v>40</v>
      </c>
      <c r="D858" s="5">
        <v>82.7</v>
      </c>
      <c r="E858" s="8">
        <f t="shared" si="186"/>
        <v>82.7</v>
      </c>
      <c r="F858">
        <v>1.9</v>
      </c>
      <c r="G858" s="3">
        <f t="shared" si="187"/>
        <v>1.9</v>
      </c>
      <c r="H858">
        <v>22.9</v>
      </c>
      <c r="I858" s="5">
        <f t="shared" si="183"/>
        <v>22.9</v>
      </c>
      <c r="J858" s="16" t="str">
        <f t="shared" si="188"/>
        <v>Normal</v>
      </c>
      <c r="K858">
        <v>95.7</v>
      </c>
      <c r="L858">
        <v>0.504</v>
      </c>
      <c r="M858" s="11">
        <f t="shared" si="184"/>
        <v>0.504</v>
      </c>
      <c r="N858" s="5">
        <f t="shared" si="189"/>
        <v>95.7</v>
      </c>
      <c r="O858">
        <v>119</v>
      </c>
      <c r="P858">
        <v>37</v>
      </c>
      <c r="Q858" s="8">
        <f t="shared" si="190"/>
        <v>37</v>
      </c>
      <c r="R858" s="8">
        <v>52</v>
      </c>
      <c r="S858" s="8">
        <f t="shared" si="191"/>
        <v>52</v>
      </c>
      <c r="T858" s="8">
        <f>(Table1[[#This Row],[Total Cholesterol (mg/dL)]]+Table1[[#This Row],[HDL (mg/dL)2]]+Table1[[#This Row],[Estimated LDL (mg/dL)2]])*5</f>
        <v>1040</v>
      </c>
      <c r="U858" s="8">
        <f>IF(O858="",Table1[[#This Row],[Estimated LDL (mg/dL)2]]+Table1[[#This Row],[HDL (mg/dL)2]]+(Table1[[#This Row],[Triglycerides]]/5),O858)</f>
        <v>119</v>
      </c>
      <c r="V858">
        <v>146</v>
      </c>
      <c r="W858" s="8">
        <f t="shared" si="192"/>
        <v>146</v>
      </c>
      <c r="X858" t="str">
        <f t="shared" si="193"/>
        <v>Diabetes</v>
      </c>
      <c r="Y858" t="s">
        <v>23</v>
      </c>
      <c r="Z858" t="s">
        <v>22</v>
      </c>
      <c r="AA858" t="s">
        <v>37</v>
      </c>
      <c r="AB858" s="3" t="s">
        <v>236</v>
      </c>
      <c r="AC858">
        <v>107</v>
      </c>
      <c r="AD858" s="3" t="str">
        <f t="shared" si="194"/>
        <v>107</v>
      </c>
      <c r="AE858">
        <v>88</v>
      </c>
      <c r="AF858" s="3" t="str">
        <f t="shared" si="195"/>
        <v>88</v>
      </c>
      <c r="AG858" t="s">
        <v>29</v>
      </c>
      <c r="AH858" s="3">
        <v>12.31</v>
      </c>
      <c r="AI858" s="3">
        <f t="shared" si="196"/>
        <v>12.31</v>
      </c>
      <c r="AJ858" t="s">
        <v>26</v>
      </c>
      <c r="AK858" t="str">
        <f>PROPER(Table1[[#This Row],[CVD Risk Level]])</f>
        <v>Intermediary</v>
      </c>
    </row>
    <row r="859" spans="1:37" x14ac:dyDescent="0.3">
      <c r="A859" t="s">
        <v>20</v>
      </c>
      <c r="B859">
        <v>34</v>
      </c>
      <c r="C859" s="8">
        <f t="shared" si="185"/>
        <v>34</v>
      </c>
      <c r="D859" s="5">
        <v>87.5</v>
      </c>
      <c r="E859" s="8">
        <f t="shared" si="186"/>
        <v>87.5</v>
      </c>
      <c r="F859">
        <v>1.73</v>
      </c>
      <c r="G859" s="3">
        <f t="shared" si="187"/>
        <v>1.73</v>
      </c>
      <c r="H859">
        <v>29.2</v>
      </c>
      <c r="I859" s="5">
        <f t="shared" si="183"/>
        <v>29.2</v>
      </c>
      <c r="J859" s="16" t="str">
        <f t="shared" si="188"/>
        <v>Overweight</v>
      </c>
      <c r="K859">
        <v>99.9</v>
      </c>
      <c r="L859">
        <v>0.57699999999999996</v>
      </c>
      <c r="M859" s="11">
        <f t="shared" si="184"/>
        <v>0.57699999999999996</v>
      </c>
      <c r="N859" s="5">
        <f t="shared" si="189"/>
        <v>99.9</v>
      </c>
      <c r="O859">
        <v>135</v>
      </c>
      <c r="P859">
        <v>72</v>
      </c>
      <c r="Q859" s="8">
        <f t="shared" si="190"/>
        <v>72</v>
      </c>
      <c r="R859" s="8">
        <v>33</v>
      </c>
      <c r="S859" s="8">
        <f>IF(R859&lt;=0,MEDIAN($R$2:$R$1530),R859)</f>
        <v>33</v>
      </c>
      <c r="T859" s="8">
        <f>(Table1[[#This Row],[Total Cholesterol (mg/dL)]]+Table1[[#This Row],[HDL (mg/dL)2]]+Table1[[#This Row],[Estimated LDL (mg/dL)2]])*5</f>
        <v>1200</v>
      </c>
      <c r="U859" s="8">
        <f>IF(O859="",Table1[[#This Row],[Estimated LDL (mg/dL)2]]+Table1[[#This Row],[HDL (mg/dL)2]]+(Table1[[#This Row],[Triglycerides]]/5),O859)</f>
        <v>135</v>
      </c>
      <c r="V859">
        <v>110</v>
      </c>
      <c r="W859" s="8">
        <f t="shared" si="192"/>
        <v>110</v>
      </c>
      <c r="X859" t="str">
        <f t="shared" si="193"/>
        <v>Prediabetes</v>
      </c>
      <c r="Y859" t="s">
        <v>22</v>
      </c>
      <c r="Z859" t="s">
        <v>22</v>
      </c>
      <c r="AA859" t="s">
        <v>24</v>
      </c>
      <c r="AB859" s="3" t="s">
        <v>753</v>
      </c>
      <c r="AC859">
        <v>118</v>
      </c>
      <c r="AD859" s="3" t="str">
        <f t="shared" si="194"/>
        <v>118</v>
      </c>
      <c r="AE859">
        <v>96</v>
      </c>
      <c r="AF859" s="3" t="str">
        <f t="shared" si="195"/>
        <v>96</v>
      </c>
      <c r="AG859" t="s">
        <v>38</v>
      </c>
      <c r="AH859" s="3">
        <v>14.44</v>
      </c>
      <c r="AI859" s="3">
        <f t="shared" si="196"/>
        <v>14.44</v>
      </c>
      <c r="AJ859" t="s">
        <v>26</v>
      </c>
      <c r="AK859" t="str">
        <f>PROPER(Table1[[#This Row],[CVD Risk Level]])</f>
        <v>Intermediary</v>
      </c>
    </row>
    <row r="860" spans="1:37" x14ac:dyDescent="0.3">
      <c r="A860" t="s">
        <v>20</v>
      </c>
      <c r="B860">
        <v>56</v>
      </c>
      <c r="C860" s="8">
        <f t="shared" si="185"/>
        <v>56</v>
      </c>
      <c r="D860" s="5">
        <v>56.3</v>
      </c>
      <c r="E860" s="8">
        <f t="shared" si="186"/>
        <v>56.3</v>
      </c>
      <c r="F860">
        <v>1.62</v>
      </c>
      <c r="G860" s="3">
        <f t="shared" si="187"/>
        <v>1.62</v>
      </c>
      <c r="H860">
        <v>21.5</v>
      </c>
      <c r="I860" s="5">
        <f t="shared" si="183"/>
        <v>21.5</v>
      </c>
      <c r="J860" s="16" t="str">
        <f t="shared" si="188"/>
        <v>Normal</v>
      </c>
      <c r="K860">
        <v>84.5</v>
      </c>
      <c r="L860">
        <v>0.52200000000000002</v>
      </c>
      <c r="M860" s="11">
        <f t="shared" si="184"/>
        <v>0.52200000000000002</v>
      </c>
      <c r="N860" s="5">
        <f t="shared" si="189"/>
        <v>84.5</v>
      </c>
      <c r="O860">
        <v>131</v>
      </c>
      <c r="P860">
        <v>61</v>
      </c>
      <c r="Q860" s="8">
        <f t="shared" si="190"/>
        <v>61</v>
      </c>
      <c r="R860" s="8">
        <v>40</v>
      </c>
      <c r="S860" s="8">
        <f t="shared" si="191"/>
        <v>40</v>
      </c>
      <c r="T860" s="8">
        <f>(Table1[[#This Row],[Total Cholesterol (mg/dL)]]+Table1[[#This Row],[HDL (mg/dL)2]]+Table1[[#This Row],[Estimated LDL (mg/dL)2]])*5</f>
        <v>1160</v>
      </c>
      <c r="U860" s="8">
        <f>IF(O860="",Table1[[#This Row],[Estimated LDL (mg/dL)2]]+Table1[[#This Row],[HDL (mg/dL)2]]+(Table1[[#This Row],[Triglycerides]]/5),O860)</f>
        <v>131</v>
      </c>
      <c r="V860">
        <v>73</v>
      </c>
      <c r="W860" s="8">
        <f t="shared" si="192"/>
        <v>73</v>
      </c>
      <c r="X860" t="str">
        <f t="shared" si="193"/>
        <v>Normal</v>
      </c>
      <c r="Y860" t="s">
        <v>22</v>
      </c>
      <c r="Z860" t="s">
        <v>22</v>
      </c>
      <c r="AA860" t="s">
        <v>24</v>
      </c>
      <c r="AB860" s="3" t="s">
        <v>754</v>
      </c>
      <c r="AC860">
        <v>136</v>
      </c>
      <c r="AD860" s="3" t="str">
        <f t="shared" si="194"/>
        <v>136</v>
      </c>
      <c r="AE860">
        <v>75</v>
      </c>
      <c r="AF860" s="3" t="str">
        <f t="shared" si="195"/>
        <v>75</v>
      </c>
      <c r="AG860" t="s">
        <v>29</v>
      </c>
      <c r="AH860" s="3">
        <v>13.72</v>
      </c>
      <c r="AI860" s="3">
        <f t="shared" si="196"/>
        <v>13.72</v>
      </c>
      <c r="AJ860" t="s">
        <v>26</v>
      </c>
      <c r="AK860" t="str">
        <f>PROPER(Table1[[#This Row],[CVD Risk Level]])</f>
        <v>Intermediary</v>
      </c>
    </row>
    <row r="861" spans="1:37" x14ac:dyDescent="0.3">
      <c r="A861" t="s">
        <v>20</v>
      </c>
      <c r="B861">
        <v>46</v>
      </c>
      <c r="C861" s="8">
        <f t="shared" si="185"/>
        <v>46</v>
      </c>
      <c r="D861" s="5">
        <v>81.599999999999994</v>
      </c>
      <c r="E861" s="8">
        <f t="shared" si="186"/>
        <v>81.599999999999994</v>
      </c>
      <c r="F861">
        <v>1.88</v>
      </c>
      <c r="G861" s="3">
        <f t="shared" si="187"/>
        <v>1.88</v>
      </c>
      <c r="H861">
        <v>23.1</v>
      </c>
      <c r="I861" s="5">
        <f t="shared" si="183"/>
        <v>23.1</v>
      </c>
      <c r="J861" s="16" t="str">
        <f t="shared" si="188"/>
        <v>Normal</v>
      </c>
      <c r="K861">
        <v>80.2</v>
      </c>
      <c r="M861" s="11">
        <f t="shared" si="184"/>
        <v>0.4265957446808511</v>
      </c>
      <c r="N861" s="5">
        <f t="shared" si="189"/>
        <v>80.2</v>
      </c>
      <c r="O861">
        <v>130</v>
      </c>
      <c r="P861">
        <v>69</v>
      </c>
      <c r="Q861" s="8">
        <f t="shared" si="190"/>
        <v>69</v>
      </c>
      <c r="R861" s="8">
        <v>31</v>
      </c>
      <c r="S861" s="8">
        <f t="shared" si="191"/>
        <v>31</v>
      </c>
      <c r="T861" s="8">
        <f>(Table1[[#This Row],[Total Cholesterol (mg/dL)]]+Table1[[#This Row],[HDL (mg/dL)2]]+Table1[[#This Row],[Estimated LDL (mg/dL)2]])*5</f>
        <v>1150</v>
      </c>
      <c r="U861" s="8">
        <f>IF(O861="",Table1[[#This Row],[Estimated LDL (mg/dL)2]]+Table1[[#This Row],[HDL (mg/dL)2]]+(Table1[[#This Row],[Triglycerides]]/5),O861)</f>
        <v>130</v>
      </c>
      <c r="V861">
        <v>83</v>
      </c>
      <c r="W861" s="8">
        <f t="shared" si="192"/>
        <v>83</v>
      </c>
      <c r="X861" t="str">
        <f t="shared" si="193"/>
        <v>Normal</v>
      </c>
      <c r="Y861" t="s">
        <v>23</v>
      </c>
      <c r="Z861" t="s">
        <v>23</v>
      </c>
      <c r="AA861" t="s">
        <v>28</v>
      </c>
      <c r="AB861" s="3" t="s">
        <v>755</v>
      </c>
      <c r="AC861">
        <v>117</v>
      </c>
      <c r="AD861" s="3" t="str">
        <f t="shared" si="194"/>
        <v>117</v>
      </c>
      <c r="AE861">
        <v>83</v>
      </c>
      <c r="AF861" s="3" t="str">
        <f t="shared" si="195"/>
        <v>83</v>
      </c>
      <c r="AG861" t="s">
        <v>29</v>
      </c>
      <c r="AI861" s="3">
        <f t="shared" si="196"/>
        <v>16.960925291295425</v>
      </c>
      <c r="AJ861" t="s">
        <v>26</v>
      </c>
      <c r="AK861" t="str">
        <f>PROPER(Table1[[#This Row],[CVD Risk Level]])</f>
        <v>Intermediary</v>
      </c>
    </row>
    <row r="862" spans="1:37" x14ac:dyDescent="0.3">
      <c r="A862" t="s">
        <v>31</v>
      </c>
      <c r="B862">
        <v>43</v>
      </c>
      <c r="C862" s="8">
        <f t="shared" si="185"/>
        <v>43</v>
      </c>
      <c r="D862" s="5">
        <v>117.9</v>
      </c>
      <c r="E862" s="8">
        <f t="shared" si="186"/>
        <v>117.9</v>
      </c>
      <c r="F862">
        <v>1.9</v>
      </c>
      <c r="G862" s="3">
        <f t="shared" si="187"/>
        <v>1.9</v>
      </c>
      <c r="H862">
        <v>32.700000000000003</v>
      </c>
      <c r="I862" s="5">
        <f t="shared" si="183"/>
        <v>32.700000000000003</v>
      </c>
      <c r="J862" s="16" t="str">
        <f t="shared" si="188"/>
        <v>Obese</v>
      </c>
      <c r="K862">
        <v>93.1</v>
      </c>
      <c r="L862">
        <v>0.49</v>
      </c>
      <c r="M862" s="11">
        <f t="shared" si="184"/>
        <v>0.49</v>
      </c>
      <c r="N862" s="5">
        <f t="shared" si="189"/>
        <v>93.1</v>
      </c>
      <c r="O862">
        <v>293</v>
      </c>
      <c r="P862">
        <v>69</v>
      </c>
      <c r="Q862" s="8">
        <f t="shared" si="190"/>
        <v>69</v>
      </c>
      <c r="R862" s="8">
        <v>194</v>
      </c>
      <c r="S862" s="8">
        <f t="shared" si="191"/>
        <v>194</v>
      </c>
      <c r="T862" s="8">
        <f>(Table1[[#This Row],[Total Cholesterol (mg/dL)]]+Table1[[#This Row],[HDL (mg/dL)2]]+Table1[[#This Row],[Estimated LDL (mg/dL)2]])*5</f>
        <v>2780</v>
      </c>
      <c r="U862" s="8">
        <f>IF(O862="",Table1[[#This Row],[Estimated LDL (mg/dL)2]]+Table1[[#This Row],[HDL (mg/dL)2]]+(Table1[[#This Row],[Triglycerides]]/5),O862)</f>
        <v>293</v>
      </c>
      <c r="V862">
        <v>125</v>
      </c>
      <c r="W862" s="8">
        <f t="shared" si="192"/>
        <v>125</v>
      </c>
      <c r="X862" t="str">
        <f t="shared" si="193"/>
        <v>Prediabetes</v>
      </c>
      <c r="Y862" t="s">
        <v>22</v>
      </c>
      <c r="Z862" t="s">
        <v>22</v>
      </c>
      <c r="AA862" t="s">
        <v>37</v>
      </c>
      <c r="AB862" s="3" t="s">
        <v>756</v>
      </c>
      <c r="AC862">
        <v>127</v>
      </c>
      <c r="AD862" s="3" t="str">
        <f t="shared" si="194"/>
        <v>127</v>
      </c>
      <c r="AE862">
        <v>99</v>
      </c>
      <c r="AF862" s="3" t="str">
        <f t="shared" si="195"/>
        <v>99</v>
      </c>
      <c r="AG862" t="s">
        <v>38</v>
      </c>
      <c r="AH862" s="3">
        <v>18.75</v>
      </c>
      <c r="AI862" s="3">
        <f t="shared" si="196"/>
        <v>18.75</v>
      </c>
      <c r="AJ862" t="s">
        <v>26</v>
      </c>
      <c r="AK862" t="str">
        <f>PROPER(Table1[[#This Row],[CVD Risk Level]])</f>
        <v>Intermediary</v>
      </c>
    </row>
    <row r="863" spans="1:37" x14ac:dyDescent="0.3">
      <c r="A863" t="s">
        <v>20</v>
      </c>
      <c r="B863">
        <v>43</v>
      </c>
      <c r="C863" s="8">
        <f t="shared" si="185"/>
        <v>43</v>
      </c>
      <c r="D863" s="5">
        <v>114.2</v>
      </c>
      <c r="E863" s="8">
        <f t="shared" si="186"/>
        <v>114.2</v>
      </c>
      <c r="G863" s="3">
        <f t="shared" si="187"/>
        <v>1.6709805621609739</v>
      </c>
      <c r="H863">
        <v>40.9</v>
      </c>
      <c r="I863" s="5">
        <f t="shared" si="183"/>
        <v>40.9</v>
      </c>
      <c r="J863" s="16" t="str">
        <f t="shared" si="188"/>
        <v>Obese</v>
      </c>
      <c r="K863">
        <v>91.1</v>
      </c>
      <c r="L863">
        <v>0.54600000000000004</v>
      </c>
      <c r="M863" s="11">
        <f t="shared" si="184"/>
        <v>0.54600000000000004</v>
      </c>
      <c r="N863" s="5">
        <f t="shared" si="189"/>
        <v>91.1</v>
      </c>
      <c r="O863">
        <v>263</v>
      </c>
      <c r="P863">
        <v>70</v>
      </c>
      <c r="Q863" s="8">
        <f t="shared" si="190"/>
        <v>70</v>
      </c>
      <c r="R863" s="8">
        <v>163</v>
      </c>
      <c r="S863" s="8">
        <f t="shared" si="191"/>
        <v>163</v>
      </c>
      <c r="T863" s="8">
        <f>(Table1[[#This Row],[Total Cholesterol (mg/dL)]]+Table1[[#This Row],[HDL (mg/dL)2]]+Table1[[#This Row],[Estimated LDL (mg/dL)2]])*5</f>
        <v>2480</v>
      </c>
      <c r="U863" s="8">
        <f>IF(O863="",Table1[[#This Row],[Estimated LDL (mg/dL)2]]+Table1[[#This Row],[HDL (mg/dL)2]]+(Table1[[#This Row],[Triglycerides]]/5),O863)</f>
        <v>263</v>
      </c>
      <c r="V863">
        <v>78</v>
      </c>
      <c r="W863" s="8">
        <f t="shared" si="192"/>
        <v>78</v>
      </c>
      <c r="X863" t="str">
        <f t="shared" si="193"/>
        <v>Normal</v>
      </c>
      <c r="Y863" t="s">
        <v>23</v>
      </c>
      <c r="Z863" t="s">
        <v>23</v>
      </c>
      <c r="AA863" t="s">
        <v>24</v>
      </c>
      <c r="AB863" s="3" t="s">
        <v>757</v>
      </c>
      <c r="AC863">
        <v>146</v>
      </c>
      <c r="AD863" s="3" t="str">
        <f t="shared" si="194"/>
        <v>146</v>
      </c>
      <c r="AE863">
        <v>60</v>
      </c>
      <c r="AF863" s="3" t="str">
        <f t="shared" si="195"/>
        <v>60</v>
      </c>
      <c r="AG863" t="s">
        <v>38</v>
      </c>
      <c r="AH863" s="3">
        <v>22.74</v>
      </c>
      <c r="AI863" s="3">
        <f t="shared" si="196"/>
        <v>22.74</v>
      </c>
      <c r="AJ863" t="s">
        <v>30</v>
      </c>
      <c r="AK863" t="str">
        <f>PROPER(Table1[[#This Row],[CVD Risk Level]])</f>
        <v>High</v>
      </c>
    </row>
    <row r="864" spans="1:37" x14ac:dyDescent="0.3">
      <c r="A864" t="s">
        <v>31</v>
      </c>
      <c r="B864">
        <v>32</v>
      </c>
      <c r="C864" s="8">
        <f t="shared" si="185"/>
        <v>32</v>
      </c>
      <c r="D864" s="5">
        <v>111.1</v>
      </c>
      <c r="E864" s="8">
        <f t="shared" si="186"/>
        <v>111.1</v>
      </c>
      <c r="F864">
        <v>1.72</v>
      </c>
      <c r="G864" s="3">
        <f t="shared" si="187"/>
        <v>1.72</v>
      </c>
      <c r="H864">
        <v>37.6</v>
      </c>
      <c r="I864" s="5">
        <f t="shared" si="183"/>
        <v>37.6</v>
      </c>
      <c r="J864" s="16" t="str">
        <f t="shared" si="188"/>
        <v>Obese</v>
      </c>
      <c r="K864">
        <v>86.9</v>
      </c>
      <c r="L864">
        <v>0.505</v>
      </c>
      <c r="M864" s="11">
        <f t="shared" si="184"/>
        <v>0.505</v>
      </c>
      <c r="N864" s="5">
        <f t="shared" si="189"/>
        <v>86.9</v>
      </c>
      <c r="O864">
        <v>246</v>
      </c>
      <c r="P864">
        <v>61</v>
      </c>
      <c r="Q864" s="8">
        <f t="shared" si="190"/>
        <v>61</v>
      </c>
      <c r="R864" s="8">
        <v>155</v>
      </c>
      <c r="S864" s="8">
        <f t="shared" si="191"/>
        <v>155</v>
      </c>
      <c r="T864" s="8">
        <f>(Table1[[#This Row],[Total Cholesterol (mg/dL)]]+Table1[[#This Row],[HDL (mg/dL)2]]+Table1[[#This Row],[Estimated LDL (mg/dL)2]])*5</f>
        <v>2310</v>
      </c>
      <c r="U864" s="8">
        <f>IF(O864="",Table1[[#This Row],[Estimated LDL (mg/dL)2]]+Table1[[#This Row],[HDL (mg/dL)2]]+(Table1[[#This Row],[Triglycerides]]/5),O864)</f>
        <v>246</v>
      </c>
      <c r="V864">
        <v>98</v>
      </c>
      <c r="W864" s="8">
        <f t="shared" si="192"/>
        <v>98</v>
      </c>
      <c r="X864" t="str">
        <f t="shared" si="193"/>
        <v>Normal</v>
      </c>
      <c r="Y864" t="s">
        <v>23</v>
      </c>
      <c r="Z864" t="s">
        <v>22</v>
      </c>
      <c r="AA864" t="s">
        <v>24</v>
      </c>
      <c r="AB864" s="3" t="s">
        <v>758</v>
      </c>
      <c r="AC864">
        <v>138</v>
      </c>
      <c r="AD864" s="3" t="str">
        <f t="shared" si="194"/>
        <v>138</v>
      </c>
      <c r="AE864">
        <v>68</v>
      </c>
      <c r="AF864" s="3" t="str">
        <f t="shared" si="195"/>
        <v>68</v>
      </c>
      <c r="AG864" t="s">
        <v>29</v>
      </c>
      <c r="AH864" s="3">
        <v>19.34</v>
      </c>
      <c r="AI864" s="3">
        <f t="shared" si="196"/>
        <v>19.34</v>
      </c>
      <c r="AJ864" t="s">
        <v>30</v>
      </c>
      <c r="AK864" t="str">
        <f>PROPER(Table1[[#This Row],[CVD Risk Level]])</f>
        <v>High</v>
      </c>
    </row>
    <row r="865" spans="1:37" x14ac:dyDescent="0.3">
      <c r="A865" t="s">
        <v>20</v>
      </c>
      <c r="B865">
        <v>48</v>
      </c>
      <c r="C865" s="8">
        <f t="shared" si="185"/>
        <v>48</v>
      </c>
      <c r="D865" s="5">
        <v>102.2</v>
      </c>
      <c r="E865" s="8">
        <f t="shared" si="186"/>
        <v>102.2</v>
      </c>
      <c r="F865">
        <v>1.83</v>
      </c>
      <c r="G865" s="3">
        <f t="shared" si="187"/>
        <v>1.83</v>
      </c>
      <c r="H865">
        <v>30.5</v>
      </c>
      <c r="I865" s="5">
        <f t="shared" si="183"/>
        <v>30.5</v>
      </c>
      <c r="J865" s="16" t="str">
        <f t="shared" si="188"/>
        <v>Obese</v>
      </c>
      <c r="K865">
        <v>109.1</v>
      </c>
      <c r="L865">
        <v>0.59599999999999997</v>
      </c>
      <c r="M865" s="11">
        <f t="shared" si="184"/>
        <v>0.59599999999999997</v>
      </c>
      <c r="N865" s="5">
        <f t="shared" si="189"/>
        <v>109.1</v>
      </c>
      <c r="O865">
        <v>191</v>
      </c>
      <c r="P865">
        <v>37</v>
      </c>
      <c r="Q865" s="8">
        <f t="shared" si="190"/>
        <v>37</v>
      </c>
      <c r="R865" s="8">
        <v>124</v>
      </c>
      <c r="S865" s="8">
        <f t="shared" si="191"/>
        <v>124</v>
      </c>
      <c r="T865" s="8">
        <f>(Table1[[#This Row],[Total Cholesterol (mg/dL)]]+Table1[[#This Row],[HDL (mg/dL)2]]+Table1[[#This Row],[Estimated LDL (mg/dL)2]])*5</f>
        <v>1760</v>
      </c>
      <c r="U865" s="8">
        <f>IF(O865="",Table1[[#This Row],[Estimated LDL (mg/dL)2]]+Table1[[#This Row],[HDL (mg/dL)2]]+(Table1[[#This Row],[Triglycerides]]/5),O865)</f>
        <v>191</v>
      </c>
      <c r="V865">
        <v>99</v>
      </c>
      <c r="W865" s="8">
        <f t="shared" si="192"/>
        <v>99</v>
      </c>
      <c r="X865" t="str">
        <f t="shared" si="193"/>
        <v>Normal</v>
      </c>
      <c r="Y865" t="s">
        <v>23</v>
      </c>
      <c r="Z865" t="s">
        <v>23</v>
      </c>
      <c r="AA865" t="s">
        <v>24</v>
      </c>
      <c r="AB865" s="3" t="s">
        <v>759</v>
      </c>
      <c r="AC865">
        <v>118</v>
      </c>
      <c r="AD865" s="3" t="str">
        <f t="shared" si="194"/>
        <v>118</v>
      </c>
      <c r="AE865">
        <v>67</v>
      </c>
      <c r="AF865" s="3" t="str">
        <f t="shared" si="195"/>
        <v>67</v>
      </c>
      <c r="AG865" t="s">
        <v>33</v>
      </c>
      <c r="AH865" s="3">
        <v>17.82</v>
      </c>
      <c r="AI865" s="3">
        <f t="shared" si="196"/>
        <v>17.82</v>
      </c>
      <c r="AJ865" t="s">
        <v>30</v>
      </c>
      <c r="AK865" t="str">
        <f>PROPER(Table1[[#This Row],[CVD Risk Level]])</f>
        <v>High</v>
      </c>
    </row>
    <row r="866" spans="1:37" x14ac:dyDescent="0.3">
      <c r="A866" t="s">
        <v>31</v>
      </c>
      <c r="B866">
        <v>42</v>
      </c>
      <c r="C866" s="8">
        <f t="shared" si="185"/>
        <v>42</v>
      </c>
      <c r="D866" s="5">
        <v>60.3</v>
      </c>
      <c r="E866" s="8">
        <f t="shared" si="186"/>
        <v>60.3</v>
      </c>
      <c r="F866">
        <v>1.78</v>
      </c>
      <c r="G866" s="3">
        <f t="shared" si="187"/>
        <v>1.78</v>
      </c>
      <c r="H866">
        <v>19</v>
      </c>
      <c r="I866" s="5">
        <f t="shared" si="183"/>
        <v>19</v>
      </c>
      <c r="J866" s="16" t="str">
        <f t="shared" si="188"/>
        <v>Normal</v>
      </c>
      <c r="K866">
        <v>108.4</v>
      </c>
      <c r="L866">
        <v>0.60899999999999999</v>
      </c>
      <c r="M866" s="11">
        <f t="shared" si="184"/>
        <v>0.60899999999999999</v>
      </c>
      <c r="N866" s="5">
        <f t="shared" si="189"/>
        <v>108.4</v>
      </c>
      <c r="O866">
        <v>123</v>
      </c>
      <c r="P866">
        <v>35</v>
      </c>
      <c r="Q866" s="8">
        <f t="shared" si="190"/>
        <v>35</v>
      </c>
      <c r="R866" s="8">
        <v>58</v>
      </c>
      <c r="S866" s="8">
        <f t="shared" si="191"/>
        <v>58</v>
      </c>
      <c r="T866" s="8">
        <f>(Table1[[#This Row],[Total Cholesterol (mg/dL)]]+Table1[[#This Row],[HDL (mg/dL)2]]+Table1[[#This Row],[Estimated LDL (mg/dL)2]])*5</f>
        <v>1080</v>
      </c>
      <c r="U866" s="8">
        <f>IF(O866="",Table1[[#This Row],[Estimated LDL (mg/dL)2]]+Table1[[#This Row],[HDL (mg/dL)2]]+(Table1[[#This Row],[Triglycerides]]/5),O866)</f>
        <v>123</v>
      </c>
      <c r="V866">
        <v>101</v>
      </c>
      <c r="W866" s="8">
        <f t="shared" si="192"/>
        <v>101</v>
      </c>
      <c r="X866" t="str">
        <f t="shared" si="193"/>
        <v>Prediabetes</v>
      </c>
      <c r="Y866" t="s">
        <v>23</v>
      </c>
      <c r="Z866" t="s">
        <v>22</v>
      </c>
      <c r="AA866" t="s">
        <v>28</v>
      </c>
      <c r="AB866" s="3" t="s">
        <v>760</v>
      </c>
      <c r="AC866">
        <v>128</v>
      </c>
      <c r="AD866" s="3" t="str">
        <f t="shared" si="194"/>
        <v>128</v>
      </c>
      <c r="AE866">
        <v>60</v>
      </c>
      <c r="AF866" s="3" t="str">
        <f t="shared" si="195"/>
        <v>60</v>
      </c>
      <c r="AG866" t="s">
        <v>25</v>
      </c>
      <c r="AH866" s="3">
        <v>12.66</v>
      </c>
      <c r="AI866" s="3">
        <f t="shared" si="196"/>
        <v>12.66</v>
      </c>
      <c r="AJ866" t="s">
        <v>26</v>
      </c>
      <c r="AK866" t="str">
        <f>PROPER(Table1[[#This Row],[CVD Risk Level]])</f>
        <v>Intermediary</v>
      </c>
    </row>
    <row r="867" spans="1:37" x14ac:dyDescent="0.3">
      <c r="A867" t="s">
        <v>31</v>
      </c>
      <c r="B867">
        <v>36</v>
      </c>
      <c r="C867" s="8">
        <f t="shared" si="185"/>
        <v>36</v>
      </c>
      <c r="D867" s="5">
        <v>68.099999999999994</v>
      </c>
      <c r="E867" s="8">
        <f t="shared" si="186"/>
        <v>68.099999999999994</v>
      </c>
      <c r="F867">
        <v>1.76</v>
      </c>
      <c r="G867" s="3">
        <f t="shared" si="187"/>
        <v>1.76</v>
      </c>
      <c r="H867">
        <v>22</v>
      </c>
      <c r="I867" s="5">
        <f t="shared" si="183"/>
        <v>22</v>
      </c>
      <c r="J867" s="16" t="str">
        <f t="shared" si="188"/>
        <v>Normal</v>
      </c>
      <c r="K867">
        <v>80.099999999999994</v>
      </c>
      <c r="L867">
        <v>0.45500000000000002</v>
      </c>
      <c r="M867" s="11">
        <f t="shared" si="184"/>
        <v>0.45500000000000002</v>
      </c>
      <c r="N867" s="5">
        <f t="shared" si="189"/>
        <v>80.099999999999994</v>
      </c>
      <c r="O867">
        <v>202</v>
      </c>
      <c r="P867">
        <v>59</v>
      </c>
      <c r="Q867" s="8">
        <f t="shared" si="190"/>
        <v>59</v>
      </c>
      <c r="R867" s="8">
        <v>113</v>
      </c>
      <c r="S867" s="8">
        <f t="shared" si="191"/>
        <v>113</v>
      </c>
      <c r="T867" s="8">
        <f>(Table1[[#This Row],[Total Cholesterol (mg/dL)]]+Table1[[#This Row],[HDL (mg/dL)2]]+Table1[[#This Row],[Estimated LDL (mg/dL)2]])*5</f>
        <v>1870</v>
      </c>
      <c r="U867" s="8">
        <f>IF(O867="",Table1[[#This Row],[Estimated LDL (mg/dL)2]]+Table1[[#This Row],[HDL (mg/dL)2]]+(Table1[[#This Row],[Triglycerides]]/5),O867)</f>
        <v>202</v>
      </c>
      <c r="V867">
        <v>91</v>
      </c>
      <c r="W867" s="8">
        <f t="shared" si="192"/>
        <v>91</v>
      </c>
      <c r="X867" t="str">
        <f t="shared" si="193"/>
        <v>Normal</v>
      </c>
      <c r="Y867" t="s">
        <v>23</v>
      </c>
      <c r="Z867" t="s">
        <v>22</v>
      </c>
      <c r="AA867" t="s">
        <v>24</v>
      </c>
      <c r="AB867" s="3" t="s">
        <v>761</v>
      </c>
      <c r="AC867">
        <v>111</v>
      </c>
      <c r="AD867" s="3" t="str">
        <f t="shared" si="194"/>
        <v>111</v>
      </c>
      <c r="AE867">
        <v>77</v>
      </c>
      <c r="AF867" s="3" t="str">
        <f t="shared" si="195"/>
        <v>77</v>
      </c>
      <c r="AG867" t="s">
        <v>33</v>
      </c>
      <c r="AH867" s="3">
        <v>13.99</v>
      </c>
      <c r="AI867" s="3">
        <f t="shared" si="196"/>
        <v>13.99</v>
      </c>
      <c r="AJ867" t="s">
        <v>26</v>
      </c>
      <c r="AK867" t="str">
        <f>PROPER(Table1[[#This Row],[CVD Risk Level]])</f>
        <v>Intermediary</v>
      </c>
    </row>
    <row r="868" spans="1:37" x14ac:dyDescent="0.3">
      <c r="A868" t="s">
        <v>20</v>
      </c>
      <c r="B868">
        <v>43</v>
      </c>
      <c r="C868" s="8">
        <f t="shared" si="185"/>
        <v>43</v>
      </c>
      <c r="D868" s="5">
        <v>58</v>
      </c>
      <c r="E868" s="8">
        <f t="shared" si="186"/>
        <v>58</v>
      </c>
      <c r="F868">
        <v>1.85</v>
      </c>
      <c r="G868" s="3">
        <f t="shared" si="187"/>
        <v>1.85</v>
      </c>
      <c r="H868">
        <v>16.899999999999999</v>
      </c>
      <c r="I868" s="5">
        <f t="shared" si="183"/>
        <v>16.899999999999999</v>
      </c>
      <c r="J868" s="16" t="str">
        <f t="shared" si="188"/>
        <v>Underweight</v>
      </c>
      <c r="K868">
        <v>74.599999999999994</v>
      </c>
      <c r="L868">
        <v>0.40300000000000002</v>
      </c>
      <c r="M868" s="11">
        <f t="shared" si="184"/>
        <v>0.40300000000000002</v>
      </c>
      <c r="N868" s="5">
        <f t="shared" si="189"/>
        <v>74.599999999999994</v>
      </c>
      <c r="O868">
        <v>218</v>
      </c>
      <c r="P868">
        <v>78</v>
      </c>
      <c r="Q868" s="8">
        <f t="shared" si="190"/>
        <v>78</v>
      </c>
      <c r="R868" s="8">
        <v>110</v>
      </c>
      <c r="S868" s="8">
        <f t="shared" si="191"/>
        <v>110</v>
      </c>
      <c r="T868" s="8">
        <f>(Table1[[#This Row],[Total Cholesterol (mg/dL)]]+Table1[[#This Row],[HDL (mg/dL)2]]+Table1[[#This Row],[Estimated LDL (mg/dL)2]])*5</f>
        <v>2030</v>
      </c>
      <c r="U868" s="8">
        <f>IF(O868="",Table1[[#This Row],[Estimated LDL (mg/dL)2]]+Table1[[#This Row],[HDL (mg/dL)2]]+(Table1[[#This Row],[Triglycerides]]/5),O868)</f>
        <v>218</v>
      </c>
      <c r="V868">
        <v>88</v>
      </c>
      <c r="W868" s="8">
        <f t="shared" si="192"/>
        <v>88</v>
      </c>
      <c r="X868" t="str">
        <f t="shared" si="193"/>
        <v>Normal</v>
      </c>
      <c r="Y868" t="s">
        <v>22</v>
      </c>
      <c r="Z868" t="s">
        <v>22</v>
      </c>
      <c r="AA868" t="s">
        <v>37</v>
      </c>
      <c r="AB868" s="3" t="s">
        <v>762</v>
      </c>
      <c r="AC868">
        <v>102</v>
      </c>
      <c r="AD868" s="3" t="str">
        <f t="shared" si="194"/>
        <v>102</v>
      </c>
      <c r="AE868">
        <v>92</v>
      </c>
      <c r="AF868" s="3" t="str">
        <f t="shared" si="195"/>
        <v>92</v>
      </c>
      <c r="AG868" t="s">
        <v>38</v>
      </c>
      <c r="AI868" s="3">
        <f t="shared" si="196"/>
        <v>16.960925291295425</v>
      </c>
      <c r="AJ868" t="s">
        <v>52</v>
      </c>
      <c r="AK868" t="str">
        <f>PROPER(Table1[[#This Row],[CVD Risk Level]])</f>
        <v>Low</v>
      </c>
    </row>
    <row r="869" spans="1:37" x14ac:dyDescent="0.3">
      <c r="A869" t="s">
        <v>20</v>
      </c>
      <c r="B869">
        <v>50</v>
      </c>
      <c r="C869" s="8">
        <f t="shared" si="185"/>
        <v>50</v>
      </c>
      <c r="D869" s="5">
        <v>90.8</v>
      </c>
      <c r="E869" s="8">
        <f t="shared" si="186"/>
        <v>90.8</v>
      </c>
      <c r="F869">
        <v>1.86</v>
      </c>
      <c r="G869" s="3">
        <f t="shared" si="187"/>
        <v>1.86</v>
      </c>
      <c r="H869">
        <v>26.2</v>
      </c>
      <c r="I869" s="5">
        <f t="shared" si="183"/>
        <v>26.2</v>
      </c>
      <c r="J869" s="16" t="str">
        <f t="shared" si="188"/>
        <v>Overweight</v>
      </c>
      <c r="K869">
        <v>71.099999999999994</v>
      </c>
      <c r="L869">
        <v>0.38200000000000001</v>
      </c>
      <c r="M869" s="11">
        <f t="shared" si="184"/>
        <v>0.38200000000000001</v>
      </c>
      <c r="N869" s="5">
        <f t="shared" si="189"/>
        <v>71.099999999999994</v>
      </c>
      <c r="O869">
        <v>100</v>
      </c>
      <c r="Q869" s="8">
        <f t="shared" si="190"/>
        <v>56.197377501725327</v>
      </c>
      <c r="R869" s="8">
        <v>28</v>
      </c>
      <c r="S869" s="8">
        <f t="shared" si="191"/>
        <v>28</v>
      </c>
      <c r="T869" s="8">
        <f>(Table1[[#This Row],[Total Cholesterol (mg/dL)]]+Table1[[#This Row],[HDL (mg/dL)2]]+Table1[[#This Row],[Estimated LDL (mg/dL)2]])*5</f>
        <v>920.98688750862664</v>
      </c>
      <c r="U869" s="8">
        <f>IF(O869="",Table1[[#This Row],[Estimated LDL (mg/dL)2]]+Table1[[#This Row],[HDL (mg/dL)2]]+(Table1[[#This Row],[Triglycerides]]/5),O869)</f>
        <v>100</v>
      </c>
      <c r="V869">
        <v>121</v>
      </c>
      <c r="W869" s="8">
        <f t="shared" si="192"/>
        <v>121</v>
      </c>
      <c r="X869" t="str">
        <f t="shared" si="193"/>
        <v>Prediabetes</v>
      </c>
      <c r="Y869" t="s">
        <v>22</v>
      </c>
      <c r="Z869" t="s">
        <v>22</v>
      </c>
      <c r="AA869" t="s">
        <v>24</v>
      </c>
      <c r="AB869" s="3" t="s">
        <v>423</v>
      </c>
      <c r="AC869">
        <v>141</v>
      </c>
      <c r="AD869" s="3" t="str">
        <f t="shared" si="194"/>
        <v>141</v>
      </c>
      <c r="AE869">
        <v>70</v>
      </c>
      <c r="AF869" s="3" t="str">
        <f t="shared" si="195"/>
        <v>70</v>
      </c>
      <c r="AG869" t="s">
        <v>38</v>
      </c>
      <c r="AH869" s="3">
        <v>14.29</v>
      </c>
      <c r="AI869" s="3">
        <f t="shared" si="196"/>
        <v>14.29</v>
      </c>
      <c r="AJ869" t="s">
        <v>26</v>
      </c>
      <c r="AK869" t="str">
        <f>PROPER(Table1[[#This Row],[CVD Risk Level]])</f>
        <v>Intermediary</v>
      </c>
    </row>
    <row r="870" spans="1:37" x14ac:dyDescent="0.3">
      <c r="A870" t="s">
        <v>31</v>
      </c>
      <c r="B870">
        <v>59</v>
      </c>
      <c r="C870" s="8">
        <f t="shared" si="185"/>
        <v>59</v>
      </c>
      <c r="D870" s="5">
        <v>70.5</v>
      </c>
      <c r="E870" s="8">
        <f t="shared" si="186"/>
        <v>70.5</v>
      </c>
      <c r="F870">
        <v>1.61</v>
      </c>
      <c r="G870" s="3">
        <f t="shared" si="187"/>
        <v>1.61</v>
      </c>
      <c r="H870">
        <v>27.2</v>
      </c>
      <c r="I870" s="5">
        <f t="shared" si="183"/>
        <v>27.2</v>
      </c>
      <c r="J870" s="16" t="str">
        <f t="shared" si="188"/>
        <v>Overweight</v>
      </c>
      <c r="K870">
        <v>107.3</v>
      </c>
      <c r="L870">
        <v>0.66600000000000004</v>
      </c>
      <c r="M870" s="11">
        <f t="shared" si="184"/>
        <v>0.66600000000000004</v>
      </c>
      <c r="N870" s="5">
        <f t="shared" si="189"/>
        <v>107.3</v>
      </c>
      <c r="O870">
        <v>219</v>
      </c>
      <c r="P870">
        <v>71</v>
      </c>
      <c r="Q870" s="8">
        <f t="shared" si="190"/>
        <v>71</v>
      </c>
      <c r="R870" s="8">
        <v>118</v>
      </c>
      <c r="S870" s="8">
        <f t="shared" si="191"/>
        <v>118</v>
      </c>
      <c r="T870" s="8">
        <f>(Table1[[#This Row],[Total Cholesterol (mg/dL)]]+Table1[[#This Row],[HDL (mg/dL)2]]+Table1[[#This Row],[Estimated LDL (mg/dL)2]])*5</f>
        <v>2040</v>
      </c>
      <c r="U870" s="8">
        <f>IF(O870="",Table1[[#This Row],[Estimated LDL (mg/dL)2]]+Table1[[#This Row],[HDL (mg/dL)2]]+(Table1[[#This Row],[Triglycerides]]/5),O870)</f>
        <v>219</v>
      </c>
      <c r="V870">
        <v>140</v>
      </c>
      <c r="W870" s="8">
        <f t="shared" si="192"/>
        <v>140</v>
      </c>
      <c r="X870" t="str">
        <f t="shared" si="193"/>
        <v>Diabetes</v>
      </c>
      <c r="Y870" t="s">
        <v>23</v>
      </c>
      <c r="Z870" t="s">
        <v>22</v>
      </c>
      <c r="AA870" t="s">
        <v>24</v>
      </c>
      <c r="AB870" s="3" t="s">
        <v>763</v>
      </c>
      <c r="AC870">
        <v>122</v>
      </c>
      <c r="AD870" s="3" t="str">
        <f t="shared" si="194"/>
        <v>122</v>
      </c>
      <c r="AE870">
        <v>94</v>
      </c>
      <c r="AF870" s="3" t="str">
        <f t="shared" si="195"/>
        <v>94</v>
      </c>
      <c r="AG870" t="s">
        <v>38</v>
      </c>
      <c r="AH870" s="3">
        <v>15.92</v>
      </c>
      <c r="AI870" s="3">
        <f t="shared" si="196"/>
        <v>15.92</v>
      </c>
      <c r="AJ870" t="s">
        <v>30</v>
      </c>
      <c r="AK870" t="str">
        <f>PROPER(Table1[[#This Row],[CVD Risk Level]])</f>
        <v>High</v>
      </c>
    </row>
    <row r="871" spans="1:37" x14ac:dyDescent="0.3">
      <c r="A871" t="s">
        <v>31</v>
      </c>
      <c r="B871">
        <v>34</v>
      </c>
      <c r="C871" s="8">
        <f t="shared" si="185"/>
        <v>34</v>
      </c>
      <c r="D871" s="5">
        <v>110.9</v>
      </c>
      <c r="E871" s="8">
        <f t="shared" si="186"/>
        <v>110.9</v>
      </c>
      <c r="F871">
        <v>1.71</v>
      </c>
      <c r="G871" s="3">
        <f t="shared" si="187"/>
        <v>1.71</v>
      </c>
      <c r="H871">
        <v>37.9</v>
      </c>
      <c r="I871" s="5">
        <f t="shared" si="183"/>
        <v>37.9</v>
      </c>
      <c r="J871" s="16" t="str">
        <f t="shared" si="188"/>
        <v>Obese</v>
      </c>
      <c r="K871">
        <v>70.5</v>
      </c>
      <c r="L871">
        <v>0.41199999999999998</v>
      </c>
      <c r="M871" s="11">
        <f t="shared" si="184"/>
        <v>0.41199999999999998</v>
      </c>
      <c r="N871" s="5">
        <f t="shared" si="189"/>
        <v>70.5</v>
      </c>
      <c r="O871">
        <v>298</v>
      </c>
      <c r="P871">
        <v>63</v>
      </c>
      <c r="Q871" s="8">
        <f t="shared" si="190"/>
        <v>63</v>
      </c>
      <c r="R871" s="8">
        <v>205</v>
      </c>
      <c r="S871" s="8">
        <f t="shared" si="191"/>
        <v>205</v>
      </c>
      <c r="T871" s="8">
        <f>(Table1[[#This Row],[Total Cholesterol (mg/dL)]]+Table1[[#This Row],[HDL (mg/dL)2]]+Table1[[#This Row],[Estimated LDL (mg/dL)2]])*5</f>
        <v>2830</v>
      </c>
      <c r="U871" s="8">
        <f>IF(O871="",Table1[[#This Row],[Estimated LDL (mg/dL)2]]+Table1[[#This Row],[HDL (mg/dL)2]]+(Table1[[#This Row],[Triglycerides]]/5),O871)</f>
        <v>298</v>
      </c>
      <c r="V871">
        <v>120</v>
      </c>
      <c r="W871" s="8">
        <f t="shared" si="192"/>
        <v>120</v>
      </c>
      <c r="X871" t="str">
        <f t="shared" si="193"/>
        <v>Prediabetes</v>
      </c>
      <c r="Y871" t="s">
        <v>22</v>
      </c>
      <c r="Z871" t="s">
        <v>23</v>
      </c>
      <c r="AA871" t="s">
        <v>24</v>
      </c>
      <c r="AB871" s="3" t="s">
        <v>177</v>
      </c>
      <c r="AC871">
        <v>127</v>
      </c>
      <c r="AD871" s="3" t="str">
        <f t="shared" si="194"/>
        <v>127</v>
      </c>
      <c r="AE871">
        <v>77</v>
      </c>
      <c r="AF871" s="3" t="str">
        <f t="shared" si="195"/>
        <v>77</v>
      </c>
      <c r="AG871" t="s">
        <v>25</v>
      </c>
      <c r="AH871" s="3">
        <v>21.89</v>
      </c>
      <c r="AI871" s="3">
        <f t="shared" si="196"/>
        <v>21.89</v>
      </c>
      <c r="AJ871" t="s">
        <v>30</v>
      </c>
      <c r="AK871" t="str">
        <f>PROPER(Table1[[#This Row],[CVD Risk Level]])</f>
        <v>High</v>
      </c>
    </row>
    <row r="872" spans="1:37" x14ac:dyDescent="0.3">
      <c r="A872" t="s">
        <v>31</v>
      </c>
      <c r="B872">
        <v>52</v>
      </c>
      <c r="C872" s="8">
        <f t="shared" si="185"/>
        <v>52</v>
      </c>
      <c r="E872" s="8">
        <f t="shared" si="186"/>
        <v>57.266190000000009</v>
      </c>
      <c r="F872">
        <v>1.83</v>
      </c>
      <c r="G872" s="3">
        <f t="shared" si="187"/>
        <v>1.83</v>
      </c>
      <c r="H872">
        <v>17.100000000000001</v>
      </c>
      <c r="I872" s="5">
        <f t="shared" si="183"/>
        <v>17.100000000000001</v>
      </c>
      <c r="J872" s="16" t="str">
        <f t="shared" si="188"/>
        <v>Underweight</v>
      </c>
      <c r="K872">
        <v>79.400000000000006</v>
      </c>
      <c r="L872">
        <v>0.434</v>
      </c>
      <c r="M872" s="11">
        <f t="shared" si="184"/>
        <v>0.434</v>
      </c>
      <c r="N872" s="5">
        <f t="shared" si="189"/>
        <v>79.400000000000006</v>
      </c>
      <c r="O872">
        <v>245</v>
      </c>
      <c r="P872">
        <v>55</v>
      </c>
      <c r="Q872" s="8">
        <f t="shared" si="190"/>
        <v>55</v>
      </c>
      <c r="R872" s="8">
        <v>160</v>
      </c>
      <c r="S872" s="8">
        <f t="shared" si="191"/>
        <v>160</v>
      </c>
      <c r="T872" s="8">
        <f>(Table1[[#This Row],[Total Cholesterol (mg/dL)]]+Table1[[#This Row],[HDL (mg/dL)2]]+Table1[[#This Row],[Estimated LDL (mg/dL)2]])*5</f>
        <v>2300</v>
      </c>
      <c r="U872" s="8">
        <f>IF(O872="",Table1[[#This Row],[Estimated LDL (mg/dL)2]]+Table1[[#This Row],[HDL (mg/dL)2]]+(Table1[[#This Row],[Triglycerides]]/5),O872)</f>
        <v>245</v>
      </c>
      <c r="V872">
        <v>148</v>
      </c>
      <c r="W872" s="8">
        <f t="shared" si="192"/>
        <v>148</v>
      </c>
      <c r="X872" t="str">
        <f t="shared" si="193"/>
        <v>Diabetes</v>
      </c>
      <c r="Y872" t="s">
        <v>22</v>
      </c>
      <c r="Z872" t="s">
        <v>22</v>
      </c>
      <c r="AA872" t="s">
        <v>24</v>
      </c>
      <c r="AB872" s="3" t="s">
        <v>764</v>
      </c>
      <c r="AC872">
        <v>132</v>
      </c>
      <c r="AD872" s="3" t="str">
        <f t="shared" si="194"/>
        <v>132</v>
      </c>
      <c r="AE872">
        <v>77</v>
      </c>
      <c r="AF872" s="3" t="str">
        <f t="shared" si="195"/>
        <v>77</v>
      </c>
      <c r="AG872" t="s">
        <v>29</v>
      </c>
      <c r="AH872" s="3">
        <v>14.92</v>
      </c>
      <c r="AI872" s="3">
        <f t="shared" si="196"/>
        <v>14.92</v>
      </c>
      <c r="AJ872" t="s">
        <v>30</v>
      </c>
      <c r="AK872" t="str">
        <f>PROPER(Table1[[#This Row],[CVD Risk Level]])</f>
        <v>High</v>
      </c>
    </row>
    <row r="873" spans="1:37" x14ac:dyDescent="0.3">
      <c r="A873" t="s">
        <v>31</v>
      </c>
      <c r="B873">
        <v>36</v>
      </c>
      <c r="C873" s="8">
        <f t="shared" si="185"/>
        <v>36</v>
      </c>
      <c r="D873" s="5">
        <v>62.1</v>
      </c>
      <c r="E873" s="8">
        <f t="shared" si="186"/>
        <v>62.1</v>
      </c>
      <c r="F873">
        <v>1.73</v>
      </c>
      <c r="G873" s="3">
        <f t="shared" si="187"/>
        <v>1.73</v>
      </c>
      <c r="H873">
        <v>20.7</v>
      </c>
      <c r="I873" s="5">
        <f t="shared" si="183"/>
        <v>20.7</v>
      </c>
      <c r="J873" s="16" t="str">
        <f t="shared" si="188"/>
        <v>Normal</v>
      </c>
      <c r="K873">
        <v>82</v>
      </c>
      <c r="L873">
        <v>0.47399999999999998</v>
      </c>
      <c r="M873" s="11">
        <f t="shared" si="184"/>
        <v>0.47399999999999998</v>
      </c>
      <c r="N873" s="5">
        <f t="shared" si="189"/>
        <v>82</v>
      </c>
      <c r="O873">
        <v>150</v>
      </c>
      <c r="P873">
        <v>34</v>
      </c>
      <c r="Q873" s="8">
        <f t="shared" si="190"/>
        <v>34</v>
      </c>
      <c r="R873" s="8">
        <v>86</v>
      </c>
      <c r="S873" s="8">
        <f t="shared" si="191"/>
        <v>86</v>
      </c>
      <c r="T873" s="8">
        <f>(Table1[[#This Row],[Total Cholesterol (mg/dL)]]+Table1[[#This Row],[HDL (mg/dL)2]]+Table1[[#This Row],[Estimated LDL (mg/dL)2]])*5</f>
        <v>1350</v>
      </c>
      <c r="U873" s="8">
        <f>IF(O873="",Table1[[#This Row],[Estimated LDL (mg/dL)2]]+Table1[[#This Row],[HDL (mg/dL)2]]+(Table1[[#This Row],[Triglycerides]]/5),O873)</f>
        <v>150</v>
      </c>
      <c r="W873" s="8">
        <f t="shared" si="192"/>
        <v>117.48563611491107</v>
      </c>
      <c r="X873" t="str">
        <f t="shared" si="193"/>
        <v>Prediabetes</v>
      </c>
      <c r="Y873" t="s">
        <v>22</v>
      </c>
      <c r="Z873" t="s">
        <v>22</v>
      </c>
      <c r="AA873" t="s">
        <v>37</v>
      </c>
      <c r="AB873" s="3" t="s">
        <v>765</v>
      </c>
      <c r="AC873">
        <v>91</v>
      </c>
      <c r="AD873" s="3" t="str">
        <f t="shared" si="194"/>
        <v>91</v>
      </c>
      <c r="AE873">
        <v>91</v>
      </c>
      <c r="AF873" s="3" t="str">
        <f t="shared" si="195"/>
        <v>91</v>
      </c>
      <c r="AG873" t="s">
        <v>38</v>
      </c>
      <c r="AH873" s="3">
        <v>11.69</v>
      </c>
      <c r="AI873" s="3">
        <f t="shared" si="196"/>
        <v>11.69</v>
      </c>
      <c r="AJ873" t="s">
        <v>52</v>
      </c>
      <c r="AK873" t="str">
        <f>PROPER(Table1[[#This Row],[CVD Risk Level]])</f>
        <v>Low</v>
      </c>
    </row>
    <row r="874" spans="1:37" x14ac:dyDescent="0.3">
      <c r="A874" t="s">
        <v>31</v>
      </c>
      <c r="B874">
        <v>33</v>
      </c>
      <c r="C874" s="8">
        <f t="shared" si="185"/>
        <v>33</v>
      </c>
      <c r="D874" s="5">
        <v>108.7</v>
      </c>
      <c r="E874" s="8">
        <f t="shared" si="186"/>
        <v>108.7</v>
      </c>
      <c r="F874">
        <v>1.86</v>
      </c>
      <c r="G874" s="3">
        <f t="shared" si="187"/>
        <v>1.86</v>
      </c>
      <c r="I874" s="5">
        <f t="shared" si="183"/>
        <v>31.419817319921375</v>
      </c>
      <c r="J874" s="16" t="str">
        <f t="shared" si="188"/>
        <v>Obese</v>
      </c>
      <c r="K874">
        <v>96.9</v>
      </c>
      <c r="L874">
        <v>0.52100000000000002</v>
      </c>
      <c r="M874" s="11">
        <f t="shared" si="184"/>
        <v>0.52100000000000002</v>
      </c>
      <c r="N874" s="5">
        <f t="shared" si="189"/>
        <v>96.9</v>
      </c>
      <c r="O874">
        <v>250</v>
      </c>
      <c r="P874">
        <v>47</v>
      </c>
      <c r="Q874" s="8">
        <f t="shared" si="190"/>
        <v>47</v>
      </c>
      <c r="R874" s="8">
        <v>173</v>
      </c>
      <c r="S874" s="8">
        <f t="shared" si="191"/>
        <v>173</v>
      </c>
      <c r="T874" s="8">
        <f>(Table1[[#This Row],[Total Cholesterol (mg/dL)]]+Table1[[#This Row],[HDL (mg/dL)2]]+Table1[[#This Row],[Estimated LDL (mg/dL)2]])*5</f>
        <v>2350</v>
      </c>
      <c r="U874" s="8">
        <f>IF(O874="",Table1[[#This Row],[Estimated LDL (mg/dL)2]]+Table1[[#This Row],[HDL (mg/dL)2]]+(Table1[[#This Row],[Triglycerides]]/5),O874)</f>
        <v>250</v>
      </c>
      <c r="V874">
        <v>106</v>
      </c>
      <c r="W874" s="8">
        <f t="shared" si="192"/>
        <v>106</v>
      </c>
      <c r="X874" t="str">
        <f t="shared" si="193"/>
        <v>Prediabetes</v>
      </c>
      <c r="Y874" t="s">
        <v>22</v>
      </c>
      <c r="Z874" t="s">
        <v>22</v>
      </c>
      <c r="AA874" t="s">
        <v>24</v>
      </c>
      <c r="AB874" s="3" t="s">
        <v>165</v>
      </c>
      <c r="AC874">
        <v>130</v>
      </c>
      <c r="AD874" s="3" t="str">
        <f t="shared" si="194"/>
        <v>130</v>
      </c>
      <c r="AF874" s="3" t="str">
        <f t="shared" si="195"/>
        <v>95</v>
      </c>
      <c r="AG874" t="s">
        <v>29</v>
      </c>
      <c r="AH874" s="3">
        <v>17.78</v>
      </c>
      <c r="AI874" s="3">
        <f t="shared" si="196"/>
        <v>17.78</v>
      </c>
      <c r="AJ874" t="s">
        <v>30</v>
      </c>
      <c r="AK874" t="str">
        <f>PROPER(Table1[[#This Row],[CVD Risk Level]])</f>
        <v>High</v>
      </c>
    </row>
    <row r="875" spans="1:37" x14ac:dyDescent="0.3">
      <c r="A875" t="s">
        <v>20</v>
      </c>
      <c r="B875">
        <v>59</v>
      </c>
      <c r="C875" s="8">
        <f t="shared" si="185"/>
        <v>59</v>
      </c>
      <c r="D875" s="5">
        <v>91.2</v>
      </c>
      <c r="E875" s="8">
        <f t="shared" si="186"/>
        <v>91.2</v>
      </c>
      <c r="F875">
        <v>1.89</v>
      </c>
      <c r="G875" s="3">
        <f t="shared" si="187"/>
        <v>1.89</v>
      </c>
      <c r="H875">
        <v>25.5</v>
      </c>
      <c r="I875" s="5">
        <f t="shared" si="183"/>
        <v>25.5</v>
      </c>
      <c r="J875" s="16" t="str">
        <f t="shared" si="188"/>
        <v>Overweight</v>
      </c>
      <c r="K875">
        <v>106.5</v>
      </c>
      <c r="L875">
        <v>0.56299999999999994</v>
      </c>
      <c r="M875" s="11">
        <f t="shared" si="184"/>
        <v>0.56299999999999994</v>
      </c>
      <c r="N875" s="5">
        <f t="shared" si="189"/>
        <v>106.5</v>
      </c>
      <c r="O875">
        <v>286</v>
      </c>
      <c r="P875">
        <v>30</v>
      </c>
      <c r="Q875" s="8">
        <f t="shared" si="190"/>
        <v>30</v>
      </c>
      <c r="R875" s="8">
        <v>226</v>
      </c>
      <c r="S875" s="8">
        <f t="shared" si="191"/>
        <v>226</v>
      </c>
      <c r="T875" s="8">
        <f>(Table1[[#This Row],[Total Cholesterol (mg/dL)]]+Table1[[#This Row],[HDL (mg/dL)2]]+Table1[[#This Row],[Estimated LDL (mg/dL)2]])*5</f>
        <v>2710</v>
      </c>
      <c r="U875" s="8">
        <f>IF(O875="",Table1[[#This Row],[Estimated LDL (mg/dL)2]]+Table1[[#This Row],[HDL (mg/dL)2]]+(Table1[[#This Row],[Triglycerides]]/5),O875)</f>
        <v>286</v>
      </c>
      <c r="W875" s="8">
        <f t="shared" si="192"/>
        <v>117.48563611491107</v>
      </c>
      <c r="X875" t="str">
        <f t="shared" si="193"/>
        <v>Prediabetes</v>
      </c>
      <c r="Y875" t="s">
        <v>23</v>
      </c>
      <c r="Z875" t="s">
        <v>22</v>
      </c>
      <c r="AA875" t="s">
        <v>28</v>
      </c>
      <c r="AB875" s="3" t="s">
        <v>766</v>
      </c>
      <c r="AC875">
        <v>95</v>
      </c>
      <c r="AD875" s="3" t="str">
        <f t="shared" si="194"/>
        <v>95</v>
      </c>
      <c r="AE875">
        <v>89</v>
      </c>
      <c r="AF875" s="3" t="str">
        <f t="shared" si="195"/>
        <v>89</v>
      </c>
      <c r="AG875" t="s">
        <v>29</v>
      </c>
      <c r="AI875" s="3">
        <f t="shared" si="196"/>
        <v>16.960925291295425</v>
      </c>
      <c r="AJ875" t="s">
        <v>30</v>
      </c>
      <c r="AK875" t="str">
        <f>PROPER(Table1[[#This Row],[CVD Risk Level]])</f>
        <v>High</v>
      </c>
    </row>
    <row r="876" spans="1:37" x14ac:dyDescent="0.3">
      <c r="A876" t="s">
        <v>31</v>
      </c>
      <c r="B876">
        <v>52</v>
      </c>
      <c r="C876" s="8">
        <f t="shared" si="185"/>
        <v>52</v>
      </c>
      <c r="D876" s="5">
        <v>83.2</v>
      </c>
      <c r="E876" s="8">
        <f t="shared" si="186"/>
        <v>83.2</v>
      </c>
      <c r="F876">
        <v>1.86</v>
      </c>
      <c r="G876" s="3">
        <f t="shared" si="187"/>
        <v>1.86</v>
      </c>
      <c r="H876">
        <v>24</v>
      </c>
      <c r="I876" s="5">
        <f t="shared" si="183"/>
        <v>24</v>
      </c>
      <c r="J876" s="16" t="str">
        <f t="shared" si="188"/>
        <v>Normal</v>
      </c>
      <c r="K876">
        <v>108.2</v>
      </c>
      <c r="L876">
        <v>0.58199999999999996</v>
      </c>
      <c r="M876" s="11">
        <f t="shared" si="184"/>
        <v>0.58199999999999996</v>
      </c>
      <c r="N876" s="5">
        <f t="shared" si="189"/>
        <v>108.2</v>
      </c>
      <c r="O876">
        <v>129</v>
      </c>
      <c r="P876">
        <v>42</v>
      </c>
      <c r="Q876" s="8">
        <f t="shared" si="190"/>
        <v>42</v>
      </c>
      <c r="R876" s="8">
        <v>57</v>
      </c>
      <c r="S876" s="8">
        <f t="shared" si="191"/>
        <v>57</v>
      </c>
      <c r="T876" s="8">
        <f>(Table1[[#This Row],[Total Cholesterol (mg/dL)]]+Table1[[#This Row],[HDL (mg/dL)2]]+Table1[[#This Row],[Estimated LDL (mg/dL)2]])*5</f>
        <v>1140</v>
      </c>
      <c r="U876" s="8">
        <f>IF(O876="",Table1[[#This Row],[Estimated LDL (mg/dL)2]]+Table1[[#This Row],[HDL (mg/dL)2]]+(Table1[[#This Row],[Triglycerides]]/5),O876)</f>
        <v>129</v>
      </c>
      <c r="V876">
        <v>83</v>
      </c>
      <c r="W876" s="8">
        <f t="shared" si="192"/>
        <v>83</v>
      </c>
      <c r="X876" t="str">
        <f t="shared" si="193"/>
        <v>Normal</v>
      </c>
      <c r="Y876" t="s">
        <v>22</v>
      </c>
      <c r="Z876" t="s">
        <v>22</v>
      </c>
      <c r="AA876" t="s">
        <v>37</v>
      </c>
      <c r="AB876" s="3" t="s">
        <v>767</v>
      </c>
      <c r="AC876">
        <v>143</v>
      </c>
      <c r="AD876" s="3" t="str">
        <f t="shared" si="194"/>
        <v>143</v>
      </c>
      <c r="AE876">
        <v>81</v>
      </c>
      <c r="AF876" s="3" t="str">
        <f t="shared" si="195"/>
        <v>81</v>
      </c>
      <c r="AG876" t="s">
        <v>29</v>
      </c>
      <c r="AH876" s="3">
        <v>14.53</v>
      </c>
      <c r="AI876" s="3">
        <f t="shared" si="196"/>
        <v>14.53</v>
      </c>
      <c r="AJ876" t="s">
        <v>52</v>
      </c>
      <c r="AK876" t="str">
        <f>PROPER(Table1[[#This Row],[CVD Risk Level]])</f>
        <v>Low</v>
      </c>
    </row>
    <row r="877" spans="1:37" x14ac:dyDescent="0.3">
      <c r="A877" t="s">
        <v>31</v>
      </c>
      <c r="B877">
        <v>50</v>
      </c>
      <c r="C877" s="8">
        <f t="shared" si="185"/>
        <v>50</v>
      </c>
      <c r="D877" s="5">
        <v>87.4</v>
      </c>
      <c r="E877" s="8">
        <f t="shared" si="186"/>
        <v>87.4</v>
      </c>
      <c r="F877">
        <v>1.77</v>
      </c>
      <c r="G877" s="3">
        <f t="shared" si="187"/>
        <v>1.77</v>
      </c>
      <c r="H877">
        <v>27.9</v>
      </c>
      <c r="I877" s="5">
        <f t="shared" si="183"/>
        <v>27.9</v>
      </c>
      <c r="J877" s="16" t="str">
        <f t="shared" si="188"/>
        <v>Overweight</v>
      </c>
      <c r="K877">
        <v>79.2</v>
      </c>
      <c r="L877">
        <v>0.44700000000000001</v>
      </c>
      <c r="M877" s="11">
        <f t="shared" si="184"/>
        <v>0.44700000000000001</v>
      </c>
      <c r="N877" s="5">
        <f t="shared" si="189"/>
        <v>79.2</v>
      </c>
      <c r="O877">
        <v>287</v>
      </c>
      <c r="P877">
        <v>35</v>
      </c>
      <c r="Q877" s="8">
        <f t="shared" si="190"/>
        <v>35</v>
      </c>
      <c r="R877" s="8">
        <v>222</v>
      </c>
      <c r="S877" s="8">
        <f t="shared" si="191"/>
        <v>222</v>
      </c>
      <c r="T877" s="8">
        <f>(Table1[[#This Row],[Total Cholesterol (mg/dL)]]+Table1[[#This Row],[HDL (mg/dL)2]]+Table1[[#This Row],[Estimated LDL (mg/dL)2]])*5</f>
        <v>2720</v>
      </c>
      <c r="U877" s="8">
        <f>IF(O877="",Table1[[#This Row],[Estimated LDL (mg/dL)2]]+Table1[[#This Row],[HDL (mg/dL)2]]+(Table1[[#This Row],[Triglycerides]]/5),O877)</f>
        <v>287</v>
      </c>
      <c r="V877">
        <v>117</v>
      </c>
      <c r="W877" s="8">
        <f t="shared" si="192"/>
        <v>117</v>
      </c>
      <c r="X877" t="str">
        <f t="shared" si="193"/>
        <v>Prediabetes</v>
      </c>
      <c r="Y877" t="s">
        <v>22</v>
      </c>
      <c r="Z877" t="s">
        <v>23</v>
      </c>
      <c r="AA877" t="s">
        <v>37</v>
      </c>
      <c r="AB877" s="3" t="s">
        <v>768</v>
      </c>
      <c r="AC877">
        <v>94</v>
      </c>
      <c r="AD877" s="3" t="str">
        <f t="shared" si="194"/>
        <v>94</v>
      </c>
      <c r="AE877">
        <v>69</v>
      </c>
      <c r="AF877" s="3" t="str">
        <f t="shared" si="195"/>
        <v>69</v>
      </c>
      <c r="AG877" t="s">
        <v>33</v>
      </c>
      <c r="AI877" s="3">
        <f t="shared" si="196"/>
        <v>16.960925291295425</v>
      </c>
      <c r="AJ877" t="s">
        <v>30</v>
      </c>
      <c r="AK877" t="str">
        <f>PROPER(Table1[[#This Row],[CVD Risk Level]])</f>
        <v>High</v>
      </c>
    </row>
    <row r="878" spans="1:37" x14ac:dyDescent="0.3">
      <c r="A878" t="s">
        <v>31</v>
      </c>
      <c r="B878">
        <v>41</v>
      </c>
      <c r="C878" s="8">
        <f t="shared" si="185"/>
        <v>41</v>
      </c>
      <c r="D878" s="5">
        <v>52.1</v>
      </c>
      <c r="E878" s="8">
        <f t="shared" si="186"/>
        <v>52.1</v>
      </c>
      <c r="F878">
        <v>1.65</v>
      </c>
      <c r="G878" s="3">
        <f t="shared" si="187"/>
        <v>1.65</v>
      </c>
      <c r="H878">
        <v>19.100000000000001</v>
      </c>
      <c r="I878" s="5">
        <f t="shared" si="183"/>
        <v>19.100000000000001</v>
      </c>
      <c r="J878" s="16" t="str">
        <f t="shared" si="188"/>
        <v>Normal</v>
      </c>
      <c r="K878">
        <v>81.2</v>
      </c>
      <c r="L878">
        <v>0.49199999999999999</v>
      </c>
      <c r="M878" s="11">
        <f t="shared" si="184"/>
        <v>0.49199999999999999</v>
      </c>
      <c r="N878" s="5">
        <f t="shared" si="189"/>
        <v>81.2</v>
      </c>
      <c r="O878">
        <v>119</v>
      </c>
      <c r="P878">
        <v>54</v>
      </c>
      <c r="Q878" s="8">
        <f t="shared" si="190"/>
        <v>54</v>
      </c>
      <c r="R878" s="8">
        <v>35</v>
      </c>
      <c r="S878" s="8">
        <f t="shared" si="191"/>
        <v>35</v>
      </c>
      <c r="T878" s="8">
        <f>(Table1[[#This Row],[Total Cholesterol (mg/dL)]]+Table1[[#This Row],[HDL (mg/dL)2]]+Table1[[#This Row],[Estimated LDL (mg/dL)2]])*5</f>
        <v>1040</v>
      </c>
      <c r="U878" s="8">
        <f>IF(O878="",Table1[[#This Row],[Estimated LDL (mg/dL)2]]+Table1[[#This Row],[HDL (mg/dL)2]]+(Table1[[#This Row],[Triglycerides]]/5),O878)</f>
        <v>119</v>
      </c>
      <c r="V878">
        <v>97</v>
      </c>
      <c r="W878" s="8">
        <f t="shared" si="192"/>
        <v>97</v>
      </c>
      <c r="X878" t="str">
        <f t="shared" si="193"/>
        <v>Normal</v>
      </c>
      <c r="Y878" t="s">
        <v>23</v>
      </c>
      <c r="Z878" t="s">
        <v>22</v>
      </c>
      <c r="AA878" t="s">
        <v>28</v>
      </c>
      <c r="AB878" s="3" t="s">
        <v>494</v>
      </c>
      <c r="AC878">
        <v>102</v>
      </c>
      <c r="AD878" s="3" t="str">
        <f t="shared" si="194"/>
        <v>102</v>
      </c>
      <c r="AE878">
        <v>62</v>
      </c>
      <c r="AF878" s="3" t="str">
        <f t="shared" si="195"/>
        <v>62</v>
      </c>
      <c r="AG878" t="s">
        <v>33</v>
      </c>
      <c r="AH878" s="3">
        <v>11.3</v>
      </c>
      <c r="AI878" s="3">
        <f t="shared" si="196"/>
        <v>11.3</v>
      </c>
      <c r="AJ878" t="s">
        <v>26</v>
      </c>
      <c r="AK878" t="str">
        <f>PROPER(Table1[[#This Row],[CVD Risk Level]])</f>
        <v>Intermediary</v>
      </c>
    </row>
    <row r="879" spans="1:37" x14ac:dyDescent="0.3">
      <c r="A879" t="s">
        <v>31</v>
      </c>
      <c r="B879">
        <v>47</v>
      </c>
      <c r="C879" s="8">
        <f t="shared" si="185"/>
        <v>47</v>
      </c>
      <c r="D879" s="5">
        <v>109.3</v>
      </c>
      <c r="E879" s="8">
        <f t="shared" si="186"/>
        <v>109.3</v>
      </c>
      <c r="F879">
        <v>1.67</v>
      </c>
      <c r="G879" s="3">
        <f t="shared" si="187"/>
        <v>1.67</v>
      </c>
      <c r="H879">
        <v>39.200000000000003</v>
      </c>
      <c r="I879" s="5">
        <f t="shared" si="183"/>
        <v>39.200000000000003</v>
      </c>
      <c r="J879" s="16" t="str">
        <f t="shared" si="188"/>
        <v>Obese</v>
      </c>
      <c r="K879">
        <v>96.2</v>
      </c>
      <c r="L879">
        <v>0.57599999999999996</v>
      </c>
      <c r="M879" s="11">
        <f t="shared" si="184"/>
        <v>0.57599999999999996</v>
      </c>
      <c r="N879" s="5">
        <f t="shared" si="189"/>
        <v>96.2</v>
      </c>
      <c r="O879">
        <v>109</v>
      </c>
      <c r="P879">
        <v>30</v>
      </c>
      <c r="Q879" s="8">
        <f t="shared" si="190"/>
        <v>30</v>
      </c>
      <c r="R879" s="8">
        <v>49</v>
      </c>
      <c r="S879" s="8">
        <f t="shared" si="191"/>
        <v>49</v>
      </c>
      <c r="T879" s="8">
        <f>(Table1[[#This Row],[Total Cholesterol (mg/dL)]]+Table1[[#This Row],[HDL (mg/dL)2]]+Table1[[#This Row],[Estimated LDL (mg/dL)2]])*5</f>
        <v>940</v>
      </c>
      <c r="U879" s="8">
        <f>IF(O879="",Table1[[#This Row],[Estimated LDL (mg/dL)2]]+Table1[[#This Row],[HDL (mg/dL)2]]+(Table1[[#This Row],[Triglycerides]]/5),O879)</f>
        <v>109</v>
      </c>
      <c r="V879">
        <v>130</v>
      </c>
      <c r="W879" s="8">
        <f t="shared" si="192"/>
        <v>130</v>
      </c>
      <c r="X879" t="str">
        <f t="shared" si="193"/>
        <v>Diabetes</v>
      </c>
      <c r="Y879" t="s">
        <v>22</v>
      </c>
      <c r="Z879" t="s">
        <v>22</v>
      </c>
      <c r="AA879" t="s">
        <v>24</v>
      </c>
      <c r="AB879" s="3" t="s">
        <v>769</v>
      </c>
      <c r="AC879">
        <v>141</v>
      </c>
      <c r="AD879" s="3" t="str">
        <f t="shared" si="194"/>
        <v>141</v>
      </c>
      <c r="AE879">
        <v>63</v>
      </c>
      <c r="AF879" s="3" t="str">
        <f t="shared" si="195"/>
        <v>63</v>
      </c>
      <c r="AG879" t="s">
        <v>38</v>
      </c>
      <c r="AH879" s="3">
        <v>17.07</v>
      </c>
      <c r="AI879" s="3">
        <f t="shared" si="196"/>
        <v>17.07</v>
      </c>
      <c r="AJ879" t="s">
        <v>30</v>
      </c>
      <c r="AK879" t="str">
        <f>PROPER(Table1[[#This Row],[CVD Risk Level]])</f>
        <v>High</v>
      </c>
    </row>
    <row r="880" spans="1:37" x14ac:dyDescent="0.3">
      <c r="A880" t="s">
        <v>20</v>
      </c>
      <c r="B880">
        <v>56</v>
      </c>
      <c r="C880" s="8">
        <f t="shared" si="185"/>
        <v>56</v>
      </c>
      <c r="D880" s="5">
        <v>67.099999999999994</v>
      </c>
      <c r="E880" s="8">
        <f t="shared" si="186"/>
        <v>67.099999999999994</v>
      </c>
      <c r="F880">
        <v>1.85</v>
      </c>
      <c r="G880" s="3">
        <f t="shared" si="187"/>
        <v>1.85</v>
      </c>
      <c r="H880">
        <v>19.600000000000001</v>
      </c>
      <c r="I880" s="5">
        <f t="shared" si="183"/>
        <v>19.600000000000001</v>
      </c>
      <c r="J880" s="16" t="str">
        <f t="shared" si="188"/>
        <v>Normal</v>
      </c>
      <c r="K880">
        <v>96.8</v>
      </c>
      <c r="L880">
        <v>0.52300000000000002</v>
      </c>
      <c r="M880" s="11">
        <f t="shared" si="184"/>
        <v>0.52300000000000002</v>
      </c>
      <c r="N880" s="5">
        <f t="shared" si="189"/>
        <v>96.8</v>
      </c>
      <c r="O880">
        <v>184</v>
      </c>
      <c r="P880">
        <v>40</v>
      </c>
      <c r="Q880" s="8">
        <f t="shared" si="190"/>
        <v>40</v>
      </c>
      <c r="R880" s="8">
        <v>114</v>
      </c>
      <c r="S880" s="8">
        <f t="shared" si="191"/>
        <v>114</v>
      </c>
      <c r="T880" s="8">
        <f>(Table1[[#This Row],[Total Cholesterol (mg/dL)]]+Table1[[#This Row],[HDL (mg/dL)2]]+Table1[[#This Row],[Estimated LDL (mg/dL)2]])*5</f>
        <v>1690</v>
      </c>
      <c r="U880" s="8">
        <f>IF(O880="",Table1[[#This Row],[Estimated LDL (mg/dL)2]]+Table1[[#This Row],[HDL (mg/dL)2]]+(Table1[[#This Row],[Triglycerides]]/5),O880)</f>
        <v>184</v>
      </c>
      <c r="V880">
        <v>82</v>
      </c>
      <c r="W880" s="8">
        <f t="shared" si="192"/>
        <v>82</v>
      </c>
      <c r="X880" t="str">
        <f t="shared" si="193"/>
        <v>Normal</v>
      </c>
      <c r="Y880" t="s">
        <v>22</v>
      </c>
      <c r="Z880" t="s">
        <v>22</v>
      </c>
      <c r="AA880" t="s">
        <v>28</v>
      </c>
      <c r="AB880" s="3" t="s">
        <v>770</v>
      </c>
      <c r="AC880">
        <v>111</v>
      </c>
      <c r="AD880" s="3" t="str">
        <f t="shared" si="194"/>
        <v>111</v>
      </c>
      <c r="AE880">
        <v>72</v>
      </c>
      <c r="AF880" s="3" t="str">
        <f t="shared" si="195"/>
        <v>72</v>
      </c>
      <c r="AG880" t="s">
        <v>33</v>
      </c>
      <c r="AH880" s="3">
        <v>13.15</v>
      </c>
      <c r="AI880" s="3">
        <f t="shared" si="196"/>
        <v>13.15</v>
      </c>
      <c r="AJ880" t="s">
        <v>26</v>
      </c>
      <c r="AK880" t="str">
        <f>PROPER(Table1[[#This Row],[CVD Risk Level]])</f>
        <v>Intermediary</v>
      </c>
    </row>
    <row r="881" spans="1:37" x14ac:dyDescent="0.3">
      <c r="A881" t="s">
        <v>20</v>
      </c>
      <c r="B881">
        <v>45</v>
      </c>
      <c r="C881" s="8">
        <f t="shared" si="185"/>
        <v>45</v>
      </c>
      <c r="D881" s="5">
        <v>64.3</v>
      </c>
      <c r="E881" s="8">
        <f t="shared" si="186"/>
        <v>64.3</v>
      </c>
      <c r="F881">
        <v>1.89</v>
      </c>
      <c r="G881" s="3">
        <f t="shared" si="187"/>
        <v>1.89</v>
      </c>
      <c r="H881">
        <v>18</v>
      </c>
      <c r="I881" s="5">
        <f t="shared" si="183"/>
        <v>18</v>
      </c>
      <c r="J881" s="16" t="str">
        <f t="shared" si="188"/>
        <v>Underweight</v>
      </c>
      <c r="K881">
        <v>108.6</v>
      </c>
      <c r="L881">
        <v>0.57499999999999996</v>
      </c>
      <c r="M881" s="11">
        <f t="shared" si="184"/>
        <v>0.57499999999999996</v>
      </c>
      <c r="N881" s="5">
        <f t="shared" si="189"/>
        <v>108.6</v>
      </c>
      <c r="O881">
        <v>261</v>
      </c>
      <c r="P881">
        <v>55</v>
      </c>
      <c r="Q881" s="8">
        <f t="shared" si="190"/>
        <v>55</v>
      </c>
      <c r="R881" s="8">
        <v>176</v>
      </c>
      <c r="S881" s="8">
        <f t="shared" si="191"/>
        <v>176</v>
      </c>
      <c r="T881" s="8">
        <f>(Table1[[#This Row],[Total Cholesterol (mg/dL)]]+Table1[[#This Row],[HDL (mg/dL)2]]+Table1[[#This Row],[Estimated LDL (mg/dL)2]])*5</f>
        <v>2460</v>
      </c>
      <c r="U881" s="8">
        <f>IF(O881="",Table1[[#This Row],[Estimated LDL (mg/dL)2]]+Table1[[#This Row],[HDL (mg/dL)2]]+(Table1[[#This Row],[Triglycerides]]/5),O881)</f>
        <v>261</v>
      </c>
      <c r="V881">
        <v>82</v>
      </c>
      <c r="W881" s="8">
        <f t="shared" si="192"/>
        <v>82</v>
      </c>
      <c r="X881" t="str">
        <f t="shared" si="193"/>
        <v>Normal</v>
      </c>
      <c r="Y881" t="s">
        <v>22</v>
      </c>
      <c r="Z881" t="s">
        <v>22</v>
      </c>
      <c r="AA881" t="s">
        <v>28</v>
      </c>
      <c r="AB881" s="3" t="s">
        <v>126</v>
      </c>
      <c r="AD881" s="3" t="str">
        <f t="shared" si="194"/>
        <v>100</v>
      </c>
      <c r="AE881">
        <v>91</v>
      </c>
      <c r="AF881" s="3" t="str">
        <f t="shared" si="195"/>
        <v>91</v>
      </c>
      <c r="AG881" t="s">
        <v>38</v>
      </c>
      <c r="AH881" s="3">
        <v>13.82</v>
      </c>
      <c r="AI881" s="3">
        <f t="shared" si="196"/>
        <v>13.82</v>
      </c>
      <c r="AJ881" t="s">
        <v>26</v>
      </c>
      <c r="AK881" t="str">
        <f>PROPER(Table1[[#This Row],[CVD Risk Level]])</f>
        <v>Intermediary</v>
      </c>
    </row>
    <row r="882" spans="1:37" x14ac:dyDescent="0.3">
      <c r="A882" t="s">
        <v>31</v>
      </c>
      <c r="B882">
        <v>52</v>
      </c>
      <c r="C882" s="8">
        <f t="shared" si="185"/>
        <v>52</v>
      </c>
      <c r="D882" s="5">
        <v>72.599999999999994</v>
      </c>
      <c r="E882" s="8">
        <f t="shared" si="186"/>
        <v>72.599999999999994</v>
      </c>
      <c r="F882">
        <v>1.83</v>
      </c>
      <c r="G882" s="3">
        <f t="shared" si="187"/>
        <v>1.83</v>
      </c>
      <c r="H882">
        <v>21.7</v>
      </c>
      <c r="I882" s="5">
        <f t="shared" si="183"/>
        <v>21.7</v>
      </c>
      <c r="J882" s="16" t="str">
        <f t="shared" si="188"/>
        <v>Normal</v>
      </c>
      <c r="K882">
        <v>96.7</v>
      </c>
      <c r="L882">
        <v>0.52800000000000002</v>
      </c>
      <c r="M882" s="11">
        <f t="shared" si="184"/>
        <v>0.52800000000000002</v>
      </c>
      <c r="N882" s="5">
        <f t="shared" si="189"/>
        <v>96.7</v>
      </c>
      <c r="O882">
        <v>126</v>
      </c>
      <c r="P882">
        <v>57</v>
      </c>
      <c r="Q882" s="8">
        <f t="shared" si="190"/>
        <v>57</v>
      </c>
      <c r="R882" s="8">
        <v>39</v>
      </c>
      <c r="S882" s="8">
        <f t="shared" si="191"/>
        <v>39</v>
      </c>
      <c r="T882" s="8">
        <f>(Table1[[#This Row],[Total Cholesterol (mg/dL)]]+Table1[[#This Row],[HDL (mg/dL)2]]+Table1[[#This Row],[Estimated LDL (mg/dL)2]])*5</f>
        <v>1110</v>
      </c>
      <c r="U882" s="8">
        <f>IF(O882="",Table1[[#This Row],[Estimated LDL (mg/dL)2]]+Table1[[#This Row],[HDL (mg/dL)2]]+(Table1[[#This Row],[Triglycerides]]/5),O882)</f>
        <v>126</v>
      </c>
      <c r="V882">
        <v>97</v>
      </c>
      <c r="W882" s="8">
        <f t="shared" si="192"/>
        <v>97</v>
      </c>
      <c r="X882" t="str">
        <f t="shared" si="193"/>
        <v>Normal</v>
      </c>
      <c r="Y882" t="s">
        <v>22</v>
      </c>
      <c r="Z882" t="s">
        <v>23</v>
      </c>
      <c r="AA882" t="s">
        <v>37</v>
      </c>
      <c r="AB882" s="3" t="s">
        <v>771</v>
      </c>
      <c r="AC882">
        <v>121</v>
      </c>
      <c r="AD882" s="3" t="str">
        <f t="shared" si="194"/>
        <v>121</v>
      </c>
      <c r="AE882">
        <v>65</v>
      </c>
      <c r="AF882" s="3" t="str">
        <f t="shared" si="195"/>
        <v>65</v>
      </c>
      <c r="AG882" t="s">
        <v>25</v>
      </c>
      <c r="AH882" s="3">
        <v>14.91</v>
      </c>
      <c r="AI882" s="3">
        <f t="shared" si="196"/>
        <v>14.91</v>
      </c>
      <c r="AJ882" t="s">
        <v>26</v>
      </c>
      <c r="AK882" t="str">
        <f>PROPER(Table1[[#This Row],[CVD Risk Level]])</f>
        <v>Intermediary</v>
      </c>
    </row>
    <row r="883" spans="1:37" x14ac:dyDescent="0.3">
      <c r="A883" t="s">
        <v>31</v>
      </c>
      <c r="B883">
        <v>44</v>
      </c>
      <c r="C883" s="8">
        <f t="shared" si="185"/>
        <v>44</v>
      </c>
      <c r="D883" s="5">
        <v>54.6</v>
      </c>
      <c r="E883" s="8">
        <f t="shared" si="186"/>
        <v>54.6</v>
      </c>
      <c r="F883">
        <v>1.84</v>
      </c>
      <c r="G883" s="3">
        <f t="shared" si="187"/>
        <v>1.84</v>
      </c>
      <c r="H883">
        <v>16.100000000000001</v>
      </c>
      <c r="I883" s="5">
        <f t="shared" si="183"/>
        <v>16.100000000000001</v>
      </c>
      <c r="J883" s="16" t="str">
        <f t="shared" si="188"/>
        <v>Underweight</v>
      </c>
      <c r="K883">
        <v>110</v>
      </c>
      <c r="L883">
        <v>0.59799999999999998</v>
      </c>
      <c r="M883" s="11">
        <f t="shared" si="184"/>
        <v>0.59799999999999998</v>
      </c>
      <c r="N883" s="5">
        <f t="shared" si="189"/>
        <v>110</v>
      </c>
      <c r="O883">
        <v>277</v>
      </c>
      <c r="P883">
        <v>67</v>
      </c>
      <c r="Q883" s="8">
        <f t="shared" si="190"/>
        <v>67</v>
      </c>
      <c r="R883" s="8">
        <v>180</v>
      </c>
      <c r="S883" s="8">
        <f>IF(R883&lt;=0,MEDIAN($R$2:$R$1530),R883)</f>
        <v>180</v>
      </c>
      <c r="T883" s="8">
        <f>(Table1[[#This Row],[Total Cholesterol (mg/dL)]]+Table1[[#This Row],[HDL (mg/dL)2]]+Table1[[#This Row],[Estimated LDL (mg/dL)2]])*5</f>
        <v>2620</v>
      </c>
      <c r="U883" s="8">
        <f>IF(O883="",Table1[[#This Row],[Estimated LDL (mg/dL)2]]+Table1[[#This Row],[HDL (mg/dL)2]]+(Table1[[#This Row],[Triglycerides]]/5),O883)</f>
        <v>277</v>
      </c>
      <c r="V883">
        <v>87</v>
      </c>
      <c r="W883" s="8">
        <f t="shared" si="192"/>
        <v>87</v>
      </c>
      <c r="X883" t="str">
        <f t="shared" si="193"/>
        <v>Normal</v>
      </c>
      <c r="Y883" t="s">
        <v>23</v>
      </c>
      <c r="Z883" t="s">
        <v>22</v>
      </c>
      <c r="AA883" t="s">
        <v>24</v>
      </c>
      <c r="AB883" s="3" t="s">
        <v>530</v>
      </c>
      <c r="AC883">
        <v>147</v>
      </c>
      <c r="AD883" s="3" t="str">
        <f t="shared" si="194"/>
        <v>147</v>
      </c>
      <c r="AE883">
        <v>79</v>
      </c>
      <c r="AF883" s="3" t="str">
        <f t="shared" si="195"/>
        <v>79</v>
      </c>
      <c r="AG883" t="s">
        <v>38</v>
      </c>
      <c r="AH883" s="3">
        <v>16.11</v>
      </c>
      <c r="AI883" s="3">
        <f t="shared" si="196"/>
        <v>16.11</v>
      </c>
      <c r="AJ883" t="s">
        <v>30</v>
      </c>
      <c r="AK883" t="str">
        <f>PROPER(Table1[[#This Row],[CVD Risk Level]])</f>
        <v>High</v>
      </c>
    </row>
    <row r="884" spans="1:37" x14ac:dyDescent="0.3">
      <c r="A884" t="s">
        <v>20</v>
      </c>
      <c r="B884">
        <v>31</v>
      </c>
      <c r="C884" s="8">
        <f t="shared" si="185"/>
        <v>31</v>
      </c>
      <c r="D884" s="5">
        <v>87</v>
      </c>
      <c r="E884" s="8">
        <f t="shared" si="186"/>
        <v>87</v>
      </c>
      <c r="F884">
        <v>1.66</v>
      </c>
      <c r="G884" s="3">
        <f t="shared" si="187"/>
        <v>1.66</v>
      </c>
      <c r="H884">
        <v>31.6</v>
      </c>
      <c r="I884" s="5">
        <f t="shared" si="183"/>
        <v>31.6</v>
      </c>
      <c r="J884" s="16" t="str">
        <f t="shared" si="188"/>
        <v>Obese</v>
      </c>
      <c r="K884">
        <v>91.5</v>
      </c>
      <c r="L884">
        <v>0.55100000000000005</v>
      </c>
      <c r="M884" s="11">
        <f t="shared" si="184"/>
        <v>0.55100000000000005</v>
      </c>
      <c r="N884" s="5">
        <f t="shared" si="189"/>
        <v>91.5</v>
      </c>
      <c r="O884">
        <v>207</v>
      </c>
      <c r="P884">
        <v>56</v>
      </c>
      <c r="Q884" s="8">
        <f t="shared" si="190"/>
        <v>56</v>
      </c>
      <c r="R884" s="8">
        <v>121</v>
      </c>
      <c r="S884" s="8">
        <f t="shared" si="191"/>
        <v>121</v>
      </c>
      <c r="T884" s="8">
        <f>(Table1[[#This Row],[Total Cholesterol (mg/dL)]]+Table1[[#This Row],[HDL (mg/dL)2]]+Table1[[#This Row],[Estimated LDL (mg/dL)2]])*5</f>
        <v>1920</v>
      </c>
      <c r="U884" s="8">
        <f>IF(O884="",Table1[[#This Row],[Estimated LDL (mg/dL)2]]+Table1[[#This Row],[HDL (mg/dL)2]]+(Table1[[#This Row],[Triglycerides]]/5),O884)</f>
        <v>207</v>
      </c>
      <c r="V884">
        <v>82</v>
      </c>
      <c r="W884" s="8">
        <f t="shared" si="192"/>
        <v>82</v>
      </c>
      <c r="X884" t="str">
        <f t="shared" si="193"/>
        <v>Normal</v>
      </c>
      <c r="Y884" t="s">
        <v>22</v>
      </c>
      <c r="Z884" t="s">
        <v>22</v>
      </c>
      <c r="AA884" t="s">
        <v>24</v>
      </c>
      <c r="AB884" s="3" t="s">
        <v>296</v>
      </c>
      <c r="AC884">
        <v>139</v>
      </c>
      <c r="AD884" s="3" t="str">
        <f t="shared" si="194"/>
        <v>139</v>
      </c>
      <c r="AE884">
        <v>81</v>
      </c>
      <c r="AF884" s="3" t="str">
        <f t="shared" si="195"/>
        <v>81</v>
      </c>
      <c r="AG884" t="s">
        <v>29</v>
      </c>
      <c r="AH884" s="3">
        <v>17.41</v>
      </c>
      <c r="AI884" s="3">
        <f t="shared" si="196"/>
        <v>17.41</v>
      </c>
      <c r="AJ884" t="s">
        <v>30</v>
      </c>
      <c r="AK884" t="str">
        <f>PROPER(Table1[[#This Row],[CVD Risk Level]])</f>
        <v>High</v>
      </c>
    </row>
    <row r="885" spans="1:37" x14ac:dyDescent="0.3">
      <c r="A885" t="s">
        <v>31</v>
      </c>
      <c r="B885">
        <v>33</v>
      </c>
      <c r="C885" s="8">
        <f t="shared" si="185"/>
        <v>33</v>
      </c>
      <c r="D885" s="5">
        <v>94.7</v>
      </c>
      <c r="E885" s="8">
        <f t="shared" si="186"/>
        <v>94.7</v>
      </c>
      <c r="F885">
        <v>1.79</v>
      </c>
      <c r="G885" s="3">
        <f t="shared" si="187"/>
        <v>1.79</v>
      </c>
      <c r="I885" s="5">
        <f t="shared" si="183"/>
        <v>29.555881526793797</v>
      </c>
      <c r="J885" s="16" t="str">
        <f t="shared" si="188"/>
        <v>Overweight</v>
      </c>
      <c r="K885">
        <v>89.8</v>
      </c>
      <c r="L885">
        <v>0.502</v>
      </c>
      <c r="M885" s="11">
        <f t="shared" si="184"/>
        <v>0.502</v>
      </c>
      <c r="N885" s="5">
        <f t="shared" si="189"/>
        <v>89.8</v>
      </c>
      <c r="O885">
        <v>248</v>
      </c>
      <c r="P885">
        <v>50</v>
      </c>
      <c r="Q885" s="8">
        <f t="shared" si="190"/>
        <v>50</v>
      </c>
      <c r="R885" s="8">
        <v>168</v>
      </c>
      <c r="S885" s="8">
        <f t="shared" si="191"/>
        <v>168</v>
      </c>
      <c r="T885" s="8">
        <f>(Table1[[#This Row],[Total Cholesterol (mg/dL)]]+Table1[[#This Row],[HDL (mg/dL)2]]+Table1[[#This Row],[Estimated LDL (mg/dL)2]])*5</f>
        <v>2330</v>
      </c>
      <c r="U885" s="8">
        <f>IF(O885="",Table1[[#This Row],[Estimated LDL (mg/dL)2]]+Table1[[#This Row],[HDL (mg/dL)2]]+(Table1[[#This Row],[Triglycerides]]/5),O885)</f>
        <v>248</v>
      </c>
      <c r="V885">
        <v>130</v>
      </c>
      <c r="W885" s="8">
        <f t="shared" si="192"/>
        <v>130</v>
      </c>
      <c r="X885" t="str">
        <f t="shared" si="193"/>
        <v>Diabetes</v>
      </c>
      <c r="Y885" t="s">
        <v>23</v>
      </c>
      <c r="Z885" t="s">
        <v>23</v>
      </c>
      <c r="AA885" t="s">
        <v>37</v>
      </c>
      <c r="AB885" s="3" t="s">
        <v>772</v>
      </c>
      <c r="AC885">
        <v>119</v>
      </c>
      <c r="AD885" s="3" t="str">
        <f t="shared" si="194"/>
        <v>119</v>
      </c>
      <c r="AE885">
        <v>60</v>
      </c>
      <c r="AF885" s="3" t="str">
        <f t="shared" si="195"/>
        <v>60</v>
      </c>
      <c r="AG885" t="s">
        <v>33</v>
      </c>
      <c r="AI885" s="3">
        <f t="shared" si="196"/>
        <v>16.960925291295425</v>
      </c>
      <c r="AJ885" t="s">
        <v>30</v>
      </c>
      <c r="AK885" t="str">
        <f>PROPER(Table1[[#This Row],[CVD Risk Level]])</f>
        <v>High</v>
      </c>
    </row>
    <row r="886" spans="1:37" x14ac:dyDescent="0.3">
      <c r="A886" t="s">
        <v>31</v>
      </c>
      <c r="B886">
        <v>53</v>
      </c>
      <c r="C886" s="8">
        <f t="shared" si="185"/>
        <v>53</v>
      </c>
      <c r="D886" s="5">
        <v>101.3</v>
      </c>
      <c r="E886" s="8">
        <f t="shared" si="186"/>
        <v>101.3</v>
      </c>
      <c r="F886">
        <v>1.73</v>
      </c>
      <c r="G886" s="3">
        <f t="shared" si="187"/>
        <v>1.73</v>
      </c>
      <c r="H886">
        <v>33.799999999999997</v>
      </c>
      <c r="I886" s="5">
        <f t="shared" si="183"/>
        <v>33.799999999999997</v>
      </c>
      <c r="J886" s="16" t="str">
        <f t="shared" si="188"/>
        <v>Obese</v>
      </c>
      <c r="K886">
        <v>86.5</v>
      </c>
      <c r="L886">
        <v>0.5</v>
      </c>
      <c r="M886" s="11">
        <f t="shared" si="184"/>
        <v>0.5</v>
      </c>
      <c r="N886" s="5">
        <f t="shared" si="189"/>
        <v>86.5</v>
      </c>
      <c r="O886">
        <v>132</v>
      </c>
      <c r="P886">
        <v>80</v>
      </c>
      <c r="Q886" s="8">
        <f t="shared" si="190"/>
        <v>80</v>
      </c>
      <c r="R886" s="8">
        <v>22</v>
      </c>
      <c r="S886" s="8">
        <f t="shared" si="191"/>
        <v>22</v>
      </c>
      <c r="T886" s="8">
        <f>(Table1[[#This Row],[Total Cholesterol (mg/dL)]]+Table1[[#This Row],[HDL (mg/dL)2]]+Table1[[#This Row],[Estimated LDL (mg/dL)2]])*5</f>
        <v>1170</v>
      </c>
      <c r="U886" s="8">
        <f>IF(O886="",Table1[[#This Row],[Estimated LDL (mg/dL)2]]+Table1[[#This Row],[HDL (mg/dL)2]]+(Table1[[#This Row],[Triglycerides]]/5),O886)</f>
        <v>132</v>
      </c>
      <c r="V886">
        <v>128</v>
      </c>
      <c r="W886" s="8">
        <f t="shared" si="192"/>
        <v>128</v>
      </c>
      <c r="X886" t="str">
        <f t="shared" si="193"/>
        <v>Diabetes</v>
      </c>
      <c r="Y886" t="s">
        <v>22</v>
      </c>
      <c r="Z886" t="s">
        <v>22</v>
      </c>
      <c r="AA886" t="s">
        <v>28</v>
      </c>
      <c r="AB886" s="3" t="s">
        <v>773</v>
      </c>
      <c r="AC886">
        <v>114</v>
      </c>
      <c r="AD886" s="3" t="str">
        <f t="shared" si="194"/>
        <v>114</v>
      </c>
      <c r="AE886">
        <v>86</v>
      </c>
      <c r="AF886" s="3" t="str">
        <f t="shared" si="195"/>
        <v>86</v>
      </c>
      <c r="AG886" t="s">
        <v>29</v>
      </c>
      <c r="AH886" s="3">
        <v>15.1</v>
      </c>
      <c r="AI886" s="3">
        <f t="shared" si="196"/>
        <v>15.1</v>
      </c>
      <c r="AJ886" t="s">
        <v>26</v>
      </c>
      <c r="AK886" t="str">
        <f>PROPER(Table1[[#This Row],[CVD Risk Level]])</f>
        <v>Intermediary</v>
      </c>
    </row>
    <row r="887" spans="1:37" x14ac:dyDescent="0.3">
      <c r="A887" t="s">
        <v>20</v>
      </c>
      <c r="B887">
        <v>57</v>
      </c>
      <c r="C887" s="8">
        <f t="shared" si="185"/>
        <v>57</v>
      </c>
      <c r="D887" s="5">
        <v>60</v>
      </c>
      <c r="E887" s="8">
        <f t="shared" si="186"/>
        <v>60</v>
      </c>
      <c r="F887">
        <v>1.7</v>
      </c>
      <c r="G887" s="3">
        <f t="shared" si="187"/>
        <v>1.7</v>
      </c>
      <c r="H887">
        <v>20.8</v>
      </c>
      <c r="I887" s="5">
        <f t="shared" si="183"/>
        <v>20.8</v>
      </c>
      <c r="J887" s="16" t="str">
        <f t="shared" si="188"/>
        <v>Normal</v>
      </c>
      <c r="K887">
        <v>88.8</v>
      </c>
      <c r="L887">
        <v>0.52200000000000002</v>
      </c>
      <c r="M887" s="11">
        <f t="shared" si="184"/>
        <v>0.52200000000000002</v>
      </c>
      <c r="N887" s="5">
        <f t="shared" si="189"/>
        <v>88.8</v>
      </c>
      <c r="O887">
        <v>237</v>
      </c>
      <c r="P887">
        <v>78</v>
      </c>
      <c r="Q887" s="8">
        <f t="shared" si="190"/>
        <v>78</v>
      </c>
      <c r="R887" s="8">
        <v>129</v>
      </c>
      <c r="S887" s="8">
        <f t="shared" si="191"/>
        <v>129</v>
      </c>
      <c r="T887" s="8">
        <f>(Table1[[#This Row],[Total Cholesterol (mg/dL)]]+Table1[[#This Row],[HDL (mg/dL)2]]+Table1[[#This Row],[Estimated LDL (mg/dL)2]])*5</f>
        <v>2220</v>
      </c>
      <c r="U887" s="8">
        <f>IF(O887="",Table1[[#This Row],[Estimated LDL (mg/dL)2]]+Table1[[#This Row],[HDL (mg/dL)2]]+(Table1[[#This Row],[Triglycerides]]/5),O887)</f>
        <v>237</v>
      </c>
      <c r="V887">
        <v>90</v>
      </c>
      <c r="W887" s="8">
        <f t="shared" si="192"/>
        <v>90</v>
      </c>
      <c r="X887" t="str">
        <f t="shared" si="193"/>
        <v>Normal</v>
      </c>
      <c r="Y887" t="s">
        <v>22</v>
      </c>
      <c r="Z887" t="s">
        <v>22</v>
      </c>
      <c r="AA887" t="s">
        <v>24</v>
      </c>
      <c r="AB887" s="3" t="s">
        <v>774</v>
      </c>
      <c r="AC887">
        <v>114</v>
      </c>
      <c r="AD887" s="3" t="str">
        <f t="shared" si="194"/>
        <v>114</v>
      </c>
      <c r="AE887">
        <v>73</v>
      </c>
      <c r="AF887" s="3" t="str">
        <f t="shared" si="195"/>
        <v>73</v>
      </c>
      <c r="AG887" t="s">
        <v>33</v>
      </c>
      <c r="AH887" s="3">
        <v>14.6</v>
      </c>
      <c r="AI887" s="3">
        <f t="shared" si="196"/>
        <v>14.6</v>
      </c>
      <c r="AJ887" t="s">
        <v>26</v>
      </c>
      <c r="AK887" t="str">
        <f>PROPER(Table1[[#This Row],[CVD Risk Level]])</f>
        <v>Intermediary</v>
      </c>
    </row>
    <row r="888" spans="1:37" x14ac:dyDescent="0.3">
      <c r="A888" t="s">
        <v>31</v>
      </c>
      <c r="B888">
        <v>43</v>
      </c>
      <c r="C888" s="8">
        <f t="shared" si="185"/>
        <v>43</v>
      </c>
      <c r="D888" s="5">
        <v>70</v>
      </c>
      <c r="E888" s="8">
        <f t="shared" si="186"/>
        <v>70</v>
      </c>
      <c r="F888">
        <v>1.74</v>
      </c>
      <c r="G888" s="3">
        <f t="shared" si="187"/>
        <v>1.74</v>
      </c>
      <c r="H888">
        <v>23.1</v>
      </c>
      <c r="I888" s="5">
        <f t="shared" si="183"/>
        <v>23.1</v>
      </c>
      <c r="J888" s="16" t="str">
        <f t="shared" si="188"/>
        <v>Normal</v>
      </c>
      <c r="K888">
        <v>95.9</v>
      </c>
      <c r="L888">
        <v>0.55100000000000005</v>
      </c>
      <c r="M888" s="11">
        <f t="shared" si="184"/>
        <v>0.55100000000000005</v>
      </c>
      <c r="N888" s="5">
        <f t="shared" si="189"/>
        <v>95.9</v>
      </c>
      <c r="O888">
        <v>184</v>
      </c>
      <c r="P888">
        <v>44</v>
      </c>
      <c r="Q888" s="8">
        <f t="shared" si="190"/>
        <v>44</v>
      </c>
      <c r="S888" s="8">
        <f t="shared" si="191"/>
        <v>109</v>
      </c>
      <c r="T888" s="8">
        <f>(Table1[[#This Row],[Total Cholesterol (mg/dL)]]+Table1[[#This Row],[HDL (mg/dL)2]]+Table1[[#This Row],[Estimated LDL (mg/dL)2]])*5</f>
        <v>1685</v>
      </c>
      <c r="U888" s="8">
        <f>IF(O888="",Table1[[#This Row],[Estimated LDL (mg/dL)2]]+Table1[[#This Row],[HDL (mg/dL)2]]+(Table1[[#This Row],[Triglycerides]]/5),O888)</f>
        <v>184</v>
      </c>
      <c r="V888">
        <v>80</v>
      </c>
      <c r="W888" s="8">
        <f t="shared" si="192"/>
        <v>80</v>
      </c>
      <c r="X888" t="str">
        <f t="shared" si="193"/>
        <v>Normal</v>
      </c>
      <c r="Y888" t="s">
        <v>23</v>
      </c>
      <c r="Z888" t="s">
        <v>23</v>
      </c>
      <c r="AA888" t="s">
        <v>24</v>
      </c>
      <c r="AB888" s="3" t="s">
        <v>336</v>
      </c>
      <c r="AC888">
        <v>99</v>
      </c>
      <c r="AD888" s="3" t="str">
        <f t="shared" si="194"/>
        <v>99</v>
      </c>
      <c r="AE888">
        <v>70</v>
      </c>
      <c r="AF888" s="3" t="str">
        <f t="shared" si="195"/>
        <v>70</v>
      </c>
      <c r="AG888" t="s">
        <v>33</v>
      </c>
      <c r="AH888" s="3">
        <v>15.25</v>
      </c>
      <c r="AI888" s="3">
        <f t="shared" si="196"/>
        <v>15.25</v>
      </c>
      <c r="AJ888" t="s">
        <v>30</v>
      </c>
      <c r="AK888" t="str">
        <f>PROPER(Table1[[#This Row],[CVD Risk Level]])</f>
        <v>High</v>
      </c>
    </row>
    <row r="889" spans="1:37" x14ac:dyDescent="0.3">
      <c r="A889" t="s">
        <v>20</v>
      </c>
      <c r="B889">
        <v>58</v>
      </c>
      <c r="C889" s="8">
        <f t="shared" si="185"/>
        <v>58</v>
      </c>
      <c r="D889" s="5">
        <v>103.5</v>
      </c>
      <c r="E889" s="8">
        <f t="shared" si="186"/>
        <v>103.5</v>
      </c>
      <c r="F889">
        <v>1.79</v>
      </c>
      <c r="G889" s="3">
        <f t="shared" si="187"/>
        <v>1.79</v>
      </c>
      <c r="H889">
        <v>32.299999999999997</v>
      </c>
      <c r="I889" s="5">
        <f t="shared" si="183"/>
        <v>32.299999999999997</v>
      </c>
      <c r="J889" s="16" t="str">
        <f t="shared" si="188"/>
        <v>Obese</v>
      </c>
      <c r="K889">
        <v>101</v>
      </c>
      <c r="L889">
        <v>0.56399999999999995</v>
      </c>
      <c r="M889" s="11">
        <f t="shared" si="184"/>
        <v>0.56399999999999995</v>
      </c>
      <c r="N889" s="5">
        <f t="shared" si="189"/>
        <v>101</v>
      </c>
      <c r="O889">
        <v>270</v>
      </c>
      <c r="P889">
        <v>39</v>
      </c>
      <c r="Q889" s="8">
        <f t="shared" si="190"/>
        <v>39</v>
      </c>
      <c r="R889" s="8">
        <v>201</v>
      </c>
      <c r="S889" s="8">
        <f t="shared" si="191"/>
        <v>201</v>
      </c>
      <c r="T889" s="8">
        <f>(Table1[[#This Row],[Total Cholesterol (mg/dL)]]+Table1[[#This Row],[HDL (mg/dL)2]]+Table1[[#This Row],[Estimated LDL (mg/dL)2]])*5</f>
        <v>2550</v>
      </c>
      <c r="U889" s="8">
        <f>IF(O889="",Table1[[#This Row],[Estimated LDL (mg/dL)2]]+Table1[[#This Row],[HDL (mg/dL)2]]+(Table1[[#This Row],[Triglycerides]]/5),O889)</f>
        <v>270</v>
      </c>
      <c r="V889">
        <v>84</v>
      </c>
      <c r="W889" s="8">
        <f t="shared" si="192"/>
        <v>84</v>
      </c>
      <c r="X889" t="str">
        <f t="shared" si="193"/>
        <v>Normal</v>
      </c>
      <c r="Y889" t="s">
        <v>23</v>
      </c>
      <c r="Z889" t="s">
        <v>23</v>
      </c>
      <c r="AA889" t="s">
        <v>28</v>
      </c>
      <c r="AB889" s="3" t="s">
        <v>775</v>
      </c>
      <c r="AC889">
        <v>123</v>
      </c>
      <c r="AD889" s="3" t="str">
        <f t="shared" si="194"/>
        <v>123</v>
      </c>
      <c r="AE889">
        <v>76</v>
      </c>
      <c r="AF889" s="3" t="str">
        <f t="shared" si="195"/>
        <v>76</v>
      </c>
      <c r="AG889" t="s">
        <v>25</v>
      </c>
      <c r="AH889" s="3">
        <v>20.010000000000002</v>
      </c>
      <c r="AI889" s="3">
        <f t="shared" si="196"/>
        <v>20.010000000000002</v>
      </c>
      <c r="AJ889" t="s">
        <v>30</v>
      </c>
      <c r="AK889" t="str">
        <f>PROPER(Table1[[#This Row],[CVD Risk Level]])</f>
        <v>High</v>
      </c>
    </row>
    <row r="890" spans="1:37" x14ac:dyDescent="0.3">
      <c r="A890" t="s">
        <v>31</v>
      </c>
      <c r="B890">
        <v>56</v>
      </c>
      <c r="C890" s="8">
        <f t="shared" si="185"/>
        <v>56</v>
      </c>
      <c r="D890" s="5">
        <v>55.4</v>
      </c>
      <c r="E890" s="8">
        <f t="shared" si="186"/>
        <v>55.4</v>
      </c>
      <c r="F890">
        <v>1.87</v>
      </c>
      <c r="G890" s="3">
        <f t="shared" si="187"/>
        <v>1.87</v>
      </c>
      <c r="H890">
        <v>15.8</v>
      </c>
      <c r="I890" s="5">
        <f t="shared" si="183"/>
        <v>15.8</v>
      </c>
      <c r="J890" s="16" t="str">
        <f t="shared" si="188"/>
        <v>Underweight</v>
      </c>
      <c r="K890">
        <v>99.1</v>
      </c>
      <c r="L890">
        <v>0.53</v>
      </c>
      <c r="M890" s="11">
        <f t="shared" si="184"/>
        <v>0.53</v>
      </c>
      <c r="N890" s="5">
        <f t="shared" si="189"/>
        <v>99.1</v>
      </c>
      <c r="O890">
        <v>209</v>
      </c>
      <c r="P890">
        <v>38</v>
      </c>
      <c r="Q890" s="8">
        <f t="shared" si="190"/>
        <v>38</v>
      </c>
      <c r="R890" s="8">
        <v>141</v>
      </c>
      <c r="S890" s="8">
        <f t="shared" si="191"/>
        <v>141</v>
      </c>
      <c r="T890" s="8">
        <f>(Table1[[#This Row],[Total Cholesterol (mg/dL)]]+Table1[[#This Row],[HDL (mg/dL)2]]+Table1[[#This Row],[Estimated LDL (mg/dL)2]])*5</f>
        <v>1940</v>
      </c>
      <c r="U890" s="8">
        <f>IF(O890="",Table1[[#This Row],[Estimated LDL (mg/dL)2]]+Table1[[#This Row],[HDL (mg/dL)2]]+(Table1[[#This Row],[Triglycerides]]/5),O890)</f>
        <v>209</v>
      </c>
      <c r="V890">
        <v>81</v>
      </c>
      <c r="W890" s="8">
        <f t="shared" si="192"/>
        <v>81</v>
      </c>
      <c r="X890" t="str">
        <f t="shared" si="193"/>
        <v>Normal</v>
      </c>
      <c r="Y890" t="s">
        <v>22</v>
      </c>
      <c r="Z890" t="s">
        <v>22</v>
      </c>
      <c r="AA890" t="s">
        <v>28</v>
      </c>
      <c r="AB890" s="3" t="s">
        <v>776</v>
      </c>
      <c r="AC890">
        <v>124</v>
      </c>
      <c r="AD890" s="3" t="str">
        <f t="shared" si="194"/>
        <v>124</v>
      </c>
      <c r="AE890">
        <v>78</v>
      </c>
      <c r="AF890" s="3" t="str">
        <f t="shared" si="195"/>
        <v>78</v>
      </c>
      <c r="AG890" t="s">
        <v>25</v>
      </c>
      <c r="AH890" s="3">
        <v>13.54</v>
      </c>
      <c r="AI890" s="3">
        <f t="shared" si="196"/>
        <v>13.54</v>
      </c>
      <c r="AJ890" t="s">
        <v>26</v>
      </c>
      <c r="AK890" t="str">
        <f>PROPER(Table1[[#This Row],[CVD Risk Level]])</f>
        <v>Intermediary</v>
      </c>
    </row>
    <row r="891" spans="1:37" x14ac:dyDescent="0.3">
      <c r="A891" t="s">
        <v>20</v>
      </c>
      <c r="B891">
        <v>34</v>
      </c>
      <c r="C891" s="8">
        <f t="shared" si="185"/>
        <v>34</v>
      </c>
      <c r="D891" s="5">
        <v>89.8</v>
      </c>
      <c r="E891" s="8">
        <f t="shared" si="186"/>
        <v>89.8</v>
      </c>
      <c r="F891">
        <v>1.69</v>
      </c>
      <c r="G891" s="3">
        <f t="shared" si="187"/>
        <v>1.69</v>
      </c>
      <c r="I891" s="5">
        <f t="shared" si="183"/>
        <v>31.441476138790662</v>
      </c>
      <c r="J891" s="16" t="str">
        <f t="shared" si="188"/>
        <v>Obese</v>
      </c>
      <c r="K891">
        <v>88.3</v>
      </c>
      <c r="L891">
        <v>0.52200000000000002</v>
      </c>
      <c r="M891" s="11">
        <f t="shared" si="184"/>
        <v>0.52200000000000002</v>
      </c>
      <c r="N891" s="5">
        <f t="shared" si="189"/>
        <v>88.3</v>
      </c>
      <c r="O891">
        <v>174</v>
      </c>
      <c r="Q891" s="8">
        <f t="shared" si="190"/>
        <v>56.197377501725327</v>
      </c>
      <c r="R891" s="8">
        <v>108</v>
      </c>
      <c r="S891" s="8">
        <f>IF(R891&lt;=0,MEDIAN($R$2:$R$1530),R891)</f>
        <v>108</v>
      </c>
      <c r="T891" s="8">
        <f>(Table1[[#This Row],[Total Cholesterol (mg/dL)]]+Table1[[#This Row],[HDL (mg/dL)2]]+Table1[[#This Row],[Estimated LDL (mg/dL)2]])*5</f>
        <v>1690.9868875086268</v>
      </c>
      <c r="U891" s="8">
        <f>IF(O891="",Table1[[#This Row],[Estimated LDL (mg/dL)2]]+Table1[[#This Row],[HDL (mg/dL)2]]+(Table1[[#This Row],[Triglycerides]]/5),O891)</f>
        <v>174</v>
      </c>
      <c r="V891">
        <v>140</v>
      </c>
      <c r="W891" s="8">
        <f t="shared" si="192"/>
        <v>140</v>
      </c>
      <c r="X891" t="str">
        <f t="shared" si="193"/>
        <v>Diabetes</v>
      </c>
      <c r="Y891" t="s">
        <v>22</v>
      </c>
      <c r="Z891" t="s">
        <v>22</v>
      </c>
      <c r="AA891" t="s">
        <v>37</v>
      </c>
      <c r="AB891" s="3" t="s">
        <v>777</v>
      </c>
      <c r="AC891">
        <v>109</v>
      </c>
      <c r="AD891" s="3" t="str">
        <f t="shared" si="194"/>
        <v>109</v>
      </c>
      <c r="AE891">
        <v>61</v>
      </c>
      <c r="AF891" s="3" t="str">
        <f t="shared" si="195"/>
        <v>61</v>
      </c>
      <c r="AG891" t="s">
        <v>33</v>
      </c>
      <c r="AH891" s="3">
        <v>15.21</v>
      </c>
      <c r="AI891" s="3">
        <f t="shared" si="196"/>
        <v>15.21</v>
      </c>
      <c r="AJ891" t="s">
        <v>26</v>
      </c>
      <c r="AK891" t="str">
        <f>PROPER(Table1[[#This Row],[CVD Risk Level]])</f>
        <v>Intermediary</v>
      </c>
    </row>
    <row r="892" spans="1:37" x14ac:dyDescent="0.3">
      <c r="A892" t="s">
        <v>31</v>
      </c>
      <c r="B892">
        <v>34</v>
      </c>
      <c r="C892" s="8">
        <f t="shared" si="185"/>
        <v>34</v>
      </c>
      <c r="D892" s="5">
        <v>66.400000000000006</v>
      </c>
      <c r="E892" s="8">
        <f t="shared" si="186"/>
        <v>66.400000000000006</v>
      </c>
      <c r="F892">
        <v>1.88</v>
      </c>
      <c r="G892" s="3">
        <f t="shared" si="187"/>
        <v>1.88</v>
      </c>
      <c r="H892">
        <v>18.8</v>
      </c>
      <c r="I892" s="5">
        <f t="shared" si="183"/>
        <v>18.8</v>
      </c>
      <c r="J892" s="16" t="str">
        <f t="shared" si="188"/>
        <v>Normal</v>
      </c>
      <c r="K892">
        <v>106.3</v>
      </c>
      <c r="L892">
        <v>0.56499999999999995</v>
      </c>
      <c r="M892" s="11">
        <f t="shared" si="184"/>
        <v>0.56499999999999995</v>
      </c>
      <c r="N892" s="5">
        <f t="shared" si="189"/>
        <v>106.3</v>
      </c>
      <c r="O892">
        <v>283</v>
      </c>
      <c r="P892">
        <v>65</v>
      </c>
      <c r="Q892" s="8">
        <f t="shared" si="190"/>
        <v>65</v>
      </c>
      <c r="R892" s="8">
        <v>188</v>
      </c>
      <c r="S892" s="8">
        <f t="shared" si="191"/>
        <v>188</v>
      </c>
      <c r="T892" s="8">
        <f>(Table1[[#This Row],[Total Cholesterol (mg/dL)]]+Table1[[#This Row],[HDL (mg/dL)2]]+Table1[[#This Row],[Estimated LDL (mg/dL)2]])*5</f>
        <v>2680</v>
      </c>
      <c r="U892" s="8">
        <f>IF(O892="",Table1[[#This Row],[Estimated LDL (mg/dL)2]]+Table1[[#This Row],[HDL (mg/dL)2]]+(Table1[[#This Row],[Triglycerides]]/5),O892)</f>
        <v>283</v>
      </c>
      <c r="V892">
        <v>97</v>
      </c>
      <c r="W892" s="8">
        <f t="shared" si="192"/>
        <v>97</v>
      </c>
      <c r="X892" t="str">
        <f t="shared" si="193"/>
        <v>Normal</v>
      </c>
      <c r="Y892" t="s">
        <v>22</v>
      </c>
      <c r="Z892" t="s">
        <v>23</v>
      </c>
      <c r="AA892" t="s">
        <v>28</v>
      </c>
      <c r="AB892" s="3" t="s">
        <v>778</v>
      </c>
      <c r="AC892">
        <v>104</v>
      </c>
      <c r="AD892" s="3" t="str">
        <f t="shared" si="194"/>
        <v>104</v>
      </c>
      <c r="AE892">
        <v>64</v>
      </c>
      <c r="AF892" s="3" t="str">
        <f t="shared" si="195"/>
        <v>64</v>
      </c>
      <c r="AG892" t="s">
        <v>33</v>
      </c>
      <c r="AH892" s="3">
        <v>16.62</v>
      </c>
      <c r="AI892" s="3">
        <f t="shared" si="196"/>
        <v>16.62</v>
      </c>
      <c r="AJ892" t="s">
        <v>26</v>
      </c>
      <c r="AK892" t="str">
        <f>PROPER(Table1[[#This Row],[CVD Risk Level]])</f>
        <v>Intermediary</v>
      </c>
    </row>
    <row r="893" spans="1:37" x14ac:dyDescent="0.3">
      <c r="A893" t="s">
        <v>20</v>
      </c>
      <c r="B893">
        <v>53</v>
      </c>
      <c r="C893" s="8">
        <f t="shared" si="185"/>
        <v>53</v>
      </c>
      <c r="D893" s="5">
        <v>50.7</v>
      </c>
      <c r="E893" s="8">
        <f t="shared" si="186"/>
        <v>50.7</v>
      </c>
      <c r="F893">
        <v>1.73</v>
      </c>
      <c r="G893" s="3">
        <f t="shared" si="187"/>
        <v>1.73</v>
      </c>
      <c r="H893">
        <v>16.899999999999999</v>
      </c>
      <c r="I893" s="5">
        <f t="shared" si="183"/>
        <v>16.899999999999999</v>
      </c>
      <c r="J893" s="16" t="str">
        <f t="shared" si="188"/>
        <v>Underweight</v>
      </c>
      <c r="K893">
        <v>94</v>
      </c>
      <c r="L893">
        <v>0.54300000000000004</v>
      </c>
      <c r="M893" s="11">
        <f t="shared" si="184"/>
        <v>0.54300000000000004</v>
      </c>
      <c r="N893" s="5">
        <f t="shared" si="189"/>
        <v>94</v>
      </c>
      <c r="O893">
        <v>160</v>
      </c>
      <c r="P893">
        <v>57</v>
      </c>
      <c r="Q893" s="8">
        <f t="shared" si="190"/>
        <v>57</v>
      </c>
      <c r="R893" s="8">
        <v>73</v>
      </c>
      <c r="S893" s="8">
        <f t="shared" si="191"/>
        <v>73</v>
      </c>
      <c r="T893" s="8">
        <f>(Table1[[#This Row],[Total Cholesterol (mg/dL)]]+Table1[[#This Row],[HDL (mg/dL)2]]+Table1[[#This Row],[Estimated LDL (mg/dL)2]])*5</f>
        <v>1450</v>
      </c>
      <c r="U893" s="8">
        <f>IF(O893="",Table1[[#This Row],[Estimated LDL (mg/dL)2]]+Table1[[#This Row],[HDL (mg/dL)2]]+(Table1[[#This Row],[Triglycerides]]/5),O893)</f>
        <v>160</v>
      </c>
      <c r="V893">
        <v>77</v>
      </c>
      <c r="W893" s="8">
        <f t="shared" si="192"/>
        <v>77</v>
      </c>
      <c r="X893" t="str">
        <f t="shared" si="193"/>
        <v>Normal</v>
      </c>
      <c r="Y893" t="s">
        <v>23</v>
      </c>
      <c r="Z893" t="s">
        <v>23</v>
      </c>
      <c r="AA893" t="s">
        <v>28</v>
      </c>
      <c r="AB893" s="3" t="s">
        <v>256</v>
      </c>
      <c r="AC893">
        <v>127</v>
      </c>
      <c r="AD893" s="3" t="str">
        <f t="shared" si="194"/>
        <v>127</v>
      </c>
      <c r="AE893">
        <v>84</v>
      </c>
      <c r="AF893" s="3" t="str">
        <f t="shared" si="195"/>
        <v>84</v>
      </c>
      <c r="AG893" t="s">
        <v>29</v>
      </c>
      <c r="AH893" s="3">
        <v>14.93</v>
      </c>
      <c r="AI893" s="3">
        <f t="shared" si="196"/>
        <v>14.93</v>
      </c>
      <c r="AJ893" t="s">
        <v>26</v>
      </c>
      <c r="AK893" t="str">
        <f>PROPER(Table1[[#This Row],[CVD Risk Level]])</f>
        <v>Intermediary</v>
      </c>
    </row>
    <row r="894" spans="1:37" x14ac:dyDescent="0.3">
      <c r="A894" t="s">
        <v>31</v>
      </c>
      <c r="B894">
        <v>59</v>
      </c>
      <c r="C894" s="8">
        <f t="shared" si="185"/>
        <v>59</v>
      </c>
      <c r="D894" s="5">
        <v>98.9</v>
      </c>
      <c r="E894" s="8">
        <f t="shared" si="186"/>
        <v>98.9</v>
      </c>
      <c r="F894">
        <v>1.67</v>
      </c>
      <c r="G894" s="3">
        <f t="shared" si="187"/>
        <v>1.67</v>
      </c>
      <c r="H894">
        <v>35.5</v>
      </c>
      <c r="I894" s="5">
        <f t="shared" si="183"/>
        <v>35.5</v>
      </c>
      <c r="J894" s="16" t="str">
        <f t="shared" si="188"/>
        <v>Obese</v>
      </c>
      <c r="K894">
        <v>108.7</v>
      </c>
      <c r="L894">
        <v>0.65100000000000002</v>
      </c>
      <c r="M894" s="11">
        <f t="shared" si="184"/>
        <v>0.65100000000000002</v>
      </c>
      <c r="N894" s="5">
        <f t="shared" si="189"/>
        <v>108.7</v>
      </c>
      <c r="O894">
        <v>216</v>
      </c>
      <c r="P894">
        <v>45</v>
      </c>
      <c r="Q894" s="8">
        <f t="shared" si="190"/>
        <v>45</v>
      </c>
      <c r="R894" s="8">
        <v>141</v>
      </c>
      <c r="S894" s="8">
        <f t="shared" si="191"/>
        <v>141</v>
      </c>
      <c r="T894" s="8">
        <f>(Table1[[#This Row],[Total Cholesterol (mg/dL)]]+Table1[[#This Row],[HDL (mg/dL)2]]+Table1[[#This Row],[Estimated LDL (mg/dL)2]])*5</f>
        <v>2010</v>
      </c>
      <c r="U894" s="8">
        <f>IF(O894="",Table1[[#This Row],[Estimated LDL (mg/dL)2]]+Table1[[#This Row],[HDL (mg/dL)2]]+(Table1[[#This Row],[Triglycerides]]/5),O894)</f>
        <v>216</v>
      </c>
      <c r="V894">
        <v>87</v>
      </c>
      <c r="W894" s="8">
        <f t="shared" si="192"/>
        <v>87</v>
      </c>
      <c r="X894" t="str">
        <f t="shared" si="193"/>
        <v>Normal</v>
      </c>
      <c r="Y894" t="s">
        <v>22</v>
      </c>
      <c r="Z894" t="s">
        <v>23</v>
      </c>
      <c r="AA894" t="s">
        <v>24</v>
      </c>
      <c r="AB894" s="3" t="s">
        <v>779</v>
      </c>
      <c r="AC894">
        <v>104</v>
      </c>
      <c r="AD894" s="3" t="str">
        <f t="shared" si="194"/>
        <v>104</v>
      </c>
      <c r="AE894">
        <v>95</v>
      </c>
      <c r="AF894" s="3" t="str">
        <f t="shared" si="195"/>
        <v>95</v>
      </c>
      <c r="AG894" t="s">
        <v>38</v>
      </c>
      <c r="AH894" s="3">
        <v>18.62</v>
      </c>
      <c r="AI894" s="3">
        <f t="shared" si="196"/>
        <v>18.62</v>
      </c>
      <c r="AJ894" t="s">
        <v>30</v>
      </c>
      <c r="AK894" t="str">
        <f>PROPER(Table1[[#This Row],[CVD Risk Level]])</f>
        <v>High</v>
      </c>
    </row>
    <row r="895" spans="1:37" x14ac:dyDescent="0.3">
      <c r="A895" t="s">
        <v>20</v>
      </c>
      <c r="B895">
        <v>38</v>
      </c>
      <c r="C895" s="8">
        <f t="shared" si="185"/>
        <v>38</v>
      </c>
      <c r="D895" s="5">
        <v>76.400000000000006</v>
      </c>
      <c r="E895" s="8">
        <f t="shared" si="186"/>
        <v>76.400000000000006</v>
      </c>
      <c r="F895">
        <v>1.63</v>
      </c>
      <c r="G895" s="3">
        <f t="shared" si="187"/>
        <v>1.63</v>
      </c>
      <c r="H895">
        <v>28.8</v>
      </c>
      <c r="I895" s="5">
        <f t="shared" si="183"/>
        <v>28.8</v>
      </c>
      <c r="J895" s="16" t="str">
        <f t="shared" si="188"/>
        <v>Overweight</v>
      </c>
      <c r="K895">
        <v>91.6</v>
      </c>
      <c r="M895" s="11">
        <f t="shared" si="184"/>
        <v>0.56196319018404906</v>
      </c>
      <c r="N895" s="5">
        <f t="shared" si="189"/>
        <v>91.6</v>
      </c>
      <c r="O895">
        <v>119</v>
      </c>
      <c r="P895">
        <v>48</v>
      </c>
      <c r="Q895" s="8">
        <f t="shared" si="190"/>
        <v>48</v>
      </c>
      <c r="R895" s="8">
        <v>41</v>
      </c>
      <c r="S895" s="8">
        <f t="shared" si="191"/>
        <v>41</v>
      </c>
      <c r="T895" s="8">
        <f>(Table1[[#This Row],[Total Cholesterol (mg/dL)]]+Table1[[#This Row],[HDL (mg/dL)2]]+Table1[[#This Row],[Estimated LDL (mg/dL)2]])*5</f>
        <v>1040</v>
      </c>
      <c r="U895" s="8">
        <f>IF(O895="",Table1[[#This Row],[Estimated LDL (mg/dL)2]]+Table1[[#This Row],[HDL (mg/dL)2]]+(Table1[[#This Row],[Triglycerides]]/5),O895)</f>
        <v>119</v>
      </c>
      <c r="V895">
        <v>71</v>
      </c>
      <c r="W895" s="8">
        <f t="shared" si="192"/>
        <v>71</v>
      </c>
      <c r="X895" t="str">
        <f t="shared" si="193"/>
        <v>Normal</v>
      </c>
      <c r="Y895" t="s">
        <v>23</v>
      </c>
      <c r="Z895" t="s">
        <v>23</v>
      </c>
      <c r="AA895" t="s">
        <v>28</v>
      </c>
      <c r="AB895" s="3" t="s">
        <v>780</v>
      </c>
      <c r="AC895">
        <v>98</v>
      </c>
      <c r="AD895" s="3" t="str">
        <f t="shared" si="194"/>
        <v>98</v>
      </c>
      <c r="AE895">
        <v>86</v>
      </c>
      <c r="AF895" s="3" t="str">
        <f t="shared" si="195"/>
        <v>86</v>
      </c>
      <c r="AG895" t="s">
        <v>29</v>
      </c>
      <c r="AH895" s="3">
        <v>15.04</v>
      </c>
      <c r="AI895" s="3">
        <f t="shared" si="196"/>
        <v>15.04</v>
      </c>
      <c r="AJ895" t="s">
        <v>26</v>
      </c>
      <c r="AK895" t="str">
        <f>PROPER(Table1[[#This Row],[CVD Risk Level]])</f>
        <v>Intermediary</v>
      </c>
    </row>
    <row r="896" spans="1:37" x14ac:dyDescent="0.3">
      <c r="A896" t="s">
        <v>31</v>
      </c>
      <c r="B896">
        <v>42</v>
      </c>
      <c r="C896" s="8">
        <f t="shared" si="185"/>
        <v>42</v>
      </c>
      <c r="D896" s="5">
        <v>55.9</v>
      </c>
      <c r="E896" s="8">
        <f t="shared" si="186"/>
        <v>55.9</v>
      </c>
      <c r="F896">
        <v>1.71</v>
      </c>
      <c r="G896" s="3">
        <f t="shared" si="187"/>
        <v>1.71</v>
      </c>
      <c r="H896">
        <v>19.100000000000001</v>
      </c>
      <c r="I896" s="5">
        <f t="shared" si="183"/>
        <v>19.100000000000001</v>
      </c>
      <c r="J896" s="16" t="str">
        <f t="shared" si="188"/>
        <v>Normal</v>
      </c>
      <c r="K896">
        <v>105.8</v>
      </c>
      <c r="L896">
        <v>0.61899999999999999</v>
      </c>
      <c r="M896" s="11">
        <f t="shared" si="184"/>
        <v>0.61899999999999999</v>
      </c>
      <c r="N896" s="5">
        <f t="shared" si="189"/>
        <v>105.8</v>
      </c>
      <c r="O896">
        <v>296</v>
      </c>
      <c r="P896">
        <v>43</v>
      </c>
      <c r="Q896" s="8">
        <f t="shared" si="190"/>
        <v>43</v>
      </c>
      <c r="R896" s="8">
        <v>223</v>
      </c>
      <c r="S896" s="8">
        <f t="shared" si="191"/>
        <v>223</v>
      </c>
      <c r="T896" s="8">
        <f>(Table1[[#This Row],[Total Cholesterol (mg/dL)]]+Table1[[#This Row],[HDL (mg/dL)2]]+Table1[[#This Row],[Estimated LDL (mg/dL)2]])*5</f>
        <v>2810</v>
      </c>
      <c r="U896" s="8">
        <f>IF(O896="",Table1[[#This Row],[Estimated LDL (mg/dL)2]]+Table1[[#This Row],[HDL (mg/dL)2]]+(Table1[[#This Row],[Triglycerides]]/5),O896)</f>
        <v>296</v>
      </c>
      <c r="V896">
        <v>111</v>
      </c>
      <c r="W896" s="8">
        <f t="shared" si="192"/>
        <v>111</v>
      </c>
      <c r="X896" t="str">
        <f t="shared" si="193"/>
        <v>Prediabetes</v>
      </c>
      <c r="Y896" t="s">
        <v>23</v>
      </c>
      <c r="Z896" t="s">
        <v>23</v>
      </c>
      <c r="AA896" t="s">
        <v>28</v>
      </c>
      <c r="AB896" s="3" t="s">
        <v>781</v>
      </c>
      <c r="AC896">
        <v>131</v>
      </c>
      <c r="AD896" s="3" t="str">
        <f t="shared" si="194"/>
        <v>131</v>
      </c>
      <c r="AE896">
        <v>66</v>
      </c>
      <c r="AF896" s="3" t="str">
        <f t="shared" si="195"/>
        <v>66</v>
      </c>
      <c r="AG896" t="s">
        <v>29</v>
      </c>
      <c r="AH896" s="3">
        <v>18.29</v>
      </c>
      <c r="AI896" s="3">
        <f t="shared" si="196"/>
        <v>18.29</v>
      </c>
      <c r="AJ896" t="s">
        <v>30</v>
      </c>
      <c r="AK896" t="str">
        <f>PROPER(Table1[[#This Row],[CVD Risk Level]])</f>
        <v>High</v>
      </c>
    </row>
    <row r="897" spans="1:37" x14ac:dyDescent="0.3">
      <c r="A897" t="s">
        <v>31</v>
      </c>
      <c r="B897">
        <v>55</v>
      </c>
      <c r="C897" s="8">
        <f t="shared" si="185"/>
        <v>55</v>
      </c>
      <c r="D897" s="5">
        <v>55.8</v>
      </c>
      <c r="E897" s="8">
        <f t="shared" si="186"/>
        <v>55.8</v>
      </c>
      <c r="F897">
        <v>1.79</v>
      </c>
      <c r="G897" s="3">
        <f t="shared" si="187"/>
        <v>1.79</v>
      </c>
      <c r="H897">
        <v>17.399999999999999</v>
      </c>
      <c r="I897" s="5">
        <f t="shared" si="183"/>
        <v>17.399999999999999</v>
      </c>
      <c r="J897" s="16" t="str">
        <f t="shared" si="188"/>
        <v>Underweight</v>
      </c>
      <c r="K897">
        <v>73</v>
      </c>
      <c r="L897">
        <v>0.40799999999999997</v>
      </c>
      <c r="M897" s="11">
        <f t="shared" si="184"/>
        <v>0.40799999999999997</v>
      </c>
      <c r="N897" s="5">
        <f t="shared" si="189"/>
        <v>73</v>
      </c>
      <c r="O897">
        <v>258</v>
      </c>
      <c r="P897">
        <v>54</v>
      </c>
      <c r="Q897" s="8">
        <f t="shared" si="190"/>
        <v>54</v>
      </c>
      <c r="R897" s="8">
        <v>174</v>
      </c>
      <c r="S897" s="8">
        <f t="shared" si="191"/>
        <v>174</v>
      </c>
      <c r="T897" s="8">
        <f>(Table1[[#This Row],[Total Cholesterol (mg/dL)]]+Table1[[#This Row],[HDL (mg/dL)2]]+Table1[[#This Row],[Estimated LDL (mg/dL)2]])*5</f>
        <v>2430</v>
      </c>
      <c r="U897" s="8">
        <f>IF(O897="",Table1[[#This Row],[Estimated LDL (mg/dL)2]]+Table1[[#This Row],[HDL (mg/dL)2]]+(Table1[[#This Row],[Triglycerides]]/5),O897)</f>
        <v>258</v>
      </c>
      <c r="V897">
        <v>85</v>
      </c>
      <c r="W897" s="8">
        <f t="shared" si="192"/>
        <v>85</v>
      </c>
      <c r="X897" t="str">
        <f t="shared" si="193"/>
        <v>Normal</v>
      </c>
      <c r="Y897" t="s">
        <v>23</v>
      </c>
      <c r="Z897" t="s">
        <v>22</v>
      </c>
      <c r="AA897" t="s">
        <v>24</v>
      </c>
      <c r="AB897" s="3" t="s">
        <v>782</v>
      </c>
      <c r="AC897">
        <v>146</v>
      </c>
      <c r="AD897" s="3" t="str">
        <f t="shared" si="194"/>
        <v>146</v>
      </c>
      <c r="AE897">
        <v>65</v>
      </c>
      <c r="AF897" s="3" t="str">
        <f t="shared" si="195"/>
        <v>65</v>
      </c>
      <c r="AG897" t="s">
        <v>38</v>
      </c>
      <c r="AH897" s="3">
        <v>15.94</v>
      </c>
      <c r="AI897" s="3">
        <f t="shared" si="196"/>
        <v>15.94</v>
      </c>
      <c r="AJ897" t="s">
        <v>30</v>
      </c>
      <c r="AK897" t="str">
        <f>PROPER(Table1[[#This Row],[CVD Risk Level]])</f>
        <v>High</v>
      </c>
    </row>
    <row r="898" spans="1:37" x14ac:dyDescent="0.3">
      <c r="A898" t="s">
        <v>31</v>
      </c>
      <c r="B898">
        <v>57</v>
      </c>
      <c r="C898" s="8">
        <f t="shared" si="185"/>
        <v>57</v>
      </c>
      <c r="D898" s="5">
        <v>105.1</v>
      </c>
      <c r="E898" s="8">
        <f t="shared" si="186"/>
        <v>105.1</v>
      </c>
      <c r="F898">
        <v>1.81</v>
      </c>
      <c r="G898" s="3">
        <f t="shared" si="187"/>
        <v>1.81</v>
      </c>
      <c r="H898">
        <v>32.1</v>
      </c>
      <c r="I898" s="5">
        <f t="shared" ref="I898:I961" si="197" xml:space="preserve"> IF(H898="",E898 / (G898^2),H898)</f>
        <v>32.1</v>
      </c>
      <c r="J898" s="16" t="str">
        <f t="shared" si="188"/>
        <v>Obese</v>
      </c>
      <c r="K898">
        <v>81</v>
      </c>
      <c r="L898">
        <v>0.44800000000000001</v>
      </c>
      <c r="M898" s="11">
        <f t="shared" ref="M898:M961" si="198">IF(L898="",K898/(G898*100),L898)</f>
        <v>0.44800000000000001</v>
      </c>
      <c r="N898" s="5">
        <f t="shared" si="189"/>
        <v>81</v>
      </c>
      <c r="O898">
        <v>234</v>
      </c>
      <c r="P898">
        <v>58</v>
      </c>
      <c r="Q898" s="8">
        <f t="shared" si="190"/>
        <v>58</v>
      </c>
      <c r="R898" s="8">
        <v>146</v>
      </c>
      <c r="S898" s="8">
        <f t="shared" si="191"/>
        <v>146</v>
      </c>
      <c r="T898" s="8">
        <f>(Table1[[#This Row],[Total Cholesterol (mg/dL)]]+Table1[[#This Row],[HDL (mg/dL)2]]+Table1[[#This Row],[Estimated LDL (mg/dL)2]])*5</f>
        <v>2190</v>
      </c>
      <c r="U898" s="8">
        <f>IF(O898="",Table1[[#This Row],[Estimated LDL (mg/dL)2]]+Table1[[#This Row],[HDL (mg/dL)2]]+(Table1[[#This Row],[Triglycerides]]/5),O898)</f>
        <v>234</v>
      </c>
      <c r="V898">
        <v>74</v>
      </c>
      <c r="W898" s="8">
        <f t="shared" si="192"/>
        <v>74</v>
      </c>
      <c r="X898" t="str">
        <f t="shared" si="193"/>
        <v>Normal</v>
      </c>
      <c r="Y898" t="s">
        <v>22</v>
      </c>
      <c r="Z898" t="s">
        <v>23</v>
      </c>
      <c r="AA898" t="s">
        <v>24</v>
      </c>
      <c r="AB898" s="3" t="s">
        <v>400</v>
      </c>
      <c r="AC898">
        <v>113</v>
      </c>
      <c r="AD898" s="3" t="str">
        <f t="shared" si="194"/>
        <v>113</v>
      </c>
      <c r="AE898">
        <v>95</v>
      </c>
      <c r="AF898" s="3" t="str">
        <f t="shared" si="195"/>
        <v>95</v>
      </c>
      <c r="AG898" t="s">
        <v>38</v>
      </c>
      <c r="AH898" s="3">
        <v>18.75</v>
      </c>
      <c r="AI898" s="3">
        <f t="shared" si="196"/>
        <v>18.75</v>
      </c>
      <c r="AJ898" t="s">
        <v>30</v>
      </c>
      <c r="AK898" t="str">
        <f>PROPER(Table1[[#This Row],[CVD Risk Level]])</f>
        <v>High</v>
      </c>
    </row>
    <row r="899" spans="1:37" x14ac:dyDescent="0.3">
      <c r="A899" t="s">
        <v>31</v>
      </c>
      <c r="B899">
        <v>51</v>
      </c>
      <c r="C899" s="8">
        <f t="shared" ref="C899:C962" si="199">IF(B899="",AVERAGE($B$2:$B$1530),B899)</f>
        <v>51</v>
      </c>
      <c r="D899" s="5">
        <v>56.9</v>
      </c>
      <c r="E899" s="8">
        <f t="shared" ref="E899:E962" si="200">IF(D899="", H899*(F899^2),D899)</f>
        <v>56.9</v>
      </c>
      <c r="F899">
        <v>1.7</v>
      </c>
      <c r="G899" s="3">
        <f t="shared" ref="G899:G962" si="201">IF(F899="", SQRT(E899 / H899),F899)</f>
        <v>1.7</v>
      </c>
      <c r="H899">
        <v>19.7</v>
      </c>
      <c r="I899" s="5">
        <f t="shared" si="197"/>
        <v>19.7</v>
      </c>
      <c r="J899" s="16" t="str">
        <f t="shared" ref="J899:J962" si="202">IF(I899&lt;18.5,"Underweight",IF(I899&lt;25,"Normal",IF(I899&lt;30,"Overweight","Obese")))</f>
        <v>Normal</v>
      </c>
      <c r="K899">
        <v>75.3</v>
      </c>
      <c r="L899">
        <v>0.443</v>
      </c>
      <c r="M899" s="11">
        <f t="shared" si="198"/>
        <v>0.443</v>
      </c>
      <c r="N899" s="5">
        <f t="shared" ref="N899:N962" si="203">IF(K899="",M899*(G899*100),K899)</f>
        <v>75.3</v>
      </c>
      <c r="O899">
        <v>109</v>
      </c>
      <c r="P899">
        <v>32</v>
      </c>
      <c r="Q899" s="8">
        <f t="shared" ref="Q899:Q962" si="204">IF(P899="",AVERAGE($P$2:$P$1530),P899)</f>
        <v>32</v>
      </c>
      <c r="R899" s="8">
        <v>47</v>
      </c>
      <c r="S899" s="8">
        <f t="shared" ref="S899:S962" si="205">IF(R899&lt;=0,MEDIAN($R$2:$R$1530),R899)</f>
        <v>47</v>
      </c>
      <c r="T899" s="8">
        <f>(Table1[[#This Row],[Total Cholesterol (mg/dL)]]+Table1[[#This Row],[HDL (mg/dL)2]]+Table1[[#This Row],[Estimated LDL (mg/dL)2]])*5</f>
        <v>940</v>
      </c>
      <c r="U899" s="8">
        <f>IF(O899="",Table1[[#This Row],[Estimated LDL (mg/dL)2]]+Table1[[#This Row],[HDL (mg/dL)2]]+(Table1[[#This Row],[Triglycerides]]/5),O899)</f>
        <v>109</v>
      </c>
      <c r="V899">
        <v>122</v>
      </c>
      <c r="W899" s="8">
        <f t="shared" ref="W899:W962" si="206">IF(V899="",AVERAGE($V$2:$V$1530),V899)</f>
        <v>122</v>
      </c>
      <c r="X899" t="str">
        <f t="shared" ref="X899:X962" si="207">IF(W899&lt;100,"Normal",IF(W899&lt;126,"Prediabetes","Diabetes"))</f>
        <v>Prediabetes</v>
      </c>
      <c r="Y899" t="s">
        <v>22</v>
      </c>
      <c r="Z899" t="s">
        <v>23</v>
      </c>
      <c r="AA899" t="s">
        <v>28</v>
      </c>
      <c r="AB899" s="3" t="s">
        <v>783</v>
      </c>
      <c r="AD899" s="3" t="str">
        <f t="shared" ref="AD899:AD962" si="208">LEFT(AB899,FIND("/",AB899)-1)</f>
        <v>141</v>
      </c>
      <c r="AE899">
        <v>71</v>
      </c>
      <c r="AF899" s="3" t="str">
        <f t="shared" ref="AF899:AF962" si="209">RIGHT(AB899,LEN(AB899)-FIND("/",AB899))</f>
        <v>71</v>
      </c>
      <c r="AG899" t="s">
        <v>38</v>
      </c>
      <c r="AH899" s="3">
        <v>15.17</v>
      </c>
      <c r="AI899" s="3">
        <f t="shared" ref="AI899:AI962" si="210">IF(AH899="",AVERAGE($AH$2:$AH$1530),AH899)</f>
        <v>15.17</v>
      </c>
      <c r="AJ899" t="s">
        <v>26</v>
      </c>
      <c r="AK899" t="str">
        <f>PROPER(Table1[[#This Row],[CVD Risk Level]])</f>
        <v>Intermediary</v>
      </c>
    </row>
    <row r="900" spans="1:37" x14ac:dyDescent="0.3">
      <c r="A900" t="s">
        <v>20</v>
      </c>
      <c r="B900">
        <v>57</v>
      </c>
      <c r="C900" s="8">
        <f t="shared" si="199"/>
        <v>57</v>
      </c>
      <c r="D900" s="5">
        <v>77.2</v>
      </c>
      <c r="E900" s="8">
        <f t="shared" si="200"/>
        <v>77.2</v>
      </c>
      <c r="F900">
        <v>1.82</v>
      </c>
      <c r="G900" s="3">
        <f t="shared" si="201"/>
        <v>1.82</v>
      </c>
      <c r="H900">
        <v>23.3</v>
      </c>
      <c r="I900" s="5">
        <f t="shared" si="197"/>
        <v>23.3</v>
      </c>
      <c r="J900" s="16" t="str">
        <f t="shared" si="202"/>
        <v>Normal</v>
      </c>
      <c r="K900">
        <v>99.2</v>
      </c>
      <c r="L900">
        <v>0.54500000000000004</v>
      </c>
      <c r="M900" s="11">
        <f t="shared" si="198"/>
        <v>0.54500000000000004</v>
      </c>
      <c r="N900" s="5">
        <f t="shared" si="203"/>
        <v>99.2</v>
      </c>
      <c r="O900">
        <v>118</v>
      </c>
      <c r="P900">
        <v>43</v>
      </c>
      <c r="Q900" s="8">
        <f t="shared" si="204"/>
        <v>43</v>
      </c>
      <c r="R900" s="8">
        <v>45</v>
      </c>
      <c r="S900" s="8">
        <f t="shared" si="205"/>
        <v>45</v>
      </c>
      <c r="T900" s="8">
        <f>(Table1[[#This Row],[Total Cholesterol (mg/dL)]]+Table1[[#This Row],[HDL (mg/dL)2]]+Table1[[#This Row],[Estimated LDL (mg/dL)2]])*5</f>
        <v>1030</v>
      </c>
      <c r="U900" s="8">
        <f>IF(O900="",Table1[[#This Row],[Estimated LDL (mg/dL)2]]+Table1[[#This Row],[HDL (mg/dL)2]]+(Table1[[#This Row],[Triglycerides]]/5),O900)</f>
        <v>118</v>
      </c>
      <c r="V900">
        <v>120</v>
      </c>
      <c r="W900" s="8">
        <f t="shared" si="206"/>
        <v>120</v>
      </c>
      <c r="X900" t="str">
        <f t="shared" si="207"/>
        <v>Prediabetes</v>
      </c>
      <c r="Y900" t="s">
        <v>23</v>
      </c>
      <c r="Z900" t="s">
        <v>22</v>
      </c>
      <c r="AA900" t="s">
        <v>37</v>
      </c>
      <c r="AB900" s="3" t="s">
        <v>784</v>
      </c>
      <c r="AC900">
        <v>130</v>
      </c>
      <c r="AD900" s="3" t="str">
        <f t="shared" si="208"/>
        <v>130</v>
      </c>
      <c r="AE900">
        <v>61</v>
      </c>
      <c r="AF900" s="3" t="str">
        <f t="shared" si="209"/>
        <v>61</v>
      </c>
      <c r="AG900" t="s">
        <v>29</v>
      </c>
      <c r="AH900" s="3">
        <v>13.52</v>
      </c>
      <c r="AI900" s="3">
        <f t="shared" si="210"/>
        <v>13.52</v>
      </c>
      <c r="AJ900" t="s">
        <v>26</v>
      </c>
      <c r="AK900" t="str">
        <f>PROPER(Table1[[#This Row],[CVD Risk Level]])</f>
        <v>Intermediary</v>
      </c>
    </row>
    <row r="901" spans="1:37" x14ac:dyDescent="0.3">
      <c r="A901" t="s">
        <v>20</v>
      </c>
      <c r="B901">
        <v>34</v>
      </c>
      <c r="C901" s="8">
        <f t="shared" si="199"/>
        <v>34</v>
      </c>
      <c r="D901" s="5">
        <v>118.8</v>
      </c>
      <c r="E901" s="8">
        <f t="shared" si="200"/>
        <v>118.8</v>
      </c>
      <c r="F901">
        <v>1.61</v>
      </c>
      <c r="G901" s="3">
        <f t="shared" si="201"/>
        <v>1.61</v>
      </c>
      <c r="H901">
        <v>45.8</v>
      </c>
      <c r="I901" s="5">
        <f t="shared" si="197"/>
        <v>45.8</v>
      </c>
      <c r="J901" s="16" t="str">
        <f t="shared" si="202"/>
        <v>Obese</v>
      </c>
      <c r="K901">
        <v>102</v>
      </c>
      <c r="M901" s="11">
        <f t="shared" si="198"/>
        <v>0.63354037267080743</v>
      </c>
      <c r="N901" s="5">
        <f t="shared" si="203"/>
        <v>102</v>
      </c>
      <c r="O901">
        <v>236</v>
      </c>
      <c r="P901">
        <v>59</v>
      </c>
      <c r="Q901" s="8">
        <f t="shared" si="204"/>
        <v>59</v>
      </c>
      <c r="R901" s="8">
        <v>147</v>
      </c>
      <c r="S901" s="8">
        <f t="shared" si="205"/>
        <v>147</v>
      </c>
      <c r="T901" s="8">
        <f>(Table1[[#This Row],[Total Cholesterol (mg/dL)]]+Table1[[#This Row],[HDL (mg/dL)2]]+Table1[[#This Row],[Estimated LDL (mg/dL)2]])*5</f>
        <v>2210</v>
      </c>
      <c r="U901" s="8">
        <f>IF(O901="",Table1[[#This Row],[Estimated LDL (mg/dL)2]]+Table1[[#This Row],[HDL (mg/dL)2]]+(Table1[[#This Row],[Triglycerides]]/5),O901)</f>
        <v>236</v>
      </c>
      <c r="W901" s="8">
        <f t="shared" si="206"/>
        <v>117.48563611491107</v>
      </c>
      <c r="X901" t="str">
        <f t="shared" si="207"/>
        <v>Prediabetes</v>
      </c>
      <c r="Y901" t="s">
        <v>23</v>
      </c>
      <c r="Z901" t="s">
        <v>23</v>
      </c>
      <c r="AA901" t="s">
        <v>24</v>
      </c>
      <c r="AB901" s="3" t="s">
        <v>759</v>
      </c>
      <c r="AC901">
        <v>118</v>
      </c>
      <c r="AD901" s="3" t="str">
        <f t="shared" si="208"/>
        <v>118</v>
      </c>
      <c r="AE901">
        <v>67</v>
      </c>
      <c r="AF901" s="3" t="str">
        <f t="shared" si="209"/>
        <v>67</v>
      </c>
      <c r="AG901" t="s">
        <v>33</v>
      </c>
      <c r="AH901" s="3">
        <v>21.78</v>
      </c>
      <c r="AI901" s="3">
        <f t="shared" si="210"/>
        <v>21.78</v>
      </c>
      <c r="AJ901" t="s">
        <v>30</v>
      </c>
      <c r="AK901" t="str">
        <f>PROPER(Table1[[#This Row],[CVD Risk Level]])</f>
        <v>High</v>
      </c>
    </row>
    <row r="902" spans="1:37" x14ac:dyDescent="0.3">
      <c r="A902" t="s">
        <v>31</v>
      </c>
      <c r="B902">
        <v>36</v>
      </c>
      <c r="C902" s="8">
        <f t="shared" si="199"/>
        <v>36</v>
      </c>
      <c r="D902" s="5">
        <v>61.2</v>
      </c>
      <c r="E902" s="8">
        <f t="shared" si="200"/>
        <v>61.2</v>
      </c>
      <c r="F902">
        <v>1.62</v>
      </c>
      <c r="G902" s="3">
        <f t="shared" si="201"/>
        <v>1.62</v>
      </c>
      <c r="H902">
        <v>23.3</v>
      </c>
      <c r="I902" s="5">
        <f t="shared" si="197"/>
        <v>23.3</v>
      </c>
      <c r="J902" s="16" t="str">
        <f t="shared" si="202"/>
        <v>Normal</v>
      </c>
      <c r="K902">
        <v>97.2</v>
      </c>
      <c r="L902">
        <v>0.6</v>
      </c>
      <c r="M902" s="11">
        <f t="shared" si="198"/>
        <v>0.6</v>
      </c>
      <c r="N902" s="5">
        <f t="shared" si="203"/>
        <v>97.2</v>
      </c>
      <c r="O902">
        <v>219</v>
      </c>
      <c r="P902">
        <v>78</v>
      </c>
      <c r="Q902" s="8">
        <f t="shared" si="204"/>
        <v>78</v>
      </c>
      <c r="S902" s="8">
        <f t="shared" si="205"/>
        <v>109</v>
      </c>
      <c r="T902" s="8">
        <f>(Table1[[#This Row],[Total Cholesterol (mg/dL)]]+Table1[[#This Row],[HDL (mg/dL)2]]+Table1[[#This Row],[Estimated LDL (mg/dL)2]])*5</f>
        <v>2030</v>
      </c>
      <c r="U902" s="8">
        <f>IF(O902="",Table1[[#This Row],[Estimated LDL (mg/dL)2]]+Table1[[#This Row],[HDL (mg/dL)2]]+(Table1[[#This Row],[Triglycerides]]/5),O902)</f>
        <v>219</v>
      </c>
      <c r="W902" s="8">
        <f t="shared" si="206"/>
        <v>117.48563611491107</v>
      </c>
      <c r="X902" t="str">
        <f t="shared" si="207"/>
        <v>Prediabetes</v>
      </c>
      <c r="Y902" t="s">
        <v>22</v>
      </c>
      <c r="Z902" t="s">
        <v>22</v>
      </c>
      <c r="AA902" t="s">
        <v>37</v>
      </c>
      <c r="AB902" s="3" t="s">
        <v>785</v>
      </c>
      <c r="AC902">
        <v>140</v>
      </c>
      <c r="AD902" s="3" t="str">
        <f t="shared" si="208"/>
        <v>140</v>
      </c>
      <c r="AE902">
        <v>67</v>
      </c>
      <c r="AF902" s="3" t="str">
        <f t="shared" si="209"/>
        <v>67</v>
      </c>
      <c r="AG902" t="s">
        <v>38</v>
      </c>
      <c r="AH902" s="3">
        <v>16.04</v>
      </c>
      <c r="AI902" s="3">
        <f t="shared" si="210"/>
        <v>16.04</v>
      </c>
      <c r="AJ902" t="s">
        <v>26</v>
      </c>
      <c r="AK902" t="str">
        <f>PROPER(Table1[[#This Row],[CVD Risk Level]])</f>
        <v>Intermediary</v>
      </c>
    </row>
    <row r="903" spans="1:37" x14ac:dyDescent="0.3">
      <c r="A903" t="s">
        <v>20</v>
      </c>
      <c r="B903">
        <v>42</v>
      </c>
      <c r="C903" s="8">
        <f t="shared" si="199"/>
        <v>42</v>
      </c>
      <c r="D903" s="5">
        <v>84.6</v>
      </c>
      <c r="E903" s="8">
        <f t="shared" si="200"/>
        <v>84.6</v>
      </c>
      <c r="G903" s="3">
        <f t="shared" si="201"/>
        <v>1.6709515875454897</v>
      </c>
      <c r="H903">
        <v>30.3</v>
      </c>
      <c r="I903" s="5">
        <f t="shared" si="197"/>
        <v>30.3</v>
      </c>
      <c r="J903" s="16" t="str">
        <f t="shared" si="202"/>
        <v>Obese</v>
      </c>
      <c r="K903">
        <v>77.900000000000006</v>
      </c>
      <c r="L903">
        <v>0.46600000000000003</v>
      </c>
      <c r="M903" s="11">
        <f t="shared" si="198"/>
        <v>0.46600000000000003</v>
      </c>
      <c r="N903" s="5">
        <f t="shared" si="203"/>
        <v>77.900000000000006</v>
      </c>
      <c r="O903">
        <v>236</v>
      </c>
      <c r="P903">
        <v>70</v>
      </c>
      <c r="Q903" s="8">
        <f t="shared" si="204"/>
        <v>70</v>
      </c>
      <c r="R903" s="8">
        <v>136</v>
      </c>
      <c r="S903" s="8">
        <f t="shared" si="205"/>
        <v>136</v>
      </c>
      <c r="T903" s="8">
        <f>(Table1[[#This Row],[Total Cholesterol (mg/dL)]]+Table1[[#This Row],[HDL (mg/dL)2]]+Table1[[#This Row],[Estimated LDL (mg/dL)2]])*5</f>
        <v>2210</v>
      </c>
      <c r="U903" s="8">
        <f>IF(O903="",Table1[[#This Row],[Estimated LDL (mg/dL)2]]+Table1[[#This Row],[HDL (mg/dL)2]]+(Table1[[#This Row],[Triglycerides]]/5),O903)</f>
        <v>236</v>
      </c>
      <c r="V903">
        <v>126</v>
      </c>
      <c r="W903" s="8">
        <f t="shared" si="206"/>
        <v>126</v>
      </c>
      <c r="X903" t="str">
        <f t="shared" si="207"/>
        <v>Diabetes</v>
      </c>
      <c r="Y903" t="s">
        <v>22</v>
      </c>
      <c r="Z903" t="s">
        <v>23</v>
      </c>
      <c r="AA903" t="s">
        <v>28</v>
      </c>
      <c r="AB903" s="3" t="s">
        <v>786</v>
      </c>
      <c r="AC903">
        <v>104</v>
      </c>
      <c r="AD903" s="3" t="str">
        <f t="shared" si="208"/>
        <v>104</v>
      </c>
      <c r="AE903">
        <v>62</v>
      </c>
      <c r="AF903" s="3" t="str">
        <f t="shared" si="209"/>
        <v>62</v>
      </c>
      <c r="AG903" t="s">
        <v>33</v>
      </c>
      <c r="AH903" s="3">
        <v>17.98</v>
      </c>
      <c r="AI903" s="3">
        <f t="shared" si="210"/>
        <v>17.98</v>
      </c>
      <c r="AJ903" t="s">
        <v>30</v>
      </c>
      <c r="AK903" t="str">
        <f>PROPER(Table1[[#This Row],[CVD Risk Level]])</f>
        <v>High</v>
      </c>
    </row>
    <row r="904" spans="1:37" x14ac:dyDescent="0.3">
      <c r="A904" t="s">
        <v>20</v>
      </c>
      <c r="B904">
        <v>35</v>
      </c>
      <c r="C904" s="8">
        <f t="shared" si="199"/>
        <v>35</v>
      </c>
      <c r="D904" s="5">
        <v>109.1</v>
      </c>
      <c r="E904" s="8">
        <f t="shared" si="200"/>
        <v>109.1</v>
      </c>
      <c r="F904">
        <v>1.81</v>
      </c>
      <c r="G904" s="3">
        <f t="shared" si="201"/>
        <v>1.81</v>
      </c>
      <c r="H904">
        <v>33.299999999999997</v>
      </c>
      <c r="I904" s="5">
        <f t="shared" si="197"/>
        <v>33.299999999999997</v>
      </c>
      <c r="J904" s="16" t="str">
        <f t="shared" si="202"/>
        <v>Obese</v>
      </c>
      <c r="K904">
        <v>91.9</v>
      </c>
      <c r="L904">
        <v>0.50800000000000001</v>
      </c>
      <c r="M904" s="11">
        <f t="shared" si="198"/>
        <v>0.50800000000000001</v>
      </c>
      <c r="N904" s="5">
        <f t="shared" si="203"/>
        <v>91.9</v>
      </c>
      <c r="O904">
        <v>120</v>
      </c>
      <c r="P904">
        <v>56</v>
      </c>
      <c r="Q904" s="8">
        <f t="shared" si="204"/>
        <v>56</v>
      </c>
      <c r="R904" s="8">
        <v>34</v>
      </c>
      <c r="S904" s="8">
        <f t="shared" si="205"/>
        <v>34</v>
      </c>
      <c r="T904" s="8">
        <f>(Table1[[#This Row],[Total Cholesterol (mg/dL)]]+Table1[[#This Row],[HDL (mg/dL)2]]+Table1[[#This Row],[Estimated LDL (mg/dL)2]])*5</f>
        <v>1050</v>
      </c>
      <c r="U904" s="8">
        <f>IF(O904="",Table1[[#This Row],[Estimated LDL (mg/dL)2]]+Table1[[#This Row],[HDL (mg/dL)2]]+(Table1[[#This Row],[Triglycerides]]/5),O904)</f>
        <v>120</v>
      </c>
      <c r="V904">
        <v>149</v>
      </c>
      <c r="W904" s="8">
        <f t="shared" si="206"/>
        <v>149</v>
      </c>
      <c r="X904" t="str">
        <f t="shared" si="207"/>
        <v>Diabetes</v>
      </c>
      <c r="Y904" t="s">
        <v>22</v>
      </c>
      <c r="Z904" t="s">
        <v>22</v>
      </c>
      <c r="AA904" t="s">
        <v>28</v>
      </c>
      <c r="AB904" s="3" t="s">
        <v>241</v>
      </c>
      <c r="AC904">
        <v>127</v>
      </c>
      <c r="AD904" s="3" t="str">
        <f t="shared" si="208"/>
        <v>127</v>
      </c>
      <c r="AE904">
        <v>71</v>
      </c>
      <c r="AF904" s="3" t="str">
        <f t="shared" si="209"/>
        <v>71</v>
      </c>
      <c r="AG904" t="s">
        <v>25</v>
      </c>
      <c r="AH904" s="3">
        <v>15.41</v>
      </c>
      <c r="AI904" s="3">
        <f t="shared" si="210"/>
        <v>15.41</v>
      </c>
      <c r="AJ904" t="s">
        <v>52</v>
      </c>
      <c r="AK904" t="str">
        <f>PROPER(Table1[[#This Row],[CVD Risk Level]])</f>
        <v>Low</v>
      </c>
    </row>
    <row r="905" spans="1:37" x14ac:dyDescent="0.3">
      <c r="A905" t="s">
        <v>20</v>
      </c>
      <c r="C905" s="8">
        <f t="shared" si="199"/>
        <v>47.025499655410059</v>
      </c>
      <c r="D905" s="5">
        <v>110.2</v>
      </c>
      <c r="E905" s="8">
        <f t="shared" si="200"/>
        <v>110.2</v>
      </c>
      <c r="F905">
        <v>1.77</v>
      </c>
      <c r="G905" s="3">
        <f t="shared" si="201"/>
        <v>1.77</v>
      </c>
      <c r="H905">
        <v>35.200000000000003</v>
      </c>
      <c r="I905" s="5">
        <f t="shared" si="197"/>
        <v>35.200000000000003</v>
      </c>
      <c r="J905" s="16" t="str">
        <f t="shared" si="202"/>
        <v>Obese</v>
      </c>
      <c r="K905">
        <v>102</v>
      </c>
      <c r="L905">
        <v>0.57599999999999996</v>
      </c>
      <c r="M905" s="11">
        <f t="shared" si="198"/>
        <v>0.57599999999999996</v>
      </c>
      <c r="N905" s="5">
        <f t="shared" si="203"/>
        <v>102</v>
      </c>
      <c r="O905">
        <v>247</v>
      </c>
      <c r="P905">
        <v>67</v>
      </c>
      <c r="Q905" s="8">
        <f t="shared" si="204"/>
        <v>67</v>
      </c>
      <c r="R905" s="8">
        <v>150</v>
      </c>
      <c r="S905" s="8">
        <f>IF(R905&lt;=0,MEDIAN($R$2:$R$1530),R905)</f>
        <v>150</v>
      </c>
      <c r="T905" s="8">
        <f>(Table1[[#This Row],[Total Cholesterol (mg/dL)]]+Table1[[#This Row],[HDL (mg/dL)2]]+Table1[[#This Row],[Estimated LDL (mg/dL)2]])*5</f>
        <v>2320</v>
      </c>
      <c r="U905" s="8">
        <f>IF(O905="",Table1[[#This Row],[Estimated LDL (mg/dL)2]]+Table1[[#This Row],[HDL (mg/dL)2]]+(Table1[[#This Row],[Triglycerides]]/5),O905)</f>
        <v>247</v>
      </c>
      <c r="V905">
        <v>106</v>
      </c>
      <c r="W905" s="8">
        <f t="shared" si="206"/>
        <v>106</v>
      </c>
      <c r="X905" t="str">
        <f t="shared" si="207"/>
        <v>Prediabetes</v>
      </c>
      <c r="Y905" t="s">
        <v>23</v>
      </c>
      <c r="Z905" t="s">
        <v>22</v>
      </c>
      <c r="AA905" t="s">
        <v>28</v>
      </c>
      <c r="AB905" s="3" t="s">
        <v>787</v>
      </c>
      <c r="AC905">
        <v>92</v>
      </c>
      <c r="AD905" s="3" t="str">
        <f t="shared" si="208"/>
        <v>92</v>
      </c>
      <c r="AE905">
        <v>100</v>
      </c>
      <c r="AF905" s="3" t="str">
        <f t="shared" si="209"/>
        <v>100</v>
      </c>
      <c r="AG905" t="s">
        <v>38</v>
      </c>
      <c r="AH905" s="3">
        <v>16.579999999999998</v>
      </c>
      <c r="AI905" s="3">
        <f t="shared" si="210"/>
        <v>16.579999999999998</v>
      </c>
      <c r="AJ905" t="s">
        <v>30</v>
      </c>
      <c r="AK905" t="str">
        <f>PROPER(Table1[[#This Row],[CVD Risk Level]])</f>
        <v>High</v>
      </c>
    </row>
    <row r="906" spans="1:37" x14ac:dyDescent="0.3">
      <c r="A906" t="s">
        <v>31</v>
      </c>
      <c r="B906">
        <v>48</v>
      </c>
      <c r="C906" s="8">
        <f t="shared" si="199"/>
        <v>48</v>
      </c>
      <c r="D906" s="5">
        <v>67.099999999999994</v>
      </c>
      <c r="E906" s="8">
        <f t="shared" si="200"/>
        <v>67.099999999999994</v>
      </c>
      <c r="F906">
        <v>1.77</v>
      </c>
      <c r="G906" s="3">
        <f t="shared" si="201"/>
        <v>1.77</v>
      </c>
      <c r="H906">
        <v>21.4</v>
      </c>
      <c r="I906" s="5">
        <f t="shared" si="197"/>
        <v>21.4</v>
      </c>
      <c r="J906" s="16" t="str">
        <f t="shared" si="202"/>
        <v>Normal</v>
      </c>
      <c r="K906">
        <v>98</v>
      </c>
      <c r="L906">
        <v>0.55400000000000005</v>
      </c>
      <c r="M906" s="11">
        <f t="shared" si="198"/>
        <v>0.55400000000000005</v>
      </c>
      <c r="N906" s="5">
        <f t="shared" si="203"/>
        <v>98</v>
      </c>
      <c r="O906">
        <v>268</v>
      </c>
      <c r="P906">
        <v>47</v>
      </c>
      <c r="Q906" s="8">
        <f t="shared" si="204"/>
        <v>47</v>
      </c>
      <c r="R906" s="8">
        <v>191</v>
      </c>
      <c r="S906" s="8">
        <f t="shared" si="205"/>
        <v>191</v>
      </c>
      <c r="T906" s="8">
        <f>(Table1[[#This Row],[Total Cholesterol (mg/dL)]]+Table1[[#This Row],[HDL (mg/dL)2]]+Table1[[#This Row],[Estimated LDL (mg/dL)2]])*5</f>
        <v>2530</v>
      </c>
      <c r="U906" s="8">
        <f>IF(O906="",Table1[[#This Row],[Estimated LDL (mg/dL)2]]+Table1[[#This Row],[HDL (mg/dL)2]]+(Table1[[#This Row],[Triglycerides]]/5),O906)</f>
        <v>268</v>
      </c>
      <c r="V906">
        <v>79</v>
      </c>
      <c r="W906" s="8">
        <f t="shared" si="206"/>
        <v>79</v>
      </c>
      <c r="X906" t="str">
        <f t="shared" si="207"/>
        <v>Normal</v>
      </c>
      <c r="Y906" t="s">
        <v>22</v>
      </c>
      <c r="Z906" t="s">
        <v>22</v>
      </c>
      <c r="AA906" t="s">
        <v>24</v>
      </c>
      <c r="AB906" s="3" t="s">
        <v>788</v>
      </c>
      <c r="AD906" s="3" t="str">
        <f t="shared" si="208"/>
        <v>126</v>
      </c>
      <c r="AE906">
        <v>100</v>
      </c>
      <c r="AF906" s="3" t="str">
        <f t="shared" si="209"/>
        <v>100</v>
      </c>
      <c r="AG906" t="s">
        <v>38</v>
      </c>
      <c r="AH906" s="3">
        <v>15.94</v>
      </c>
      <c r="AI906" s="3">
        <f t="shared" si="210"/>
        <v>15.94</v>
      </c>
      <c r="AJ906" t="s">
        <v>30</v>
      </c>
      <c r="AK906" t="str">
        <f>PROPER(Table1[[#This Row],[CVD Risk Level]])</f>
        <v>High</v>
      </c>
    </row>
    <row r="907" spans="1:37" x14ac:dyDescent="0.3">
      <c r="A907" t="s">
        <v>20</v>
      </c>
      <c r="C907" s="8">
        <f t="shared" si="199"/>
        <v>47.025499655410059</v>
      </c>
      <c r="D907" s="5">
        <v>111.6</v>
      </c>
      <c r="E907" s="8">
        <f t="shared" si="200"/>
        <v>111.6</v>
      </c>
      <c r="F907">
        <v>1.75</v>
      </c>
      <c r="G907" s="3">
        <f t="shared" si="201"/>
        <v>1.75</v>
      </c>
      <c r="H907">
        <v>36.4</v>
      </c>
      <c r="I907" s="5">
        <f t="shared" si="197"/>
        <v>36.4</v>
      </c>
      <c r="J907" s="16" t="str">
        <f t="shared" si="202"/>
        <v>Obese</v>
      </c>
      <c r="K907">
        <v>85.1</v>
      </c>
      <c r="L907">
        <v>0.48599999999999999</v>
      </c>
      <c r="M907" s="11">
        <f t="shared" si="198"/>
        <v>0.48599999999999999</v>
      </c>
      <c r="N907" s="5">
        <f t="shared" si="203"/>
        <v>85.1</v>
      </c>
      <c r="O907">
        <v>265</v>
      </c>
      <c r="P907">
        <v>66</v>
      </c>
      <c r="Q907" s="8">
        <f t="shared" si="204"/>
        <v>66</v>
      </c>
      <c r="R907" s="8">
        <v>169</v>
      </c>
      <c r="S907" s="8">
        <f t="shared" si="205"/>
        <v>169</v>
      </c>
      <c r="T907" s="8">
        <f>(Table1[[#This Row],[Total Cholesterol (mg/dL)]]+Table1[[#This Row],[HDL (mg/dL)2]]+Table1[[#This Row],[Estimated LDL (mg/dL)2]])*5</f>
        <v>2500</v>
      </c>
      <c r="U907" s="8">
        <f>IF(O907="",Table1[[#This Row],[Estimated LDL (mg/dL)2]]+Table1[[#This Row],[HDL (mg/dL)2]]+(Table1[[#This Row],[Triglycerides]]/5),O907)</f>
        <v>265</v>
      </c>
      <c r="V907">
        <v>127</v>
      </c>
      <c r="W907" s="8">
        <f t="shared" si="206"/>
        <v>127</v>
      </c>
      <c r="X907" t="str">
        <f t="shared" si="207"/>
        <v>Diabetes</v>
      </c>
      <c r="Y907" t="s">
        <v>22</v>
      </c>
      <c r="Z907" t="s">
        <v>22</v>
      </c>
      <c r="AA907" t="s">
        <v>28</v>
      </c>
      <c r="AB907" s="3" t="s">
        <v>789</v>
      </c>
      <c r="AC907">
        <v>131</v>
      </c>
      <c r="AD907" s="3" t="str">
        <f t="shared" si="208"/>
        <v>131</v>
      </c>
      <c r="AE907">
        <v>62</v>
      </c>
      <c r="AF907" s="3" t="str">
        <f t="shared" si="209"/>
        <v>62</v>
      </c>
      <c r="AG907" t="s">
        <v>29</v>
      </c>
      <c r="AH907" s="3">
        <v>19.13</v>
      </c>
      <c r="AI907" s="3">
        <f t="shared" si="210"/>
        <v>19.13</v>
      </c>
      <c r="AJ907" t="s">
        <v>26</v>
      </c>
      <c r="AK907" t="str">
        <f>PROPER(Table1[[#This Row],[CVD Risk Level]])</f>
        <v>Intermediary</v>
      </c>
    </row>
    <row r="908" spans="1:37" x14ac:dyDescent="0.3">
      <c r="A908" t="s">
        <v>31</v>
      </c>
      <c r="B908">
        <v>53</v>
      </c>
      <c r="C908" s="8">
        <f t="shared" si="199"/>
        <v>53</v>
      </c>
      <c r="D908" s="5">
        <v>90.2</v>
      </c>
      <c r="E908" s="8">
        <f t="shared" si="200"/>
        <v>90.2</v>
      </c>
      <c r="F908">
        <v>1.61</v>
      </c>
      <c r="G908" s="3">
        <f t="shared" si="201"/>
        <v>1.61</v>
      </c>
      <c r="H908">
        <v>34.799999999999997</v>
      </c>
      <c r="I908" s="5">
        <f t="shared" si="197"/>
        <v>34.799999999999997</v>
      </c>
      <c r="J908" s="16" t="str">
        <f t="shared" si="202"/>
        <v>Obese</v>
      </c>
      <c r="K908">
        <v>85.3</v>
      </c>
      <c r="L908">
        <v>0.53</v>
      </c>
      <c r="M908" s="11">
        <f t="shared" si="198"/>
        <v>0.53</v>
      </c>
      <c r="N908" s="5">
        <f t="shared" si="203"/>
        <v>85.3</v>
      </c>
      <c r="O908">
        <v>300</v>
      </c>
      <c r="P908">
        <v>33</v>
      </c>
      <c r="Q908" s="8">
        <f t="shared" si="204"/>
        <v>33</v>
      </c>
      <c r="R908" s="8">
        <v>237</v>
      </c>
      <c r="S908" s="8">
        <f t="shared" si="205"/>
        <v>237</v>
      </c>
      <c r="T908" s="8">
        <f>(Table1[[#This Row],[Total Cholesterol (mg/dL)]]+Table1[[#This Row],[HDL (mg/dL)2]]+Table1[[#This Row],[Estimated LDL (mg/dL)2]])*5</f>
        <v>2850</v>
      </c>
      <c r="U908" s="8">
        <f>IF(O908="",Table1[[#This Row],[Estimated LDL (mg/dL)2]]+Table1[[#This Row],[HDL (mg/dL)2]]+(Table1[[#This Row],[Triglycerides]]/5),O908)</f>
        <v>300</v>
      </c>
      <c r="V908">
        <v>84</v>
      </c>
      <c r="W908" s="8">
        <f t="shared" si="206"/>
        <v>84</v>
      </c>
      <c r="X908" t="str">
        <f t="shared" si="207"/>
        <v>Normal</v>
      </c>
      <c r="Y908" t="s">
        <v>22</v>
      </c>
      <c r="Z908" t="s">
        <v>23</v>
      </c>
      <c r="AA908" t="s">
        <v>37</v>
      </c>
      <c r="AB908" s="3" t="s">
        <v>279</v>
      </c>
      <c r="AC908">
        <v>136</v>
      </c>
      <c r="AD908" s="3" t="str">
        <f t="shared" si="208"/>
        <v>136</v>
      </c>
      <c r="AF908" s="3" t="str">
        <f t="shared" si="209"/>
        <v>76</v>
      </c>
      <c r="AG908" t="s">
        <v>29</v>
      </c>
      <c r="AH908" s="3">
        <v>21.76</v>
      </c>
      <c r="AI908" s="3">
        <f t="shared" si="210"/>
        <v>21.76</v>
      </c>
      <c r="AJ908" t="s">
        <v>30</v>
      </c>
      <c r="AK908" t="str">
        <f>PROPER(Table1[[#This Row],[CVD Risk Level]])</f>
        <v>High</v>
      </c>
    </row>
    <row r="909" spans="1:37" x14ac:dyDescent="0.3">
      <c r="A909" t="s">
        <v>20</v>
      </c>
      <c r="B909">
        <v>52</v>
      </c>
      <c r="C909" s="8">
        <f t="shared" si="199"/>
        <v>52</v>
      </c>
      <c r="D909" s="5">
        <v>67</v>
      </c>
      <c r="E909" s="8">
        <f t="shared" si="200"/>
        <v>67</v>
      </c>
      <c r="F909">
        <v>1.88</v>
      </c>
      <c r="G909" s="3">
        <f t="shared" si="201"/>
        <v>1.88</v>
      </c>
      <c r="H909">
        <v>19</v>
      </c>
      <c r="I909" s="5">
        <f t="shared" si="197"/>
        <v>19</v>
      </c>
      <c r="J909" s="16" t="str">
        <f t="shared" si="202"/>
        <v>Normal</v>
      </c>
      <c r="K909">
        <v>108.1</v>
      </c>
      <c r="L909">
        <v>0.57499999999999996</v>
      </c>
      <c r="M909" s="11">
        <f t="shared" si="198"/>
        <v>0.57499999999999996</v>
      </c>
      <c r="N909" s="5">
        <f t="shared" si="203"/>
        <v>108.1</v>
      </c>
      <c r="O909">
        <v>300</v>
      </c>
      <c r="P909">
        <v>49</v>
      </c>
      <c r="Q909" s="8">
        <f t="shared" si="204"/>
        <v>49</v>
      </c>
      <c r="R909" s="8">
        <v>221</v>
      </c>
      <c r="S909" s="8">
        <f t="shared" si="205"/>
        <v>221</v>
      </c>
      <c r="T909" s="8">
        <f>(Table1[[#This Row],[Total Cholesterol (mg/dL)]]+Table1[[#This Row],[HDL (mg/dL)2]]+Table1[[#This Row],[Estimated LDL (mg/dL)2]])*5</f>
        <v>2850</v>
      </c>
      <c r="U909" s="8">
        <f>IF(O909="",Table1[[#This Row],[Estimated LDL (mg/dL)2]]+Table1[[#This Row],[HDL (mg/dL)2]]+(Table1[[#This Row],[Triglycerides]]/5),O909)</f>
        <v>300</v>
      </c>
      <c r="V909">
        <v>148</v>
      </c>
      <c r="W909" s="8">
        <f t="shared" si="206"/>
        <v>148</v>
      </c>
      <c r="X909" t="str">
        <f t="shared" si="207"/>
        <v>Diabetes</v>
      </c>
      <c r="Y909" t="s">
        <v>22</v>
      </c>
      <c r="Z909" t="s">
        <v>22</v>
      </c>
      <c r="AA909" t="s">
        <v>24</v>
      </c>
      <c r="AB909" s="3" t="s">
        <v>790</v>
      </c>
      <c r="AC909">
        <v>122</v>
      </c>
      <c r="AD909" s="3" t="str">
        <f t="shared" si="208"/>
        <v>122</v>
      </c>
      <c r="AE909">
        <v>97</v>
      </c>
      <c r="AF909" s="3" t="str">
        <f t="shared" si="209"/>
        <v>97</v>
      </c>
      <c r="AG909" t="s">
        <v>38</v>
      </c>
      <c r="AH909" s="3">
        <v>15.9</v>
      </c>
      <c r="AI909" s="3">
        <f t="shared" si="210"/>
        <v>15.9</v>
      </c>
      <c r="AJ909" t="s">
        <v>26</v>
      </c>
      <c r="AK909" t="str">
        <f>PROPER(Table1[[#This Row],[CVD Risk Level]])</f>
        <v>Intermediary</v>
      </c>
    </row>
    <row r="910" spans="1:37" x14ac:dyDescent="0.3">
      <c r="A910" t="s">
        <v>31</v>
      </c>
      <c r="B910">
        <v>45</v>
      </c>
      <c r="C910" s="8">
        <f t="shared" si="199"/>
        <v>45</v>
      </c>
      <c r="D910" s="5">
        <v>96.8</v>
      </c>
      <c r="E910" s="8">
        <f t="shared" si="200"/>
        <v>96.8</v>
      </c>
      <c r="F910">
        <v>1.86</v>
      </c>
      <c r="G910" s="3">
        <f t="shared" si="201"/>
        <v>1.86</v>
      </c>
      <c r="H910">
        <v>28</v>
      </c>
      <c r="I910" s="5">
        <f t="shared" si="197"/>
        <v>28</v>
      </c>
      <c r="J910" s="16" t="str">
        <f t="shared" si="202"/>
        <v>Overweight</v>
      </c>
      <c r="K910">
        <v>71.400000000000006</v>
      </c>
      <c r="L910">
        <v>0.38400000000000001</v>
      </c>
      <c r="M910" s="11">
        <f t="shared" si="198"/>
        <v>0.38400000000000001</v>
      </c>
      <c r="N910" s="5">
        <f t="shared" si="203"/>
        <v>71.400000000000006</v>
      </c>
      <c r="O910">
        <v>230</v>
      </c>
      <c r="P910">
        <v>57</v>
      </c>
      <c r="Q910" s="8">
        <f t="shared" si="204"/>
        <v>57</v>
      </c>
      <c r="R910" s="8">
        <v>143</v>
      </c>
      <c r="S910" s="8">
        <f t="shared" si="205"/>
        <v>143</v>
      </c>
      <c r="T910" s="8">
        <f>(Table1[[#This Row],[Total Cholesterol (mg/dL)]]+Table1[[#This Row],[HDL (mg/dL)2]]+Table1[[#This Row],[Estimated LDL (mg/dL)2]])*5</f>
        <v>2150</v>
      </c>
      <c r="U910" s="8">
        <f>IF(O910="",Table1[[#This Row],[Estimated LDL (mg/dL)2]]+Table1[[#This Row],[HDL (mg/dL)2]]+(Table1[[#This Row],[Triglycerides]]/5),O910)</f>
        <v>230</v>
      </c>
      <c r="V910">
        <v>91</v>
      </c>
      <c r="W910" s="8">
        <f t="shared" si="206"/>
        <v>91</v>
      </c>
      <c r="X910" t="str">
        <f t="shared" si="207"/>
        <v>Normal</v>
      </c>
      <c r="Y910" t="s">
        <v>23</v>
      </c>
      <c r="Z910" t="s">
        <v>23</v>
      </c>
      <c r="AA910" t="s">
        <v>28</v>
      </c>
      <c r="AB910" s="3" t="s">
        <v>791</v>
      </c>
      <c r="AC910">
        <v>112</v>
      </c>
      <c r="AD910" s="3" t="str">
        <f t="shared" si="208"/>
        <v>112</v>
      </c>
      <c r="AE910">
        <v>75</v>
      </c>
      <c r="AF910" s="3" t="str">
        <f t="shared" si="209"/>
        <v>75</v>
      </c>
      <c r="AG910" t="s">
        <v>33</v>
      </c>
      <c r="AH910" s="3">
        <v>17.8</v>
      </c>
      <c r="AI910" s="3">
        <f t="shared" si="210"/>
        <v>17.8</v>
      </c>
      <c r="AJ910" t="s">
        <v>30</v>
      </c>
      <c r="AK910" t="str">
        <f>PROPER(Table1[[#This Row],[CVD Risk Level]])</f>
        <v>High</v>
      </c>
    </row>
    <row r="911" spans="1:37" x14ac:dyDescent="0.3">
      <c r="A911" t="s">
        <v>31</v>
      </c>
      <c r="B911">
        <v>42</v>
      </c>
      <c r="C911" s="8">
        <f t="shared" si="199"/>
        <v>42</v>
      </c>
      <c r="D911" s="5">
        <v>59.4</v>
      </c>
      <c r="E911" s="8">
        <f t="shared" si="200"/>
        <v>59.4</v>
      </c>
      <c r="F911">
        <v>1.89</v>
      </c>
      <c r="G911" s="3">
        <f t="shared" si="201"/>
        <v>1.89</v>
      </c>
      <c r="H911">
        <v>16.600000000000001</v>
      </c>
      <c r="I911" s="5">
        <f t="shared" si="197"/>
        <v>16.600000000000001</v>
      </c>
      <c r="J911" s="16" t="str">
        <f t="shared" si="202"/>
        <v>Underweight</v>
      </c>
      <c r="K911">
        <v>94.4</v>
      </c>
      <c r="L911">
        <v>0.499</v>
      </c>
      <c r="M911" s="11">
        <f t="shared" si="198"/>
        <v>0.499</v>
      </c>
      <c r="N911" s="5">
        <f t="shared" si="203"/>
        <v>94.4</v>
      </c>
      <c r="O911">
        <v>228</v>
      </c>
      <c r="P911">
        <v>71</v>
      </c>
      <c r="Q911" s="8">
        <f t="shared" si="204"/>
        <v>71</v>
      </c>
      <c r="R911" s="8">
        <v>127</v>
      </c>
      <c r="S911" s="8">
        <f>IF(R911&lt;=0,MEDIAN($R$2:$R$1530),R911)</f>
        <v>127</v>
      </c>
      <c r="T911" s="8">
        <f>(Table1[[#This Row],[Total Cholesterol (mg/dL)]]+Table1[[#This Row],[HDL (mg/dL)2]]+Table1[[#This Row],[Estimated LDL (mg/dL)2]])*5</f>
        <v>2130</v>
      </c>
      <c r="U911" s="8">
        <f>IF(O911="",Table1[[#This Row],[Estimated LDL (mg/dL)2]]+Table1[[#This Row],[HDL (mg/dL)2]]+(Table1[[#This Row],[Triglycerides]]/5),O911)</f>
        <v>228</v>
      </c>
      <c r="V911">
        <v>147</v>
      </c>
      <c r="W911" s="8">
        <f t="shared" si="206"/>
        <v>147</v>
      </c>
      <c r="X911" t="str">
        <f t="shared" si="207"/>
        <v>Diabetes</v>
      </c>
      <c r="Y911" t="s">
        <v>22</v>
      </c>
      <c r="Z911" t="s">
        <v>23</v>
      </c>
      <c r="AA911" t="s">
        <v>28</v>
      </c>
      <c r="AB911" s="3" t="s">
        <v>348</v>
      </c>
      <c r="AC911">
        <v>125</v>
      </c>
      <c r="AD911" s="3" t="str">
        <f t="shared" si="208"/>
        <v>125</v>
      </c>
      <c r="AF911" s="3" t="str">
        <f t="shared" si="209"/>
        <v>61</v>
      </c>
      <c r="AG911" t="s">
        <v>25</v>
      </c>
      <c r="AH911" s="3">
        <v>16.13</v>
      </c>
      <c r="AI911" s="3">
        <f t="shared" si="210"/>
        <v>16.13</v>
      </c>
      <c r="AJ911" t="s">
        <v>26</v>
      </c>
      <c r="AK911" t="str">
        <f>PROPER(Table1[[#This Row],[CVD Risk Level]])</f>
        <v>Intermediary</v>
      </c>
    </row>
    <row r="912" spans="1:37" x14ac:dyDescent="0.3">
      <c r="A912" t="s">
        <v>20</v>
      </c>
      <c r="B912">
        <v>42</v>
      </c>
      <c r="C912" s="8">
        <f t="shared" si="199"/>
        <v>42</v>
      </c>
      <c r="D912" s="5">
        <v>93.5</v>
      </c>
      <c r="E912" s="8">
        <f t="shared" si="200"/>
        <v>93.5</v>
      </c>
      <c r="F912">
        <v>1.76</v>
      </c>
      <c r="G912" s="3">
        <f t="shared" si="201"/>
        <v>1.76</v>
      </c>
      <c r="H912">
        <v>30.2</v>
      </c>
      <c r="I912" s="5">
        <f t="shared" si="197"/>
        <v>30.2</v>
      </c>
      <c r="J912" s="16" t="str">
        <f t="shared" si="202"/>
        <v>Obese</v>
      </c>
      <c r="K912">
        <v>92.1</v>
      </c>
      <c r="L912">
        <v>0.52300000000000002</v>
      </c>
      <c r="M912" s="11">
        <f t="shared" si="198"/>
        <v>0.52300000000000002</v>
      </c>
      <c r="N912" s="5">
        <f t="shared" si="203"/>
        <v>92.1</v>
      </c>
      <c r="O912">
        <v>290</v>
      </c>
      <c r="P912">
        <v>39</v>
      </c>
      <c r="Q912" s="8">
        <f t="shared" si="204"/>
        <v>39</v>
      </c>
      <c r="R912" s="8">
        <v>221</v>
      </c>
      <c r="S912" s="8">
        <f t="shared" si="205"/>
        <v>221</v>
      </c>
      <c r="T912" s="8">
        <f>(Table1[[#This Row],[Total Cholesterol (mg/dL)]]+Table1[[#This Row],[HDL (mg/dL)2]]+Table1[[#This Row],[Estimated LDL (mg/dL)2]])*5</f>
        <v>2750</v>
      </c>
      <c r="U912" s="8">
        <f>IF(O912="",Table1[[#This Row],[Estimated LDL (mg/dL)2]]+Table1[[#This Row],[HDL (mg/dL)2]]+(Table1[[#This Row],[Triglycerides]]/5),O912)</f>
        <v>290</v>
      </c>
      <c r="V912">
        <v>78</v>
      </c>
      <c r="W912" s="8">
        <f t="shared" si="206"/>
        <v>78</v>
      </c>
      <c r="X912" t="str">
        <f t="shared" si="207"/>
        <v>Normal</v>
      </c>
      <c r="Y912" t="s">
        <v>23</v>
      </c>
      <c r="Z912" t="s">
        <v>23</v>
      </c>
      <c r="AA912" t="s">
        <v>24</v>
      </c>
      <c r="AB912" s="3" t="s">
        <v>792</v>
      </c>
      <c r="AC912">
        <v>102</v>
      </c>
      <c r="AD912" s="3" t="str">
        <f t="shared" si="208"/>
        <v>102</v>
      </c>
      <c r="AE912">
        <v>64</v>
      </c>
      <c r="AF912" s="3" t="str">
        <f t="shared" si="209"/>
        <v>64</v>
      </c>
      <c r="AG912" t="s">
        <v>33</v>
      </c>
      <c r="AH912" s="3">
        <v>18.940000000000001</v>
      </c>
      <c r="AI912" s="3">
        <f t="shared" si="210"/>
        <v>18.940000000000001</v>
      </c>
      <c r="AJ912" t="s">
        <v>30</v>
      </c>
      <c r="AK912" t="str">
        <f>PROPER(Table1[[#This Row],[CVD Risk Level]])</f>
        <v>High</v>
      </c>
    </row>
    <row r="913" spans="1:37" x14ac:dyDescent="0.3">
      <c r="A913" t="s">
        <v>20</v>
      </c>
      <c r="B913">
        <v>58</v>
      </c>
      <c r="C913" s="8">
        <f t="shared" si="199"/>
        <v>58</v>
      </c>
      <c r="D913" s="5">
        <v>72.3</v>
      </c>
      <c r="E913" s="8">
        <f t="shared" si="200"/>
        <v>72.3</v>
      </c>
      <c r="F913">
        <v>1.74</v>
      </c>
      <c r="G913" s="3">
        <f t="shared" si="201"/>
        <v>1.74</v>
      </c>
      <c r="H913">
        <v>23.9</v>
      </c>
      <c r="I913" s="5">
        <f t="shared" si="197"/>
        <v>23.9</v>
      </c>
      <c r="J913" s="16" t="str">
        <f t="shared" si="202"/>
        <v>Normal</v>
      </c>
      <c r="K913">
        <v>91.6</v>
      </c>
      <c r="L913">
        <v>0.52600000000000002</v>
      </c>
      <c r="M913" s="11">
        <f t="shared" si="198"/>
        <v>0.52600000000000002</v>
      </c>
      <c r="N913" s="5">
        <f t="shared" si="203"/>
        <v>91.6</v>
      </c>
      <c r="O913">
        <v>208</v>
      </c>
      <c r="P913">
        <v>63</v>
      </c>
      <c r="Q913" s="8">
        <f t="shared" si="204"/>
        <v>63</v>
      </c>
      <c r="R913" s="8">
        <v>115</v>
      </c>
      <c r="S913" s="8">
        <f t="shared" si="205"/>
        <v>115</v>
      </c>
      <c r="T913" s="8">
        <f>(Table1[[#This Row],[Total Cholesterol (mg/dL)]]+Table1[[#This Row],[HDL (mg/dL)2]]+Table1[[#This Row],[Estimated LDL (mg/dL)2]])*5</f>
        <v>1930</v>
      </c>
      <c r="U913" s="8">
        <f>IF(O913="",Table1[[#This Row],[Estimated LDL (mg/dL)2]]+Table1[[#This Row],[HDL (mg/dL)2]]+(Table1[[#This Row],[Triglycerides]]/5),O913)</f>
        <v>208</v>
      </c>
      <c r="V913">
        <v>114</v>
      </c>
      <c r="W913" s="8">
        <f t="shared" si="206"/>
        <v>114</v>
      </c>
      <c r="X913" t="str">
        <f t="shared" si="207"/>
        <v>Prediabetes</v>
      </c>
      <c r="Y913" t="s">
        <v>22</v>
      </c>
      <c r="Z913" t="s">
        <v>22</v>
      </c>
      <c r="AA913" t="s">
        <v>28</v>
      </c>
      <c r="AB913" s="3" t="s">
        <v>115</v>
      </c>
      <c r="AC913">
        <v>99</v>
      </c>
      <c r="AD913" s="3" t="str">
        <f t="shared" si="208"/>
        <v>99</v>
      </c>
      <c r="AE913">
        <v>90</v>
      </c>
      <c r="AF913" s="3" t="str">
        <f t="shared" si="209"/>
        <v>90</v>
      </c>
      <c r="AG913" t="s">
        <v>38</v>
      </c>
      <c r="AH913" s="3">
        <v>13.89</v>
      </c>
      <c r="AI913" s="3">
        <f t="shared" si="210"/>
        <v>13.89</v>
      </c>
      <c r="AJ913" t="s">
        <v>26</v>
      </c>
      <c r="AK913" t="str">
        <f>PROPER(Table1[[#This Row],[CVD Risk Level]])</f>
        <v>Intermediary</v>
      </c>
    </row>
    <row r="914" spans="1:37" x14ac:dyDescent="0.3">
      <c r="A914" t="s">
        <v>20</v>
      </c>
      <c r="B914">
        <v>48</v>
      </c>
      <c r="C914" s="8">
        <f t="shared" si="199"/>
        <v>48</v>
      </c>
      <c r="D914" s="5">
        <v>60.8</v>
      </c>
      <c r="E914" s="8">
        <f t="shared" si="200"/>
        <v>60.8</v>
      </c>
      <c r="F914">
        <v>1.68</v>
      </c>
      <c r="G914" s="3">
        <f t="shared" si="201"/>
        <v>1.68</v>
      </c>
      <c r="H914">
        <v>21.5</v>
      </c>
      <c r="I914" s="5">
        <f t="shared" si="197"/>
        <v>21.5</v>
      </c>
      <c r="J914" s="16" t="str">
        <f t="shared" si="202"/>
        <v>Normal</v>
      </c>
      <c r="K914">
        <v>82.5</v>
      </c>
      <c r="L914">
        <v>0.49099999999999999</v>
      </c>
      <c r="M914" s="11">
        <f t="shared" si="198"/>
        <v>0.49099999999999999</v>
      </c>
      <c r="N914" s="5">
        <f t="shared" si="203"/>
        <v>82.5</v>
      </c>
      <c r="O914">
        <v>173</v>
      </c>
      <c r="P914">
        <v>56</v>
      </c>
      <c r="Q914" s="8">
        <f t="shared" si="204"/>
        <v>56</v>
      </c>
      <c r="R914" s="8">
        <v>87</v>
      </c>
      <c r="S914" s="8">
        <f t="shared" si="205"/>
        <v>87</v>
      </c>
      <c r="T914" s="8">
        <f>(Table1[[#This Row],[Total Cholesterol (mg/dL)]]+Table1[[#This Row],[HDL (mg/dL)2]]+Table1[[#This Row],[Estimated LDL (mg/dL)2]])*5</f>
        <v>1580</v>
      </c>
      <c r="U914" s="8">
        <f>IF(O914="",Table1[[#This Row],[Estimated LDL (mg/dL)2]]+Table1[[#This Row],[HDL (mg/dL)2]]+(Table1[[#This Row],[Triglycerides]]/5),O914)</f>
        <v>173</v>
      </c>
      <c r="V914">
        <v>122</v>
      </c>
      <c r="W914" s="8">
        <f t="shared" si="206"/>
        <v>122</v>
      </c>
      <c r="X914" t="str">
        <f t="shared" si="207"/>
        <v>Prediabetes</v>
      </c>
      <c r="Y914" t="s">
        <v>22</v>
      </c>
      <c r="Z914" t="s">
        <v>22</v>
      </c>
      <c r="AA914" t="s">
        <v>37</v>
      </c>
      <c r="AB914" s="3" t="s">
        <v>793</v>
      </c>
      <c r="AC914">
        <v>133</v>
      </c>
      <c r="AD914" s="3" t="str">
        <f t="shared" si="208"/>
        <v>133</v>
      </c>
      <c r="AE914">
        <v>76</v>
      </c>
      <c r="AF914" s="3" t="str">
        <f t="shared" si="209"/>
        <v>76</v>
      </c>
      <c r="AG914" t="s">
        <v>29</v>
      </c>
      <c r="AH914" s="3">
        <v>14.41</v>
      </c>
      <c r="AI914" s="3">
        <f t="shared" si="210"/>
        <v>14.41</v>
      </c>
      <c r="AJ914" t="s">
        <v>26</v>
      </c>
      <c r="AK914" t="str">
        <f>PROPER(Table1[[#This Row],[CVD Risk Level]])</f>
        <v>Intermediary</v>
      </c>
    </row>
    <row r="915" spans="1:37" x14ac:dyDescent="0.3">
      <c r="A915" t="s">
        <v>31</v>
      </c>
      <c r="B915">
        <v>54</v>
      </c>
      <c r="C915" s="8">
        <f t="shared" si="199"/>
        <v>54</v>
      </c>
      <c r="D915" s="5">
        <v>111</v>
      </c>
      <c r="E915" s="8">
        <f t="shared" si="200"/>
        <v>111</v>
      </c>
      <c r="F915">
        <v>1.78</v>
      </c>
      <c r="G915" s="3">
        <f t="shared" si="201"/>
        <v>1.78</v>
      </c>
      <c r="H915">
        <v>35</v>
      </c>
      <c r="I915" s="5">
        <f t="shared" si="197"/>
        <v>35</v>
      </c>
      <c r="J915" s="16" t="str">
        <f t="shared" si="202"/>
        <v>Obese</v>
      </c>
      <c r="K915">
        <v>100</v>
      </c>
      <c r="L915">
        <v>0.56200000000000006</v>
      </c>
      <c r="M915" s="11">
        <f t="shared" si="198"/>
        <v>0.56200000000000006</v>
      </c>
      <c r="N915" s="5">
        <f t="shared" si="203"/>
        <v>100</v>
      </c>
      <c r="O915">
        <v>247</v>
      </c>
      <c r="P915">
        <v>41</v>
      </c>
      <c r="Q915" s="8">
        <f t="shared" si="204"/>
        <v>41</v>
      </c>
      <c r="R915" s="8">
        <v>176</v>
      </c>
      <c r="S915" s="8">
        <f t="shared" si="205"/>
        <v>176</v>
      </c>
      <c r="T915" s="8">
        <f>(Table1[[#This Row],[Total Cholesterol (mg/dL)]]+Table1[[#This Row],[HDL (mg/dL)2]]+Table1[[#This Row],[Estimated LDL (mg/dL)2]])*5</f>
        <v>2320</v>
      </c>
      <c r="U915" s="8">
        <f>IF(O915="",Table1[[#This Row],[Estimated LDL (mg/dL)2]]+Table1[[#This Row],[HDL (mg/dL)2]]+(Table1[[#This Row],[Triglycerides]]/5),O915)</f>
        <v>247</v>
      </c>
      <c r="V915">
        <v>136</v>
      </c>
      <c r="W915" s="8">
        <f t="shared" si="206"/>
        <v>136</v>
      </c>
      <c r="X915" t="str">
        <f t="shared" si="207"/>
        <v>Diabetes</v>
      </c>
      <c r="Y915" t="s">
        <v>22</v>
      </c>
      <c r="Z915" t="s">
        <v>23</v>
      </c>
      <c r="AA915" t="s">
        <v>37</v>
      </c>
      <c r="AB915" s="3" t="s">
        <v>794</v>
      </c>
      <c r="AC915">
        <v>117</v>
      </c>
      <c r="AD915" s="3" t="str">
        <f t="shared" si="208"/>
        <v>117</v>
      </c>
      <c r="AE915">
        <v>74</v>
      </c>
      <c r="AF915" s="3" t="str">
        <f t="shared" si="209"/>
        <v>74</v>
      </c>
      <c r="AG915" t="s">
        <v>33</v>
      </c>
      <c r="AH915" s="3">
        <v>19.79</v>
      </c>
      <c r="AI915" s="3">
        <f t="shared" si="210"/>
        <v>19.79</v>
      </c>
      <c r="AJ915" t="s">
        <v>30</v>
      </c>
      <c r="AK915" t="str">
        <f>PROPER(Table1[[#This Row],[CVD Risk Level]])</f>
        <v>High</v>
      </c>
    </row>
    <row r="916" spans="1:37" x14ac:dyDescent="0.3">
      <c r="A916" t="s">
        <v>20</v>
      </c>
      <c r="B916">
        <v>59</v>
      </c>
      <c r="C916" s="8">
        <f t="shared" si="199"/>
        <v>59</v>
      </c>
      <c r="D916" s="5">
        <v>103</v>
      </c>
      <c r="E916" s="8">
        <f t="shared" si="200"/>
        <v>103</v>
      </c>
      <c r="F916">
        <v>1.8</v>
      </c>
      <c r="G916" s="3">
        <f t="shared" si="201"/>
        <v>1.8</v>
      </c>
      <c r="H916">
        <v>31.8</v>
      </c>
      <c r="I916" s="5">
        <f t="shared" si="197"/>
        <v>31.8</v>
      </c>
      <c r="J916" s="16" t="str">
        <f t="shared" si="202"/>
        <v>Obese</v>
      </c>
      <c r="K916">
        <v>94.4</v>
      </c>
      <c r="L916">
        <v>0.52400000000000002</v>
      </c>
      <c r="M916" s="11">
        <f t="shared" si="198"/>
        <v>0.52400000000000002</v>
      </c>
      <c r="N916" s="5">
        <f t="shared" si="203"/>
        <v>94.4</v>
      </c>
      <c r="O916">
        <v>107</v>
      </c>
      <c r="P916">
        <v>42</v>
      </c>
      <c r="Q916" s="8">
        <f t="shared" si="204"/>
        <v>42</v>
      </c>
      <c r="R916" s="8">
        <v>35</v>
      </c>
      <c r="S916" s="8">
        <f t="shared" si="205"/>
        <v>35</v>
      </c>
      <c r="T916" s="8">
        <f>(Table1[[#This Row],[Total Cholesterol (mg/dL)]]+Table1[[#This Row],[HDL (mg/dL)2]]+Table1[[#This Row],[Estimated LDL (mg/dL)2]])*5</f>
        <v>920</v>
      </c>
      <c r="U916" s="8">
        <f>IF(O916="",Table1[[#This Row],[Estimated LDL (mg/dL)2]]+Table1[[#This Row],[HDL (mg/dL)2]]+(Table1[[#This Row],[Triglycerides]]/5),O916)</f>
        <v>107</v>
      </c>
      <c r="V916">
        <v>124</v>
      </c>
      <c r="W916" s="8">
        <f t="shared" si="206"/>
        <v>124</v>
      </c>
      <c r="X916" t="str">
        <f t="shared" si="207"/>
        <v>Prediabetes</v>
      </c>
      <c r="Y916" t="s">
        <v>22</v>
      </c>
      <c r="Z916" t="s">
        <v>22</v>
      </c>
      <c r="AA916" t="s">
        <v>24</v>
      </c>
      <c r="AB916" s="3" t="s">
        <v>795</v>
      </c>
      <c r="AC916">
        <v>139</v>
      </c>
      <c r="AD916" s="3" t="str">
        <f t="shared" si="208"/>
        <v>139</v>
      </c>
      <c r="AE916">
        <v>68</v>
      </c>
      <c r="AF916" s="3" t="str">
        <f t="shared" si="209"/>
        <v>68</v>
      </c>
      <c r="AG916" t="s">
        <v>29</v>
      </c>
      <c r="AH916" s="3">
        <v>15.45</v>
      </c>
      <c r="AI916" s="3">
        <f t="shared" si="210"/>
        <v>15.45</v>
      </c>
      <c r="AJ916" t="s">
        <v>30</v>
      </c>
      <c r="AK916" t="str">
        <f>PROPER(Table1[[#This Row],[CVD Risk Level]])</f>
        <v>High</v>
      </c>
    </row>
    <row r="917" spans="1:37" x14ac:dyDescent="0.3">
      <c r="A917" t="s">
        <v>31</v>
      </c>
      <c r="B917">
        <v>33</v>
      </c>
      <c r="C917" s="8">
        <f t="shared" si="199"/>
        <v>33</v>
      </c>
      <c r="D917" s="5">
        <v>95.7</v>
      </c>
      <c r="E917" s="8">
        <f t="shared" si="200"/>
        <v>95.7</v>
      </c>
      <c r="G917" s="3">
        <f t="shared" si="201"/>
        <v>1.6488632447841149</v>
      </c>
      <c r="H917">
        <v>35.200000000000003</v>
      </c>
      <c r="I917" s="5">
        <f t="shared" si="197"/>
        <v>35.200000000000003</v>
      </c>
      <c r="J917" s="16" t="str">
        <f t="shared" si="202"/>
        <v>Obese</v>
      </c>
      <c r="K917">
        <v>72.099999999999994</v>
      </c>
      <c r="M917" s="11">
        <f t="shared" si="198"/>
        <v>0.43727095153631146</v>
      </c>
      <c r="N917" s="5">
        <f t="shared" si="203"/>
        <v>72.099999999999994</v>
      </c>
      <c r="O917">
        <v>118</v>
      </c>
      <c r="P917">
        <v>45</v>
      </c>
      <c r="Q917" s="8">
        <f t="shared" si="204"/>
        <v>45</v>
      </c>
      <c r="R917" s="8">
        <v>43</v>
      </c>
      <c r="S917" s="8">
        <f t="shared" si="205"/>
        <v>43</v>
      </c>
      <c r="T917" s="8">
        <f>(Table1[[#This Row],[Total Cholesterol (mg/dL)]]+Table1[[#This Row],[HDL (mg/dL)2]]+Table1[[#This Row],[Estimated LDL (mg/dL)2]])*5</f>
        <v>1030</v>
      </c>
      <c r="U917" s="8">
        <f>IF(O917="",Table1[[#This Row],[Estimated LDL (mg/dL)2]]+Table1[[#This Row],[HDL (mg/dL)2]]+(Table1[[#This Row],[Triglycerides]]/5),O917)</f>
        <v>118</v>
      </c>
      <c r="V917">
        <v>91</v>
      </c>
      <c r="W917" s="8">
        <f t="shared" si="206"/>
        <v>91</v>
      </c>
      <c r="X917" t="str">
        <f t="shared" si="207"/>
        <v>Normal</v>
      </c>
      <c r="Y917" t="s">
        <v>23</v>
      </c>
      <c r="Z917" t="s">
        <v>23</v>
      </c>
      <c r="AA917" t="s">
        <v>37</v>
      </c>
      <c r="AB917" s="3" t="s">
        <v>641</v>
      </c>
      <c r="AC917">
        <v>140</v>
      </c>
      <c r="AD917" s="3" t="str">
        <f t="shared" si="208"/>
        <v>140</v>
      </c>
      <c r="AE917">
        <v>62</v>
      </c>
      <c r="AF917" s="3" t="str">
        <f t="shared" si="209"/>
        <v>62</v>
      </c>
      <c r="AG917" t="s">
        <v>38</v>
      </c>
      <c r="AH917" s="3">
        <v>18.399999999999999</v>
      </c>
      <c r="AI917" s="3">
        <f t="shared" si="210"/>
        <v>18.399999999999999</v>
      </c>
      <c r="AJ917" t="s">
        <v>30</v>
      </c>
      <c r="AK917" t="str">
        <f>PROPER(Table1[[#This Row],[CVD Risk Level]])</f>
        <v>High</v>
      </c>
    </row>
    <row r="918" spans="1:37" x14ac:dyDescent="0.3">
      <c r="A918" t="s">
        <v>20</v>
      </c>
      <c r="B918">
        <v>34</v>
      </c>
      <c r="C918" s="8">
        <f t="shared" si="199"/>
        <v>34</v>
      </c>
      <c r="D918" s="5">
        <v>64.599999999999994</v>
      </c>
      <c r="E918" s="8">
        <f t="shared" si="200"/>
        <v>64.599999999999994</v>
      </c>
      <c r="F918">
        <v>1.62</v>
      </c>
      <c r="G918" s="3">
        <f t="shared" si="201"/>
        <v>1.62</v>
      </c>
      <c r="H918">
        <v>24.6</v>
      </c>
      <c r="I918" s="5">
        <f t="shared" si="197"/>
        <v>24.6</v>
      </c>
      <c r="J918" s="16" t="str">
        <f t="shared" si="202"/>
        <v>Normal</v>
      </c>
      <c r="K918">
        <v>92.8</v>
      </c>
      <c r="L918">
        <v>0.57299999999999995</v>
      </c>
      <c r="M918" s="11">
        <f t="shared" si="198"/>
        <v>0.57299999999999995</v>
      </c>
      <c r="N918" s="5">
        <f t="shared" si="203"/>
        <v>92.8</v>
      </c>
      <c r="O918">
        <v>106</v>
      </c>
      <c r="P918">
        <v>43</v>
      </c>
      <c r="Q918" s="8">
        <f t="shared" si="204"/>
        <v>43</v>
      </c>
      <c r="R918" s="8">
        <v>33</v>
      </c>
      <c r="S918" s="8">
        <f t="shared" si="205"/>
        <v>33</v>
      </c>
      <c r="T918" s="8">
        <f>(Table1[[#This Row],[Total Cholesterol (mg/dL)]]+Table1[[#This Row],[HDL (mg/dL)2]]+Table1[[#This Row],[Estimated LDL (mg/dL)2]])*5</f>
        <v>910</v>
      </c>
      <c r="U918" s="8">
        <f>IF(O918="",Table1[[#This Row],[Estimated LDL (mg/dL)2]]+Table1[[#This Row],[HDL (mg/dL)2]]+(Table1[[#This Row],[Triglycerides]]/5),O918)</f>
        <v>106</v>
      </c>
      <c r="V918">
        <v>114</v>
      </c>
      <c r="W918" s="8">
        <f t="shared" si="206"/>
        <v>114</v>
      </c>
      <c r="X918" t="str">
        <f t="shared" si="207"/>
        <v>Prediabetes</v>
      </c>
      <c r="Y918" t="s">
        <v>23</v>
      </c>
      <c r="Z918" t="s">
        <v>23</v>
      </c>
      <c r="AA918" t="s">
        <v>37</v>
      </c>
      <c r="AB918" s="3" t="s">
        <v>796</v>
      </c>
      <c r="AC918">
        <v>90</v>
      </c>
      <c r="AD918" s="3" t="str">
        <f t="shared" si="208"/>
        <v>90</v>
      </c>
      <c r="AE918">
        <v>70</v>
      </c>
      <c r="AF918" s="3" t="str">
        <f t="shared" si="209"/>
        <v>70</v>
      </c>
      <c r="AG918" t="s">
        <v>33</v>
      </c>
      <c r="AH918" s="3">
        <v>13.54</v>
      </c>
      <c r="AI918" s="3">
        <f t="shared" si="210"/>
        <v>13.54</v>
      </c>
      <c r="AJ918" t="s">
        <v>26</v>
      </c>
      <c r="AK918" t="str">
        <f>PROPER(Table1[[#This Row],[CVD Risk Level]])</f>
        <v>Intermediary</v>
      </c>
    </row>
    <row r="919" spans="1:37" x14ac:dyDescent="0.3">
      <c r="A919" t="s">
        <v>31</v>
      </c>
      <c r="C919" s="8">
        <f t="shared" si="199"/>
        <v>47.025499655410059</v>
      </c>
      <c r="D919" s="5">
        <v>56.2</v>
      </c>
      <c r="E919" s="8">
        <f t="shared" si="200"/>
        <v>56.2</v>
      </c>
      <c r="F919">
        <v>1.89</v>
      </c>
      <c r="G919" s="3">
        <f t="shared" si="201"/>
        <v>1.89</v>
      </c>
      <c r="H919">
        <v>15.7</v>
      </c>
      <c r="I919" s="5">
        <f t="shared" si="197"/>
        <v>15.7</v>
      </c>
      <c r="J919" s="16" t="str">
        <f t="shared" si="202"/>
        <v>Underweight</v>
      </c>
      <c r="K919">
        <v>74.599999999999994</v>
      </c>
      <c r="L919">
        <v>0.39500000000000002</v>
      </c>
      <c r="M919" s="11">
        <f t="shared" si="198"/>
        <v>0.39500000000000002</v>
      </c>
      <c r="N919" s="5">
        <f t="shared" si="203"/>
        <v>74.599999999999994</v>
      </c>
      <c r="O919">
        <v>131</v>
      </c>
      <c r="P919">
        <v>45</v>
      </c>
      <c r="Q919" s="8">
        <f t="shared" si="204"/>
        <v>45</v>
      </c>
      <c r="R919" s="8">
        <v>56</v>
      </c>
      <c r="S919" s="8">
        <f t="shared" si="205"/>
        <v>56</v>
      </c>
      <c r="T919" s="8">
        <f>(Table1[[#This Row],[Total Cholesterol (mg/dL)]]+Table1[[#This Row],[HDL (mg/dL)2]]+Table1[[#This Row],[Estimated LDL (mg/dL)2]])*5</f>
        <v>1160</v>
      </c>
      <c r="U919" s="8">
        <f>IF(O919="",Table1[[#This Row],[Estimated LDL (mg/dL)2]]+Table1[[#This Row],[HDL (mg/dL)2]]+(Table1[[#This Row],[Triglycerides]]/5),O919)</f>
        <v>131</v>
      </c>
      <c r="V919">
        <v>93</v>
      </c>
      <c r="W919" s="8">
        <f t="shared" si="206"/>
        <v>93</v>
      </c>
      <c r="X919" t="str">
        <f t="shared" si="207"/>
        <v>Normal</v>
      </c>
      <c r="Y919" t="s">
        <v>22</v>
      </c>
      <c r="Z919" t="s">
        <v>23</v>
      </c>
      <c r="AA919" t="s">
        <v>24</v>
      </c>
      <c r="AB919" s="3" t="s">
        <v>782</v>
      </c>
      <c r="AC919">
        <v>146</v>
      </c>
      <c r="AD919" s="3" t="str">
        <f t="shared" si="208"/>
        <v>146</v>
      </c>
      <c r="AE919">
        <v>65</v>
      </c>
      <c r="AF919" s="3" t="str">
        <f t="shared" si="209"/>
        <v>65</v>
      </c>
      <c r="AG919" t="s">
        <v>38</v>
      </c>
      <c r="AH919" s="3">
        <v>15.06</v>
      </c>
      <c r="AI919" s="3">
        <f t="shared" si="210"/>
        <v>15.06</v>
      </c>
      <c r="AJ919" t="s">
        <v>26</v>
      </c>
      <c r="AK919" t="str">
        <f>PROPER(Table1[[#This Row],[CVD Risk Level]])</f>
        <v>Intermediary</v>
      </c>
    </row>
    <row r="920" spans="1:37" x14ac:dyDescent="0.3">
      <c r="A920" t="s">
        <v>20</v>
      </c>
      <c r="B920">
        <v>30</v>
      </c>
      <c r="C920" s="8">
        <f t="shared" si="199"/>
        <v>30</v>
      </c>
      <c r="D920" s="5">
        <v>65.2</v>
      </c>
      <c r="E920" s="8">
        <f t="shared" si="200"/>
        <v>65.2</v>
      </c>
      <c r="F920">
        <v>1.71</v>
      </c>
      <c r="G920" s="3">
        <f t="shared" si="201"/>
        <v>1.71</v>
      </c>
      <c r="H920">
        <v>22.3</v>
      </c>
      <c r="I920" s="5">
        <f t="shared" si="197"/>
        <v>22.3</v>
      </c>
      <c r="J920" s="16" t="str">
        <f t="shared" si="202"/>
        <v>Normal</v>
      </c>
      <c r="K920">
        <v>86</v>
      </c>
      <c r="L920">
        <v>0.503</v>
      </c>
      <c r="M920" s="11">
        <f t="shared" si="198"/>
        <v>0.503</v>
      </c>
      <c r="N920" s="5">
        <f t="shared" si="203"/>
        <v>86</v>
      </c>
      <c r="O920">
        <v>229</v>
      </c>
      <c r="P920">
        <v>68</v>
      </c>
      <c r="Q920" s="8">
        <f t="shared" si="204"/>
        <v>68</v>
      </c>
      <c r="R920" s="8">
        <v>131</v>
      </c>
      <c r="S920" s="8">
        <f t="shared" si="205"/>
        <v>131</v>
      </c>
      <c r="T920" s="8">
        <f>(Table1[[#This Row],[Total Cholesterol (mg/dL)]]+Table1[[#This Row],[HDL (mg/dL)2]]+Table1[[#This Row],[Estimated LDL (mg/dL)2]])*5</f>
        <v>2140</v>
      </c>
      <c r="U920" s="8">
        <f>IF(O920="",Table1[[#This Row],[Estimated LDL (mg/dL)2]]+Table1[[#This Row],[HDL (mg/dL)2]]+(Table1[[#This Row],[Triglycerides]]/5),O920)</f>
        <v>229</v>
      </c>
      <c r="W920" s="8">
        <f t="shared" si="206"/>
        <v>117.48563611491107</v>
      </c>
      <c r="X920" t="str">
        <f t="shared" si="207"/>
        <v>Prediabetes</v>
      </c>
      <c r="Y920" t="s">
        <v>22</v>
      </c>
      <c r="Z920" t="s">
        <v>23</v>
      </c>
      <c r="AA920" t="s">
        <v>24</v>
      </c>
      <c r="AB920" s="3" t="s">
        <v>797</v>
      </c>
      <c r="AC920">
        <v>97</v>
      </c>
      <c r="AD920" s="3" t="str">
        <f t="shared" si="208"/>
        <v>97</v>
      </c>
      <c r="AE920">
        <v>67</v>
      </c>
      <c r="AF920" s="3" t="str">
        <f t="shared" si="209"/>
        <v>67</v>
      </c>
      <c r="AG920" t="s">
        <v>33</v>
      </c>
      <c r="AH920" s="3">
        <v>15.89</v>
      </c>
      <c r="AI920" s="3">
        <f t="shared" si="210"/>
        <v>15.89</v>
      </c>
      <c r="AJ920" t="s">
        <v>30</v>
      </c>
      <c r="AK920" t="str">
        <f>PROPER(Table1[[#This Row],[CVD Risk Level]])</f>
        <v>High</v>
      </c>
    </row>
    <row r="921" spans="1:37" x14ac:dyDescent="0.3">
      <c r="A921" t="s">
        <v>20</v>
      </c>
      <c r="B921">
        <v>37</v>
      </c>
      <c r="C921" s="8">
        <f t="shared" si="199"/>
        <v>37</v>
      </c>
      <c r="E921" s="8">
        <f t="shared" si="200"/>
        <v>101.39154999999998</v>
      </c>
      <c r="F921">
        <v>1.69</v>
      </c>
      <c r="G921" s="3">
        <f t="shared" si="201"/>
        <v>1.69</v>
      </c>
      <c r="H921">
        <v>35.5</v>
      </c>
      <c r="I921" s="5">
        <f t="shared" si="197"/>
        <v>35.5</v>
      </c>
      <c r="J921" s="16" t="str">
        <f t="shared" si="202"/>
        <v>Obese</v>
      </c>
      <c r="K921">
        <v>77.8</v>
      </c>
      <c r="M921" s="11">
        <f t="shared" si="198"/>
        <v>0.46035502958579883</v>
      </c>
      <c r="N921" s="5">
        <f t="shared" si="203"/>
        <v>77.8</v>
      </c>
      <c r="O921">
        <v>126</v>
      </c>
      <c r="P921">
        <v>57</v>
      </c>
      <c r="Q921" s="8">
        <f t="shared" si="204"/>
        <v>57</v>
      </c>
      <c r="R921" s="8">
        <v>39</v>
      </c>
      <c r="S921" s="8">
        <f t="shared" si="205"/>
        <v>39</v>
      </c>
      <c r="T921" s="8">
        <f>(Table1[[#This Row],[Total Cholesterol (mg/dL)]]+Table1[[#This Row],[HDL (mg/dL)2]]+Table1[[#This Row],[Estimated LDL (mg/dL)2]])*5</f>
        <v>1110</v>
      </c>
      <c r="U921" s="8">
        <f>IF(O921="",Table1[[#This Row],[Estimated LDL (mg/dL)2]]+Table1[[#This Row],[HDL (mg/dL)2]]+(Table1[[#This Row],[Triglycerides]]/5),O921)</f>
        <v>126</v>
      </c>
      <c r="V921">
        <v>88</v>
      </c>
      <c r="W921" s="8">
        <f t="shared" si="206"/>
        <v>88</v>
      </c>
      <c r="X921" t="str">
        <f t="shared" si="207"/>
        <v>Normal</v>
      </c>
      <c r="Y921" t="s">
        <v>23</v>
      </c>
      <c r="Z921" t="s">
        <v>23</v>
      </c>
      <c r="AA921" t="s">
        <v>37</v>
      </c>
      <c r="AB921" s="3" t="s">
        <v>798</v>
      </c>
      <c r="AC921">
        <v>126</v>
      </c>
      <c r="AD921" s="3" t="str">
        <f t="shared" si="208"/>
        <v>126</v>
      </c>
      <c r="AE921">
        <v>99</v>
      </c>
      <c r="AF921" s="3" t="str">
        <f t="shared" si="209"/>
        <v>99</v>
      </c>
      <c r="AG921" t="s">
        <v>38</v>
      </c>
      <c r="AH921" s="3">
        <v>17.920000000000002</v>
      </c>
      <c r="AI921" s="3">
        <f t="shared" si="210"/>
        <v>17.920000000000002</v>
      </c>
      <c r="AJ921" t="s">
        <v>30</v>
      </c>
      <c r="AK921" t="str">
        <f>PROPER(Table1[[#This Row],[CVD Risk Level]])</f>
        <v>High</v>
      </c>
    </row>
    <row r="922" spans="1:37" x14ac:dyDescent="0.3">
      <c r="A922" t="s">
        <v>31</v>
      </c>
      <c r="B922">
        <v>39</v>
      </c>
      <c r="C922" s="8">
        <f t="shared" si="199"/>
        <v>39</v>
      </c>
      <c r="D922" s="5">
        <v>77.900000000000006</v>
      </c>
      <c r="E922" s="8">
        <f t="shared" si="200"/>
        <v>77.900000000000006</v>
      </c>
      <c r="F922">
        <v>1.72</v>
      </c>
      <c r="G922" s="3">
        <f t="shared" si="201"/>
        <v>1.72</v>
      </c>
      <c r="H922">
        <v>26.3</v>
      </c>
      <c r="I922" s="5">
        <f t="shared" si="197"/>
        <v>26.3</v>
      </c>
      <c r="J922" s="16" t="str">
        <f t="shared" si="202"/>
        <v>Overweight</v>
      </c>
      <c r="K922">
        <v>95.9</v>
      </c>
      <c r="L922">
        <v>0.55800000000000005</v>
      </c>
      <c r="M922" s="11">
        <f t="shared" si="198"/>
        <v>0.55800000000000005</v>
      </c>
      <c r="N922" s="5">
        <f t="shared" si="203"/>
        <v>95.9</v>
      </c>
      <c r="O922">
        <v>208</v>
      </c>
      <c r="P922">
        <v>66</v>
      </c>
      <c r="Q922" s="8">
        <f t="shared" si="204"/>
        <v>66</v>
      </c>
      <c r="R922" s="8">
        <v>112</v>
      </c>
      <c r="S922" s="8">
        <f t="shared" si="205"/>
        <v>112</v>
      </c>
      <c r="T922" s="8">
        <f>(Table1[[#This Row],[Total Cholesterol (mg/dL)]]+Table1[[#This Row],[HDL (mg/dL)2]]+Table1[[#This Row],[Estimated LDL (mg/dL)2]])*5</f>
        <v>1930</v>
      </c>
      <c r="U922" s="8">
        <f>IF(O922="",Table1[[#This Row],[Estimated LDL (mg/dL)2]]+Table1[[#This Row],[HDL (mg/dL)2]]+(Table1[[#This Row],[Triglycerides]]/5),O922)</f>
        <v>208</v>
      </c>
      <c r="V922">
        <v>103</v>
      </c>
      <c r="W922" s="8">
        <f t="shared" si="206"/>
        <v>103</v>
      </c>
      <c r="X922" t="str">
        <f t="shared" si="207"/>
        <v>Prediabetes</v>
      </c>
      <c r="Y922" t="s">
        <v>22</v>
      </c>
      <c r="Z922" t="s">
        <v>23</v>
      </c>
      <c r="AA922" t="s">
        <v>37</v>
      </c>
      <c r="AB922" s="3" t="s">
        <v>799</v>
      </c>
      <c r="AC922">
        <v>120</v>
      </c>
      <c r="AD922" s="3" t="str">
        <f t="shared" si="208"/>
        <v>120</v>
      </c>
      <c r="AE922">
        <v>91</v>
      </c>
      <c r="AF922" s="3" t="str">
        <f t="shared" si="209"/>
        <v>91</v>
      </c>
      <c r="AG922" t="s">
        <v>38</v>
      </c>
      <c r="AH922" s="3">
        <v>17.420000000000002</v>
      </c>
      <c r="AI922" s="3">
        <f t="shared" si="210"/>
        <v>17.420000000000002</v>
      </c>
      <c r="AJ922" t="s">
        <v>26</v>
      </c>
      <c r="AK922" t="str">
        <f>PROPER(Table1[[#This Row],[CVD Risk Level]])</f>
        <v>Intermediary</v>
      </c>
    </row>
    <row r="923" spans="1:37" x14ac:dyDescent="0.3">
      <c r="A923" t="s">
        <v>31</v>
      </c>
      <c r="B923">
        <v>48</v>
      </c>
      <c r="C923" s="8">
        <f t="shared" si="199"/>
        <v>48</v>
      </c>
      <c r="D923" s="5">
        <v>107.2</v>
      </c>
      <c r="E923" s="8">
        <f t="shared" si="200"/>
        <v>107.2</v>
      </c>
      <c r="F923">
        <v>1.61</v>
      </c>
      <c r="G923" s="3">
        <f t="shared" si="201"/>
        <v>1.61</v>
      </c>
      <c r="H923">
        <v>41.4</v>
      </c>
      <c r="I923" s="5">
        <f t="shared" si="197"/>
        <v>41.4</v>
      </c>
      <c r="J923" s="16" t="str">
        <f t="shared" si="202"/>
        <v>Obese</v>
      </c>
      <c r="K923">
        <v>80.8</v>
      </c>
      <c r="L923">
        <v>0.502</v>
      </c>
      <c r="M923" s="11">
        <f t="shared" si="198"/>
        <v>0.502</v>
      </c>
      <c r="N923" s="5">
        <f t="shared" si="203"/>
        <v>80.8</v>
      </c>
      <c r="O923">
        <v>152</v>
      </c>
      <c r="P923">
        <v>80</v>
      </c>
      <c r="Q923" s="8">
        <f t="shared" si="204"/>
        <v>80</v>
      </c>
      <c r="R923" s="8">
        <v>42</v>
      </c>
      <c r="S923" s="8">
        <f t="shared" si="205"/>
        <v>42</v>
      </c>
      <c r="T923" s="8">
        <f>(Table1[[#This Row],[Total Cholesterol (mg/dL)]]+Table1[[#This Row],[HDL (mg/dL)2]]+Table1[[#This Row],[Estimated LDL (mg/dL)2]])*5</f>
        <v>1370</v>
      </c>
      <c r="U923" s="8">
        <f>IF(O923="",Table1[[#This Row],[Estimated LDL (mg/dL)2]]+Table1[[#This Row],[HDL (mg/dL)2]]+(Table1[[#This Row],[Triglycerides]]/5),O923)</f>
        <v>152</v>
      </c>
      <c r="V923">
        <v>134</v>
      </c>
      <c r="W923" s="8">
        <f t="shared" si="206"/>
        <v>134</v>
      </c>
      <c r="X923" t="str">
        <f t="shared" si="207"/>
        <v>Diabetes</v>
      </c>
      <c r="Y923" t="s">
        <v>23</v>
      </c>
      <c r="Z923" t="s">
        <v>22</v>
      </c>
      <c r="AA923" t="s">
        <v>37</v>
      </c>
      <c r="AB923" s="3" t="s">
        <v>607</v>
      </c>
      <c r="AC923">
        <v>113</v>
      </c>
      <c r="AD923" s="3" t="str">
        <f t="shared" si="208"/>
        <v>113</v>
      </c>
      <c r="AF923" s="3" t="str">
        <f t="shared" si="209"/>
        <v>77</v>
      </c>
      <c r="AG923" t="s">
        <v>33</v>
      </c>
      <c r="AH923" s="3">
        <v>16.97</v>
      </c>
      <c r="AI923" s="3">
        <f t="shared" si="210"/>
        <v>16.97</v>
      </c>
      <c r="AJ923" t="s">
        <v>26</v>
      </c>
      <c r="AK923" t="str">
        <f>PROPER(Table1[[#This Row],[CVD Risk Level]])</f>
        <v>Intermediary</v>
      </c>
    </row>
    <row r="924" spans="1:37" x14ac:dyDescent="0.3">
      <c r="A924" t="s">
        <v>31</v>
      </c>
      <c r="B924">
        <v>60</v>
      </c>
      <c r="C924" s="8">
        <f t="shared" si="199"/>
        <v>60</v>
      </c>
      <c r="D924" s="5">
        <v>86.5</v>
      </c>
      <c r="E924" s="8">
        <f t="shared" si="200"/>
        <v>86.5</v>
      </c>
      <c r="F924">
        <v>1.6</v>
      </c>
      <c r="G924" s="3">
        <f t="shared" si="201"/>
        <v>1.6</v>
      </c>
      <c r="H924">
        <v>33.799999999999997</v>
      </c>
      <c r="I924" s="5">
        <f t="shared" si="197"/>
        <v>33.799999999999997</v>
      </c>
      <c r="J924" s="16" t="str">
        <f t="shared" si="202"/>
        <v>Obese</v>
      </c>
      <c r="K924">
        <v>70.7</v>
      </c>
      <c r="L924">
        <v>0.442</v>
      </c>
      <c r="M924" s="11">
        <f t="shared" si="198"/>
        <v>0.442</v>
      </c>
      <c r="N924" s="5">
        <f t="shared" si="203"/>
        <v>70.7</v>
      </c>
      <c r="O924">
        <v>181</v>
      </c>
      <c r="P924">
        <v>47</v>
      </c>
      <c r="Q924" s="8">
        <f t="shared" si="204"/>
        <v>47</v>
      </c>
      <c r="R924" s="8">
        <v>104</v>
      </c>
      <c r="S924" s="8">
        <f t="shared" si="205"/>
        <v>104</v>
      </c>
      <c r="T924" s="8">
        <f>(Table1[[#This Row],[Total Cholesterol (mg/dL)]]+Table1[[#This Row],[HDL (mg/dL)2]]+Table1[[#This Row],[Estimated LDL (mg/dL)2]])*5</f>
        <v>1660</v>
      </c>
      <c r="U924" s="8">
        <f>IF(O924="",Table1[[#This Row],[Estimated LDL (mg/dL)2]]+Table1[[#This Row],[HDL (mg/dL)2]]+(Table1[[#This Row],[Triglycerides]]/5),O924)</f>
        <v>181</v>
      </c>
      <c r="V924">
        <v>129</v>
      </c>
      <c r="W924" s="8">
        <f t="shared" si="206"/>
        <v>129</v>
      </c>
      <c r="X924" t="str">
        <f t="shared" si="207"/>
        <v>Diabetes</v>
      </c>
      <c r="Y924" t="s">
        <v>22</v>
      </c>
      <c r="Z924" t="s">
        <v>22</v>
      </c>
      <c r="AA924" t="s">
        <v>28</v>
      </c>
      <c r="AB924" s="3" t="s">
        <v>122</v>
      </c>
      <c r="AC924">
        <v>119</v>
      </c>
      <c r="AD924" s="3" t="str">
        <f t="shared" si="208"/>
        <v>119</v>
      </c>
      <c r="AE924">
        <v>65</v>
      </c>
      <c r="AF924" s="3" t="str">
        <f t="shared" si="209"/>
        <v>65</v>
      </c>
      <c r="AG924" t="s">
        <v>33</v>
      </c>
      <c r="AH924" s="3">
        <v>16.329999999999998</v>
      </c>
      <c r="AI924" s="3">
        <f t="shared" si="210"/>
        <v>16.329999999999998</v>
      </c>
      <c r="AJ924" t="s">
        <v>26</v>
      </c>
      <c r="AK924" t="str">
        <f>PROPER(Table1[[#This Row],[CVD Risk Level]])</f>
        <v>Intermediary</v>
      </c>
    </row>
    <row r="925" spans="1:37" x14ac:dyDescent="0.3">
      <c r="A925" t="s">
        <v>31</v>
      </c>
      <c r="C925" s="8">
        <f t="shared" si="199"/>
        <v>47.025499655410059</v>
      </c>
      <c r="D925" s="5">
        <v>73.2</v>
      </c>
      <c r="E925" s="8">
        <f t="shared" si="200"/>
        <v>73.2</v>
      </c>
      <c r="F925">
        <v>1.62</v>
      </c>
      <c r="G925" s="3">
        <f t="shared" si="201"/>
        <v>1.62</v>
      </c>
      <c r="H925">
        <v>27.9</v>
      </c>
      <c r="I925" s="5">
        <f t="shared" si="197"/>
        <v>27.9</v>
      </c>
      <c r="J925" s="16" t="str">
        <f t="shared" si="202"/>
        <v>Overweight</v>
      </c>
      <c r="K925">
        <v>70.2</v>
      </c>
      <c r="L925">
        <v>0.433</v>
      </c>
      <c r="M925" s="11">
        <f t="shared" si="198"/>
        <v>0.433</v>
      </c>
      <c r="N925" s="5">
        <f t="shared" si="203"/>
        <v>70.2</v>
      </c>
      <c r="P925">
        <v>34</v>
      </c>
      <c r="Q925" s="8">
        <f t="shared" si="204"/>
        <v>34</v>
      </c>
      <c r="R925" s="8">
        <v>160</v>
      </c>
      <c r="S925" s="8">
        <f t="shared" si="205"/>
        <v>160</v>
      </c>
      <c r="T925" s="8">
        <f>(Table1[[#This Row],[Total Cholesterol (mg/dL)]]+Table1[[#This Row],[HDL (mg/dL)2]]+Table1[[#This Row],[Estimated LDL (mg/dL)2]])*5</f>
        <v>970</v>
      </c>
      <c r="U925" s="8">
        <f>IF(O925="",Table1[[#This Row],[Estimated LDL (mg/dL)2]]+Table1[[#This Row],[HDL (mg/dL)2]]+(Table1[[#This Row],[Triglycerides]]/5),O925)</f>
        <v>388</v>
      </c>
      <c r="V925">
        <v>104</v>
      </c>
      <c r="W925" s="8">
        <f t="shared" si="206"/>
        <v>104</v>
      </c>
      <c r="X925" t="str">
        <f t="shared" si="207"/>
        <v>Prediabetes</v>
      </c>
      <c r="Y925" t="s">
        <v>23</v>
      </c>
      <c r="Z925" t="s">
        <v>23</v>
      </c>
      <c r="AA925" t="s">
        <v>28</v>
      </c>
      <c r="AB925" s="3" t="s">
        <v>300</v>
      </c>
      <c r="AC925">
        <v>115</v>
      </c>
      <c r="AD925" s="3" t="str">
        <f t="shared" si="208"/>
        <v>115</v>
      </c>
      <c r="AE925">
        <v>100</v>
      </c>
      <c r="AF925" s="3" t="str">
        <f t="shared" si="209"/>
        <v>100</v>
      </c>
      <c r="AG925" t="s">
        <v>38</v>
      </c>
      <c r="AH925" s="3">
        <v>17.809999999999999</v>
      </c>
      <c r="AI925" s="3">
        <f t="shared" si="210"/>
        <v>17.809999999999999</v>
      </c>
      <c r="AJ925" t="s">
        <v>30</v>
      </c>
      <c r="AK925" t="str">
        <f>PROPER(Table1[[#This Row],[CVD Risk Level]])</f>
        <v>High</v>
      </c>
    </row>
    <row r="926" spans="1:37" x14ac:dyDescent="0.3">
      <c r="A926" t="s">
        <v>31</v>
      </c>
      <c r="B926">
        <v>44</v>
      </c>
      <c r="C926" s="8">
        <f t="shared" si="199"/>
        <v>44</v>
      </c>
      <c r="D926" s="5">
        <v>113</v>
      </c>
      <c r="E926" s="8">
        <f t="shared" si="200"/>
        <v>113</v>
      </c>
      <c r="F926">
        <v>1.7</v>
      </c>
      <c r="G926" s="3">
        <f t="shared" si="201"/>
        <v>1.7</v>
      </c>
      <c r="H926">
        <v>39.1</v>
      </c>
      <c r="I926" s="5">
        <f t="shared" si="197"/>
        <v>39.1</v>
      </c>
      <c r="J926" s="16" t="str">
        <f t="shared" si="202"/>
        <v>Obese</v>
      </c>
      <c r="K926">
        <v>82.6</v>
      </c>
      <c r="L926">
        <v>0.48599999999999999</v>
      </c>
      <c r="M926" s="11">
        <f t="shared" si="198"/>
        <v>0.48599999999999999</v>
      </c>
      <c r="N926" s="5">
        <f t="shared" si="203"/>
        <v>82.6</v>
      </c>
      <c r="O926">
        <v>270</v>
      </c>
      <c r="P926">
        <v>44</v>
      </c>
      <c r="Q926" s="8">
        <f t="shared" si="204"/>
        <v>44</v>
      </c>
      <c r="R926" s="8">
        <v>196</v>
      </c>
      <c r="S926" s="8">
        <f t="shared" si="205"/>
        <v>196</v>
      </c>
      <c r="T926" s="8">
        <f>(Table1[[#This Row],[Total Cholesterol (mg/dL)]]+Table1[[#This Row],[HDL (mg/dL)2]]+Table1[[#This Row],[Estimated LDL (mg/dL)2]])*5</f>
        <v>2550</v>
      </c>
      <c r="U926" s="8">
        <f>IF(O926="",Table1[[#This Row],[Estimated LDL (mg/dL)2]]+Table1[[#This Row],[HDL (mg/dL)2]]+(Table1[[#This Row],[Triglycerides]]/5),O926)</f>
        <v>270</v>
      </c>
      <c r="V926">
        <v>103</v>
      </c>
      <c r="W926" s="8">
        <f t="shared" si="206"/>
        <v>103</v>
      </c>
      <c r="X926" t="str">
        <f t="shared" si="207"/>
        <v>Prediabetes</v>
      </c>
      <c r="Y926" t="s">
        <v>23</v>
      </c>
      <c r="Z926" t="s">
        <v>23</v>
      </c>
      <c r="AA926" t="s">
        <v>28</v>
      </c>
      <c r="AB926" s="3" t="s">
        <v>800</v>
      </c>
      <c r="AC926">
        <v>113</v>
      </c>
      <c r="AD926" s="3" t="str">
        <f t="shared" si="208"/>
        <v>113</v>
      </c>
      <c r="AE926">
        <v>70</v>
      </c>
      <c r="AF926" s="3" t="str">
        <f t="shared" si="209"/>
        <v>70</v>
      </c>
      <c r="AG926" t="s">
        <v>33</v>
      </c>
      <c r="AH926" s="3">
        <v>20.87</v>
      </c>
      <c r="AI926" s="3">
        <f t="shared" si="210"/>
        <v>20.87</v>
      </c>
      <c r="AJ926" t="s">
        <v>30</v>
      </c>
      <c r="AK926" t="str">
        <f>PROPER(Table1[[#This Row],[CVD Risk Level]])</f>
        <v>High</v>
      </c>
    </row>
    <row r="927" spans="1:37" x14ac:dyDescent="0.3">
      <c r="A927" t="s">
        <v>31</v>
      </c>
      <c r="B927">
        <v>40</v>
      </c>
      <c r="C927" s="8">
        <f t="shared" si="199"/>
        <v>40</v>
      </c>
      <c r="D927" s="5">
        <v>120</v>
      </c>
      <c r="E927" s="8">
        <f t="shared" si="200"/>
        <v>120</v>
      </c>
      <c r="G927" s="3">
        <f t="shared" si="201"/>
        <v>1.8411492357966468</v>
      </c>
      <c r="H927">
        <v>35.4</v>
      </c>
      <c r="I927" s="5">
        <f t="shared" si="197"/>
        <v>35.4</v>
      </c>
      <c r="J927" s="16" t="str">
        <f t="shared" si="202"/>
        <v>Obese</v>
      </c>
      <c r="K927">
        <v>100.9</v>
      </c>
      <c r="L927">
        <v>0.54800000000000004</v>
      </c>
      <c r="M927" s="11">
        <f t="shared" si="198"/>
        <v>0.54800000000000004</v>
      </c>
      <c r="N927" s="5">
        <f t="shared" si="203"/>
        <v>100.9</v>
      </c>
      <c r="O927">
        <v>223</v>
      </c>
      <c r="P927">
        <v>62</v>
      </c>
      <c r="Q927" s="8">
        <f t="shared" si="204"/>
        <v>62</v>
      </c>
      <c r="R927" s="8">
        <v>131</v>
      </c>
      <c r="S927" s="8">
        <f t="shared" si="205"/>
        <v>131</v>
      </c>
      <c r="T927" s="8">
        <f>(Table1[[#This Row],[Total Cholesterol (mg/dL)]]+Table1[[#This Row],[HDL (mg/dL)2]]+Table1[[#This Row],[Estimated LDL (mg/dL)2]])*5</f>
        <v>2080</v>
      </c>
      <c r="U927" s="8">
        <f>IF(O927="",Table1[[#This Row],[Estimated LDL (mg/dL)2]]+Table1[[#This Row],[HDL (mg/dL)2]]+(Table1[[#This Row],[Triglycerides]]/5),O927)</f>
        <v>223</v>
      </c>
      <c r="V927">
        <v>84</v>
      </c>
      <c r="W927" s="8">
        <f t="shared" si="206"/>
        <v>84</v>
      </c>
      <c r="X927" t="str">
        <f t="shared" si="207"/>
        <v>Normal</v>
      </c>
      <c r="Y927" t="s">
        <v>23</v>
      </c>
      <c r="Z927" t="s">
        <v>23</v>
      </c>
      <c r="AA927" t="s">
        <v>37</v>
      </c>
      <c r="AB927" s="3" t="s">
        <v>801</v>
      </c>
      <c r="AC927">
        <v>94</v>
      </c>
      <c r="AD927" s="3" t="str">
        <f t="shared" si="208"/>
        <v>94</v>
      </c>
      <c r="AE927">
        <v>68</v>
      </c>
      <c r="AF927" s="3" t="str">
        <f t="shared" si="209"/>
        <v>68</v>
      </c>
      <c r="AG927" t="s">
        <v>33</v>
      </c>
      <c r="AH927" s="3">
        <v>18.239999999999998</v>
      </c>
      <c r="AI927" s="3">
        <f t="shared" si="210"/>
        <v>18.239999999999998</v>
      </c>
      <c r="AJ927" t="s">
        <v>30</v>
      </c>
      <c r="AK927" t="str">
        <f>PROPER(Table1[[#This Row],[CVD Risk Level]])</f>
        <v>High</v>
      </c>
    </row>
    <row r="928" spans="1:37" x14ac:dyDescent="0.3">
      <c r="A928" t="s">
        <v>20</v>
      </c>
      <c r="B928">
        <v>56</v>
      </c>
      <c r="C928" s="8">
        <f t="shared" si="199"/>
        <v>56</v>
      </c>
      <c r="D928" s="5">
        <v>114</v>
      </c>
      <c r="E928" s="8">
        <f t="shared" si="200"/>
        <v>114</v>
      </c>
      <c r="F928">
        <v>1.66</v>
      </c>
      <c r="G928" s="3">
        <f t="shared" si="201"/>
        <v>1.66</v>
      </c>
      <c r="H928">
        <v>41.4</v>
      </c>
      <c r="I928" s="5">
        <f t="shared" si="197"/>
        <v>41.4</v>
      </c>
      <c r="J928" s="16" t="str">
        <f t="shared" si="202"/>
        <v>Obese</v>
      </c>
      <c r="K928">
        <v>73.900000000000006</v>
      </c>
      <c r="L928">
        <v>0.44500000000000001</v>
      </c>
      <c r="M928" s="11">
        <f t="shared" si="198"/>
        <v>0.44500000000000001</v>
      </c>
      <c r="N928" s="5">
        <f t="shared" si="203"/>
        <v>73.900000000000006</v>
      </c>
      <c r="O928">
        <v>120</v>
      </c>
      <c r="P928">
        <v>34</v>
      </c>
      <c r="Q928" s="8">
        <f t="shared" si="204"/>
        <v>34</v>
      </c>
      <c r="R928" s="8">
        <v>56</v>
      </c>
      <c r="S928" s="8">
        <f t="shared" si="205"/>
        <v>56</v>
      </c>
      <c r="T928" s="8">
        <f>(Table1[[#This Row],[Total Cholesterol (mg/dL)]]+Table1[[#This Row],[HDL (mg/dL)2]]+Table1[[#This Row],[Estimated LDL (mg/dL)2]])*5</f>
        <v>1050</v>
      </c>
      <c r="U928" s="8">
        <f>IF(O928="",Table1[[#This Row],[Estimated LDL (mg/dL)2]]+Table1[[#This Row],[HDL (mg/dL)2]]+(Table1[[#This Row],[Triglycerides]]/5),O928)</f>
        <v>120</v>
      </c>
      <c r="V928">
        <v>93</v>
      </c>
      <c r="W928" s="8">
        <f t="shared" si="206"/>
        <v>93</v>
      </c>
      <c r="X928" t="str">
        <f t="shared" si="207"/>
        <v>Normal</v>
      </c>
      <c r="Y928" t="s">
        <v>23</v>
      </c>
      <c r="Z928" t="s">
        <v>22</v>
      </c>
      <c r="AA928" t="s">
        <v>28</v>
      </c>
      <c r="AB928" s="3" t="s">
        <v>659</v>
      </c>
      <c r="AC928">
        <v>111</v>
      </c>
      <c r="AD928" s="3" t="str">
        <f t="shared" si="208"/>
        <v>111</v>
      </c>
      <c r="AE928">
        <v>97</v>
      </c>
      <c r="AF928" s="3" t="str">
        <f t="shared" si="209"/>
        <v>97</v>
      </c>
      <c r="AG928" t="s">
        <v>38</v>
      </c>
      <c r="AH928" s="3">
        <v>16.23</v>
      </c>
      <c r="AI928" s="3">
        <f t="shared" si="210"/>
        <v>16.23</v>
      </c>
      <c r="AJ928" t="s">
        <v>30</v>
      </c>
      <c r="AK928" t="str">
        <f>PROPER(Table1[[#This Row],[CVD Risk Level]])</f>
        <v>High</v>
      </c>
    </row>
    <row r="929" spans="1:37" x14ac:dyDescent="0.3">
      <c r="A929" t="s">
        <v>31</v>
      </c>
      <c r="B929">
        <v>59</v>
      </c>
      <c r="C929" s="8">
        <f t="shared" si="199"/>
        <v>59</v>
      </c>
      <c r="D929" s="5">
        <v>82.7</v>
      </c>
      <c r="E929" s="8">
        <f t="shared" si="200"/>
        <v>82.7</v>
      </c>
      <c r="F929">
        <v>1.84</v>
      </c>
      <c r="G929" s="3">
        <f t="shared" si="201"/>
        <v>1.84</v>
      </c>
      <c r="H929">
        <v>24.4</v>
      </c>
      <c r="I929" s="5">
        <f t="shared" si="197"/>
        <v>24.4</v>
      </c>
      <c r="J929" s="16" t="str">
        <f t="shared" si="202"/>
        <v>Normal</v>
      </c>
      <c r="K929">
        <v>100.2</v>
      </c>
      <c r="L929">
        <v>0.54500000000000004</v>
      </c>
      <c r="M929" s="11">
        <f t="shared" si="198"/>
        <v>0.54500000000000004</v>
      </c>
      <c r="N929" s="5">
        <f t="shared" si="203"/>
        <v>100.2</v>
      </c>
      <c r="O929">
        <v>158</v>
      </c>
      <c r="P929">
        <v>75</v>
      </c>
      <c r="Q929" s="8">
        <f t="shared" si="204"/>
        <v>75</v>
      </c>
      <c r="R929" s="8">
        <v>53</v>
      </c>
      <c r="S929" s="8">
        <f t="shared" si="205"/>
        <v>53</v>
      </c>
      <c r="T929" s="8">
        <f>(Table1[[#This Row],[Total Cholesterol (mg/dL)]]+Table1[[#This Row],[HDL (mg/dL)2]]+Table1[[#This Row],[Estimated LDL (mg/dL)2]])*5</f>
        <v>1430</v>
      </c>
      <c r="U929" s="8">
        <f>IF(O929="",Table1[[#This Row],[Estimated LDL (mg/dL)2]]+Table1[[#This Row],[HDL (mg/dL)2]]+(Table1[[#This Row],[Triglycerides]]/5),O929)</f>
        <v>158</v>
      </c>
      <c r="V929">
        <v>107</v>
      </c>
      <c r="W929" s="8">
        <f t="shared" si="206"/>
        <v>107</v>
      </c>
      <c r="X929" t="str">
        <f t="shared" si="207"/>
        <v>Prediabetes</v>
      </c>
      <c r="Y929" t="s">
        <v>23</v>
      </c>
      <c r="Z929" t="s">
        <v>22</v>
      </c>
      <c r="AA929" t="s">
        <v>37</v>
      </c>
      <c r="AB929" s="3" t="s">
        <v>802</v>
      </c>
      <c r="AC929">
        <v>145</v>
      </c>
      <c r="AD929" s="3" t="str">
        <f t="shared" si="208"/>
        <v>145</v>
      </c>
      <c r="AE929">
        <v>65</v>
      </c>
      <c r="AF929" s="3" t="str">
        <f t="shared" si="209"/>
        <v>65</v>
      </c>
      <c r="AG929" t="s">
        <v>38</v>
      </c>
      <c r="AH929" s="3">
        <v>15.29</v>
      </c>
      <c r="AI929" s="3">
        <f t="shared" si="210"/>
        <v>15.29</v>
      </c>
      <c r="AJ929" t="s">
        <v>26</v>
      </c>
      <c r="AK929" t="str">
        <f>PROPER(Table1[[#This Row],[CVD Risk Level]])</f>
        <v>Intermediary</v>
      </c>
    </row>
    <row r="930" spans="1:37" x14ac:dyDescent="0.3">
      <c r="A930" t="s">
        <v>20</v>
      </c>
      <c r="C930" s="8">
        <f t="shared" si="199"/>
        <v>47.025499655410059</v>
      </c>
      <c r="D930" s="5">
        <v>110.5</v>
      </c>
      <c r="E930" s="8">
        <f t="shared" si="200"/>
        <v>110.5</v>
      </c>
      <c r="G930" s="3">
        <f t="shared" si="201"/>
        <v>1.6105578889363223</v>
      </c>
      <c r="H930">
        <v>42.6</v>
      </c>
      <c r="I930" s="5">
        <f t="shared" si="197"/>
        <v>42.6</v>
      </c>
      <c r="J930" s="16" t="str">
        <f t="shared" si="202"/>
        <v>Obese</v>
      </c>
      <c r="K930">
        <v>76.900000000000006</v>
      </c>
      <c r="L930">
        <v>0.47799999999999998</v>
      </c>
      <c r="M930" s="11">
        <f t="shared" si="198"/>
        <v>0.47799999999999998</v>
      </c>
      <c r="N930" s="5">
        <f t="shared" si="203"/>
        <v>76.900000000000006</v>
      </c>
      <c r="O930">
        <v>173</v>
      </c>
      <c r="P930">
        <v>55</v>
      </c>
      <c r="Q930" s="8">
        <f t="shared" si="204"/>
        <v>55</v>
      </c>
      <c r="R930" s="8">
        <v>88</v>
      </c>
      <c r="S930" s="8">
        <f t="shared" si="205"/>
        <v>88</v>
      </c>
      <c r="T930" s="8">
        <f>(Table1[[#This Row],[Total Cholesterol (mg/dL)]]+Table1[[#This Row],[HDL (mg/dL)2]]+Table1[[#This Row],[Estimated LDL (mg/dL)2]])*5</f>
        <v>1580</v>
      </c>
      <c r="U930" s="8">
        <f>IF(O930="",Table1[[#This Row],[Estimated LDL (mg/dL)2]]+Table1[[#This Row],[HDL (mg/dL)2]]+(Table1[[#This Row],[Triglycerides]]/5),O930)</f>
        <v>173</v>
      </c>
      <c r="V930">
        <v>99</v>
      </c>
      <c r="W930" s="8">
        <f t="shared" si="206"/>
        <v>99</v>
      </c>
      <c r="X930" t="str">
        <f t="shared" si="207"/>
        <v>Normal</v>
      </c>
      <c r="Y930" t="s">
        <v>22</v>
      </c>
      <c r="Z930" t="s">
        <v>22</v>
      </c>
      <c r="AA930" t="s">
        <v>37</v>
      </c>
      <c r="AB930" s="3" t="s">
        <v>803</v>
      </c>
      <c r="AC930">
        <v>133</v>
      </c>
      <c r="AD930" s="3" t="str">
        <f t="shared" si="208"/>
        <v>133</v>
      </c>
      <c r="AE930">
        <v>95</v>
      </c>
      <c r="AF930" s="3" t="str">
        <f t="shared" si="209"/>
        <v>95</v>
      </c>
      <c r="AG930" t="s">
        <v>29</v>
      </c>
      <c r="AH930" s="3">
        <v>18.63</v>
      </c>
      <c r="AI930" s="3">
        <f t="shared" si="210"/>
        <v>18.63</v>
      </c>
      <c r="AJ930" t="s">
        <v>26</v>
      </c>
      <c r="AK930" t="str">
        <f>PROPER(Table1[[#This Row],[CVD Risk Level]])</f>
        <v>Intermediary</v>
      </c>
    </row>
    <row r="931" spans="1:37" x14ac:dyDescent="0.3">
      <c r="A931" t="s">
        <v>31</v>
      </c>
      <c r="B931">
        <v>44</v>
      </c>
      <c r="C931" s="8">
        <f t="shared" si="199"/>
        <v>44</v>
      </c>
      <c r="D931" s="5">
        <v>60.1</v>
      </c>
      <c r="E931" s="8">
        <f t="shared" si="200"/>
        <v>60.1</v>
      </c>
      <c r="F931">
        <v>1.87</v>
      </c>
      <c r="G931" s="3">
        <f t="shared" si="201"/>
        <v>1.87</v>
      </c>
      <c r="H931">
        <v>17.2</v>
      </c>
      <c r="I931" s="5">
        <f t="shared" si="197"/>
        <v>17.2</v>
      </c>
      <c r="J931" s="16" t="str">
        <f t="shared" si="202"/>
        <v>Underweight</v>
      </c>
      <c r="K931">
        <v>106.6</v>
      </c>
      <c r="L931">
        <v>0.56999999999999995</v>
      </c>
      <c r="M931" s="11">
        <f t="shared" si="198"/>
        <v>0.56999999999999995</v>
      </c>
      <c r="N931" s="5">
        <f t="shared" si="203"/>
        <v>106.6</v>
      </c>
      <c r="O931">
        <v>182</v>
      </c>
      <c r="P931">
        <v>54</v>
      </c>
      <c r="Q931" s="8">
        <f t="shared" si="204"/>
        <v>54</v>
      </c>
      <c r="R931" s="8">
        <v>98</v>
      </c>
      <c r="S931" s="8">
        <f t="shared" si="205"/>
        <v>98</v>
      </c>
      <c r="T931" s="8">
        <f>(Table1[[#This Row],[Total Cholesterol (mg/dL)]]+Table1[[#This Row],[HDL (mg/dL)2]]+Table1[[#This Row],[Estimated LDL (mg/dL)2]])*5</f>
        <v>1670</v>
      </c>
      <c r="U931" s="8">
        <f>IF(O931="",Table1[[#This Row],[Estimated LDL (mg/dL)2]]+Table1[[#This Row],[HDL (mg/dL)2]]+(Table1[[#This Row],[Triglycerides]]/5),O931)</f>
        <v>182</v>
      </c>
      <c r="V931">
        <v>70</v>
      </c>
      <c r="W931" s="8">
        <f t="shared" si="206"/>
        <v>70</v>
      </c>
      <c r="X931" t="str">
        <f t="shared" si="207"/>
        <v>Normal</v>
      </c>
      <c r="Y931" t="s">
        <v>22</v>
      </c>
      <c r="Z931" t="s">
        <v>23</v>
      </c>
      <c r="AA931" t="s">
        <v>28</v>
      </c>
      <c r="AB931" s="3" t="s">
        <v>804</v>
      </c>
      <c r="AC931">
        <v>149</v>
      </c>
      <c r="AD931" s="3" t="str">
        <f t="shared" si="208"/>
        <v>149</v>
      </c>
      <c r="AE931">
        <v>60</v>
      </c>
      <c r="AF931" s="3" t="str">
        <f t="shared" si="209"/>
        <v>60</v>
      </c>
      <c r="AG931" t="s">
        <v>38</v>
      </c>
      <c r="AH931" s="3">
        <v>16.53</v>
      </c>
      <c r="AI931" s="3">
        <f t="shared" si="210"/>
        <v>16.53</v>
      </c>
      <c r="AJ931" t="s">
        <v>26</v>
      </c>
      <c r="AK931" t="str">
        <f>PROPER(Table1[[#This Row],[CVD Risk Level]])</f>
        <v>Intermediary</v>
      </c>
    </row>
    <row r="932" spans="1:37" x14ac:dyDescent="0.3">
      <c r="A932" t="s">
        <v>31</v>
      </c>
      <c r="B932">
        <v>55</v>
      </c>
      <c r="C932" s="8">
        <f t="shared" si="199"/>
        <v>55</v>
      </c>
      <c r="D932" s="5">
        <v>109.8</v>
      </c>
      <c r="E932" s="8">
        <f t="shared" si="200"/>
        <v>109.8</v>
      </c>
      <c r="F932">
        <v>1.81</v>
      </c>
      <c r="G932" s="3">
        <f t="shared" si="201"/>
        <v>1.81</v>
      </c>
      <c r="H932">
        <v>33.5</v>
      </c>
      <c r="I932" s="5">
        <f t="shared" si="197"/>
        <v>33.5</v>
      </c>
      <c r="J932" s="16" t="str">
        <f t="shared" si="202"/>
        <v>Obese</v>
      </c>
      <c r="K932">
        <v>101.1</v>
      </c>
      <c r="L932">
        <v>0.55900000000000005</v>
      </c>
      <c r="M932" s="11">
        <f t="shared" si="198"/>
        <v>0.55900000000000005</v>
      </c>
      <c r="N932" s="5">
        <f t="shared" si="203"/>
        <v>101.1</v>
      </c>
      <c r="O932">
        <v>265</v>
      </c>
      <c r="P932">
        <v>76</v>
      </c>
      <c r="Q932" s="8">
        <f t="shared" si="204"/>
        <v>76</v>
      </c>
      <c r="R932" s="8">
        <v>159</v>
      </c>
      <c r="S932" s="8">
        <f t="shared" si="205"/>
        <v>159</v>
      </c>
      <c r="T932" s="8">
        <f>(Table1[[#This Row],[Total Cholesterol (mg/dL)]]+Table1[[#This Row],[HDL (mg/dL)2]]+Table1[[#This Row],[Estimated LDL (mg/dL)2]])*5</f>
        <v>2500</v>
      </c>
      <c r="U932" s="8">
        <f>IF(O932="",Table1[[#This Row],[Estimated LDL (mg/dL)2]]+Table1[[#This Row],[HDL (mg/dL)2]]+(Table1[[#This Row],[Triglycerides]]/5),O932)</f>
        <v>265</v>
      </c>
      <c r="V932">
        <v>121</v>
      </c>
      <c r="W932" s="8">
        <f t="shared" si="206"/>
        <v>121</v>
      </c>
      <c r="X932" t="str">
        <f t="shared" si="207"/>
        <v>Prediabetes</v>
      </c>
      <c r="Y932" t="s">
        <v>22</v>
      </c>
      <c r="Z932" t="s">
        <v>23</v>
      </c>
      <c r="AA932" t="s">
        <v>28</v>
      </c>
      <c r="AB932" s="3" t="s">
        <v>805</v>
      </c>
      <c r="AC932">
        <v>102</v>
      </c>
      <c r="AD932" s="3" t="str">
        <f t="shared" si="208"/>
        <v>102</v>
      </c>
      <c r="AE932">
        <v>95</v>
      </c>
      <c r="AF932" s="3" t="str">
        <f t="shared" si="209"/>
        <v>95</v>
      </c>
      <c r="AG932" t="s">
        <v>38</v>
      </c>
      <c r="AH932" s="3">
        <v>19.100000000000001</v>
      </c>
      <c r="AI932" s="3">
        <f t="shared" si="210"/>
        <v>19.100000000000001</v>
      </c>
      <c r="AJ932" t="s">
        <v>30</v>
      </c>
      <c r="AK932" t="str">
        <f>PROPER(Table1[[#This Row],[CVD Risk Level]])</f>
        <v>High</v>
      </c>
    </row>
    <row r="933" spans="1:37" x14ac:dyDescent="0.3">
      <c r="A933" t="s">
        <v>20</v>
      </c>
      <c r="B933">
        <v>45</v>
      </c>
      <c r="C933" s="8">
        <f t="shared" si="199"/>
        <v>45</v>
      </c>
      <c r="D933" s="5">
        <v>111.4</v>
      </c>
      <c r="E933" s="8">
        <f t="shared" si="200"/>
        <v>111.4</v>
      </c>
      <c r="F933">
        <v>1.89</v>
      </c>
      <c r="G933" s="3">
        <f t="shared" si="201"/>
        <v>1.89</v>
      </c>
      <c r="H933">
        <v>31.2</v>
      </c>
      <c r="I933" s="5">
        <f t="shared" si="197"/>
        <v>31.2</v>
      </c>
      <c r="J933" s="16" t="str">
        <f t="shared" si="202"/>
        <v>Obese</v>
      </c>
      <c r="K933">
        <v>101.8</v>
      </c>
      <c r="L933">
        <v>0.53900000000000003</v>
      </c>
      <c r="M933" s="11">
        <f t="shared" si="198"/>
        <v>0.53900000000000003</v>
      </c>
      <c r="N933" s="5">
        <f t="shared" si="203"/>
        <v>101.8</v>
      </c>
      <c r="O933">
        <v>266</v>
      </c>
      <c r="P933">
        <v>44</v>
      </c>
      <c r="Q933" s="8">
        <f t="shared" si="204"/>
        <v>44</v>
      </c>
      <c r="R933" s="8">
        <v>192</v>
      </c>
      <c r="S933" s="8">
        <f t="shared" si="205"/>
        <v>192</v>
      </c>
      <c r="T933" s="8">
        <f>(Table1[[#This Row],[Total Cholesterol (mg/dL)]]+Table1[[#This Row],[HDL (mg/dL)2]]+Table1[[#This Row],[Estimated LDL (mg/dL)2]])*5</f>
        <v>2510</v>
      </c>
      <c r="U933" s="8">
        <f>IF(O933="",Table1[[#This Row],[Estimated LDL (mg/dL)2]]+Table1[[#This Row],[HDL (mg/dL)2]]+(Table1[[#This Row],[Triglycerides]]/5),O933)</f>
        <v>266</v>
      </c>
      <c r="V933">
        <v>113</v>
      </c>
      <c r="W933" s="8">
        <f t="shared" si="206"/>
        <v>113</v>
      </c>
      <c r="X933" t="str">
        <f t="shared" si="207"/>
        <v>Prediabetes</v>
      </c>
      <c r="Y933" t="s">
        <v>23</v>
      </c>
      <c r="Z933" t="s">
        <v>22</v>
      </c>
      <c r="AA933" t="s">
        <v>24</v>
      </c>
      <c r="AB933" s="3" t="s">
        <v>806</v>
      </c>
      <c r="AC933">
        <v>132</v>
      </c>
      <c r="AD933" s="3" t="str">
        <f t="shared" si="208"/>
        <v>132</v>
      </c>
      <c r="AE933">
        <v>84</v>
      </c>
      <c r="AF933" s="3" t="str">
        <f t="shared" si="209"/>
        <v>84</v>
      </c>
      <c r="AG933" t="s">
        <v>29</v>
      </c>
      <c r="AH933" s="3">
        <v>18.16</v>
      </c>
      <c r="AI933" s="3">
        <f t="shared" si="210"/>
        <v>18.16</v>
      </c>
      <c r="AJ933" t="s">
        <v>30</v>
      </c>
      <c r="AK933" t="str">
        <f>PROPER(Table1[[#This Row],[CVD Risk Level]])</f>
        <v>High</v>
      </c>
    </row>
    <row r="934" spans="1:37" x14ac:dyDescent="0.3">
      <c r="A934" t="s">
        <v>20</v>
      </c>
      <c r="B934">
        <v>31</v>
      </c>
      <c r="C934" s="8">
        <f t="shared" si="199"/>
        <v>31</v>
      </c>
      <c r="D934" s="5">
        <v>54.3</v>
      </c>
      <c r="E934" s="8">
        <f t="shared" si="200"/>
        <v>54.3</v>
      </c>
      <c r="F934">
        <v>1.69</v>
      </c>
      <c r="G934" s="3">
        <f t="shared" si="201"/>
        <v>1.69</v>
      </c>
      <c r="H934">
        <v>19</v>
      </c>
      <c r="I934" s="5">
        <f t="shared" si="197"/>
        <v>19</v>
      </c>
      <c r="J934" s="16" t="str">
        <f t="shared" si="202"/>
        <v>Normal</v>
      </c>
      <c r="K934">
        <v>78</v>
      </c>
      <c r="L934">
        <v>0.46200000000000002</v>
      </c>
      <c r="M934" s="11">
        <f t="shared" si="198"/>
        <v>0.46200000000000002</v>
      </c>
      <c r="N934" s="5">
        <f t="shared" si="203"/>
        <v>78</v>
      </c>
      <c r="O934">
        <v>124</v>
      </c>
      <c r="P934">
        <v>61</v>
      </c>
      <c r="Q934" s="8">
        <f t="shared" si="204"/>
        <v>61</v>
      </c>
      <c r="R934" s="8">
        <v>33</v>
      </c>
      <c r="S934" s="8">
        <f t="shared" si="205"/>
        <v>33</v>
      </c>
      <c r="T934" s="8">
        <f>(Table1[[#This Row],[Total Cholesterol (mg/dL)]]+Table1[[#This Row],[HDL (mg/dL)2]]+Table1[[#This Row],[Estimated LDL (mg/dL)2]])*5</f>
        <v>1090</v>
      </c>
      <c r="U934" s="8">
        <f>IF(O934="",Table1[[#This Row],[Estimated LDL (mg/dL)2]]+Table1[[#This Row],[HDL (mg/dL)2]]+(Table1[[#This Row],[Triglycerides]]/5),O934)</f>
        <v>124</v>
      </c>
      <c r="V934">
        <v>124</v>
      </c>
      <c r="W934" s="8">
        <f t="shared" si="206"/>
        <v>124</v>
      </c>
      <c r="X934" t="str">
        <f t="shared" si="207"/>
        <v>Prediabetes</v>
      </c>
      <c r="Y934" t="s">
        <v>23</v>
      </c>
      <c r="Z934" t="s">
        <v>23</v>
      </c>
      <c r="AA934" t="s">
        <v>24</v>
      </c>
      <c r="AB934" s="3" t="s">
        <v>807</v>
      </c>
      <c r="AC934">
        <v>135</v>
      </c>
      <c r="AD934" s="3" t="str">
        <f t="shared" si="208"/>
        <v>135</v>
      </c>
      <c r="AE934">
        <v>83</v>
      </c>
      <c r="AF934" s="3" t="str">
        <f t="shared" si="209"/>
        <v>83</v>
      </c>
      <c r="AG934" t="s">
        <v>29</v>
      </c>
      <c r="AH934" s="3">
        <v>15.03</v>
      </c>
      <c r="AI934" s="3">
        <f t="shared" si="210"/>
        <v>15.03</v>
      </c>
      <c r="AJ934" t="s">
        <v>26</v>
      </c>
      <c r="AK934" t="str">
        <f>PROPER(Table1[[#This Row],[CVD Risk Level]])</f>
        <v>Intermediary</v>
      </c>
    </row>
    <row r="935" spans="1:37" x14ac:dyDescent="0.3">
      <c r="A935" t="s">
        <v>31</v>
      </c>
      <c r="B935">
        <v>33</v>
      </c>
      <c r="C935" s="8">
        <f t="shared" si="199"/>
        <v>33</v>
      </c>
      <c r="D935" s="5">
        <v>88.4</v>
      </c>
      <c r="E935" s="8">
        <f t="shared" si="200"/>
        <v>88.4</v>
      </c>
      <c r="F935">
        <v>1.86</v>
      </c>
      <c r="G935" s="3">
        <f t="shared" si="201"/>
        <v>1.86</v>
      </c>
      <c r="H935">
        <v>25.6</v>
      </c>
      <c r="I935" s="5">
        <f t="shared" si="197"/>
        <v>25.6</v>
      </c>
      <c r="J935" s="16" t="str">
        <f t="shared" si="202"/>
        <v>Overweight</v>
      </c>
      <c r="K935">
        <v>90.1</v>
      </c>
      <c r="L935">
        <v>0.48399999999999999</v>
      </c>
      <c r="M935" s="11">
        <f t="shared" si="198"/>
        <v>0.48399999999999999</v>
      </c>
      <c r="N935" s="5">
        <f t="shared" si="203"/>
        <v>90.1</v>
      </c>
      <c r="O935">
        <v>268</v>
      </c>
      <c r="P935">
        <v>68</v>
      </c>
      <c r="Q935" s="8">
        <f t="shared" si="204"/>
        <v>68</v>
      </c>
      <c r="R935" s="8">
        <v>170</v>
      </c>
      <c r="S935" s="8">
        <f t="shared" si="205"/>
        <v>170</v>
      </c>
      <c r="T935" s="8">
        <f>(Table1[[#This Row],[Total Cholesterol (mg/dL)]]+Table1[[#This Row],[HDL (mg/dL)2]]+Table1[[#This Row],[Estimated LDL (mg/dL)2]])*5</f>
        <v>2530</v>
      </c>
      <c r="U935" s="8">
        <f>IF(O935="",Table1[[#This Row],[Estimated LDL (mg/dL)2]]+Table1[[#This Row],[HDL (mg/dL)2]]+(Table1[[#This Row],[Triglycerides]]/5),O935)</f>
        <v>268</v>
      </c>
      <c r="V935">
        <v>88</v>
      </c>
      <c r="W935" s="8">
        <f t="shared" si="206"/>
        <v>88</v>
      </c>
      <c r="X935" t="str">
        <f t="shared" si="207"/>
        <v>Normal</v>
      </c>
      <c r="Y935" t="s">
        <v>23</v>
      </c>
      <c r="Z935" t="s">
        <v>22</v>
      </c>
      <c r="AA935" t="s">
        <v>24</v>
      </c>
      <c r="AB935" s="3" t="s">
        <v>288</v>
      </c>
      <c r="AC935">
        <v>116</v>
      </c>
      <c r="AD935" s="3" t="str">
        <f t="shared" si="208"/>
        <v>116</v>
      </c>
      <c r="AE935">
        <v>69</v>
      </c>
      <c r="AF935" s="3" t="str">
        <f t="shared" si="209"/>
        <v>69</v>
      </c>
      <c r="AG935" t="s">
        <v>33</v>
      </c>
      <c r="AH935" s="3">
        <v>16.28</v>
      </c>
      <c r="AI935" s="3">
        <f t="shared" si="210"/>
        <v>16.28</v>
      </c>
      <c r="AJ935" t="s">
        <v>30</v>
      </c>
      <c r="AK935" t="str">
        <f>PROPER(Table1[[#This Row],[CVD Risk Level]])</f>
        <v>High</v>
      </c>
    </row>
    <row r="936" spans="1:37" x14ac:dyDescent="0.3">
      <c r="A936" t="s">
        <v>20</v>
      </c>
      <c r="B936">
        <v>52</v>
      </c>
      <c r="C936" s="8">
        <f t="shared" si="199"/>
        <v>52</v>
      </c>
      <c r="D936" s="5">
        <v>94</v>
      </c>
      <c r="E936" s="8">
        <f t="shared" si="200"/>
        <v>94</v>
      </c>
      <c r="F936">
        <v>1.71</v>
      </c>
      <c r="G936" s="3">
        <f t="shared" si="201"/>
        <v>1.71</v>
      </c>
      <c r="H936">
        <v>32.1</v>
      </c>
      <c r="I936" s="5">
        <f t="shared" si="197"/>
        <v>32.1</v>
      </c>
      <c r="J936" s="16" t="str">
        <f t="shared" si="202"/>
        <v>Obese</v>
      </c>
      <c r="K936">
        <v>90.6</v>
      </c>
      <c r="L936">
        <v>0.53</v>
      </c>
      <c r="M936" s="11">
        <f t="shared" si="198"/>
        <v>0.53</v>
      </c>
      <c r="N936" s="5">
        <f t="shared" si="203"/>
        <v>90.6</v>
      </c>
      <c r="O936">
        <v>108</v>
      </c>
      <c r="Q936" s="8">
        <f t="shared" si="204"/>
        <v>56.197377501725327</v>
      </c>
      <c r="R936" s="8">
        <v>24</v>
      </c>
      <c r="S936" s="8">
        <f>IF(R936&lt;=0,MEDIAN($R$2:$R$1530),R936)</f>
        <v>24</v>
      </c>
      <c r="T936" s="8">
        <f>(Table1[[#This Row],[Total Cholesterol (mg/dL)]]+Table1[[#This Row],[HDL (mg/dL)2]]+Table1[[#This Row],[Estimated LDL (mg/dL)2]])*5</f>
        <v>940.98688750862664</v>
      </c>
      <c r="U936" s="8">
        <f>IF(O936="",Table1[[#This Row],[Estimated LDL (mg/dL)2]]+Table1[[#This Row],[HDL (mg/dL)2]]+(Table1[[#This Row],[Triglycerides]]/5),O936)</f>
        <v>108</v>
      </c>
      <c r="V936">
        <v>89</v>
      </c>
      <c r="W936" s="8">
        <f t="shared" si="206"/>
        <v>89</v>
      </c>
      <c r="X936" t="str">
        <f t="shared" si="207"/>
        <v>Normal</v>
      </c>
      <c r="Y936" t="s">
        <v>22</v>
      </c>
      <c r="Z936" t="s">
        <v>22</v>
      </c>
      <c r="AA936" t="s">
        <v>28</v>
      </c>
      <c r="AB936" s="3" t="s">
        <v>497</v>
      </c>
      <c r="AC936">
        <v>90</v>
      </c>
      <c r="AD936" s="3" t="str">
        <f t="shared" si="208"/>
        <v>90</v>
      </c>
      <c r="AE936">
        <v>82</v>
      </c>
      <c r="AF936" s="3" t="str">
        <f t="shared" si="209"/>
        <v>82</v>
      </c>
      <c r="AG936" t="s">
        <v>29</v>
      </c>
      <c r="AH936" s="3">
        <v>13.08</v>
      </c>
      <c r="AI936" s="3">
        <f t="shared" si="210"/>
        <v>13.08</v>
      </c>
      <c r="AJ936" t="s">
        <v>26</v>
      </c>
      <c r="AK936" t="str">
        <f>PROPER(Table1[[#This Row],[CVD Risk Level]])</f>
        <v>Intermediary</v>
      </c>
    </row>
    <row r="937" spans="1:37" x14ac:dyDescent="0.3">
      <c r="A937" t="s">
        <v>20</v>
      </c>
      <c r="B937">
        <v>50</v>
      </c>
      <c r="C937" s="8">
        <f t="shared" si="199"/>
        <v>50</v>
      </c>
      <c r="D937" s="5">
        <v>83.8</v>
      </c>
      <c r="E937" s="8">
        <f t="shared" si="200"/>
        <v>83.8</v>
      </c>
      <c r="F937">
        <v>1.76</v>
      </c>
      <c r="G937" s="3">
        <f t="shared" si="201"/>
        <v>1.76</v>
      </c>
      <c r="H937">
        <v>27.1</v>
      </c>
      <c r="I937" s="5">
        <f t="shared" si="197"/>
        <v>27.1</v>
      </c>
      <c r="J937" s="16" t="str">
        <f t="shared" si="202"/>
        <v>Overweight</v>
      </c>
      <c r="K937">
        <v>106.5</v>
      </c>
      <c r="L937">
        <v>0.60499999999999998</v>
      </c>
      <c r="M937" s="11">
        <f t="shared" si="198"/>
        <v>0.60499999999999998</v>
      </c>
      <c r="N937" s="5">
        <f t="shared" si="203"/>
        <v>106.5</v>
      </c>
      <c r="O937">
        <v>280</v>
      </c>
      <c r="P937">
        <v>52</v>
      </c>
      <c r="Q937" s="8">
        <f t="shared" si="204"/>
        <v>52</v>
      </c>
      <c r="R937" s="8">
        <v>198</v>
      </c>
      <c r="S937" s="8">
        <f t="shared" si="205"/>
        <v>198</v>
      </c>
      <c r="T937" s="8">
        <f>(Table1[[#This Row],[Total Cholesterol (mg/dL)]]+Table1[[#This Row],[HDL (mg/dL)2]]+Table1[[#This Row],[Estimated LDL (mg/dL)2]])*5</f>
        <v>2650</v>
      </c>
      <c r="U937" s="8">
        <f>IF(O937="",Table1[[#This Row],[Estimated LDL (mg/dL)2]]+Table1[[#This Row],[HDL (mg/dL)2]]+(Table1[[#This Row],[Triglycerides]]/5),O937)</f>
        <v>280</v>
      </c>
      <c r="V937">
        <v>135</v>
      </c>
      <c r="W937" s="8">
        <f t="shared" si="206"/>
        <v>135</v>
      </c>
      <c r="X937" t="str">
        <f t="shared" si="207"/>
        <v>Diabetes</v>
      </c>
      <c r="Y937" t="s">
        <v>23</v>
      </c>
      <c r="Z937" t="s">
        <v>23</v>
      </c>
      <c r="AA937" t="s">
        <v>28</v>
      </c>
      <c r="AB937" s="3" t="s">
        <v>808</v>
      </c>
      <c r="AC937">
        <v>131</v>
      </c>
      <c r="AD937" s="3" t="str">
        <f t="shared" si="208"/>
        <v>131</v>
      </c>
      <c r="AE937">
        <v>75</v>
      </c>
      <c r="AF937" s="3" t="str">
        <f t="shared" si="209"/>
        <v>75</v>
      </c>
      <c r="AG937" t="s">
        <v>29</v>
      </c>
      <c r="AH937" s="3">
        <v>19.57</v>
      </c>
      <c r="AI937" s="3">
        <f t="shared" si="210"/>
        <v>19.57</v>
      </c>
      <c r="AJ937" t="s">
        <v>30</v>
      </c>
      <c r="AK937" t="str">
        <f>PROPER(Table1[[#This Row],[CVD Risk Level]])</f>
        <v>High</v>
      </c>
    </row>
    <row r="938" spans="1:37" x14ac:dyDescent="0.3">
      <c r="A938" t="s">
        <v>20</v>
      </c>
      <c r="B938">
        <v>34</v>
      </c>
      <c r="C938" s="8">
        <f t="shared" si="199"/>
        <v>34</v>
      </c>
      <c r="D938" s="5">
        <v>104.2</v>
      </c>
      <c r="E938" s="8">
        <f t="shared" si="200"/>
        <v>104.2</v>
      </c>
      <c r="F938">
        <v>1.88</v>
      </c>
      <c r="G938" s="3">
        <f t="shared" si="201"/>
        <v>1.88</v>
      </c>
      <c r="H938">
        <v>29.5</v>
      </c>
      <c r="I938" s="5">
        <f t="shared" si="197"/>
        <v>29.5</v>
      </c>
      <c r="J938" s="16" t="str">
        <f t="shared" si="202"/>
        <v>Overweight</v>
      </c>
      <c r="K938">
        <v>83.7</v>
      </c>
      <c r="M938" s="11">
        <f t="shared" si="198"/>
        <v>0.4452127659574468</v>
      </c>
      <c r="N938" s="5">
        <f t="shared" si="203"/>
        <v>83.7</v>
      </c>
      <c r="O938">
        <v>140</v>
      </c>
      <c r="P938">
        <v>63</v>
      </c>
      <c r="Q938" s="8">
        <f t="shared" si="204"/>
        <v>63</v>
      </c>
      <c r="R938" s="8">
        <v>47</v>
      </c>
      <c r="S938" s="8">
        <f t="shared" si="205"/>
        <v>47</v>
      </c>
      <c r="T938" s="8">
        <f>(Table1[[#This Row],[Total Cholesterol (mg/dL)]]+Table1[[#This Row],[HDL (mg/dL)2]]+Table1[[#This Row],[Estimated LDL (mg/dL)2]])*5</f>
        <v>1250</v>
      </c>
      <c r="U938" s="8">
        <f>IF(O938="",Table1[[#This Row],[Estimated LDL (mg/dL)2]]+Table1[[#This Row],[HDL (mg/dL)2]]+(Table1[[#This Row],[Triglycerides]]/5),O938)</f>
        <v>140</v>
      </c>
      <c r="V938">
        <v>92</v>
      </c>
      <c r="W938" s="8">
        <f t="shared" si="206"/>
        <v>92</v>
      </c>
      <c r="X938" t="str">
        <f t="shared" si="207"/>
        <v>Normal</v>
      </c>
      <c r="Y938" t="s">
        <v>23</v>
      </c>
      <c r="Z938" t="s">
        <v>23</v>
      </c>
      <c r="AA938" t="s">
        <v>37</v>
      </c>
      <c r="AB938" s="3" t="s">
        <v>809</v>
      </c>
      <c r="AC938">
        <v>138</v>
      </c>
      <c r="AD938" s="3" t="str">
        <f t="shared" si="208"/>
        <v>138</v>
      </c>
      <c r="AE938">
        <v>76</v>
      </c>
      <c r="AF938" s="3" t="str">
        <f t="shared" si="209"/>
        <v>76</v>
      </c>
      <c r="AG938" t="s">
        <v>29</v>
      </c>
      <c r="AH938" s="3">
        <v>17.600000000000001</v>
      </c>
      <c r="AI938" s="3">
        <f t="shared" si="210"/>
        <v>17.600000000000001</v>
      </c>
      <c r="AJ938" t="s">
        <v>30</v>
      </c>
      <c r="AK938" t="str">
        <f>PROPER(Table1[[#This Row],[CVD Risk Level]])</f>
        <v>High</v>
      </c>
    </row>
    <row r="939" spans="1:37" x14ac:dyDescent="0.3">
      <c r="A939" t="s">
        <v>20</v>
      </c>
      <c r="B939">
        <v>56</v>
      </c>
      <c r="C939" s="8">
        <f t="shared" si="199"/>
        <v>56</v>
      </c>
      <c r="E939" s="8">
        <f t="shared" si="200"/>
        <v>77.690750000000008</v>
      </c>
      <c r="F939">
        <v>1.85</v>
      </c>
      <c r="G939" s="3">
        <f t="shared" si="201"/>
        <v>1.85</v>
      </c>
      <c r="H939">
        <v>22.7</v>
      </c>
      <c r="I939" s="5">
        <f t="shared" si="197"/>
        <v>22.7</v>
      </c>
      <c r="J939" s="16" t="str">
        <f t="shared" si="202"/>
        <v>Normal</v>
      </c>
      <c r="K939">
        <v>99.6</v>
      </c>
      <c r="L939">
        <v>0.53800000000000003</v>
      </c>
      <c r="M939" s="11">
        <f t="shared" si="198"/>
        <v>0.53800000000000003</v>
      </c>
      <c r="N939" s="5">
        <f t="shared" si="203"/>
        <v>99.6</v>
      </c>
      <c r="O939">
        <v>203</v>
      </c>
      <c r="P939">
        <v>35</v>
      </c>
      <c r="Q939" s="8">
        <f t="shared" si="204"/>
        <v>35</v>
      </c>
      <c r="R939" s="8">
        <v>138</v>
      </c>
      <c r="S939" s="8">
        <f t="shared" si="205"/>
        <v>138</v>
      </c>
      <c r="T939" s="8">
        <f>(Table1[[#This Row],[Total Cholesterol (mg/dL)]]+Table1[[#This Row],[HDL (mg/dL)2]]+Table1[[#This Row],[Estimated LDL (mg/dL)2]])*5</f>
        <v>1880</v>
      </c>
      <c r="U939" s="8">
        <f>IF(O939="",Table1[[#This Row],[Estimated LDL (mg/dL)2]]+Table1[[#This Row],[HDL (mg/dL)2]]+(Table1[[#This Row],[Triglycerides]]/5),O939)</f>
        <v>203</v>
      </c>
      <c r="V939">
        <v>122</v>
      </c>
      <c r="W939" s="8">
        <f t="shared" si="206"/>
        <v>122</v>
      </c>
      <c r="X939" t="str">
        <f t="shared" si="207"/>
        <v>Prediabetes</v>
      </c>
      <c r="Y939" t="s">
        <v>23</v>
      </c>
      <c r="Z939" t="s">
        <v>23</v>
      </c>
      <c r="AA939" t="s">
        <v>24</v>
      </c>
      <c r="AB939" s="3" t="s">
        <v>810</v>
      </c>
      <c r="AC939">
        <v>130</v>
      </c>
      <c r="AD939" s="3" t="str">
        <f t="shared" si="208"/>
        <v>130</v>
      </c>
      <c r="AE939">
        <v>77</v>
      </c>
      <c r="AF939" s="3" t="str">
        <f t="shared" si="209"/>
        <v>77</v>
      </c>
      <c r="AG939" t="s">
        <v>29</v>
      </c>
      <c r="AH939" s="3">
        <v>17.100000000000001</v>
      </c>
      <c r="AI939" s="3">
        <f t="shared" si="210"/>
        <v>17.100000000000001</v>
      </c>
      <c r="AJ939" t="s">
        <v>30</v>
      </c>
      <c r="AK939" t="str">
        <f>PROPER(Table1[[#This Row],[CVD Risk Level]])</f>
        <v>High</v>
      </c>
    </row>
    <row r="940" spans="1:37" x14ac:dyDescent="0.3">
      <c r="A940" t="s">
        <v>20</v>
      </c>
      <c r="B940">
        <v>39</v>
      </c>
      <c r="C940" s="8">
        <f t="shared" si="199"/>
        <v>39</v>
      </c>
      <c r="D940" s="5">
        <v>118.4</v>
      </c>
      <c r="E940" s="8">
        <f t="shared" si="200"/>
        <v>118.4</v>
      </c>
      <c r="F940">
        <v>1.74</v>
      </c>
      <c r="G940" s="3">
        <f t="shared" si="201"/>
        <v>1.74</v>
      </c>
      <c r="H940">
        <v>39.1</v>
      </c>
      <c r="I940" s="5">
        <f t="shared" si="197"/>
        <v>39.1</v>
      </c>
      <c r="J940" s="16" t="str">
        <f t="shared" si="202"/>
        <v>Obese</v>
      </c>
      <c r="K940">
        <v>74.3</v>
      </c>
      <c r="L940">
        <v>0.42699999999999999</v>
      </c>
      <c r="M940" s="11">
        <f t="shared" si="198"/>
        <v>0.42699999999999999</v>
      </c>
      <c r="N940" s="5">
        <f t="shared" si="203"/>
        <v>74.3</v>
      </c>
      <c r="O940">
        <v>213</v>
      </c>
      <c r="P940">
        <v>49</v>
      </c>
      <c r="Q940" s="8">
        <f t="shared" si="204"/>
        <v>49</v>
      </c>
      <c r="R940" s="8">
        <v>134</v>
      </c>
      <c r="S940" s="8">
        <f t="shared" si="205"/>
        <v>134</v>
      </c>
      <c r="T940" s="8">
        <f>(Table1[[#This Row],[Total Cholesterol (mg/dL)]]+Table1[[#This Row],[HDL (mg/dL)2]]+Table1[[#This Row],[Estimated LDL (mg/dL)2]])*5</f>
        <v>1980</v>
      </c>
      <c r="U940" s="8">
        <f>IF(O940="",Table1[[#This Row],[Estimated LDL (mg/dL)2]]+Table1[[#This Row],[HDL (mg/dL)2]]+(Table1[[#This Row],[Triglycerides]]/5),O940)</f>
        <v>213</v>
      </c>
      <c r="V940">
        <v>140</v>
      </c>
      <c r="W940" s="8">
        <f t="shared" si="206"/>
        <v>140</v>
      </c>
      <c r="X940" t="str">
        <f t="shared" si="207"/>
        <v>Diabetes</v>
      </c>
      <c r="Y940" t="s">
        <v>22</v>
      </c>
      <c r="Z940" t="s">
        <v>23</v>
      </c>
      <c r="AA940" t="s">
        <v>37</v>
      </c>
      <c r="AB940" s="3" t="s">
        <v>811</v>
      </c>
      <c r="AC940">
        <v>101</v>
      </c>
      <c r="AD940" s="3" t="str">
        <f t="shared" si="208"/>
        <v>101</v>
      </c>
      <c r="AE940">
        <v>92</v>
      </c>
      <c r="AF940" s="3" t="str">
        <f t="shared" si="209"/>
        <v>92</v>
      </c>
      <c r="AG940" t="s">
        <v>38</v>
      </c>
      <c r="AH940" s="3">
        <v>19.13</v>
      </c>
      <c r="AI940" s="3">
        <f t="shared" si="210"/>
        <v>19.13</v>
      </c>
      <c r="AJ940" t="s">
        <v>30</v>
      </c>
      <c r="AK940" t="str">
        <f>PROPER(Table1[[#This Row],[CVD Risk Level]])</f>
        <v>High</v>
      </c>
    </row>
    <row r="941" spans="1:37" x14ac:dyDescent="0.3">
      <c r="A941" t="s">
        <v>31</v>
      </c>
      <c r="B941">
        <v>48</v>
      </c>
      <c r="C941" s="8">
        <f t="shared" si="199"/>
        <v>48</v>
      </c>
      <c r="D941" s="5">
        <v>114.5</v>
      </c>
      <c r="E941" s="8">
        <f t="shared" si="200"/>
        <v>114.5</v>
      </c>
      <c r="F941">
        <v>1.9</v>
      </c>
      <c r="G941" s="3">
        <f t="shared" si="201"/>
        <v>1.9</v>
      </c>
      <c r="H941">
        <v>31.7</v>
      </c>
      <c r="I941" s="5">
        <f t="shared" si="197"/>
        <v>31.7</v>
      </c>
      <c r="J941" s="16" t="str">
        <f t="shared" si="202"/>
        <v>Obese</v>
      </c>
      <c r="K941">
        <v>80</v>
      </c>
      <c r="L941">
        <v>0.42099999999999999</v>
      </c>
      <c r="M941" s="11">
        <f t="shared" si="198"/>
        <v>0.42099999999999999</v>
      </c>
      <c r="N941" s="5">
        <f t="shared" si="203"/>
        <v>80</v>
      </c>
      <c r="O941">
        <v>201</v>
      </c>
      <c r="P941">
        <v>46</v>
      </c>
      <c r="Q941" s="8">
        <f t="shared" si="204"/>
        <v>46</v>
      </c>
      <c r="R941" s="8">
        <v>125</v>
      </c>
      <c r="S941" s="8">
        <f t="shared" si="205"/>
        <v>125</v>
      </c>
      <c r="T941" s="8">
        <f>(Table1[[#This Row],[Total Cholesterol (mg/dL)]]+Table1[[#This Row],[HDL (mg/dL)2]]+Table1[[#This Row],[Estimated LDL (mg/dL)2]])*5</f>
        <v>1860</v>
      </c>
      <c r="U941" s="8">
        <f>IF(O941="",Table1[[#This Row],[Estimated LDL (mg/dL)2]]+Table1[[#This Row],[HDL (mg/dL)2]]+(Table1[[#This Row],[Triglycerides]]/5),O941)</f>
        <v>201</v>
      </c>
      <c r="V941">
        <v>135</v>
      </c>
      <c r="W941" s="8">
        <f t="shared" si="206"/>
        <v>135</v>
      </c>
      <c r="X941" t="str">
        <f t="shared" si="207"/>
        <v>Diabetes</v>
      </c>
      <c r="Y941" t="s">
        <v>23</v>
      </c>
      <c r="Z941" t="s">
        <v>23</v>
      </c>
      <c r="AA941" t="s">
        <v>24</v>
      </c>
      <c r="AB941" s="3" t="s">
        <v>812</v>
      </c>
      <c r="AC941">
        <v>144</v>
      </c>
      <c r="AD941" s="3" t="str">
        <f t="shared" si="208"/>
        <v>144</v>
      </c>
      <c r="AE941">
        <v>99</v>
      </c>
      <c r="AF941" s="3" t="str">
        <f t="shared" si="209"/>
        <v>99</v>
      </c>
      <c r="AG941" t="s">
        <v>38</v>
      </c>
      <c r="AH941" s="3">
        <v>19.559999999999999</v>
      </c>
      <c r="AI941" s="3">
        <f t="shared" si="210"/>
        <v>19.559999999999999</v>
      </c>
      <c r="AJ941" t="s">
        <v>30</v>
      </c>
      <c r="AK941" t="str">
        <f>PROPER(Table1[[#This Row],[CVD Risk Level]])</f>
        <v>High</v>
      </c>
    </row>
    <row r="942" spans="1:37" x14ac:dyDescent="0.3">
      <c r="A942" t="s">
        <v>20</v>
      </c>
      <c r="B942">
        <v>52</v>
      </c>
      <c r="C942" s="8">
        <f t="shared" si="199"/>
        <v>52</v>
      </c>
      <c r="D942" s="5">
        <v>85.2</v>
      </c>
      <c r="E942" s="8">
        <f t="shared" si="200"/>
        <v>85.2</v>
      </c>
      <c r="F942">
        <v>1.66</v>
      </c>
      <c r="G942" s="3">
        <f t="shared" si="201"/>
        <v>1.66</v>
      </c>
      <c r="H942">
        <v>30.9</v>
      </c>
      <c r="I942" s="5">
        <f t="shared" si="197"/>
        <v>30.9</v>
      </c>
      <c r="J942" s="16" t="str">
        <f t="shared" si="202"/>
        <v>Obese</v>
      </c>
      <c r="K942">
        <v>89.7</v>
      </c>
      <c r="L942">
        <v>0.54</v>
      </c>
      <c r="M942" s="11">
        <f t="shared" si="198"/>
        <v>0.54</v>
      </c>
      <c r="N942" s="5">
        <f t="shared" si="203"/>
        <v>89.7</v>
      </c>
      <c r="O942">
        <v>250</v>
      </c>
      <c r="Q942" s="8">
        <f t="shared" si="204"/>
        <v>56.197377501725327</v>
      </c>
      <c r="R942" s="8">
        <v>156</v>
      </c>
      <c r="S942" s="8">
        <f>IF(R942&lt;=0,MEDIAN($R$2:$R$1530),R942)</f>
        <v>156</v>
      </c>
      <c r="T942" s="8">
        <f>(Table1[[#This Row],[Total Cholesterol (mg/dL)]]+Table1[[#This Row],[HDL (mg/dL)2]]+Table1[[#This Row],[Estimated LDL (mg/dL)2]])*5</f>
        <v>2310.9868875086268</v>
      </c>
      <c r="U942" s="8">
        <f>IF(O942="",Table1[[#This Row],[Estimated LDL (mg/dL)2]]+Table1[[#This Row],[HDL (mg/dL)2]]+(Table1[[#This Row],[Triglycerides]]/5),O942)</f>
        <v>250</v>
      </c>
      <c r="V942">
        <v>135</v>
      </c>
      <c r="W942" s="8">
        <f t="shared" si="206"/>
        <v>135</v>
      </c>
      <c r="X942" t="str">
        <f t="shared" si="207"/>
        <v>Diabetes</v>
      </c>
      <c r="Y942" t="s">
        <v>23</v>
      </c>
      <c r="Z942" t="s">
        <v>23</v>
      </c>
      <c r="AA942" t="s">
        <v>28</v>
      </c>
      <c r="AB942" s="3" t="s">
        <v>813</v>
      </c>
      <c r="AC942">
        <v>106</v>
      </c>
      <c r="AD942" s="3" t="str">
        <f t="shared" si="208"/>
        <v>106</v>
      </c>
      <c r="AE942">
        <v>77</v>
      </c>
      <c r="AF942" s="3" t="str">
        <f t="shared" si="209"/>
        <v>77</v>
      </c>
      <c r="AG942" t="s">
        <v>33</v>
      </c>
      <c r="AH942" s="3">
        <v>18.48</v>
      </c>
      <c r="AI942" s="3">
        <f t="shared" si="210"/>
        <v>18.48</v>
      </c>
      <c r="AJ942" t="s">
        <v>30</v>
      </c>
      <c r="AK942" t="str">
        <f>PROPER(Table1[[#This Row],[CVD Risk Level]])</f>
        <v>High</v>
      </c>
    </row>
    <row r="943" spans="1:37" x14ac:dyDescent="0.3">
      <c r="A943" t="s">
        <v>20</v>
      </c>
      <c r="B943">
        <v>41</v>
      </c>
      <c r="C943" s="8">
        <f t="shared" si="199"/>
        <v>41</v>
      </c>
      <c r="E943" s="8">
        <f t="shared" si="200"/>
        <v>65.024999999999991</v>
      </c>
      <c r="F943">
        <v>1.7</v>
      </c>
      <c r="G943" s="3">
        <f t="shared" si="201"/>
        <v>1.7</v>
      </c>
      <c r="H943">
        <v>22.5</v>
      </c>
      <c r="I943" s="5">
        <f t="shared" si="197"/>
        <v>22.5</v>
      </c>
      <c r="J943" s="16" t="str">
        <f t="shared" si="202"/>
        <v>Normal</v>
      </c>
      <c r="K943">
        <v>75.2</v>
      </c>
      <c r="L943">
        <v>0.442</v>
      </c>
      <c r="M943" s="11">
        <f t="shared" si="198"/>
        <v>0.442</v>
      </c>
      <c r="N943" s="5">
        <f t="shared" si="203"/>
        <v>75.2</v>
      </c>
      <c r="O943">
        <v>190</v>
      </c>
      <c r="P943">
        <v>33</v>
      </c>
      <c r="Q943" s="8">
        <f t="shared" si="204"/>
        <v>33</v>
      </c>
      <c r="R943" s="8">
        <v>127</v>
      </c>
      <c r="S943" s="8">
        <f t="shared" si="205"/>
        <v>127</v>
      </c>
      <c r="T943" s="8">
        <f>(Table1[[#This Row],[Total Cholesterol (mg/dL)]]+Table1[[#This Row],[HDL (mg/dL)2]]+Table1[[#This Row],[Estimated LDL (mg/dL)2]])*5</f>
        <v>1750</v>
      </c>
      <c r="U943" s="8">
        <f>IF(O943="",Table1[[#This Row],[Estimated LDL (mg/dL)2]]+Table1[[#This Row],[HDL (mg/dL)2]]+(Table1[[#This Row],[Triglycerides]]/5),O943)</f>
        <v>190</v>
      </c>
      <c r="V943">
        <v>90</v>
      </c>
      <c r="W943" s="8">
        <f t="shared" si="206"/>
        <v>90</v>
      </c>
      <c r="X943" t="str">
        <f t="shared" si="207"/>
        <v>Normal</v>
      </c>
      <c r="Y943" t="s">
        <v>23</v>
      </c>
      <c r="Z943" t="s">
        <v>23</v>
      </c>
      <c r="AA943" t="s">
        <v>24</v>
      </c>
      <c r="AB943" s="3" t="s">
        <v>814</v>
      </c>
      <c r="AC943">
        <v>139</v>
      </c>
      <c r="AD943" s="3" t="str">
        <f t="shared" si="208"/>
        <v>139</v>
      </c>
      <c r="AE943">
        <v>60</v>
      </c>
      <c r="AF943" s="3" t="str">
        <f t="shared" si="209"/>
        <v>60</v>
      </c>
      <c r="AG943" t="s">
        <v>29</v>
      </c>
      <c r="AH943" s="3">
        <v>17.25</v>
      </c>
      <c r="AI943" s="3">
        <f t="shared" si="210"/>
        <v>17.25</v>
      </c>
      <c r="AJ943" t="s">
        <v>30</v>
      </c>
      <c r="AK943" t="str">
        <f>PROPER(Table1[[#This Row],[CVD Risk Level]])</f>
        <v>High</v>
      </c>
    </row>
    <row r="944" spans="1:37" x14ac:dyDescent="0.3">
      <c r="A944" t="s">
        <v>20</v>
      </c>
      <c r="B944">
        <v>58</v>
      </c>
      <c r="C944" s="8">
        <f t="shared" si="199"/>
        <v>58</v>
      </c>
      <c r="D944" s="5">
        <v>117</v>
      </c>
      <c r="E944" s="8">
        <f t="shared" si="200"/>
        <v>117</v>
      </c>
      <c r="F944">
        <v>1.89</v>
      </c>
      <c r="G944" s="3">
        <f t="shared" si="201"/>
        <v>1.89</v>
      </c>
      <c r="H944">
        <v>32.799999999999997</v>
      </c>
      <c r="I944" s="5">
        <f t="shared" si="197"/>
        <v>32.799999999999997</v>
      </c>
      <c r="J944" s="16" t="str">
        <f t="shared" si="202"/>
        <v>Obese</v>
      </c>
      <c r="K944">
        <v>80.599999999999994</v>
      </c>
      <c r="L944">
        <v>0.42599999999999999</v>
      </c>
      <c r="M944" s="11">
        <f t="shared" si="198"/>
        <v>0.42599999999999999</v>
      </c>
      <c r="N944" s="5">
        <f t="shared" si="203"/>
        <v>80.599999999999994</v>
      </c>
      <c r="O944">
        <v>135</v>
      </c>
      <c r="P944">
        <v>43</v>
      </c>
      <c r="Q944" s="8">
        <f t="shared" si="204"/>
        <v>43</v>
      </c>
      <c r="R944" s="8">
        <v>62</v>
      </c>
      <c r="S944" s="8">
        <f t="shared" si="205"/>
        <v>62</v>
      </c>
      <c r="T944" s="8">
        <f>(Table1[[#This Row],[Total Cholesterol (mg/dL)]]+Table1[[#This Row],[HDL (mg/dL)2]]+Table1[[#This Row],[Estimated LDL (mg/dL)2]])*5</f>
        <v>1200</v>
      </c>
      <c r="U944" s="8">
        <f>IF(O944="",Table1[[#This Row],[Estimated LDL (mg/dL)2]]+Table1[[#This Row],[HDL (mg/dL)2]]+(Table1[[#This Row],[Triglycerides]]/5),O944)</f>
        <v>135</v>
      </c>
      <c r="V944">
        <v>128</v>
      </c>
      <c r="W944" s="8">
        <f t="shared" si="206"/>
        <v>128</v>
      </c>
      <c r="X944" t="str">
        <f t="shared" si="207"/>
        <v>Diabetes</v>
      </c>
      <c r="Y944" t="s">
        <v>23</v>
      </c>
      <c r="Z944" t="s">
        <v>23</v>
      </c>
      <c r="AA944" t="s">
        <v>37</v>
      </c>
      <c r="AB944" s="3" t="s">
        <v>738</v>
      </c>
      <c r="AD944" s="3" t="str">
        <f t="shared" si="208"/>
        <v>112</v>
      </c>
      <c r="AE944">
        <v>93</v>
      </c>
      <c r="AF944" s="3" t="str">
        <f t="shared" si="209"/>
        <v>93</v>
      </c>
      <c r="AG944" t="s">
        <v>38</v>
      </c>
      <c r="AH944" s="3">
        <v>16.86</v>
      </c>
      <c r="AI944" s="3">
        <f t="shared" si="210"/>
        <v>16.86</v>
      </c>
      <c r="AJ944" t="s">
        <v>30</v>
      </c>
      <c r="AK944" t="str">
        <f>PROPER(Table1[[#This Row],[CVD Risk Level]])</f>
        <v>High</v>
      </c>
    </row>
    <row r="945" spans="1:37" x14ac:dyDescent="0.3">
      <c r="A945" t="s">
        <v>31</v>
      </c>
      <c r="B945">
        <v>44</v>
      </c>
      <c r="C945" s="8">
        <f t="shared" si="199"/>
        <v>44</v>
      </c>
      <c r="D945" s="5">
        <v>105.4</v>
      </c>
      <c r="E945" s="8">
        <f t="shared" si="200"/>
        <v>105.4</v>
      </c>
      <c r="F945">
        <v>1.83</v>
      </c>
      <c r="G945" s="3">
        <f t="shared" si="201"/>
        <v>1.83</v>
      </c>
      <c r="H945">
        <v>31.5</v>
      </c>
      <c r="I945" s="5">
        <f t="shared" si="197"/>
        <v>31.5</v>
      </c>
      <c r="J945" s="16" t="str">
        <f t="shared" si="202"/>
        <v>Obese</v>
      </c>
      <c r="K945">
        <v>109.7</v>
      </c>
      <c r="L945">
        <v>0.59899999999999998</v>
      </c>
      <c r="M945" s="11">
        <f t="shared" si="198"/>
        <v>0.59899999999999998</v>
      </c>
      <c r="N945" s="5">
        <f t="shared" si="203"/>
        <v>109.7</v>
      </c>
      <c r="O945">
        <v>230</v>
      </c>
      <c r="P945">
        <v>73</v>
      </c>
      <c r="Q945" s="8">
        <f t="shared" si="204"/>
        <v>73</v>
      </c>
      <c r="R945" s="8">
        <v>127</v>
      </c>
      <c r="S945" s="8">
        <f t="shared" si="205"/>
        <v>127</v>
      </c>
      <c r="T945" s="8">
        <f>(Table1[[#This Row],[Total Cholesterol (mg/dL)]]+Table1[[#This Row],[HDL (mg/dL)2]]+Table1[[#This Row],[Estimated LDL (mg/dL)2]])*5</f>
        <v>2150</v>
      </c>
      <c r="U945" s="8">
        <f>IF(O945="",Table1[[#This Row],[Estimated LDL (mg/dL)2]]+Table1[[#This Row],[HDL (mg/dL)2]]+(Table1[[#This Row],[Triglycerides]]/5),O945)</f>
        <v>230</v>
      </c>
      <c r="V945">
        <v>128</v>
      </c>
      <c r="W945" s="8">
        <f t="shared" si="206"/>
        <v>128</v>
      </c>
      <c r="X945" t="str">
        <f t="shared" si="207"/>
        <v>Diabetes</v>
      </c>
      <c r="Y945" t="s">
        <v>22</v>
      </c>
      <c r="Z945" t="s">
        <v>23</v>
      </c>
      <c r="AA945" t="s">
        <v>24</v>
      </c>
      <c r="AB945" s="3" t="s">
        <v>815</v>
      </c>
      <c r="AC945">
        <v>142</v>
      </c>
      <c r="AD945" s="3" t="str">
        <f t="shared" si="208"/>
        <v>142</v>
      </c>
      <c r="AE945">
        <v>84</v>
      </c>
      <c r="AF945" s="3" t="str">
        <f t="shared" si="209"/>
        <v>84</v>
      </c>
      <c r="AG945" t="s">
        <v>29</v>
      </c>
      <c r="AH945" s="3">
        <v>20</v>
      </c>
      <c r="AI945" s="3">
        <f t="shared" si="210"/>
        <v>20</v>
      </c>
      <c r="AJ945" t="s">
        <v>30</v>
      </c>
      <c r="AK945" t="str">
        <f>PROPER(Table1[[#This Row],[CVD Risk Level]])</f>
        <v>High</v>
      </c>
    </row>
    <row r="946" spans="1:37" x14ac:dyDescent="0.3">
      <c r="A946" t="s">
        <v>31</v>
      </c>
      <c r="B946">
        <v>36</v>
      </c>
      <c r="C946" s="8">
        <f t="shared" si="199"/>
        <v>36</v>
      </c>
      <c r="D946" s="5">
        <v>55.4</v>
      </c>
      <c r="E946" s="8">
        <f t="shared" si="200"/>
        <v>55.4</v>
      </c>
      <c r="F946">
        <v>1.86</v>
      </c>
      <c r="G946" s="3">
        <f t="shared" si="201"/>
        <v>1.86</v>
      </c>
      <c r="H946">
        <v>16</v>
      </c>
      <c r="I946" s="5">
        <f t="shared" si="197"/>
        <v>16</v>
      </c>
      <c r="J946" s="16" t="str">
        <f t="shared" si="202"/>
        <v>Underweight</v>
      </c>
      <c r="K946">
        <v>86.2</v>
      </c>
      <c r="L946">
        <v>0.46300000000000002</v>
      </c>
      <c r="M946" s="11">
        <f t="shared" si="198"/>
        <v>0.46300000000000002</v>
      </c>
      <c r="N946" s="5">
        <f t="shared" si="203"/>
        <v>86.2</v>
      </c>
      <c r="O946">
        <v>109</v>
      </c>
      <c r="P946">
        <v>50</v>
      </c>
      <c r="Q946" s="8">
        <f t="shared" si="204"/>
        <v>50</v>
      </c>
      <c r="R946" s="8">
        <v>29</v>
      </c>
      <c r="S946" s="8">
        <f t="shared" si="205"/>
        <v>29</v>
      </c>
      <c r="T946" s="8">
        <f>(Table1[[#This Row],[Total Cholesterol (mg/dL)]]+Table1[[#This Row],[HDL (mg/dL)2]]+Table1[[#This Row],[Estimated LDL (mg/dL)2]])*5</f>
        <v>940</v>
      </c>
      <c r="U946" s="8">
        <f>IF(O946="",Table1[[#This Row],[Estimated LDL (mg/dL)2]]+Table1[[#This Row],[HDL (mg/dL)2]]+(Table1[[#This Row],[Triglycerides]]/5),O946)</f>
        <v>109</v>
      </c>
      <c r="V946">
        <v>143</v>
      </c>
      <c r="W946" s="8">
        <f t="shared" si="206"/>
        <v>143</v>
      </c>
      <c r="X946" t="str">
        <f t="shared" si="207"/>
        <v>Diabetes</v>
      </c>
      <c r="Y946" t="s">
        <v>23</v>
      </c>
      <c r="Z946" t="s">
        <v>23</v>
      </c>
      <c r="AA946" t="s">
        <v>37</v>
      </c>
      <c r="AB946" s="3" t="s">
        <v>349</v>
      </c>
      <c r="AC946">
        <v>93</v>
      </c>
      <c r="AD946" s="3" t="str">
        <f t="shared" si="208"/>
        <v>93</v>
      </c>
      <c r="AE946">
        <v>63</v>
      </c>
      <c r="AF946" s="3" t="str">
        <f t="shared" si="209"/>
        <v>63</v>
      </c>
      <c r="AG946" t="s">
        <v>33</v>
      </c>
      <c r="AH946" s="3">
        <v>12.03</v>
      </c>
      <c r="AI946" s="3">
        <f t="shared" si="210"/>
        <v>12.03</v>
      </c>
      <c r="AJ946" t="s">
        <v>26</v>
      </c>
      <c r="AK946" t="str">
        <f>PROPER(Table1[[#This Row],[CVD Risk Level]])</f>
        <v>Intermediary</v>
      </c>
    </row>
    <row r="947" spans="1:37" x14ac:dyDescent="0.3">
      <c r="A947" t="s">
        <v>20</v>
      </c>
      <c r="B947">
        <v>53</v>
      </c>
      <c r="C947" s="8">
        <f t="shared" si="199"/>
        <v>53</v>
      </c>
      <c r="D947" s="5">
        <v>105.5</v>
      </c>
      <c r="E947" s="8">
        <f t="shared" si="200"/>
        <v>105.5</v>
      </c>
      <c r="F947">
        <v>1.71</v>
      </c>
      <c r="G947" s="3">
        <f t="shared" si="201"/>
        <v>1.71</v>
      </c>
      <c r="H947">
        <v>36.1</v>
      </c>
      <c r="I947" s="5">
        <f t="shared" si="197"/>
        <v>36.1</v>
      </c>
      <c r="J947" s="16" t="str">
        <f t="shared" si="202"/>
        <v>Obese</v>
      </c>
      <c r="K947">
        <v>83.1</v>
      </c>
      <c r="L947">
        <v>0.48599999999999999</v>
      </c>
      <c r="M947" s="11">
        <f t="shared" si="198"/>
        <v>0.48599999999999999</v>
      </c>
      <c r="N947" s="5">
        <f t="shared" si="203"/>
        <v>83.1</v>
      </c>
      <c r="O947">
        <v>280</v>
      </c>
      <c r="P947">
        <v>63</v>
      </c>
      <c r="Q947" s="8">
        <f t="shared" si="204"/>
        <v>63</v>
      </c>
      <c r="R947" s="8">
        <v>187</v>
      </c>
      <c r="S947" s="8">
        <f t="shared" si="205"/>
        <v>187</v>
      </c>
      <c r="T947" s="8">
        <f>(Table1[[#This Row],[Total Cholesterol (mg/dL)]]+Table1[[#This Row],[HDL (mg/dL)2]]+Table1[[#This Row],[Estimated LDL (mg/dL)2]])*5</f>
        <v>2650</v>
      </c>
      <c r="U947" s="8">
        <f>IF(O947="",Table1[[#This Row],[Estimated LDL (mg/dL)2]]+Table1[[#This Row],[HDL (mg/dL)2]]+(Table1[[#This Row],[Triglycerides]]/5),O947)</f>
        <v>280</v>
      </c>
      <c r="W947" s="8">
        <f t="shared" si="206"/>
        <v>117.48563611491107</v>
      </c>
      <c r="X947" t="str">
        <f t="shared" si="207"/>
        <v>Prediabetes</v>
      </c>
      <c r="Y947" t="s">
        <v>23</v>
      </c>
      <c r="Z947" t="s">
        <v>23</v>
      </c>
      <c r="AA947" t="s">
        <v>37</v>
      </c>
      <c r="AB947" s="3" t="s">
        <v>719</v>
      </c>
      <c r="AC947">
        <v>104</v>
      </c>
      <c r="AD947" s="3" t="str">
        <f t="shared" si="208"/>
        <v>104</v>
      </c>
      <c r="AE947">
        <v>70</v>
      </c>
      <c r="AF947" s="3" t="str">
        <f t="shared" si="209"/>
        <v>70</v>
      </c>
      <c r="AG947" t="s">
        <v>33</v>
      </c>
      <c r="AH947" s="3">
        <v>20.02</v>
      </c>
      <c r="AI947" s="3">
        <f t="shared" si="210"/>
        <v>20.02</v>
      </c>
      <c r="AJ947" t="s">
        <v>30</v>
      </c>
      <c r="AK947" t="str">
        <f>PROPER(Table1[[#This Row],[CVD Risk Level]])</f>
        <v>High</v>
      </c>
    </row>
    <row r="948" spans="1:37" x14ac:dyDescent="0.3">
      <c r="A948" t="s">
        <v>20</v>
      </c>
      <c r="B948">
        <v>46</v>
      </c>
      <c r="C948" s="8">
        <f t="shared" si="199"/>
        <v>46</v>
      </c>
      <c r="D948" s="5">
        <v>73.2</v>
      </c>
      <c r="E948" s="8">
        <f t="shared" si="200"/>
        <v>73.2</v>
      </c>
      <c r="F948">
        <v>1.8</v>
      </c>
      <c r="G948" s="3">
        <f t="shared" si="201"/>
        <v>1.8</v>
      </c>
      <c r="H948">
        <v>22.6</v>
      </c>
      <c r="I948" s="5">
        <f t="shared" si="197"/>
        <v>22.6</v>
      </c>
      <c r="J948" s="16" t="str">
        <f t="shared" si="202"/>
        <v>Normal</v>
      </c>
      <c r="K948">
        <v>79.3</v>
      </c>
      <c r="L948">
        <v>0.441</v>
      </c>
      <c r="M948" s="11">
        <f t="shared" si="198"/>
        <v>0.441</v>
      </c>
      <c r="N948" s="5">
        <f t="shared" si="203"/>
        <v>79.3</v>
      </c>
      <c r="O948">
        <v>135</v>
      </c>
      <c r="P948">
        <v>71</v>
      </c>
      <c r="Q948" s="8">
        <f t="shared" si="204"/>
        <v>71</v>
      </c>
      <c r="S948" s="8">
        <f>IF(R948&lt;=0,MEDIAN($R$2:$R$1530),R948)</f>
        <v>109</v>
      </c>
      <c r="T948" s="8">
        <f>(Table1[[#This Row],[Total Cholesterol (mg/dL)]]+Table1[[#This Row],[HDL (mg/dL)2]]+Table1[[#This Row],[Estimated LDL (mg/dL)2]])*5</f>
        <v>1575</v>
      </c>
      <c r="U948" s="8">
        <f>IF(O948="",Table1[[#This Row],[Estimated LDL (mg/dL)2]]+Table1[[#This Row],[HDL (mg/dL)2]]+(Table1[[#This Row],[Triglycerides]]/5),O948)</f>
        <v>135</v>
      </c>
      <c r="V948">
        <v>117</v>
      </c>
      <c r="W948" s="8">
        <f t="shared" si="206"/>
        <v>117</v>
      </c>
      <c r="X948" t="str">
        <f t="shared" si="207"/>
        <v>Prediabetes</v>
      </c>
      <c r="Y948" t="s">
        <v>23</v>
      </c>
      <c r="Z948" t="s">
        <v>23</v>
      </c>
      <c r="AA948" t="s">
        <v>24</v>
      </c>
      <c r="AB948" s="3" t="s">
        <v>816</v>
      </c>
      <c r="AC948">
        <v>126</v>
      </c>
      <c r="AD948" s="3" t="str">
        <f t="shared" si="208"/>
        <v>126</v>
      </c>
      <c r="AE948">
        <v>81</v>
      </c>
      <c r="AF948" s="3" t="str">
        <f t="shared" si="209"/>
        <v>81</v>
      </c>
      <c r="AG948" t="s">
        <v>29</v>
      </c>
      <c r="AH948" s="3">
        <v>15.52</v>
      </c>
      <c r="AI948" s="3">
        <f t="shared" si="210"/>
        <v>15.52</v>
      </c>
      <c r="AJ948" t="s">
        <v>30</v>
      </c>
      <c r="AK948" t="str">
        <f>PROPER(Table1[[#This Row],[CVD Risk Level]])</f>
        <v>High</v>
      </c>
    </row>
    <row r="949" spans="1:37" x14ac:dyDescent="0.3">
      <c r="A949" t="s">
        <v>31</v>
      </c>
      <c r="B949">
        <v>56</v>
      </c>
      <c r="C949" s="8">
        <f t="shared" si="199"/>
        <v>56</v>
      </c>
      <c r="D949" s="5">
        <v>66</v>
      </c>
      <c r="E949" s="8">
        <f t="shared" si="200"/>
        <v>66</v>
      </c>
      <c r="F949">
        <v>1.82</v>
      </c>
      <c r="G949" s="3">
        <f t="shared" si="201"/>
        <v>1.82</v>
      </c>
      <c r="H949">
        <v>19.899999999999999</v>
      </c>
      <c r="I949" s="5">
        <f t="shared" si="197"/>
        <v>19.899999999999999</v>
      </c>
      <c r="J949" s="16" t="str">
        <f t="shared" si="202"/>
        <v>Normal</v>
      </c>
      <c r="K949">
        <v>80.5</v>
      </c>
      <c r="L949">
        <v>0.442</v>
      </c>
      <c r="M949" s="11">
        <f t="shared" si="198"/>
        <v>0.442</v>
      </c>
      <c r="N949" s="5">
        <f t="shared" si="203"/>
        <v>80.5</v>
      </c>
      <c r="O949">
        <v>159</v>
      </c>
      <c r="P949">
        <v>73</v>
      </c>
      <c r="Q949" s="8">
        <f t="shared" si="204"/>
        <v>73</v>
      </c>
      <c r="R949" s="8">
        <v>56</v>
      </c>
      <c r="S949" s="8">
        <f t="shared" si="205"/>
        <v>56</v>
      </c>
      <c r="T949" s="8">
        <f>(Table1[[#This Row],[Total Cholesterol (mg/dL)]]+Table1[[#This Row],[HDL (mg/dL)2]]+Table1[[#This Row],[Estimated LDL (mg/dL)2]])*5</f>
        <v>1440</v>
      </c>
      <c r="U949" s="8">
        <f>IF(O949="",Table1[[#This Row],[Estimated LDL (mg/dL)2]]+Table1[[#This Row],[HDL (mg/dL)2]]+(Table1[[#This Row],[Triglycerides]]/5),O949)</f>
        <v>159</v>
      </c>
      <c r="V949">
        <v>71</v>
      </c>
      <c r="W949" s="8">
        <f t="shared" si="206"/>
        <v>71</v>
      </c>
      <c r="X949" t="str">
        <f t="shared" si="207"/>
        <v>Normal</v>
      </c>
      <c r="Y949" t="s">
        <v>23</v>
      </c>
      <c r="Z949" t="s">
        <v>23</v>
      </c>
      <c r="AA949" t="s">
        <v>24</v>
      </c>
      <c r="AB949" s="3" t="s">
        <v>817</v>
      </c>
      <c r="AC949">
        <v>148</v>
      </c>
      <c r="AD949" s="3" t="str">
        <f t="shared" si="208"/>
        <v>148</v>
      </c>
      <c r="AE949">
        <v>94</v>
      </c>
      <c r="AF949" s="3" t="str">
        <f t="shared" si="209"/>
        <v>94</v>
      </c>
      <c r="AG949" t="s">
        <v>38</v>
      </c>
      <c r="AH949" s="3">
        <v>16.559999999999999</v>
      </c>
      <c r="AI949" s="3">
        <f t="shared" si="210"/>
        <v>16.559999999999999</v>
      </c>
      <c r="AJ949" t="s">
        <v>30</v>
      </c>
      <c r="AK949" t="str">
        <f>PROPER(Table1[[#This Row],[CVD Risk Level]])</f>
        <v>High</v>
      </c>
    </row>
    <row r="950" spans="1:37" x14ac:dyDescent="0.3">
      <c r="A950" t="s">
        <v>31</v>
      </c>
      <c r="B950">
        <v>47</v>
      </c>
      <c r="C950" s="8">
        <f t="shared" si="199"/>
        <v>47</v>
      </c>
      <c r="D950" s="5">
        <v>51.6</v>
      </c>
      <c r="E950" s="8">
        <f t="shared" si="200"/>
        <v>51.6</v>
      </c>
      <c r="F950">
        <v>1.68</v>
      </c>
      <c r="G950" s="3">
        <f t="shared" si="201"/>
        <v>1.68</v>
      </c>
      <c r="H950">
        <v>18.3</v>
      </c>
      <c r="I950" s="5">
        <f t="shared" si="197"/>
        <v>18.3</v>
      </c>
      <c r="J950" s="16" t="str">
        <f t="shared" si="202"/>
        <v>Underweight</v>
      </c>
      <c r="K950">
        <v>71.8</v>
      </c>
      <c r="L950">
        <v>0.42699999999999999</v>
      </c>
      <c r="M950" s="11">
        <f t="shared" si="198"/>
        <v>0.42699999999999999</v>
      </c>
      <c r="N950" s="5">
        <f t="shared" si="203"/>
        <v>71.8</v>
      </c>
      <c r="O950">
        <v>137</v>
      </c>
      <c r="P950">
        <v>37</v>
      </c>
      <c r="Q950" s="8">
        <f t="shared" si="204"/>
        <v>37</v>
      </c>
      <c r="R950" s="8">
        <v>70</v>
      </c>
      <c r="S950" s="8">
        <f t="shared" si="205"/>
        <v>70</v>
      </c>
      <c r="T950" s="8">
        <f>(Table1[[#This Row],[Total Cholesterol (mg/dL)]]+Table1[[#This Row],[HDL (mg/dL)2]]+Table1[[#This Row],[Estimated LDL (mg/dL)2]])*5</f>
        <v>1220</v>
      </c>
      <c r="U950" s="8">
        <f>IF(O950="",Table1[[#This Row],[Estimated LDL (mg/dL)2]]+Table1[[#This Row],[HDL (mg/dL)2]]+(Table1[[#This Row],[Triglycerides]]/5),O950)</f>
        <v>137</v>
      </c>
      <c r="V950">
        <v>105</v>
      </c>
      <c r="W950" s="8">
        <f t="shared" si="206"/>
        <v>105</v>
      </c>
      <c r="X950" t="str">
        <f t="shared" si="207"/>
        <v>Prediabetes</v>
      </c>
      <c r="Y950" t="s">
        <v>22</v>
      </c>
      <c r="Z950" t="s">
        <v>22</v>
      </c>
      <c r="AA950" t="s">
        <v>37</v>
      </c>
      <c r="AB950" s="3" t="s">
        <v>560</v>
      </c>
      <c r="AC950">
        <v>106</v>
      </c>
      <c r="AD950" s="3" t="str">
        <f t="shared" si="208"/>
        <v>106</v>
      </c>
      <c r="AE950">
        <v>92</v>
      </c>
      <c r="AF950" s="3" t="str">
        <f t="shared" si="209"/>
        <v>92</v>
      </c>
      <c r="AG950" t="s">
        <v>38</v>
      </c>
      <c r="AH950" s="3">
        <v>11.7</v>
      </c>
      <c r="AI950" s="3">
        <f t="shared" si="210"/>
        <v>11.7</v>
      </c>
      <c r="AJ950" t="s">
        <v>26</v>
      </c>
      <c r="AK950" t="str">
        <f>PROPER(Table1[[#This Row],[CVD Risk Level]])</f>
        <v>Intermediary</v>
      </c>
    </row>
    <row r="951" spans="1:37" x14ac:dyDescent="0.3">
      <c r="A951" t="s">
        <v>20</v>
      </c>
      <c r="B951">
        <v>55</v>
      </c>
      <c r="C951" s="8">
        <f t="shared" si="199"/>
        <v>55</v>
      </c>
      <c r="E951" s="8">
        <f t="shared" si="200"/>
        <v>58.261499999999991</v>
      </c>
      <c r="F951">
        <v>1.65</v>
      </c>
      <c r="G951" s="3">
        <f t="shared" si="201"/>
        <v>1.65</v>
      </c>
      <c r="H951">
        <v>21.4</v>
      </c>
      <c r="I951" s="5">
        <f t="shared" si="197"/>
        <v>21.4</v>
      </c>
      <c r="J951" s="16" t="str">
        <f t="shared" si="202"/>
        <v>Normal</v>
      </c>
      <c r="K951">
        <v>92.6</v>
      </c>
      <c r="L951">
        <v>0.56100000000000005</v>
      </c>
      <c r="M951" s="11">
        <f t="shared" si="198"/>
        <v>0.56100000000000005</v>
      </c>
      <c r="N951" s="5">
        <f t="shared" si="203"/>
        <v>92.6</v>
      </c>
      <c r="O951">
        <v>179</v>
      </c>
      <c r="P951">
        <v>75</v>
      </c>
      <c r="Q951" s="8">
        <f t="shared" si="204"/>
        <v>75</v>
      </c>
      <c r="R951" s="8">
        <v>74</v>
      </c>
      <c r="S951" s="8">
        <f t="shared" si="205"/>
        <v>74</v>
      </c>
      <c r="T951" s="8">
        <f>(Table1[[#This Row],[Total Cholesterol (mg/dL)]]+Table1[[#This Row],[HDL (mg/dL)2]]+Table1[[#This Row],[Estimated LDL (mg/dL)2]])*5</f>
        <v>1640</v>
      </c>
      <c r="U951" s="8">
        <f>IF(O951="",Table1[[#This Row],[Estimated LDL (mg/dL)2]]+Table1[[#This Row],[HDL (mg/dL)2]]+(Table1[[#This Row],[Triglycerides]]/5),O951)</f>
        <v>179</v>
      </c>
      <c r="V951">
        <v>139</v>
      </c>
      <c r="W951" s="8">
        <f t="shared" si="206"/>
        <v>139</v>
      </c>
      <c r="X951" t="str">
        <f t="shared" si="207"/>
        <v>Diabetes</v>
      </c>
      <c r="Y951" t="s">
        <v>23</v>
      </c>
      <c r="Z951" t="s">
        <v>22</v>
      </c>
      <c r="AA951" t="s">
        <v>37</v>
      </c>
      <c r="AB951" s="3" t="s">
        <v>818</v>
      </c>
      <c r="AC951">
        <v>107</v>
      </c>
      <c r="AD951" s="3" t="str">
        <f t="shared" si="208"/>
        <v>107</v>
      </c>
      <c r="AE951">
        <v>89</v>
      </c>
      <c r="AF951" s="3" t="str">
        <f t="shared" si="209"/>
        <v>89</v>
      </c>
      <c r="AG951" t="s">
        <v>29</v>
      </c>
      <c r="AH951" s="3">
        <v>13.21</v>
      </c>
      <c r="AI951" s="3">
        <f t="shared" si="210"/>
        <v>13.21</v>
      </c>
      <c r="AJ951" t="s">
        <v>26</v>
      </c>
      <c r="AK951" t="str">
        <f>PROPER(Table1[[#This Row],[CVD Risk Level]])</f>
        <v>Intermediary</v>
      </c>
    </row>
    <row r="952" spans="1:37" x14ac:dyDescent="0.3">
      <c r="A952" t="s">
        <v>20</v>
      </c>
      <c r="B952">
        <v>60</v>
      </c>
      <c r="C952" s="8">
        <f t="shared" si="199"/>
        <v>60</v>
      </c>
      <c r="D952" s="5">
        <v>54.3</v>
      </c>
      <c r="E952" s="8">
        <f t="shared" si="200"/>
        <v>54.3</v>
      </c>
      <c r="F952">
        <v>1.81</v>
      </c>
      <c r="G952" s="3">
        <f t="shared" si="201"/>
        <v>1.81</v>
      </c>
      <c r="H952">
        <v>16.600000000000001</v>
      </c>
      <c r="I952" s="5">
        <f t="shared" si="197"/>
        <v>16.600000000000001</v>
      </c>
      <c r="J952" s="16" t="str">
        <f t="shared" si="202"/>
        <v>Underweight</v>
      </c>
      <c r="K952">
        <v>99.1</v>
      </c>
      <c r="L952">
        <v>0.54800000000000004</v>
      </c>
      <c r="M952" s="11">
        <f t="shared" si="198"/>
        <v>0.54800000000000004</v>
      </c>
      <c r="N952" s="5">
        <f t="shared" si="203"/>
        <v>99.1</v>
      </c>
      <c r="O952">
        <v>187</v>
      </c>
      <c r="P952">
        <v>78</v>
      </c>
      <c r="Q952" s="8">
        <f t="shared" si="204"/>
        <v>78</v>
      </c>
      <c r="R952" s="8">
        <v>79</v>
      </c>
      <c r="S952" s="8">
        <f t="shared" si="205"/>
        <v>79</v>
      </c>
      <c r="T952" s="8">
        <f>(Table1[[#This Row],[Total Cholesterol (mg/dL)]]+Table1[[#This Row],[HDL (mg/dL)2]]+Table1[[#This Row],[Estimated LDL (mg/dL)2]])*5</f>
        <v>1720</v>
      </c>
      <c r="U952" s="8">
        <f>IF(O952="",Table1[[#This Row],[Estimated LDL (mg/dL)2]]+Table1[[#This Row],[HDL (mg/dL)2]]+(Table1[[#This Row],[Triglycerides]]/5),O952)</f>
        <v>187</v>
      </c>
      <c r="V952">
        <v>80</v>
      </c>
      <c r="W952" s="8">
        <f t="shared" si="206"/>
        <v>80</v>
      </c>
      <c r="X952" t="str">
        <f t="shared" si="207"/>
        <v>Normal</v>
      </c>
      <c r="Y952" t="s">
        <v>22</v>
      </c>
      <c r="Z952" t="s">
        <v>23</v>
      </c>
      <c r="AA952" t="s">
        <v>28</v>
      </c>
      <c r="AB952" s="3" t="s">
        <v>203</v>
      </c>
      <c r="AC952">
        <v>133</v>
      </c>
      <c r="AD952" s="3" t="str">
        <f t="shared" si="208"/>
        <v>133</v>
      </c>
      <c r="AE952">
        <v>65</v>
      </c>
      <c r="AF952" s="3" t="str">
        <f t="shared" si="209"/>
        <v>65</v>
      </c>
      <c r="AG952" t="s">
        <v>29</v>
      </c>
      <c r="AH952" s="3">
        <v>15.71</v>
      </c>
      <c r="AI952" s="3">
        <f t="shared" si="210"/>
        <v>15.71</v>
      </c>
      <c r="AJ952" t="s">
        <v>26</v>
      </c>
      <c r="AK952" t="str">
        <f>PROPER(Table1[[#This Row],[CVD Risk Level]])</f>
        <v>Intermediary</v>
      </c>
    </row>
    <row r="953" spans="1:37" x14ac:dyDescent="0.3">
      <c r="A953" t="s">
        <v>20</v>
      </c>
      <c r="B953">
        <v>37</v>
      </c>
      <c r="C953" s="8">
        <f t="shared" si="199"/>
        <v>37</v>
      </c>
      <c r="D953" s="5">
        <v>79</v>
      </c>
      <c r="E953" s="8">
        <f t="shared" si="200"/>
        <v>79</v>
      </c>
      <c r="F953">
        <v>1.74</v>
      </c>
      <c r="G953" s="3">
        <f t="shared" si="201"/>
        <v>1.74</v>
      </c>
      <c r="I953" s="5">
        <f t="shared" si="197"/>
        <v>26.09327520147972</v>
      </c>
      <c r="J953" s="16" t="str">
        <f t="shared" si="202"/>
        <v>Overweight</v>
      </c>
      <c r="K953">
        <v>92.4</v>
      </c>
      <c r="L953">
        <v>0.53100000000000003</v>
      </c>
      <c r="M953" s="11">
        <f t="shared" si="198"/>
        <v>0.53100000000000003</v>
      </c>
      <c r="N953" s="5">
        <f t="shared" si="203"/>
        <v>92.4</v>
      </c>
      <c r="O953">
        <v>212</v>
      </c>
      <c r="P953">
        <v>73</v>
      </c>
      <c r="Q953" s="8">
        <f t="shared" si="204"/>
        <v>73</v>
      </c>
      <c r="S953" s="8">
        <f t="shared" si="205"/>
        <v>109</v>
      </c>
      <c r="T953" s="8">
        <f>(Table1[[#This Row],[Total Cholesterol (mg/dL)]]+Table1[[#This Row],[HDL (mg/dL)2]]+Table1[[#This Row],[Estimated LDL (mg/dL)2]])*5</f>
        <v>1970</v>
      </c>
      <c r="U953" s="8">
        <f>IF(O953="",Table1[[#This Row],[Estimated LDL (mg/dL)2]]+Table1[[#This Row],[HDL (mg/dL)2]]+(Table1[[#This Row],[Triglycerides]]/5),O953)</f>
        <v>212</v>
      </c>
      <c r="V953">
        <v>90</v>
      </c>
      <c r="W953" s="8">
        <f t="shared" si="206"/>
        <v>90</v>
      </c>
      <c r="X953" t="str">
        <f t="shared" si="207"/>
        <v>Normal</v>
      </c>
      <c r="Y953" t="s">
        <v>23</v>
      </c>
      <c r="Z953" t="s">
        <v>22</v>
      </c>
      <c r="AA953" t="s">
        <v>37</v>
      </c>
      <c r="AB953" s="3" t="s">
        <v>819</v>
      </c>
      <c r="AC953">
        <v>147</v>
      </c>
      <c r="AD953" s="3" t="str">
        <f t="shared" si="208"/>
        <v>147</v>
      </c>
      <c r="AE953">
        <v>85</v>
      </c>
      <c r="AF953" s="3" t="str">
        <f t="shared" si="209"/>
        <v>85</v>
      </c>
      <c r="AG953" t="s">
        <v>29</v>
      </c>
      <c r="AH953" s="3">
        <v>16.809999999999999</v>
      </c>
      <c r="AI953" s="3">
        <f t="shared" si="210"/>
        <v>16.809999999999999</v>
      </c>
      <c r="AJ953" t="s">
        <v>26</v>
      </c>
      <c r="AK953" t="str">
        <f>PROPER(Table1[[#This Row],[CVD Risk Level]])</f>
        <v>Intermediary</v>
      </c>
    </row>
    <row r="954" spans="1:37" x14ac:dyDescent="0.3">
      <c r="A954" t="s">
        <v>31</v>
      </c>
      <c r="B954">
        <v>51</v>
      </c>
      <c r="C954" s="8">
        <f t="shared" si="199"/>
        <v>51</v>
      </c>
      <c r="D954" s="5">
        <v>85.9</v>
      </c>
      <c r="E954" s="8">
        <f t="shared" si="200"/>
        <v>85.9</v>
      </c>
      <c r="F954">
        <v>1.78</v>
      </c>
      <c r="G954" s="3">
        <f t="shared" si="201"/>
        <v>1.78</v>
      </c>
      <c r="H954">
        <v>27.1</v>
      </c>
      <c r="I954" s="5">
        <f t="shared" si="197"/>
        <v>27.1</v>
      </c>
      <c r="J954" s="16" t="str">
        <f t="shared" si="202"/>
        <v>Overweight</v>
      </c>
      <c r="K954">
        <v>87.2</v>
      </c>
      <c r="L954">
        <v>0.49</v>
      </c>
      <c r="M954" s="11">
        <f t="shared" si="198"/>
        <v>0.49</v>
      </c>
      <c r="N954" s="5">
        <f t="shared" si="203"/>
        <v>87.2</v>
      </c>
      <c r="O954">
        <v>189</v>
      </c>
      <c r="P954">
        <v>44</v>
      </c>
      <c r="Q954" s="8">
        <f t="shared" si="204"/>
        <v>44</v>
      </c>
      <c r="S954" s="8">
        <f t="shared" si="205"/>
        <v>109</v>
      </c>
      <c r="T954" s="8">
        <f>(Table1[[#This Row],[Total Cholesterol (mg/dL)]]+Table1[[#This Row],[HDL (mg/dL)2]]+Table1[[#This Row],[Estimated LDL (mg/dL)2]])*5</f>
        <v>1710</v>
      </c>
      <c r="U954" s="8">
        <f>IF(O954="",Table1[[#This Row],[Estimated LDL (mg/dL)2]]+Table1[[#This Row],[HDL (mg/dL)2]]+(Table1[[#This Row],[Triglycerides]]/5),O954)</f>
        <v>189</v>
      </c>
      <c r="V954">
        <v>100</v>
      </c>
      <c r="W954" s="8">
        <f t="shared" si="206"/>
        <v>100</v>
      </c>
      <c r="X954" t="str">
        <f t="shared" si="207"/>
        <v>Prediabetes</v>
      </c>
      <c r="Y954" t="s">
        <v>22</v>
      </c>
      <c r="Z954" t="s">
        <v>22</v>
      </c>
      <c r="AA954" t="s">
        <v>24</v>
      </c>
      <c r="AB954" s="3" t="s">
        <v>192</v>
      </c>
      <c r="AC954">
        <v>144</v>
      </c>
      <c r="AD954" s="3" t="str">
        <f t="shared" si="208"/>
        <v>144</v>
      </c>
      <c r="AE954">
        <v>70</v>
      </c>
      <c r="AF954" s="3" t="str">
        <f t="shared" si="209"/>
        <v>70</v>
      </c>
      <c r="AG954" t="s">
        <v>38</v>
      </c>
      <c r="AH954" s="3">
        <v>16.399999999999999</v>
      </c>
      <c r="AI954" s="3">
        <f t="shared" si="210"/>
        <v>16.399999999999999</v>
      </c>
      <c r="AJ954" t="s">
        <v>26</v>
      </c>
      <c r="AK954" t="str">
        <f>PROPER(Table1[[#This Row],[CVD Risk Level]])</f>
        <v>Intermediary</v>
      </c>
    </row>
    <row r="955" spans="1:37" x14ac:dyDescent="0.3">
      <c r="A955" t="s">
        <v>31</v>
      </c>
      <c r="B955">
        <v>31</v>
      </c>
      <c r="C955" s="8">
        <f t="shared" si="199"/>
        <v>31</v>
      </c>
      <c r="D955" s="5">
        <v>60.3</v>
      </c>
      <c r="E955" s="8">
        <f t="shared" si="200"/>
        <v>60.3</v>
      </c>
      <c r="F955">
        <v>1.7</v>
      </c>
      <c r="G955" s="3">
        <f t="shared" si="201"/>
        <v>1.7</v>
      </c>
      <c r="H955">
        <v>20.9</v>
      </c>
      <c r="I955" s="5">
        <f t="shared" si="197"/>
        <v>20.9</v>
      </c>
      <c r="J955" s="16" t="str">
        <f t="shared" si="202"/>
        <v>Normal</v>
      </c>
      <c r="K955">
        <v>70.099999999999994</v>
      </c>
      <c r="L955">
        <v>0.41199999999999998</v>
      </c>
      <c r="M955" s="11">
        <f t="shared" si="198"/>
        <v>0.41199999999999998</v>
      </c>
      <c r="N955" s="5">
        <f t="shared" si="203"/>
        <v>70.099999999999994</v>
      </c>
      <c r="O955">
        <v>253</v>
      </c>
      <c r="P955">
        <v>38</v>
      </c>
      <c r="Q955" s="8">
        <f t="shared" si="204"/>
        <v>38</v>
      </c>
      <c r="R955" s="8">
        <v>185</v>
      </c>
      <c r="S955" s="8">
        <f t="shared" si="205"/>
        <v>185</v>
      </c>
      <c r="T955" s="8">
        <f>(Table1[[#This Row],[Total Cholesterol (mg/dL)]]+Table1[[#This Row],[HDL (mg/dL)2]]+Table1[[#This Row],[Estimated LDL (mg/dL)2]])*5</f>
        <v>2380</v>
      </c>
      <c r="U955" s="8">
        <f>IF(O955="",Table1[[#This Row],[Estimated LDL (mg/dL)2]]+Table1[[#This Row],[HDL (mg/dL)2]]+(Table1[[#This Row],[Triglycerides]]/5),O955)</f>
        <v>253</v>
      </c>
      <c r="V955">
        <v>119</v>
      </c>
      <c r="W955" s="8">
        <f t="shared" si="206"/>
        <v>119</v>
      </c>
      <c r="X955" t="str">
        <f t="shared" si="207"/>
        <v>Prediabetes</v>
      </c>
      <c r="Y955" t="s">
        <v>23</v>
      </c>
      <c r="Z955" t="s">
        <v>22</v>
      </c>
      <c r="AA955" t="s">
        <v>37</v>
      </c>
      <c r="AB955" s="3" t="s">
        <v>820</v>
      </c>
      <c r="AC955">
        <v>141</v>
      </c>
      <c r="AD955" s="3" t="str">
        <f t="shared" si="208"/>
        <v>141</v>
      </c>
      <c r="AE955">
        <v>96</v>
      </c>
      <c r="AF955" s="3" t="str">
        <f t="shared" si="209"/>
        <v>96</v>
      </c>
      <c r="AG955" t="s">
        <v>38</v>
      </c>
      <c r="AH955" s="3">
        <v>16.29</v>
      </c>
      <c r="AI955" s="3">
        <f t="shared" si="210"/>
        <v>16.29</v>
      </c>
      <c r="AJ955" t="s">
        <v>30</v>
      </c>
      <c r="AK955" t="str">
        <f>PROPER(Table1[[#This Row],[CVD Risk Level]])</f>
        <v>High</v>
      </c>
    </row>
    <row r="956" spans="1:37" x14ac:dyDescent="0.3">
      <c r="A956" t="s">
        <v>20</v>
      </c>
      <c r="B956">
        <v>49</v>
      </c>
      <c r="C956" s="8">
        <f t="shared" si="199"/>
        <v>49</v>
      </c>
      <c r="D956" s="5">
        <v>60.5</v>
      </c>
      <c r="E956" s="8">
        <f t="shared" si="200"/>
        <v>60.5</v>
      </c>
      <c r="F956">
        <v>1.64</v>
      </c>
      <c r="G956" s="3">
        <f t="shared" si="201"/>
        <v>1.64</v>
      </c>
      <c r="H956">
        <v>22.5</v>
      </c>
      <c r="I956" s="5">
        <f t="shared" si="197"/>
        <v>22.5</v>
      </c>
      <c r="J956" s="16" t="str">
        <f t="shared" si="202"/>
        <v>Normal</v>
      </c>
      <c r="K956">
        <v>76.400000000000006</v>
      </c>
      <c r="L956">
        <v>0.46600000000000003</v>
      </c>
      <c r="M956" s="11">
        <f t="shared" si="198"/>
        <v>0.46600000000000003</v>
      </c>
      <c r="N956" s="5">
        <f t="shared" si="203"/>
        <v>76.400000000000006</v>
      </c>
      <c r="O956">
        <v>178</v>
      </c>
      <c r="P956">
        <v>78</v>
      </c>
      <c r="Q956" s="8">
        <f t="shared" si="204"/>
        <v>78</v>
      </c>
      <c r="R956" s="8">
        <v>70</v>
      </c>
      <c r="S956" s="8">
        <f t="shared" si="205"/>
        <v>70</v>
      </c>
      <c r="T956" s="8">
        <f>(Table1[[#This Row],[Total Cholesterol (mg/dL)]]+Table1[[#This Row],[HDL (mg/dL)2]]+Table1[[#This Row],[Estimated LDL (mg/dL)2]])*5</f>
        <v>1630</v>
      </c>
      <c r="U956" s="8">
        <f>IF(O956="",Table1[[#This Row],[Estimated LDL (mg/dL)2]]+Table1[[#This Row],[HDL (mg/dL)2]]+(Table1[[#This Row],[Triglycerides]]/5),O956)</f>
        <v>178</v>
      </c>
      <c r="V956">
        <v>124</v>
      </c>
      <c r="W956" s="8">
        <f t="shared" si="206"/>
        <v>124</v>
      </c>
      <c r="X956" t="str">
        <f t="shared" si="207"/>
        <v>Prediabetes</v>
      </c>
      <c r="Y956" t="s">
        <v>22</v>
      </c>
      <c r="Z956" t="s">
        <v>22</v>
      </c>
      <c r="AA956" t="s">
        <v>37</v>
      </c>
      <c r="AB956" s="3" t="s">
        <v>821</v>
      </c>
      <c r="AC956">
        <v>104</v>
      </c>
      <c r="AD956" s="3" t="str">
        <f t="shared" si="208"/>
        <v>104</v>
      </c>
      <c r="AE956">
        <v>80</v>
      </c>
      <c r="AF956" s="3" t="str">
        <f t="shared" si="209"/>
        <v>80</v>
      </c>
      <c r="AG956" t="s">
        <v>29</v>
      </c>
      <c r="AH956" s="3">
        <v>13.26</v>
      </c>
      <c r="AI956" s="3">
        <f t="shared" si="210"/>
        <v>13.26</v>
      </c>
      <c r="AJ956" t="s">
        <v>26</v>
      </c>
      <c r="AK956" t="str">
        <f>PROPER(Table1[[#This Row],[CVD Risk Level]])</f>
        <v>Intermediary</v>
      </c>
    </row>
    <row r="957" spans="1:37" x14ac:dyDescent="0.3">
      <c r="A957" t="s">
        <v>20</v>
      </c>
      <c r="B957">
        <v>48</v>
      </c>
      <c r="C957" s="8">
        <f t="shared" si="199"/>
        <v>48</v>
      </c>
      <c r="D957" s="5">
        <v>82.9</v>
      </c>
      <c r="E957" s="8">
        <f t="shared" si="200"/>
        <v>82.9</v>
      </c>
      <c r="F957">
        <v>1.89</v>
      </c>
      <c r="G957" s="3">
        <f t="shared" si="201"/>
        <v>1.89</v>
      </c>
      <c r="H957">
        <v>23.2</v>
      </c>
      <c r="I957" s="5">
        <f t="shared" si="197"/>
        <v>23.2</v>
      </c>
      <c r="J957" s="16" t="str">
        <f t="shared" si="202"/>
        <v>Normal</v>
      </c>
      <c r="K957">
        <v>84.4</v>
      </c>
      <c r="L957">
        <v>0.44700000000000001</v>
      </c>
      <c r="M957" s="11">
        <f t="shared" si="198"/>
        <v>0.44700000000000001</v>
      </c>
      <c r="N957" s="5">
        <f t="shared" si="203"/>
        <v>84.4</v>
      </c>
      <c r="O957">
        <v>109</v>
      </c>
      <c r="P957">
        <v>70</v>
      </c>
      <c r="Q957" s="8">
        <f t="shared" si="204"/>
        <v>70</v>
      </c>
      <c r="R957" s="8">
        <v>9</v>
      </c>
      <c r="S957" s="8">
        <f t="shared" si="205"/>
        <v>9</v>
      </c>
      <c r="T957" s="8">
        <f>(Table1[[#This Row],[Total Cholesterol (mg/dL)]]+Table1[[#This Row],[HDL (mg/dL)2]]+Table1[[#This Row],[Estimated LDL (mg/dL)2]])*5</f>
        <v>940</v>
      </c>
      <c r="U957" s="8">
        <f>IF(O957="",Table1[[#This Row],[Estimated LDL (mg/dL)2]]+Table1[[#This Row],[HDL (mg/dL)2]]+(Table1[[#This Row],[Triglycerides]]/5),O957)</f>
        <v>109</v>
      </c>
      <c r="V957">
        <v>108</v>
      </c>
      <c r="W957" s="8">
        <f t="shared" si="206"/>
        <v>108</v>
      </c>
      <c r="X957" t="str">
        <f t="shared" si="207"/>
        <v>Prediabetes</v>
      </c>
      <c r="Y957" t="s">
        <v>22</v>
      </c>
      <c r="Z957" t="s">
        <v>23</v>
      </c>
      <c r="AA957" t="s">
        <v>28</v>
      </c>
      <c r="AB957" s="3" t="s">
        <v>822</v>
      </c>
      <c r="AC957">
        <v>129</v>
      </c>
      <c r="AD957" s="3" t="str">
        <f t="shared" si="208"/>
        <v>129</v>
      </c>
      <c r="AE957">
        <v>60</v>
      </c>
      <c r="AF957" s="3" t="str">
        <f t="shared" si="209"/>
        <v>60</v>
      </c>
      <c r="AG957" t="s">
        <v>25</v>
      </c>
      <c r="AH957" s="3">
        <v>15.27</v>
      </c>
      <c r="AI957" s="3">
        <f t="shared" si="210"/>
        <v>15.27</v>
      </c>
      <c r="AJ957" t="s">
        <v>26</v>
      </c>
      <c r="AK957" t="str">
        <f>PROPER(Table1[[#This Row],[CVD Risk Level]])</f>
        <v>Intermediary</v>
      </c>
    </row>
    <row r="958" spans="1:37" x14ac:dyDescent="0.3">
      <c r="A958" t="s">
        <v>20</v>
      </c>
      <c r="B958">
        <v>48</v>
      </c>
      <c r="C958" s="8">
        <f t="shared" si="199"/>
        <v>48</v>
      </c>
      <c r="D958" s="5">
        <v>103.2</v>
      </c>
      <c r="E958" s="8">
        <f t="shared" si="200"/>
        <v>103.2</v>
      </c>
      <c r="F958">
        <v>1.75</v>
      </c>
      <c r="G958" s="3">
        <f t="shared" si="201"/>
        <v>1.75</v>
      </c>
      <c r="H958">
        <v>33.700000000000003</v>
      </c>
      <c r="I958" s="5">
        <f t="shared" si="197"/>
        <v>33.700000000000003</v>
      </c>
      <c r="J958" s="16" t="str">
        <f t="shared" si="202"/>
        <v>Obese</v>
      </c>
      <c r="K958">
        <v>75.5</v>
      </c>
      <c r="L958">
        <v>0.43099999999999999</v>
      </c>
      <c r="M958" s="11">
        <f t="shared" si="198"/>
        <v>0.43099999999999999</v>
      </c>
      <c r="N958" s="5">
        <f t="shared" si="203"/>
        <v>75.5</v>
      </c>
      <c r="O958">
        <v>256</v>
      </c>
      <c r="P958">
        <v>38</v>
      </c>
      <c r="Q958" s="8">
        <f t="shared" si="204"/>
        <v>38</v>
      </c>
      <c r="R958" s="8">
        <v>188</v>
      </c>
      <c r="S958" s="8">
        <f t="shared" si="205"/>
        <v>188</v>
      </c>
      <c r="T958" s="8">
        <f>(Table1[[#This Row],[Total Cholesterol (mg/dL)]]+Table1[[#This Row],[HDL (mg/dL)2]]+Table1[[#This Row],[Estimated LDL (mg/dL)2]])*5</f>
        <v>2410</v>
      </c>
      <c r="U958" s="8">
        <f>IF(O958="",Table1[[#This Row],[Estimated LDL (mg/dL)2]]+Table1[[#This Row],[HDL (mg/dL)2]]+(Table1[[#This Row],[Triglycerides]]/5),O958)</f>
        <v>256</v>
      </c>
      <c r="V958">
        <v>104</v>
      </c>
      <c r="W958" s="8">
        <f t="shared" si="206"/>
        <v>104</v>
      </c>
      <c r="X958" t="str">
        <f t="shared" si="207"/>
        <v>Prediabetes</v>
      </c>
      <c r="Y958" t="s">
        <v>22</v>
      </c>
      <c r="Z958" t="s">
        <v>22</v>
      </c>
      <c r="AA958" t="s">
        <v>24</v>
      </c>
      <c r="AB958" s="3" t="s">
        <v>823</v>
      </c>
      <c r="AC958">
        <v>146</v>
      </c>
      <c r="AD958" s="3" t="str">
        <f t="shared" si="208"/>
        <v>146</v>
      </c>
      <c r="AE958">
        <v>99</v>
      </c>
      <c r="AF958" s="3" t="str">
        <f t="shared" si="209"/>
        <v>99</v>
      </c>
      <c r="AG958" t="s">
        <v>38</v>
      </c>
      <c r="AH958" s="3">
        <v>19.16</v>
      </c>
      <c r="AI958" s="3">
        <f t="shared" si="210"/>
        <v>19.16</v>
      </c>
      <c r="AJ958" t="s">
        <v>30</v>
      </c>
      <c r="AK958" t="str">
        <f>PROPER(Table1[[#This Row],[CVD Risk Level]])</f>
        <v>High</v>
      </c>
    </row>
    <row r="959" spans="1:37" x14ac:dyDescent="0.3">
      <c r="A959" t="s">
        <v>20</v>
      </c>
      <c r="B959">
        <v>40</v>
      </c>
      <c r="C959" s="8">
        <f t="shared" si="199"/>
        <v>40</v>
      </c>
      <c r="D959" s="5">
        <v>74.400000000000006</v>
      </c>
      <c r="E959" s="8">
        <f t="shared" si="200"/>
        <v>74.400000000000006</v>
      </c>
      <c r="F959">
        <v>1.88</v>
      </c>
      <c r="G959" s="3">
        <f t="shared" si="201"/>
        <v>1.88</v>
      </c>
      <c r="H959">
        <v>21.1</v>
      </c>
      <c r="I959" s="5">
        <f t="shared" si="197"/>
        <v>21.1</v>
      </c>
      <c r="J959" s="16" t="str">
        <f t="shared" si="202"/>
        <v>Normal</v>
      </c>
      <c r="K959">
        <v>91.1</v>
      </c>
      <c r="L959">
        <v>0.48499999999999999</v>
      </c>
      <c r="M959" s="11">
        <f t="shared" si="198"/>
        <v>0.48499999999999999</v>
      </c>
      <c r="N959" s="5">
        <f t="shared" si="203"/>
        <v>91.1</v>
      </c>
      <c r="O959">
        <v>176</v>
      </c>
      <c r="P959">
        <v>73</v>
      </c>
      <c r="Q959" s="8">
        <f t="shared" si="204"/>
        <v>73</v>
      </c>
      <c r="R959" s="8">
        <v>73</v>
      </c>
      <c r="S959" s="8">
        <f t="shared" si="205"/>
        <v>73</v>
      </c>
      <c r="T959" s="8">
        <f>(Table1[[#This Row],[Total Cholesterol (mg/dL)]]+Table1[[#This Row],[HDL (mg/dL)2]]+Table1[[#This Row],[Estimated LDL (mg/dL)2]])*5</f>
        <v>1610</v>
      </c>
      <c r="U959" s="8">
        <f>IF(O959="",Table1[[#This Row],[Estimated LDL (mg/dL)2]]+Table1[[#This Row],[HDL (mg/dL)2]]+(Table1[[#This Row],[Triglycerides]]/5),O959)</f>
        <v>176</v>
      </c>
      <c r="V959">
        <v>98</v>
      </c>
      <c r="W959" s="8">
        <f t="shared" si="206"/>
        <v>98</v>
      </c>
      <c r="X959" t="str">
        <f t="shared" si="207"/>
        <v>Normal</v>
      </c>
      <c r="Y959" t="s">
        <v>23</v>
      </c>
      <c r="Z959" t="s">
        <v>22</v>
      </c>
      <c r="AA959" t="s">
        <v>24</v>
      </c>
      <c r="AB959" s="3" t="s">
        <v>824</v>
      </c>
      <c r="AC959">
        <v>90</v>
      </c>
      <c r="AD959" s="3" t="str">
        <f t="shared" si="208"/>
        <v>90</v>
      </c>
      <c r="AE959">
        <v>97</v>
      </c>
      <c r="AF959" s="3" t="str">
        <f t="shared" si="209"/>
        <v>97</v>
      </c>
      <c r="AG959" t="s">
        <v>38</v>
      </c>
      <c r="AH959" s="3">
        <v>12.24</v>
      </c>
      <c r="AI959" s="3">
        <f t="shared" si="210"/>
        <v>12.24</v>
      </c>
      <c r="AJ959" t="s">
        <v>26</v>
      </c>
      <c r="AK959" t="str">
        <f>PROPER(Table1[[#This Row],[CVD Risk Level]])</f>
        <v>Intermediary</v>
      </c>
    </row>
    <row r="960" spans="1:37" x14ac:dyDescent="0.3">
      <c r="A960" t="s">
        <v>20</v>
      </c>
      <c r="B960">
        <v>31</v>
      </c>
      <c r="C960" s="8">
        <f t="shared" si="199"/>
        <v>31</v>
      </c>
      <c r="D960" s="5">
        <v>93.2</v>
      </c>
      <c r="E960" s="8">
        <f t="shared" si="200"/>
        <v>93.2</v>
      </c>
      <c r="F960">
        <v>1.63</v>
      </c>
      <c r="G960" s="3">
        <f t="shared" si="201"/>
        <v>1.63</v>
      </c>
      <c r="H960">
        <v>35.1</v>
      </c>
      <c r="I960" s="5">
        <f t="shared" si="197"/>
        <v>35.1</v>
      </c>
      <c r="J960" s="16" t="str">
        <f t="shared" si="202"/>
        <v>Obese</v>
      </c>
      <c r="K960">
        <v>95.5</v>
      </c>
      <c r="L960">
        <v>0.58599999999999997</v>
      </c>
      <c r="M960" s="11">
        <f t="shared" si="198"/>
        <v>0.58599999999999997</v>
      </c>
      <c r="N960" s="5">
        <f t="shared" si="203"/>
        <v>95.5</v>
      </c>
      <c r="P960">
        <v>57</v>
      </c>
      <c r="Q960" s="8">
        <f t="shared" si="204"/>
        <v>57</v>
      </c>
      <c r="R960" s="8">
        <v>180</v>
      </c>
      <c r="S960" s="8">
        <f t="shared" si="205"/>
        <v>180</v>
      </c>
      <c r="T960" s="8">
        <f>(Table1[[#This Row],[Total Cholesterol (mg/dL)]]+Table1[[#This Row],[HDL (mg/dL)2]]+Table1[[#This Row],[Estimated LDL (mg/dL)2]])*5</f>
        <v>1185</v>
      </c>
      <c r="U960" s="8">
        <f>IF(O960="",Table1[[#This Row],[Estimated LDL (mg/dL)2]]+Table1[[#This Row],[HDL (mg/dL)2]]+(Table1[[#This Row],[Triglycerides]]/5),O960)</f>
        <v>474</v>
      </c>
      <c r="V960">
        <v>123</v>
      </c>
      <c r="W960" s="8">
        <f t="shared" si="206"/>
        <v>123</v>
      </c>
      <c r="X960" t="str">
        <f t="shared" si="207"/>
        <v>Prediabetes</v>
      </c>
      <c r="Y960" t="s">
        <v>23</v>
      </c>
      <c r="Z960" t="s">
        <v>22</v>
      </c>
      <c r="AA960" t="s">
        <v>37</v>
      </c>
      <c r="AB960" s="3" t="s">
        <v>825</v>
      </c>
      <c r="AD960" s="3" t="str">
        <f t="shared" si="208"/>
        <v>139</v>
      </c>
      <c r="AE960">
        <v>91</v>
      </c>
      <c r="AF960" s="3" t="str">
        <f t="shared" si="209"/>
        <v>91</v>
      </c>
      <c r="AG960" t="s">
        <v>29</v>
      </c>
      <c r="AH960" s="3">
        <v>19.309999999999999</v>
      </c>
      <c r="AI960" s="3">
        <f t="shared" si="210"/>
        <v>19.309999999999999</v>
      </c>
      <c r="AJ960" t="s">
        <v>30</v>
      </c>
      <c r="AK960" t="str">
        <f>PROPER(Table1[[#This Row],[CVD Risk Level]])</f>
        <v>High</v>
      </c>
    </row>
    <row r="961" spans="1:37" x14ac:dyDescent="0.3">
      <c r="A961" t="s">
        <v>31</v>
      </c>
      <c r="B961">
        <v>57</v>
      </c>
      <c r="C961" s="8">
        <f t="shared" si="199"/>
        <v>57</v>
      </c>
      <c r="D961" s="5">
        <v>74.900000000000006</v>
      </c>
      <c r="E961" s="8">
        <f t="shared" si="200"/>
        <v>74.900000000000006</v>
      </c>
      <c r="F961">
        <v>1.81</v>
      </c>
      <c r="G961" s="3">
        <f t="shared" si="201"/>
        <v>1.81</v>
      </c>
      <c r="H961">
        <v>22.9</v>
      </c>
      <c r="I961" s="5">
        <f t="shared" si="197"/>
        <v>22.9</v>
      </c>
      <c r="J961" s="16" t="str">
        <f t="shared" si="202"/>
        <v>Normal</v>
      </c>
      <c r="K961">
        <v>72.099999999999994</v>
      </c>
      <c r="L961">
        <v>0.39800000000000002</v>
      </c>
      <c r="M961" s="11">
        <f t="shared" si="198"/>
        <v>0.39800000000000002</v>
      </c>
      <c r="N961" s="5">
        <f t="shared" si="203"/>
        <v>72.099999999999994</v>
      </c>
      <c r="O961">
        <v>258</v>
      </c>
      <c r="P961">
        <v>53</v>
      </c>
      <c r="Q961" s="8">
        <f t="shared" si="204"/>
        <v>53</v>
      </c>
      <c r="R961" s="8">
        <v>175</v>
      </c>
      <c r="S961" s="8">
        <f t="shared" si="205"/>
        <v>175</v>
      </c>
      <c r="T961" s="8">
        <f>(Table1[[#This Row],[Total Cholesterol (mg/dL)]]+Table1[[#This Row],[HDL (mg/dL)2]]+Table1[[#This Row],[Estimated LDL (mg/dL)2]])*5</f>
        <v>2430</v>
      </c>
      <c r="U961" s="8">
        <f>IF(O961="",Table1[[#This Row],[Estimated LDL (mg/dL)2]]+Table1[[#This Row],[HDL (mg/dL)2]]+(Table1[[#This Row],[Triglycerides]]/5),O961)</f>
        <v>258</v>
      </c>
      <c r="V961">
        <v>109</v>
      </c>
      <c r="W961" s="8">
        <f t="shared" si="206"/>
        <v>109</v>
      </c>
      <c r="X961" t="str">
        <f t="shared" si="207"/>
        <v>Prediabetes</v>
      </c>
      <c r="Y961" t="s">
        <v>23</v>
      </c>
      <c r="Z961" t="s">
        <v>22</v>
      </c>
      <c r="AA961" t="s">
        <v>28</v>
      </c>
      <c r="AB961" s="3" t="s">
        <v>826</v>
      </c>
      <c r="AC961">
        <v>121</v>
      </c>
      <c r="AD961" s="3" t="str">
        <f t="shared" si="208"/>
        <v>121</v>
      </c>
      <c r="AE961">
        <v>93</v>
      </c>
      <c r="AF961" s="3" t="str">
        <f t="shared" si="209"/>
        <v>93</v>
      </c>
      <c r="AG961" t="s">
        <v>38</v>
      </c>
      <c r="AH961" s="3">
        <v>15.79</v>
      </c>
      <c r="AI961" s="3">
        <f t="shared" si="210"/>
        <v>15.79</v>
      </c>
      <c r="AJ961" t="s">
        <v>30</v>
      </c>
      <c r="AK961" t="str">
        <f>PROPER(Table1[[#This Row],[CVD Risk Level]])</f>
        <v>High</v>
      </c>
    </row>
    <row r="962" spans="1:37" x14ac:dyDescent="0.3">
      <c r="A962" t="s">
        <v>20</v>
      </c>
      <c r="B962">
        <v>33</v>
      </c>
      <c r="C962" s="8">
        <f t="shared" si="199"/>
        <v>33</v>
      </c>
      <c r="D962" s="5">
        <v>57.9</v>
      </c>
      <c r="E962" s="8">
        <f t="shared" si="200"/>
        <v>57.9</v>
      </c>
      <c r="F962">
        <v>1.73</v>
      </c>
      <c r="G962" s="3">
        <f t="shared" si="201"/>
        <v>1.73</v>
      </c>
      <c r="H962">
        <v>19.3</v>
      </c>
      <c r="I962" s="5">
        <f t="shared" ref="I962:I1025" si="211" xml:space="preserve"> IF(H962="",E962 / (G962^2),H962)</f>
        <v>19.3</v>
      </c>
      <c r="J962" s="16" t="str">
        <f t="shared" si="202"/>
        <v>Normal</v>
      </c>
      <c r="K962">
        <v>84.7</v>
      </c>
      <c r="M962" s="11">
        <f t="shared" ref="M962:M1025" si="212">IF(L962="",K962/(G962*100),L962)</f>
        <v>0.48959537572254336</v>
      </c>
      <c r="N962" s="5">
        <f t="shared" si="203"/>
        <v>84.7</v>
      </c>
      <c r="O962">
        <v>111</v>
      </c>
      <c r="P962">
        <v>57</v>
      </c>
      <c r="Q962" s="8">
        <f t="shared" si="204"/>
        <v>57</v>
      </c>
      <c r="R962" s="8">
        <v>24</v>
      </c>
      <c r="S962" s="8">
        <f t="shared" si="205"/>
        <v>24</v>
      </c>
      <c r="T962" s="8">
        <f>(Table1[[#This Row],[Total Cholesterol (mg/dL)]]+Table1[[#This Row],[HDL (mg/dL)2]]+Table1[[#This Row],[Estimated LDL (mg/dL)2]])*5</f>
        <v>960</v>
      </c>
      <c r="U962" s="8">
        <f>IF(O962="",Table1[[#This Row],[Estimated LDL (mg/dL)2]]+Table1[[#This Row],[HDL (mg/dL)2]]+(Table1[[#This Row],[Triglycerides]]/5),O962)</f>
        <v>111</v>
      </c>
      <c r="V962">
        <v>124</v>
      </c>
      <c r="W962" s="8">
        <f t="shared" si="206"/>
        <v>124</v>
      </c>
      <c r="X962" t="str">
        <f t="shared" si="207"/>
        <v>Prediabetes</v>
      </c>
      <c r="Y962" t="s">
        <v>23</v>
      </c>
      <c r="Z962" t="s">
        <v>22</v>
      </c>
      <c r="AA962" t="s">
        <v>24</v>
      </c>
      <c r="AB962" s="3" t="s">
        <v>262</v>
      </c>
      <c r="AC962">
        <v>126</v>
      </c>
      <c r="AD962" s="3" t="str">
        <f t="shared" si="208"/>
        <v>126</v>
      </c>
      <c r="AE962">
        <v>86</v>
      </c>
      <c r="AF962" s="3" t="str">
        <f t="shared" si="209"/>
        <v>86</v>
      </c>
      <c r="AG962" t="s">
        <v>29</v>
      </c>
      <c r="AH962" s="3">
        <v>12.38</v>
      </c>
      <c r="AI962" s="3">
        <f t="shared" si="210"/>
        <v>12.38</v>
      </c>
      <c r="AJ962" t="s">
        <v>26</v>
      </c>
      <c r="AK962" t="str">
        <f>PROPER(Table1[[#This Row],[CVD Risk Level]])</f>
        <v>Intermediary</v>
      </c>
    </row>
    <row r="963" spans="1:37" x14ac:dyDescent="0.3">
      <c r="A963" t="s">
        <v>20</v>
      </c>
      <c r="B963">
        <v>47</v>
      </c>
      <c r="C963" s="8">
        <f t="shared" ref="C963:C1026" si="213">IF(B963="",AVERAGE($B$2:$B$1530),B963)</f>
        <v>47</v>
      </c>
      <c r="D963" s="5">
        <v>82.7</v>
      </c>
      <c r="E963" s="8">
        <f t="shared" ref="E963:E1026" si="214">IF(D963="", H963*(F963^2),D963)</f>
        <v>82.7</v>
      </c>
      <c r="F963">
        <v>1.63</v>
      </c>
      <c r="G963" s="3">
        <f t="shared" ref="G963:G1026" si="215">IF(F963="", SQRT(E963 / H963),F963)</f>
        <v>1.63</v>
      </c>
      <c r="H963">
        <v>31.1</v>
      </c>
      <c r="I963" s="5">
        <f t="shared" si="211"/>
        <v>31.1</v>
      </c>
      <c r="J963" s="16" t="str">
        <f t="shared" ref="J963:J1026" si="216">IF(I963&lt;18.5,"Underweight",IF(I963&lt;25,"Normal",IF(I963&lt;30,"Overweight","Obese")))</f>
        <v>Obese</v>
      </c>
      <c r="K963">
        <v>82.1</v>
      </c>
      <c r="L963">
        <v>0.504</v>
      </c>
      <c r="M963" s="11">
        <f t="shared" si="212"/>
        <v>0.504</v>
      </c>
      <c r="N963" s="5">
        <f t="shared" ref="N963:N1026" si="217">IF(K963="",M963*(G963*100),K963)</f>
        <v>82.1</v>
      </c>
      <c r="O963">
        <v>158</v>
      </c>
      <c r="P963">
        <v>78</v>
      </c>
      <c r="Q963" s="8">
        <f t="shared" ref="Q963:Q1026" si="218">IF(P963="",AVERAGE($P$2:$P$1530),P963)</f>
        <v>78</v>
      </c>
      <c r="R963" s="8">
        <v>50</v>
      </c>
      <c r="S963" s="8">
        <f t="shared" ref="S963:S1026" si="219">IF(R963&lt;=0,MEDIAN($R$2:$R$1530),R963)</f>
        <v>50</v>
      </c>
      <c r="T963" s="8">
        <f>(Table1[[#This Row],[Total Cholesterol (mg/dL)]]+Table1[[#This Row],[HDL (mg/dL)2]]+Table1[[#This Row],[Estimated LDL (mg/dL)2]])*5</f>
        <v>1430</v>
      </c>
      <c r="U963" s="8">
        <f>IF(O963="",Table1[[#This Row],[Estimated LDL (mg/dL)2]]+Table1[[#This Row],[HDL (mg/dL)2]]+(Table1[[#This Row],[Triglycerides]]/5),O963)</f>
        <v>158</v>
      </c>
      <c r="V963">
        <v>91</v>
      </c>
      <c r="W963" s="8">
        <f t="shared" ref="W963:W1026" si="220">IF(V963="",AVERAGE($V$2:$V$1530),V963)</f>
        <v>91</v>
      </c>
      <c r="X963" t="str">
        <f t="shared" ref="X963:X1026" si="221">IF(W963&lt;100,"Normal",IF(W963&lt;126,"Prediabetes","Diabetes"))</f>
        <v>Normal</v>
      </c>
      <c r="Y963" t="s">
        <v>22</v>
      </c>
      <c r="Z963" t="s">
        <v>23</v>
      </c>
      <c r="AA963" t="s">
        <v>28</v>
      </c>
      <c r="AB963" s="3" t="s">
        <v>621</v>
      </c>
      <c r="AD963" s="3" t="str">
        <f t="shared" ref="AD963:AD1026" si="222">LEFT(AB963,FIND("/",AB963)-1)</f>
        <v>132</v>
      </c>
      <c r="AE963">
        <v>65</v>
      </c>
      <c r="AF963" s="3" t="str">
        <f t="shared" ref="AF963:AF1026" si="223">RIGHT(AB963,LEN(AB963)-FIND("/",AB963))</f>
        <v>65</v>
      </c>
      <c r="AG963" t="s">
        <v>29</v>
      </c>
      <c r="AH963" s="3">
        <v>17.98</v>
      </c>
      <c r="AI963" s="3">
        <f t="shared" ref="AI963:AI1026" si="224">IF(AH963="",AVERAGE($AH$2:$AH$1530),AH963)</f>
        <v>17.98</v>
      </c>
      <c r="AJ963" t="s">
        <v>30</v>
      </c>
      <c r="AK963" t="str">
        <f>PROPER(Table1[[#This Row],[CVD Risk Level]])</f>
        <v>High</v>
      </c>
    </row>
    <row r="964" spans="1:37" x14ac:dyDescent="0.3">
      <c r="A964" t="s">
        <v>31</v>
      </c>
      <c r="B964">
        <v>60</v>
      </c>
      <c r="C964" s="8">
        <f t="shared" si="213"/>
        <v>60</v>
      </c>
      <c r="D964" s="5">
        <v>91.2</v>
      </c>
      <c r="E964" s="8">
        <f t="shared" si="214"/>
        <v>91.2</v>
      </c>
      <c r="F964">
        <v>1.68</v>
      </c>
      <c r="G964" s="3">
        <f t="shared" si="215"/>
        <v>1.68</v>
      </c>
      <c r="H964">
        <v>32.299999999999997</v>
      </c>
      <c r="I964" s="5">
        <f t="shared" si="211"/>
        <v>32.299999999999997</v>
      </c>
      <c r="J964" s="16" t="str">
        <f t="shared" si="216"/>
        <v>Obese</v>
      </c>
      <c r="K964">
        <v>73.2</v>
      </c>
      <c r="L964">
        <v>0.436</v>
      </c>
      <c r="M964" s="11">
        <f t="shared" si="212"/>
        <v>0.436</v>
      </c>
      <c r="N964" s="5">
        <f t="shared" si="217"/>
        <v>73.2</v>
      </c>
      <c r="O964">
        <v>249</v>
      </c>
      <c r="P964">
        <v>60</v>
      </c>
      <c r="Q964" s="8">
        <f t="shared" si="218"/>
        <v>60</v>
      </c>
      <c r="R964" s="8">
        <v>159</v>
      </c>
      <c r="S964" s="8">
        <f t="shared" si="219"/>
        <v>159</v>
      </c>
      <c r="T964" s="8">
        <f>(Table1[[#This Row],[Total Cholesterol (mg/dL)]]+Table1[[#This Row],[HDL (mg/dL)2]]+Table1[[#This Row],[Estimated LDL (mg/dL)2]])*5</f>
        <v>2340</v>
      </c>
      <c r="U964" s="8">
        <f>IF(O964="",Table1[[#This Row],[Estimated LDL (mg/dL)2]]+Table1[[#This Row],[HDL (mg/dL)2]]+(Table1[[#This Row],[Triglycerides]]/5),O964)</f>
        <v>249</v>
      </c>
      <c r="V964">
        <v>147</v>
      </c>
      <c r="W964" s="8">
        <f t="shared" si="220"/>
        <v>147</v>
      </c>
      <c r="X964" t="str">
        <f t="shared" si="221"/>
        <v>Diabetes</v>
      </c>
      <c r="Y964" t="s">
        <v>22</v>
      </c>
      <c r="Z964" t="s">
        <v>22</v>
      </c>
      <c r="AA964" t="s">
        <v>37</v>
      </c>
      <c r="AB964" s="3" t="s">
        <v>827</v>
      </c>
      <c r="AC964">
        <v>124</v>
      </c>
      <c r="AD964" s="3" t="str">
        <f t="shared" si="222"/>
        <v>124</v>
      </c>
      <c r="AF964" s="3" t="str">
        <f t="shared" si="223"/>
        <v>80</v>
      </c>
      <c r="AG964" t="s">
        <v>29</v>
      </c>
      <c r="AH964" s="3">
        <v>17.64</v>
      </c>
      <c r="AI964" s="3">
        <f t="shared" si="224"/>
        <v>17.64</v>
      </c>
      <c r="AJ964" t="s">
        <v>26</v>
      </c>
      <c r="AK964" t="str">
        <f>PROPER(Table1[[#This Row],[CVD Risk Level]])</f>
        <v>Intermediary</v>
      </c>
    </row>
    <row r="965" spans="1:37" x14ac:dyDescent="0.3">
      <c r="A965" t="s">
        <v>20</v>
      </c>
      <c r="B965">
        <v>53</v>
      </c>
      <c r="C965" s="8">
        <f t="shared" si="213"/>
        <v>53</v>
      </c>
      <c r="D965" s="5">
        <v>115.2</v>
      </c>
      <c r="E965" s="8">
        <f t="shared" si="214"/>
        <v>115.2</v>
      </c>
      <c r="F965">
        <v>1.74</v>
      </c>
      <c r="G965" s="3">
        <f t="shared" si="215"/>
        <v>1.74</v>
      </c>
      <c r="H965">
        <v>38</v>
      </c>
      <c r="I965" s="5">
        <f t="shared" si="211"/>
        <v>38</v>
      </c>
      <c r="J965" s="16" t="str">
        <f t="shared" si="216"/>
        <v>Obese</v>
      </c>
      <c r="K965">
        <v>88.1</v>
      </c>
      <c r="L965">
        <v>0.50600000000000001</v>
      </c>
      <c r="M965" s="11">
        <f t="shared" si="212"/>
        <v>0.50600000000000001</v>
      </c>
      <c r="N965" s="5">
        <f t="shared" si="217"/>
        <v>88.1</v>
      </c>
      <c r="O965">
        <v>100</v>
      </c>
      <c r="P965">
        <v>32</v>
      </c>
      <c r="Q965" s="8">
        <f t="shared" si="218"/>
        <v>32</v>
      </c>
      <c r="R965" s="8">
        <v>38</v>
      </c>
      <c r="S965" s="8">
        <f t="shared" si="219"/>
        <v>38</v>
      </c>
      <c r="T965" s="8">
        <f>(Table1[[#This Row],[Total Cholesterol (mg/dL)]]+Table1[[#This Row],[HDL (mg/dL)2]]+Table1[[#This Row],[Estimated LDL (mg/dL)2]])*5</f>
        <v>850</v>
      </c>
      <c r="U965" s="8">
        <f>IF(O965="",Table1[[#This Row],[Estimated LDL (mg/dL)2]]+Table1[[#This Row],[HDL (mg/dL)2]]+(Table1[[#This Row],[Triglycerides]]/5),O965)</f>
        <v>100</v>
      </c>
      <c r="V965">
        <v>72</v>
      </c>
      <c r="W965" s="8">
        <f t="shared" si="220"/>
        <v>72</v>
      </c>
      <c r="X965" t="str">
        <f t="shared" si="221"/>
        <v>Normal</v>
      </c>
      <c r="Y965" t="s">
        <v>22</v>
      </c>
      <c r="Z965" t="s">
        <v>23</v>
      </c>
      <c r="AA965" t="s">
        <v>24</v>
      </c>
      <c r="AB965" s="3" t="s">
        <v>828</v>
      </c>
      <c r="AC965">
        <v>146</v>
      </c>
      <c r="AD965" s="3" t="str">
        <f t="shared" si="222"/>
        <v>146</v>
      </c>
      <c r="AE965">
        <v>80</v>
      </c>
      <c r="AF965" s="3" t="str">
        <f t="shared" si="223"/>
        <v>80</v>
      </c>
      <c r="AG965" t="s">
        <v>29</v>
      </c>
      <c r="AH965" s="3">
        <v>18.899999999999999</v>
      </c>
      <c r="AI965" s="3">
        <f t="shared" si="224"/>
        <v>18.899999999999999</v>
      </c>
      <c r="AJ965" t="s">
        <v>30</v>
      </c>
      <c r="AK965" t="str">
        <f>PROPER(Table1[[#This Row],[CVD Risk Level]])</f>
        <v>High</v>
      </c>
    </row>
    <row r="966" spans="1:37" x14ac:dyDescent="0.3">
      <c r="A966" t="s">
        <v>20</v>
      </c>
      <c r="B966">
        <v>44</v>
      </c>
      <c r="C966" s="8">
        <f t="shared" si="213"/>
        <v>44</v>
      </c>
      <c r="D966" s="5">
        <v>96.3</v>
      </c>
      <c r="E966" s="8">
        <f t="shared" si="214"/>
        <v>96.3</v>
      </c>
      <c r="F966">
        <v>1.74</v>
      </c>
      <c r="G966" s="3">
        <f t="shared" si="215"/>
        <v>1.74</v>
      </c>
      <c r="H966">
        <v>31.8</v>
      </c>
      <c r="I966" s="5">
        <f t="shared" si="211"/>
        <v>31.8</v>
      </c>
      <c r="J966" s="16" t="str">
        <f t="shared" si="216"/>
        <v>Obese</v>
      </c>
      <c r="K966">
        <v>91.3</v>
      </c>
      <c r="L966">
        <v>0.52500000000000002</v>
      </c>
      <c r="M966" s="11">
        <f t="shared" si="212"/>
        <v>0.52500000000000002</v>
      </c>
      <c r="N966" s="5">
        <f t="shared" si="217"/>
        <v>91.3</v>
      </c>
      <c r="O966">
        <v>109</v>
      </c>
      <c r="P966">
        <v>53</v>
      </c>
      <c r="Q966" s="8">
        <f t="shared" si="218"/>
        <v>53</v>
      </c>
      <c r="R966" s="8">
        <v>26</v>
      </c>
      <c r="S966" s="8">
        <f t="shared" si="219"/>
        <v>26</v>
      </c>
      <c r="T966" s="8">
        <f>(Table1[[#This Row],[Total Cholesterol (mg/dL)]]+Table1[[#This Row],[HDL (mg/dL)2]]+Table1[[#This Row],[Estimated LDL (mg/dL)2]])*5</f>
        <v>940</v>
      </c>
      <c r="U966" s="8">
        <f>IF(O966="",Table1[[#This Row],[Estimated LDL (mg/dL)2]]+Table1[[#This Row],[HDL (mg/dL)2]]+(Table1[[#This Row],[Triglycerides]]/5),O966)</f>
        <v>109</v>
      </c>
      <c r="V966">
        <v>129</v>
      </c>
      <c r="W966" s="8">
        <f t="shared" si="220"/>
        <v>129</v>
      </c>
      <c r="X966" t="str">
        <f t="shared" si="221"/>
        <v>Diabetes</v>
      </c>
      <c r="Y966" t="s">
        <v>22</v>
      </c>
      <c r="Z966" t="s">
        <v>23</v>
      </c>
      <c r="AA966" t="s">
        <v>28</v>
      </c>
      <c r="AB966" s="3" t="s">
        <v>829</v>
      </c>
      <c r="AC966">
        <v>93</v>
      </c>
      <c r="AD966" s="3" t="str">
        <f t="shared" si="222"/>
        <v>93</v>
      </c>
      <c r="AE966">
        <v>95</v>
      </c>
      <c r="AF966" s="3" t="str">
        <f t="shared" si="223"/>
        <v>95</v>
      </c>
      <c r="AG966" t="s">
        <v>38</v>
      </c>
      <c r="AH966" s="3">
        <v>15.19</v>
      </c>
      <c r="AI966" s="3">
        <f t="shared" si="224"/>
        <v>15.19</v>
      </c>
      <c r="AJ966" t="s">
        <v>26</v>
      </c>
      <c r="AK966" t="str">
        <f>PROPER(Table1[[#This Row],[CVD Risk Level]])</f>
        <v>Intermediary</v>
      </c>
    </row>
    <row r="967" spans="1:37" x14ac:dyDescent="0.3">
      <c r="A967" t="s">
        <v>31</v>
      </c>
      <c r="B967">
        <v>37</v>
      </c>
      <c r="C967" s="8">
        <f t="shared" si="213"/>
        <v>37</v>
      </c>
      <c r="D967" s="5">
        <v>102.6</v>
      </c>
      <c r="E967" s="8">
        <f t="shared" si="214"/>
        <v>102.6</v>
      </c>
      <c r="F967">
        <v>1.74</v>
      </c>
      <c r="G967" s="3">
        <f t="shared" si="215"/>
        <v>1.74</v>
      </c>
      <c r="H967">
        <v>33.9</v>
      </c>
      <c r="I967" s="5">
        <f t="shared" si="211"/>
        <v>33.9</v>
      </c>
      <c r="J967" s="16" t="str">
        <f t="shared" si="216"/>
        <v>Obese</v>
      </c>
      <c r="K967">
        <v>103.5</v>
      </c>
      <c r="M967" s="11">
        <f t="shared" si="212"/>
        <v>0.59482758620689657</v>
      </c>
      <c r="N967" s="5">
        <f t="shared" si="217"/>
        <v>103.5</v>
      </c>
      <c r="O967">
        <v>127</v>
      </c>
      <c r="P967">
        <v>60</v>
      </c>
      <c r="Q967" s="8">
        <f t="shared" si="218"/>
        <v>60</v>
      </c>
      <c r="R967" s="8">
        <v>37</v>
      </c>
      <c r="S967" s="8">
        <f t="shared" si="219"/>
        <v>37</v>
      </c>
      <c r="T967" s="8">
        <f>(Table1[[#This Row],[Total Cholesterol (mg/dL)]]+Table1[[#This Row],[HDL (mg/dL)2]]+Table1[[#This Row],[Estimated LDL (mg/dL)2]])*5</f>
        <v>1120</v>
      </c>
      <c r="U967" s="8">
        <f>IF(O967="",Table1[[#This Row],[Estimated LDL (mg/dL)2]]+Table1[[#This Row],[HDL (mg/dL)2]]+(Table1[[#This Row],[Triglycerides]]/5),O967)</f>
        <v>127</v>
      </c>
      <c r="V967">
        <v>138</v>
      </c>
      <c r="W967" s="8">
        <f t="shared" si="220"/>
        <v>138</v>
      </c>
      <c r="X967" t="str">
        <f t="shared" si="221"/>
        <v>Diabetes</v>
      </c>
      <c r="Y967" t="s">
        <v>22</v>
      </c>
      <c r="Z967" t="s">
        <v>23</v>
      </c>
      <c r="AA967" t="s">
        <v>28</v>
      </c>
      <c r="AB967" s="3" t="s">
        <v>830</v>
      </c>
      <c r="AC967">
        <v>134</v>
      </c>
      <c r="AD967" s="3" t="str">
        <f t="shared" si="222"/>
        <v>134</v>
      </c>
      <c r="AE967">
        <v>68</v>
      </c>
      <c r="AF967" s="3" t="str">
        <f t="shared" si="223"/>
        <v>68</v>
      </c>
      <c r="AG967" t="s">
        <v>29</v>
      </c>
      <c r="AH967" s="3">
        <v>18.02</v>
      </c>
      <c r="AI967" s="3">
        <f t="shared" si="224"/>
        <v>18.02</v>
      </c>
      <c r="AJ967" t="s">
        <v>26</v>
      </c>
      <c r="AK967" t="str">
        <f>PROPER(Table1[[#This Row],[CVD Risk Level]])</f>
        <v>Intermediary</v>
      </c>
    </row>
    <row r="968" spans="1:37" x14ac:dyDescent="0.3">
      <c r="A968" t="s">
        <v>20</v>
      </c>
      <c r="B968">
        <v>60</v>
      </c>
      <c r="C968" s="8">
        <f t="shared" si="213"/>
        <v>60</v>
      </c>
      <c r="E968" s="8">
        <f t="shared" si="214"/>
        <v>83.627009999999999</v>
      </c>
      <c r="F968">
        <v>1.79</v>
      </c>
      <c r="G968" s="3">
        <f t="shared" si="215"/>
        <v>1.79</v>
      </c>
      <c r="H968">
        <v>26.1</v>
      </c>
      <c r="I968" s="5">
        <f t="shared" si="211"/>
        <v>26.1</v>
      </c>
      <c r="J968" s="16" t="str">
        <f t="shared" si="216"/>
        <v>Overweight</v>
      </c>
      <c r="K968">
        <v>99.2</v>
      </c>
      <c r="L968">
        <v>0.55400000000000005</v>
      </c>
      <c r="M968" s="11">
        <f t="shared" si="212"/>
        <v>0.55400000000000005</v>
      </c>
      <c r="N968" s="5">
        <f t="shared" si="217"/>
        <v>99.2</v>
      </c>
      <c r="O968">
        <v>245</v>
      </c>
      <c r="P968">
        <v>37</v>
      </c>
      <c r="Q968" s="8">
        <f t="shared" si="218"/>
        <v>37</v>
      </c>
      <c r="S968" s="8">
        <f t="shared" si="219"/>
        <v>109</v>
      </c>
      <c r="T968" s="8">
        <f>(Table1[[#This Row],[Total Cholesterol (mg/dL)]]+Table1[[#This Row],[HDL (mg/dL)2]]+Table1[[#This Row],[Estimated LDL (mg/dL)2]])*5</f>
        <v>1955</v>
      </c>
      <c r="U968" s="8">
        <f>IF(O968="",Table1[[#This Row],[Estimated LDL (mg/dL)2]]+Table1[[#This Row],[HDL (mg/dL)2]]+(Table1[[#This Row],[Triglycerides]]/5),O968)</f>
        <v>245</v>
      </c>
      <c r="V968">
        <v>72</v>
      </c>
      <c r="W968" s="8">
        <f t="shared" si="220"/>
        <v>72</v>
      </c>
      <c r="X968" t="str">
        <f t="shared" si="221"/>
        <v>Normal</v>
      </c>
      <c r="Y968" t="s">
        <v>23</v>
      </c>
      <c r="Z968" t="s">
        <v>22</v>
      </c>
      <c r="AA968" t="s">
        <v>37</v>
      </c>
      <c r="AB968" s="3" t="s">
        <v>271</v>
      </c>
      <c r="AC968">
        <v>121</v>
      </c>
      <c r="AD968" s="3" t="str">
        <f t="shared" si="222"/>
        <v>121</v>
      </c>
      <c r="AE968">
        <v>100</v>
      </c>
      <c r="AF968" s="3" t="str">
        <f t="shared" si="223"/>
        <v>100</v>
      </c>
      <c r="AG968" t="s">
        <v>38</v>
      </c>
      <c r="AH968" s="3">
        <v>16.170000000000002</v>
      </c>
      <c r="AI968" s="3">
        <f t="shared" si="224"/>
        <v>16.170000000000002</v>
      </c>
      <c r="AJ968" t="s">
        <v>30</v>
      </c>
      <c r="AK968" t="str">
        <f>PROPER(Table1[[#This Row],[CVD Risk Level]])</f>
        <v>High</v>
      </c>
    </row>
    <row r="969" spans="1:37" x14ac:dyDescent="0.3">
      <c r="A969" t="s">
        <v>31</v>
      </c>
      <c r="B969">
        <v>31</v>
      </c>
      <c r="C969" s="8">
        <f t="shared" si="213"/>
        <v>31</v>
      </c>
      <c r="D969" s="5">
        <v>51</v>
      </c>
      <c r="E969" s="8">
        <f t="shared" si="214"/>
        <v>51</v>
      </c>
      <c r="F969">
        <v>1.63</v>
      </c>
      <c r="G969" s="3">
        <f t="shared" si="215"/>
        <v>1.63</v>
      </c>
      <c r="H969">
        <v>19.2</v>
      </c>
      <c r="I969" s="5">
        <f t="shared" si="211"/>
        <v>19.2</v>
      </c>
      <c r="J969" s="16" t="str">
        <f t="shared" si="216"/>
        <v>Normal</v>
      </c>
      <c r="K969">
        <v>95.4</v>
      </c>
      <c r="L969">
        <v>0.58499999999999996</v>
      </c>
      <c r="M969" s="11">
        <f t="shared" si="212"/>
        <v>0.58499999999999996</v>
      </c>
      <c r="N969" s="5">
        <f t="shared" si="217"/>
        <v>95.4</v>
      </c>
      <c r="O969">
        <v>121</v>
      </c>
      <c r="P969">
        <v>46</v>
      </c>
      <c r="Q969" s="8">
        <f t="shared" si="218"/>
        <v>46</v>
      </c>
      <c r="R969" s="8">
        <v>45</v>
      </c>
      <c r="S969" s="8">
        <f t="shared" si="219"/>
        <v>45</v>
      </c>
      <c r="T969" s="8">
        <f>(Table1[[#This Row],[Total Cholesterol (mg/dL)]]+Table1[[#This Row],[HDL (mg/dL)2]]+Table1[[#This Row],[Estimated LDL (mg/dL)2]])*5</f>
        <v>1060</v>
      </c>
      <c r="U969" s="8">
        <f>IF(O969="",Table1[[#This Row],[Estimated LDL (mg/dL)2]]+Table1[[#This Row],[HDL (mg/dL)2]]+(Table1[[#This Row],[Triglycerides]]/5),O969)</f>
        <v>121</v>
      </c>
      <c r="V969">
        <v>143</v>
      </c>
      <c r="W969" s="8">
        <f t="shared" si="220"/>
        <v>143</v>
      </c>
      <c r="X969" t="str">
        <f t="shared" si="221"/>
        <v>Diabetes</v>
      </c>
      <c r="Y969" t="s">
        <v>23</v>
      </c>
      <c r="Z969" t="s">
        <v>22</v>
      </c>
      <c r="AA969" t="s">
        <v>28</v>
      </c>
      <c r="AB969" s="3" t="s">
        <v>564</v>
      </c>
      <c r="AC969">
        <v>92</v>
      </c>
      <c r="AD969" s="3" t="str">
        <f t="shared" si="222"/>
        <v>92</v>
      </c>
      <c r="AE969">
        <v>60</v>
      </c>
      <c r="AF969" s="3" t="str">
        <f t="shared" si="223"/>
        <v>60</v>
      </c>
      <c r="AG969" t="s">
        <v>33</v>
      </c>
      <c r="AH969" s="3">
        <v>10.86</v>
      </c>
      <c r="AI969" s="3">
        <f t="shared" si="224"/>
        <v>10.86</v>
      </c>
      <c r="AJ969" t="s">
        <v>52</v>
      </c>
      <c r="AK969" t="str">
        <f>PROPER(Table1[[#This Row],[CVD Risk Level]])</f>
        <v>Low</v>
      </c>
    </row>
    <row r="970" spans="1:37" x14ac:dyDescent="0.3">
      <c r="A970" t="s">
        <v>20</v>
      </c>
      <c r="B970">
        <v>33</v>
      </c>
      <c r="C970" s="8">
        <f t="shared" si="213"/>
        <v>33</v>
      </c>
      <c r="D970" s="5">
        <v>116.9</v>
      </c>
      <c r="E970" s="8">
        <f t="shared" si="214"/>
        <v>116.9</v>
      </c>
      <c r="F970">
        <v>1.89</v>
      </c>
      <c r="G970" s="3">
        <f t="shared" si="215"/>
        <v>1.89</v>
      </c>
      <c r="H970">
        <v>32.700000000000003</v>
      </c>
      <c r="I970" s="5">
        <f t="shared" si="211"/>
        <v>32.700000000000003</v>
      </c>
      <c r="J970" s="16" t="str">
        <f t="shared" si="216"/>
        <v>Obese</v>
      </c>
      <c r="K970">
        <v>93.6</v>
      </c>
      <c r="L970">
        <v>0.495</v>
      </c>
      <c r="M970" s="11">
        <f t="shared" si="212"/>
        <v>0.495</v>
      </c>
      <c r="N970" s="5">
        <f t="shared" si="217"/>
        <v>93.6</v>
      </c>
      <c r="O970">
        <v>110</v>
      </c>
      <c r="P970">
        <v>74</v>
      </c>
      <c r="Q970" s="8">
        <f t="shared" si="218"/>
        <v>74</v>
      </c>
      <c r="S970" s="8">
        <f t="shared" si="219"/>
        <v>109</v>
      </c>
      <c r="T970" s="8">
        <f>(Table1[[#This Row],[Total Cholesterol (mg/dL)]]+Table1[[#This Row],[HDL (mg/dL)2]]+Table1[[#This Row],[Estimated LDL (mg/dL)2]])*5</f>
        <v>1465</v>
      </c>
      <c r="U970" s="8">
        <f>IF(O970="",Table1[[#This Row],[Estimated LDL (mg/dL)2]]+Table1[[#This Row],[HDL (mg/dL)2]]+(Table1[[#This Row],[Triglycerides]]/5),O970)</f>
        <v>110</v>
      </c>
      <c r="V970">
        <v>108</v>
      </c>
      <c r="W970" s="8">
        <f t="shared" si="220"/>
        <v>108</v>
      </c>
      <c r="X970" t="str">
        <f t="shared" si="221"/>
        <v>Prediabetes</v>
      </c>
      <c r="Y970" t="s">
        <v>23</v>
      </c>
      <c r="Z970" t="s">
        <v>23</v>
      </c>
      <c r="AA970" t="s">
        <v>28</v>
      </c>
      <c r="AB970" s="3" t="s">
        <v>789</v>
      </c>
      <c r="AC970">
        <v>131</v>
      </c>
      <c r="AD970" s="3" t="str">
        <f t="shared" si="222"/>
        <v>131</v>
      </c>
      <c r="AE970">
        <v>62</v>
      </c>
      <c r="AF970" s="3" t="str">
        <f t="shared" si="223"/>
        <v>62</v>
      </c>
      <c r="AG970" t="s">
        <v>29</v>
      </c>
      <c r="AH970" s="3">
        <v>17.29</v>
      </c>
      <c r="AI970" s="3">
        <f t="shared" si="224"/>
        <v>17.29</v>
      </c>
      <c r="AJ970" t="s">
        <v>26</v>
      </c>
      <c r="AK970" t="str">
        <f>PROPER(Table1[[#This Row],[CVD Risk Level]])</f>
        <v>Intermediary</v>
      </c>
    </row>
    <row r="971" spans="1:37" x14ac:dyDescent="0.3">
      <c r="A971" t="s">
        <v>31</v>
      </c>
      <c r="B971">
        <v>38</v>
      </c>
      <c r="C971" s="8">
        <f t="shared" si="213"/>
        <v>38</v>
      </c>
      <c r="E971" s="8">
        <f t="shared" si="214"/>
        <v>54.653129999999997</v>
      </c>
      <c r="F971">
        <v>1.89</v>
      </c>
      <c r="G971" s="3">
        <f t="shared" si="215"/>
        <v>1.89</v>
      </c>
      <c r="H971">
        <v>15.3</v>
      </c>
      <c r="I971" s="5">
        <f t="shared" si="211"/>
        <v>15.3</v>
      </c>
      <c r="J971" s="16" t="str">
        <f t="shared" si="216"/>
        <v>Underweight</v>
      </c>
      <c r="K971">
        <v>99.9</v>
      </c>
      <c r="L971">
        <v>0.52900000000000003</v>
      </c>
      <c r="M971" s="11">
        <f t="shared" si="212"/>
        <v>0.52900000000000003</v>
      </c>
      <c r="N971" s="5">
        <f t="shared" si="217"/>
        <v>99.9</v>
      </c>
      <c r="O971">
        <v>206</v>
      </c>
      <c r="P971">
        <v>79</v>
      </c>
      <c r="Q971" s="8">
        <f t="shared" si="218"/>
        <v>79</v>
      </c>
      <c r="R971" s="8">
        <v>97</v>
      </c>
      <c r="S971" s="8">
        <f t="shared" si="219"/>
        <v>97</v>
      </c>
      <c r="T971" s="8">
        <f>(Table1[[#This Row],[Total Cholesterol (mg/dL)]]+Table1[[#This Row],[HDL (mg/dL)2]]+Table1[[#This Row],[Estimated LDL (mg/dL)2]])*5</f>
        <v>1910</v>
      </c>
      <c r="U971" s="8">
        <f>IF(O971="",Table1[[#This Row],[Estimated LDL (mg/dL)2]]+Table1[[#This Row],[HDL (mg/dL)2]]+(Table1[[#This Row],[Triglycerides]]/5),O971)</f>
        <v>206</v>
      </c>
      <c r="V971">
        <v>105</v>
      </c>
      <c r="W971" s="8">
        <f t="shared" si="220"/>
        <v>105</v>
      </c>
      <c r="X971" t="str">
        <f t="shared" si="221"/>
        <v>Prediabetes</v>
      </c>
      <c r="Y971" t="s">
        <v>22</v>
      </c>
      <c r="Z971" t="s">
        <v>22</v>
      </c>
      <c r="AA971" t="s">
        <v>28</v>
      </c>
      <c r="AB971" s="3" t="s">
        <v>711</v>
      </c>
      <c r="AC971">
        <v>134</v>
      </c>
      <c r="AD971" s="3" t="str">
        <f t="shared" si="222"/>
        <v>134</v>
      </c>
      <c r="AE971">
        <v>88</v>
      </c>
      <c r="AF971" s="3" t="str">
        <f t="shared" si="223"/>
        <v>88</v>
      </c>
      <c r="AG971" t="s">
        <v>29</v>
      </c>
      <c r="AH971" s="3">
        <v>13.88</v>
      </c>
      <c r="AI971" s="3">
        <f t="shared" si="224"/>
        <v>13.88</v>
      </c>
      <c r="AJ971" t="s">
        <v>26</v>
      </c>
      <c r="AK971" t="str">
        <f>PROPER(Table1[[#This Row],[CVD Risk Level]])</f>
        <v>Intermediary</v>
      </c>
    </row>
    <row r="972" spans="1:37" x14ac:dyDescent="0.3">
      <c r="A972" t="s">
        <v>20</v>
      </c>
      <c r="B972">
        <v>39</v>
      </c>
      <c r="C972" s="8">
        <f t="shared" si="213"/>
        <v>39</v>
      </c>
      <c r="D972" s="5">
        <v>106.7</v>
      </c>
      <c r="E972" s="8">
        <f t="shared" si="214"/>
        <v>106.7</v>
      </c>
      <c r="F972">
        <v>1.65</v>
      </c>
      <c r="G972" s="3">
        <f t="shared" si="215"/>
        <v>1.65</v>
      </c>
      <c r="H972">
        <v>39.200000000000003</v>
      </c>
      <c r="I972" s="5">
        <f t="shared" si="211"/>
        <v>39.200000000000003</v>
      </c>
      <c r="J972" s="16" t="str">
        <f t="shared" si="216"/>
        <v>Obese</v>
      </c>
      <c r="K972">
        <v>106.5</v>
      </c>
      <c r="L972">
        <v>0.64500000000000002</v>
      </c>
      <c r="M972" s="11">
        <f t="shared" si="212"/>
        <v>0.64500000000000002</v>
      </c>
      <c r="N972" s="5">
        <f t="shared" si="217"/>
        <v>106.5</v>
      </c>
      <c r="O972">
        <v>201</v>
      </c>
      <c r="P972">
        <v>76</v>
      </c>
      <c r="Q972" s="8">
        <f t="shared" si="218"/>
        <v>76</v>
      </c>
      <c r="R972" s="8">
        <v>95</v>
      </c>
      <c r="S972" s="8">
        <f t="shared" si="219"/>
        <v>95</v>
      </c>
      <c r="T972" s="8">
        <f>(Table1[[#This Row],[Total Cholesterol (mg/dL)]]+Table1[[#This Row],[HDL (mg/dL)2]]+Table1[[#This Row],[Estimated LDL (mg/dL)2]])*5</f>
        <v>1860</v>
      </c>
      <c r="U972" s="8">
        <f>IF(O972="",Table1[[#This Row],[Estimated LDL (mg/dL)2]]+Table1[[#This Row],[HDL (mg/dL)2]]+(Table1[[#This Row],[Triglycerides]]/5),O972)</f>
        <v>201</v>
      </c>
      <c r="V972">
        <v>127</v>
      </c>
      <c r="W972" s="8">
        <f t="shared" si="220"/>
        <v>127</v>
      </c>
      <c r="X972" t="str">
        <f t="shared" si="221"/>
        <v>Diabetes</v>
      </c>
      <c r="Y972" t="s">
        <v>22</v>
      </c>
      <c r="Z972" t="s">
        <v>22</v>
      </c>
      <c r="AA972" t="s">
        <v>28</v>
      </c>
      <c r="AB972" s="3" t="s">
        <v>831</v>
      </c>
      <c r="AC972">
        <v>106</v>
      </c>
      <c r="AD972" s="3" t="str">
        <f t="shared" si="222"/>
        <v>106</v>
      </c>
      <c r="AE972">
        <v>69</v>
      </c>
      <c r="AF972" s="3" t="str">
        <f t="shared" si="223"/>
        <v>69</v>
      </c>
      <c r="AG972" t="s">
        <v>33</v>
      </c>
      <c r="AH972" s="3">
        <v>17.16</v>
      </c>
      <c r="AI972" s="3">
        <f t="shared" si="224"/>
        <v>17.16</v>
      </c>
      <c r="AJ972" t="s">
        <v>26</v>
      </c>
      <c r="AK972" t="str">
        <f>PROPER(Table1[[#This Row],[CVD Risk Level]])</f>
        <v>Intermediary</v>
      </c>
    </row>
    <row r="973" spans="1:37" x14ac:dyDescent="0.3">
      <c r="A973" t="s">
        <v>20</v>
      </c>
      <c r="B973">
        <v>49</v>
      </c>
      <c r="C973" s="8">
        <f t="shared" si="213"/>
        <v>49</v>
      </c>
      <c r="D973" s="5">
        <v>62.7</v>
      </c>
      <c r="E973" s="8">
        <f t="shared" si="214"/>
        <v>62.7</v>
      </c>
      <c r="F973">
        <v>1.63</v>
      </c>
      <c r="G973" s="3">
        <f t="shared" si="215"/>
        <v>1.63</v>
      </c>
      <c r="H973">
        <v>23.6</v>
      </c>
      <c r="I973" s="5">
        <f t="shared" si="211"/>
        <v>23.6</v>
      </c>
      <c r="J973" s="16" t="str">
        <f t="shared" si="216"/>
        <v>Normal</v>
      </c>
      <c r="K973">
        <v>93.9</v>
      </c>
      <c r="L973">
        <v>0.57599999999999996</v>
      </c>
      <c r="M973" s="11">
        <f t="shared" si="212"/>
        <v>0.57599999999999996</v>
      </c>
      <c r="N973" s="5">
        <f t="shared" si="217"/>
        <v>93.9</v>
      </c>
      <c r="O973">
        <v>252</v>
      </c>
      <c r="P973">
        <v>42</v>
      </c>
      <c r="Q973" s="8">
        <f t="shared" si="218"/>
        <v>42</v>
      </c>
      <c r="R973" s="8">
        <v>180</v>
      </c>
      <c r="S973" s="8">
        <f t="shared" si="219"/>
        <v>180</v>
      </c>
      <c r="T973" s="8">
        <f>(Table1[[#This Row],[Total Cholesterol (mg/dL)]]+Table1[[#This Row],[HDL (mg/dL)2]]+Table1[[#This Row],[Estimated LDL (mg/dL)2]])*5</f>
        <v>2370</v>
      </c>
      <c r="U973" s="8">
        <f>IF(O973="",Table1[[#This Row],[Estimated LDL (mg/dL)2]]+Table1[[#This Row],[HDL (mg/dL)2]]+(Table1[[#This Row],[Triglycerides]]/5),O973)</f>
        <v>252</v>
      </c>
      <c r="V973">
        <v>114</v>
      </c>
      <c r="W973" s="8">
        <f t="shared" si="220"/>
        <v>114</v>
      </c>
      <c r="X973" t="str">
        <f t="shared" si="221"/>
        <v>Prediabetes</v>
      </c>
      <c r="Y973" t="s">
        <v>23</v>
      </c>
      <c r="Z973" t="s">
        <v>23</v>
      </c>
      <c r="AA973" t="s">
        <v>24</v>
      </c>
      <c r="AB973" s="3" t="s">
        <v>685</v>
      </c>
      <c r="AC973">
        <v>110</v>
      </c>
      <c r="AD973" s="3" t="str">
        <f t="shared" si="222"/>
        <v>110</v>
      </c>
      <c r="AE973">
        <v>86</v>
      </c>
      <c r="AF973" s="3" t="str">
        <f t="shared" si="223"/>
        <v>86</v>
      </c>
      <c r="AG973" t="s">
        <v>29</v>
      </c>
      <c r="AH973" s="3">
        <v>17.260000000000002</v>
      </c>
      <c r="AI973" s="3">
        <f t="shared" si="224"/>
        <v>17.260000000000002</v>
      </c>
      <c r="AJ973" t="s">
        <v>30</v>
      </c>
      <c r="AK973" t="str">
        <f>PROPER(Table1[[#This Row],[CVD Risk Level]])</f>
        <v>High</v>
      </c>
    </row>
    <row r="974" spans="1:37" x14ac:dyDescent="0.3">
      <c r="A974" t="s">
        <v>20</v>
      </c>
      <c r="B974">
        <v>40</v>
      </c>
      <c r="C974" s="8">
        <f t="shared" si="213"/>
        <v>40</v>
      </c>
      <c r="D974" s="5">
        <v>98.1</v>
      </c>
      <c r="E974" s="8">
        <f t="shared" si="214"/>
        <v>98.1</v>
      </c>
      <c r="F974">
        <v>1.84</v>
      </c>
      <c r="G974" s="3">
        <f t="shared" si="215"/>
        <v>1.84</v>
      </c>
      <c r="I974" s="5">
        <f t="shared" si="211"/>
        <v>28.975661625708881</v>
      </c>
      <c r="J974" s="16" t="str">
        <f t="shared" si="216"/>
        <v>Overweight</v>
      </c>
      <c r="K974">
        <v>73.3</v>
      </c>
      <c r="L974">
        <v>0.39800000000000002</v>
      </c>
      <c r="M974" s="11">
        <f t="shared" si="212"/>
        <v>0.39800000000000002</v>
      </c>
      <c r="N974" s="5">
        <f t="shared" si="217"/>
        <v>73.3</v>
      </c>
      <c r="O974">
        <v>235</v>
      </c>
      <c r="P974">
        <v>75</v>
      </c>
      <c r="Q974" s="8">
        <f t="shared" si="218"/>
        <v>75</v>
      </c>
      <c r="R974" s="8">
        <v>130</v>
      </c>
      <c r="S974" s="8">
        <f t="shared" si="219"/>
        <v>130</v>
      </c>
      <c r="T974" s="8">
        <f>(Table1[[#This Row],[Total Cholesterol (mg/dL)]]+Table1[[#This Row],[HDL (mg/dL)2]]+Table1[[#This Row],[Estimated LDL (mg/dL)2]])*5</f>
        <v>2200</v>
      </c>
      <c r="U974" s="8">
        <f>IF(O974="",Table1[[#This Row],[Estimated LDL (mg/dL)2]]+Table1[[#This Row],[HDL (mg/dL)2]]+(Table1[[#This Row],[Triglycerides]]/5),O974)</f>
        <v>235</v>
      </c>
      <c r="V974">
        <v>100</v>
      </c>
      <c r="W974" s="8">
        <f t="shared" si="220"/>
        <v>100</v>
      </c>
      <c r="X974" t="str">
        <f t="shared" si="221"/>
        <v>Prediabetes</v>
      </c>
      <c r="Y974" t="s">
        <v>22</v>
      </c>
      <c r="Z974" t="s">
        <v>23</v>
      </c>
      <c r="AA974" t="s">
        <v>24</v>
      </c>
      <c r="AB974" s="3" t="s">
        <v>832</v>
      </c>
      <c r="AC974">
        <v>143</v>
      </c>
      <c r="AD974" s="3" t="str">
        <f t="shared" si="222"/>
        <v>143</v>
      </c>
      <c r="AE974">
        <v>95</v>
      </c>
      <c r="AF974" s="3" t="str">
        <f t="shared" si="223"/>
        <v>95</v>
      </c>
      <c r="AG974" t="s">
        <v>38</v>
      </c>
      <c r="AH974" s="3">
        <v>19.649999999999999</v>
      </c>
      <c r="AI974" s="3">
        <f t="shared" si="224"/>
        <v>19.649999999999999</v>
      </c>
      <c r="AJ974" t="s">
        <v>30</v>
      </c>
      <c r="AK974" t="str">
        <f>PROPER(Table1[[#This Row],[CVD Risk Level]])</f>
        <v>High</v>
      </c>
    </row>
    <row r="975" spans="1:37" x14ac:dyDescent="0.3">
      <c r="A975" t="s">
        <v>20</v>
      </c>
      <c r="B975">
        <v>36</v>
      </c>
      <c r="C975" s="8">
        <f t="shared" si="213"/>
        <v>36</v>
      </c>
      <c r="E975" s="8">
        <f t="shared" si="214"/>
        <v>61.022719999999993</v>
      </c>
      <c r="F975">
        <v>1.76</v>
      </c>
      <c r="G975" s="3">
        <f t="shared" si="215"/>
        <v>1.76</v>
      </c>
      <c r="H975">
        <v>19.7</v>
      </c>
      <c r="I975" s="5">
        <f t="shared" si="211"/>
        <v>19.7</v>
      </c>
      <c r="J975" s="16" t="str">
        <f t="shared" si="216"/>
        <v>Normal</v>
      </c>
      <c r="K975">
        <v>88</v>
      </c>
      <c r="L975">
        <v>0.5</v>
      </c>
      <c r="M975" s="11">
        <f t="shared" si="212"/>
        <v>0.5</v>
      </c>
      <c r="N975" s="5">
        <f t="shared" si="217"/>
        <v>88</v>
      </c>
      <c r="P975">
        <v>44</v>
      </c>
      <c r="Q975" s="8">
        <f t="shared" si="218"/>
        <v>44</v>
      </c>
      <c r="R975" s="8">
        <v>177</v>
      </c>
      <c r="S975" s="8">
        <f t="shared" si="219"/>
        <v>177</v>
      </c>
      <c r="T975" s="8">
        <f>(Table1[[#This Row],[Total Cholesterol (mg/dL)]]+Table1[[#This Row],[HDL (mg/dL)2]]+Table1[[#This Row],[Estimated LDL (mg/dL)2]])*5</f>
        <v>1105</v>
      </c>
      <c r="U975" s="8">
        <f>IF(O975="",Table1[[#This Row],[Estimated LDL (mg/dL)2]]+Table1[[#This Row],[HDL (mg/dL)2]]+(Table1[[#This Row],[Triglycerides]]/5),O975)</f>
        <v>442</v>
      </c>
      <c r="W975" s="8">
        <f t="shared" si="220"/>
        <v>117.48563611491107</v>
      </c>
      <c r="X975" t="str">
        <f t="shared" si="221"/>
        <v>Prediabetes</v>
      </c>
      <c r="Y975" t="s">
        <v>23</v>
      </c>
      <c r="Z975" t="s">
        <v>23</v>
      </c>
      <c r="AA975" t="s">
        <v>37</v>
      </c>
      <c r="AB975" s="3" t="s">
        <v>415</v>
      </c>
      <c r="AC975">
        <v>98</v>
      </c>
      <c r="AD975" s="3" t="str">
        <f t="shared" si="222"/>
        <v>98</v>
      </c>
      <c r="AE975">
        <v>88</v>
      </c>
      <c r="AF975" s="3" t="str">
        <f t="shared" si="223"/>
        <v>88</v>
      </c>
      <c r="AG975" t="s">
        <v>29</v>
      </c>
      <c r="AH975" s="3">
        <v>15.86</v>
      </c>
      <c r="AI975" s="3">
        <f t="shared" si="224"/>
        <v>15.86</v>
      </c>
      <c r="AJ975" t="s">
        <v>30</v>
      </c>
      <c r="AK975" t="str">
        <f>PROPER(Table1[[#This Row],[CVD Risk Level]])</f>
        <v>High</v>
      </c>
    </row>
    <row r="976" spans="1:37" x14ac:dyDescent="0.3">
      <c r="A976" t="s">
        <v>31</v>
      </c>
      <c r="B976">
        <v>32</v>
      </c>
      <c r="C976" s="8">
        <f t="shared" si="213"/>
        <v>32</v>
      </c>
      <c r="D976" s="5">
        <v>94.9</v>
      </c>
      <c r="E976" s="8">
        <f t="shared" si="214"/>
        <v>94.9</v>
      </c>
      <c r="F976">
        <v>1.84</v>
      </c>
      <c r="G976" s="3">
        <f t="shared" si="215"/>
        <v>1.84</v>
      </c>
      <c r="H976">
        <v>28</v>
      </c>
      <c r="I976" s="5">
        <f t="shared" si="211"/>
        <v>28</v>
      </c>
      <c r="J976" s="16" t="str">
        <f t="shared" si="216"/>
        <v>Overweight</v>
      </c>
      <c r="K976">
        <v>79.3</v>
      </c>
      <c r="L976">
        <v>0.43099999999999999</v>
      </c>
      <c r="M976" s="11">
        <f t="shared" si="212"/>
        <v>0.43099999999999999</v>
      </c>
      <c r="N976" s="5">
        <f t="shared" si="217"/>
        <v>79.3</v>
      </c>
      <c r="O976">
        <v>206</v>
      </c>
      <c r="P976">
        <v>46</v>
      </c>
      <c r="Q976" s="8">
        <f t="shared" si="218"/>
        <v>46</v>
      </c>
      <c r="R976" s="8">
        <v>130</v>
      </c>
      <c r="S976" s="8">
        <f t="shared" si="219"/>
        <v>130</v>
      </c>
      <c r="T976" s="8">
        <f>(Table1[[#This Row],[Total Cholesterol (mg/dL)]]+Table1[[#This Row],[HDL (mg/dL)2]]+Table1[[#This Row],[Estimated LDL (mg/dL)2]])*5</f>
        <v>1910</v>
      </c>
      <c r="U976" s="8">
        <f>IF(O976="",Table1[[#This Row],[Estimated LDL (mg/dL)2]]+Table1[[#This Row],[HDL (mg/dL)2]]+(Table1[[#This Row],[Triglycerides]]/5),O976)</f>
        <v>206</v>
      </c>
      <c r="V976">
        <v>122</v>
      </c>
      <c r="W976" s="8">
        <f t="shared" si="220"/>
        <v>122</v>
      </c>
      <c r="X976" t="str">
        <f t="shared" si="221"/>
        <v>Prediabetes</v>
      </c>
      <c r="Y976" t="s">
        <v>23</v>
      </c>
      <c r="Z976" t="s">
        <v>22</v>
      </c>
      <c r="AA976" t="s">
        <v>24</v>
      </c>
      <c r="AB976" s="3" t="s">
        <v>833</v>
      </c>
      <c r="AC976">
        <v>143</v>
      </c>
      <c r="AD976" s="3" t="str">
        <f t="shared" si="222"/>
        <v>143</v>
      </c>
      <c r="AE976">
        <v>66</v>
      </c>
      <c r="AF976" s="3" t="str">
        <f t="shared" si="223"/>
        <v>66</v>
      </c>
      <c r="AG976" t="s">
        <v>38</v>
      </c>
      <c r="AH976" s="3">
        <v>16.87</v>
      </c>
      <c r="AI976" s="3">
        <f t="shared" si="224"/>
        <v>16.87</v>
      </c>
      <c r="AJ976" t="s">
        <v>30</v>
      </c>
      <c r="AK976" t="str">
        <f>PROPER(Table1[[#This Row],[CVD Risk Level]])</f>
        <v>High</v>
      </c>
    </row>
    <row r="977" spans="1:37" x14ac:dyDescent="0.3">
      <c r="A977" t="s">
        <v>31</v>
      </c>
      <c r="B977">
        <v>40</v>
      </c>
      <c r="C977" s="8">
        <f t="shared" si="213"/>
        <v>40</v>
      </c>
      <c r="D977" s="5">
        <v>76.900000000000006</v>
      </c>
      <c r="E977" s="8">
        <f t="shared" si="214"/>
        <v>76.900000000000006</v>
      </c>
      <c r="F977">
        <v>1.64</v>
      </c>
      <c r="G977" s="3">
        <f t="shared" si="215"/>
        <v>1.64</v>
      </c>
      <c r="H977">
        <v>28.6</v>
      </c>
      <c r="I977" s="5">
        <f t="shared" si="211"/>
        <v>28.6</v>
      </c>
      <c r="J977" s="16" t="str">
        <f t="shared" si="216"/>
        <v>Overweight</v>
      </c>
      <c r="K977">
        <v>101.5</v>
      </c>
      <c r="L977">
        <v>0.61899999999999999</v>
      </c>
      <c r="M977" s="11">
        <f t="shared" si="212"/>
        <v>0.61899999999999999</v>
      </c>
      <c r="N977" s="5">
        <f t="shared" si="217"/>
        <v>101.5</v>
      </c>
      <c r="O977">
        <v>181</v>
      </c>
      <c r="P977">
        <v>63</v>
      </c>
      <c r="Q977" s="8">
        <f t="shared" si="218"/>
        <v>63</v>
      </c>
      <c r="R977" s="8">
        <v>88</v>
      </c>
      <c r="S977" s="8">
        <f t="shared" si="219"/>
        <v>88</v>
      </c>
      <c r="T977" s="8">
        <f>(Table1[[#This Row],[Total Cholesterol (mg/dL)]]+Table1[[#This Row],[HDL (mg/dL)2]]+Table1[[#This Row],[Estimated LDL (mg/dL)2]])*5</f>
        <v>1660</v>
      </c>
      <c r="U977" s="8">
        <f>IF(O977="",Table1[[#This Row],[Estimated LDL (mg/dL)2]]+Table1[[#This Row],[HDL (mg/dL)2]]+(Table1[[#This Row],[Triglycerides]]/5),O977)</f>
        <v>181</v>
      </c>
      <c r="V977">
        <v>144</v>
      </c>
      <c r="W977" s="8">
        <f t="shared" si="220"/>
        <v>144</v>
      </c>
      <c r="X977" t="str">
        <f t="shared" si="221"/>
        <v>Diabetes</v>
      </c>
      <c r="Y977" t="s">
        <v>23</v>
      </c>
      <c r="Z977" t="s">
        <v>22</v>
      </c>
      <c r="AA977" t="s">
        <v>24</v>
      </c>
      <c r="AB977" s="3" t="s">
        <v>834</v>
      </c>
      <c r="AC977">
        <v>101</v>
      </c>
      <c r="AD977" s="3" t="str">
        <f t="shared" si="222"/>
        <v>101</v>
      </c>
      <c r="AE977">
        <v>79</v>
      </c>
      <c r="AF977" s="3" t="str">
        <f t="shared" si="223"/>
        <v>79</v>
      </c>
      <c r="AG977" t="s">
        <v>33</v>
      </c>
      <c r="AH977" s="3">
        <v>14.39</v>
      </c>
      <c r="AI977" s="3">
        <f t="shared" si="224"/>
        <v>14.39</v>
      </c>
      <c r="AJ977" t="s">
        <v>26</v>
      </c>
      <c r="AK977" t="str">
        <f>PROPER(Table1[[#This Row],[CVD Risk Level]])</f>
        <v>Intermediary</v>
      </c>
    </row>
    <row r="978" spans="1:37" x14ac:dyDescent="0.3">
      <c r="A978" t="s">
        <v>31</v>
      </c>
      <c r="B978">
        <v>55</v>
      </c>
      <c r="C978" s="8">
        <f t="shared" si="213"/>
        <v>55</v>
      </c>
      <c r="D978" s="5">
        <v>83</v>
      </c>
      <c r="E978" s="8">
        <f t="shared" si="214"/>
        <v>83</v>
      </c>
      <c r="F978">
        <v>1.61</v>
      </c>
      <c r="G978" s="3">
        <f t="shared" si="215"/>
        <v>1.61</v>
      </c>
      <c r="H978">
        <v>32</v>
      </c>
      <c r="I978" s="5">
        <f t="shared" si="211"/>
        <v>32</v>
      </c>
      <c r="J978" s="16" t="str">
        <f t="shared" si="216"/>
        <v>Obese</v>
      </c>
      <c r="K978">
        <v>77.7</v>
      </c>
      <c r="L978">
        <v>0.48299999999999998</v>
      </c>
      <c r="M978" s="11">
        <f t="shared" si="212"/>
        <v>0.48299999999999998</v>
      </c>
      <c r="N978" s="5">
        <f t="shared" si="217"/>
        <v>77.7</v>
      </c>
      <c r="O978">
        <v>210</v>
      </c>
      <c r="P978">
        <v>32</v>
      </c>
      <c r="Q978" s="8">
        <f t="shared" si="218"/>
        <v>32</v>
      </c>
      <c r="S978" s="8">
        <f t="shared" si="219"/>
        <v>109</v>
      </c>
      <c r="T978" s="8">
        <f>(Table1[[#This Row],[Total Cholesterol (mg/dL)]]+Table1[[#This Row],[HDL (mg/dL)2]]+Table1[[#This Row],[Estimated LDL (mg/dL)2]])*5</f>
        <v>1755</v>
      </c>
      <c r="U978" s="8">
        <f>IF(O978="",Table1[[#This Row],[Estimated LDL (mg/dL)2]]+Table1[[#This Row],[HDL (mg/dL)2]]+(Table1[[#This Row],[Triglycerides]]/5),O978)</f>
        <v>210</v>
      </c>
      <c r="V978">
        <v>100</v>
      </c>
      <c r="W978" s="8">
        <f t="shared" si="220"/>
        <v>100</v>
      </c>
      <c r="X978" t="str">
        <f t="shared" si="221"/>
        <v>Prediabetes</v>
      </c>
      <c r="Y978" t="s">
        <v>23</v>
      </c>
      <c r="Z978" t="s">
        <v>22</v>
      </c>
      <c r="AA978" t="s">
        <v>28</v>
      </c>
      <c r="AB978" s="3" t="s">
        <v>835</v>
      </c>
      <c r="AC978">
        <v>116</v>
      </c>
      <c r="AD978" s="3" t="str">
        <f t="shared" si="222"/>
        <v>116</v>
      </c>
      <c r="AE978">
        <v>66</v>
      </c>
      <c r="AF978" s="3" t="str">
        <f t="shared" si="223"/>
        <v>66</v>
      </c>
      <c r="AG978" t="s">
        <v>33</v>
      </c>
      <c r="AH978" s="3">
        <v>16.399999999999999</v>
      </c>
      <c r="AI978" s="3">
        <f t="shared" si="224"/>
        <v>16.399999999999999</v>
      </c>
      <c r="AJ978" t="s">
        <v>30</v>
      </c>
      <c r="AK978" t="str">
        <f>PROPER(Table1[[#This Row],[CVD Risk Level]])</f>
        <v>High</v>
      </c>
    </row>
    <row r="979" spans="1:37" x14ac:dyDescent="0.3">
      <c r="A979" t="s">
        <v>20</v>
      </c>
      <c r="B979">
        <v>36</v>
      </c>
      <c r="C979" s="8">
        <f t="shared" si="213"/>
        <v>36</v>
      </c>
      <c r="D979" s="5">
        <v>83.1</v>
      </c>
      <c r="E979" s="8">
        <f t="shared" si="214"/>
        <v>83.1</v>
      </c>
      <c r="F979">
        <v>1.81</v>
      </c>
      <c r="G979" s="3">
        <f t="shared" si="215"/>
        <v>1.81</v>
      </c>
      <c r="H979">
        <v>25.4</v>
      </c>
      <c r="I979" s="5">
        <f t="shared" si="211"/>
        <v>25.4</v>
      </c>
      <c r="J979" s="16" t="str">
        <f t="shared" si="216"/>
        <v>Overweight</v>
      </c>
      <c r="K979">
        <v>99.9</v>
      </c>
      <c r="L979">
        <v>0.55200000000000005</v>
      </c>
      <c r="M979" s="11">
        <f t="shared" si="212"/>
        <v>0.55200000000000005</v>
      </c>
      <c r="N979" s="5">
        <f t="shared" si="217"/>
        <v>99.9</v>
      </c>
      <c r="O979">
        <v>167</v>
      </c>
      <c r="P979">
        <v>42</v>
      </c>
      <c r="Q979" s="8">
        <f t="shared" si="218"/>
        <v>42</v>
      </c>
      <c r="R979" s="8">
        <v>95</v>
      </c>
      <c r="S979" s="8">
        <f t="shared" si="219"/>
        <v>95</v>
      </c>
      <c r="T979" s="8">
        <f>(Table1[[#This Row],[Total Cholesterol (mg/dL)]]+Table1[[#This Row],[HDL (mg/dL)2]]+Table1[[#This Row],[Estimated LDL (mg/dL)2]])*5</f>
        <v>1520</v>
      </c>
      <c r="U979" s="8">
        <f>IF(O979="",Table1[[#This Row],[Estimated LDL (mg/dL)2]]+Table1[[#This Row],[HDL (mg/dL)2]]+(Table1[[#This Row],[Triglycerides]]/5),O979)</f>
        <v>167</v>
      </c>
      <c r="V979">
        <v>87</v>
      </c>
      <c r="W979" s="8">
        <f t="shared" si="220"/>
        <v>87</v>
      </c>
      <c r="X979" t="str">
        <f t="shared" si="221"/>
        <v>Normal</v>
      </c>
      <c r="Y979" t="s">
        <v>23</v>
      </c>
      <c r="Z979" t="s">
        <v>23</v>
      </c>
      <c r="AA979" t="s">
        <v>37</v>
      </c>
      <c r="AB979" s="3" t="s">
        <v>560</v>
      </c>
      <c r="AC979">
        <v>106</v>
      </c>
      <c r="AD979" s="3" t="str">
        <f t="shared" si="222"/>
        <v>106</v>
      </c>
      <c r="AE979">
        <v>92</v>
      </c>
      <c r="AF979" s="3" t="str">
        <f t="shared" si="223"/>
        <v>92</v>
      </c>
      <c r="AG979" t="s">
        <v>38</v>
      </c>
      <c r="AH979" s="3">
        <v>15.72</v>
      </c>
      <c r="AI979" s="3">
        <f t="shared" si="224"/>
        <v>15.72</v>
      </c>
      <c r="AJ979" t="s">
        <v>26</v>
      </c>
      <c r="AK979" t="str">
        <f>PROPER(Table1[[#This Row],[CVD Risk Level]])</f>
        <v>Intermediary</v>
      </c>
    </row>
    <row r="980" spans="1:37" x14ac:dyDescent="0.3">
      <c r="A980" t="s">
        <v>20</v>
      </c>
      <c r="B980">
        <v>41</v>
      </c>
      <c r="C980" s="8">
        <f t="shared" si="213"/>
        <v>41</v>
      </c>
      <c r="D980" s="5">
        <v>102.7</v>
      </c>
      <c r="E980" s="8">
        <f t="shared" si="214"/>
        <v>102.7</v>
      </c>
      <c r="F980">
        <v>1.61</v>
      </c>
      <c r="G980" s="3">
        <f t="shared" si="215"/>
        <v>1.61</v>
      </c>
      <c r="H980">
        <v>39.6</v>
      </c>
      <c r="I980" s="5">
        <f t="shared" si="211"/>
        <v>39.6</v>
      </c>
      <c r="J980" s="16" t="str">
        <f t="shared" si="216"/>
        <v>Obese</v>
      </c>
      <c r="K980">
        <v>107.3</v>
      </c>
      <c r="L980">
        <v>0.66600000000000004</v>
      </c>
      <c r="M980" s="11">
        <f t="shared" si="212"/>
        <v>0.66600000000000004</v>
      </c>
      <c r="N980" s="5">
        <f t="shared" si="217"/>
        <v>107.3</v>
      </c>
      <c r="O980">
        <v>188</v>
      </c>
      <c r="P980">
        <v>56</v>
      </c>
      <c r="Q980" s="8">
        <f t="shared" si="218"/>
        <v>56</v>
      </c>
      <c r="R980" s="8">
        <v>102</v>
      </c>
      <c r="S980" s="8">
        <f t="shared" si="219"/>
        <v>102</v>
      </c>
      <c r="T980" s="8">
        <f>(Table1[[#This Row],[Total Cholesterol (mg/dL)]]+Table1[[#This Row],[HDL (mg/dL)2]]+Table1[[#This Row],[Estimated LDL (mg/dL)2]])*5</f>
        <v>1730</v>
      </c>
      <c r="U980" s="8">
        <f>IF(O980="",Table1[[#This Row],[Estimated LDL (mg/dL)2]]+Table1[[#This Row],[HDL (mg/dL)2]]+(Table1[[#This Row],[Triglycerides]]/5),O980)</f>
        <v>188</v>
      </c>
      <c r="V980">
        <v>86</v>
      </c>
      <c r="W980" s="8">
        <f t="shared" si="220"/>
        <v>86</v>
      </c>
      <c r="X980" t="str">
        <f t="shared" si="221"/>
        <v>Normal</v>
      </c>
      <c r="Y980" t="s">
        <v>23</v>
      </c>
      <c r="Z980" t="s">
        <v>23</v>
      </c>
      <c r="AA980" t="s">
        <v>28</v>
      </c>
      <c r="AB980" s="3" t="s">
        <v>836</v>
      </c>
      <c r="AC980">
        <v>95</v>
      </c>
      <c r="AD980" s="3" t="str">
        <f t="shared" si="222"/>
        <v>95</v>
      </c>
      <c r="AE980">
        <v>88</v>
      </c>
      <c r="AF980" s="3" t="str">
        <f t="shared" si="223"/>
        <v>88</v>
      </c>
      <c r="AG980" t="s">
        <v>29</v>
      </c>
      <c r="AH980" s="3">
        <v>18.43</v>
      </c>
      <c r="AI980" s="3">
        <f t="shared" si="224"/>
        <v>18.43</v>
      </c>
      <c r="AJ980" t="s">
        <v>30</v>
      </c>
      <c r="AK980" t="str">
        <f>PROPER(Table1[[#This Row],[CVD Risk Level]])</f>
        <v>High</v>
      </c>
    </row>
    <row r="981" spans="1:37" x14ac:dyDescent="0.3">
      <c r="A981" t="s">
        <v>31</v>
      </c>
      <c r="C981" s="8">
        <f t="shared" si="213"/>
        <v>47.025499655410059</v>
      </c>
      <c r="D981" s="5">
        <v>81.2</v>
      </c>
      <c r="E981" s="8">
        <f t="shared" si="214"/>
        <v>81.2</v>
      </c>
      <c r="F981">
        <v>1.84</v>
      </c>
      <c r="G981" s="3">
        <f t="shared" si="215"/>
        <v>1.84</v>
      </c>
      <c r="H981">
        <v>24</v>
      </c>
      <c r="I981" s="5">
        <f t="shared" si="211"/>
        <v>24</v>
      </c>
      <c r="J981" s="16" t="str">
        <f t="shared" si="216"/>
        <v>Normal</v>
      </c>
      <c r="K981">
        <v>86.1</v>
      </c>
      <c r="L981">
        <v>0.46800000000000003</v>
      </c>
      <c r="M981" s="11">
        <f t="shared" si="212"/>
        <v>0.46800000000000003</v>
      </c>
      <c r="N981" s="5">
        <f t="shared" si="217"/>
        <v>86.1</v>
      </c>
      <c r="O981">
        <v>223</v>
      </c>
      <c r="P981">
        <v>38</v>
      </c>
      <c r="Q981" s="8">
        <f t="shared" si="218"/>
        <v>38</v>
      </c>
      <c r="R981" s="8">
        <v>155</v>
      </c>
      <c r="S981" s="8">
        <f t="shared" si="219"/>
        <v>155</v>
      </c>
      <c r="T981" s="8">
        <f>(Table1[[#This Row],[Total Cholesterol (mg/dL)]]+Table1[[#This Row],[HDL (mg/dL)2]]+Table1[[#This Row],[Estimated LDL (mg/dL)2]])*5</f>
        <v>2080</v>
      </c>
      <c r="U981" s="8">
        <f>IF(O981="",Table1[[#This Row],[Estimated LDL (mg/dL)2]]+Table1[[#This Row],[HDL (mg/dL)2]]+(Table1[[#This Row],[Triglycerides]]/5),O981)</f>
        <v>223</v>
      </c>
      <c r="V981">
        <v>81</v>
      </c>
      <c r="W981" s="8">
        <f t="shared" si="220"/>
        <v>81</v>
      </c>
      <c r="X981" t="str">
        <f t="shared" si="221"/>
        <v>Normal</v>
      </c>
      <c r="Y981" t="s">
        <v>22</v>
      </c>
      <c r="Z981" t="s">
        <v>23</v>
      </c>
      <c r="AA981" t="s">
        <v>24</v>
      </c>
      <c r="AB981" s="3" t="s">
        <v>837</v>
      </c>
      <c r="AC981">
        <v>131</v>
      </c>
      <c r="AD981" s="3" t="str">
        <f t="shared" si="222"/>
        <v>131</v>
      </c>
      <c r="AE981">
        <v>84</v>
      </c>
      <c r="AF981" s="3" t="str">
        <f t="shared" si="223"/>
        <v>84</v>
      </c>
      <c r="AG981" t="s">
        <v>29</v>
      </c>
      <c r="AH981" s="3">
        <v>17.809999999999999</v>
      </c>
      <c r="AI981" s="3">
        <f t="shared" si="224"/>
        <v>17.809999999999999</v>
      </c>
      <c r="AJ981" t="s">
        <v>30</v>
      </c>
      <c r="AK981" t="str">
        <f>PROPER(Table1[[#This Row],[CVD Risk Level]])</f>
        <v>High</v>
      </c>
    </row>
    <row r="982" spans="1:37" x14ac:dyDescent="0.3">
      <c r="A982" t="s">
        <v>20</v>
      </c>
      <c r="B982">
        <v>59</v>
      </c>
      <c r="C982" s="8">
        <f t="shared" si="213"/>
        <v>59</v>
      </c>
      <c r="D982" s="5">
        <v>54.1</v>
      </c>
      <c r="E982" s="8">
        <f t="shared" si="214"/>
        <v>54.1</v>
      </c>
      <c r="G982" s="3">
        <f t="shared" si="215"/>
        <v>1.8388175548433292</v>
      </c>
      <c r="H982">
        <v>16</v>
      </c>
      <c r="I982" s="5">
        <f t="shared" si="211"/>
        <v>16</v>
      </c>
      <c r="J982" s="16" t="str">
        <f t="shared" si="216"/>
        <v>Underweight</v>
      </c>
      <c r="K982">
        <v>102.1</v>
      </c>
      <c r="L982">
        <v>0.55500000000000005</v>
      </c>
      <c r="M982" s="11">
        <f t="shared" si="212"/>
        <v>0.55500000000000005</v>
      </c>
      <c r="N982" s="5">
        <f t="shared" si="217"/>
        <v>102.1</v>
      </c>
      <c r="O982">
        <v>150</v>
      </c>
      <c r="P982">
        <v>57</v>
      </c>
      <c r="Q982" s="8">
        <f t="shared" si="218"/>
        <v>57</v>
      </c>
      <c r="R982" s="8">
        <v>63</v>
      </c>
      <c r="S982" s="8">
        <f t="shared" si="219"/>
        <v>63</v>
      </c>
      <c r="T982" s="8">
        <f>(Table1[[#This Row],[Total Cholesterol (mg/dL)]]+Table1[[#This Row],[HDL (mg/dL)2]]+Table1[[#This Row],[Estimated LDL (mg/dL)2]])*5</f>
        <v>1350</v>
      </c>
      <c r="U982" s="8">
        <f>IF(O982="",Table1[[#This Row],[Estimated LDL (mg/dL)2]]+Table1[[#This Row],[HDL (mg/dL)2]]+(Table1[[#This Row],[Triglycerides]]/5),O982)</f>
        <v>150</v>
      </c>
      <c r="V982">
        <v>100</v>
      </c>
      <c r="W982" s="8">
        <f t="shared" si="220"/>
        <v>100</v>
      </c>
      <c r="X982" t="str">
        <f t="shared" si="221"/>
        <v>Prediabetes</v>
      </c>
      <c r="Y982" t="s">
        <v>23</v>
      </c>
      <c r="Z982" t="s">
        <v>22</v>
      </c>
      <c r="AA982" t="s">
        <v>37</v>
      </c>
      <c r="AB982" s="3" t="s">
        <v>838</v>
      </c>
      <c r="AC982">
        <v>101</v>
      </c>
      <c r="AD982" s="3" t="str">
        <f t="shared" si="222"/>
        <v>101</v>
      </c>
      <c r="AE982">
        <v>86</v>
      </c>
      <c r="AF982" s="3" t="str">
        <f t="shared" si="223"/>
        <v>86</v>
      </c>
      <c r="AG982" t="s">
        <v>29</v>
      </c>
      <c r="AH982" s="3">
        <v>11.25</v>
      </c>
      <c r="AI982" s="3">
        <f t="shared" si="224"/>
        <v>11.25</v>
      </c>
      <c r="AJ982" t="s">
        <v>26</v>
      </c>
      <c r="AK982" t="str">
        <f>PROPER(Table1[[#This Row],[CVD Risk Level]])</f>
        <v>Intermediary</v>
      </c>
    </row>
    <row r="983" spans="1:37" x14ac:dyDescent="0.3">
      <c r="A983" t="s">
        <v>20</v>
      </c>
      <c r="C983" s="8">
        <f t="shared" si="213"/>
        <v>47.025499655410059</v>
      </c>
      <c r="D983" s="5">
        <v>93.7</v>
      </c>
      <c r="E983" s="8">
        <f t="shared" si="214"/>
        <v>93.7</v>
      </c>
      <c r="F983">
        <v>1.75</v>
      </c>
      <c r="G983" s="3">
        <f t="shared" si="215"/>
        <v>1.75</v>
      </c>
      <c r="H983">
        <v>30.6</v>
      </c>
      <c r="I983" s="5">
        <f t="shared" si="211"/>
        <v>30.6</v>
      </c>
      <c r="J983" s="16" t="str">
        <f t="shared" si="216"/>
        <v>Obese</v>
      </c>
      <c r="K983">
        <v>78.8</v>
      </c>
      <c r="L983">
        <v>0.45</v>
      </c>
      <c r="M983" s="11">
        <f t="shared" si="212"/>
        <v>0.45</v>
      </c>
      <c r="N983" s="5">
        <f t="shared" si="217"/>
        <v>78.8</v>
      </c>
      <c r="O983">
        <v>119</v>
      </c>
      <c r="P983">
        <v>41</v>
      </c>
      <c r="Q983" s="8">
        <f t="shared" si="218"/>
        <v>41</v>
      </c>
      <c r="S983" s="8">
        <f t="shared" si="219"/>
        <v>109</v>
      </c>
      <c r="T983" s="8">
        <f>(Table1[[#This Row],[Total Cholesterol (mg/dL)]]+Table1[[#This Row],[HDL (mg/dL)2]]+Table1[[#This Row],[Estimated LDL (mg/dL)2]])*5</f>
        <v>1345</v>
      </c>
      <c r="U983" s="8">
        <f>IF(O983="",Table1[[#This Row],[Estimated LDL (mg/dL)2]]+Table1[[#This Row],[HDL (mg/dL)2]]+(Table1[[#This Row],[Triglycerides]]/5),O983)</f>
        <v>119</v>
      </c>
      <c r="V983">
        <v>96</v>
      </c>
      <c r="W983" s="8">
        <f t="shared" si="220"/>
        <v>96</v>
      </c>
      <c r="X983" t="str">
        <f t="shared" si="221"/>
        <v>Normal</v>
      </c>
      <c r="Y983" t="s">
        <v>23</v>
      </c>
      <c r="Z983" t="s">
        <v>22</v>
      </c>
      <c r="AA983" t="s">
        <v>28</v>
      </c>
      <c r="AB983" s="3" t="s">
        <v>839</v>
      </c>
      <c r="AC983">
        <v>134</v>
      </c>
      <c r="AD983" s="3" t="str">
        <f t="shared" si="222"/>
        <v>134</v>
      </c>
      <c r="AE983">
        <v>81</v>
      </c>
      <c r="AF983" s="3" t="str">
        <f t="shared" si="223"/>
        <v>81</v>
      </c>
      <c r="AG983" t="s">
        <v>29</v>
      </c>
      <c r="AH983" s="3">
        <v>15.2</v>
      </c>
      <c r="AI983" s="3">
        <f t="shared" si="224"/>
        <v>15.2</v>
      </c>
      <c r="AJ983" t="s">
        <v>26</v>
      </c>
      <c r="AK983" t="str">
        <f>PROPER(Table1[[#This Row],[CVD Risk Level]])</f>
        <v>Intermediary</v>
      </c>
    </row>
    <row r="984" spans="1:37" x14ac:dyDescent="0.3">
      <c r="A984" t="s">
        <v>31</v>
      </c>
      <c r="B984">
        <v>56</v>
      </c>
      <c r="C984" s="8">
        <f t="shared" si="213"/>
        <v>56</v>
      </c>
      <c r="D984" s="5">
        <v>84.1</v>
      </c>
      <c r="E984" s="8">
        <f t="shared" si="214"/>
        <v>84.1</v>
      </c>
      <c r="F984">
        <v>1.76</v>
      </c>
      <c r="G984" s="3">
        <f t="shared" si="215"/>
        <v>1.76</v>
      </c>
      <c r="H984">
        <v>27.2</v>
      </c>
      <c r="I984" s="5">
        <f t="shared" si="211"/>
        <v>27.2</v>
      </c>
      <c r="J984" s="16" t="str">
        <f t="shared" si="216"/>
        <v>Overweight</v>
      </c>
      <c r="K984">
        <v>83.4</v>
      </c>
      <c r="L984">
        <v>0.47399999999999998</v>
      </c>
      <c r="M984" s="11">
        <f t="shared" si="212"/>
        <v>0.47399999999999998</v>
      </c>
      <c r="N984" s="5">
        <f t="shared" si="217"/>
        <v>83.4</v>
      </c>
      <c r="O984">
        <v>111</v>
      </c>
      <c r="P984">
        <v>61</v>
      </c>
      <c r="Q984" s="8">
        <f t="shared" si="218"/>
        <v>61</v>
      </c>
      <c r="R984" s="8">
        <v>20</v>
      </c>
      <c r="S984" s="8">
        <f t="shared" si="219"/>
        <v>20</v>
      </c>
      <c r="T984" s="8">
        <f>(Table1[[#This Row],[Total Cholesterol (mg/dL)]]+Table1[[#This Row],[HDL (mg/dL)2]]+Table1[[#This Row],[Estimated LDL (mg/dL)2]])*5</f>
        <v>960</v>
      </c>
      <c r="U984" s="8">
        <f>IF(O984="",Table1[[#This Row],[Estimated LDL (mg/dL)2]]+Table1[[#This Row],[HDL (mg/dL)2]]+(Table1[[#This Row],[Triglycerides]]/5),O984)</f>
        <v>111</v>
      </c>
      <c r="V984">
        <v>113</v>
      </c>
      <c r="W984" s="8">
        <f t="shared" si="220"/>
        <v>113</v>
      </c>
      <c r="X984" t="str">
        <f t="shared" si="221"/>
        <v>Prediabetes</v>
      </c>
      <c r="Y984" t="s">
        <v>22</v>
      </c>
      <c r="Z984" t="s">
        <v>22</v>
      </c>
      <c r="AA984" t="s">
        <v>24</v>
      </c>
      <c r="AB984" s="3" t="s">
        <v>840</v>
      </c>
      <c r="AC984">
        <v>130</v>
      </c>
      <c r="AD984" s="3" t="str">
        <f t="shared" si="222"/>
        <v>130</v>
      </c>
      <c r="AE984">
        <v>65</v>
      </c>
      <c r="AF984" s="3" t="str">
        <f t="shared" si="223"/>
        <v>65</v>
      </c>
      <c r="AG984" t="s">
        <v>29</v>
      </c>
      <c r="AH984" s="3">
        <v>14.16</v>
      </c>
      <c r="AI984" s="3">
        <f t="shared" si="224"/>
        <v>14.16</v>
      </c>
      <c r="AJ984" t="s">
        <v>26</v>
      </c>
      <c r="AK984" t="str">
        <f>PROPER(Table1[[#This Row],[CVD Risk Level]])</f>
        <v>Intermediary</v>
      </c>
    </row>
    <row r="985" spans="1:37" x14ac:dyDescent="0.3">
      <c r="A985" t="s">
        <v>20</v>
      </c>
      <c r="B985">
        <v>47</v>
      </c>
      <c r="C985" s="8">
        <f t="shared" si="213"/>
        <v>47</v>
      </c>
      <c r="D985" s="5">
        <v>112.2</v>
      </c>
      <c r="E985" s="8">
        <f t="shared" si="214"/>
        <v>112.2</v>
      </c>
      <c r="F985">
        <v>1.69</v>
      </c>
      <c r="G985" s="3">
        <f t="shared" si="215"/>
        <v>1.69</v>
      </c>
      <c r="H985">
        <v>39.299999999999997</v>
      </c>
      <c r="I985" s="5">
        <f t="shared" si="211"/>
        <v>39.299999999999997</v>
      </c>
      <c r="J985" s="16" t="str">
        <f t="shared" si="216"/>
        <v>Obese</v>
      </c>
      <c r="K985">
        <v>75.3</v>
      </c>
      <c r="L985">
        <v>0.44600000000000001</v>
      </c>
      <c r="M985" s="11">
        <f t="shared" si="212"/>
        <v>0.44600000000000001</v>
      </c>
      <c r="N985" s="5">
        <f t="shared" si="217"/>
        <v>75.3</v>
      </c>
      <c r="O985">
        <v>285</v>
      </c>
      <c r="P985">
        <v>60</v>
      </c>
      <c r="Q985" s="8">
        <f t="shared" si="218"/>
        <v>60</v>
      </c>
      <c r="R985" s="8">
        <v>195</v>
      </c>
      <c r="S985" s="8">
        <f t="shared" si="219"/>
        <v>195</v>
      </c>
      <c r="T985" s="8">
        <f>(Table1[[#This Row],[Total Cholesterol (mg/dL)]]+Table1[[#This Row],[HDL (mg/dL)2]]+Table1[[#This Row],[Estimated LDL (mg/dL)2]])*5</f>
        <v>2700</v>
      </c>
      <c r="U985" s="8">
        <f>IF(O985="",Table1[[#This Row],[Estimated LDL (mg/dL)2]]+Table1[[#This Row],[HDL (mg/dL)2]]+(Table1[[#This Row],[Triglycerides]]/5),O985)</f>
        <v>285</v>
      </c>
      <c r="V985">
        <v>99</v>
      </c>
      <c r="W985" s="8">
        <f t="shared" si="220"/>
        <v>99</v>
      </c>
      <c r="X985" t="str">
        <f t="shared" si="221"/>
        <v>Normal</v>
      </c>
      <c r="Y985" t="s">
        <v>23</v>
      </c>
      <c r="Z985" t="s">
        <v>22</v>
      </c>
      <c r="AA985" t="s">
        <v>24</v>
      </c>
      <c r="AB985" s="3" t="s">
        <v>841</v>
      </c>
      <c r="AC985">
        <v>138</v>
      </c>
      <c r="AD985" s="3" t="str">
        <f t="shared" si="222"/>
        <v>138</v>
      </c>
      <c r="AE985">
        <v>61</v>
      </c>
      <c r="AF985" s="3" t="str">
        <f t="shared" si="223"/>
        <v>61</v>
      </c>
      <c r="AG985" t="s">
        <v>29</v>
      </c>
      <c r="AH985" s="3">
        <v>20.46</v>
      </c>
      <c r="AI985" s="3">
        <f t="shared" si="224"/>
        <v>20.46</v>
      </c>
      <c r="AJ985" t="s">
        <v>30</v>
      </c>
      <c r="AK985" t="str">
        <f>PROPER(Table1[[#This Row],[CVD Risk Level]])</f>
        <v>High</v>
      </c>
    </row>
    <row r="986" spans="1:37" x14ac:dyDescent="0.3">
      <c r="A986" t="s">
        <v>31</v>
      </c>
      <c r="B986">
        <v>37</v>
      </c>
      <c r="C986" s="8">
        <f t="shared" si="213"/>
        <v>37</v>
      </c>
      <c r="D986" s="5">
        <v>109.6</v>
      </c>
      <c r="E986" s="8">
        <f t="shared" si="214"/>
        <v>109.6</v>
      </c>
      <c r="F986">
        <v>1.83</v>
      </c>
      <c r="G986" s="3">
        <f t="shared" si="215"/>
        <v>1.83</v>
      </c>
      <c r="I986" s="5">
        <f t="shared" si="211"/>
        <v>32.727164143450082</v>
      </c>
      <c r="J986" s="16" t="str">
        <f t="shared" si="216"/>
        <v>Obese</v>
      </c>
      <c r="K986">
        <v>90.1</v>
      </c>
      <c r="L986">
        <v>0.49199999999999999</v>
      </c>
      <c r="M986" s="11">
        <f t="shared" si="212"/>
        <v>0.49199999999999999</v>
      </c>
      <c r="N986" s="5">
        <f t="shared" si="217"/>
        <v>90.1</v>
      </c>
      <c r="Q986" s="8">
        <f t="shared" si="218"/>
        <v>56.197377501725327</v>
      </c>
      <c r="R986" s="8">
        <v>128</v>
      </c>
      <c r="S986" s="8">
        <f>IF(R986&lt;=0,MEDIAN($R$2:$R$1530),R986)</f>
        <v>128</v>
      </c>
      <c r="T986" s="8">
        <f>(Table1[[#This Row],[Total Cholesterol (mg/dL)]]+Table1[[#This Row],[HDL (mg/dL)2]]+Table1[[#This Row],[Estimated LDL (mg/dL)2]])*5</f>
        <v>920.98688750862664</v>
      </c>
      <c r="U986" s="8">
        <f>IF(O986="",Table1[[#This Row],[Estimated LDL (mg/dL)2]]+Table1[[#This Row],[HDL (mg/dL)2]]+(Table1[[#This Row],[Triglycerides]]/5),O986)</f>
        <v>368.39475500345065</v>
      </c>
      <c r="V986">
        <v>86</v>
      </c>
      <c r="W986" s="8">
        <f t="shared" si="220"/>
        <v>86</v>
      </c>
      <c r="X986" t="str">
        <f t="shared" si="221"/>
        <v>Normal</v>
      </c>
      <c r="Y986" t="s">
        <v>22</v>
      </c>
      <c r="Z986" t="s">
        <v>23</v>
      </c>
      <c r="AA986" t="s">
        <v>24</v>
      </c>
      <c r="AB986" s="3" t="s">
        <v>842</v>
      </c>
      <c r="AD986" s="3" t="str">
        <f t="shared" si="222"/>
        <v>146</v>
      </c>
      <c r="AE986">
        <v>90</v>
      </c>
      <c r="AF986" s="3" t="str">
        <f t="shared" si="223"/>
        <v>90</v>
      </c>
      <c r="AG986" t="s">
        <v>38</v>
      </c>
      <c r="AH986" s="3">
        <v>20.14</v>
      </c>
      <c r="AI986" s="3">
        <f t="shared" si="224"/>
        <v>20.14</v>
      </c>
      <c r="AJ986" t="s">
        <v>30</v>
      </c>
      <c r="AK986" t="str">
        <f>PROPER(Table1[[#This Row],[CVD Risk Level]])</f>
        <v>High</v>
      </c>
    </row>
    <row r="987" spans="1:37" x14ac:dyDescent="0.3">
      <c r="A987" t="s">
        <v>20</v>
      </c>
      <c r="B987">
        <v>57</v>
      </c>
      <c r="C987" s="8">
        <f t="shared" si="213"/>
        <v>57</v>
      </c>
      <c r="D987" s="5">
        <v>54.2</v>
      </c>
      <c r="E987" s="8">
        <f t="shared" si="214"/>
        <v>54.2</v>
      </c>
      <c r="F987">
        <v>1.87</v>
      </c>
      <c r="G987" s="3">
        <f t="shared" si="215"/>
        <v>1.87</v>
      </c>
      <c r="H987">
        <v>15.5</v>
      </c>
      <c r="I987" s="5">
        <f t="shared" si="211"/>
        <v>15.5</v>
      </c>
      <c r="J987" s="16" t="str">
        <f t="shared" si="216"/>
        <v>Underweight</v>
      </c>
      <c r="K987">
        <v>89.8</v>
      </c>
      <c r="L987">
        <v>0.48</v>
      </c>
      <c r="M987" s="11">
        <f t="shared" si="212"/>
        <v>0.48</v>
      </c>
      <c r="N987" s="5">
        <f t="shared" si="217"/>
        <v>89.8</v>
      </c>
      <c r="O987">
        <v>245</v>
      </c>
      <c r="P987">
        <v>36</v>
      </c>
      <c r="Q987" s="8">
        <f t="shared" si="218"/>
        <v>36</v>
      </c>
      <c r="R987" s="8">
        <v>179</v>
      </c>
      <c r="S987" s="8">
        <f t="shared" si="219"/>
        <v>179</v>
      </c>
      <c r="T987" s="8">
        <f>(Table1[[#This Row],[Total Cholesterol (mg/dL)]]+Table1[[#This Row],[HDL (mg/dL)2]]+Table1[[#This Row],[Estimated LDL (mg/dL)2]])*5</f>
        <v>2300</v>
      </c>
      <c r="U987" s="8">
        <f>IF(O987="",Table1[[#This Row],[Estimated LDL (mg/dL)2]]+Table1[[#This Row],[HDL (mg/dL)2]]+(Table1[[#This Row],[Triglycerides]]/5),O987)</f>
        <v>245</v>
      </c>
      <c r="V987">
        <v>99</v>
      </c>
      <c r="W987" s="8">
        <f t="shared" si="220"/>
        <v>99</v>
      </c>
      <c r="X987" t="str">
        <f t="shared" si="221"/>
        <v>Normal</v>
      </c>
      <c r="Y987" t="s">
        <v>22</v>
      </c>
      <c r="Z987" t="s">
        <v>23</v>
      </c>
      <c r="AA987" t="s">
        <v>24</v>
      </c>
      <c r="AB987" s="3" t="s">
        <v>843</v>
      </c>
      <c r="AC987">
        <v>92</v>
      </c>
      <c r="AD987" s="3" t="str">
        <f t="shared" si="222"/>
        <v>92</v>
      </c>
      <c r="AE987">
        <v>94</v>
      </c>
      <c r="AF987" s="3" t="str">
        <f t="shared" si="223"/>
        <v>94</v>
      </c>
      <c r="AG987" t="s">
        <v>38</v>
      </c>
      <c r="AI987" s="3">
        <f t="shared" si="224"/>
        <v>16.960925291295425</v>
      </c>
      <c r="AJ987" t="s">
        <v>30</v>
      </c>
      <c r="AK987" t="str">
        <f>PROPER(Table1[[#This Row],[CVD Risk Level]])</f>
        <v>High</v>
      </c>
    </row>
    <row r="988" spans="1:37" x14ac:dyDescent="0.3">
      <c r="A988" t="s">
        <v>31</v>
      </c>
      <c r="B988">
        <v>76</v>
      </c>
      <c r="C988" s="8">
        <f t="shared" si="213"/>
        <v>76</v>
      </c>
      <c r="D988" s="5">
        <v>56.283000000000001</v>
      </c>
      <c r="E988" s="8">
        <f t="shared" si="214"/>
        <v>56.283000000000001</v>
      </c>
      <c r="F988">
        <v>1.9410000000000001</v>
      </c>
      <c r="G988" s="3">
        <f t="shared" si="215"/>
        <v>1.9410000000000001</v>
      </c>
      <c r="H988">
        <v>32.701999999999998</v>
      </c>
      <c r="I988" s="5">
        <f t="shared" si="211"/>
        <v>32.701999999999998</v>
      </c>
      <c r="J988" s="16" t="str">
        <f t="shared" si="216"/>
        <v>Obese</v>
      </c>
      <c r="K988">
        <v>107.777</v>
      </c>
      <c r="L988">
        <v>0.55500000000000005</v>
      </c>
      <c r="M988" s="11">
        <f t="shared" si="212"/>
        <v>0.55500000000000005</v>
      </c>
      <c r="N988" s="5">
        <f t="shared" si="217"/>
        <v>107.777</v>
      </c>
      <c r="O988">
        <v>276</v>
      </c>
      <c r="P988">
        <v>83</v>
      </c>
      <c r="Q988" s="8">
        <f t="shared" si="218"/>
        <v>83</v>
      </c>
      <c r="R988" s="8">
        <v>163</v>
      </c>
      <c r="S988" s="8">
        <f t="shared" si="219"/>
        <v>163</v>
      </c>
      <c r="T988" s="8">
        <f>(Table1[[#This Row],[Total Cholesterol (mg/dL)]]+Table1[[#This Row],[HDL (mg/dL)2]]+Table1[[#This Row],[Estimated LDL (mg/dL)2]])*5</f>
        <v>2610</v>
      </c>
      <c r="U988" s="8">
        <f>IF(O988="",Table1[[#This Row],[Estimated LDL (mg/dL)2]]+Table1[[#This Row],[HDL (mg/dL)2]]+(Table1[[#This Row],[Triglycerides]]/5),O988)</f>
        <v>276</v>
      </c>
      <c r="V988">
        <v>177</v>
      </c>
      <c r="W988" s="8">
        <f t="shared" si="220"/>
        <v>177</v>
      </c>
      <c r="X988" t="str">
        <f t="shared" si="221"/>
        <v>Diabetes</v>
      </c>
      <c r="Y988" t="s">
        <v>23</v>
      </c>
      <c r="Z988" t="s">
        <v>23</v>
      </c>
      <c r="AA988" t="s">
        <v>37</v>
      </c>
      <c r="AB988" s="3" t="s">
        <v>844</v>
      </c>
      <c r="AC988">
        <v>135</v>
      </c>
      <c r="AD988" s="3" t="str">
        <f t="shared" si="222"/>
        <v>135</v>
      </c>
      <c r="AE988">
        <v>69</v>
      </c>
      <c r="AF988" s="3" t="str">
        <f t="shared" si="223"/>
        <v>69</v>
      </c>
      <c r="AG988" t="s">
        <v>29</v>
      </c>
      <c r="AH988" s="3">
        <v>20.81</v>
      </c>
      <c r="AI988" s="3">
        <f t="shared" si="224"/>
        <v>20.81</v>
      </c>
      <c r="AJ988" t="s">
        <v>52</v>
      </c>
      <c r="AK988" t="str">
        <f>PROPER(Table1[[#This Row],[CVD Risk Level]])</f>
        <v>Low</v>
      </c>
    </row>
    <row r="989" spans="1:37" x14ac:dyDescent="0.3">
      <c r="A989" t="s">
        <v>20</v>
      </c>
      <c r="B989">
        <v>62</v>
      </c>
      <c r="C989" s="8">
        <f t="shared" si="213"/>
        <v>62</v>
      </c>
      <c r="D989" s="5">
        <v>87.543999999999997</v>
      </c>
      <c r="E989" s="8">
        <f t="shared" si="214"/>
        <v>87.543999999999997</v>
      </c>
      <c r="G989" s="3">
        <f t="shared" si="215"/>
        <v>1.5074072393523592</v>
      </c>
      <c r="H989">
        <v>38.527000000000001</v>
      </c>
      <c r="I989" s="5">
        <f t="shared" si="211"/>
        <v>38.527000000000001</v>
      </c>
      <c r="J989" s="16" t="str">
        <f t="shared" si="216"/>
        <v>Obese</v>
      </c>
      <c r="K989">
        <v>86.486999999999995</v>
      </c>
      <c r="L989">
        <v>0.48499999999999999</v>
      </c>
      <c r="M989" s="11">
        <f t="shared" si="212"/>
        <v>0.48499999999999999</v>
      </c>
      <c r="N989" s="5">
        <f t="shared" si="217"/>
        <v>86.486999999999995</v>
      </c>
      <c r="O989">
        <v>125</v>
      </c>
      <c r="P989">
        <v>48</v>
      </c>
      <c r="Q989" s="8">
        <f t="shared" si="218"/>
        <v>48</v>
      </c>
      <c r="R989" s="8">
        <v>47</v>
      </c>
      <c r="S989" s="8">
        <f t="shared" si="219"/>
        <v>47</v>
      </c>
      <c r="T989" s="8">
        <f>(Table1[[#This Row],[Total Cholesterol (mg/dL)]]+Table1[[#This Row],[HDL (mg/dL)2]]+Table1[[#This Row],[Estimated LDL (mg/dL)2]])*5</f>
        <v>1100</v>
      </c>
      <c r="U989" s="8">
        <f>IF(O989="",Table1[[#This Row],[Estimated LDL (mg/dL)2]]+Table1[[#This Row],[HDL (mg/dL)2]]+(Table1[[#This Row],[Triglycerides]]/5),O989)</f>
        <v>125</v>
      </c>
      <c r="V989">
        <v>167</v>
      </c>
      <c r="W989" s="8">
        <f t="shared" si="220"/>
        <v>167</v>
      </c>
      <c r="X989" t="str">
        <f t="shared" si="221"/>
        <v>Diabetes</v>
      </c>
      <c r="Y989" t="s">
        <v>23</v>
      </c>
      <c r="Z989" t="s">
        <v>23</v>
      </c>
      <c r="AA989" t="s">
        <v>37</v>
      </c>
      <c r="AB989" s="3" t="s">
        <v>845</v>
      </c>
      <c r="AC989">
        <v>154</v>
      </c>
      <c r="AD989" s="3" t="str">
        <f t="shared" si="222"/>
        <v>154</v>
      </c>
      <c r="AE989">
        <v>60</v>
      </c>
      <c r="AF989" s="3" t="str">
        <f t="shared" si="223"/>
        <v>60</v>
      </c>
      <c r="AG989" t="s">
        <v>38</v>
      </c>
      <c r="AH989" s="3">
        <v>19.905000000000001</v>
      </c>
      <c r="AI989" s="3">
        <f t="shared" si="224"/>
        <v>19.905000000000001</v>
      </c>
      <c r="AJ989" t="s">
        <v>30</v>
      </c>
      <c r="AK989" t="str">
        <f>PROPER(Table1[[#This Row],[CVD Risk Level]])</f>
        <v>High</v>
      </c>
    </row>
    <row r="990" spans="1:37" x14ac:dyDescent="0.3">
      <c r="A990" t="s">
        <v>31</v>
      </c>
      <c r="B990">
        <v>60</v>
      </c>
      <c r="C990" s="8">
        <f t="shared" si="213"/>
        <v>60</v>
      </c>
      <c r="D990" s="5">
        <v>97.400999999999996</v>
      </c>
      <c r="E990" s="8">
        <f t="shared" si="214"/>
        <v>97.400999999999996</v>
      </c>
      <c r="F990">
        <v>1.7709999999999999</v>
      </c>
      <c r="G990" s="3">
        <f t="shared" si="215"/>
        <v>1.7709999999999999</v>
      </c>
      <c r="H990">
        <v>32.968000000000004</v>
      </c>
      <c r="I990" s="5">
        <f t="shared" si="211"/>
        <v>32.968000000000004</v>
      </c>
      <c r="J990" s="16" t="str">
        <f t="shared" si="216"/>
        <v>Obese</v>
      </c>
      <c r="K990">
        <v>79.328000000000003</v>
      </c>
      <c r="L990">
        <v>0.44800000000000001</v>
      </c>
      <c r="M990" s="11">
        <f t="shared" si="212"/>
        <v>0.44800000000000001</v>
      </c>
      <c r="N990" s="5">
        <f t="shared" si="217"/>
        <v>79.328000000000003</v>
      </c>
      <c r="O990">
        <v>177</v>
      </c>
      <c r="P990">
        <v>40</v>
      </c>
      <c r="Q990" s="8">
        <f t="shared" si="218"/>
        <v>40</v>
      </c>
      <c r="R990" s="8">
        <v>107</v>
      </c>
      <c r="S990" s="8">
        <f t="shared" si="219"/>
        <v>107</v>
      </c>
      <c r="T990" s="8">
        <f>(Table1[[#This Row],[Total Cholesterol (mg/dL)]]+Table1[[#This Row],[HDL (mg/dL)2]]+Table1[[#This Row],[Estimated LDL (mg/dL)2]])*5</f>
        <v>1620</v>
      </c>
      <c r="U990" s="8">
        <f>IF(O990="",Table1[[#This Row],[Estimated LDL (mg/dL)2]]+Table1[[#This Row],[HDL (mg/dL)2]]+(Table1[[#This Row],[Triglycerides]]/5),O990)</f>
        <v>177</v>
      </c>
      <c r="V990">
        <v>176</v>
      </c>
      <c r="W990" s="8">
        <f t="shared" si="220"/>
        <v>176</v>
      </c>
      <c r="X990" t="str">
        <f t="shared" si="221"/>
        <v>Diabetes</v>
      </c>
      <c r="Y990" t="s">
        <v>23</v>
      </c>
      <c r="Z990" t="s">
        <v>23</v>
      </c>
      <c r="AA990" t="s">
        <v>28</v>
      </c>
      <c r="AB990" s="3" t="s">
        <v>846</v>
      </c>
      <c r="AD990" s="3" t="str">
        <f t="shared" si="222"/>
        <v>147</v>
      </c>
      <c r="AE990">
        <v>78</v>
      </c>
      <c r="AF990" s="3" t="str">
        <f t="shared" si="223"/>
        <v>78</v>
      </c>
      <c r="AG990" t="s">
        <v>38</v>
      </c>
      <c r="AH990" s="3">
        <v>19.484000000000002</v>
      </c>
      <c r="AI990" s="3">
        <f t="shared" si="224"/>
        <v>19.484000000000002</v>
      </c>
      <c r="AJ990" t="s">
        <v>26</v>
      </c>
      <c r="AK990" t="str">
        <f>PROPER(Table1[[#This Row],[CVD Risk Level]])</f>
        <v>Intermediary</v>
      </c>
    </row>
    <row r="991" spans="1:37" x14ac:dyDescent="0.3">
      <c r="A991" t="s">
        <v>20</v>
      </c>
      <c r="B991">
        <v>44</v>
      </c>
      <c r="C991" s="8">
        <f t="shared" si="213"/>
        <v>44</v>
      </c>
      <c r="D991" s="5">
        <v>82.164000000000001</v>
      </c>
      <c r="E991" s="8">
        <f t="shared" si="214"/>
        <v>82.164000000000001</v>
      </c>
      <c r="F991">
        <v>1.986</v>
      </c>
      <c r="G991" s="3">
        <f t="shared" si="215"/>
        <v>1.986</v>
      </c>
      <c r="H991">
        <v>34.701000000000001</v>
      </c>
      <c r="I991" s="5">
        <f t="shared" si="211"/>
        <v>34.701000000000001</v>
      </c>
      <c r="J991" s="16" t="str">
        <f t="shared" si="216"/>
        <v>Obese</v>
      </c>
      <c r="K991">
        <v>117.72</v>
      </c>
      <c r="M991" s="11">
        <f t="shared" si="212"/>
        <v>0.59274924471299095</v>
      </c>
      <c r="N991" s="5">
        <f t="shared" si="217"/>
        <v>117.72</v>
      </c>
      <c r="O991">
        <v>285</v>
      </c>
      <c r="P991">
        <v>83</v>
      </c>
      <c r="Q991" s="8">
        <f t="shared" si="218"/>
        <v>83</v>
      </c>
      <c r="R991" s="8">
        <v>172</v>
      </c>
      <c r="S991" s="8">
        <f t="shared" si="219"/>
        <v>172</v>
      </c>
      <c r="T991" s="8">
        <f>(Table1[[#This Row],[Total Cholesterol (mg/dL)]]+Table1[[#This Row],[HDL (mg/dL)2]]+Table1[[#This Row],[Estimated LDL (mg/dL)2]])*5</f>
        <v>2700</v>
      </c>
      <c r="U991" s="8">
        <f>IF(O991="",Table1[[#This Row],[Estimated LDL (mg/dL)2]]+Table1[[#This Row],[HDL (mg/dL)2]]+(Table1[[#This Row],[Triglycerides]]/5),O991)</f>
        <v>285</v>
      </c>
      <c r="V991">
        <v>73</v>
      </c>
      <c r="W991" s="8">
        <f t="shared" si="220"/>
        <v>73</v>
      </c>
      <c r="X991" t="str">
        <f t="shared" si="221"/>
        <v>Normal</v>
      </c>
      <c r="Y991" t="s">
        <v>22</v>
      </c>
      <c r="Z991" t="s">
        <v>23</v>
      </c>
      <c r="AA991" t="s">
        <v>37</v>
      </c>
      <c r="AB991" s="3" t="s">
        <v>847</v>
      </c>
      <c r="AC991">
        <v>154</v>
      </c>
      <c r="AD991" s="3" t="str">
        <f t="shared" si="222"/>
        <v>154</v>
      </c>
      <c r="AE991">
        <v>69</v>
      </c>
      <c r="AF991" s="3" t="str">
        <f t="shared" si="223"/>
        <v>69</v>
      </c>
      <c r="AG991" t="s">
        <v>38</v>
      </c>
      <c r="AH991" s="3">
        <v>22.34</v>
      </c>
      <c r="AI991" s="3">
        <f t="shared" si="224"/>
        <v>22.34</v>
      </c>
      <c r="AJ991" t="s">
        <v>52</v>
      </c>
      <c r="AK991" t="str">
        <f>PROPER(Table1[[#This Row],[CVD Risk Level]])</f>
        <v>Low</v>
      </c>
    </row>
    <row r="992" spans="1:37" x14ac:dyDescent="0.3">
      <c r="A992" t="s">
        <v>31</v>
      </c>
      <c r="B992">
        <v>67</v>
      </c>
      <c r="C992" s="8">
        <f t="shared" si="213"/>
        <v>67</v>
      </c>
      <c r="D992" s="5">
        <v>93.938999999999993</v>
      </c>
      <c r="E992" s="8">
        <f t="shared" si="214"/>
        <v>93.938999999999993</v>
      </c>
      <c r="F992">
        <v>1.988</v>
      </c>
      <c r="G992" s="3">
        <f t="shared" si="215"/>
        <v>1.988</v>
      </c>
      <c r="H992">
        <v>28.5</v>
      </c>
      <c r="I992" s="5">
        <f t="shared" si="211"/>
        <v>28.5</v>
      </c>
      <c r="J992" s="16" t="str">
        <f t="shared" si="216"/>
        <v>Overweight</v>
      </c>
      <c r="K992">
        <v>112.81399999999999</v>
      </c>
      <c r="L992">
        <v>0.56699999999999995</v>
      </c>
      <c r="M992" s="11">
        <f t="shared" si="212"/>
        <v>0.56699999999999995</v>
      </c>
      <c r="N992" s="5">
        <f t="shared" si="217"/>
        <v>112.81399999999999</v>
      </c>
      <c r="O992">
        <v>174</v>
      </c>
      <c r="P992">
        <v>45</v>
      </c>
      <c r="Q992" s="8">
        <f t="shared" si="218"/>
        <v>45</v>
      </c>
      <c r="S992" s="8">
        <f t="shared" si="219"/>
        <v>109</v>
      </c>
      <c r="T992" s="8">
        <f>(Table1[[#This Row],[Total Cholesterol (mg/dL)]]+Table1[[#This Row],[HDL (mg/dL)2]]+Table1[[#This Row],[Estimated LDL (mg/dL)2]])*5</f>
        <v>1640</v>
      </c>
      <c r="U992" s="8">
        <f>IF(O992="",Table1[[#This Row],[Estimated LDL (mg/dL)2]]+Table1[[#This Row],[HDL (mg/dL)2]]+(Table1[[#This Row],[Triglycerides]]/5),O992)</f>
        <v>174</v>
      </c>
      <c r="V992">
        <v>83</v>
      </c>
      <c r="W992" s="8">
        <f t="shared" si="220"/>
        <v>83</v>
      </c>
      <c r="X992" t="str">
        <f t="shared" si="221"/>
        <v>Normal</v>
      </c>
      <c r="Y992" t="s">
        <v>22</v>
      </c>
      <c r="Z992" t="s">
        <v>23</v>
      </c>
      <c r="AA992" t="s">
        <v>37</v>
      </c>
      <c r="AB992" s="3" t="s">
        <v>848</v>
      </c>
      <c r="AC992">
        <v>105</v>
      </c>
      <c r="AD992" s="3" t="str">
        <f t="shared" si="222"/>
        <v>105</v>
      </c>
      <c r="AE992">
        <v>110</v>
      </c>
      <c r="AF992" s="3" t="str">
        <f t="shared" si="223"/>
        <v>110</v>
      </c>
      <c r="AG992" t="s">
        <v>38</v>
      </c>
      <c r="AH992" s="3">
        <v>16.43</v>
      </c>
      <c r="AI992" s="3">
        <f t="shared" si="224"/>
        <v>16.43</v>
      </c>
      <c r="AJ992" t="s">
        <v>30</v>
      </c>
      <c r="AK992" t="str">
        <f>PROPER(Table1[[#This Row],[CVD Risk Level]])</f>
        <v>High</v>
      </c>
    </row>
    <row r="993" spans="1:37" x14ac:dyDescent="0.3">
      <c r="A993" t="s">
        <v>31</v>
      </c>
      <c r="B993">
        <v>50</v>
      </c>
      <c r="C993" s="8">
        <f t="shared" si="213"/>
        <v>50</v>
      </c>
      <c r="D993" s="5">
        <v>77.491</v>
      </c>
      <c r="E993" s="8">
        <f t="shared" si="214"/>
        <v>77.491</v>
      </c>
      <c r="F993">
        <v>1.73</v>
      </c>
      <c r="G993" s="3">
        <f t="shared" si="215"/>
        <v>1.73</v>
      </c>
      <c r="H993">
        <v>19.614999999999998</v>
      </c>
      <c r="I993" s="5">
        <f t="shared" si="211"/>
        <v>19.614999999999998</v>
      </c>
      <c r="J993" s="16" t="str">
        <f t="shared" si="216"/>
        <v>Normal</v>
      </c>
      <c r="K993">
        <v>94.611999999999995</v>
      </c>
      <c r="L993">
        <v>0.54700000000000004</v>
      </c>
      <c r="M993" s="11">
        <f t="shared" si="212"/>
        <v>0.54700000000000004</v>
      </c>
      <c r="N993" s="5">
        <f t="shared" si="217"/>
        <v>94.611999999999995</v>
      </c>
      <c r="O993">
        <v>156</v>
      </c>
      <c r="P993">
        <v>36</v>
      </c>
      <c r="Q993" s="8">
        <f t="shared" si="218"/>
        <v>36</v>
      </c>
      <c r="R993" s="8">
        <v>90</v>
      </c>
      <c r="S993" s="8">
        <f t="shared" si="219"/>
        <v>90</v>
      </c>
      <c r="T993" s="8">
        <f>(Table1[[#This Row],[Total Cholesterol (mg/dL)]]+Table1[[#This Row],[HDL (mg/dL)2]]+Table1[[#This Row],[Estimated LDL (mg/dL)2]])*5</f>
        <v>1410</v>
      </c>
      <c r="U993" s="8">
        <f>IF(O993="",Table1[[#This Row],[Estimated LDL (mg/dL)2]]+Table1[[#This Row],[HDL (mg/dL)2]]+(Table1[[#This Row],[Triglycerides]]/5),O993)</f>
        <v>156</v>
      </c>
      <c r="V993">
        <v>174</v>
      </c>
      <c r="W993" s="8">
        <f t="shared" si="220"/>
        <v>174</v>
      </c>
      <c r="X993" t="str">
        <f t="shared" si="221"/>
        <v>Diabetes</v>
      </c>
      <c r="Y993" t="s">
        <v>23</v>
      </c>
      <c r="Z993" t="s">
        <v>22</v>
      </c>
      <c r="AA993" t="s">
        <v>28</v>
      </c>
      <c r="AB993" s="3" t="s">
        <v>849</v>
      </c>
      <c r="AC993">
        <v>125</v>
      </c>
      <c r="AD993" s="3" t="str">
        <f t="shared" si="222"/>
        <v>125</v>
      </c>
      <c r="AE993">
        <v>118</v>
      </c>
      <c r="AF993" s="3" t="str">
        <f t="shared" si="223"/>
        <v>118</v>
      </c>
      <c r="AG993" t="s">
        <v>38</v>
      </c>
      <c r="AH993" s="3">
        <v>13.292999999999999</v>
      </c>
      <c r="AI993" s="3">
        <f t="shared" si="224"/>
        <v>13.292999999999999</v>
      </c>
      <c r="AJ993" t="s">
        <v>52</v>
      </c>
      <c r="AK993" t="str">
        <f>PROPER(Table1[[#This Row],[CVD Risk Level]])</f>
        <v>Low</v>
      </c>
    </row>
    <row r="994" spans="1:37" x14ac:dyDescent="0.3">
      <c r="A994" t="s">
        <v>20</v>
      </c>
      <c r="B994">
        <v>38</v>
      </c>
      <c r="C994" s="8">
        <f t="shared" si="213"/>
        <v>38</v>
      </c>
      <c r="D994" s="5">
        <v>68.516000000000005</v>
      </c>
      <c r="E994" s="8">
        <f t="shared" si="214"/>
        <v>68.516000000000005</v>
      </c>
      <c r="F994">
        <v>1.929</v>
      </c>
      <c r="G994" s="3">
        <f t="shared" si="215"/>
        <v>1.929</v>
      </c>
      <c r="H994">
        <v>39.966999999999999</v>
      </c>
      <c r="I994" s="5">
        <f t="shared" si="211"/>
        <v>39.966999999999999</v>
      </c>
      <c r="J994" s="16" t="str">
        <f t="shared" si="216"/>
        <v>Obese</v>
      </c>
      <c r="K994">
        <v>96.956999999999994</v>
      </c>
      <c r="L994">
        <v>0.503</v>
      </c>
      <c r="M994" s="11">
        <f t="shared" si="212"/>
        <v>0.503</v>
      </c>
      <c r="N994" s="5">
        <f t="shared" si="217"/>
        <v>96.956999999999994</v>
      </c>
      <c r="O994">
        <v>241</v>
      </c>
      <c r="P994">
        <v>52</v>
      </c>
      <c r="Q994" s="8">
        <f t="shared" si="218"/>
        <v>52</v>
      </c>
      <c r="R994" s="8">
        <v>159</v>
      </c>
      <c r="S994" s="8">
        <f t="shared" si="219"/>
        <v>159</v>
      </c>
      <c r="T994" s="8">
        <f>(Table1[[#This Row],[Total Cholesterol (mg/dL)]]+Table1[[#This Row],[HDL (mg/dL)2]]+Table1[[#This Row],[Estimated LDL (mg/dL)2]])*5</f>
        <v>2260</v>
      </c>
      <c r="U994" s="8">
        <f>IF(O994="",Table1[[#This Row],[Estimated LDL (mg/dL)2]]+Table1[[#This Row],[HDL (mg/dL)2]]+(Table1[[#This Row],[Triglycerides]]/5),O994)</f>
        <v>241</v>
      </c>
      <c r="V994">
        <v>103</v>
      </c>
      <c r="W994" s="8">
        <f t="shared" si="220"/>
        <v>103</v>
      </c>
      <c r="X994" t="str">
        <f t="shared" si="221"/>
        <v>Prediabetes</v>
      </c>
      <c r="Y994" t="s">
        <v>23</v>
      </c>
      <c r="Z994" t="s">
        <v>22</v>
      </c>
      <c r="AA994" t="s">
        <v>37</v>
      </c>
      <c r="AB994" s="3" t="s">
        <v>850</v>
      </c>
      <c r="AC994">
        <v>105</v>
      </c>
      <c r="AD994" s="3" t="str">
        <f t="shared" si="222"/>
        <v>105</v>
      </c>
      <c r="AE994">
        <v>84</v>
      </c>
      <c r="AF994" s="3" t="str">
        <f t="shared" si="223"/>
        <v>84</v>
      </c>
      <c r="AG994" t="s">
        <v>29</v>
      </c>
      <c r="AH994" s="3">
        <v>18.062999999999999</v>
      </c>
      <c r="AI994" s="3">
        <f t="shared" si="224"/>
        <v>18.062999999999999</v>
      </c>
      <c r="AJ994" t="s">
        <v>30</v>
      </c>
      <c r="AK994" t="str">
        <f>PROPER(Table1[[#This Row],[CVD Risk Level]])</f>
        <v>High</v>
      </c>
    </row>
    <row r="995" spans="1:37" x14ac:dyDescent="0.3">
      <c r="A995" t="s">
        <v>31</v>
      </c>
      <c r="B995">
        <v>77</v>
      </c>
      <c r="C995" s="8">
        <f t="shared" si="213"/>
        <v>77</v>
      </c>
      <c r="D995" s="5">
        <v>86.405000000000001</v>
      </c>
      <c r="E995" s="8">
        <f t="shared" si="214"/>
        <v>86.405000000000001</v>
      </c>
      <c r="F995">
        <v>1.972</v>
      </c>
      <c r="G995" s="3">
        <f t="shared" si="215"/>
        <v>1.972</v>
      </c>
      <c r="H995">
        <v>35.85</v>
      </c>
      <c r="I995" s="5">
        <f t="shared" si="211"/>
        <v>35.85</v>
      </c>
      <c r="J995" s="16" t="str">
        <f t="shared" si="216"/>
        <v>Obese</v>
      </c>
      <c r="K995">
        <v>99.563999999999993</v>
      </c>
      <c r="L995">
        <v>0.505</v>
      </c>
      <c r="M995" s="11">
        <f t="shared" si="212"/>
        <v>0.505</v>
      </c>
      <c r="N995" s="5">
        <f t="shared" si="217"/>
        <v>99.563999999999993</v>
      </c>
      <c r="O995">
        <v>222</v>
      </c>
      <c r="P995">
        <v>40</v>
      </c>
      <c r="Q995" s="8">
        <f t="shared" si="218"/>
        <v>40</v>
      </c>
      <c r="R995" s="8">
        <v>152</v>
      </c>
      <c r="S995" s="8">
        <f t="shared" si="219"/>
        <v>152</v>
      </c>
      <c r="T995" s="8">
        <f>(Table1[[#This Row],[Total Cholesterol (mg/dL)]]+Table1[[#This Row],[HDL (mg/dL)2]]+Table1[[#This Row],[Estimated LDL (mg/dL)2]])*5</f>
        <v>2070</v>
      </c>
      <c r="U995" s="8">
        <f>IF(O995="",Table1[[#This Row],[Estimated LDL (mg/dL)2]]+Table1[[#This Row],[HDL (mg/dL)2]]+(Table1[[#This Row],[Triglycerides]]/5),O995)</f>
        <v>222</v>
      </c>
      <c r="W995" s="8">
        <f t="shared" si="220"/>
        <v>117.48563611491107</v>
      </c>
      <c r="X995" t="str">
        <f t="shared" si="221"/>
        <v>Prediabetes</v>
      </c>
      <c r="Y995" t="s">
        <v>22</v>
      </c>
      <c r="Z995" t="s">
        <v>22</v>
      </c>
      <c r="AA995" t="s">
        <v>37</v>
      </c>
      <c r="AB995" s="3" t="s">
        <v>851</v>
      </c>
      <c r="AC995">
        <v>129</v>
      </c>
      <c r="AD995" s="3" t="str">
        <f t="shared" si="222"/>
        <v>129</v>
      </c>
      <c r="AE995">
        <v>93</v>
      </c>
      <c r="AF995" s="3" t="str">
        <f t="shared" si="223"/>
        <v>93</v>
      </c>
      <c r="AG995" t="s">
        <v>38</v>
      </c>
      <c r="AH995" s="3">
        <v>18.059999999999999</v>
      </c>
      <c r="AI995" s="3">
        <f t="shared" si="224"/>
        <v>18.059999999999999</v>
      </c>
      <c r="AJ995" t="s">
        <v>30</v>
      </c>
      <c r="AK995" t="str">
        <f>PROPER(Table1[[#This Row],[CVD Risk Level]])</f>
        <v>High</v>
      </c>
    </row>
    <row r="996" spans="1:37" x14ac:dyDescent="0.3">
      <c r="A996" t="s">
        <v>31</v>
      </c>
      <c r="B996">
        <v>51</v>
      </c>
      <c r="C996" s="8">
        <f t="shared" si="213"/>
        <v>51</v>
      </c>
      <c r="D996" s="5">
        <v>105</v>
      </c>
      <c r="E996" s="8">
        <f t="shared" si="214"/>
        <v>105</v>
      </c>
      <c r="G996" s="3">
        <f t="shared" si="215"/>
        <v>2.0368411323835933</v>
      </c>
      <c r="H996">
        <v>25.309000000000001</v>
      </c>
      <c r="I996" s="5">
        <f t="shared" si="211"/>
        <v>25.309000000000001</v>
      </c>
      <c r="J996" s="16" t="str">
        <f t="shared" si="216"/>
        <v>Overweight</v>
      </c>
      <c r="K996">
        <v>110.277</v>
      </c>
      <c r="L996">
        <v>0.624</v>
      </c>
      <c r="M996" s="11">
        <f t="shared" si="212"/>
        <v>0.624</v>
      </c>
      <c r="N996" s="5">
        <f t="shared" si="217"/>
        <v>110.277</v>
      </c>
      <c r="O996">
        <v>126</v>
      </c>
      <c r="P996">
        <v>50</v>
      </c>
      <c r="Q996" s="8">
        <f t="shared" si="218"/>
        <v>50</v>
      </c>
      <c r="R996" s="8">
        <v>46</v>
      </c>
      <c r="S996" s="8">
        <f t="shared" si="219"/>
        <v>46</v>
      </c>
      <c r="T996" s="8">
        <f>(Table1[[#This Row],[Total Cholesterol (mg/dL)]]+Table1[[#This Row],[HDL (mg/dL)2]]+Table1[[#This Row],[Estimated LDL (mg/dL)2]])*5</f>
        <v>1110</v>
      </c>
      <c r="U996" s="8">
        <f>IF(O996="",Table1[[#This Row],[Estimated LDL (mg/dL)2]]+Table1[[#This Row],[HDL (mg/dL)2]]+(Table1[[#This Row],[Triglycerides]]/5),O996)</f>
        <v>126</v>
      </c>
      <c r="V996">
        <v>91</v>
      </c>
      <c r="W996" s="8">
        <f t="shared" si="220"/>
        <v>91</v>
      </c>
      <c r="X996" t="str">
        <f t="shared" si="221"/>
        <v>Normal</v>
      </c>
      <c r="Y996" t="s">
        <v>22</v>
      </c>
      <c r="Z996" t="s">
        <v>22</v>
      </c>
      <c r="AA996" t="s">
        <v>37</v>
      </c>
      <c r="AB996" s="3" t="s">
        <v>852</v>
      </c>
      <c r="AC996">
        <v>144</v>
      </c>
      <c r="AD996" s="3" t="str">
        <f t="shared" si="222"/>
        <v>144</v>
      </c>
      <c r="AE996">
        <v>93</v>
      </c>
      <c r="AF996" s="3" t="str">
        <f t="shared" si="223"/>
        <v>93</v>
      </c>
      <c r="AG996" t="s">
        <v>38</v>
      </c>
      <c r="AI996" s="3">
        <f t="shared" si="224"/>
        <v>16.960925291295425</v>
      </c>
      <c r="AJ996" t="s">
        <v>26</v>
      </c>
      <c r="AK996" t="str">
        <f>PROPER(Table1[[#This Row],[CVD Risk Level]])</f>
        <v>Intermediary</v>
      </c>
    </row>
    <row r="997" spans="1:37" x14ac:dyDescent="0.3">
      <c r="A997" t="s">
        <v>31</v>
      </c>
      <c r="B997">
        <v>42</v>
      </c>
      <c r="C997" s="8">
        <f t="shared" si="213"/>
        <v>42</v>
      </c>
      <c r="D997" s="5">
        <v>51.094999999999999</v>
      </c>
      <c r="E997" s="8">
        <f t="shared" si="214"/>
        <v>51.094999999999999</v>
      </c>
      <c r="F997">
        <v>1.5209999999999999</v>
      </c>
      <c r="G997" s="3">
        <f t="shared" si="215"/>
        <v>1.5209999999999999</v>
      </c>
      <c r="H997">
        <v>20.190000000000001</v>
      </c>
      <c r="I997" s="5">
        <f t="shared" si="211"/>
        <v>20.190000000000001</v>
      </c>
      <c r="J997" s="16" t="str">
        <f t="shared" si="216"/>
        <v>Normal</v>
      </c>
      <c r="K997">
        <v>72.274000000000001</v>
      </c>
      <c r="M997" s="11">
        <f t="shared" si="212"/>
        <v>0.47517422748191979</v>
      </c>
      <c r="N997" s="5">
        <f t="shared" si="217"/>
        <v>72.274000000000001</v>
      </c>
      <c r="O997">
        <v>296</v>
      </c>
      <c r="Q997" s="8">
        <f t="shared" si="218"/>
        <v>56.197377501725327</v>
      </c>
      <c r="R997" s="8">
        <v>211</v>
      </c>
      <c r="S997" s="8">
        <f>IF(R997&lt;=0,MEDIAN($R$2:$R$1530),R997)</f>
        <v>211</v>
      </c>
      <c r="T997" s="8">
        <f>(Table1[[#This Row],[Total Cholesterol (mg/dL)]]+Table1[[#This Row],[HDL (mg/dL)2]]+Table1[[#This Row],[Estimated LDL (mg/dL)2]])*5</f>
        <v>2815.9868875086268</v>
      </c>
      <c r="U997" s="8">
        <f>IF(O997="",Table1[[#This Row],[Estimated LDL (mg/dL)2]]+Table1[[#This Row],[HDL (mg/dL)2]]+(Table1[[#This Row],[Triglycerides]]/5),O997)</f>
        <v>296</v>
      </c>
      <c r="V997">
        <v>123</v>
      </c>
      <c r="W997" s="8">
        <f t="shared" si="220"/>
        <v>123</v>
      </c>
      <c r="X997" t="str">
        <f t="shared" si="221"/>
        <v>Prediabetes</v>
      </c>
      <c r="Y997" t="s">
        <v>22</v>
      </c>
      <c r="Z997" t="s">
        <v>22</v>
      </c>
      <c r="AA997" t="s">
        <v>37</v>
      </c>
      <c r="AB997" s="3" t="s">
        <v>853</v>
      </c>
      <c r="AC997">
        <v>159</v>
      </c>
      <c r="AD997" s="3" t="str">
        <f t="shared" si="222"/>
        <v>159</v>
      </c>
      <c r="AE997">
        <v>91</v>
      </c>
      <c r="AF997" s="3" t="str">
        <f t="shared" si="223"/>
        <v>91</v>
      </c>
      <c r="AG997" t="s">
        <v>38</v>
      </c>
      <c r="AH997" s="3">
        <v>17.908000000000001</v>
      </c>
      <c r="AI997" s="3">
        <f t="shared" si="224"/>
        <v>17.908000000000001</v>
      </c>
      <c r="AJ997" t="s">
        <v>52</v>
      </c>
      <c r="AK997" t="str">
        <f>PROPER(Table1[[#This Row],[CVD Risk Level]])</f>
        <v>Low</v>
      </c>
    </row>
    <row r="998" spans="1:37" x14ac:dyDescent="0.3">
      <c r="A998" t="s">
        <v>20</v>
      </c>
      <c r="B998">
        <v>52</v>
      </c>
      <c r="C998" s="8">
        <f t="shared" si="213"/>
        <v>52</v>
      </c>
      <c r="D998" s="5">
        <v>69.367000000000004</v>
      </c>
      <c r="E998" s="8">
        <f t="shared" si="214"/>
        <v>69.367000000000004</v>
      </c>
      <c r="F998">
        <v>1.8320000000000001</v>
      </c>
      <c r="G998" s="3">
        <f t="shared" si="215"/>
        <v>1.8320000000000001</v>
      </c>
      <c r="H998">
        <v>30.099</v>
      </c>
      <c r="I998" s="5">
        <f t="shared" si="211"/>
        <v>30.099</v>
      </c>
      <c r="J998" s="16" t="str">
        <f t="shared" si="216"/>
        <v>Obese</v>
      </c>
      <c r="K998">
        <v>112.452</v>
      </c>
      <c r="L998">
        <v>0.61399999999999999</v>
      </c>
      <c r="M998" s="11">
        <f t="shared" si="212"/>
        <v>0.61399999999999999</v>
      </c>
      <c r="N998" s="5">
        <f t="shared" si="217"/>
        <v>112.452</v>
      </c>
      <c r="P998">
        <v>47</v>
      </c>
      <c r="Q998" s="8">
        <f t="shared" si="218"/>
        <v>47</v>
      </c>
      <c r="R998" s="8">
        <v>210</v>
      </c>
      <c r="S998" s="8">
        <f t="shared" si="219"/>
        <v>210</v>
      </c>
      <c r="T998" s="8">
        <f>(Table1[[#This Row],[Total Cholesterol (mg/dL)]]+Table1[[#This Row],[HDL (mg/dL)2]]+Table1[[#This Row],[Estimated LDL (mg/dL)2]])*5</f>
        <v>1285</v>
      </c>
      <c r="U998" s="8">
        <f>IF(O998="",Table1[[#This Row],[Estimated LDL (mg/dL)2]]+Table1[[#This Row],[HDL (mg/dL)2]]+(Table1[[#This Row],[Triglycerides]]/5),O998)</f>
        <v>514</v>
      </c>
      <c r="V998">
        <v>90</v>
      </c>
      <c r="W998" s="8">
        <f t="shared" si="220"/>
        <v>90</v>
      </c>
      <c r="X998" t="str">
        <f t="shared" si="221"/>
        <v>Normal</v>
      </c>
      <c r="Y998" t="s">
        <v>23</v>
      </c>
      <c r="Z998" t="s">
        <v>22</v>
      </c>
      <c r="AA998" t="s">
        <v>24</v>
      </c>
      <c r="AB998" s="3" t="s">
        <v>854</v>
      </c>
      <c r="AC998">
        <v>149</v>
      </c>
      <c r="AD998" s="3" t="str">
        <f t="shared" si="222"/>
        <v>149</v>
      </c>
      <c r="AE998">
        <v>107</v>
      </c>
      <c r="AF998" s="3" t="str">
        <f t="shared" si="223"/>
        <v>107</v>
      </c>
      <c r="AG998" t="s">
        <v>38</v>
      </c>
      <c r="AH998" s="3">
        <v>19.21</v>
      </c>
      <c r="AI998" s="3">
        <f t="shared" si="224"/>
        <v>19.21</v>
      </c>
      <c r="AJ998" t="s">
        <v>52</v>
      </c>
      <c r="AK998" t="str">
        <f>PROPER(Table1[[#This Row],[CVD Risk Level]])</f>
        <v>Low</v>
      </c>
    </row>
    <row r="999" spans="1:37" x14ac:dyDescent="0.3">
      <c r="A999" t="s">
        <v>20</v>
      </c>
      <c r="B999">
        <v>60</v>
      </c>
      <c r="C999" s="8">
        <f t="shared" si="213"/>
        <v>60</v>
      </c>
      <c r="D999" s="5">
        <v>90.05</v>
      </c>
      <c r="E999" s="8">
        <f t="shared" si="214"/>
        <v>90.05</v>
      </c>
      <c r="G999" s="3">
        <f t="shared" si="215"/>
        <v>1.6375274164254454</v>
      </c>
      <c r="H999">
        <v>33.582000000000001</v>
      </c>
      <c r="I999" s="5">
        <f t="shared" si="211"/>
        <v>33.582000000000001</v>
      </c>
      <c r="J999" s="16" t="str">
        <f t="shared" si="216"/>
        <v>Obese</v>
      </c>
      <c r="K999">
        <v>85.075999999999993</v>
      </c>
      <c r="L999">
        <v>0.5</v>
      </c>
      <c r="M999" s="11">
        <f t="shared" si="212"/>
        <v>0.5</v>
      </c>
      <c r="N999" s="5">
        <f t="shared" si="217"/>
        <v>85.075999999999993</v>
      </c>
      <c r="O999">
        <v>238</v>
      </c>
      <c r="P999">
        <v>51</v>
      </c>
      <c r="Q999" s="8">
        <f t="shared" si="218"/>
        <v>51</v>
      </c>
      <c r="R999" s="8">
        <v>157</v>
      </c>
      <c r="S999" s="8">
        <f t="shared" si="219"/>
        <v>157</v>
      </c>
      <c r="T999" s="8">
        <f>(Table1[[#This Row],[Total Cholesterol (mg/dL)]]+Table1[[#This Row],[HDL (mg/dL)2]]+Table1[[#This Row],[Estimated LDL (mg/dL)2]])*5</f>
        <v>2230</v>
      </c>
      <c r="U999" s="8">
        <f>IF(O999="",Table1[[#This Row],[Estimated LDL (mg/dL)2]]+Table1[[#This Row],[HDL (mg/dL)2]]+(Table1[[#This Row],[Triglycerides]]/5),O999)</f>
        <v>238</v>
      </c>
      <c r="V999">
        <v>161</v>
      </c>
      <c r="W999" s="8">
        <f t="shared" si="220"/>
        <v>161</v>
      </c>
      <c r="X999" t="str">
        <f t="shared" si="221"/>
        <v>Diabetes</v>
      </c>
      <c r="Y999" t="s">
        <v>22</v>
      </c>
      <c r="Z999" t="s">
        <v>23</v>
      </c>
      <c r="AA999" t="s">
        <v>24</v>
      </c>
      <c r="AB999" s="3" t="s">
        <v>855</v>
      </c>
      <c r="AC999">
        <v>120</v>
      </c>
      <c r="AD999" s="3" t="str">
        <f t="shared" si="222"/>
        <v>120</v>
      </c>
      <c r="AE999">
        <v>102</v>
      </c>
      <c r="AF999" s="3" t="str">
        <f t="shared" si="223"/>
        <v>102</v>
      </c>
      <c r="AG999" t="s">
        <v>38</v>
      </c>
      <c r="AH999" s="3">
        <v>19.475999999999999</v>
      </c>
      <c r="AI999" s="3">
        <f t="shared" si="224"/>
        <v>19.475999999999999</v>
      </c>
      <c r="AJ999" t="s">
        <v>52</v>
      </c>
      <c r="AK999" t="str">
        <f>PROPER(Table1[[#This Row],[CVD Risk Level]])</f>
        <v>Low</v>
      </c>
    </row>
    <row r="1000" spans="1:37" x14ac:dyDescent="0.3">
      <c r="A1000" t="s">
        <v>20</v>
      </c>
      <c r="B1000">
        <v>43</v>
      </c>
      <c r="C1000" s="8">
        <f t="shared" si="213"/>
        <v>43</v>
      </c>
      <c r="D1000" s="5">
        <v>91.147999999999996</v>
      </c>
      <c r="E1000" s="8">
        <f t="shared" si="214"/>
        <v>91.147999999999996</v>
      </c>
      <c r="F1000">
        <v>1.998</v>
      </c>
      <c r="G1000" s="3">
        <f t="shared" si="215"/>
        <v>1.998</v>
      </c>
      <c r="H1000">
        <v>38.405000000000001</v>
      </c>
      <c r="I1000" s="5">
        <f t="shared" si="211"/>
        <v>38.405000000000001</v>
      </c>
      <c r="J1000" s="16" t="str">
        <f t="shared" si="216"/>
        <v>Obese</v>
      </c>
      <c r="K1000">
        <v>108.75</v>
      </c>
      <c r="L1000">
        <v>0.54400000000000004</v>
      </c>
      <c r="M1000" s="11">
        <f t="shared" si="212"/>
        <v>0.54400000000000004</v>
      </c>
      <c r="N1000" s="5">
        <f t="shared" si="217"/>
        <v>108.75</v>
      </c>
      <c r="O1000">
        <v>272</v>
      </c>
      <c r="P1000">
        <v>40</v>
      </c>
      <c r="Q1000" s="8">
        <f t="shared" si="218"/>
        <v>40</v>
      </c>
      <c r="R1000" s="8">
        <v>202</v>
      </c>
      <c r="S1000" s="8">
        <f t="shared" si="219"/>
        <v>202</v>
      </c>
      <c r="T1000" s="8">
        <f>(Table1[[#This Row],[Total Cholesterol (mg/dL)]]+Table1[[#This Row],[HDL (mg/dL)2]]+Table1[[#This Row],[Estimated LDL (mg/dL)2]])*5</f>
        <v>2570</v>
      </c>
      <c r="U1000" s="8">
        <f>IF(O1000="",Table1[[#This Row],[Estimated LDL (mg/dL)2]]+Table1[[#This Row],[HDL (mg/dL)2]]+(Table1[[#This Row],[Triglycerides]]/5),O1000)</f>
        <v>272</v>
      </c>
      <c r="V1000">
        <v>157</v>
      </c>
      <c r="W1000" s="8">
        <f t="shared" si="220"/>
        <v>157</v>
      </c>
      <c r="X1000" t="str">
        <f t="shared" si="221"/>
        <v>Diabetes</v>
      </c>
      <c r="Y1000" t="s">
        <v>22</v>
      </c>
      <c r="Z1000" t="s">
        <v>23</v>
      </c>
      <c r="AA1000" t="s">
        <v>24</v>
      </c>
      <c r="AB1000" s="3" t="s">
        <v>856</v>
      </c>
      <c r="AC1000">
        <v>108</v>
      </c>
      <c r="AD1000" s="3" t="str">
        <f t="shared" si="222"/>
        <v>108</v>
      </c>
      <c r="AE1000">
        <v>95</v>
      </c>
      <c r="AF1000" s="3" t="str">
        <f t="shared" si="223"/>
        <v>95</v>
      </c>
      <c r="AG1000" t="s">
        <v>38</v>
      </c>
      <c r="AH1000" s="3">
        <v>20.521000000000001</v>
      </c>
      <c r="AI1000" s="3">
        <f t="shared" si="224"/>
        <v>20.521000000000001</v>
      </c>
      <c r="AJ1000" t="s">
        <v>52</v>
      </c>
      <c r="AK1000" t="str">
        <f>PROPER(Table1[[#This Row],[CVD Risk Level]])</f>
        <v>Low</v>
      </c>
    </row>
    <row r="1001" spans="1:37" x14ac:dyDescent="0.3">
      <c r="A1001" t="s">
        <v>31</v>
      </c>
      <c r="B1001">
        <v>65</v>
      </c>
      <c r="C1001" s="8">
        <f t="shared" si="213"/>
        <v>65</v>
      </c>
      <c r="D1001" s="5">
        <v>80.069000000000003</v>
      </c>
      <c r="E1001" s="8">
        <f t="shared" si="214"/>
        <v>80.069000000000003</v>
      </c>
      <c r="G1001" s="3">
        <f t="shared" si="215"/>
        <v>1.656890342336556</v>
      </c>
      <c r="H1001">
        <v>29.166</v>
      </c>
      <c r="I1001" s="5">
        <f t="shared" si="211"/>
        <v>29.166</v>
      </c>
      <c r="J1001" s="16" t="str">
        <f t="shared" si="216"/>
        <v>Overweight</v>
      </c>
      <c r="K1001">
        <v>80.971000000000004</v>
      </c>
      <c r="L1001">
        <v>0.51900000000000002</v>
      </c>
      <c r="M1001" s="11">
        <f t="shared" si="212"/>
        <v>0.51900000000000002</v>
      </c>
      <c r="N1001" s="5">
        <f t="shared" si="217"/>
        <v>80.971000000000004</v>
      </c>
      <c r="O1001">
        <v>151</v>
      </c>
      <c r="P1001">
        <v>35</v>
      </c>
      <c r="Q1001" s="8">
        <f t="shared" si="218"/>
        <v>35</v>
      </c>
      <c r="R1001" s="8">
        <v>86</v>
      </c>
      <c r="S1001" s="8">
        <f t="shared" si="219"/>
        <v>86</v>
      </c>
      <c r="T1001" s="8">
        <f>(Table1[[#This Row],[Total Cholesterol (mg/dL)]]+Table1[[#This Row],[HDL (mg/dL)2]]+Table1[[#This Row],[Estimated LDL (mg/dL)2]])*5</f>
        <v>1360</v>
      </c>
      <c r="U1001" s="8">
        <f>IF(O1001="",Table1[[#This Row],[Estimated LDL (mg/dL)2]]+Table1[[#This Row],[HDL (mg/dL)2]]+(Table1[[#This Row],[Triglycerides]]/5),O1001)</f>
        <v>151</v>
      </c>
      <c r="V1001">
        <v>70</v>
      </c>
      <c r="W1001" s="8">
        <f t="shared" si="220"/>
        <v>70</v>
      </c>
      <c r="X1001" t="str">
        <f t="shared" si="221"/>
        <v>Normal</v>
      </c>
      <c r="Y1001" t="s">
        <v>22</v>
      </c>
      <c r="Z1001" t="s">
        <v>23</v>
      </c>
      <c r="AA1001" t="s">
        <v>28</v>
      </c>
      <c r="AB1001" s="3" t="s">
        <v>114</v>
      </c>
      <c r="AC1001">
        <v>120</v>
      </c>
      <c r="AD1001" s="3" t="str">
        <f t="shared" si="222"/>
        <v>120</v>
      </c>
      <c r="AE1001">
        <v>87</v>
      </c>
      <c r="AF1001" s="3" t="str">
        <f t="shared" si="223"/>
        <v>87</v>
      </c>
      <c r="AG1001" t="s">
        <v>29</v>
      </c>
      <c r="AH1001" s="3">
        <v>16.853000000000002</v>
      </c>
      <c r="AI1001" s="3">
        <f t="shared" si="224"/>
        <v>16.853000000000002</v>
      </c>
      <c r="AJ1001" t="s">
        <v>26</v>
      </c>
      <c r="AK1001" t="str">
        <f>PROPER(Table1[[#This Row],[CVD Risk Level]])</f>
        <v>Intermediary</v>
      </c>
    </row>
    <row r="1002" spans="1:37" x14ac:dyDescent="0.3">
      <c r="A1002" t="s">
        <v>20</v>
      </c>
      <c r="B1002">
        <v>67</v>
      </c>
      <c r="C1002" s="8">
        <f t="shared" si="213"/>
        <v>67</v>
      </c>
      <c r="D1002" s="5">
        <v>58.323999999999998</v>
      </c>
      <c r="E1002" s="8">
        <f t="shared" si="214"/>
        <v>58.323999999999998</v>
      </c>
      <c r="F1002">
        <v>1.6339999999999999</v>
      </c>
      <c r="G1002" s="3">
        <f t="shared" si="215"/>
        <v>1.6339999999999999</v>
      </c>
      <c r="H1002">
        <v>36.951999999999998</v>
      </c>
      <c r="I1002" s="5">
        <f t="shared" si="211"/>
        <v>36.951999999999998</v>
      </c>
      <c r="J1002" s="16" t="str">
        <f t="shared" si="216"/>
        <v>Obese</v>
      </c>
      <c r="K1002">
        <v>86.34</v>
      </c>
      <c r="L1002">
        <v>0.52800000000000002</v>
      </c>
      <c r="M1002" s="11">
        <f t="shared" si="212"/>
        <v>0.52800000000000002</v>
      </c>
      <c r="N1002" s="5">
        <f t="shared" si="217"/>
        <v>86.34</v>
      </c>
      <c r="O1002">
        <v>233</v>
      </c>
      <c r="P1002">
        <v>86</v>
      </c>
      <c r="Q1002" s="8">
        <f t="shared" si="218"/>
        <v>86</v>
      </c>
      <c r="R1002" s="8">
        <v>117</v>
      </c>
      <c r="S1002" s="8">
        <f t="shared" si="219"/>
        <v>117</v>
      </c>
      <c r="T1002" s="8">
        <f>(Table1[[#This Row],[Total Cholesterol (mg/dL)]]+Table1[[#This Row],[HDL (mg/dL)2]]+Table1[[#This Row],[Estimated LDL (mg/dL)2]])*5</f>
        <v>2180</v>
      </c>
      <c r="U1002" s="8">
        <f>IF(O1002="",Table1[[#This Row],[Estimated LDL (mg/dL)2]]+Table1[[#This Row],[HDL (mg/dL)2]]+(Table1[[#This Row],[Triglycerides]]/5),O1002)</f>
        <v>233</v>
      </c>
      <c r="V1002">
        <v>114</v>
      </c>
      <c r="W1002" s="8">
        <f t="shared" si="220"/>
        <v>114</v>
      </c>
      <c r="X1002" t="str">
        <f t="shared" si="221"/>
        <v>Prediabetes</v>
      </c>
      <c r="Y1002" t="s">
        <v>23</v>
      </c>
      <c r="Z1002" t="s">
        <v>23</v>
      </c>
      <c r="AA1002" t="s">
        <v>24</v>
      </c>
      <c r="AB1002" s="3" t="s">
        <v>857</v>
      </c>
      <c r="AC1002">
        <v>168</v>
      </c>
      <c r="AD1002" s="3" t="str">
        <f t="shared" si="222"/>
        <v>168</v>
      </c>
      <c r="AE1002">
        <v>60</v>
      </c>
      <c r="AF1002" s="3" t="str">
        <f t="shared" si="223"/>
        <v>60</v>
      </c>
      <c r="AG1002" t="s">
        <v>38</v>
      </c>
      <c r="AH1002" s="3">
        <v>22.45</v>
      </c>
      <c r="AI1002" s="3">
        <f t="shared" si="224"/>
        <v>22.45</v>
      </c>
      <c r="AJ1002" t="s">
        <v>52</v>
      </c>
      <c r="AK1002" t="str">
        <f>PROPER(Table1[[#This Row],[CVD Risk Level]])</f>
        <v>Low</v>
      </c>
    </row>
    <row r="1003" spans="1:37" x14ac:dyDescent="0.3">
      <c r="A1003" t="s">
        <v>31</v>
      </c>
      <c r="B1003">
        <v>52</v>
      </c>
      <c r="C1003" s="8">
        <f t="shared" si="213"/>
        <v>52</v>
      </c>
      <c r="D1003" s="5">
        <v>55.683999999999997</v>
      </c>
      <c r="E1003" s="8">
        <f t="shared" si="214"/>
        <v>55.683999999999997</v>
      </c>
      <c r="F1003">
        <v>1.552</v>
      </c>
      <c r="G1003" s="3">
        <f t="shared" si="215"/>
        <v>1.552</v>
      </c>
      <c r="I1003" s="5">
        <f t="shared" si="211"/>
        <v>23.117826017642681</v>
      </c>
      <c r="J1003" s="16" t="str">
        <f t="shared" si="216"/>
        <v>Normal</v>
      </c>
      <c r="K1003">
        <v>103.846</v>
      </c>
      <c r="L1003">
        <v>0.66900000000000004</v>
      </c>
      <c r="M1003" s="11">
        <f t="shared" si="212"/>
        <v>0.66900000000000004</v>
      </c>
      <c r="N1003" s="5">
        <f t="shared" si="217"/>
        <v>103.846</v>
      </c>
      <c r="O1003">
        <v>298</v>
      </c>
      <c r="P1003">
        <v>53</v>
      </c>
      <c r="Q1003" s="8">
        <f t="shared" si="218"/>
        <v>53</v>
      </c>
      <c r="R1003" s="8">
        <v>215</v>
      </c>
      <c r="S1003" s="8">
        <f t="shared" si="219"/>
        <v>215</v>
      </c>
      <c r="T1003" s="8">
        <f>(Table1[[#This Row],[Total Cholesterol (mg/dL)]]+Table1[[#This Row],[HDL (mg/dL)2]]+Table1[[#This Row],[Estimated LDL (mg/dL)2]])*5</f>
        <v>2830</v>
      </c>
      <c r="U1003" s="8">
        <f>IF(O1003="",Table1[[#This Row],[Estimated LDL (mg/dL)2]]+Table1[[#This Row],[HDL (mg/dL)2]]+(Table1[[#This Row],[Triglycerides]]/5),O1003)</f>
        <v>298</v>
      </c>
      <c r="V1003">
        <v>149</v>
      </c>
      <c r="W1003" s="8">
        <f t="shared" si="220"/>
        <v>149</v>
      </c>
      <c r="X1003" t="str">
        <f t="shared" si="221"/>
        <v>Diabetes</v>
      </c>
      <c r="Y1003" t="s">
        <v>23</v>
      </c>
      <c r="Z1003" t="s">
        <v>23</v>
      </c>
      <c r="AA1003" t="s">
        <v>24</v>
      </c>
      <c r="AB1003" s="3" t="s">
        <v>858</v>
      </c>
      <c r="AC1003">
        <v>147</v>
      </c>
      <c r="AD1003" s="3" t="str">
        <f t="shared" si="222"/>
        <v>147</v>
      </c>
      <c r="AE1003">
        <v>87</v>
      </c>
      <c r="AF1003" s="3" t="str">
        <f t="shared" si="223"/>
        <v>87</v>
      </c>
      <c r="AG1003" t="s">
        <v>29</v>
      </c>
      <c r="AH1003" s="3">
        <v>21.032</v>
      </c>
      <c r="AI1003" s="3">
        <f t="shared" si="224"/>
        <v>21.032</v>
      </c>
      <c r="AJ1003" t="s">
        <v>30</v>
      </c>
      <c r="AK1003" t="str">
        <f>PROPER(Table1[[#This Row],[CVD Risk Level]])</f>
        <v>High</v>
      </c>
    </row>
    <row r="1004" spans="1:37" x14ac:dyDescent="0.3">
      <c r="A1004" t="s">
        <v>20</v>
      </c>
      <c r="B1004">
        <v>28</v>
      </c>
      <c r="C1004" s="8">
        <f t="shared" si="213"/>
        <v>28</v>
      </c>
      <c r="D1004" s="5">
        <v>88.094999999999999</v>
      </c>
      <c r="E1004" s="8">
        <f t="shared" si="214"/>
        <v>88.094999999999999</v>
      </c>
      <c r="F1004">
        <v>1.738</v>
      </c>
      <c r="G1004" s="3">
        <f t="shared" si="215"/>
        <v>1.738</v>
      </c>
      <c r="H1004">
        <v>24.181999999999999</v>
      </c>
      <c r="I1004" s="5">
        <f t="shared" si="211"/>
        <v>24.181999999999999</v>
      </c>
      <c r="J1004" s="16" t="str">
        <f t="shared" si="216"/>
        <v>Normal</v>
      </c>
      <c r="K1004">
        <v>70.090999999999994</v>
      </c>
      <c r="L1004">
        <v>0.40300000000000002</v>
      </c>
      <c r="M1004" s="11">
        <f t="shared" si="212"/>
        <v>0.40300000000000002</v>
      </c>
      <c r="N1004" s="5">
        <f t="shared" si="217"/>
        <v>70.090999999999994</v>
      </c>
      <c r="O1004">
        <v>141</v>
      </c>
      <c r="P1004">
        <v>35</v>
      </c>
      <c r="Q1004" s="8">
        <f t="shared" si="218"/>
        <v>35</v>
      </c>
      <c r="R1004" s="8">
        <v>76</v>
      </c>
      <c r="S1004" s="8">
        <f t="shared" si="219"/>
        <v>76</v>
      </c>
      <c r="T1004" s="8">
        <f>(Table1[[#This Row],[Total Cholesterol (mg/dL)]]+Table1[[#This Row],[HDL (mg/dL)2]]+Table1[[#This Row],[Estimated LDL (mg/dL)2]])*5</f>
        <v>1260</v>
      </c>
      <c r="U1004" s="8">
        <f>IF(O1004="",Table1[[#This Row],[Estimated LDL (mg/dL)2]]+Table1[[#This Row],[HDL (mg/dL)2]]+(Table1[[#This Row],[Triglycerides]]/5),O1004)</f>
        <v>141</v>
      </c>
      <c r="V1004">
        <v>74</v>
      </c>
      <c r="W1004" s="8">
        <f t="shared" si="220"/>
        <v>74</v>
      </c>
      <c r="X1004" t="str">
        <f t="shared" si="221"/>
        <v>Normal</v>
      </c>
      <c r="Y1004" t="s">
        <v>23</v>
      </c>
      <c r="Z1004" t="s">
        <v>23</v>
      </c>
      <c r="AA1004" t="s">
        <v>24</v>
      </c>
      <c r="AB1004" s="3" t="s">
        <v>859</v>
      </c>
      <c r="AC1004">
        <v>99</v>
      </c>
      <c r="AD1004" s="3" t="str">
        <f t="shared" si="222"/>
        <v>99</v>
      </c>
      <c r="AE1004">
        <v>80</v>
      </c>
      <c r="AF1004" s="3" t="str">
        <f t="shared" si="223"/>
        <v>80</v>
      </c>
      <c r="AG1004" t="s">
        <v>29</v>
      </c>
      <c r="AH1004" s="3">
        <v>14.606</v>
      </c>
      <c r="AI1004" s="3">
        <f t="shared" si="224"/>
        <v>14.606</v>
      </c>
      <c r="AJ1004" t="s">
        <v>26</v>
      </c>
      <c r="AK1004" t="str">
        <f>PROPER(Table1[[#This Row],[CVD Risk Level]])</f>
        <v>Intermediary</v>
      </c>
    </row>
    <row r="1005" spans="1:37" x14ac:dyDescent="0.3">
      <c r="A1005" t="s">
        <v>31</v>
      </c>
      <c r="B1005">
        <v>79</v>
      </c>
      <c r="C1005" s="8">
        <f t="shared" si="213"/>
        <v>79</v>
      </c>
      <c r="D1005" s="5">
        <v>102.027</v>
      </c>
      <c r="E1005" s="8">
        <f t="shared" si="214"/>
        <v>102.027</v>
      </c>
      <c r="F1005">
        <v>1.786</v>
      </c>
      <c r="G1005" s="3">
        <f t="shared" si="215"/>
        <v>1.786</v>
      </c>
      <c r="H1005">
        <v>18.585000000000001</v>
      </c>
      <c r="I1005" s="5">
        <f t="shared" si="211"/>
        <v>18.585000000000001</v>
      </c>
      <c r="J1005" s="16" t="str">
        <f t="shared" si="216"/>
        <v>Normal</v>
      </c>
      <c r="K1005">
        <v>83.74</v>
      </c>
      <c r="L1005">
        <v>0.46899999999999997</v>
      </c>
      <c r="M1005" s="11">
        <f t="shared" si="212"/>
        <v>0.46899999999999997</v>
      </c>
      <c r="N1005" s="5">
        <f t="shared" si="217"/>
        <v>83.74</v>
      </c>
      <c r="O1005">
        <v>182</v>
      </c>
      <c r="P1005">
        <v>87</v>
      </c>
      <c r="Q1005" s="8">
        <f t="shared" si="218"/>
        <v>87</v>
      </c>
      <c r="R1005" s="8">
        <v>65</v>
      </c>
      <c r="S1005" s="8">
        <f t="shared" si="219"/>
        <v>65</v>
      </c>
      <c r="T1005" s="8">
        <f>(Table1[[#This Row],[Total Cholesterol (mg/dL)]]+Table1[[#This Row],[HDL (mg/dL)2]]+Table1[[#This Row],[Estimated LDL (mg/dL)2]])*5</f>
        <v>1670</v>
      </c>
      <c r="U1005" s="8">
        <f>IF(O1005="",Table1[[#This Row],[Estimated LDL (mg/dL)2]]+Table1[[#This Row],[HDL (mg/dL)2]]+(Table1[[#This Row],[Triglycerides]]/5),O1005)</f>
        <v>182</v>
      </c>
      <c r="V1005">
        <v>102</v>
      </c>
      <c r="W1005" s="8">
        <f t="shared" si="220"/>
        <v>102</v>
      </c>
      <c r="X1005" t="str">
        <f t="shared" si="221"/>
        <v>Prediabetes</v>
      </c>
      <c r="Y1005" t="s">
        <v>23</v>
      </c>
      <c r="Z1005" t="s">
        <v>22</v>
      </c>
      <c r="AA1005" t="s">
        <v>24</v>
      </c>
      <c r="AB1005" s="3" t="s">
        <v>860</v>
      </c>
      <c r="AC1005">
        <v>152</v>
      </c>
      <c r="AD1005" s="3" t="str">
        <f t="shared" si="222"/>
        <v>152</v>
      </c>
      <c r="AE1005">
        <v>109</v>
      </c>
      <c r="AF1005" s="3" t="str">
        <f t="shared" si="223"/>
        <v>109</v>
      </c>
      <c r="AG1005" t="s">
        <v>38</v>
      </c>
      <c r="AH1005" s="3">
        <v>14.957000000000001</v>
      </c>
      <c r="AI1005" s="3">
        <f t="shared" si="224"/>
        <v>14.957000000000001</v>
      </c>
      <c r="AJ1005" t="s">
        <v>26</v>
      </c>
      <c r="AK1005" t="str">
        <f>PROPER(Table1[[#This Row],[CVD Risk Level]])</f>
        <v>Intermediary</v>
      </c>
    </row>
    <row r="1006" spans="1:37" x14ac:dyDescent="0.3">
      <c r="A1006" t="s">
        <v>20</v>
      </c>
      <c r="B1006">
        <v>54</v>
      </c>
      <c r="C1006" s="8">
        <f t="shared" si="213"/>
        <v>54</v>
      </c>
      <c r="D1006" s="5">
        <v>98.343000000000004</v>
      </c>
      <c r="E1006" s="8">
        <f t="shared" si="214"/>
        <v>98.343000000000004</v>
      </c>
      <c r="F1006">
        <v>1.887</v>
      </c>
      <c r="G1006" s="3">
        <f t="shared" si="215"/>
        <v>1.887</v>
      </c>
      <c r="H1006">
        <v>35.972999999999999</v>
      </c>
      <c r="I1006" s="5">
        <f t="shared" si="211"/>
        <v>35.972999999999999</v>
      </c>
      <c r="J1006" s="16" t="str">
        <f t="shared" si="216"/>
        <v>Obese</v>
      </c>
      <c r="K1006">
        <v>103.28400000000001</v>
      </c>
      <c r="L1006">
        <v>0.54700000000000004</v>
      </c>
      <c r="M1006" s="11">
        <f t="shared" si="212"/>
        <v>0.54700000000000004</v>
      </c>
      <c r="N1006" s="5">
        <f t="shared" si="217"/>
        <v>103.28400000000001</v>
      </c>
      <c r="O1006">
        <v>295</v>
      </c>
      <c r="P1006">
        <v>64</v>
      </c>
      <c r="Q1006" s="8">
        <f t="shared" si="218"/>
        <v>64</v>
      </c>
      <c r="R1006" s="8">
        <v>201</v>
      </c>
      <c r="S1006" s="8">
        <f t="shared" si="219"/>
        <v>201</v>
      </c>
      <c r="T1006" s="8">
        <f>(Table1[[#This Row],[Total Cholesterol (mg/dL)]]+Table1[[#This Row],[HDL (mg/dL)2]]+Table1[[#This Row],[Estimated LDL (mg/dL)2]])*5</f>
        <v>2800</v>
      </c>
      <c r="U1006" s="8">
        <f>IF(O1006="",Table1[[#This Row],[Estimated LDL (mg/dL)2]]+Table1[[#This Row],[HDL (mg/dL)2]]+(Table1[[#This Row],[Triglycerides]]/5),O1006)</f>
        <v>295</v>
      </c>
      <c r="V1006">
        <v>75</v>
      </c>
      <c r="W1006" s="8">
        <f t="shared" si="220"/>
        <v>75</v>
      </c>
      <c r="X1006" t="str">
        <f t="shared" si="221"/>
        <v>Normal</v>
      </c>
      <c r="Y1006" t="s">
        <v>23</v>
      </c>
      <c r="Z1006" t="s">
        <v>23</v>
      </c>
      <c r="AA1006" t="s">
        <v>37</v>
      </c>
      <c r="AB1006" s="3" t="s">
        <v>861</v>
      </c>
      <c r="AC1006">
        <v>104</v>
      </c>
      <c r="AD1006" s="3" t="str">
        <f t="shared" si="222"/>
        <v>104</v>
      </c>
      <c r="AE1006">
        <v>99</v>
      </c>
      <c r="AF1006" s="3" t="str">
        <f t="shared" si="223"/>
        <v>99</v>
      </c>
      <c r="AG1006" t="s">
        <v>38</v>
      </c>
      <c r="AH1006" s="3">
        <v>20.295000000000002</v>
      </c>
      <c r="AI1006" s="3">
        <f t="shared" si="224"/>
        <v>20.295000000000002</v>
      </c>
      <c r="AJ1006" t="s">
        <v>52</v>
      </c>
      <c r="AK1006" t="str">
        <f>PROPER(Table1[[#This Row],[CVD Risk Level]])</f>
        <v>Low</v>
      </c>
    </row>
    <row r="1007" spans="1:37" x14ac:dyDescent="0.3">
      <c r="A1007" t="s">
        <v>31</v>
      </c>
      <c r="B1007">
        <v>79</v>
      </c>
      <c r="C1007" s="8">
        <f t="shared" si="213"/>
        <v>79</v>
      </c>
      <c r="D1007" s="5">
        <v>75.956999999999994</v>
      </c>
      <c r="E1007" s="8">
        <f t="shared" si="214"/>
        <v>75.956999999999994</v>
      </c>
      <c r="F1007">
        <v>1.6539999999999999</v>
      </c>
      <c r="G1007" s="3">
        <f t="shared" si="215"/>
        <v>1.6539999999999999</v>
      </c>
      <c r="H1007">
        <v>21.277999999999999</v>
      </c>
      <c r="I1007" s="5">
        <f t="shared" si="211"/>
        <v>21.277999999999999</v>
      </c>
      <c r="J1007" s="16" t="str">
        <f t="shared" si="216"/>
        <v>Normal</v>
      </c>
      <c r="K1007">
        <v>117.142</v>
      </c>
      <c r="L1007">
        <v>0.70799999999999996</v>
      </c>
      <c r="M1007" s="11">
        <f t="shared" si="212"/>
        <v>0.70799999999999996</v>
      </c>
      <c r="N1007" s="5">
        <f t="shared" si="217"/>
        <v>117.142</v>
      </c>
      <c r="O1007">
        <v>112</v>
      </c>
      <c r="P1007">
        <v>61</v>
      </c>
      <c r="Q1007" s="8">
        <f t="shared" si="218"/>
        <v>61</v>
      </c>
      <c r="R1007" s="8">
        <v>21</v>
      </c>
      <c r="S1007" s="8">
        <f t="shared" si="219"/>
        <v>21</v>
      </c>
      <c r="T1007" s="8">
        <f>(Table1[[#This Row],[Total Cholesterol (mg/dL)]]+Table1[[#This Row],[HDL (mg/dL)2]]+Table1[[#This Row],[Estimated LDL (mg/dL)2]])*5</f>
        <v>970</v>
      </c>
      <c r="U1007" s="8">
        <f>IF(O1007="",Table1[[#This Row],[Estimated LDL (mg/dL)2]]+Table1[[#This Row],[HDL (mg/dL)2]]+(Table1[[#This Row],[Triglycerides]]/5),O1007)</f>
        <v>112</v>
      </c>
      <c r="V1007">
        <v>89</v>
      </c>
      <c r="W1007" s="8">
        <f t="shared" si="220"/>
        <v>89</v>
      </c>
      <c r="X1007" t="str">
        <f t="shared" si="221"/>
        <v>Normal</v>
      </c>
      <c r="Y1007" t="s">
        <v>22</v>
      </c>
      <c r="Z1007" t="s">
        <v>22</v>
      </c>
      <c r="AA1007" t="s">
        <v>28</v>
      </c>
      <c r="AB1007" s="3" t="s">
        <v>862</v>
      </c>
      <c r="AC1007">
        <v>155</v>
      </c>
      <c r="AD1007" s="3" t="str">
        <f t="shared" si="222"/>
        <v>155</v>
      </c>
      <c r="AE1007">
        <v>119</v>
      </c>
      <c r="AF1007" s="3" t="str">
        <f t="shared" si="223"/>
        <v>119</v>
      </c>
      <c r="AG1007" t="s">
        <v>38</v>
      </c>
      <c r="AH1007" s="3">
        <v>14.246</v>
      </c>
      <c r="AI1007" s="3">
        <f t="shared" si="224"/>
        <v>14.246</v>
      </c>
      <c r="AJ1007" t="s">
        <v>26</v>
      </c>
      <c r="AK1007" t="str">
        <f>PROPER(Table1[[#This Row],[CVD Risk Level]])</f>
        <v>Intermediary</v>
      </c>
    </row>
    <row r="1008" spans="1:37" x14ac:dyDescent="0.3">
      <c r="A1008" t="s">
        <v>31</v>
      </c>
      <c r="B1008">
        <v>27</v>
      </c>
      <c r="C1008" s="8">
        <f t="shared" si="213"/>
        <v>27</v>
      </c>
      <c r="D1008" s="5">
        <v>114.312</v>
      </c>
      <c r="E1008" s="8">
        <f t="shared" si="214"/>
        <v>114.312</v>
      </c>
      <c r="F1008">
        <v>1.6879999999999999</v>
      </c>
      <c r="G1008" s="3">
        <f t="shared" si="215"/>
        <v>1.6879999999999999</v>
      </c>
      <c r="H1008">
        <v>25.163</v>
      </c>
      <c r="I1008" s="5">
        <f t="shared" si="211"/>
        <v>25.163</v>
      </c>
      <c r="J1008" s="16" t="str">
        <f t="shared" si="216"/>
        <v>Overweight</v>
      </c>
      <c r="L1008">
        <v>0.58399999999999996</v>
      </c>
      <c r="M1008" s="11">
        <f t="shared" si="212"/>
        <v>0.58399999999999996</v>
      </c>
      <c r="N1008" s="5">
        <f t="shared" si="217"/>
        <v>98.579199999999986</v>
      </c>
      <c r="O1008">
        <v>210</v>
      </c>
      <c r="P1008">
        <v>41</v>
      </c>
      <c r="Q1008" s="8">
        <f t="shared" si="218"/>
        <v>41</v>
      </c>
      <c r="R1008" s="8">
        <v>139</v>
      </c>
      <c r="S1008" s="8">
        <f t="shared" si="219"/>
        <v>139</v>
      </c>
      <c r="T1008" s="8">
        <f>(Table1[[#This Row],[Total Cholesterol (mg/dL)]]+Table1[[#This Row],[HDL (mg/dL)2]]+Table1[[#This Row],[Estimated LDL (mg/dL)2]])*5</f>
        <v>1950</v>
      </c>
      <c r="U1008" s="8">
        <f>IF(O1008="",Table1[[#This Row],[Estimated LDL (mg/dL)2]]+Table1[[#This Row],[HDL (mg/dL)2]]+(Table1[[#This Row],[Triglycerides]]/5),O1008)</f>
        <v>210</v>
      </c>
      <c r="V1008">
        <v>80</v>
      </c>
      <c r="W1008" s="8">
        <f t="shared" si="220"/>
        <v>80</v>
      </c>
      <c r="X1008" t="str">
        <f t="shared" si="221"/>
        <v>Normal</v>
      </c>
      <c r="Y1008" t="s">
        <v>23</v>
      </c>
      <c r="Z1008" t="s">
        <v>22</v>
      </c>
      <c r="AA1008" t="s">
        <v>24</v>
      </c>
      <c r="AB1008" s="3" t="s">
        <v>863</v>
      </c>
      <c r="AC1008">
        <v>140</v>
      </c>
      <c r="AD1008" s="3" t="str">
        <f t="shared" si="222"/>
        <v>140</v>
      </c>
      <c r="AE1008">
        <v>106</v>
      </c>
      <c r="AF1008" s="3" t="str">
        <f t="shared" si="223"/>
        <v>106</v>
      </c>
      <c r="AG1008" t="s">
        <v>38</v>
      </c>
      <c r="AH1008" s="3">
        <v>16.233000000000001</v>
      </c>
      <c r="AI1008" s="3">
        <f t="shared" si="224"/>
        <v>16.233000000000001</v>
      </c>
      <c r="AJ1008" t="s">
        <v>26</v>
      </c>
      <c r="AK1008" t="str">
        <f>PROPER(Table1[[#This Row],[CVD Risk Level]])</f>
        <v>Intermediary</v>
      </c>
    </row>
    <row r="1009" spans="1:37" x14ac:dyDescent="0.3">
      <c r="A1009" t="s">
        <v>20</v>
      </c>
      <c r="B1009">
        <v>70</v>
      </c>
      <c r="C1009" s="8">
        <f t="shared" si="213"/>
        <v>70</v>
      </c>
      <c r="E1009" s="8">
        <f t="shared" si="214"/>
        <v>115.32012574399999</v>
      </c>
      <c r="F1009">
        <v>1.754</v>
      </c>
      <c r="G1009" s="3">
        <f t="shared" si="215"/>
        <v>1.754</v>
      </c>
      <c r="H1009">
        <v>37.484000000000002</v>
      </c>
      <c r="I1009" s="5">
        <f t="shared" si="211"/>
        <v>37.484000000000002</v>
      </c>
      <c r="J1009" s="16" t="str">
        <f t="shared" si="216"/>
        <v>Obese</v>
      </c>
      <c r="K1009">
        <v>95.49</v>
      </c>
      <c r="L1009">
        <v>0.54500000000000004</v>
      </c>
      <c r="M1009" s="11">
        <f t="shared" si="212"/>
        <v>0.54500000000000004</v>
      </c>
      <c r="N1009" s="5">
        <f t="shared" si="217"/>
        <v>95.49</v>
      </c>
      <c r="O1009">
        <v>172</v>
      </c>
      <c r="P1009">
        <v>65</v>
      </c>
      <c r="Q1009" s="8">
        <f t="shared" si="218"/>
        <v>65</v>
      </c>
      <c r="R1009" s="8">
        <v>77</v>
      </c>
      <c r="S1009" s="8">
        <f t="shared" si="219"/>
        <v>77</v>
      </c>
      <c r="T1009" s="8">
        <f>(Table1[[#This Row],[Total Cholesterol (mg/dL)]]+Table1[[#This Row],[HDL (mg/dL)2]]+Table1[[#This Row],[Estimated LDL (mg/dL)2]])*5</f>
        <v>1570</v>
      </c>
      <c r="U1009" s="8">
        <f>IF(O1009="",Table1[[#This Row],[Estimated LDL (mg/dL)2]]+Table1[[#This Row],[HDL (mg/dL)2]]+(Table1[[#This Row],[Triglycerides]]/5),O1009)</f>
        <v>172</v>
      </c>
      <c r="V1009">
        <v>141</v>
      </c>
      <c r="W1009" s="8">
        <f t="shared" si="220"/>
        <v>141</v>
      </c>
      <c r="X1009" t="str">
        <f t="shared" si="221"/>
        <v>Diabetes</v>
      </c>
      <c r="Y1009" t="s">
        <v>22</v>
      </c>
      <c r="Z1009" t="s">
        <v>22</v>
      </c>
      <c r="AA1009" t="s">
        <v>24</v>
      </c>
      <c r="AB1009" s="3" t="s">
        <v>864</v>
      </c>
      <c r="AC1009">
        <v>113</v>
      </c>
      <c r="AD1009" s="3" t="str">
        <f t="shared" si="222"/>
        <v>113</v>
      </c>
      <c r="AE1009">
        <v>119</v>
      </c>
      <c r="AF1009" s="3" t="str">
        <f t="shared" si="223"/>
        <v>119</v>
      </c>
      <c r="AG1009" t="s">
        <v>38</v>
      </c>
      <c r="AH1009" s="3">
        <v>16.587</v>
      </c>
      <c r="AI1009" s="3">
        <f t="shared" si="224"/>
        <v>16.587</v>
      </c>
      <c r="AJ1009" t="s">
        <v>52</v>
      </c>
      <c r="AK1009" t="str">
        <f>PROPER(Table1[[#This Row],[CVD Risk Level]])</f>
        <v>Low</v>
      </c>
    </row>
    <row r="1010" spans="1:37" x14ac:dyDescent="0.3">
      <c r="A1010" t="s">
        <v>20</v>
      </c>
      <c r="B1010">
        <v>37</v>
      </c>
      <c r="C1010" s="8">
        <f t="shared" si="213"/>
        <v>37</v>
      </c>
      <c r="D1010" s="5">
        <v>82.742999999999995</v>
      </c>
      <c r="E1010" s="8">
        <f t="shared" si="214"/>
        <v>82.742999999999995</v>
      </c>
      <c r="F1010">
        <v>1.9770000000000001</v>
      </c>
      <c r="G1010" s="3">
        <f t="shared" si="215"/>
        <v>1.9770000000000001</v>
      </c>
      <c r="H1010">
        <v>24.571999999999999</v>
      </c>
      <c r="I1010" s="5">
        <f t="shared" si="211"/>
        <v>24.571999999999999</v>
      </c>
      <c r="J1010" s="16" t="str">
        <f t="shared" si="216"/>
        <v>Normal</v>
      </c>
      <c r="K1010">
        <v>95.001999999999995</v>
      </c>
      <c r="L1010">
        <v>0.48099999999999998</v>
      </c>
      <c r="M1010" s="11">
        <f t="shared" si="212"/>
        <v>0.48099999999999998</v>
      </c>
      <c r="N1010" s="5">
        <f t="shared" si="217"/>
        <v>95.001999999999995</v>
      </c>
      <c r="O1010">
        <v>282</v>
      </c>
      <c r="P1010">
        <v>57</v>
      </c>
      <c r="Q1010" s="8">
        <f t="shared" si="218"/>
        <v>57</v>
      </c>
      <c r="R1010" s="8">
        <v>195</v>
      </c>
      <c r="S1010" s="8">
        <f t="shared" si="219"/>
        <v>195</v>
      </c>
      <c r="T1010" s="8">
        <f>(Table1[[#This Row],[Total Cholesterol (mg/dL)]]+Table1[[#This Row],[HDL (mg/dL)2]]+Table1[[#This Row],[Estimated LDL (mg/dL)2]])*5</f>
        <v>2670</v>
      </c>
      <c r="U1010" s="8">
        <f>IF(O1010="",Table1[[#This Row],[Estimated LDL (mg/dL)2]]+Table1[[#This Row],[HDL (mg/dL)2]]+(Table1[[#This Row],[Triglycerides]]/5),O1010)</f>
        <v>282</v>
      </c>
      <c r="V1010">
        <v>164</v>
      </c>
      <c r="W1010" s="8">
        <f t="shared" si="220"/>
        <v>164</v>
      </c>
      <c r="X1010" t="str">
        <f t="shared" si="221"/>
        <v>Diabetes</v>
      </c>
      <c r="Y1010" t="s">
        <v>22</v>
      </c>
      <c r="Z1010" t="s">
        <v>23</v>
      </c>
      <c r="AA1010" t="s">
        <v>24</v>
      </c>
      <c r="AB1010" s="3" t="s">
        <v>865</v>
      </c>
      <c r="AC1010">
        <v>136</v>
      </c>
      <c r="AD1010" s="3" t="str">
        <f t="shared" si="222"/>
        <v>136</v>
      </c>
      <c r="AE1010">
        <v>114</v>
      </c>
      <c r="AF1010" s="3" t="str">
        <f t="shared" si="223"/>
        <v>114</v>
      </c>
      <c r="AG1010" t="s">
        <v>29</v>
      </c>
      <c r="AH1010" s="3">
        <v>19.353999999999999</v>
      </c>
      <c r="AI1010" s="3">
        <f t="shared" si="224"/>
        <v>19.353999999999999</v>
      </c>
      <c r="AJ1010" t="s">
        <v>30</v>
      </c>
      <c r="AK1010" t="str">
        <f>PROPER(Table1[[#This Row],[CVD Risk Level]])</f>
        <v>High</v>
      </c>
    </row>
    <row r="1011" spans="1:37" x14ac:dyDescent="0.3">
      <c r="A1011" t="s">
        <v>31</v>
      </c>
      <c r="B1011">
        <v>43</v>
      </c>
      <c r="C1011" s="8">
        <f t="shared" si="213"/>
        <v>43</v>
      </c>
      <c r="D1011" s="5">
        <v>98.221999999999994</v>
      </c>
      <c r="E1011" s="8">
        <f t="shared" si="214"/>
        <v>98.221999999999994</v>
      </c>
      <c r="F1011">
        <v>1.9830000000000001</v>
      </c>
      <c r="G1011" s="3">
        <f t="shared" si="215"/>
        <v>1.9830000000000001</v>
      </c>
      <c r="H1011">
        <v>24.088999999999999</v>
      </c>
      <c r="I1011" s="5">
        <f t="shared" si="211"/>
        <v>24.088999999999999</v>
      </c>
      <c r="J1011" s="16" t="str">
        <f t="shared" si="216"/>
        <v>Normal</v>
      </c>
      <c r="K1011">
        <v>116.852</v>
      </c>
      <c r="L1011">
        <v>0.58899999999999997</v>
      </c>
      <c r="M1011" s="11">
        <f t="shared" si="212"/>
        <v>0.58899999999999997</v>
      </c>
      <c r="N1011" s="5">
        <f t="shared" si="217"/>
        <v>116.852</v>
      </c>
      <c r="O1011">
        <v>152</v>
      </c>
      <c r="P1011">
        <v>47</v>
      </c>
      <c r="Q1011" s="8">
        <f t="shared" si="218"/>
        <v>47</v>
      </c>
      <c r="R1011" s="8">
        <v>75</v>
      </c>
      <c r="S1011" s="8">
        <f t="shared" si="219"/>
        <v>75</v>
      </c>
      <c r="T1011" s="8">
        <f>(Table1[[#This Row],[Total Cholesterol (mg/dL)]]+Table1[[#This Row],[HDL (mg/dL)2]]+Table1[[#This Row],[Estimated LDL (mg/dL)2]])*5</f>
        <v>1370</v>
      </c>
      <c r="U1011" s="8">
        <f>IF(O1011="",Table1[[#This Row],[Estimated LDL (mg/dL)2]]+Table1[[#This Row],[HDL (mg/dL)2]]+(Table1[[#This Row],[Triglycerides]]/5),O1011)</f>
        <v>152</v>
      </c>
      <c r="W1011" s="8">
        <f t="shared" si="220"/>
        <v>117.48563611491107</v>
      </c>
      <c r="X1011" t="str">
        <f t="shared" si="221"/>
        <v>Prediabetes</v>
      </c>
      <c r="Y1011" t="s">
        <v>23</v>
      </c>
      <c r="Z1011" t="s">
        <v>22</v>
      </c>
      <c r="AA1011" t="s">
        <v>28</v>
      </c>
      <c r="AB1011" s="3" t="s">
        <v>866</v>
      </c>
      <c r="AC1011">
        <v>103</v>
      </c>
      <c r="AD1011" s="3" t="str">
        <f t="shared" si="222"/>
        <v>103</v>
      </c>
      <c r="AE1011">
        <v>68</v>
      </c>
      <c r="AF1011" s="3" t="str">
        <f t="shared" si="223"/>
        <v>68</v>
      </c>
      <c r="AG1011" t="s">
        <v>33</v>
      </c>
      <c r="AH1011" s="3">
        <v>13.007999999999999</v>
      </c>
      <c r="AI1011" s="3">
        <f t="shared" si="224"/>
        <v>13.007999999999999</v>
      </c>
      <c r="AJ1011" t="s">
        <v>30</v>
      </c>
      <c r="AK1011" t="str">
        <f>PROPER(Table1[[#This Row],[CVD Risk Level]])</f>
        <v>High</v>
      </c>
    </row>
    <row r="1012" spans="1:37" x14ac:dyDescent="0.3">
      <c r="A1012" t="s">
        <v>31</v>
      </c>
      <c r="B1012">
        <v>31</v>
      </c>
      <c r="C1012" s="8">
        <f t="shared" si="213"/>
        <v>31</v>
      </c>
      <c r="D1012" s="5">
        <v>104.34399999999999</v>
      </c>
      <c r="E1012" s="8">
        <f t="shared" si="214"/>
        <v>104.34399999999999</v>
      </c>
      <c r="F1012">
        <v>1.9550000000000001</v>
      </c>
      <c r="G1012" s="3">
        <f t="shared" si="215"/>
        <v>1.9550000000000001</v>
      </c>
      <c r="H1012">
        <v>27.114999999999998</v>
      </c>
      <c r="I1012" s="5">
        <f t="shared" si="211"/>
        <v>27.114999999999998</v>
      </c>
      <c r="J1012" s="16" t="str">
        <f t="shared" si="216"/>
        <v>Overweight</v>
      </c>
      <c r="K1012">
        <v>74.353999999999999</v>
      </c>
      <c r="L1012">
        <v>0.38</v>
      </c>
      <c r="M1012" s="11">
        <f t="shared" si="212"/>
        <v>0.38</v>
      </c>
      <c r="N1012" s="5">
        <f t="shared" si="217"/>
        <v>74.353999999999999</v>
      </c>
      <c r="O1012">
        <v>160</v>
      </c>
      <c r="P1012">
        <v>39</v>
      </c>
      <c r="Q1012" s="8">
        <f t="shared" si="218"/>
        <v>39</v>
      </c>
      <c r="R1012" s="8">
        <v>91</v>
      </c>
      <c r="S1012" s="8">
        <f t="shared" si="219"/>
        <v>91</v>
      </c>
      <c r="T1012" s="8">
        <f>(Table1[[#This Row],[Total Cholesterol (mg/dL)]]+Table1[[#This Row],[HDL (mg/dL)2]]+Table1[[#This Row],[Estimated LDL (mg/dL)2]])*5</f>
        <v>1450</v>
      </c>
      <c r="U1012" s="8">
        <f>IF(O1012="",Table1[[#This Row],[Estimated LDL (mg/dL)2]]+Table1[[#This Row],[HDL (mg/dL)2]]+(Table1[[#This Row],[Triglycerides]]/5),O1012)</f>
        <v>160</v>
      </c>
      <c r="V1012">
        <v>89</v>
      </c>
      <c r="W1012" s="8">
        <f t="shared" si="220"/>
        <v>89</v>
      </c>
      <c r="X1012" t="str">
        <f t="shared" si="221"/>
        <v>Normal</v>
      </c>
      <c r="Y1012" t="s">
        <v>22</v>
      </c>
      <c r="Z1012" t="s">
        <v>22</v>
      </c>
      <c r="AA1012" t="s">
        <v>24</v>
      </c>
      <c r="AB1012" s="3" t="s">
        <v>867</v>
      </c>
      <c r="AC1012">
        <v>174</v>
      </c>
      <c r="AD1012" s="3" t="str">
        <f t="shared" si="222"/>
        <v>174</v>
      </c>
      <c r="AF1012" s="3" t="str">
        <f t="shared" si="223"/>
        <v>119</v>
      </c>
      <c r="AG1012" t="s">
        <v>38</v>
      </c>
      <c r="AH1012" s="3">
        <v>17.323</v>
      </c>
      <c r="AI1012" s="3">
        <f t="shared" si="224"/>
        <v>17.323</v>
      </c>
      <c r="AJ1012" t="s">
        <v>26</v>
      </c>
      <c r="AK1012" t="str">
        <f>PROPER(Table1[[#This Row],[CVD Risk Level]])</f>
        <v>Intermediary</v>
      </c>
    </row>
    <row r="1013" spans="1:37" x14ac:dyDescent="0.3">
      <c r="A1013" t="s">
        <v>31</v>
      </c>
      <c r="B1013">
        <v>30</v>
      </c>
      <c r="C1013" s="8">
        <f t="shared" si="213"/>
        <v>30</v>
      </c>
      <c r="D1013" s="5">
        <v>72.361999999999995</v>
      </c>
      <c r="E1013" s="8">
        <f t="shared" si="214"/>
        <v>72.361999999999995</v>
      </c>
      <c r="F1013">
        <v>1.5920000000000001</v>
      </c>
      <c r="G1013" s="3">
        <f t="shared" si="215"/>
        <v>1.5920000000000001</v>
      </c>
      <c r="H1013">
        <v>27.881</v>
      </c>
      <c r="I1013" s="5">
        <f t="shared" si="211"/>
        <v>27.881</v>
      </c>
      <c r="J1013" s="16" t="str">
        <f t="shared" si="216"/>
        <v>Overweight</v>
      </c>
      <c r="K1013">
        <v>117.02200000000001</v>
      </c>
      <c r="L1013">
        <v>0.73499999999999999</v>
      </c>
      <c r="M1013" s="11">
        <f t="shared" si="212"/>
        <v>0.73499999999999999</v>
      </c>
      <c r="N1013" s="5">
        <f t="shared" si="217"/>
        <v>117.02200000000001</v>
      </c>
      <c r="O1013">
        <v>107</v>
      </c>
      <c r="P1013">
        <v>40</v>
      </c>
      <c r="Q1013" s="8">
        <f t="shared" si="218"/>
        <v>40</v>
      </c>
      <c r="R1013" s="8">
        <v>37</v>
      </c>
      <c r="S1013" s="8">
        <f t="shared" si="219"/>
        <v>37</v>
      </c>
      <c r="T1013" s="8">
        <f>(Table1[[#This Row],[Total Cholesterol (mg/dL)]]+Table1[[#This Row],[HDL (mg/dL)2]]+Table1[[#This Row],[Estimated LDL (mg/dL)2]])*5</f>
        <v>920</v>
      </c>
      <c r="U1013" s="8">
        <f>IF(O1013="",Table1[[#This Row],[Estimated LDL (mg/dL)2]]+Table1[[#This Row],[HDL (mg/dL)2]]+(Table1[[#This Row],[Triglycerides]]/5),O1013)</f>
        <v>107</v>
      </c>
      <c r="V1013">
        <v>97</v>
      </c>
      <c r="W1013" s="8">
        <f t="shared" si="220"/>
        <v>97</v>
      </c>
      <c r="X1013" t="str">
        <f t="shared" si="221"/>
        <v>Normal</v>
      </c>
      <c r="Y1013" t="s">
        <v>22</v>
      </c>
      <c r="Z1013" t="s">
        <v>23</v>
      </c>
      <c r="AA1013" t="s">
        <v>24</v>
      </c>
      <c r="AB1013" s="3" t="s">
        <v>431</v>
      </c>
      <c r="AC1013">
        <v>121</v>
      </c>
      <c r="AD1013" s="3" t="str">
        <f t="shared" si="222"/>
        <v>121</v>
      </c>
      <c r="AE1013">
        <v>92</v>
      </c>
      <c r="AF1013" s="3" t="str">
        <f t="shared" si="223"/>
        <v>92</v>
      </c>
      <c r="AG1013" t="s">
        <v>38</v>
      </c>
      <c r="AH1013" s="3">
        <v>15.766</v>
      </c>
      <c r="AI1013" s="3">
        <f t="shared" si="224"/>
        <v>15.766</v>
      </c>
      <c r="AJ1013" t="s">
        <v>30</v>
      </c>
      <c r="AK1013" t="str">
        <f>PROPER(Table1[[#This Row],[CVD Risk Level]])</f>
        <v>High</v>
      </c>
    </row>
    <row r="1014" spans="1:37" x14ac:dyDescent="0.3">
      <c r="A1014" t="s">
        <v>20</v>
      </c>
      <c r="B1014">
        <v>72</v>
      </c>
      <c r="C1014" s="8">
        <f t="shared" si="213"/>
        <v>72</v>
      </c>
      <c r="D1014" s="5">
        <v>68.852999999999994</v>
      </c>
      <c r="E1014" s="8">
        <f t="shared" si="214"/>
        <v>68.852999999999994</v>
      </c>
      <c r="F1014">
        <v>1.9510000000000001</v>
      </c>
      <c r="G1014" s="3">
        <f t="shared" si="215"/>
        <v>1.9510000000000001</v>
      </c>
      <c r="H1014">
        <v>24.155999999999999</v>
      </c>
      <c r="I1014" s="5">
        <f t="shared" si="211"/>
        <v>24.155999999999999</v>
      </c>
      <c r="J1014" s="16" t="str">
        <f t="shared" si="216"/>
        <v>Normal</v>
      </c>
      <c r="K1014">
        <v>82.284999999999997</v>
      </c>
      <c r="L1014">
        <v>0.42199999999999999</v>
      </c>
      <c r="M1014" s="11">
        <f t="shared" si="212"/>
        <v>0.42199999999999999</v>
      </c>
      <c r="N1014" s="5">
        <f t="shared" si="217"/>
        <v>82.284999999999997</v>
      </c>
      <c r="O1014">
        <v>192</v>
      </c>
      <c r="Q1014" s="8">
        <f t="shared" si="218"/>
        <v>56.197377501725327</v>
      </c>
      <c r="R1014" s="8">
        <v>107</v>
      </c>
      <c r="S1014" s="8">
        <f>IF(R1014&lt;=0,MEDIAN($R$2:$R$1530),R1014)</f>
        <v>107</v>
      </c>
      <c r="T1014" s="8">
        <f>(Table1[[#This Row],[Total Cholesterol (mg/dL)]]+Table1[[#This Row],[HDL (mg/dL)2]]+Table1[[#This Row],[Estimated LDL (mg/dL)2]])*5</f>
        <v>1775.9868875086268</v>
      </c>
      <c r="U1014" s="8">
        <f>IF(O1014="",Table1[[#This Row],[Estimated LDL (mg/dL)2]]+Table1[[#This Row],[HDL (mg/dL)2]]+(Table1[[#This Row],[Triglycerides]]/5),O1014)</f>
        <v>192</v>
      </c>
      <c r="V1014">
        <v>183</v>
      </c>
      <c r="W1014" s="8">
        <f t="shared" si="220"/>
        <v>183</v>
      </c>
      <c r="X1014" t="str">
        <f t="shared" si="221"/>
        <v>Diabetes</v>
      </c>
      <c r="Y1014" t="s">
        <v>23</v>
      </c>
      <c r="Z1014" t="s">
        <v>22</v>
      </c>
      <c r="AA1014" t="s">
        <v>28</v>
      </c>
      <c r="AB1014" s="3" t="s">
        <v>443</v>
      </c>
      <c r="AC1014">
        <v>116</v>
      </c>
      <c r="AD1014" s="3" t="str">
        <f t="shared" si="222"/>
        <v>116</v>
      </c>
      <c r="AE1014">
        <v>86</v>
      </c>
      <c r="AF1014" s="3" t="str">
        <f t="shared" si="223"/>
        <v>86</v>
      </c>
      <c r="AG1014" t="s">
        <v>29</v>
      </c>
      <c r="AH1014" s="3">
        <v>14.471</v>
      </c>
      <c r="AI1014" s="3">
        <f t="shared" si="224"/>
        <v>14.471</v>
      </c>
      <c r="AJ1014" t="s">
        <v>26</v>
      </c>
      <c r="AK1014" t="str">
        <f>PROPER(Table1[[#This Row],[CVD Risk Level]])</f>
        <v>Intermediary</v>
      </c>
    </row>
    <row r="1015" spans="1:37" x14ac:dyDescent="0.3">
      <c r="A1015" t="s">
        <v>31</v>
      </c>
      <c r="B1015">
        <v>37</v>
      </c>
      <c r="C1015" s="8">
        <f t="shared" si="213"/>
        <v>37</v>
      </c>
      <c r="D1015" s="5">
        <v>117.678</v>
      </c>
      <c r="E1015" s="8">
        <f t="shared" si="214"/>
        <v>117.678</v>
      </c>
      <c r="F1015">
        <v>1.7929999999999999</v>
      </c>
      <c r="G1015" s="3">
        <f t="shared" si="215"/>
        <v>1.7929999999999999</v>
      </c>
      <c r="H1015">
        <v>23.637</v>
      </c>
      <c r="I1015" s="5">
        <f t="shared" si="211"/>
        <v>23.637</v>
      </c>
      <c r="J1015" s="16" t="str">
        <f t="shared" si="216"/>
        <v>Normal</v>
      </c>
      <c r="K1015">
        <v>105.11</v>
      </c>
      <c r="L1015">
        <v>0.58599999999999997</v>
      </c>
      <c r="M1015" s="11">
        <f t="shared" si="212"/>
        <v>0.58599999999999997</v>
      </c>
      <c r="N1015" s="5">
        <f t="shared" si="217"/>
        <v>105.11</v>
      </c>
      <c r="O1015">
        <v>269</v>
      </c>
      <c r="P1015">
        <v>41</v>
      </c>
      <c r="Q1015" s="8">
        <f t="shared" si="218"/>
        <v>41</v>
      </c>
      <c r="R1015" s="8">
        <v>198</v>
      </c>
      <c r="S1015" s="8">
        <f t="shared" si="219"/>
        <v>198</v>
      </c>
      <c r="T1015" s="8">
        <f>(Table1[[#This Row],[Total Cholesterol (mg/dL)]]+Table1[[#This Row],[HDL (mg/dL)2]]+Table1[[#This Row],[Estimated LDL (mg/dL)2]])*5</f>
        <v>2540</v>
      </c>
      <c r="U1015" s="8">
        <f>IF(O1015="",Table1[[#This Row],[Estimated LDL (mg/dL)2]]+Table1[[#This Row],[HDL (mg/dL)2]]+(Table1[[#This Row],[Triglycerides]]/5),O1015)</f>
        <v>269</v>
      </c>
      <c r="V1015">
        <v>103</v>
      </c>
      <c r="W1015" s="8">
        <f t="shared" si="220"/>
        <v>103</v>
      </c>
      <c r="X1015" t="str">
        <f t="shared" si="221"/>
        <v>Prediabetes</v>
      </c>
      <c r="Y1015" t="s">
        <v>22</v>
      </c>
      <c r="Z1015" t="s">
        <v>23</v>
      </c>
      <c r="AA1015" t="s">
        <v>28</v>
      </c>
      <c r="AB1015" s="3" t="s">
        <v>868</v>
      </c>
      <c r="AC1015">
        <v>121</v>
      </c>
      <c r="AD1015" s="3" t="str">
        <f t="shared" si="222"/>
        <v>121</v>
      </c>
      <c r="AE1015">
        <v>72</v>
      </c>
      <c r="AF1015" s="3" t="str">
        <f t="shared" si="223"/>
        <v>72</v>
      </c>
      <c r="AG1015" t="s">
        <v>25</v>
      </c>
      <c r="AH1015" s="3">
        <v>18.157</v>
      </c>
      <c r="AI1015" s="3">
        <f t="shared" si="224"/>
        <v>18.157</v>
      </c>
      <c r="AJ1015" t="s">
        <v>30</v>
      </c>
      <c r="AK1015" t="str">
        <f>PROPER(Table1[[#This Row],[CVD Risk Level]])</f>
        <v>High</v>
      </c>
    </row>
    <row r="1016" spans="1:37" x14ac:dyDescent="0.3">
      <c r="A1016" t="s">
        <v>31</v>
      </c>
      <c r="B1016">
        <v>46</v>
      </c>
      <c r="C1016" s="8">
        <f t="shared" si="213"/>
        <v>46</v>
      </c>
      <c r="D1016" s="5">
        <v>58.262999999999998</v>
      </c>
      <c r="E1016" s="8">
        <f t="shared" si="214"/>
        <v>58.262999999999998</v>
      </c>
      <c r="F1016">
        <v>1.6160000000000001</v>
      </c>
      <c r="G1016" s="3">
        <f t="shared" si="215"/>
        <v>1.6160000000000001</v>
      </c>
      <c r="H1016">
        <v>30.568999999999999</v>
      </c>
      <c r="I1016" s="5">
        <f t="shared" si="211"/>
        <v>30.568999999999999</v>
      </c>
      <c r="J1016" s="16" t="str">
        <f t="shared" si="216"/>
        <v>Obese</v>
      </c>
      <c r="K1016">
        <v>83.263999999999996</v>
      </c>
      <c r="L1016">
        <v>0.51500000000000001</v>
      </c>
      <c r="M1016" s="11">
        <f t="shared" si="212"/>
        <v>0.51500000000000001</v>
      </c>
      <c r="N1016" s="5">
        <f t="shared" si="217"/>
        <v>83.263999999999996</v>
      </c>
      <c r="O1016">
        <v>244</v>
      </c>
      <c r="P1016">
        <v>49</v>
      </c>
      <c r="Q1016" s="8">
        <f t="shared" si="218"/>
        <v>49</v>
      </c>
      <c r="R1016" s="8">
        <v>165</v>
      </c>
      <c r="S1016" s="8">
        <f t="shared" si="219"/>
        <v>165</v>
      </c>
      <c r="T1016" s="8">
        <f>(Table1[[#This Row],[Total Cholesterol (mg/dL)]]+Table1[[#This Row],[HDL (mg/dL)2]]+Table1[[#This Row],[Estimated LDL (mg/dL)2]])*5</f>
        <v>2290</v>
      </c>
      <c r="U1016" s="8">
        <f>IF(O1016="",Table1[[#This Row],[Estimated LDL (mg/dL)2]]+Table1[[#This Row],[HDL (mg/dL)2]]+(Table1[[#This Row],[Triglycerides]]/5),O1016)</f>
        <v>244</v>
      </c>
      <c r="V1016">
        <v>115</v>
      </c>
      <c r="W1016" s="8">
        <f t="shared" si="220"/>
        <v>115</v>
      </c>
      <c r="X1016" t="str">
        <f t="shared" si="221"/>
        <v>Prediabetes</v>
      </c>
      <c r="Y1016" t="s">
        <v>23</v>
      </c>
      <c r="Z1016" t="s">
        <v>23</v>
      </c>
      <c r="AA1016" t="s">
        <v>24</v>
      </c>
      <c r="AB1016" s="3" t="s">
        <v>869</v>
      </c>
      <c r="AC1016">
        <v>109</v>
      </c>
      <c r="AD1016" s="3" t="str">
        <f t="shared" si="222"/>
        <v>109</v>
      </c>
      <c r="AE1016">
        <v>78</v>
      </c>
      <c r="AF1016" s="3" t="str">
        <f t="shared" si="223"/>
        <v>78</v>
      </c>
      <c r="AG1016" t="s">
        <v>33</v>
      </c>
      <c r="AH1016" s="3">
        <v>18.443999999999999</v>
      </c>
      <c r="AI1016" s="3">
        <f t="shared" si="224"/>
        <v>18.443999999999999</v>
      </c>
      <c r="AJ1016" t="s">
        <v>52</v>
      </c>
      <c r="AK1016" t="str">
        <f>PROPER(Table1[[#This Row],[CVD Risk Level]])</f>
        <v>Low</v>
      </c>
    </row>
    <row r="1017" spans="1:37" x14ac:dyDescent="0.3">
      <c r="A1017" t="s">
        <v>31</v>
      </c>
      <c r="B1017">
        <v>70</v>
      </c>
      <c r="C1017" s="8">
        <f t="shared" si="213"/>
        <v>70</v>
      </c>
      <c r="D1017" s="5">
        <v>114.137</v>
      </c>
      <c r="E1017" s="8">
        <f t="shared" si="214"/>
        <v>114.137</v>
      </c>
      <c r="F1017">
        <v>1.9770000000000001</v>
      </c>
      <c r="G1017" s="3">
        <f t="shared" si="215"/>
        <v>1.9770000000000001</v>
      </c>
      <c r="H1017">
        <v>19.395</v>
      </c>
      <c r="I1017" s="5">
        <f t="shared" si="211"/>
        <v>19.395</v>
      </c>
      <c r="J1017" s="16" t="str">
        <f t="shared" si="216"/>
        <v>Normal</v>
      </c>
      <c r="K1017">
        <v>85.766000000000005</v>
      </c>
      <c r="L1017">
        <v>0.434</v>
      </c>
      <c r="M1017" s="11">
        <f t="shared" si="212"/>
        <v>0.434</v>
      </c>
      <c r="N1017" s="5">
        <f t="shared" si="217"/>
        <v>85.766000000000005</v>
      </c>
      <c r="O1017">
        <v>104</v>
      </c>
      <c r="P1017">
        <v>64</v>
      </c>
      <c r="Q1017" s="8">
        <f t="shared" si="218"/>
        <v>64</v>
      </c>
      <c r="R1017" s="8">
        <v>10</v>
      </c>
      <c r="S1017" s="8">
        <f t="shared" si="219"/>
        <v>10</v>
      </c>
      <c r="T1017" s="8">
        <f>(Table1[[#This Row],[Total Cholesterol (mg/dL)]]+Table1[[#This Row],[HDL (mg/dL)2]]+Table1[[#This Row],[Estimated LDL (mg/dL)2]])*5</f>
        <v>890</v>
      </c>
      <c r="U1017" s="8">
        <f>IF(O1017="",Table1[[#This Row],[Estimated LDL (mg/dL)2]]+Table1[[#This Row],[HDL (mg/dL)2]]+(Table1[[#This Row],[Triglycerides]]/5),O1017)</f>
        <v>104</v>
      </c>
      <c r="V1017">
        <v>94</v>
      </c>
      <c r="W1017" s="8">
        <f t="shared" si="220"/>
        <v>94</v>
      </c>
      <c r="X1017" t="str">
        <f t="shared" si="221"/>
        <v>Normal</v>
      </c>
      <c r="Y1017" t="s">
        <v>22</v>
      </c>
      <c r="Z1017" t="s">
        <v>23</v>
      </c>
      <c r="AA1017" t="s">
        <v>28</v>
      </c>
      <c r="AB1017" s="3" t="s">
        <v>870</v>
      </c>
      <c r="AC1017">
        <v>162</v>
      </c>
      <c r="AD1017" s="3" t="str">
        <f t="shared" si="222"/>
        <v>162</v>
      </c>
      <c r="AE1017">
        <v>118</v>
      </c>
      <c r="AF1017" s="3" t="str">
        <f t="shared" si="223"/>
        <v>118</v>
      </c>
      <c r="AG1017" t="s">
        <v>38</v>
      </c>
      <c r="AH1017" s="3">
        <v>16.059000000000001</v>
      </c>
      <c r="AI1017" s="3">
        <f t="shared" si="224"/>
        <v>16.059000000000001</v>
      </c>
      <c r="AJ1017" t="s">
        <v>26</v>
      </c>
      <c r="AK1017" t="str">
        <f>PROPER(Table1[[#This Row],[CVD Risk Level]])</f>
        <v>Intermediary</v>
      </c>
    </row>
    <row r="1018" spans="1:37" x14ac:dyDescent="0.3">
      <c r="A1018" t="s">
        <v>31</v>
      </c>
      <c r="B1018">
        <v>54</v>
      </c>
      <c r="C1018" s="8">
        <f t="shared" si="213"/>
        <v>54</v>
      </c>
      <c r="D1018" s="5">
        <v>103.97</v>
      </c>
      <c r="E1018" s="8">
        <f t="shared" si="214"/>
        <v>103.97</v>
      </c>
      <c r="F1018">
        <v>1.5589999999999999</v>
      </c>
      <c r="G1018" s="3">
        <f t="shared" si="215"/>
        <v>1.5589999999999999</v>
      </c>
      <c r="H1018">
        <v>37.058</v>
      </c>
      <c r="I1018" s="5">
        <f t="shared" si="211"/>
        <v>37.058</v>
      </c>
      <c r="J1018" s="16" t="str">
        <f t="shared" si="216"/>
        <v>Obese</v>
      </c>
      <c r="K1018">
        <v>112.72199999999999</v>
      </c>
      <c r="L1018">
        <v>0.72299999999999998</v>
      </c>
      <c r="M1018" s="11">
        <f t="shared" si="212"/>
        <v>0.72299999999999998</v>
      </c>
      <c r="N1018" s="5">
        <f t="shared" si="217"/>
        <v>112.72199999999999</v>
      </c>
      <c r="O1018">
        <v>169</v>
      </c>
      <c r="P1018">
        <v>72</v>
      </c>
      <c r="Q1018" s="8">
        <f t="shared" si="218"/>
        <v>72</v>
      </c>
      <c r="R1018" s="8">
        <v>67</v>
      </c>
      <c r="S1018" s="8">
        <f t="shared" si="219"/>
        <v>67</v>
      </c>
      <c r="T1018" s="8">
        <f>(Table1[[#This Row],[Total Cholesterol (mg/dL)]]+Table1[[#This Row],[HDL (mg/dL)2]]+Table1[[#This Row],[Estimated LDL (mg/dL)2]])*5</f>
        <v>1540</v>
      </c>
      <c r="U1018" s="8">
        <f>IF(O1018="",Table1[[#This Row],[Estimated LDL (mg/dL)2]]+Table1[[#This Row],[HDL (mg/dL)2]]+(Table1[[#This Row],[Triglycerides]]/5),O1018)</f>
        <v>169</v>
      </c>
      <c r="V1018">
        <v>74</v>
      </c>
      <c r="W1018" s="8">
        <f t="shared" si="220"/>
        <v>74</v>
      </c>
      <c r="X1018" t="str">
        <f t="shared" si="221"/>
        <v>Normal</v>
      </c>
      <c r="Y1018" t="s">
        <v>22</v>
      </c>
      <c r="Z1018" t="s">
        <v>23</v>
      </c>
      <c r="AA1018" t="s">
        <v>28</v>
      </c>
      <c r="AB1018" s="3" t="s">
        <v>871</v>
      </c>
      <c r="AC1018">
        <v>155</v>
      </c>
      <c r="AD1018" s="3" t="str">
        <f t="shared" si="222"/>
        <v>155</v>
      </c>
      <c r="AE1018">
        <v>70</v>
      </c>
      <c r="AF1018" s="3" t="str">
        <f t="shared" si="223"/>
        <v>70</v>
      </c>
      <c r="AG1018" t="s">
        <v>38</v>
      </c>
      <c r="AH1018" s="3">
        <v>20.542000000000002</v>
      </c>
      <c r="AI1018" s="3">
        <f t="shared" si="224"/>
        <v>20.542000000000002</v>
      </c>
      <c r="AJ1018" t="s">
        <v>52</v>
      </c>
      <c r="AK1018" t="str">
        <f>PROPER(Table1[[#This Row],[CVD Risk Level]])</f>
        <v>Low</v>
      </c>
    </row>
    <row r="1019" spans="1:37" x14ac:dyDescent="0.3">
      <c r="A1019" t="s">
        <v>31</v>
      </c>
      <c r="B1019">
        <v>61</v>
      </c>
      <c r="C1019" s="8">
        <f t="shared" si="213"/>
        <v>61</v>
      </c>
      <c r="D1019" s="5">
        <v>86.75</v>
      </c>
      <c r="E1019" s="8">
        <f t="shared" si="214"/>
        <v>86.75</v>
      </c>
      <c r="F1019">
        <v>1.7569999999999999</v>
      </c>
      <c r="G1019" s="3">
        <f t="shared" si="215"/>
        <v>1.7569999999999999</v>
      </c>
      <c r="H1019">
        <v>24.963000000000001</v>
      </c>
      <c r="I1019" s="5">
        <f t="shared" si="211"/>
        <v>24.963000000000001</v>
      </c>
      <c r="J1019" s="16" t="str">
        <f t="shared" si="216"/>
        <v>Normal</v>
      </c>
      <c r="K1019">
        <v>110.819</v>
      </c>
      <c r="L1019">
        <v>0.63100000000000001</v>
      </c>
      <c r="M1019" s="11">
        <f t="shared" si="212"/>
        <v>0.63100000000000001</v>
      </c>
      <c r="N1019" s="5">
        <f t="shared" si="217"/>
        <v>110.819</v>
      </c>
      <c r="O1019">
        <v>207</v>
      </c>
      <c r="Q1019" s="8">
        <f t="shared" si="218"/>
        <v>56.197377501725327</v>
      </c>
      <c r="R1019" s="8">
        <v>124</v>
      </c>
      <c r="S1019" s="8">
        <f t="shared" si="219"/>
        <v>124</v>
      </c>
      <c r="T1019" s="8">
        <f>(Table1[[#This Row],[Total Cholesterol (mg/dL)]]+Table1[[#This Row],[HDL (mg/dL)2]]+Table1[[#This Row],[Estimated LDL (mg/dL)2]])*5</f>
        <v>1935.9868875086268</v>
      </c>
      <c r="U1019" s="8">
        <f>IF(O1019="",Table1[[#This Row],[Estimated LDL (mg/dL)2]]+Table1[[#This Row],[HDL (mg/dL)2]]+(Table1[[#This Row],[Triglycerides]]/5),O1019)</f>
        <v>207</v>
      </c>
      <c r="V1019">
        <v>115</v>
      </c>
      <c r="W1019" s="8">
        <f t="shared" si="220"/>
        <v>115</v>
      </c>
      <c r="X1019" t="str">
        <f t="shared" si="221"/>
        <v>Prediabetes</v>
      </c>
      <c r="Y1019" t="s">
        <v>23</v>
      </c>
      <c r="Z1019" t="s">
        <v>22</v>
      </c>
      <c r="AA1019" t="s">
        <v>24</v>
      </c>
      <c r="AB1019" s="3" t="s">
        <v>872</v>
      </c>
      <c r="AC1019">
        <v>169</v>
      </c>
      <c r="AD1019" s="3" t="str">
        <f t="shared" si="222"/>
        <v>169</v>
      </c>
      <c r="AE1019">
        <v>89</v>
      </c>
      <c r="AF1019" s="3" t="str">
        <f t="shared" si="223"/>
        <v>89</v>
      </c>
      <c r="AG1019" t="s">
        <v>29</v>
      </c>
      <c r="AH1019" s="3">
        <v>17.582999999999998</v>
      </c>
      <c r="AI1019" s="3">
        <f t="shared" si="224"/>
        <v>17.582999999999998</v>
      </c>
      <c r="AJ1019" t="s">
        <v>52</v>
      </c>
      <c r="AK1019" t="str">
        <f>PROPER(Table1[[#This Row],[CVD Risk Level]])</f>
        <v>Low</v>
      </c>
    </row>
    <row r="1020" spans="1:37" x14ac:dyDescent="0.3">
      <c r="A1020" t="s">
        <v>31</v>
      </c>
      <c r="B1020">
        <v>76</v>
      </c>
      <c r="C1020" s="8">
        <f t="shared" si="213"/>
        <v>76</v>
      </c>
      <c r="D1020" s="5">
        <v>58.598999999999997</v>
      </c>
      <c r="E1020" s="8">
        <f t="shared" si="214"/>
        <v>58.598999999999997</v>
      </c>
      <c r="F1020">
        <v>1.5740000000000001</v>
      </c>
      <c r="G1020" s="3">
        <f t="shared" si="215"/>
        <v>1.5740000000000001</v>
      </c>
      <c r="H1020">
        <v>28.085999999999999</v>
      </c>
      <c r="I1020" s="5">
        <f t="shared" si="211"/>
        <v>28.085999999999999</v>
      </c>
      <c r="J1020" s="16" t="str">
        <f t="shared" si="216"/>
        <v>Overweight</v>
      </c>
      <c r="K1020">
        <v>93.554000000000002</v>
      </c>
      <c r="L1020">
        <v>0.59399999999999997</v>
      </c>
      <c r="M1020" s="11">
        <f t="shared" si="212"/>
        <v>0.59399999999999997</v>
      </c>
      <c r="N1020" s="5">
        <f t="shared" si="217"/>
        <v>93.554000000000002</v>
      </c>
      <c r="O1020">
        <v>197</v>
      </c>
      <c r="P1020">
        <v>65</v>
      </c>
      <c r="Q1020" s="8">
        <f t="shared" si="218"/>
        <v>65</v>
      </c>
      <c r="R1020" s="8">
        <v>102</v>
      </c>
      <c r="S1020" s="8">
        <f t="shared" si="219"/>
        <v>102</v>
      </c>
      <c r="T1020" s="8">
        <f>(Table1[[#This Row],[Total Cholesterol (mg/dL)]]+Table1[[#This Row],[HDL (mg/dL)2]]+Table1[[#This Row],[Estimated LDL (mg/dL)2]])*5</f>
        <v>1820</v>
      </c>
      <c r="U1020" s="8">
        <f>IF(O1020="",Table1[[#This Row],[Estimated LDL (mg/dL)2]]+Table1[[#This Row],[HDL (mg/dL)2]]+(Table1[[#This Row],[Triglycerides]]/5),O1020)</f>
        <v>197</v>
      </c>
      <c r="V1020">
        <v>125</v>
      </c>
      <c r="W1020" s="8">
        <f t="shared" si="220"/>
        <v>125</v>
      </c>
      <c r="X1020" t="str">
        <f t="shared" si="221"/>
        <v>Prediabetes</v>
      </c>
      <c r="Y1020" t="s">
        <v>22</v>
      </c>
      <c r="Z1020" t="s">
        <v>23</v>
      </c>
      <c r="AA1020" t="s">
        <v>37</v>
      </c>
      <c r="AB1020" s="3" t="s">
        <v>873</v>
      </c>
      <c r="AC1020">
        <v>154</v>
      </c>
      <c r="AD1020" s="3" t="str">
        <f t="shared" si="222"/>
        <v>154</v>
      </c>
      <c r="AE1020">
        <v>62</v>
      </c>
      <c r="AF1020" s="3" t="str">
        <f t="shared" si="223"/>
        <v>62</v>
      </c>
      <c r="AG1020" t="s">
        <v>38</v>
      </c>
      <c r="AH1020" s="3">
        <v>19.257000000000001</v>
      </c>
      <c r="AI1020" s="3">
        <f t="shared" si="224"/>
        <v>19.257000000000001</v>
      </c>
      <c r="AJ1020" t="s">
        <v>26</v>
      </c>
      <c r="AK1020" t="str">
        <f>PROPER(Table1[[#This Row],[CVD Risk Level]])</f>
        <v>Intermediary</v>
      </c>
    </row>
    <row r="1021" spans="1:37" x14ac:dyDescent="0.3">
      <c r="A1021" t="s">
        <v>31</v>
      </c>
      <c r="B1021">
        <v>25</v>
      </c>
      <c r="C1021" s="8">
        <f t="shared" si="213"/>
        <v>25</v>
      </c>
      <c r="D1021" s="5">
        <v>61.902000000000001</v>
      </c>
      <c r="E1021" s="8">
        <f t="shared" si="214"/>
        <v>61.902000000000001</v>
      </c>
      <c r="F1021">
        <v>1.5229999999999999</v>
      </c>
      <c r="G1021" s="3">
        <f t="shared" si="215"/>
        <v>1.5229999999999999</v>
      </c>
      <c r="H1021">
        <v>27.202999999999999</v>
      </c>
      <c r="I1021" s="5">
        <f t="shared" si="211"/>
        <v>27.202999999999999</v>
      </c>
      <c r="J1021" s="16" t="str">
        <f t="shared" si="216"/>
        <v>Overweight</v>
      </c>
      <c r="K1021">
        <v>108.373</v>
      </c>
      <c r="L1021">
        <v>0.71199999999999997</v>
      </c>
      <c r="M1021" s="11">
        <f t="shared" si="212"/>
        <v>0.71199999999999997</v>
      </c>
      <c r="N1021" s="5">
        <f t="shared" si="217"/>
        <v>108.373</v>
      </c>
      <c r="O1021">
        <v>200</v>
      </c>
      <c r="P1021">
        <v>44</v>
      </c>
      <c r="Q1021" s="8">
        <f t="shared" si="218"/>
        <v>44</v>
      </c>
      <c r="R1021" s="8">
        <v>126</v>
      </c>
      <c r="S1021" s="8">
        <f t="shared" si="219"/>
        <v>126</v>
      </c>
      <c r="T1021" s="8">
        <f>(Table1[[#This Row],[Total Cholesterol (mg/dL)]]+Table1[[#This Row],[HDL (mg/dL)2]]+Table1[[#This Row],[Estimated LDL (mg/dL)2]])*5</f>
        <v>1850</v>
      </c>
      <c r="U1021" s="8">
        <f>IF(O1021="",Table1[[#This Row],[Estimated LDL (mg/dL)2]]+Table1[[#This Row],[HDL (mg/dL)2]]+(Table1[[#This Row],[Triglycerides]]/5),O1021)</f>
        <v>200</v>
      </c>
      <c r="V1021">
        <v>104</v>
      </c>
      <c r="W1021" s="8">
        <f t="shared" si="220"/>
        <v>104</v>
      </c>
      <c r="X1021" t="str">
        <f t="shared" si="221"/>
        <v>Prediabetes</v>
      </c>
      <c r="Y1021" t="s">
        <v>23</v>
      </c>
      <c r="Z1021" t="s">
        <v>23</v>
      </c>
      <c r="AA1021" t="s">
        <v>28</v>
      </c>
      <c r="AB1021" s="3" t="s">
        <v>874</v>
      </c>
      <c r="AC1021">
        <v>163</v>
      </c>
      <c r="AD1021" s="3" t="str">
        <f t="shared" si="222"/>
        <v>163</v>
      </c>
      <c r="AE1021">
        <v>73</v>
      </c>
      <c r="AF1021" s="3" t="str">
        <f t="shared" si="223"/>
        <v>73</v>
      </c>
      <c r="AG1021" t="s">
        <v>38</v>
      </c>
      <c r="AH1021" s="3">
        <v>19.591000000000001</v>
      </c>
      <c r="AI1021" s="3">
        <f t="shared" si="224"/>
        <v>19.591000000000001</v>
      </c>
      <c r="AJ1021" t="s">
        <v>52</v>
      </c>
      <c r="AK1021" t="str">
        <f>PROPER(Table1[[#This Row],[CVD Risk Level]])</f>
        <v>Low</v>
      </c>
    </row>
    <row r="1022" spans="1:37" x14ac:dyDescent="0.3">
      <c r="A1022" t="s">
        <v>20</v>
      </c>
      <c r="B1022">
        <v>39</v>
      </c>
      <c r="C1022" s="8">
        <f t="shared" si="213"/>
        <v>39</v>
      </c>
      <c r="D1022" s="5">
        <v>90.147000000000006</v>
      </c>
      <c r="E1022" s="8">
        <f t="shared" si="214"/>
        <v>90.147000000000006</v>
      </c>
      <c r="F1022">
        <v>1.7829999999999999</v>
      </c>
      <c r="G1022" s="3">
        <f t="shared" si="215"/>
        <v>1.7829999999999999</v>
      </c>
      <c r="H1022">
        <v>28.042999999999999</v>
      </c>
      <c r="I1022" s="5">
        <f t="shared" si="211"/>
        <v>28.042999999999999</v>
      </c>
      <c r="J1022" s="16" t="str">
        <f t="shared" si="216"/>
        <v>Overweight</v>
      </c>
      <c r="K1022">
        <v>111.875</v>
      </c>
      <c r="L1022">
        <v>0.628</v>
      </c>
      <c r="M1022" s="11">
        <f t="shared" si="212"/>
        <v>0.628</v>
      </c>
      <c r="N1022" s="5">
        <f t="shared" si="217"/>
        <v>111.875</v>
      </c>
      <c r="O1022">
        <v>249</v>
      </c>
      <c r="P1022">
        <v>34</v>
      </c>
      <c r="Q1022" s="8">
        <f t="shared" si="218"/>
        <v>34</v>
      </c>
      <c r="R1022" s="8">
        <v>185</v>
      </c>
      <c r="S1022" s="8">
        <f t="shared" si="219"/>
        <v>185</v>
      </c>
      <c r="T1022" s="8">
        <f>(Table1[[#This Row],[Total Cholesterol (mg/dL)]]+Table1[[#This Row],[HDL (mg/dL)2]]+Table1[[#This Row],[Estimated LDL (mg/dL)2]])*5</f>
        <v>2340</v>
      </c>
      <c r="U1022" s="8">
        <f>IF(O1022="",Table1[[#This Row],[Estimated LDL (mg/dL)2]]+Table1[[#This Row],[HDL (mg/dL)2]]+(Table1[[#This Row],[Triglycerides]]/5),O1022)</f>
        <v>249</v>
      </c>
      <c r="V1022">
        <v>176</v>
      </c>
      <c r="W1022" s="8">
        <f t="shared" si="220"/>
        <v>176</v>
      </c>
      <c r="X1022" t="str">
        <f t="shared" si="221"/>
        <v>Diabetes</v>
      </c>
      <c r="Y1022" t="s">
        <v>22</v>
      </c>
      <c r="Z1022" t="s">
        <v>23</v>
      </c>
      <c r="AA1022" t="s">
        <v>24</v>
      </c>
      <c r="AB1022" s="3" t="s">
        <v>875</v>
      </c>
      <c r="AC1022">
        <v>161</v>
      </c>
      <c r="AD1022" s="3" t="str">
        <f t="shared" si="222"/>
        <v>161</v>
      </c>
      <c r="AE1022">
        <v>114</v>
      </c>
      <c r="AF1022" s="3" t="str">
        <f t="shared" si="223"/>
        <v>114</v>
      </c>
      <c r="AG1022" t="s">
        <v>38</v>
      </c>
      <c r="AH1022" s="3">
        <v>20.638999999999999</v>
      </c>
      <c r="AI1022" s="3">
        <f t="shared" si="224"/>
        <v>20.638999999999999</v>
      </c>
      <c r="AJ1022" t="s">
        <v>30</v>
      </c>
      <c r="AK1022" t="str">
        <f>PROPER(Table1[[#This Row],[CVD Risk Level]])</f>
        <v>High</v>
      </c>
    </row>
    <row r="1023" spans="1:37" x14ac:dyDescent="0.3">
      <c r="A1023" t="s">
        <v>20</v>
      </c>
      <c r="B1023">
        <v>43</v>
      </c>
      <c r="C1023" s="8">
        <f t="shared" si="213"/>
        <v>43</v>
      </c>
      <c r="D1023" s="5">
        <v>56.029000000000003</v>
      </c>
      <c r="E1023" s="8">
        <f t="shared" si="214"/>
        <v>56.029000000000003</v>
      </c>
      <c r="F1023">
        <v>1.962</v>
      </c>
      <c r="G1023" s="3">
        <f t="shared" si="215"/>
        <v>1.962</v>
      </c>
      <c r="H1023">
        <v>25.34</v>
      </c>
      <c r="I1023" s="5">
        <f t="shared" si="211"/>
        <v>25.34</v>
      </c>
      <c r="J1023" s="16" t="str">
        <f t="shared" si="216"/>
        <v>Overweight</v>
      </c>
      <c r="K1023">
        <v>78.28</v>
      </c>
      <c r="L1023">
        <v>0.39900000000000002</v>
      </c>
      <c r="M1023" s="11">
        <f t="shared" si="212"/>
        <v>0.39900000000000002</v>
      </c>
      <c r="N1023" s="5">
        <f t="shared" si="217"/>
        <v>78.28</v>
      </c>
      <c r="O1023">
        <v>138</v>
      </c>
      <c r="P1023">
        <v>66</v>
      </c>
      <c r="Q1023" s="8">
        <f t="shared" si="218"/>
        <v>66</v>
      </c>
      <c r="R1023" s="8">
        <v>42</v>
      </c>
      <c r="S1023" s="8">
        <f t="shared" si="219"/>
        <v>42</v>
      </c>
      <c r="T1023" s="8">
        <f>(Table1[[#This Row],[Total Cholesterol (mg/dL)]]+Table1[[#This Row],[HDL (mg/dL)2]]+Table1[[#This Row],[Estimated LDL (mg/dL)2]])*5</f>
        <v>1230</v>
      </c>
      <c r="U1023" s="8">
        <f>IF(O1023="",Table1[[#This Row],[Estimated LDL (mg/dL)2]]+Table1[[#This Row],[HDL (mg/dL)2]]+(Table1[[#This Row],[Triglycerides]]/5),O1023)</f>
        <v>138</v>
      </c>
      <c r="V1023">
        <v>154</v>
      </c>
      <c r="W1023" s="8">
        <f t="shared" si="220"/>
        <v>154</v>
      </c>
      <c r="X1023" t="str">
        <f t="shared" si="221"/>
        <v>Diabetes</v>
      </c>
      <c r="Y1023" t="s">
        <v>22</v>
      </c>
      <c r="Z1023" t="s">
        <v>23</v>
      </c>
      <c r="AA1023" t="s">
        <v>28</v>
      </c>
      <c r="AB1023" s="3" t="s">
        <v>876</v>
      </c>
      <c r="AC1023">
        <v>163</v>
      </c>
      <c r="AD1023" s="3" t="str">
        <f t="shared" si="222"/>
        <v>163</v>
      </c>
      <c r="AE1023">
        <v>91</v>
      </c>
      <c r="AF1023" s="3" t="str">
        <f t="shared" si="223"/>
        <v>91</v>
      </c>
      <c r="AG1023" t="s">
        <v>38</v>
      </c>
      <c r="AH1023" s="3">
        <v>17.978000000000002</v>
      </c>
      <c r="AI1023" s="3">
        <f t="shared" si="224"/>
        <v>17.978000000000002</v>
      </c>
      <c r="AJ1023" t="s">
        <v>30</v>
      </c>
      <c r="AK1023" t="str">
        <f>PROPER(Table1[[#This Row],[CVD Risk Level]])</f>
        <v>High</v>
      </c>
    </row>
    <row r="1024" spans="1:37" x14ac:dyDescent="0.3">
      <c r="A1024" t="s">
        <v>20</v>
      </c>
      <c r="B1024">
        <v>34</v>
      </c>
      <c r="C1024" s="8">
        <f t="shared" si="213"/>
        <v>34</v>
      </c>
      <c r="D1024" s="5">
        <v>102.547</v>
      </c>
      <c r="E1024" s="8">
        <f t="shared" si="214"/>
        <v>102.547</v>
      </c>
      <c r="F1024">
        <v>1.9790000000000001</v>
      </c>
      <c r="G1024" s="3">
        <f t="shared" si="215"/>
        <v>1.9790000000000001</v>
      </c>
      <c r="H1024">
        <v>20.358000000000001</v>
      </c>
      <c r="I1024" s="5">
        <f t="shared" si="211"/>
        <v>20.358000000000001</v>
      </c>
      <c r="J1024" s="16" t="str">
        <f t="shared" si="216"/>
        <v>Normal</v>
      </c>
      <c r="K1024">
        <v>115.742</v>
      </c>
      <c r="L1024">
        <v>0.58499999999999996</v>
      </c>
      <c r="M1024" s="11">
        <f t="shared" si="212"/>
        <v>0.58499999999999996</v>
      </c>
      <c r="N1024" s="5">
        <f t="shared" si="217"/>
        <v>115.742</v>
      </c>
      <c r="O1024">
        <v>266</v>
      </c>
      <c r="P1024">
        <v>44</v>
      </c>
      <c r="Q1024" s="8">
        <f t="shared" si="218"/>
        <v>44</v>
      </c>
      <c r="R1024" s="8">
        <v>192</v>
      </c>
      <c r="S1024" s="8">
        <f t="shared" si="219"/>
        <v>192</v>
      </c>
      <c r="T1024" s="8">
        <f>(Table1[[#This Row],[Total Cholesterol (mg/dL)]]+Table1[[#This Row],[HDL (mg/dL)2]]+Table1[[#This Row],[Estimated LDL (mg/dL)2]])*5</f>
        <v>2510</v>
      </c>
      <c r="U1024" s="8">
        <f>IF(O1024="",Table1[[#This Row],[Estimated LDL (mg/dL)2]]+Table1[[#This Row],[HDL (mg/dL)2]]+(Table1[[#This Row],[Triglycerides]]/5),O1024)</f>
        <v>266</v>
      </c>
      <c r="V1024">
        <v>159</v>
      </c>
      <c r="W1024" s="8">
        <f t="shared" si="220"/>
        <v>159</v>
      </c>
      <c r="X1024" t="str">
        <f t="shared" si="221"/>
        <v>Diabetes</v>
      </c>
      <c r="Y1024" t="s">
        <v>23</v>
      </c>
      <c r="Z1024" t="s">
        <v>22</v>
      </c>
      <c r="AA1024" t="s">
        <v>24</v>
      </c>
      <c r="AB1024" s="3" t="s">
        <v>618</v>
      </c>
      <c r="AC1024">
        <v>148</v>
      </c>
      <c r="AD1024" s="3" t="str">
        <f t="shared" si="222"/>
        <v>148</v>
      </c>
      <c r="AE1024">
        <v>98</v>
      </c>
      <c r="AF1024" s="3" t="str">
        <f t="shared" si="223"/>
        <v>98</v>
      </c>
      <c r="AG1024" t="s">
        <v>38</v>
      </c>
      <c r="AH1024" s="3">
        <v>16.792000000000002</v>
      </c>
      <c r="AI1024" s="3">
        <f t="shared" si="224"/>
        <v>16.792000000000002</v>
      </c>
      <c r="AJ1024" t="s">
        <v>30</v>
      </c>
      <c r="AK1024" t="str">
        <f>PROPER(Table1[[#This Row],[CVD Risk Level]])</f>
        <v>High</v>
      </c>
    </row>
    <row r="1025" spans="1:37" x14ac:dyDescent="0.3">
      <c r="A1025" t="s">
        <v>20</v>
      </c>
      <c r="B1025">
        <v>69</v>
      </c>
      <c r="C1025" s="8">
        <f t="shared" si="213"/>
        <v>69</v>
      </c>
      <c r="D1025" s="5">
        <v>56.982999999999997</v>
      </c>
      <c r="E1025" s="8">
        <f t="shared" si="214"/>
        <v>56.982999999999997</v>
      </c>
      <c r="F1025">
        <v>1.9450000000000001</v>
      </c>
      <c r="G1025" s="3">
        <f t="shared" si="215"/>
        <v>1.9450000000000001</v>
      </c>
      <c r="H1025">
        <v>25.004999999999999</v>
      </c>
      <c r="I1025" s="5">
        <f t="shared" si="211"/>
        <v>25.004999999999999</v>
      </c>
      <c r="J1025" s="16" t="str">
        <f t="shared" si="216"/>
        <v>Overweight</v>
      </c>
      <c r="K1025">
        <v>93.257000000000005</v>
      </c>
      <c r="L1025">
        <v>0.47899999999999998</v>
      </c>
      <c r="M1025" s="11">
        <f t="shared" si="212"/>
        <v>0.47899999999999998</v>
      </c>
      <c r="N1025" s="5">
        <f t="shared" si="217"/>
        <v>93.257000000000005</v>
      </c>
      <c r="O1025">
        <v>217</v>
      </c>
      <c r="P1025">
        <v>48</v>
      </c>
      <c r="Q1025" s="8">
        <f t="shared" si="218"/>
        <v>48</v>
      </c>
      <c r="R1025" s="8">
        <v>139</v>
      </c>
      <c r="S1025" s="8">
        <f t="shared" si="219"/>
        <v>139</v>
      </c>
      <c r="T1025" s="8">
        <f>(Table1[[#This Row],[Total Cholesterol (mg/dL)]]+Table1[[#This Row],[HDL (mg/dL)2]]+Table1[[#This Row],[Estimated LDL (mg/dL)2]])*5</f>
        <v>2020</v>
      </c>
      <c r="U1025" s="8">
        <f>IF(O1025="",Table1[[#This Row],[Estimated LDL (mg/dL)2]]+Table1[[#This Row],[HDL (mg/dL)2]]+(Table1[[#This Row],[Triglycerides]]/5),O1025)</f>
        <v>217</v>
      </c>
      <c r="W1025" s="8">
        <f t="shared" si="220"/>
        <v>117.48563611491107</v>
      </c>
      <c r="X1025" t="str">
        <f t="shared" si="221"/>
        <v>Prediabetes</v>
      </c>
      <c r="Y1025" t="s">
        <v>22</v>
      </c>
      <c r="Z1025" t="s">
        <v>23</v>
      </c>
      <c r="AA1025" t="s">
        <v>28</v>
      </c>
      <c r="AB1025" s="3" t="s">
        <v>877</v>
      </c>
      <c r="AC1025">
        <v>149</v>
      </c>
      <c r="AD1025" s="3" t="str">
        <f t="shared" si="222"/>
        <v>149</v>
      </c>
      <c r="AF1025" s="3" t="str">
        <f t="shared" si="223"/>
        <v>101</v>
      </c>
      <c r="AG1025" t="s">
        <v>38</v>
      </c>
      <c r="AH1025" s="3">
        <v>18.791</v>
      </c>
      <c r="AI1025" s="3">
        <f t="shared" si="224"/>
        <v>18.791</v>
      </c>
      <c r="AJ1025" t="s">
        <v>52</v>
      </c>
      <c r="AK1025" t="str">
        <f>PROPER(Table1[[#This Row],[CVD Risk Level]])</f>
        <v>Low</v>
      </c>
    </row>
    <row r="1026" spans="1:37" x14ac:dyDescent="0.3">
      <c r="A1026" t="s">
        <v>20</v>
      </c>
      <c r="B1026">
        <v>49</v>
      </c>
      <c r="C1026" s="8">
        <f t="shared" si="213"/>
        <v>49</v>
      </c>
      <c r="D1026" s="5">
        <v>116.55800000000001</v>
      </c>
      <c r="E1026" s="8">
        <f t="shared" si="214"/>
        <v>116.55800000000001</v>
      </c>
      <c r="F1026">
        <v>1.665</v>
      </c>
      <c r="G1026" s="3">
        <f t="shared" si="215"/>
        <v>1.665</v>
      </c>
      <c r="H1026">
        <v>25.079000000000001</v>
      </c>
      <c r="I1026" s="5">
        <f t="shared" ref="I1026:I1089" si="225" xml:space="preserve"> IF(H1026="",E1026 / (G1026^2),H1026)</f>
        <v>25.079000000000001</v>
      </c>
      <c r="J1026" s="16" t="str">
        <f t="shared" si="216"/>
        <v>Overweight</v>
      </c>
      <c r="K1026">
        <v>103.991</v>
      </c>
      <c r="L1026">
        <v>0.624</v>
      </c>
      <c r="M1026" s="11">
        <f t="shared" ref="M1026:M1089" si="226">IF(L1026="",K1026/(G1026*100),L1026)</f>
        <v>0.624</v>
      </c>
      <c r="N1026" s="5">
        <f t="shared" si="217"/>
        <v>103.991</v>
      </c>
      <c r="O1026">
        <v>130</v>
      </c>
      <c r="P1026">
        <v>39</v>
      </c>
      <c r="Q1026" s="8">
        <f t="shared" si="218"/>
        <v>39</v>
      </c>
      <c r="R1026" s="8">
        <v>61</v>
      </c>
      <c r="S1026" s="8">
        <f t="shared" si="219"/>
        <v>61</v>
      </c>
      <c r="T1026" s="8">
        <f>(Table1[[#This Row],[Total Cholesterol (mg/dL)]]+Table1[[#This Row],[HDL (mg/dL)2]]+Table1[[#This Row],[Estimated LDL (mg/dL)2]])*5</f>
        <v>1150</v>
      </c>
      <c r="U1026" s="8">
        <f>IF(O1026="",Table1[[#This Row],[Estimated LDL (mg/dL)2]]+Table1[[#This Row],[HDL (mg/dL)2]]+(Table1[[#This Row],[Triglycerides]]/5),O1026)</f>
        <v>130</v>
      </c>
      <c r="V1026">
        <v>189</v>
      </c>
      <c r="W1026" s="8">
        <f t="shared" si="220"/>
        <v>189</v>
      </c>
      <c r="X1026" t="str">
        <f t="shared" si="221"/>
        <v>Diabetes</v>
      </c>
      <c r="Y1026" t="s">
        <v>22</v>
      </c>
      <c r="Z1026" t="s">
        <v>23</v>
      </c>
      <c r="AA1026" t="s">
        <v>28</v>
      </c>
      <c r="AB1026" s="3" t="s">
        <v>878</v>
      </c>
      <c r="AC1026">
        <v>121</v>
      </c>
      <c r="AD1026" s="3" t="str">
        <f t="shared" si="222"/>
        <v>121</v>
      </c>
      <c r="AE1026">
        <v>115</v>
      </c>
      <c r="AF1026" s="3" t="str">
        <f t="shared" si="223"/>
        <v>115</v>
      </c>
      <c r="AG1026" t="s">
        <v>38</v>
      </c>
      <c r="AH1026" s="3">
        <v>15.666</v>
      </c>
      <c r="AI1026" s="3">
        <f t="shared" si="224"/>
        <v>15.666</v>
      </c>
      <c r="AJ1026" t="s">
        <v>26</v>
      </c>
      <c r="AK1026" t="str">
        <f>PROPER(Table1[[#This Row],[CVD Risk Level]])</f>
        <v>Intermediary</v>
      </c>
    </row>
    <row r="1027" spans="1:37" x14ac:dyDescent="0.3">
      <c r="A1027" t="s">
        <v>20</v>
      </c>
      <c r="B1027">
        <v>51</v>
      </c>
      <c r="C1027" s="8">
        <f t="shared" ref="C1027:C1090" si="227">IF(B1027="",AVERAGE($B$2:$B$1530),B1027)</f>
        <v>51</v>
      </c>
      <c r="D1027" s="5">
        <v>75.849999999999994</v>
      </c>
      <c r="E1027" s="8">
        <f t="shared" ref="E1027:E1090" si="228">IF(D1027="", H1027*(F1027^2),D1027)</f>
        <v>75.849999999999994</v>
      </c>
      <c r="F1027">
        <v>1.831</v>
      </c>
      <c r="G1027" s="3">
        <f t="shared" ref="G1027:G1090" si="229">IF(F1027="", SQRT(E1027 / H1027),F1027)</f>
        <v>1.831</v>
      </c>
      <c r="H1027">
        <v>38.493000000000002</v>
      </c>
      <c r="I1027" s="5">
        <f t="shared" si="225"/>
        <v>38.493000000000002</v>
      </c>
      <c r="J1027" s="16" t="str">
        <f t="shared" ref="J1027:J1090" si="230">IF(I1027&lt;18.5,"Underweight",IF(I1027&lt;25,"Normal",IF(I1027&lt;30,"Overweight","Obese")))</f>
        <v>Obese</v>
      </c>
      <c r="K1027">
        <v>89.087999999999994</v>
      </c>
      <c r="L1027">
        <v>0.48699999999999999</v>
      </c>
      <c r="M1027" s="11">
        <f t="shared" si="226"/>
        <v>0.48699999999999999</v>
      </c>
      <c r="N1027" s="5">
        <f t="shared" ref="N1027:N1090" si="231">IF(K1027="",M1027*(G1027*100),K1027)</f>
        <v>89.087999999999994</v>
      </c>
      <c r="P1027">
        <v>69</v>
      </c>
      <c r="Q1027" s="8">
        <f t="shared" ref="Q1027:Q1090" si="232">IF(P1027="",AVERAGE($P$2:$P$1530),P1027)</f>
        <v>69</v>
      </c>
      <c r="R1027" s="8">
        <v>50</v>
      </c>
      <c r="S1027" s="8">
        <f t="shared" ref="S1027:S1090" si="233">IF(R1027&lt;=0,MEDIAN($R$2:$R$1530),R1027)</f>
        <v>50</v>
      </c>
      <c r="T1027" s="8">
        <f>(Table1[[#This Row],[Total Cholesterol (mg/dL)]]+Table1[[#This Row],[HDL (mg/dL)2]]+Table1[[#This Row],[Estimated LDL (mg/dL)2]])*5</f>
        <v>595</v>
      </c>
      <c r="U1027" s="8">
        <f>IF(O1027="",Table1[[#This Row],[Estimated LDL (mg/dL)2]]+Table1[[#This Row],[HDL (mg/dL)2]]+(Table1[[#This Row],[Triglycerides]]/5),O1027)</f>
        <v>238</v>
      </c>
      <c r="V1027">
        <v>175</v>
      </c>
      <c r="W1027" s="8">
        <f t="shared" ref="W1027:W1090" si="234">IF(V1027="",AVERAGE($V$2:$V$1530),V1027)</f>
        <v>175</v>
      </c>
      <c r="X1027" t="str">
        <f t="shared" ref="X1027:X1090" si="235">IF(W1027&lt;100,"Normal",IF(W1027&lt;126,"Prediabetes","Diabetes"))</f>
        <v>Diabetes</v>
      </c>
      <c r="Y1027" t="s">
        <v>22</v>
      </c>
      <c r="Z1027" t="s">
        <v>22</v>
      </c>
      <c r="AA1027" t="s">
        <v>37</v>
      </c>
      <c r="AB1027" s="3" t="s">
        <v>879</v>
      </c>
      <c r="AC1027">
        <v>131</v>
      </c>
      <c r="AD1027" s="3" t="str">
        <f t="shared" ref="AD1027:AD1090" si="236">LEFT(AB1027,FIND("/",AB1027)-1)</f>
        <v>131</v>
      </c>
      <c r="AE1027">
        <v>92</v>
      </c>
      <c r="AF1027" s="3" t="str">
        <f t="shared" ref="AF1027:AF1090" si="237">RIGHT(AB1027,LEN(AB1027)-FIND("/",AB1027))</f>
        <v>92</v>
      </c>
      <c r="AG1027" t="s">
        <v>29</v>
      </c>
      <c r="AH1027" s="3">
        <v>17.228999999999999</v>
      </c>
      <c r="AI1027" s="3">
        <f t="shared" ref="AI1027:AI1090" si="238">IF(AH1027="",AVERAGE($AH$2:$AH$1530),AH1027)</f>
        <v>17.228999999999999</v>
      </c>
      <c r="AJ1027" t="s">
        <v>26</v>
      </c>
      <c r="AK1027" t="str">
        <f>PROPER(Table1[[#This Row],[CVD Risk Level]])</f>
        <v>Intermediary</v>
      </c>
    </row>
    <row r="1028" spans="1:37" x14ac:dyDescent="0.3">
      <c r="A1028" t="s">
        <v>20</v>
      </c>
      <c r="B1028">
        <v>44</v>
      </c>
      <c r="C1028" s="8">
        <f t="shared" si="227"/>
        <v>44</v>
      </c>
      <c r="D1028" s="5">
        <v>80.807000000000002</v>
      </c>
      <c r="E1028" s="8">
        <f t="shared" si="228"/>
        <v>80.807000000000002</v>
      </c>
      <c r="F1028">
        <v>1.6990000000000001</v>
      </c>
      <c r="G1028" s="3">
        <f t="shared" si="229"/>
        <v>1.6990000000000001</v>
      </c>
      <c r="H1028">
        <v>35.97</v>
      </c>
      <c r="I1028" s="5">
        <f t="shared" si="225"/>
        <v>35.97</v>
      </c>
      <c r="J1028" s="16" t="str">
        <f t="shared" si="230"/>
        <v>Obese</v>
      </c>
      <c r="K1028">
        <v>102.551</v>
      </c>
      <c r="L1028">
        <v>0.60399999999999998</v>
      </c>
      <c r="M1028" s="11">
        <f t="shared" si="226"/>
        <v>0.60399999999999998</v>
      </c>
      <c r="N1028" s="5">
        <f t="shared" si="231"/>
        <v>102.551</v>
      </c>
      <c r="O1028">
        <v>228</v>
      </c>
      <c r="P1028">
        <v>86</v>
      </c>
      <c r="Q1028" s="8">
        <f t="shared" si="232"/>
        <v>86</v>
      </c>
      <c r="R1028" s="8">
        <v>112</v>
      </c>
      <c r="S1028" s="8">
        <f t="shared" si="233"/>
        <v>112</v>
      </c>
      <c r="T1028" s="8">
        <f>(Table1[[#This Row],[Total Cholesterol (mg/dL)]]+Table1[[#This Row],[HDL (mg/dL)2]]+Table1[[#This Row],[Estimated LDL (mg/dL)2]])*5</f>
        <v>2130</v>
      </c>
      <c r="U1028" s="8">
        <f>IF(O1028="",Table1[[#This Row],[Estimated LDL (mg/dL)2]]+Table1[[#This Row],[HDL (mg/dL)2]]+(Table1[[#This Row],[Triglycerides]]/5),O1028)</f>
        <v>228</v>
      </c>
      <c r="V1028">
        <v>149</v>
      </c>
      <c r="W1028" s="8">
        <f t="shared" si="234"/>
        <v>149</v>
      </c>
      <c r="X1028" t="str">
        <f t="shared" si="235"/>
        <v>Diabetes</v>
      </c>
      <c r="Y1028" t="s">
        <v>22</v>
      </c>
      <c r="Z1028" t="s">
        <v>22</v>
      </c>
      <c r="AA1028" t="s">
        <v>28</v>
      </c>
      <c r="AB1028" s="3" t="s">
        <v>880</v>
      </c>
      <c r="AC1028">
        <v>108</v>
      </c>
      <c r="AD1028" s="3" t="str">
        <f t="shared" si="236"/>
        <v>108</v>
      </c>
      <c r="AF1028" s="3" t="str">
        <f t="shared" si="237"/>
        <v>115</v>
      </c>
      <c r="AG1028" t="s">
        <v>38</v>
      </c>
      <c r="AH1028" s="3">
        <v>17.154</v>
      </c>
      <c r="AI1028" s="3">
        <f t="shared" si="238"/>
        <v>17.154</v>
      </c>
      <c r="AJ1028" t="s">
        <v>26</v>
      </c>
      <c r="AK1028" t="str">
        <f>PROPER(Table1[[#This Row],[CVD Risk Level]])</f>
        <v>Intermediary</v>
      </c>
    </row>
    <row r="1029" spans="1:37" x14ac:dyDescent="0.3">
      <c r="A1029" t="s">
        <v>31</v>
      </c>
      <c r="B1029">
        <v>64</v>
      </c>
      <c r="C1029" s="8">
        <f t="shared" si="227"/>
        <v>64</v>
      </c>
      <c r="E1029" s="8">
        <f t="shared" si="228"/>
        <v>132.82342465599999</v>
      </c>
      <c r="F1029">
        <v>1.9239999999999999</v>
      </c>
      <c r="G1029" s="3">
        <f t="shared" si="229"/>
        <v>1.9239999999999999</v>
      </c>
      <c r="H1029">
        <v>35.881</v>
      </c>
      <c r="I1029" s="5">
        <f t="shared" si="225"/>
        <v>35.881</v>
      </c>
      <c r="J1029" s="16" t="str">
        <f t="shared" si="230"/>
        <v>Obese</v>
      </c>
      <c r="K1029">
        <v>97.462000000000003</v>
      </c>
      <c r="L1029">
        <v>0.50700000000000001</v>
      </c>
      <c r="M1029" s="11">
        <f t="shared" si="226"/>
        <v>0.50700000000000001</v>
      </c>
      <c r="N1029" s="5">
        <f t="shared" si="231"/>
        <v>97.462000000000003</v>
      </c>
      <c r="O1029">
        <v>198</v>
      </c>
      <c r="P1029">
        <v>55</v>
      </c>
      <c r="Q1029" s="8">
        <f t="shared" si="232"/>
        <v>55</v>
      </c>
      <c r="R1029" s="8">
        <v>113</v>
      </c>
      <c r="S1029" s="8">
        <f t="shared" si="233"/>
        <v>113</v>
      </c>
      <c r="T1029" s="8">
        <f>(Table1[[#This Row],[Total Cholesterol (mg/dL)]]+Table1[[#This Row],[HDL (mg/dL)2]]+Table1[[#This Row],[Estimated LDL (mg/dL)2]])*5</f>
        <v>1830</v>
      </c>
      <c r="U1029" s="8">
        <f>IF(O1029="",Table1[[#This Row],[Estimated LDL (mg/dL)2]]+Table1[[#This Row],[HDL (mg/dL)2]]+(Table1[[#This Row],[Triglycerides]]/5),O1029)</f>
        <v>198</v>
      </c>
      <c r="V1029">
        <v>149</v>
      </c>
      <c r="W1029" s="8">
        <f t="shared" si="234"/>
        <v>149</v>
      </c>
      <c r="X1029" t="str">
        <f t="shared" si="235"/>
        <v>Diabetes</v>
      </c>
      <c r="Y1029" t="s">
        <v>23</v>
      </c>
      <c r="Z1029" t="s">
        <v>22</v>
      </c>
      <c r="AA1029" t="s">
        <v>24</v>
      </c>
      <c r="AB1029" s="3" t="s">
        <v>881</v>
      </c>
      <c r="AC1029">
        <v>102</v>
      </c>
      <c r="AD1029" s="3" t="str">
        <f t="shared" si="236"/>
        <v>102</v>
      </c>
      <c r="AE1029">
        <v>102</v>
      </c>
      <c r="AF1029" s="3" t="str">
        <f t="shared" si="237"/>
        <v>102</v>
      </c>
      <c r="AG1029" t="s">
        <v>38</v>
      </c>
      <c r="AH1029" s="3">
        <v>16.236000000000001</v>
      </c>
      <c r="AI1029" s="3">
        <f t="shared" si="238"/>
        <v>16.236000000000001</v>
      </c>
      <c r="AJ1029" t="s">
        <v>30</v>
      </c>
      <c r="AK1029" t="str">
        <f>PROPER(Table1[[#This Row],[CVD Risk Level]])</f>
        <v>High</v>
      </c>
    </row>
    <row r="1030" spans="1:37" x14ac:dyDescent="0.3">
      <c r="A1030" t="s">
        <v>20</v>
      </c>
      <c r="B1030">
        <v>72</v>
      </c>
      <c r="C1030" s="8">
        <f t="shared" si="227"/>
        <v>72</v>
      </c>
      <c r="D1030" s="5">
        <v>57.835999999999999</v>
      </c>
      <c r="E1030" s="8">
        <f t="shared" si="228"/>
        <v>57.835999999999999</v>
      </c>
      <c r="F1030">
        <v>1.554</v>
      </c>
      <c r="G1030" s="3">
        <f t="shared" si="229"/>
        <v>1.554</v>
      </c>
      <c r="H1030">
        <v>24.007999999999999</v>
      </c>
      <c r="I1030" s="5">
        <f t="shared" si="225"/>
        <v>24.007999999999999</v>
      </c>
      <c r="J1030" s="16" t="str">
        <f t="shared" si="230"/>
        <v>Normal</v>
      </c>
      <c r="K1030">
        <v>115.565</v>
      </c>
      <c r="L1030">
        <v>0.74399999999999999</v>
      </c>
      <c r="M1030" s="11">
        <f t="shared" si="226"/>
        <v>0.74399999999999999</v>
      </c>
      <c r="N1030" s="5">
        <f t="shared" si="231"/>
        <v>115.565</v>
      </c>
      <c r="O1030">
        <v>211</v>
      </c>
      <c r="P1030">
        <v>81</v>
      </c>
      <c r="Q1030" s="8">
        <f t="shared" si="232"/>
        <v>81</v>
      </c>
      <c r="R1030" s="8">
        <v>100</v>
      </c>
      <c r="S1030" s="8">
        <f t="shared" si="233"/>
        <v>100</v>
      </c>
      <c r="T1030" s="8">
        <f>(Table1[[#This Row],[Total Cholesterol (mg/dL)]]+Table1[[#This Row],[HDL (mg/dL)2]]+Table1[[#This Row],[Estimated LDL (mg/dL)2]])*5</f>
        <v>1960</v>
      </c>
      <c r="U1030" s="8">
        <f>IF(O1030="",Table1[[#This Row],[Estimated LDL (mg/dL)2]]+Table1[[#This Row],[HDL (mg/dL)2]]+(Table1[[#This Row],[Triglycerides]]/5),O1030)</f>
        <v>211</v>
      </c>
      <c r="V1030">
        <v>85</v>
      </c>
      <c r="W1030" s="8">
        <f t="shared" si="234"/>
        <v>85</v>
      </c>
      <c r="X1030" t="str">
        <f t="shared" si="235"/>
        <v>Normal</v>
      </c>
      <c r="Y1030" t="s">
        <v>22</v>
      </c>
      <c r="Z1030" t="s">
        <v>22</v>
      </c>
      <c r="AA1030" t="s">
        <v>37</v>
      </c>
      <c r="AB1030" s="3" t="s">
        <v>882</v>
      </c>
      <c r="AC1030">
        <v>157</v>
      </c>
      <c r="AD1030" s="3" t="str">
        <f t="shared" si="236"/>
        <v>157</v>
      </c>
      <c r="AE1030">
        <v>75</v>
      </c>
      <c r="AF1030" s="3" t="str">
        <f t="shared" si="237"/>
        <v>75</v>
      </c>
      <c r="AG1030" t="s">
        <v>38</v>
      </c>
      <c r="AH1030" s="3">
        <v>16.872</v>
      </c>
      <c r="AI1030" s="3">
        <f t="shared" si="238"/>
        <v>16.872</v>
      </c>
      <c r="AJ1030" t="s">
        <v>26</v>
      </c>
      <c r="AK1030" t="str">
        <f>PROPER(Table1[[#This Row],[CVD Risk Level]])</f>
        <v>Intermediary</v>
      </c>
    </row>
    <row r="1031" spans="1:37" x14ac:dyDescent="0.3">
      <c r="A1031" t="s">
        <v>31</v>
      </c>
      <c r="B1031">
        <v>34</v>
      </c>
      <c r="C1031" s="8">
        <f t="shared" si="227"/>
        <v>34</v>
      </c>
      <c r="D1031" s="5">
        <v>87.111000000000004</v>
      </c>
      <c r="E1031" s="8">
        <f t="shared" si="228"/>
        <v>87.111000000000004</v>
      </c>
      <c r="F1031">
        <v>1.552</v>
      </c>
      <c r="G1031" s="3">
        <f t="shared" si="229"/>
        <v>1.552</v>
      </c>
      <c r="H1031">
        <v>37.164999999999999</v>
      </c>
      <c r="I1031" s="5">
        <f t="shared" si="225"/>
        <v>37.164999999999999</v>
      </c>
      <c r="J1031" s="16" t="str">
        <f t="shared" si="230"/>
        <v>Obese</v>
      </c>
      <c r="K1031">
        <v>96.013000000000005</v>
      </c>
      <c r="L1031">
        <v>0.61899999999999999</v>
      </c>
      <c r="M1031" s="11">
        <f t="shared" si="226"/>
        <v>0.61899999999999999</v>
      </c>
      <c r="N1031" s="5">
        <f t="shared" si="231"/>
        <v>96.013000000000005</v>
      </c>
      <c r="O1031">
        <v>218</v>
      </c>
      <c r="P1031">
        <v>63</v>
      </c>
      <c r="Q1031" s="8">
        <f t="shared" si="232"/>
        <v>63</v>
      </c>
      <c r="R1031" s="8">
        <v>125</v>
      </c>
      <c r="S1031" s="8">
        <f t="shared" si="233"/>
        <v>125</v>
      </c>
      <c r="T1031" s="8">
        <f>(Table1[[#This Row],[Total Cholesterol (mg/dL)]]+Table1[[#This Row],[HDL (mg/dL)2]]+Table1[[#This Row],[Estimated LDL (mg/dL)2]])*5</f>
        <v>2030</v>
      </c>
      <c r="U1031" s="8">
        <f>IF(O1031="",Table1[[#This Row],[Estimated LDL (mg/dL)2]]+Table1[[#This Row],[HDL (mg/dL)2]]+(Table1[[#This Row],[Triglycerides]]/5),O1031)</f>
        <v>218</v>
      </c>
      <c r="V1031">
        <v>157</v>
      </c>
      <c r="W1031" s="8">
        <f t="shared" si="234"/>
        <v>157</v>
      </c>
      <c r="X1031" t="str">
        <f t="shared" si="235"/>
        <v>Diabetes</v>
      </c>
      <c r="Y1031" t="s">
        <v>23</v>
      </c>
      <c r="Z1031" t="s">
        <v>22</v>
      </c>
      <c r="AA1031" t="s">
        <v>37</v>
      </c>
      <c r="AB1031" s="3" t="s">
        <v>883</v>
      </c>
      <c r="AC1031">
        <v>171</v>
      </c>
      <c r="AD1031" s="3" t="str">
        <f t="shared" si="236"/>
        <v>171</v>
      </c>
      <c r="AE1031">
        <v>99</v>
      </c>
      <c r="AF1031" s="3" t="str">
        <f t="shared" si="237"/>
        <v>99</v>
      </c>
      <c r="AG1031" t="s">
        <v>38</v>
      </c>
      <c r="AH1031" s="3">
        <v>20.343</v>
      </c>
      <c r="AI1031" s="3">
        <f t="shared" si="238"/>
        <v>20.343</v>
      </c>
      <c r="AJ1031" t="s">
        <v>30</v>
      </c>
      <c r="AK1031" t="str">
        <f>PROPER(Table1[[#This Row],[CVD Risk Level]])</f>
        <v>High</v>
      </c>
    </row>
    <row r="1032" spans="1:37" x14ac:dyDescent="0.3">
      <c r="A1032" t="s">
        <v>20</v>
      </c>
      <c r="B1032">
        <v>60</v>
      </c>
      <c r="C1032" s="8">
        <f t="shared" si="227"/>
        <v>60</v>
      </c>
      <c r="D1032" s="5">
        <v>60.755000000000003</v>
      </c>
      <c r="E1032" s="8">
        <f t="shared" si="228"/>
        <v>60.755000000000003</v>
      </c>
      <c r="F1032">
        <v>1.675</v>
      </c>
      <c r="G1032" s="3">
        <f t="shared" si="229"/>
        <v>1.675</v>
      </c>
      <c r="H1032">
        <v>25.623999999999999</v>
      </c>
      <c r="I1032" s="5">
        <f t="shared" si="225"/>
        <v>25.623999999999999</v>
      </c>
      <c r="J1032" s="16" t="str">
        <f t="shared" si="230"/>
        <v>Overweight</v>
      </c>
      <c r="K1032">
        <v>82.403000000000006</v>
      </c>
      <c r="L1032">
        <v>0.49199999999999999</v>
      </c>
      <c r="M1032" s="11">
        <f t="shared" si="226"/>
        <v>0.49199999999999999</v>
      </c>
      <c r="N1032" s="5">
        <f t="shared" si="231"/>
        <v>82.403000000000006</v>
      </c>
      <c r="O1032">
        <v>185</v>
      </c>
      <c r="P1032">
        <v>42</v>
      </c>
      <c r="Q1032" s="8">
        <f t="shared" si="232"/>
        <v>42</v>
      </c>
      <c r="R1032" s="8">
        <v>113</v>
      </c>
      <c r="S1032" s="8">
        <f t="shared" si="233"/>
        <v>113</v>
      </c>
      <c r="T1032" s="8">
        <f>(Table1[[#This Row],[Total Cholesterol (mg/dL)]]+Table1[[#This Row],[HDL (mg/dL)2]]+Table1[[#This Row],[Estimated LDL (mg/dL)2]])*5</f>
        <v>1700</v>
      </c>
      <c r="U1032" s="8">
        <f>IF(O1032="",Table1[[#This Row],[Estimated LDL (mg/dL)2]]+Table1[[#This Row],[HDL (mg/dL)2]]+(Table1[[#This Row],[Triglycerides]]/5),O1032)</f>
        <v>185</v>
      </c>
      <c r="V1032">
        <v>184</v>
      </c>
      <c r="W1032" s="8">
        <f t="shared" si="234"/>
        <v>184</v>
      </c>
      <c r="X1032" t="str">
        <f t="shared" si="235"/>
        <v>Diabetes</v>
      </c>
      <c r="Y1032" t="s">
        <v>23</v>
      </c>
      <c r="Z1032" t="s">
        <v>23</v>
      </c>
      <c r="AA1032" t="s">
        <v>24</v>
      </c>
      <c r="AB1032" s="3" t="s">
        <v>884</v>
      </c>
      <c r="AC1032">
        <v>143</v>
      </c>
      <c r="AD1032" s="3" t="str">
        <f t="shared" si="236"/>
        <v>143</v>
      </c>
      <c r="AE1032">
        <v>96</v>
      </c>
      <c r="AF1032" s="3" t="str">
        <f t="shared" si="237"/>
        <v>96</v>
      </c>
      <c r="AG1032" t="s">
        <v>38</v>
      </c>
      <c r="AH1032" s="3">
        <v>17.975000000000001</v>
      </c>
      <c r="AI1032" s="3">
        <f t="shared" si="238"/>
        <v>17.975000000000001</v>
      </c>
      <c r="AJ1032" t="s">
        <v>26</v>
      </c>
      <c r="AK1032" t="str">
        <f>PROPER(Table1[[#This Row],[CVD Risk Level]])</f>
        <v>Intermediary</v>
      </c>
    </row>
    <row r="1033" spans="1:37" x14ac:dyDescent="0.3">
      <c r="A1033" t="s">
        <v>20</v>
      </c>
      <c r="B1033">
        <v>59</v>
      </c>
      <c r="C1033" s="8">
        <f t="shared" si="227"/>
        <v>59</v>
      </c>
      <c r="D1033" s="5">
        <v>55.807000000000002</v>
      </c>
      <c r="E1033" s="8">
        <f t="shared" si="228"/>
        <v>55.807000000000002</v>
      </c>
      <c r="F1033">
        <v>1.881</v>
      </c>
      <c r="G1033" s="3">
        <f t="shared" si="229"/>
        <v>1.881</v>
      </c>
      <c r="H1033">
        <v>35.554000000000002</v>
      </c>
      <c r="I1033" s="5">
        <f t="shared" si="225"/>
        <v>35.554000000000002</v>
      </c>
      <c r="J1033" s="16" t="str">
        <f t="shared" si="230"/>
        <v>Obese</v>
      </c>
      <c r="K1033">
        <v>87.524000000000001</v>
      </c>
      <c r="L1033">
        <v>0.46500000000000002</v>
      </c>
      <c r="M1033" s="11">
        <f t="shared" si="226"/>
        <v>0.46500000000000002</v>
      </c>
      <c r="N1033" s="5">
        <f t="shared" si="231"/>
        <v>87.524000000000001</v>
      </c>
      <c r="O1033">
        <v>134</v>
      </c>
      <c r="P1033">
        <v>78</v>
      </c>
      <c r="Q1033" s="8">
        <f t="shared" si="232"/>
        <v>78</v>
      </c>
      <c r="R1033" s="8">
        <v>26</v>
      </c>
      <c r="S1033" s="8">
        <f t="shared" si="233"/>
        <v>26</v>
      </c>
      <c r="T1033" s="8">
        <f>(Table1[[#This Row],[Total Cholesterol (mg/dL)]]+Table1[[#This Row],[HDL (mg/dL)2]]+Table1[[#This Row],[Estimated LDL (mg/dL)2]])*5</f>
        <v>1190</v>
      </c>
      <c r="U1033" s="8">
        <f>IF(O1033="",Table1[[#This Row],[Estimated LDL (mg/dL)2]]+Table1[[#This Row],[HDL (mg/dL)2]]+(Table1[[#This Row],[Triglycerides]]/5),O1033)</f>
        <v>134</v>
      </c>
      <c r="V1033">
        <v>176</v>
      </c>
      <c r="W1033" s="8">
        <f t="shared" si="234"/>
        <v>176</v>
      </c>
      <c r="X1033" t="str">
        <f t="shared" si="235"/>
        <v>Diabetes</v>
      </c>
      <c r="Y1033" t="s">
        <v>22</v>
      </c>
      <c r="Z1033" t="s">
        <v>23</v>
      </c>
      <c r="AA1033" t="s">
        <v>24</v>
      </c>
      <c r="AB1033" s="3" t="s">
        <v>759</v>
      </c>
      <c r="AC1033">
        <v>118</v>
      </c>
      <c r="AD1033" s="3" t="str">
        <f t="shared" si="236"/>
        <v>118</v>
      </c>
      <c r="AE1033">
        <v>67</v>
      </c>
      <c r="AF1033" s="3" t="str">
        <f t="shared" si="237"/>
        <v>67</v>
      </c>
      <c r="AG1033" t="s">
        <v>33</v>
      </c>
      <c r="AH1033" s="3">
        <v>17.690999999999999</v>
      </c>
      <c r="AI1033" s="3">
        <f t="shared" si="238"/>
        <v>17.690999999999999</v>
      </c>
      <c r="AJ1033" t="s">
        <v>52</v>
      </c>
      <c r="AK1033" t="str">
        <f>PROPER(Table1[[#This Row],[CVD Risk Level]])</f>
        <v>Low</v>
      </c>
    </row>
    <row r="1034" spans="1:37" x14ac:dyDescent="0.3">
      <c r="A1034" t="s">
        <v>31</v>
      </c>
      <c r="B1034">
        <v>60</v>
      </c>
      <c r="C1034" s="8">
        <f t="shared" si="227"/>
        <v>60</v>
      </c>
      <c r="D1034" s="5">
        <v>78.113</v>
      </c>
      <c r="E1034" s="8">
        <f t="shared" si="228"/>
        <v>78.113</v>
      </c>
      <c r="F1034">
        <v>1.915</v>
      </c>
      <c r="G1034" s="3">
        <f t="shared" si="229"/>
        <v>1.915</v>
      </c>
      <c r="H1034">
        <v>30.027999999999999</v>
      </c>
      <c r="I1034" s="5">
        <f t="shared" si="225"/>
        <v>30.027999999999999</v>
      </c>
      <c r="J1034" s="16" t="str">
        <f t="shared" si="230"/>
        <v>Obese</v>
      </c>
      <c r="K1034">
        <v>102.369</v>
      </c>
      <c r="L1034">
        <v>0.53400000000000003</v>
      </c>
      <c r="M1034" s="11">
        <f t="shared" si="226"/>
        <v>0.53400000000000003</v>
      </c>
      <c r="N1034" s="5">
        <f t="shared" si="231"/>
        <v>102.369</v>
      </c>
      <c r="O1034">
        <v>277</v>
      </c>
      <c r="P1034">
        <v>85</v>
      </c>
      <c r="Q1034" s="8">
        <f t="shared" si="232"/>
        <v>85</v>
      </c>
      <c r="R1034" s="8">
        <v>162</v>
      </c>
      <c r="S1034" s="8">
        <f t="shared" si="233"/>
        <v>162</v>
      </c>
      <c r="T1034" s="8">
        <f>(Table1[[#This Row],[Total Cholesterol (mg/dL)]]+Table1[[#This Row],[HDL (mg/dL)2]]+Table1[[#This Row],[Estimated LDL (mg/dL)2]])*5</f>
        <v>2620</v>
      </c>
      <c r="U1034" s="8">
        <f>IF(O1034="",Table1[[#This Row],[Estimated LDL (mg/dL)2]]+Table1[[#This Row],[HDL (mg/dL)2]]+(Table1[[#This Row],[Triglycerides]]/5),O1034)</f>
        <v>277</v>
      </c>
      <c r="V1034">
        <v>116</v>
      </c>
      <c r="W1034" s="8">
        <f t="shared" si="234"/>
        <v>116</v>
      </c>
      <c r="X1034" t="str">
        <f t="shared" si="235"/>
        <v>Prediabetes</v>
      </c>
      <c r="Y1034" t="s">
        <v>22</v>
      </c>
      <c r="Z1034" t="s">
        <v>23</v>
      </c>
      <c r="AA1034" t="s">
        <v>37</v>
      </c>
      <c r="AB1034" s="3" t="s">
        <v>885</v>
      </c>
      <c r="AC1034">
        <v>124</v>
      </c>
      <c r="AD1034" s="3" t="str">
        <f t="shared" si="236"/>
        <v>124</v>
      </c>
      <c r="AE1034">
        <v>110</v>
      </c>
      <c r="AF1034" s="3" t="str">
        <f t="shared" si="237"/>
        <v>110</v>
      </c>
      <c r="AG1034" t="s">
        <v>38</v>
      </c>
      <c r="AH1034" s="3">
        <v>19.745999999999999</v>
      </c>
      <c r="AI1034" s="3">
        <f t="shared" si="238"/>
        <v>19.745999999999999</v>
      </c>
      <c r="AJ1034" t="s">
        <v>30</v>
      </c>
      <c r="AK1034" t="str">
        <f>PROPER(Table1[[#This Row],[CVD Risk Level]])</f>
        <v>High</v>
      </c>
    </row>
    <row r="1035" spans="1:37" x14ac:dyDescent="0.3">
      <c r="A1035" t="s">
        <v>20</v>
      </c>
      <c r="B1035">
        <v>32</v>
      </c>
      <c r="C1035" s="8">
        <f t="shared" si="227"/>
        <v>32</v>
      </c>
      <c r="D1035" s="5">
        <v>53.08</v>
      </c>
      <c r="E1035" s="8">
        <f t="shared" si="228"/>
        <v>53.08</v>
      </c>
      <c r="F1035">
        <v>1.5960000000000001</v>
      </c>
      <c r="G1035" s="3">
        <f t="shared" si="229"/>
        <v>1.5960000000000001</v>
      </c>
      <c r="H1035">
        <v>38.350999999999999</v>
      </c>
      <c r="I1035" s="5">
        <f t="shared" si="225"/>
        <v>38.350999999999999</v>
      </c>
      <c r="J1035" s="16" t="str">
        <f t="shared" si="230"/>
        <v>Obese</v>
      </c>
      <c r="K1035">
        <v>78.852000000000004</v>
      </c>
      <c r="L1035">
        <v>0.49399999999999999</v>
      </c>
      <c r="M1035" s="11">
        <f t="shared" si="226"/>
        <v>0.49399999999999999</v>
      </c>
      <c r="N1035" s="5">
        <f t="shared" si="231"/>
        <v>78.852000000000004</v>
      </c>
      <c r="O1035">
        <v>184</v>
      </c>
      <c r="P1035">
        <v>85</v>
      </c>
      <c r="Q1035" s="8">
        <f t="shared" si="232"/>
        <v>85</v>
      </c>
      <c r="R1035" s="8">
        <v>69</v>
      </c>
      <c r="S1035" s="8">
        <f t="shared" si="233"/>
        <v>69</v>
      </c>
      <c r="T1035" s="8">
        <f>(Table1[[#This Row],[Total Cholesterol (mg/dL)]]+Table1[[#This Row],[HDL (mg/dL)2]]+Table1[[#This Row],[Estimated LDL (mg/dL)2]])*5</f>
        <v>1690</v>
      </c>
      <c r="U1035" s="8">
        <f>IF(O1035="",Table1[[#This Row],[Estimated LDL (mg/dL)2]]+Table1[[#This Row],[HDL (mg/dL)2]]+(Table1[[#This Row],[Triglycerides]]/5),O1035)</f>
        <v>184</v>
      </c>
      <c r="V1035">
        <v>95</v>
      </c>
      <c r="W1035" s="8">
        <f t="shared" si="234"/>
        <v>95</v>
      </c>
      <c r="X1035" t="str">
        <f t="shared" si="235"/>
        <v>Normal</v>
      </c>
      <c r="Y1035" t="s">
        <v>23</v>
      </c>
      <c r="Z1035" t="s">
        <v>23</v>
      </c>
      <c r="AA1035" t="s">
        <v>28</v>
      </c>
      <c r="AB1035" s="3" t="s">
        <v>886</v>
      </c>
      <c r="AC1035">
        <v>167</v>
      </c>
      <c r="AD1035" s="3" t="str">
        <f t="shared" si="236"/>
        <v>167</v>
      </c>
      <c r="AE1035">
        <v>83</v>
      </c>
      <c r="AF1035" s="3" t="str">
        <f t="shared" si="237"/>
        <v>83</v>
      </c>
      <c r="AG1035" t="s">
        <v>29</v>
      </c>
      <c r="AI1035" s="3">
        <f t="shared" si="238"/>
        <v>16.960925291295425</v>
      </c>
      <c r="AJ1035" t="s">
        <v>52</v>
      </c>
      <c r="AK1035" t="str">
        <f>PROPER(Table1[[#This Row],[CVD Risk Level]])</f>
        <v>Low</v>
      </c>
    </row>
    <row r="1036" spans="1:37" x14ac:dyDescent="0.3">
      <c r="A1036" t="s">
        <v>31</v>
      </c>
      <c r="B1036">
        <v>70</v>
      </c>
      <c r="C1036" s="8">
        <f t="shared" si="227"/>
        <v>70</v>
      </c>
      <c r="D1036" s="5">
        <v>116.129</v>
      </c>
      <c r="E1036" s="8">
        <f t="shared" si="228"/>
        <v>116.129</v>
      </c>
      <c r="F1036">
        <v>1.859</v>
      </c>
      <c r="G1036" s="3">
        <f t="shared" si="229"/>
        <v>1.859</v>
      </c>
      <c r="H1036">
        <v>28.103000000000002</v>
      </c>
      <c r="I1036" s="5">
        <f t="shared" si="225"/>
        <v>28.103000000000002</v>
      </c>
      <c r="J1036" s="16" t="str">
        <f t="shared" si="230"/>
        <v>Overweight</v>
      </c>
      <c r="K1036">
        <v>114.06100000000001</v>
      </c>
      <c r="L1036">
        <v>0.61299999999999999</v>
      </c>
      <c r="M1036" s="11">
        <f t="shared" si="226"/>
        <v>0.61299999999999999</v>
      </c>
      <c r="N1036" s="5">
        <f t="shared" si="231"/>
        <v>114.06100000000001</v>
      </c>
      <c r="O1036">
        <v>285</v>
      </c>
      <c r="P1036">
        <v>67</v>
      </c>
      <c r="Q1036" s="8">
        <f t="shared" si="232"/>
        <v>67</v>
      </c>
      <c r="R1036" s="8">
        <v>188</v>
      </c>
      <c r="S1036" s="8">
        <f t="shared" si="233"/>
        <v>188</v>
      </c>
      <c r="T1036" s="8">
        <f>(Table1[[#This Row],[Total Cholesterol (mg/dL)]]+Table1[[#This Row],[HDL (mg/dL)2]]+Table1[[#This Row],[Estimated LDL (mg/dL)2]])*5</f>
        <v>2700</v>
      </c>
      <c r="U1036" s="8">
        <f>IF(O1036="",Table1[[#This Row],[Estimated LDL (mg/dL)2]]+Table1[[#This Row],[HDL (mg/dL)2]]+(Table1[[#This Row],[Triglycerides]]/5),O1036)</f>
        <v>285</v>
      </c>
      <c r="V1036">
        <v>92</v>
      </c>
      <c r="W1036" s="8">
        <f t="shared" si="234"/>
        <v>92</v>
      </c>
      <c r="X1036" t="str">
        <f t="shared" si="235"/>
        <v>Normal</v>
      </c>
      <c r="Y1036" t="s">
        <v>23</v>
      </c>
      <c r="Z1036" t="s">
        <v>22</v>
      </c>
      <c r="AA1036" t="s">
        <v>24</v>
      </c>
      <c r="AB1036" s="3" t="s">
        <v>887</v>
      </c>
      <c r="AC1036">
        <v>125</v>
      </c>
      <c r="AD1036" s="3" t="str">
        <f t="shared" si="236"/>
        <v>125</v>
      </c>
      <c r="AE1036">
        <v>93</v>
      </c>
      <c r="AF1036" s="3" t="str">
        <f t="shared" si="237"/>
        <v>93</v>
      </c>
      <c r="AG1036" t="s">
        <v>38</v>
      </c>
      <c r="AH1036" s="3">
        <v>17.571000000000002</v>
      </c>
      <c r="AI1036" s="3">
        <f t="shared" si="238"/>
        <v>17.571000000000002</v>
      </c>
      <c r="AJ1036" t="s">
        <v>30</v>
      </c>
      <c r="AK1036" t="str">
        <f>PROPER(Table1[[#This Row],[CVD Risk Level]])</f>
        <v>High</v>
      </c>
    </row>
    <row r="1037" spans="1:37" x14ac:dyDescent="0.3">
      <c r="A1037" t="s">
        <v>31</v>
      </c>
      <c r="B1037">
        <v>41</v>
      </c>
      <c r="C1037" s="8">
        <f t="shared" si="227"/>
        <v>41</v>
      </c>
      <c r="D1037" s="5">
        <v>112.71599999999999</v>
      </c>
      <c r="E1037" s="8">
        <f t="shared" si="228"/>
        <v>112.71599999999999</v>
      </c>
      <c r="F1037">
        <v>1.77</v>
      </c>
      <c r="G1037" s="3">
        <f t="shared" si="229"/>
        <v>1.77</v>
      </c>
      <c r="H1037">
        <v>38.307000000000002</v>
      </c>
      <c r="I1037" s="5">
        <f t="shared" si="225"/>
        <v>38.307000000000002</v>
      </c>
      <c r="J1037" s="16" t="str">
        <f t="shared" si="230"/>
        <v>Obese</v>
      </c>
      <c r="K1037">
        <v>74.33</v>
      </c>
      <c r="L1037">
        <v>0.42</v>
      </c>
      <c r="M1037" s="11">
        <f t="shared" si="226"/>
        <v>0.42</v>
      </c>
      <c r="N1037" s="5">
        <f t="shared" si="231"/>
        <v>74.33</v>
      </c>
      <c r="O1037">
        <v>259</v>
      </c>
      <c r="Q1037" s="8">
        <f t="shared" si="232"/>
        <v>56.197377501725327</v>
      </c>
      <c r="R1037" s="8">
        <v>175</v>
      </c>
      <c r="S1037" s="8">
        <f t="shared" si="233"/>
        <v>175</v>
      </c>
      <c r="T1037" s="8">
        <f>(Table1[[#This Row],[Total Cholesterol (mg/dL)]]+Table1[[#This Row],[HDL (mg/dL)2]]+Table1[[#This Row],[Estimated LDL (mg/dL)2]])*5</f>
        <v>2450.9868875086268</v>
      </c>
      <c r="U1037" s="8">
        <f>IF(O1037="",Table1[[#This Row],[Estimated LDL (mg/dL)2]]+Table1[[#This Row],[HDL (mg/dL)2]]+(Table1[[#This Row],[Triglycerides]]/5),O1037)</f>
        <v>259</v>
      </c>
      <c r="V1037">
        <v>70</v>
      </c>
      <c r="W1037" s="8">
        <f t="shared" si="234"/>
        <v>70</v>
      </c>
      <c r="X1037" t="str">
        <f t="shared" si="235"/>
        <v>Normal</v>
      </c>
      <c r="Y1037" t="s">
        <v>23</v>
      </c>
      <c r="Z1037" t="s">
        <v>22</v>
      </c>
      <c r="AA1037" t="s">
        <v>37</v>
      </c>
      <c r="AB1037" s="3" t="s">
        <v>888</v>
      </c>
      <c r="AC1037">
        <v>153</v>
      </c>
      <c r="AD1037" s="3" t="str">
        <f t="shared" si="236"/>
        <v>153</v>
      </c>
      <c r="AE1037">
        <v>95</v>
      </c>
      <c r="AF1037" s="3" t="str">
        <f t="shared" si="237"/>
        <v>95</v>
      </c>
      <c r="AG1037" t="s">
        <v>38</v>
      </c>
      <c r="AH1037" s="3">
        <v>20.491</v>
      </c>
      <c r="AI1037" s="3">
        <f t="shared" si="238"/>
        <v>20.491</v>
      </c>
      <c r="AJ1037" t="s">
        <v>52</v>
      </c>
      <c r="AK1037" t="str">
        <f>PROPER(Table1[[#This Row],[CVD Risk Level]])</f>
        <v>Low</v>
      </c>
    </row>
    <row r="1038" spans="1:37" x14ac:dyDescent="0.3">
      <c r="A1038" t="s">
        <v>20</v>
      </c>
      <c r="B1038">
        <v>79</v>
      </c>
      <c r="C1038" s="8">
        <f t="shared" si="227"/>
        <v>79</v>
      </c>
      <c r="D1038" s="5">
        <v>103.35899999999999</v>
      </c>
      <c r="E1038" s="8">
        <f t="shared" si="228"/>
        <v>103.35899999999999</v>
      </c>
      <c r="F1038">
        <v>1.9430000000000001</v>
      </c>
      <c r="G1038" s="3">
        <f t="shared" si="229"/>
        <v>1.9430000000000001</v>
      </c>
      <c r="H1038">
        <v>28.356999999999999</v>
      </c>
      <c r="I1038" s="5">
        <f t="shared" si="225"/>
        <v>28.356999999999999</v>
      </c>
      <c r="J1038" s="16" t="str">
        <f t="shared" si="230"/>
        <v>Overweight</v>
      </c>
      <c r="K1038">
        <v>95.531000000000006</v>
      </c>
      <c r="L1038">
        <v>0.49199999999999999</v>
      </c>
      <c r="M1038" s="11">
        <f t="shared" si="226"/>
        <v>0.49199999999999999</v>
      </c>
      <c r="N1038" s="5">
        <f t="shared" si="231"/>
        <v>95.531000000000006</v>
      </c>
      <c r="O1038">
        <v>190</v>
      </c>
      <c r="P1038">
        <v>35</v>
      </c>
      <c r="Q1038" s="8">
        <f t="shared" si="232"/>
        <v>35</v>
      </c>
      <c r="R1038" s="8">
        <v>125</v>
      </c>
      <c r="S1038" s="8">
        <f t="shared" si="233"/>
        <v>125</v>
      </c>
      <c r="T1038" s="8">
        <f>(Table1[[#This Row],[Total Cholesterol (mg/dL)]]+Table1[[#This Row],[HDL (mg/dL)2]]+Table1[[#This Row],[Estimated LDL (mg/dL)2]])*5</f>
        <v>1750</v>
      </c>
      <c r="U1038" s="8">
        <f>IF(O1038="",Table1[[#This Row],[Estimated LDL (mg/dL)2]]+Table1[[#This Row],[HDL (mg/dL)2]]+(Table1[[#This Row],[Triglycerides]]/5),O1038)</f>
        <v>190</v>
      </c>
      <c r="V1038">
        <v>84</v>
      </c>
      <c r="W1038" s="8">
        <f t="shared" si="234"/>
        <v>84</v>
      </c>
      <c r="X1038" t="str">
        <f t="shared" si="235"/>
        <v>Normal</v>
      </c>
      <c r="Y1038" t="s">
        <v>23</v>
      </c>
      <c r="Z1038" t="s">
        <v>22</v>
      </c>
      <c r="AA1038" t="s">
        <v>37</v>
      </c>
      <c r="AB1038" s="3" t="s">
        <v>889</v>
      </c>
      <c r="AC1038">
        <v>162</v>
      </c>
      <c r="AD1038" s="3" t="str">
        <f t="shared" si="236"/>
        <v>162</v>
      </c>
      <c r="AE1038">
        <v>114</v>
      </c>
      <c r="AF1038" s="3" t="str">
        <f t="shared" si="237"/>
        <v>114</v>
      </c>
      <c r="AG1038" t="s">
        <v>38</v>
      </c>
      <c r="AH1038" s="3">
        <v>17.571000000000002</v>
      </c>
      <c r="AI1038" s="3">
        <f t="shared" si="238"/>
        <v>17.571000000000002</v>
      </c>
      <c r="AJ1038" t="s">
        <v>26</v>
      </c>
      <c r="AK1038" t="str">
        <f>PROPER(Table1[[#This Row],[CVD Risk Level]])</f>
        <v>Intermediary</v>
      </c>
    </row>
    <row r="1039" spans="1:37" x14ac:dyDescent="0.3">
      <c r="A1039" t="s">
        <v>20</v>
      </c>
      <c r="B1039">
        <v>64</v>
      </c>
      <c r="C1039" s="8">
        <f t="shared" si="227"/>
        <v>64</v>
      </c>
      <c r="D1039" s="5">
        <v>90.216999999999999</v>
      </c>
      <c r="E1039" s="8">
        <f t="shared" si="228"/>
        <v>90.216999999999999</v>
      </c>
      <c r="F1039">
        <v>1.754</v>
      </c>
      <c r="G1039" s="3">
        <f t="shared" si="229"/>
        <v>1.754</v>
      </c>
      <c r="H1039">
        <v>19.222000000000001</v>
      </c>
      <c r="I1039" s="5">
        <f t="shared" si="225"/>
        <v>19.222000000000001</v>
      </c>
      <c r="J1039" s="16" t="str">
        <f t="shared" si="230"/>
        <v>Normal</v>
      </c>
      <c r="K1039">
        <v>78.796000000000006</v>
      </c>
      <c r="L1039">
        <v>0.44900000000000001</v>
      </c>
      <c r="M1039" s="11">
        <f t="shared" si="226"/>
        <v>0.44900000000000001</v>
      </c>
      <c r="N1039" s="5">
        <f t="shared" si="231"/>
        <v>78.796000000000006</v>
      </c>
      <c r="O1039">
        <v>266</v>
      </c>
      <c r="P1039">
        <v>89</v>
      </c>
      <c r="Q1039" s="8">
        <f t="shared" si="232"/>
        <v>89</v>
      </c>
      <c r="R1039" s="8">
        <v>147</v>
      </c>
      <c r="S1039" s="8">
        <f t="shared" si="233"/>
        <v>147</v>
      </c>
      <c r="T1039" s="8">
        <f>(Table1[[#This Row],[Total Cholesterol (mg/dL)]]+Table1[[#This Row],[HDL (mg/dL)2]]+Table1[[#This Row],[Estimated LDL (mg/dL)2]])*5</f>
        <v>2510</v>
      </c>
      <c r="U1039" s="8">
        <f>IF(O1039="",Table1[[#This Row],[Estimated LDL (mg/dL)2]]+Table1[[#This Row],[HDL (mg/dL)2]]+(Table1[[#This Row],[Triglycerides]]/5),O1039)</f>
        <v>266</v>
      </c>
      <c r="V1039">
        <v>168</v>
      </c>
      <c r="W1039" s="8">
        <f t="shared" si="234"/>
        <v>168</v>
      </c>
      <c r="X1039" t="str">
        <f t="shared" si="235"/>
        <v>Diabetes</v>
      </c>
      <c r="Y1039" t="s">
        <v>22</v>
      </c>
      <c r="Z1039" t="s">
        <v>23</v>
      </c>
      <c r="AA1039" t="s">
        <v>37</v>
      </c>
      <c r="AB1039" s="3" t="s">
        <v>890</v>
      </c>
      <c r="AC1039">
        <v>141</v>
      </c>
      <c r="AD1039" s="3" t="str">
        <f t="shared" si="236"/>
        <v>141</v>
      </c>
      <c r="AE1039">
        <v>83</v>
      </c>
      <c r="AF1039" s="3" t="str">
        <f t="shared" si="237"/>
        <v>83</v>
      </c>
      <c r="AG1039" t="s">
        <v>29</v>
      </c>
      <c r="AH1039" s="3">
        <v>18.213999999999999</v>
      </c>
      <c r="AI1039" s="3">
        <f t="shared" si="238"/>
        <v>18.213999999999999</v>
      </c>
      <c r="AJ1039" t="s">
        <v>26</v>
      </c>
      <c r="AK1039" t="str">
        <f>PROPER(Table1[[#This Row],[CVD Risk Level]])</f>
        <v>Intermediary</v>
      </c>
    </row>
    <row r="1040" spans="1:37" x14ac:dyDescent="0.3">
      <c r="A1040" t="s">
        <v>20</v>
      </c>
      <c r="C1040" s="8">
        <f t="shared" si="227"/>
        <v>47.025499655410059</v>
      </c>
      <c r="D1040" s="5">
        <v>67.730999999999995</v>
      </c>
      <c r="E1040" s="8">
        <f t="shared" si="228"/>
        <v>67.730999999999995</v>
      </c>
      <c r="F1040">
        <v>1.798</v>
      </c>
      <c r="G1040" s="3">
        <f t="shared" si="229"/>
        <v>1.798</v>
      </c>
      <c r="H1040">
        <v>20.350000000000001</v>
      </c>
      <c r="I1040" s="5">
        <f t="shared" si="225"/>
        <v>20.350000000000001</v>
      </c>
      <c r="J1040" s="16" t="str">
        <f t="shared" si="230"/>
        <v>Normal</v>
      </c>
      <c r="K1040">
        <v>101.315</v>
      </c>
      <c r="L1040">
        <v>0.56299999999999994</v>
      </c>
      <c r="M1040" s="11">
        <f t="shared" si="226"/>
        <v>0.56299999999999994</v>
      </c>
      <c r="N1040" s="5">
        <f t="shared" si="231"/>
        <v>101.315</v>
      </c>
      <c r="O1040">
        <v>143</v>
      </c>
      <c r="P1040">
        <v>31</v>
      </c>
      <c r="Q1040" s="8">
        <f t="shared" si="232"/>
        <v>31</v>
      </c>
      <c r="R1040" s="8">
        <v>82</v>
      </c>
      <c r="S1040" s="8">
        <f t="shared" si="233"/>
        <v>82</v>
      </c>
      <c r="T1040" s="8">
        <f>(Table1[[#This Row],[Total Cholesterol (mg/dL)]]+Table1[[#This Row],[HDL (mg/dL)2]]+Table1[[#This Row],[Estimated LDL (mg/dL)2]])*5</f>
        <v>1280</v>
      </c>
      <c r="U1040" s="8">
        <f>IF(O1040="",Table1[[#This Row],[Estimated LDL (mg/dL)2]]+Table1[[#This Row],[HDL (mg/dL)2]]+(Table1[[#This Row],[Triglycerides]]/5),O1040)</f>
        <v>143</v>
      </c>
      <c r="V1040">
        <v>151</v>
      </c>
      <c r="W1040" s="8">
        <f t="shared" si="234"/>
        <v>151</v>
      </c>
      <c r="X1040" t="str">
        <f t="shared" si="235"/>
        <v>Diabetes</v>
      </c>
      <c r="Y1040" t="s">
        <v>22</v>
      </c>
      <c r="Z1040" t="s">
        <v>22</v>
      </c>
      <c r="AA1040" t="s">
        <v>28</v>
      </c>
      <c r="AB1040" s="3" t="s">
        <v>891</v>
      </c>
      <c r="AC1040">
        <v>168</v>
      </c>
      <c r="AD1040" s="3" t="str">
        <f t="shared" si="236"/>
        <v>168</v>
      </c>
      <c r="AE1040">
        <v>86</v>
      </c>
      <c r="AF1040" s="3" t="str">
        <f t="shared" si="237"/>
        <v>86</v>
      </c>
      <c r="AG1040" t="s">
        <v>29</v>
      </c>
      <c r="AH1040" s="3">
        <v>15.33</v>
      </c>
      <c r="AI1040" s="3">
        <f t="shared" si="238"/>
        <v>15.33</v>
      </c>
      <c r="AJ1040" t="s">
        <v>52</v>
      </c>
      <c r="AK1040" t="str">
        <f>PROPER(Table1[[#This Row],[CVD Risk Level]])</f>
        <v>Low</v>
      </c>
    </row>
    <row r="1041" spans="1:37" x14ac:dyDescent="0.3">
      <c r="A1041" t="s">
        <v>20</v>
      </c>
      <c r="B1041">
        <v>37</v>
      </c>
      <c r="C1041" s="8">
        <f t="shared" si="227"/>
        <v>37</v>
      </c>
      <c r="D1041" s="5">
        <v>55.311</v>
      </c>
      <c r="E1041" s="8">
        <f t="shared" si="228"/>
        <v>55.311</v>
      </c>
      <c r="F1041">
        <v>1.8160000000000001</v>
      </c>
      <c r="G1041" s="3">
        <f t="shared" si="229"/>
        <v>1.8160000000000001</v>
      </c>
      <c r="H1041">
        <v>30.302</v>
      </c>
      <c r="I1041" s="5">
        <f t="shared" si="225"/>
        <v>30.302</v>
      </c>
      <c r="J1041" s="16" t="str">
        <f t="shared" si="230"/>
        <v>Obese</v>
      </c>
      <c r="K1041">
        <v>107.283</v>
      </c>
      <c r="L1041">
        <v>0.59099999999999997</v>
      </c>
      <c r="M1041" s="11">
        <f t="shared" si="226"/>
        <v>0.59099999999999997</v>
      </c>
      <c r="N1041" s="5">
        <f t="shared" si="231"/>
        <v>107.283</v>
      </c>
      <c r="O1041">
        <v>203</v>
      </c>
      <c r="P1041">
        <v>59</v>
      </c>
      <c r="Q1041" s="8">
        <f t="shared" si="232"/>
        <v>59</v>
      </c>
      <c r="R1041" s="8">
        <v>114</v>
      </c>
      <c r="S1041" s="8">
        <f t="shared" si="233"/>
        <v>114</v>
      </c>
      <c r="T1041" s="8">
        <f>(Table1[[#This Row],[Total Cholesterol (mg/dL)]]+Table1[[#This Row],[HDL (mg/dL)2]]+Table1[[#This Row],[Estimated LDL (mg/dL)2]])*5</f>
        <v>1880</v>
      </c>
      <c r="U1041" s="8">
        <f>IF(O1041="",Table1[[#This Row],[Estimated LDL (mg/dL)2]]+Table1[[#This Row],[HDL (mg/dL)2]]+(Table1[[#This Row],[Triglycerides]]/5),O1041)</f>
        <v>203</v>
      </c>
      <c r="V1041">
        <v>82</v>
      </c>
      <c r="W1041" s="8">
        <f t="shared" si="234"/>
        <v>82</v>
      </c>
      <c r="X1041" t="str">
        <f t="shared" si="235"/>
        <v>Normal</v>
      </c>
      <c r="Y1041" t="s">
        <v>22</v>
      </c>
      <c r="Z1041" t="s">
        <v>23</v>
      </c>
      <c r="AA1041" t="s">
        <v>28</v>
      </c>
      <c r="AB1041" s="3" t="s">
        <v>892</v>
      </c>
      <c r="AC1041">
        <v>92</v>
      </c>
      <c r="AD1041" s="3" t="str">
        <f t="shared" si="236"/>
        <v>92</v>
      </c>
      <c r="AE1041">
        <v>61</v>
      </c>
      <c r="AF1041" s="3" t="str">
        <f t="shared" si="237"/>
        <v>61</v>
      </c>
      <c r="AG1041" t="s">
        <v>33</v>
      </c>
      <c r="AH1041" s="3">
        <v>16.72</v>
      </c>
      <c r="AI1041" s="3">
        <f t="shared" si="238"/>
        <v>16.72</v>
      </c>
      <c r="AJ1041" t="s">
        <v>30</v>
      </c>
      <c r="AK1041" t="str">
        <f>PROPER(Table1[[#This Row],[CVD Risk Level]])</f>
        <v>High</v>
      </c>
    </row>
    <row r="1042" spans="1:37" x14ac:dyDescent="0.3">
      <c r="A1042" t="s">
        <v>31</v>
      </c>
      <c r="B1042">
        <v>58</v>
      </c>
      <c r="C1042" s="8">
        <f t="shared" si="227"/>
        <v>58</v>
      </c>
      <c r="D1042" s="5">
        <v>50.307000000000002</v>
      </c>
      <c r="E1042" s="8">
        <f t="shared" si="228"/>
        <v>50.307000000000002</v>
      </c>
      <c r="F1042">
        <v>1.633</v>
      </c>
      <c r="G1042" s="3">
        <f t="shared" si="229"/>
        <v>1.633</v>
      </c>
      <c r="H1042">
        <v>28.206</v>
      </c>
      <c r="I1042" s="5">
        <f t="shared" si="225"/>
        <v>28.206</v>
      </c>
      <c r="J1042" s="16" t="str">
        <f t="shared" si="230"/>
        <v>Overweight</v>
      </c>
      <c r="K1042">
        <v>75.421000000000006</v>
      </c>
      <c r="L1042">
        <v>0.46200000000000002</v>
      </c>
      <c r="M1042" s="11">
        <f t="shared" si="226"/>
        <v>0.46200000000000002</v>
      </c>
      <c r="N1042" s="5">
        <f t="shared" si="231"/>
        <v>75.421000000000006</v>
      </c>
      <c r="O1042">
        <v>260</v>
      </c>
      <c r="P1042">
        <v>62</v>
      </c>
      <c r="Q1042" s="8">
        <f t="shared" si="232"/>
        <v>62</v>
      </c>
      <c r="R1042" s="8">
        <v>168</v>
      </c>
      <c r="S1042" s="8">
        <f t="shared" si="233"/>
        <v>168</v>
      </c>
      <c r="T1042" s="8">
        <f>(Table1[[#This Row],[Total Cholesterol (mg/dL)]]+Table1[[#This Row],[HDL (mg/dL)2]]+Table1[[#This Row],[Estimated LDL (mg/dL)2]])*5</f>
        <v>2450</v>
      </c>
      <c r="U1042" s="8">
        <f>IF(O1042="",Table1[[#This Row],[Estimated LDL (mg/dL)2]]+Table1[[#This Row],[HDL (mg/dL)2]]+(Table1[[#This Row],[Triglycerides]]/5),O1042)</f>
        <v>260</v>
      </c>
      <c r="V1042">
        <v>124</v>
      </c>
      <c r="W1042" s="8">
        <f t="shared" si="234"/>
        <v>124</v>
      </c>
      <c r="X1042" t="str">
        <f t="shared" si="235"/>
        <v>Prediabetes</v>
      </c>
      <c r="Y1042" t="s">
        <v>23</v>
      </c>
      <c r="Z1042" t="s">
        <v>23</v>
      </c>
      <c r="AA1042" t="s">
        <v>28</v>
      </c>
      <c r="AB1042" s="3" t="s">
        <v>893</v>
      </c>
      <c r="AC1042">
        <v>122</v>
      </c>
      <c r="AD1042" s="3" t="str">
        <f t="shared" si="236"/>
        <v>122</v>
      </c>
      <c r="AE1042">
        <v>119</v>
      </c>
      <c r="AF1042" s="3" t="str">
        <f t="shared" si="237"/>
        <v>119</v>
      </c>
      <c r="AG1042" t="s">
        <v>38</v>
      </c>
      <c r="AH1042" s="3">
        <v>18.940999999999999</v>
      </c>
      <c r="AI1042" s="3">
        <f t="shared" si="238"/>
        <v>18.940999999999999</v>
      </c>
      <c r="AJ1042" t="s">
        <v>52</v>
      </c>
      <c r="AK1042" t="str">
        <f>PROPER(Table1[[#This Row],[CVD Risk Level]])</f>
        <v>Low</v>
      </c>
    </row>
    <row r="1043" spans="1:37" x14ac:dyDescent="0.3">
      <c r="A1043" t="s">
        <v>20</v>
      </c>
      <c r="B1043">
        <v>68</v>
      </c>
      <c r="C1043" s="8">
        <f t="shared" si="227"/>
        <v>68</v>
      </c>
      <c r="D1043" s="5">
        <v>104.107</v>
      </c>
      <c r="E1043" s="8">
        <f t="shared" si="228"/>
        <v>104.107</v>
      </c>
      <c r="F1043">
        <v>1.782</v>
      </c>
      <c r="G1043" s="3">
        <f t="shared" si="229"/>
        <v>1.782</v>
      </c>
      <c r="H1043">
        <v>21.760999999999999</v>
      </c>
      <c r="I1043" s="5">
        <f t="shared" si="225"/>
        <v>21.760999999999999</v>
      </c>
      <c r="J1043" s="16" t="str">
        <f t="shared" si="230"/>
        <v>Normal</v>
      </c>
      <c r="K1043">
        <v>115.72799999999999</v>
      </c>
      <c r="L1043">
        <v>0.64900000000000002</v>
      </c>
      <c r="M1043" s="11">
        <f t="shared" si="226"/>
        <v>0.64900000000000002</v>
      </c>
      <c r="N1043" s="5">
        <f t="shared" si="231"/>
        <v>115.72799999999999</v>
      </c>
      <c r="O1043">
        <v>292</v>
      </c>
      <c r="P1043">
        <v>63</v>
      </c>
      <c r="Q1043" s="8">
        <f t="shared" si="232"/>
        <v>63</v>
      </c>
      <c r="R1043" s="8">
        <v>199</v>
      </c>
      <c r="S1043" s="8">
        <f t="shared" si="233"/>
        <v>199</v>
      </c>
      <c r="T1043" s="8">
        <f>(Table1[[#This Row],[Total Cholesterol (mg/dL)]]+Table1[[#This Row],[HDL (mg/dL)2]]+Table1[[#This Row],[Estimated LDL (mg/dL)2]])*5</f>
        <v>2770</v>
      </c>
      <c r="U1043" s="8">
        <f>IF(O1043="",Table1[[#This Row],[Estimated LDL (mg/dL)2]]+Table1[[#This Row],[HDL (mg/dL)2]]+(Table1[[#This Row],[Triglycerides]]/5),O1043)</f>
        <v>292</v>
      </c>
      <c r="V1043">
        <v>90</v>
      </c>
      <c r="W1043" s="8">
        <f t="shared" si="234"/>
        <v>90</v>
      </c>
      <c r="X1043" t="str">
        <f t="shared" si="235"/>
        <v>Normal</v>
      </c>
      <c r="Y1043" t="s">
        <v>22</v>
      </c>
      <c r="Z1043" t="s">
        <v>22</v>
      </c>
      <c r="AA1043" t="s">
        <v>37</v>
      </c>
      <c r="AB1043" s="3" t="s">
        <v>894</v>
      </c>
      <c r="AC1043">
        <v>133</v>
      </c>
      <c r="AD1043" s="3" t="str">
        <f t="shared" si="236"/>
        <v>133</v>
      </c>
      <c r="AE1043">
        <v>101</v>
      </c>
      <c r="AF1043" s="3" t="str">
        <f t="shared" si="237"/>
        <v>101</v>
      </c>
      <c r="AG1043" t="s">
        <v>29</v>
      </c>
      <c r="AH1043" s="3">
        <v>16.841999999999999</v>
      </c>
      <c r="AI1043" s="3">
        <f t="shared" si="238"/>
        <v>16.841999999999999</v>
      </c>
      <c r="AJ1043" t="s">
        <v>26</v>
      </c>
      <c r="AK1043" t="str">
        <f>PROPER(Table1[[#This Row],[CVD Risk Level]])</f>
        <v>Intermediary</v>
      </c>
    </row>
    <row r="1044" spans="1:37" x14ac:dyDescent="0.3">
      <c r="A1044" t="s">
        <v>20</v>
      </c>
      <c r="B1044">
        <v>62</v>
      </c>
      <c r="C1044" s="8">
        <f t="shared" si="227"/>
        <v>62</v>
      </c>
      <c r="D1044" s="5">
        <v>102.495</v>
      </c>
      <c r="E1044" s="8">
        <f t="shared" si="228"/>
        <v>102.495</v>
      </c>
      <c r="F1044">
        <v>1.97</v>
      </c>
      <c r="G1044" s="3">
        <f t="shared" si="229"/>
        <v>1.97</v>
      </c>
      <c r="H1044">
        <v>24.384</v>
      </c>
      <c r="I1044" s="5">
        <f t="shared" si="225"/>
        <v>24.384</v>
      </c>
      <c r="J1044" s="16" t="str">
        <f t="shared" si="230"/>
        <v>Normal</v>
      </c>
      <c r="K1044">
        <v>80.456000000000003</v>
      </c>
      <c r="L1044">
        <v>0.40799999999999997</v>
      </c>
      <c r="M1044" s="11">
        <f t="shared" si="226"/>
        <v>0.40799999999999997</v>
      </c>
      <c r="N1044" s="5">
        <f t="shared" si="231"/>
        <v>80.456000000000003</v>
      </c>
      <c r="O1044">
        <v>112</v>
      </c>
      <c r="P1044">
        <v>55</v>
      </c>
      <c r="Q1044" s="8">
        <f t="shared" si="232"/>
        <v>55</v>
      </c>
      <c r="R1044" s="8">
        <v>27</v>
      </c>
      <c r="S1044" s="8">
        <f t="shared" si="233"/>
        <v>27</v>
      </c>
      <c r="T1044" s="8">
        <f>(Table1[[#This Row],[Total Cholesterol (mg/dL)]]+Table1[[#This Row],[HDL (mg/dL)2]]+Table1[[#This Row],[Estimated LDL (mg/dL)2]])*5</f>
        <v>970</v>
      </c>
      <c r="U1044" s="8">
        <f>IF(O1044="",Table1[[#This Row],[Estimated LDL (mg/dL)2]]+Table1[[#This Row],[HDL (mg/dL)2]]+(Table1[[#This Row],[Triglycerides]]/5),O1044)</f>
        <v>112</v>
      </c>
      <c r="V1044">
        <v>77</v>
      </c>
      <c r="W1044" s="8">
        <f t="shared" si="234"/>
        <v>77</v>
      </c>
      <c r="X1044" t="str">
        <f t="shared" si="235"/>
        <v>Normal</v>
      </c>
      <c r="Y1044" t="s">
        <v>23</v>
      </c>
      <c r="Z1044" t="s">
        <v>22</v>
      </c>
      <c r="AA1044" t="s">
        <v>24</v>
      </c>
      <c r="AB1044" s="3" t="s">
        <v>895</v>
      </c>
      <c r="AC1044">
        <v>120</v>
      </c>
      <c r="AD1044" s="3" t="str">
        <f t="shared" si="236"/>
        <v>120</v>
      </c>
      <c r="AE1044">
        <v>110</v>
      </c>
      <c r="AF1044" s="3" t="str">
        <f t="shared" si="237"/>
        <v>110</v>
      </c>
      <c r="AG1044" t="s">
        <v>38</v>
      </c>
      <c r="AH1044" s="3">
        <v>13.117000000000001</v>
      </c>
      <c r="AI1044" s="3">
        <f t="shared" si="238"/>
        <v>13.117000000000001</v>
      </c>
      <c r="AJ1044" t="s">
        <v>52</v>
      </c>
      <c r="AK1044" t="str">
        <f>PROPER(Table1[[#This Row],[CVD Risk Level]])</f>
        <v>Low</v>
      </c>
    </row>
    <row r="1045" spans="1:37" x14ac:dyDescent="0.3">
      <c r="A1045" t="s">
        <v>20</v>
      </c>
      <c r="B1045">
        <v>36</v>
      </c>
      <c r="C1045" s="8">
        <f t="shared" si="227"/>
        <v>36</v>
      </c>
      <c r="D1045" s="5">
        <v>108.182</v>
      </c>
      <c r="E1045" s="8">
        <f t="shared" si="228"/>
        <v>108.182</v>
      </c>
      <c r="F1045">
        <v>1.927</v>
      </c>
      <c r="G1045" s="3">
        <f t="shared" si="229"/>
        <v>1.927</v>
      </c>
      <c r="H1045">
        <v>18.600999999999999</v>
      </c>
      <c r="I1045" s="5">
        <f t="shared" si="225"/>
        <v>18.600999999999999</v>
      </c>
      <c r="J1045" s="16" t="str">
        <f t="shared" si="230"/>
        <v>Normal</v>
      </c>
      <c r="K1045">
        <v>115.85899999999999</v>
      </c>
      <c r="L1045">
        <v>0.60099999999999998</v>
      </c>
      <c r="M1045" s="11">
        <f t="shared" si="226"/>
        <v>0.60099999999999998</v>
      </c>
      <c r="N1045" s="5">
        <f t="shared" si="231"/>
        <v>115.85899999999999</v>
      </c>
      <c r="O1045">
        <v>101</v>
      </c>
      <c r="P1045">
        <v>59</v>
      </c>
      <c r="Q1045" s="8">
        <f t="shared" si="232"/>
        <v>59</v>
      </c>
      <c r="R1045" s="8">
        <v>12</v>
      </c>
      <c r="S1045" s="8">
        <f t="shared" si="233"/>
        <v>12</v>
      </c>
      <c r="T1045" s="8">
        <f>(Table1[[#This Row],[Total Cholesterol (mg/dL)]]+Table1[[#This Row],[HDL (mg/dL)2]]+Table1[[#This Row],[Estimated LDL (mg/dL)2]])*5</f>
        <v>860</v>
      </c>
      <c r="U1045" s="8">
        <f>IF(O1045="",Table1[[#This Row],[Estimated LDL (mg/dL)2]]+Table1[[#This Row],[HDL (mg/dL)2]]+(Table1[[#This Row],[Triglycerides]]/5),O1045)</f>
        <v>101</v>
      </c>
      <c r="V1045">
        <v>146</v>
      </c>
      <c r="W1045" s="8">
        <f t="shared" si="234"/>
        <v>146</v>
      </c>
      <c r="X1045" t="str">
        <f t="shared" si="235"/>
        <v>Diabetes</v>
      </c>
      <c r="Y1045" t="s">
        <v>22</v>
      </c>
      <c r="Z1045" t="s">
        <v>22</v>
      </c>
      <c r="AA1045" t="s">
        <v>28</v>
      </c>
      <c r="AB1045" s="3" t="s">
        <v>467</v>
      </c>
      <c r="AC1045">
        <v>103</v>
      </c>
      <c r="AD1045" s="3" t="str">
        <f t="shared" si="236"/>
        <v>103</v>
      </c>
      <c r="AE1045">
        <v>64</v>
      </c>
      <c r="AF1045" s="3" t="str">
        <f t="shared" si="237"/>
        <v>64</v>
      </c>
      <c r="AG1045" t="s">
        <v>33</v>
      </c>
      <c r="AH1045" s="3">
        <v>10.89</v>
      </c>
      <c r="AI1045" s="3">
        <f t="shared" si="238"/>
        <v>10.89</v>
      </c>
      <c r="AJ1045" t="s">
        <v>30</v>
      </c>
      <c r="AK1045" t="str">
        <f>PROPER(Table1[[#This Row],[CVD Risk Level]])</f>
        <v>High</v>
      </c>
    </row>
    <row r="1046" spans="1:37" x14ac:dyDescent="0.3">
      <c r="A1046" t="s">
        <v>20</v>
      </c>
      <c r="B1046">
        <v>58</v>
      </c>
      <c r="C1046" s="8">
        <f t="shared" si="227"/>
        <v>58</v>
      </c>
      <c r="D1046" s="5">
        <v>97.126000000000005</v>
      </c>
      <c r="E1046" s="8">
        <f t="shared" si="228"/>
        <v>97.126000000000005</v>
      </c>
      <c r="F1046">
        <v>1.72</v>
      </c>
      <c r="G1046" s="3">
        <f t="shared" si="229"/>
        <v>1.72</v>
      </c>
      <c r="I1046" s="5">
        <f t="shared" si="225"/>
        <v>32.830584099513253</v>
      </c>
      <c r="J1046" s="16" t="str">
        <f t="shared" si="230"/>
        <v>Obese</v>
      </c>
      <c r="K1046">
        <v>81.804000000000002</v>
      </c>
      <c r="L1046">
        <v>0.47599999999999998</v>
      </c>
      <c r="M1046" s="11">
        <f t="shared" si="226"/>
        <v>0.47599999999999998</v>
      </c>
      <c r="N1046" s="5">
        <f t="shared" si="231"/>
        <v>81.804000000000002</v>
      </c>
      <c r="O1046">
        <v>159</v>
      </c>
      <c r="P1046">
        <v>89</v>
      </c>
      <c r="Q1046" s="8">
        <f t="shared" si="232"/>
        <v>89</v>
      </c>
      <c r="R1046" s="8">
        <v>40</v>
      </c>
      <c r="S1046" s="8">
        <f t="shared" si="233"/>
        <v>40</v>
      </c>
      <c r="T1046" s="8">
        <f>(Table1[[#This Row],[Total Cholesterol (mg/dL)]]+Table1[[#This Row],[HDL (mg/dL)2]]+Table1[[#This Row],[Estimated LDL (mg/dL)2]])*5</f>
        <v>1440</v>
      </c>
      <c r="U1046" s="8">
        <f>IF(O1046="",Table1[[#This Row],[Estimated LDL (mg/dL)2]]+Table1[[#This Row],[HDL (mg/dL)2]]+(Table1[[#This Row],[Triglycerides]]/5),O1046)</f>
        <v>159</v>
      </c>
      <c r="V1046">
        <v>74</v>
      </c>
      <c r="W1046" s="8">
        <f t="shared" si="234"/>
        <v>74</v>
      </c>
      <c r="X1046" t="str">
        <f t="shared" si="235"/>
        <v>Normal</v>
      </c>
      <c r="Y1046" t="s">
        <v>22</v>
      </c>
      <c r="Z1046" t="s">
        <v>22</v>
      </c>
      <c r="AA1046" t="s">
        <v>28</v>
      </c>
      <c r="AB1046" s="3" t="s">
        <v>896</v>
      </c>
      <c r="AC1046">
        <v>94</v>
      </c>
      <c r="AD1046" s="3" t="str">
        <f t="shared" si="236"/>
        <v>94</v>
      </c>
      <c r="AE1046">
        <v>63</v>
      </c>
      <c r="AF1046" s="3" t="str">
        <f t="shared" si="237"/>
        <v>63</v>
      </c>
      <c r="AG1046" t="s">
        <v>33</v>
      </c>
      <c r="AH1046" s="3">
        <v>13.047000000000001</v>
      </c>
      <c r="AI1046" s="3">
        <f t="shared" si="238"/>
        <v>13.047000000000001</v>
      </c>
      <c r="AJ1046" t="s">
        <v>26</v>
      </c>
      <c r="AK1046" t="str">
        <f>PROPER(Table1[[#This Row],[CVD Risk Level]])</f>
        <v>Intermediary</v>
      </c>
    </row>
    <row r="1047" spans="1:37" x14ac:dyDescent="0.3">
      <c r="A1047" t="s">
        <v>20</v>
      </c>
      <c r="B1047">
        <v>62</v>
      </c>
      <c r="C1047" s="8">
        <f t="shared" si="227"/>
        <v>62</v>
      </c>
      <c r="D1047" s="5">
        <v>85.781000000000006</v>
      </c>
      <c r="E1047" s="8">
        <f t="shared" si="228"/>
        <v>85.781000000000006</v>
      </c>
      <c r="G1047" s="3">
        <f t="shared" si="229"/>
        <v>2.0797031347828696</v>
      </c>
      <c r="H1047">
        <v>19.832999999999998</v>
      </c>
      <c r="I1047" s="5">
        <f t="shared" si="225"/>
        <v>19.832999999999998</v>
      </c>
      <c r="J1047" s="16" t="str">
        <f t="shared" si="230"/>
        <v>Normal</v>
      </c>
      <c r="K1047">
        <v>108.559</v>
      </c>
      <c r="L1047">
        <v>0.59299999999999997</v>
      </c>
      <c r="M1047" s="11">
        <f t="shared" si="226"/>
        <v>0.59299999999999997</v>
      </c>
      <c r="N1047" s="5">
        <f t="shared" si="231"/>
        <v>108.559</v>
      </c>
      <c r="O1047">
        <v>210</v>
      </c>
      <c r="P1047">
        <v>81</v>
      </c>
      <c r="Q1047" s="8">
        <f t="shared" si="232"/>
        <v>81</v>
      </c>
      <c r="R1047" s="8">
        <v>99</v>
      </c>
      <c r="S1047" s="8">
        <f t="shared" si="233"/>
        <v>99</v>
      </c>
      <c r="T1047" s="8">
        <f>(Table1[[#This Row],[Total Cholesterol (mg/dL)]]+Table1[[#This Row],[HDL (mg/dL)2]]+Table1[[#This Row],[Estimated LDL (mg/dL)2]])*5</f>
        <v>1950</v>
      </c>
      <c r="U1047" s="8">
        <f>IF(O1047="",Table1[[#This Row],[Estimated LDL (mg/dL)2]]+Table1[[#This Row],[HDL (mg/dL)2]]+(Table1[[#This Row],[Triglycerides]]/5),O1047)</f>
        <v>210</v>
      </c>
      <c r="V1047">
        <v>107</v>
      </c>
      <c r="W1047" s="8">
        <f t="shared" si="234"/>
        <v>107</v>
      </c>
      <c r="X1047" t="str">
        <f t="shared" si="235"/>
        <v>Prediabetes</v>
      </c>
      <c r="Y1047" t="s">
        <v>23</v>
      </c>
      <c r="Z1047" t="s">
        <v>22</v>
      </c>
      <c r="AA1047" t="s">
        <v>37</v>
      </c>
      <c r="AB1047" s="3" t="s">
        <v>897</v>
      </c>
      <c r="AC1047">
        <v>154</v>
      </c>
      <c r="AD1047" s="3" t="str">
        <f t="shared" si="236"/>
        <v>154</v>
      </c>
      <c r="AE1047">
        <v>114</v>
      </c>
      <c r="AF1047" s="3" t="str">
        <f t="shared" si="237"/>
        <v>114</v>
      </c>
      <c r="AG1047" t="s">
        <v>38</v>
      </c>
      <c r="AH1047" s="3">
        <v>15.867000000000001</v>
      </c>
      <c r="AI1047" s="3">
        <f t="shared" si="238"/>
        <v>15.867000000000001</v>
      </c>
      <c r="AJ1047" t="s">
        <v>26</v>
      </c>
      <c r="AK1047" t="str">
        <f>PROPER(Table1[[#This Row],[CVD Risk Level]])</f>
        <v>Intermediary</v>
      </c>
    </row>
    <row r="1048" spans="1:37" x14ac:dyDescent="0.3">
      <c r="A1048" t="s">
        <v>31</v>
      </c>
      <c r="B1048">
        <v>44</v>
      </c>
      <c r="C1048" s="8">
        <f t="shared" si="227"/>
        <v>44</v>
      </c>
      <c r="D1048" s="5">
        <v>51.936</v>
      </c>
      <c r="E1048" s="8">
        <f t="shared" si="228"/>
        <v>51.936</v>
      </c>
      <c r="F1048">
        <v>1.9359999999999999</v>
      </c>
      <c r="G1048" s="3">
        <f t="shared" si="229"/>
        <v>1.9359999999999999</v>
      </c>
      <c r="H1048">
        <v>36.442</v>
      </c>
      <c r="I1048" s="5">
        <f t="shared" si="225"/>
        <v>36.442</v>
      </c>
      <c r="J1048" s="16" t="str">
        <f t="shared" si="230"/>
        <v>Obese</v>
      </c>
      <c r="K1048">
        <v>115.755</v>
      </c>
      <c r="L1048">
        <v>0.59799999999999998</v>
      </c>
      <c r="M1048" s="11">
        <f t="shared" si="226"/>
        <v>0.59799999999999998</v>
      </c>
      <c r="N1048" s="5">
        <f t="shared" si="231"/>
        <v>115.755</v>
      </c>
      <c r="O1048">
        <v>107</v>
      </c>
      <c r="P1048">
        <v>52</v>
      </c>
      <c r="Q1048" s="8">
        <f t="shared" si="232"/>
        <v>52</v>
      </c>
      <c r="R1048" s="8">
        <v>25</v>
      </c>
      <c r="S1048" s="8">
        <f t="shared" si="233"/>
        <v>25</v>
      </c>
      <c r="T1048" s="8">
        <f>(Table1[[#This Row],[Total Cholesterol (mg/dL)]]+Table1[[#This Row],[HDL (mg/dL)2]]+Table1[[#This Row],[Estimated LDL (mg/dL)2]])*5</f>
        <v>920</v>
      </c>
      <c r="U1048" s="8">
        <f>IF(O1048="",Table1[[#This Row],[Estimated LDL (mg/dL)2]]+Table1[[#This Row],[HDL (mg/dL)2]]+(Table1[[#This Row],[Triglycerides]]/5),O1048)</f>
        <v>107</v>
      </c>
      <c r="V1048">
        <v>125</v>
      </c>
      <c r="W1048" s="8">
        <f t="shared" si="234"/>
        <v>125</v>
      </c>
      <c r="X1048" t="str">
        <f t="shared" si="235"/>
        <v>Prediabetes</v>
      </c>
      <c r="Y1048" t="s">
        <v>23</v>
      </c>
      <c r="Z1048" t="s">
        <v>23</v>
      </c>
      <c r="AA1048" t="s">
        <v>24</v>
      </c>
      <c r="AB1048" s="3" t="s">
        <v>898</v>
      </c>
      <c r="AC1048">
        <v>105</v>
      </c>
      <c r="AD1048" s="3" t="str">
        <f t="shared" si="236"/>
        <v>105</v>
      </c>
      <c r="AE1048">
        <v>108</v>
      </c>
      <c r="AF1048" s="3" t="str">
        <f t="shared" si="237"/>
        <v>108</v>
      </c>
      <c r="AG1048" t="s">
        <v>38</v>
      </c>
      <c r="AH1048" s="3">
        <v>16.678000000000001</v>
      </c>
      <c r="AI1048" s="3">
        <f t="shared" si="238"/>
        <v>16.678000000000001</v>
      </c>
      <c r="AJ1048" t="s">
        <v>30</v>
      </c>
      <c r="AK1048" t="str">
        <f>PROPER(Table1[[#This Row],[CVD Risk Level]])</f>
        <v>High</v>
      </c>
    </row>
    <row r="1049" spans="1:37" x14ac:dyDescent="0.3">
      <c r="A1049" t="s">
        <v>31</v>
      </c>
      <c r="B1049">
        <v>52</v>
      </c>
      <c r="C1049" s="8">
        <f t="shared" si="227"/>
        <v>52</v>
      </c>
      <c r="D1049" s="5">
        <v>98.406000000000006</v>
      </c>
      <c r="E1049" s="8">
        <f t="shared" si="228"/>
        <v>98.406000000000006</v>
      </c>
      <c r="F1049">
        <v>1.956</v>
      </c>
      <c r="G1049" s="3">
        <f t="shared" si="229"/>
        <v>1.956</v>
      </c>
      <c r="H1049">
        <v>24.042999999999999</v>
      </c>
      <c r="I1049" s="5">
        <f t="shared" si="225"/>
        <v>24.042999999999999</v>
      </c>
      <c r="J1049" s="16" t="str">
        <f t="shared" si="230"/>
        <v>Normal</v>
      </c>
      <c r="K1049">
        <v>96.171999999999997</v>
      </c>
      <c r="L1049">
        <v>0.49199999999999999</v>
      </c>
      <c r="M1049" s="11">
        <f t="shared" si="226"/>
        <v>0.49199999999999999</v>
      </c>
      <c r="N1049" s="5">
        <f t="shared" si="231"/>
        <v>96.171999999999997</v>
      </c>
      <c r="O1049">
        <v>194</v>
      </c>
      <c r="P1049">
        <v>62</v>
      </c>
      <c r="Q1049" s="8">
        <f t="shared" si="232"/>
        <v>62</v>
      </c>
      <c r="R1049" s="8">
        <v>102</v>
      </c>
      <c r="S1049" s="8">
        <f t="shared" si="233"/>
        <v>102</v>
      </c>
      <c r="T1049" s="8">
        <f>(Table1[[#This Row],[Total Cholesterol (mg/dL)]]+Table1[[#This Row],[HDL (mg/dL)2]]+Table1[[#This Row],[Estimated LDL (mg/dL)2]])*5</f>
        <v>1790</v>
      </c>
      <c r="U1049" s="8">
        <f>IF(O1049="",Table1[[#This Row],[Estimated LDL (mg/dL)2]]+Table1[[#This Row],[HDL (mg/dL)2]]+(Table1[[#This Row],[Triglycerides]]/5),O1049)</f>
        <v>194</v>
      </c>
      <c r="V1049">
        <v>191</v>
      </c>
      <c r="W1049" s="8">
        <f t="shared" si="234"/>
        <v>191</v>
      </c>
      <c r="X1049" t="str">
        <f t="shared" si="235"/>
        <v>Diabetes</v>
      </c>
      <c r="Y1049" t="s">
        <v>22</v>
      </c>
      <c r="Z1049" t="s">
        <v>23</v>
      </c>
      <c r="AA1049" t="s">
        <v>28</v>
      </c>
      <c r="AB1049" s="3" t="s">
        <v>899</v>
      </c>
      <c r="AC1049">
        <v>139</v>
      </c>
      <c r="AD1049" s="3" t="str">
        <f t="shared" si="236"/>
        <v>139</v>
      </c>
      <c r="AE1049">
        <v>83</v>
      </c>
      <c r="AF1049" s="3" t="str">
        <f t="shared" si="237"/>
        <v>83</v>
      </c>
      <c r="AG1049" t="s">
        <v>29</v>
      </c>
      <c r="AH1049" s="3">
        <v>17.638999999999999</v>
      </c>
      <c r="AI1049" s="3">
        <f t="shared" si="238"/>
        <v>17.638999999999999</v>
      </c>
      <c r="AJ1049" t="s">
        <v>30</v>
      </c>
      <c r="AK1049" t="str">
        <f>PROPER(Table1[[#This Row],[CVD Risk Level]])</f>
        <v>High</v>
      </c>
    </row>
    <row r="1050" spans="1:37" x14ac:dyDescent="0.3">
      <c r="A1050" t="s">
        <v>20</v>
      </c>
      <c r="B1050">
        <v>58</v>
      </c>
      <c r="C1050" s="8">
        <f t="shared" si="227"/>
        <v>58</v>
      </c>
      <c r="D1050" s="5">
        <v>67.057000000000002</v>
      </c>
      <c r="E1050" s="8">
        <f t="shared" si="228"/>
        <v>67.057000000000002</v>
      </c>
      <c r="G1050" s="3">
        <f t="shared" si="229"/>
        <v>1.4634121480197899</v>
      </c>
      <c r="H1050">
        <v>31.312000000000001</v>
      </c>
      <c r="I1050" s="5">
        <f t="shared" si="225"/>
        <v>31.312000000000001</v>
      </c>
      <c r="J1050" s="16" t="str">
        <f t="shared" si="230"/>
        <v>Obese</v>
      </c>
      <c r="K1050">
        <v>101.93</v>
      </c>
      <c r="L1050">
        <v>0.63700000000000001</v>
      </c>
      <c r="M1050" s="11">
        <f t="shared" si="226"/>
        <v>0.63700000000000001</v>
      </c>
      <c r="N1050" s="5">
        <f t="shared" si="231"/>
        <v>101.93</v>
      </c>
      <c r="O1050">
        <v>185</v>
      </c>
      <c r="P1050">
        <v>70</v>
      </c>
      <c r="Q1050" s="8">
        <f t="shared" si="232"/>
        <v>70</v>
      </c>
      <c r="R1050" s="8">
        <v>85</v>
      </c>
      <c r="S1050" s="8">
        <f t="shared" si="233"/>
        <v>85</v>
      </c>
      <c r="T1050" s="8">
        <f>(Table1[[#This Row],[Total Cholesterol (mg/dL)]]+Table1[[#This Row],[HDL (mg/dL)2]]+Table1[[#This Row],[Estimated LDL (mg/dL)2]])*5</f>
        <v>1700</v>
      </c>
      <c r="U1050" s="8">
        <f>IF(O1050="",Table1[[#This Row],[Estimated LDL (mg/dL)2]]+Table1[[#This Row],[HDL (mg/dL)2]]+(Table1[[#This Row],[Triglycerides]]/5),O1050)</f>
        <v>185</v>
      </c>
      <c r="V1050">
        <v>172</v>
      </c>
      <c r="W1050" s="8">
        <f t="shared" si="234"/>
        <v>172</v>
      </c>
      <c r="X1050" t="str">
        <f t="shared" si="235"/>
        <v>Diabetes</v>
      </c>
      <c r="Y1050" t="s">
        <v>22</v>
      </c>
      <c r="Z1050" t="s">
        <v>22</v>
      </c>
      <c r="AA1050" t="s">
        <v>37</v>
      </c>
      <c r="AB1050" s="3" t="s">
        <v>418</v>
      </c>
      <c r="AC1050">
        <v>96</v>
      </c>
      <c r="AD1050" s="3" t="str">
        <f t="shared" si="236"/>
        <v>96</v>
      </c>
      <c r="AE1050">
        <v>85</v>
      </c>
      <c r="AF1050" s="3" t="str">
        <f t="shared" si="237"/>
        <v>85</v>
      </c>
      <c r="AG1050" t="s">
        <v>29</v>
      </c>
      <c r="AH1050" s="3">
        <v>14.762</v>
      </c>
      <c r="AI1050" s="3">
        <f t="shared" si="238"/>
        <v>14.762</v>
      </c>
      <c r="AJ1050" t="s">
        <v>52</v>
      </c>
      <c r="AK1050" t="str">
        <f>PROPER(Table1[[#This Row],[CVD Risk Level]])</f>
        <v>Low</v>
      </c>
    </row>
    <row r="1051" spans="1:37" x14ac:dyDescent="0.3">
      <c r="A1051" t="s">
        <v>31</v>
      </c>
      <c r="B1051">
        <v>73</v>
      </c>
      <c r="C1051" s="8">
        <f t="shared" si="227"/>
        <v>73</v>
      </c>
      <c r="D1051" s="5">
        <v>100.845</v>
      </c>
      <c r="E1051" s="8">
        <f t="shared" si="228"/>
        <v>100.845</v>
      </c>
      <c r="F1051">
        <v>1.591</v>
      </c>
      <c r="G1051" s="3">
        <f t="shared" si="229"/>
        <v>1.591</v>
      </c>
      <c r="H1051">
        <v>22.896999999999998</v>
      </c>
      <c r="I1051" s="5">
        <f t="shared" si="225"/>
        <v>22.896999999999998</v>
      </c>
      <c r="J1051" s="16" t="str">
        <f t="shared" si="230"/>
        <v>Normal</v>
      </c>
      <c r="K1051">
        <v>88.019000000000005</v>
      </c>
      <c r="L1051">
        <v>0.55300000000000005</v>
      </c>
      <c r="M1051" s="11">
        <f t="shared" si="226"/>
        <v>0.55300000000000005</v>
      </c>
      <c r="N1051" s="5">
        <f t="shared" si="231"/>
        <v>88.019000000000005</v>
      </c>
      <c r="O1051">
        <v>196</v>
      </c>
      <c r="P1051">
        <v>76</v>
      </c>
      <c r="Q1051" s="8">
        <f t="shared" si="232"/>
        <v>76</v>
      </c>
      <c r="R1051" s="8">
        <v>90</v>
      </c>
      <c r="S1051" s="8">
        <f t="shared" si="233"/>
        <v>90</v>
      </c>
      <c r="T1051" s="8">
        <f>(Table1[[#This Row],[Total Cholesterol (mg/dL)]]+Table1[[#This Row],[HDL (mg/dL)2]]+Table1[[#This Row],[Estimated LDL (mg/dL)2]])*5</f>
        <v>1810</v>
      </c>
      <c r="U1051" s="8">
        <f>IF(O1051="",Table1[[#This Row],[Estimated LDL (mg/dL)2]]+Table1[[#This Row],[HDL (mg/dL)2]]+(Table1[[#This Row],[Triglycerides]]/5),O1051)</f>
        <v>196</v>
      </c>
      <c r="V1051">
        <v>135</v>
      </c>
      <c r="W1051" s="8">
        <f t="shared" si="234"/>
        <v>135</v>
      </c>
      <c r="X1051" t="str">
        <f t="shared" si="235"/>
        <v>Diabetes</v>
      </c>
      <c r="Y1051" t="s">
        <v>23</v>
      </c>
      <c r="Z1051" t="s">
        <v>22</v>
      </c>
      <c r="AA1051" t="s">
        <v>28</v>
      </c>
      <c r="AB1051" s="3" t="s">
        <v>900</v>
      </c>
      <c r="AC1051">
        <v>145</v>
      </c>
      <c r="AD1051" s="3" t="str">
        <f t="shared" si="236"/>
        <v>145</v>
      </c>
      <c r="AE1051">
        <v>91</v>
      </c>
      <c r="AF1051" s="3" t="str">
        <f t="shared" si="237"/>
        <v>91</v>
      </c>
      <c r="AG1051" t="s">
        <v>38</v>
      </c>
      <c r="AH1051" s="3">
        <v>15.749000000000001</v>
      </c>
      <c r="AI1051" s="3">
        <f t="shared" si="238"/>
        <v>15.749000000000001</v>
      </c>
      <c r="AJ1051" t="s">
        <v>26</v>
      </c>
      <c r="AK1051" t="str">
        <f>PROPER(Table1[[#This Row],[CVD Risk Level]])</f>
        <v>Intermediary</v>
      </c>
    </row>
    <row r="1052" spans="1:37" x14ac:dyDescent="0.3">
      <c r="A1052" t="s">
        <v>31</v>
      </c>
      <c r="B1052">
        <v>48</v>
      </c>
      <c r="C1052" s="8">
        <f t="shared" si="227"/>
        <v>48</v>
      </c>
      <c r="D1052" s="5">
        <v>107.611</v>
      </c>
      <c r="E1052" s="8">
        <f t="shared" si="228"/>
        <v>107.611</v>
      </c>
      <c r="F1052">
        <v>1.718</v>
      </c>
      <c r="G1052" s="3">
        <f t="shared" si="229"/>
        <v>1.718</v>
      </c>
      <c r="H1052">
        <v>26.407</v>
      </c>
      <c r="I1052" s="5">
        <f t="shared" si="225"/>
        <v>26.407</v>
      </c>
      <c r="J1052" s="16" t="str">
        <f t="shared" si="230"/>
        <v>Overweight</v>
      </c>
      <c r="K1052">
        <v>80.588999999999999</v>
      </c>
      <c r="L1052">
        <v>0.46899999999999997</v>
      </c>
      <c r="M1052" s="11">
        <f t="shared" si="226"/>
        <v>0.46899999999999997</v>
      </c>
      <c r="N1052" s="5">
        <f t="shared" si="231"/>
        <v>80.588999999999999</v>
      </c>
      <c r="O1052">
        <v>162</v>
      </c>
      <c r="P1052">
        <v>69</v>
      </c>
      <c r="Q1052" s="8">
        <f t="shared" si="232"/>
        <v>69</v>
      </c>
      <c r="R1052" s="8">
        <v>63</v>
      </c>
      <c r="S1052" s="8">
        <f t="shared" si="233"/>
        <v>63</v>
      </c>
      <c r="T1052" s="8">
        <f>(Table1[[#This Row],[Total Cholesterol (mg/dL)]]+Table1[[#This Row],[HDL (mg/dL)2]]+Table1[[#This Row],[Estimated LDL (mg/dL)2]])*5</f>
        <v>1470</v>
      </c>
      <c r="U1052" s="8">
        <f>IF(O1052="",Table1[[#This Row],[Estimated LDL (mg/dL)2]]+Table1[[#This Row],[HDL (mg/dL)2]]+(Table1[[#This Row],[Triglycerides]]/5),O1052)</f>
        <v>162</v>
      </c>
      <c r="V1052">
        <v>94</v>
      </c>
      <c r="W1052" s="8">
        <f t="shared" si="234"/>
        <v>94</v>
      </c>
      <c r="X1052" t="str">
        <f t="shared" si="235"/>
        <v>Normal</v>
      </c>
      <c r="Y1052" t="s">
        <v>23</v>
      </c>
      <c r="Z1052" t="s">
        <v>22</v>
      </c>
      <c r="AA1052" t="s">
        <v>24</v>
      </c>
      <c r="AB1052" s="3" t="s">
        <v>691</v>
      </c>
      <c r="AC1052">
        <v>117</v>
      </c>
      <c r="AD1052" s="3" t="str">
        <f t="shared" si="236"/>
        <v>117</v>
      </c>
      <c r="AE1052">
        <v>60</v>
      </c>
      <c r="AF1052" s="3" t="str">
        <f t="shared" si="237"/>
        <v>60</v>
      </c>
      <c r="AG1052" t="s">
        <v>33</v>
      </c>
      <c r="AH1052" s="3">
        <v>14.371</v>
      </c>
      <c r="AI1052" s="3">
        <f t="shared" si="238"/>
        <v>14.371</v>
      </c>
      <c r="AJ1052" t="s">
        <v>30</v>
      </c>
      <c r="AK1052" t="str">
        <f>PROPER(Table1[[#This Row],[CVD Risk Level]])</f>
        <v>High</v>
      </c>
    </row>
    <row r="1053" spans="1:37" x14ac:dyDescent="0.3">
      <c r="A1053" t="s">
        <v>20</v>
      </c>
      <c r="B1053">
        <v>44</v>
      </c>
      <c r="C1053" s="8">
        <f t="shared" si="227"/>
        <v>44</v>
      </c>
      <c r="D1053" s="5">
        <v>90.260999999999996</v>
      </c>
      <c r="E1053" s="8">
        <f t="shared" si="228"/>
        <v>90.260999999999996</v>
      </c>
      <c r="F1053">
        <v>1.6359999999999999</v>
      </c>
      <c r="G1053" s="3">
        <f t="shared" si="229"/>
        <v>1.6359999999999999</v>
      </c>
      <c r="H1053">
        <v>26.895</v>
      </c>
      <c r="I1053" s="5">
        <f t="shared" si="225"/>
        <v>26.895</v>
      </c>
      <c r="J1053" s="16" t="str">
        <f t="shared" si="230"/>
        <v>Overweight</v>
      </c>
      <c r="K1053">
        <v>77.206999999999994</v>
      </c>
      <c r="L1053">
        <v>0.47199999999999998</v>
      </c>
      <c r="M1053" s="11">
        <f t="shared" si="226"/>
        <v>0.47199999999999998</v>
      </c>
      <c r="N1053" s="5">
        <f t="shared" si="231"/>
        <v>77.206999999999994</v>
      </c>
      <c r="O1053">
        <v>287</v>
      </c>
      <c r="P1053">
        <v>57</v>
      </c>
      <c r="Q1053" s="8">
        <f t="shared" si="232"/>
        <v>57</v>
      </c>
      <c r="R1053" s="8">
        <v>200</v>
      </c>
      <c r="S1053" s="8">
        <f t="shared" si="233"/>
        <v>200</v>
      </c>
      <c r="T1053" s="8">
        <f>(Table1[[#This Row],[Total Cholesterol (mg/dL)]]+Table1[[#This Row],[HDL (mg/dL)2]]+Table1[[#This Row],[Estimated LDL (mg/dL)2]])*5</f>
        <v>2720</v>
      </c>
      <c r="U1053" s="8">
        <f>IF(O1053="",Table1[[#This Row],[Estimated LDL (mg/dL)2]]+Table1[[#This Row],[HDL (mg/dL)2]]+(Table1[[#This Row],[Triglycerides]]/5),O1053)</f>
        <v>287</v>
      </c>
      <c r="V1053">
        <v>158</v>
      </c>
      <c r="W1053" s="8">
        <f t="shared" si="234"/>
        <v>158</v>
      </c>
      <c r="X1053" t="str">
        <f t="shared" si="235"/>
        <v>Diabetes</v>
      </c>
      <c r="Y1053" t="s">
        <v>23</v>
      </c>
      <c r="Z1053" t="s">
        <v>23</v>
      </c>
      <c r="AA1053" t="s">
        <v>37</v>
      </c>
      <c r="AB1053" s="3" t="s">
        <v>901</v>
      </c>
      <c r="AC1053">
        <v>164</v>
      </c>
      <c r="AD1053" s="3" t="str">
        <f t="shared" si="236"/>
        <v>164</v>
      </c>
      <c r="AF1053" s="3" t="str">
        <f t="shared" si="237"/>
        <v>87</v>
      </c>
      <c r="AG1053" t="s">
        <v>29</v>
      </c>
      <c r="AH1053" s="3">
        <v>21.318999999999999</v>
      </c>
      <c r="AI1053" s="3">
        <f t="shared" si="238"/>
        <v>21.318999999999999</v>
      </c>
      <c r="AJ1053" t="s">
        <v>30</v>
      </c>
      <c r="AK1053" t="str">
        <f>PROPER(Table1[[#This Row],[CVD Risk Level]])</f>
        <v>High</v>
      </c>
    </row>
    <row r="1054" spans="1:37" x14ac:dyDescent="0.3">
      <c r="A1054" t="s">
        <v>20</v>
      </c>
      <c r="B1054">
        <v>48</v>
      </c>
      <c r="C1054" s="8">
        <f t="shared" si="227"/>
        <v>48</v>
      </c>
      <c r="D1054" s="5">
        <v>81.247</v>
      </c>
      <c r="E1054" s="8">
        <f t="shared" si="228"/>
        <v>81.247</v>
      </c>
      <c r="F1054">
        <v>1.9490000000000001</v>
      </c>
      <c r="G1054" s="3">
        <f t="shared" si="229"/>
        <v>1.9490000000000001</v>
      </c>
      <c r="H1054">
        <v>39.118000000000002</v>
      </c>
      <c r="I1054" s="5">
        <f t="shared" si="225"/>
        <v>39.118000000000002</v>
      </c>
      <c r="J1054" s="16" t="str">
        <f t="shared" si="230"/>
        <v>Obese</v>
      </c>
      <c r="K1054">
        <v>77.647000000000006</v>
      </c>
      <c r="L1054">
        <v>0.39800000000000002</v>
      </c>
      <c r="M1054" s="11">
        <f t="shared" si="226"/>
        <v>0.39800000000000002</v>
      </c>
      <c r="N1054" s="5">
        <f t="shared" si="231"/>
        <v>77.647000000000006</v>
      </c>
      <c r="O1054">
        <v>274</v>
      </c>
      <c r="Q1054" s="8">
        <f t="shared" si="232"/>
        <v>56.197377501725327</v>
      </c>
      <c r="R1054" s="8">
        <v>193</v>
      </c>
      <c r="S1054" s="8">
        <f>IF(R1054&lt;=0,MEDIAN($R$2:$R$1530),R1054)</f>
        <v>193</v>
      </c>
      <c r="T1054" s="8">
        <f>(Table1[[#This Row],[Total Cholesterol (mg/dL)]]+Table1[[#This Row],[HDL (mg/dL)2]]+Table1[[#This Row],[Estimated LDL (mg/dL)2]])*5</f>
        <v>2615.9868875086268</v>
      </c>
      <c r="U1054" s="8">
        <f>IF(O1054="",Table1[[#This Row],[Estimated LDL (mg/dL)2]]+Table1[[#This Row],[HDL (mg/dL)2]]+(Table1[[#This Row],[Triglycerides]]/5),O1054)</f>
        <v>274</v>
      </c>
      <c r="V1054">
        <v>170</v>
      </c>
      <c r="W1054" s="8">
        <f t="shared" si="234"/>
        <v>170</v>
      </c>
      <c r="X1054" t="str">
        <f t="shared" si="235"/>
        <v>Diabetes</v>
      </c>
      <c r="Y1054" t="s">
        <v>22</v>
      </c>
      <c r="Z1054" t="s">
        <v>23</v>
      </c>
      <c r="AA1054" t="s">
        <v>28</v>
      </c>
      <c r="AB1054" s="3" t="s">
        <v>902</v>
      </c>
      <c r="AC1054">
        <v>158</v>
      </c>
      <c r="AD1054" s="3" t="str">
        <f t="shared" si="236"/>
        <v>158</v>
      </c>
      <c r="AE1054">
        <v>74</v>
      </c>
      <c r="AF1054" s="3" t="str">
        <f t="shared" si="237"/>
        <v>74</v>
      </c>
      <c r="AG1054" t="s">
        <v>38</v>
      </c>
      <c r="AH1054" s="3">
        <v>23.204000000000001</v>
      </c>
      <c r="AI1054" s="3">
        <f t="shared" si="238"/>
        <v>23.204000000000001</v>
      </c>
      <c r="AJ1054" t="s">
        <v>26</v>
      </c>
      <c r="AK1054" t="str">
        <f>PROPER(Table1[[#This Row],[CVD Risk Level]])</f>
        <v>Intermediary</v>
      </c>
    </row>
    <row r="1055" spans="1:37" x14ac:dyDescent="0.3">
      <c r="A1055" t="s">
        <v>20</v>
      </c>
      <c r="B1055">
        <v>75</v>
      </c>
      <c r="C1055" s="8">
        <f t="shared" si="227"/>
        <v>75</v>
      </c>
      <c r="D1055" s="5">
        <v>76.602999999999994</v>
      </c>
      <c r="E1055" s="8">
        <f t="shared" si="228"/>
        <v>76.602999999999994</v>
      </c>
      <c r="F1055">
        <v>1.85</v>
      </c>
      <c r="G1055" s="3">
        <f t="shared" si="229"/>
        <v>1.85</v>
      </c>
      <c r="H1055">
        <v>39.712000000000003</v>
      </c>
      <c r="I1055" s="5">
        <f t="shared" si="225"/>
        <v>39.712000000000003</v>
      </c>
      <c r="J1055" s="16" t="str">
        <f t="shared" si="230"/>
        <v>Obese</v>
      </c>
      <c r="K1055">
        <v>106.93</v>
      </c>
      <c r="L1055">
        <v>0.57799999999999996</v>
      </c>
      <c r="M1055" s="11">
        <f t="shared" si="226"/>
        <v>0.57799999999999996</v>
      </c>
      <c r="N1055" s="5">
        <f t="shared" si="231"/>
        <v>106.93</v>
      </c>
      <c r="O1055">
        <v>179</v>
      </c>
      <c r="P1055">
        <v>30</v>
      </c>
      <c r="Q1055" s="8">
        <f t="shared" si="232"/>
        <v>30</v>
      </c>
      <c r="R1055" s="8">
        <v>119</v>
      </c>
      <c r="S1055" s="8">
        <f t="shared" si="233"/>
        <v>119</v>
      </c>
      <c r="T1055" s="8">
        <f>(Table1[[#This Row],[Total Cholesterol (mg/dL)]]+Table1[[#This Row],[HDL (mg/dL)2]]+Table1[[#This Row],[Estimated LDL (mg/dL)2]])*5</f>
        <v>1640</v>
      </c>
      <c r="U1055" s="8">
        <f>IF(O1055="",Table1[[#This Row],[Estimated LDL (mg/dL)2]]+Table1[[#This Row],[HDL (mg/dL)2]]+(Table1[[#This Row],[Triglycerides]]/5),O1055)</f>
        <v>179</v>
      </c>
      <c r="V1055">
        <v>189</v>
      </c>
      <c r="W1055" s="8">
        <f t="shared" si="234"/>
        <v>189</v>
      </c>
      <c r="X1055" t="str">
        <f t="shared" si="235"/>
        <v>Diabetes</v>
      </c>
      <c r="Y1055" t="s">
        <v>22</v>
      </c>
      <c r="Z1055" t="s">
        <v>23</v>
      </c>
      <c r="AA1055" t="s">
        <v>24</v>
      </c>
      <c r="AB1055" s="3" t="s">
        <v>903</v>
      </c>
      <c r="AC1055">
        <v>90</v>
      </c>
      <c r="AD1055" s="3" t="str">
        <f t="shared" si="236"/>
        <v>90</v>
      </c>
      <c r="AE1055">
        <v>87</v>
      </c>
      <c r="AF1055" s="3" t="str">
        <f t="shared" si="237"/>
        <v>87</v>
      </c>
      <c r="AG1055" t="s">
        <v>29</v>
      </c>
      <c r="AI1055" s="3">
        <f t="shared" si="238"/>
        <v>16.960925291295425</v>
      </c>
      <c r="AJ1055" t="s">
        <v>30</v>
      </c>
      <c r="AK1055" t="str">
        <f>PROPER(Table1[[#This Row],[CVD Risk Level]])</f>
        <v>High</v>
      </c>
    </row>
    <row r="1056" spans="1:37" x14ac:dyDescent="0.3">
      <c r="A1056" t="s">
        <v>20</v>
      </c>
      <c r="B1056">
        <v>41</v>
      </c>
      <c r="C1056" s="8">
        <f t="shared" si="227"/>
        <v>41</v>
      </c>
      <c r="D1056" s="5">
        <v>82.337000000000003</v>
      </c>
      <c r="E1056" s="8">
        <f t="shared" si="228"/>
        <v>82.337000000000003</v>
      </c>
      <c r="F1056">
        <v>1.7270000000000001</v>
      </c>
      <c r="G1056" s="3">
        <f t="shared" si="229"/>
        <v>1.7270000000000001</v>
      </c>
      <c r="H1056">
        <v>18.827999999999999</v>
      </c>
      <c r="I1056" s="5">
        <f t="shared" si="225"/>
        <v>18.827999999999999</v>
      </c>
      <c r="J1056" s="16" t="str">
        <f t="shared" si="230"/>
        <v>Normal</v>
      </c>
      <c r="K1056">
        <v>72.052999999999997</v>
      </c>
      <c r="L1056">
        <v>0.41699999999999998</v>
      </c>
      <c r="M1056" s="11">
        <f t="shared" si="226"/>
        <v>0.41699999999999998</v>
      </c>
      <c r="N1056" s="5">
        <f t="shared" si="231"/>
        <v>72.052999999999997</v>
      </c>
      <c r="O1056">
        <v>207</v>
      </c>
      <c r="P1056">
        <v>53</v>
      </c>
      <c r="Q1056" s="8">
        <f t="shared" si="232"/>
        <v>53</v>
      </c>
      <c r="R1056" s="8">
        <v>124</v>
      </c>
      <c r="S1056" s="8">
        <f t="shared" si="233"/>
        <v>124</v>
      </c>
      <c r="T1056" s="8">
        <f>(Table1[[#This Row],[Total Cholesterol (mg/dL)]]+Table1[[#This Row],[HDL (mg/dL)2]]+Table1[[#This Row],[Estimated LDL (mg/dL)2]])*5</f>
        <v>1920</v>
      </c>
      <c r="U1056" s="8">
        <f>IF(O1056="",Table1[[#This Row],[Estimated LDL (mg/dL)2]]+Table1[[#This Row],[HDL (mg/dL)2]]+(Table1[[#This Row],[Triglycerides]]/5),O1056)</f>
        <v>207</v>
      </c>
      <c r="V1056">
        <v>92</v>
      </c>
      <c r="W1056" s="8">
        <f t="shared" si="234"/>
        <v>92</v>
      </c>
      <c r="X1056" t="str">
        <f t="shared" si="235"/>
        <v>Normal</v>
      </c>
      <c r="Y1056" t="s">
        <v>23</v>
      </c>
      <c r="Z1056" t="s">
        <v>23</v>
      </c>
      <c r="AA1056" t="s">
        <v>37</v>
      </c>
      <c r="AB1056" s="3" t="s">
        <v>904</v>
      </c>
      <c r="AC1056">
        <v>154</v>
      </c>
      <c r="AD1056" s="3" t="str">
        <f t="shared" si="236"/>
        <v>154</v>
      </c>
      <c r="AE1056">
        <v>70</v>
      </c>
      <c r="AF1056" s="3" t="str">
        <f t="shared" si="237"/>
        <v>70</v>
      </c>
      <c r="AG1056" t="s">
        <v>38</v>
      </c>
      <c r="AH1056" s="3">
        <v>17.606000000000002</v>
      </c>
      <c r="AI1056" s="3">
        <f t="shared" si="238"/>
        <v>17.606000000000002</v>
      </c>
      <c r="AJ1056" t="s">
        <v>30</v>
      </c>
      <c r="AK1056" t="str">
        <f>PROPER(Table1[[#This Row],[CVD Risk Level]])</f>
        <v>High</v>
      </c>
    </row>
    <row r="1057" spans="1:37" x14ac:dyDescent="0.3">
      <c r="A1057" t="s">
        <v>31</v>
      </c>
      <c r="B1057">
        <v>28</v>
      </c>
      <c r="C1057" s="8">
        <f t="shared" si="227"/>
        <v>28</v>
      </c>
      <c r="D1057" s="5">
        <v>99.08</v>
      </c>
      <c r="E1057" s="8">
        <f t="shared" si="228"/>
        <v>99.08</v>
      </c>
      <c r="F1057">
        <v>1.77</v>
      </c>
      <c r="G1057" s="3">
        <f t="shared" si="229"/>
        <v>1.77</v>
      </c>
      <c r="H1057">
        <v>24.835000000000001</v>
      </c>
      <c r="I1057" s="5">
        <f t="shared" si="225"/>
        <v>24.835000000000001</v>
      </c>
      <c r="J1057" s="16" t="str">
        <f t="shared" si="230"/>
        <v>Normal</v>
      </c>
      <c r="K1057">
        <v>96.245000000000005</v>
      </c>
      <c r="L1057">
        <v>0.54400000000000004</v>
      </c>
      <c r="M1057" s="11">
        <f t="shared" si="226"/>
        <v>0.54400000000000004</v>
      </c>
      <c r="N1057" s="5">
        <f t="shared" si="231"/>
        <v>96.245000000000005</v>
      </c>
      <c r="O1057">
        <v>147</v>
      </c>
      <c r="P1057">
        <v>38</v>
      </c>
      <c r="Q1057" s="8">
        <f t="shared" si="232"/>
        <v>38</v>
      </c>
      <c r="R1057" s="8">
        <v>79</v>
      </c>
      <c r="S1057" s="8">
        <f t="shared" si="233"/>
        <v>79</v>
      </c>
      <c r="T1057" s="8">
        <f>(Table1[[#This Row],[Total Cholesterol (mg/dL)]]+Table1[[#This Row],[HDL (mg/dL)2]]+Table1[[#This Row],[Estimated LDL (mg/dL)2]])*5</f>
        <v>1320</v>
      </c>
      <c r="U1057" s="8">
        <f>IF(O1057="",Table1[[#This Row],[Estimated LDL (mg/dL)2]]+Table1[[#This Row],[HDL (mg/dL)2]]+(Table1[[#This Row],[Triglycerides]]/5),O1057)</f>
        <v>147</v>
      </c>
      <c r="V1057">
        <v>165</v>
      </c>
      <c r="W1057" s="8">
        <f t="shared" si="234"/>
        <v>165</v>
      </c>
      <c r="X1057" t="str">
        <f t="shared" si="235"/>
        <v>Diabetes</v>
      </c>
      <c r="Y1057" t="s">
        <v>23</v>
      </c>
      <c r="Z1057" t="s">
        <v>23</v>
      </c>
      <c r="AA1057" t="s">
        <v>28</v>
      </c>
      <c r="AB1057" s="3" t="s">
        <v>905</v>
      </c>
      <c r="AC1057">
        <v>103</v>
      </c>
      <c r="AD1057" s="3" t="str">
        <f t="shared" si="236"/>
        <v>103</v>
      </c>
      <c r="AE1057">
        <v>107</v>
      </c>
      <c r="AF1057" s="3" t="str">
        <f t="shared" si="237"/>
        <v>107</v>
      </c>
      <c r="AG1057" t="s">
        <v>38</v>
      </c>
      <c r="AH1057" s="3">
        <v>15.057</v>
      </c>
      <c r="AI1057" s="3">
        <f t="shared" si="238"/>
        <v>15.057</v>
      </c>
      <c r="AJ1057" t="s">
        <v>30</v>
      </c>
      <c r="AK1057" t="str">
        <f>PROPER(Table1[[#This Row],[CVD Risk Level]])</f>
        <v>High</v>
      </c>
    </row>
    <row r="1058" spans="1:37" x14ac:dyDescent="0.3">
      <c r="A1058" t="s">
        <v>20</v>
      </c>
      <c r="B1058">
        <v>75</v>
      </c>
      <c r="C1058" s="8">
        <f t="shared" si="227"/>
        <v>75</v>
      </c>
      <c r="D1058" s="5">
        <v>115.384</v>
      </c>
      <c r="E1058" s="8">
        <f t="shared" si="228"/>
        <v>115.384</v>
      </c>
      <c r="F1058">
        <v>1.744</v>
      </c>
      <c r="G1058" s="3">
        <f t="shared" si="229"/>
        <v>1.744</v>
      </c>
      <c r="H1058">
        <v>34.636000000000003</v>
      </c>
      <c r="I1058" s="5">
        <f t="shared" si="225"/>
        <v>34.636000000000003</v>
      </c>
      <c r="J1058" s="16" t="str">
        <f t="shared" si="230"/>
        <v>Obese</v>
      </c>
      <c r="K1058">
        <v>102.26</v>
      </c>
      <c r="L1058">
        <v>0.58599999999999997</v>
      </c>
      <c r="M1058" s="11">
        <f t="shared" si="226"/>
        <v>0.58599999999999997</v>
      </c>
      <c r="N1058" s="5">
        <f t="shared" si="231"/>
        <v>102.26</v>
      </c>
      <c r="O1058">
        <v>164</v>
      </c>
      <c r="P1058">
        <v>31</v>
      </c>
      <c r="Q1058" s="8">
        <f t="shared" si="232"/>
        <v>31</v>
      </c>
      <c r="R1058" s="8">
        <v>103</v>
      </c>
      <c r="S1058" s="8">
        <f t="shared" si="233"/>
        <v>103</v>
      </c>
      <c r="T1058" s="8">
        <f>(Table1[[#This Row],[Total Cholesterol (mg/dL)]]+Table1[[#This Row],[HDL (mg/dL)2]]+Table1[[#This Row],[Estimated LDL (mg/dL)2]])*5</f>
        <v>1490</v>
      </c>
      <c r="U1058" s="8">
        <f>IF(O1058="",Table1[[#This Row],[Estimated LDL (mg/dL)2]]+Table1[[#This Row],[HDL (mg/dL)2]]+(Table1[[#This Row],[Triglycerides]]/5),O1058)</f>
        <v>164</v>
      </c>
      <c r="V1058">
        <v>122</v>
      </c>
      <c r="W1058" s="8">
        <f t="shared" si="234"/>
        <v>122</v>
      </c>
      <c r="X1058" t="str">
        <f t="shared" si="235"/>
        <v>Prediabetes</v>
      </c>
      <c r="Y1058" t="s">
        <v>23</v>
      </c>
      <c r="Z1058" t="s">
        <v>22</v>
      </c>
      <c r="AA1058" t="s">
        <v>37</v>
      </c>
      <c r="AB1058" s="3" t="s">
        <v>906</v>
      </c>
      <c r="AC1058">
        <v>128</v>
      </c>
      <c r="AD1058" s="3" t="str">
        <f t="shared" si="236"/>
        <v>128</v>
      </c>
      <c r="AE1058">
        <v>97</v>
      </c>
      <c r="AF1058" s="3" t="str">
        <f t="shared" si="237"/>
        <v>97</v>
      </c>
      <c r="AG1058" t="s">
        <v>38</v>
      </c>
      <c r="AH1058" s="3">
        <v>16.606999999999999</v>
      </c>
      <c r="AI1058" s="3">
        <f t="shared" si="238"/>
        <v>16.606999999999999</v>
      </c>
      <c r="AJ1058" t="s">
        <v>26</v>
      </c>
      <c r="AK1058" t="str">
        <f>PROPER(Table1[[#This Row],[CVD Risk Level]])</f>
        <v>Intermediary</v>
      </c>
    </row>
    <row r="1059" spans="1:37" x14ac:dyDescent="0.3">
      <c r="A1059" t="s">
        <v>31</v>
      </c>
      <c r="B1059">
        <v>32</v>
      </c>
      <c r="C1059" s="8">
        <f t="shared" si="227"/>
        <v>32</v>
      </c>
      <c r="E1059" s="8">
        <f t="shared" si="228"/>
        <v>58.721195163000004</v>
      </c>
      <c r="F1059">
        <v>1.657</v>
      </c>
      <c r="G1059" s="3">
        <f t="shared" si="229"/>
        <v>1.657</v>
      </c>
      <c r="H1059">
        <v>21.387</v>
      </c>
      <c r="I1059" s="5">
        <f t="shared" si="225"/>
        <v>21.387</v>
      </c>
      <c r="J1059" s="16" t="str">
        <f t="shared" si="230"/>
        <v>Normal</v>
      </c>
      <c r="K1059">
        <v>75.28</v>
      </c>
      <c r="L1059">
        <v>0.45400000000000001</v>
      </c>
      <c r="M1059" s="11">
        <f t="shared" si="226"/>
        <v>0.45400000000000001</v>
      </c>
      <c r="N1059" s="5">
        <f t="shared" si="231"/>
        <v>75.28</v>
      </c>
      <c r="O1059">
        <v>281</v>
      </c>
      <c r="P1059">
        <v>63</v>
      </c>
      <c r="Q1059" s="8">
        <f t="shared" si="232"/>
        <v>63</v>
      </c>
      <c r="R1059" s="8">
        <v>188</v>
      </c>
      <c r="S1059" s="8">
        <f t="shared" si="233"/>
        <v>188</v>
      </c>
      <c r="T1059" s="8">
        <f>(Table1[[#This Row],[Total Cholesterol (mg/dL)]]+Table1[[#This Row],[HDL (mg/dL)2]]+Table1[[#This Row],[Estimated LDL (mg/dL)2]])*5</f>
        <v>2660</v>
      </c>
      <c r="U1059" s="8">
        <f>IF(O1059="",Table1[[#This Row],[Estimated LDL (mg/dL)2]]+Table1[[#This Row],[HDL (mg/dL)2]]+(Table1[[#This Row],[Triglycerides]]/5),O1059)</f>
        <v>281</v>
      </c>
      <c r="V1059">
        <v>153</v>
      </c>
      <c r="W1059" s="8">
        <f t="shared" si="234"/>
        <v>153</v>
      </c>
      <c r="X1059" t="str">
        <f t="shared" si="235"/>
        <v>Diabetes</v>
      </c>
      <c r="Y1059" t="s">
        <v>23</v>
      </c>
      <c r="Z1059" t="s">
        <v>23</v>
      </c>
      <c r="AA1059" t="s">
        <v>24</v>
      </c>
      <c r="AB1059" s="3" t="s">
        <v>907</v>
      </c>
      <c r="AC1059">
        <v>147</v>
      </c>
      <c r="AD1059" s="3" t="str">
        <f t="shared" si="236"/>
        <v>147</v>
      </c>
      <c r="AE1059">
        <v>81</v>
      </c>
      <c r="AF1059" s="3" t="str">
        <f t="shared" si="237"/>
        <v>81</v>
      </c>
      <c r="AG1059" t="s">
        <v>29</v>
      </c>
      <c r="AH1059" s="3">
        <v>19.247</v>
      </c>
      <c r="AI1059" s="3">
        <f t="shared" si="238"/>
        <v>19.247</v>
      </c>
      <c r="AJ1059" t="s">
        <v>30</v>
      </c>
      <c r="AK1059" t="str">
        <f>PROPER(Table1[[#This Row],[CVD Risk Level]])</f>
        <v>High</v>
      </c>
    </row>
    <row r="1060" spans="1:37" x14ac:dyDescent="0.3">
      <c r="A1060" t="s">
        <v>31</v>
      </c>
      <c r="B1060">
        <v>43</v>
      </c>
      <c r="C1060" s="8">
        <f t="shared" si="227"/>
        <v>43</v>
      </c>
      <c r="D1060" s="5">
        <v>80.563000000000002</v>
      </c>
      <c r="E1060" s="8">
        <f t="shared" si="228"/>
        <v>80.563000000000002</v>
      </c>
      <c r="F1060">
        <v>1.7150000000000001</v>
      </c>
      <c r="G1060" s="3">
        <f t="shared" si="229"/>
        <v>1.7150000000000001</v>
      </c>
      <c r="H1060">
        <v>30.696000000000002</v>
      </c>
      <c r="I1060" s="5">
        <f t="shared" si="225"/>
        <v>30.696000000000002</v>
      </c>
      <c r="J1060" s="16" t="str">
        <f t="shared" si="230"/>
        <v>Obese</v>
      </c>
      <c r="K1060">
        <v>111.462</v>
      </c>
      <c r="L1060">
        <v>0.65</v>
      </c>
      <c r="M1060" s="11">
        <f t="shared" si="226"/>
        <v>0.65</v>
      </c>
      <c r="N1060" s="5">
        <f t="shared" si="231"/>
        <v>111.462</v>
      </c>
      <c r="O1060">
        <v>262</v>
      </c>
      <c r="P1060">
        <v>77</v>
      </c>
      <c r="Q1060" s="8">
        <f t="shared" si="232"/>
        <v>77</v>
      </c>
      <c r="R1060" s="8">
        <v>155</v>
      </c>
      <c r="S1060" s="8">
        <f t="shared" si="233"/>
        <v>155</v>
      </c>
      <c r="T1060" s="8">
        <f>(Table1[[#This Row],[Total Cholesterol (mg/dL)]]+Table1[[#This Row],[HDL (mg/dL)2]]+Table1[[#This Row],[Estimated LDL (mg/dL)2]])*5</f>
        <v>2470</v>
      </c>
      <c r="U1060" s="8">
        <f>IF(O1060="",Table1[[#This Row],[Estimated LDL (mg/dL)2]]+Table1[[#This Row],[HDL (mg/dL)2]]+(Table1[[#This Row],[Triglycerides]]/5),O1060)</f>
        <v>262</v>
      </c>
      <c r="V1060">
        <v>140</v>
      </c>
      <c r="W1060" s="8">
        <f t="shared" si="234"/>
        <v>140</v>
      </c>
      <c r="X1060" t="str">
        <f t="shared" si="235"/>
        <v>Diabetes</v>
      </c>
      <c r="Y1060" t="s">
        <v>23</v>
      </c>
      <c r="Z1060" t="s">
        <v>22</v>
      </c>
      <c r="AA1060" t="s">
        <v>28</v>
      </c>
      <c r="AB1060" s="3" t="s">
        <v>908</v>
      </c>
      <c r="AC1060">
        <v>177</v>
      </c>
      <c r="AD1060" s="3" t="str">
        <f t="shared" si="236"/>
        <v>177</v>
      </c>
      <c r="AE1060">
        <v>98</v>
      </c>
      <c r="AF1060" s="3" t="str">
        <f t="shared" si="237"/>
        <v>98</v>
      </c>
      <c r="AG1060" t="s">
        <v>38</v>
      </c>
      <c r="AH1060" s="3">
        <v>20.228999999999999</v>
      </c>
      <c r="AI1060" s="3">
        <f t="shared" si="238"/>
        <v>20.228999999999999</v>
      </c>
      <c r="AJ1060" t="s">
        <v>52</v>
      </c>
      <c r="AK1060" t="str">
        <f>PROPER(Table1[[#This Row],[CVD Risk Level]])</f>
        <v>Low</v>
      </c>
    </row>
    <row r="1061" spans="1:37" x14ac:dyDescent="0.3">
      <c r="A1061" t="s">
        <v>20</v>
      </c>
      <c r="B1061">
        <v>71</v>
      </c>
      <c r="C1061" s="8">
        <f t="shared" si="227"/>
        <v>71</v>
      </c>
      <c r="D1061" s="5">
        <v>105.63</v>
      </c>
      <c r="E1061" s="8">
        <f t="shared" si="228"/>
        <v>105.63</v>
      </c>
      <c r="F1061">
        <v>1.6819999999999999</v>
      </c>
      <c r="G1061" s="3">
        <f t="shared" si="229"/>
        <v>1.6819999999999999</v>
      </c>
      <c r="H1061">
        <v>33.093000000000004</v>
      </c>
      <c r="I1061" s="5">
        <f t="shared" si="225"/>
        <v>33.093000000000004</v>
      </c>
      <c r="J1061" s="16" t="str">
        <f t="shared" si="230"/>
        <v>Obese</v>
      </c>
      <c r="K1061">
        <v>105.92700000000001</v>
      </c>
      <c r="L1061">
        <v>0.63</v>
      </c>
      <c r="M1061" s="11">
        <f t="shared" si="226"/>
        <v>0.63</v>
      </c>
      <c r="N1061" s="5">
        <f t="shared" si="231"/>
        <v>105.92700000000001</v>
      </c>
      <c r="O1061">
        <v>212</v>
      </c>
      <c r="P1061">
        <v>59</v>
      </c>
      <c r="Q1061" s="8">
        <f t="shared" si="232"/>
        <v>59</v>
      </c>
      <c r="R1061" s="8">
        <v>123</v>
      </c>
      <c r="S1061" s="8">
        <f t="shared" si="233"/>
        <v>123</v>
      </c>
      <c r="T1061" s="8">
        <f>(Table1[[#This Row],[Total Cholesterol (mg/dL)]]+Table1[[#This Row],[HDL (mg/dL)2]]+Table1[[#This Row],[Estimated LDL (mg/dL)2]])*5</f>
        <v>1970</v>
      </c>
      <c r="U1061" s="8">
        <f>IF(O1061="",Table1[[#This Row],[Estimated LDL (mg/dL)2]]+Table1[[#This Row],[HDL (mg/dL)2]]+(Table1[[#This Row],[Triglycerides]]/5),O1061)</f>
        <v>212</v>
      </c>
      <c r="V1061">
        <v>98</v>
      </c>
      <c r="W1061" s="8">
        <f t="shared" si="234"/>
        <v>98</v>
      </c>
      <c r="X1061" t="str">
        <f t="shared" si="235"/>
        <v>Normal</v>
      </c>
      <c r="Y1061" t="s">
        <v>22</v>
      </c>
      <c r="Z1061" t="s">
        <v>22</v>
      </c>
      <c r="AA1061" t="s">
        <v>24</v>
      </c>
      <c r="AB1061" s="3" t="s">
        <v>909</v>
      </c>
      <c r="AC1061">
        <v>172</v>
      </c>
      <c r="AD1061" s="3" t="str">
        <f t="shared" si="236"/>
        <v>172</v>
      </c>
      <c r="AE1061">
        <v>77</v>
      </c>
      <c r="AF1061" s="3" t="str">
        <f t="shared" si="237"/>
        <v>77</v>
      </c>
      <c r="AG1061" t="s">
        <v>38</v>
      </c>
      <c r="AH1061" s="3">
        <v>19.459</v>
      </c>
      <c r="AI1061" s="3">
        <f t="shared" si="238"/>
        <v>19.459</v>
      </c>
      <c r="AJ1061" t="s">
        <v>30</v>
      </c>
      <c r="AK1061" t="str">
        <f>PROPER(Table1[[#This Row],[CVD Risk Level]])</f>
        <v>High</v>
      </c>
    </row>
    <row r="1062" spans="1:37" x14ac:dyDescent="0.3">
      <c r="A1062" t="s">
        <v>31</v>
      </c>
      <c r="B1062">
        <v>45</v>
      </c>
      <c r="C1062" s="8">
        <f t="shared" si="227"/>
        <v>45</v>
      </c>
      <c r="D1062" s="5">
        <v>110.392</v>
      </c>
      <c r="E1062" s="8">
        <f t="shared" si="228"/>
        <v>110.392</v>
      </c>
      <c r="F1062">
        <v>1.7050000000000001</v>
      </c>
      <c r="G1062" s="3">
        <f t="shared" si="229"/>
        <v>1.7050000000000001</v>
      </c>
      <c r="H1062">
        <v>34.826000000000001</v>
      </c>
      <c r="I1062" s="5">
        <f t="shared" si="225"/>
        <v>34.826000000000001</v>
      </c>
      <c r="J1062" s="16" t="str">
        <f t="shared" si="230"/>
        <v>Obese</v>
      </c>
      <c r="K1062">
        <v>95.951999999999998</v>
      </c>
      <c r="L1062">
        <v>0.56299999999999994</v>
      </c>
      <c r="M1062" s="11">
        <f t="shared" si="226"/>
        <v>0.56299999999999994</v>
      </c>
      <c r="N1062" s="5">
        <f t="shared" si="231"/>
        <v>95.951999999999998</v>
      </c>
      <c r="O1062">
        <v>276</v>
      </c>
      <c r="P1062">
        <v>56</v>
      </c>
      <c r="Q1062" s="8">
        <f t="shared" si="232"/>
        <v>56</v>
      </c>
      <c r="R1062" s="8">
        <v>190</v>
      </c>
      <c r="S1062" s="8">
        <f t="shared" si="233"/>
        <v>190</v>
      </c>
      <c r="T1062" s="8">
        <f>(Table1[[#This Row],[Total Cholesterol (mg/dL)]]+Table1[[#This Row],[HDL (mg/dL)2]]+Table1[[#This Row],[Estimated LDL (mg/dL)2]])*5</f>
        <v>2610</v>
      </c>
      <c r="U1062" s="8">
        <f>IF(O1062="",Table1[[#This Row],[Estimated LDL (mg/dL)2]]+Table1[[#This Row],[HDL (mg/dL)2]]+(Table1[[#This Row],[Triglycerides]]/5),O1062)</f>
        <v>276</v>
      </c>
      <c r="V1062">
        <v>70</v>
      </c>
      <c r="W1062" s="8">
        <f t="shared" si="234"/>
        <v>70</v>
      </c>
      <c r="X1062" t="str">
        <f t="shared" si="235"/>
        <v>Normal</v>
      </c>
      <c r="Y1062" t="s">
        <v>22</v>
      </c>
      <c r="Z1062" t="s">
        <v>22</v>
      </c>
      <c r="AA1062" t="s">
        <v>24</v>
      </c>
      <c r="AB1062" s="3" t="s">
        <v>910</v>
      </c>
      <c r="AC1062">
        <v>165</v>
      </c>
      <c r="AD1062" s="3" t="str">
        <f t="shared" si="236"/>
        <v>165</v>
      </c>
      <c r="AE1062">
        <v>85</v>
      </c>
      <c r="AF1062" s="3" t="str">
        <f t="shared" si="237"/>
        <v>85</v>
      </c>
      <c r="AG1062" t="s">
        <v>29</v>
      </c>
      <c r="AH1062" s="3">
        <v>20.734999999999999</v>
      </c>
      <c r="AI1062" s="3">
        <f t="shared" si="238"/>
        <v>20.734999999999999</v>
      </c>
      <c r="AJ1062" t="s">
        <v>26</v>
      </c>
      <c r="AK1062" t="str">
        <f>PROPER(Table1[[#This Row],[CVD Risk Level]])</f>
        <v>Intermediary</v>
      </c>
    </row>
    <row r="1063" spans="1:37" x14ac:dyDescent="0.3">
      <c r="A1063" t="s">
        <v>31</v>
      </c>
      <c r="B1063">
        <v>33</v>
      </c>
      <c r="C1063" s="8">
        <f t="shared" si="227"/>
        <v>33</v>
      </c>
      <c r="D1063" s="5">
        <v>73.070999999999998</v>
      </c>
      <c r="E1063" s="8">
        <f t="shared" si="228"/>
        <v>73.070999999999998</v>
      </c>
      <c r="F1063">
        <v>1.6459999999999999</v>
      </c>
      <c r="G1063" s="3">
        <f t="shared" si="229"/>
        <v>1.6459999999999999</v>
      </c>
      <c r="H1063">
        <v>27.373000000000001</v>
      </c>
      <c r="I1063" s="5">
        <f t="shared" si="225"/>
        <v>27.373000000000001</v>
      </c>
      <c r="J1063" s="16" t="str">
        <f t="shared" si="230"/>
        <v>Overweight</v>
      </c>
      <c r="K1063">
        <v>82.346000000000004</v>
      </c>
      <c r="L1063">
        <v>0.5</v>
      </c>
      <c r="M1063" s="11">
        <f t="shared" si="226"/>
        <v>0.5</v>
      </c>
      <c r="N1063" s="5">
        <f t="shared" si="231"/>
        <v>82.346000000000004</v>
      </c>
      <c r="Q1063" s="8">
        <f t="shared" si="232"/>
        <v>56.197377501725327</v>
      </c>
      <c r="R1063" s="8">
        <v>32</v>
      </c>
      <c r="S1063" s="8">
        <f t="shared" si="233"/>
        <v>32</v>
      </c>
      <c r="T1063" s="8">
        <f>(Table1[[#This Row],[Total Cholesterol (mg/dL)]]+Table1[[#This Row],[HDL (mg/dL)2]]+Table1[[#This Row],[Estimated LDL (mg/dL)2]])*5</f>
        <v>440.98688750862664</v>
      </c>
      <c r="U1063" s="8">
        <f>IF(O1063="",Table1[[#This Row],[Estimated LDL (mg/dL)2]]+Table1[[#This Row],[HDL (mg/dL)2]]+(Table1[[#This Row],[Triglycerides]]/5),O1063)</f>
        <v>176.39475500345065</v>
      </c>
      <c r="V1063">
        <v>92</v>
      </c>
      <c r="W1063" s="8">
        <f t="shared" si="234"/>
        <v>92</v>
      </c>
      <c r="X1063" t="str">
        <f t="shared" si="235"/>
        <v>Normal</v>
      </c>
      <c r="Y1063" t="s">
        <v>23</v>
      </c>
      <c r="Z1063" t="s">
        <v>23</v>
      </c>
      <c r="AA1063" t="s">
        <v>28</v>
      </c>
      <c r="AB1063" s="3" t="s">
        <v>911</v>
      </c>
      <c r="AC1063">
        <v>129</v>
      </c>
      <c r="AD1063" s="3" t="str">
        <f t="shared" si="236"/>
        <v>129</v>
      </c>
      <c r="AE1063">
        <v>113</v>
      </c>
      <c r="AF1063" s="3" t="str">
        <f t="shared" si="237"/>
        <v>113</v>
      </c>
      <c r="AG1063" t="s">
        <v>38</v>
      </c>
      <c r="AH1063" s="3">
        <v>16.425000000000001</v>
      </c>
      <c r="AI1063" s="3">
        <f t="shared" si="238"/>
        <v>16.425000000000001</v>
      </c>
      <c r="AJ1063" t="s">
        <v>30</v>
      </c>
      <c r="AK1063" t="str">
        <f>PROPER(Table1[[#This Row],[CVD Risk Level]])</f>
        <v>High</v>
      </c>
    </row>
    <row r="1064" spans="1:37" x14ac:dyDescent="0.3">
      <c r="A1064" t="s">
        <v>20</v>
      </c>
      <c r="B1064">
        <v>57</v>
      </c>
      <c r="C1064" s="8">
        <f t="shared" si="227"/>
        <v>57</v>
      </c>
      <c r="D1064" s="5">
        <v>57.427999999999997</v>
      </c>
      <c r="E1064" s="8">
        <f t="shared" si="228"/>
        <v>57.427999999999997</v>
      </c>
      <c r="F1064">
        <v>1.8109999999999999</v>
      </c>
      <c r="G1064" s="3">
        <f t="shared" si="229"/>
        <v>1.8109999999999999</v>
      </c>
      <c r="H1064">
        <v>36.299999999999997</v>
      </c>
      <c r="I1064" s="5">
        <f t="shared" si="225"/>
        <v>36.299999999999997</v>
      </c>
      <c r="J1064" s="16" t="str">
        <f t="shared" si="230"/>
        <v>Obese</v>
      </c>
      <c r="K1064">
        <v>92.387</v>
      </c>
      <c r="L1064">
        <v>0.51</v>
      </c>
      <c r="M1064" s="11">
        <f t="shared" si="226"/>
        <v>0.51</v>
      </c>
      <c r="N1064" s="5">
        <f t="shared" si="231"/>
        <v>92.387</v>
      </c>
      <c r="O1064">
        <v>203</v>
      </c>
      <c r="Q1064" s="8">
        <f t="shared" si="232"/>
        <v>56.197377501725327</v>
      </c>
      <c r="S1064" s="8">
        <f t="shared" si="233"/>
        <v>109</v>
      </c>
      <c r="T1064" s="8">
        <f>(Table1[[#This Row],[Total Cholesterol (mg/dL)]]+Table1[[#This Row],[HDL (mg/dL)2]]+Table1[[#This Row],[Estimated LDL (mg/dL)2]])*5</f>
        <v>1840.9868875086268</v>
      </c>
      <c r="U1064" s="8">
        <f>IF(O1064="",Table1[[#This Row],[Estimated LDL (mg/dL)2]]+Table1[[#This Row],[HDL (mg/dL)2]]+(Table1[[#This Row],[Triglycerides]]/5),O1064)</f>
        <v>203</v>
      </c>
      <c r="V1064">
        <v>161</v>
      </c>
      <c r="W1064" s="8">
        <f t="shared" si="234"/>
        <v>161</v>
      </c>
      <c r="X1064" t="str">
        <f t="shared" si="235"/>
        <v>Diabetes</v>
      </c>
      <c r="Y1064" t="s">
        <v>23</v>
      </c>
      <c r="Z1064" t="s">
        <v>23</v>
      </c>
      <c r="AA1064" t="s">
        <v>28</v>
      </c>
      <c r="AB1064" s="3" t="s">
        <v>912</v>
      </c>
      <c r="AC1064">
        <v>126</v>
      </c>
      <c r="AD1064" s="3" t="str">
        <f t="shared" si="236"/>
        <v>126</v>
      </c>
      <c r="AE1064">
        <v>61</v>
      </c>
      <c r="AF1064" s="3" t="str">
        <f t="shared" si="237"/>
        <v>61</v>
      </c>
      <c r="AG1064" t="s">
        <v>25</v>
      </c>
      <c r="AH1064" s="3">
        <v>19.62</v>
      </c>
      <c r="AI1064" s="3">
        <f t="shared" si="238"/>
        <v>19.62</v>
      </c>
      <c r="AJ1064" t="s">
        <v>30</v>
      </c>
      <c r="AK1064" t="str">
        <f>PROPER(Table1[[#This Row],[CVD Risk Level]])</f>
        <v>High</v>
      </c>
    </row>
    <row r="1065" spans="1:37" x14ac:dyDescent="0.3">
      <c r="A1065" t="s">
        <v>20</v>
      </c>
      <c r="B1065">
        <v>53</v>
      </c>
      <c r="C1065" s="8">
        <f t="shared" si="227"/>
        <v>53</v>
      </c>
      <c r="D1065" s="5">
        <v>96.331999999999994</v>
      </c>
      <c r="E1065" s="8">
        <f t="shared" si="228"/>
        <v>96.331999999999994</v>
      </c>
      <c r="F1065">
        <v>1.6739999999999999</v>
      </c>
      <c r="G1065" s="3">
        <f t="shared" si="229"/>
        <v>1.6739999999999999</v>
      </c>
      <c r="H1065">
        <v>38.898000000000003</v>
      </c>
      <c r="I1065" s="5">
        <f t="shared" si="225"/>
        <v>38.898000000000003</v>
      </c>
      <c r="J1065" s="16" t="str">
        <f t="shared" si="230"/>
        <v>Obese</v>
      </c>
      <c r="K1065">
        <v>103.991</v>
      </c>
      <c r="L1065">
        <v>0.621</v>
      </c>
      <c r="M1065" s="11">
        <f t="shared" si="226"/>
        <v>0.621</v>
      </c>
      <c r="N1065" s="5">
        <f t="shared" si="231"/>
        <v>103.991</v>
      </c>
      <c r="O1065">
        <v>212</v>
      </c>
      <c r="P1065">
        <v>35</v>
      </c>
      <c r="Q1065" s="8">
        <f t="shared" si="232"/>
        <v>35</v>
      </c>
      <c r="R1065" s="8">
        <v>147</v>
      </c>
      <c r="S1065" s="8">
        <f t="shared" si="233"/>
        <v>147</v>
      </c>
      <c r="T1065" s="8">
        <f>(Table1[[#This Row],[Total Cholesterol (mg/dL)]]+Table1[[#This Row],[HDL (mg/dL)2]]+Table1[[#This Row],[Estimated LDL (mg/dL)2]])*5</f>
        <v>1970</v>
      </c>
      <c r="U1065" s="8">
        <f>IF(O1065="",Table1[[#This Row],[Estimated LDL (mg/dL)2]]+Table1[[#This Row],[HDL (mg/dL)2]]+(Table1[[#This Row],[Triglycerides]]/5),O1065)</f>
        <v>212</v>
      </c>
      <c r="V1065">
        <v>96</v>
      </c>
      <c r="W1065" s="8">
        <f t="shared" si="234"/>
        <v>96</v>
      </c>
      <c r="X1065" t="str">
        <f t="shared" si="235"/>
        <v>Normal</v>
      </c>
      <c r="Y1065" t="s">
        <v>23</v>
      </c>
      <c r="Z1065" t="s">
        <v>23</v>
      </c>
      <c r="AA1065" t="s">
        <v>28</v>
      </c>
      <c r="AB1065" s="3" t="s">
        <v>913</v>
      </c>
      <c r="AD1065" s="3" t="str">
        <f t="shared" si="236"/>
        <v>179</v>
      </c>
      <c r="AE1065">
        <v>90</v>
      </c>
      <c r="AF1065" s="3" t="str">
        <f t="shared" si="237"/>
        <v>90</v>
      </c>
      <c r="AG1065" t="s">
        <v>38</v>
      </c>
      <c r="AH1065" s="3">
        <v>22.97</v>
      </c>
      <c r="AI1065" s="3">
        <f t="shared" si="238"/>
        <v>22.97</v>
      </c>
      <c r="AJ1065" t="s">
        <v>26</v>
      </c>
      <c r="AK1065" t="str">
        <f>PROPER(Table1[[#This Row],[CVD Risk Level]])</f>
        <v>Intermediary</v>
      </c>
    </row>
    <row r="1066" spans="1:37" x14ac:dyDescent="0.3">
      <c r="A1066" t="s">
        <v>20</v>
      </c>
      <c r="B1066">
        <v>47</v>
      </c>
      <c r="C1066" s="8">
        <f t="shared" si="227"/>
        <v>47</v>
      </c>
      <c r="D1066" s="5">
        <v>83.534000000000006</v>
      </c>
      <c r="E1066" s="8">
        <f t="shared" si="228"/>
        <v>83.534000000000006</v>
      </c>
      <c r="F1066">
        <v>1.89</v>
      </c>
      <c r="G1066" s="3">
        <f t="shared" si="229"/>
        <v>1.89</v>
      </c>
      <c r="H1066">
        <v>38.703000000000003</v>
      </c>
      <c r="I1066" s="5">
        <f t="shared" si="225"/>
        <v>38.703000000000003</v>
      </c>
      <c r="J1066" s="16" t="str">
        <f t="shared" si="230"/>
        <v>Obese</v>
      </c>
      <c r="K1066">
        <v>113.907</v>
      </c>
      <c r="L1066">
        <v>0.60299999999999998</v>
      </c>
      <c r="M1066" s="11">
        <f t="shared" si="226"/>
        <v>0.60299999999999998</v>
      </c>
      <c r="N1066" s="5">
        <f t="shared" si="231"/>
        <v>113.907</v>
      </c>
      <c r="O1066">
        <v>255</v>
      </c>
      <c r="P1066">
        <v>47</v>
      </c>
      <c r="Q1066" s="8">
        <f t="shared" si="232"/>
        <v>47</v>
      </c>
      <c r="R1066" s="8">
        <v>178</v>
      </c>
      <c r="S1066" s="8">
        <f t="shared" si="233"/>
        <v>178</v>
      </c>
      <c r="T1066" s="8">
        <f>(Table1[[#This Row],[Total Cholesterol (mg/dL)]]+Table1[[#This Row],[HDL (mg/dL)2]]+Table1[[#This Row],[Estimated LDL (mg/dL)2]])*5</f>
        <v>2400</v>
      </c>
      <c r="U1066" s="8">
        <f>IF(O1066="",Table1[[#This Row],[Estimated LDL (mg/dL)2]]+Table1[[#This Row],[HDL (mg/dL)2]]+(Table1[[#This Row],[Triglycerides]]/5),O1066)</f>
        <v>255</v>
      </c>
      <c r="V1066">
        <v>173</v>
      </c>
      <c r="W1066" s="8">
        <f t="shared" si="234"/>
        <v>173</v>
      </c>
      <c r="X1066" t="str">
        <f t="shared" si="235"/>
        <v>Diabetes</v>
      </c>
      <c r="Y1066" t="s">
        <v>23</v>
      </c>
      <c r="Z1066" t="s">
        <v>22</v>
      </c>
      <c r="AA1066" t="s">
        <v>28</v>
      </c>
      <c r="AB1066" s="3" t="s">
        <v>914</v>
      </c>
      <c r="AC1066">
        <v>171</v>
      </c>
      <c r="AD1066" s="3" t="str">
        <f t="shared" si="236"/>
        <v>171</v>
      </c>
      <c r="AE1066">
        <v>113</v>
      </c>
      <c r="AF1066" s="3" t="str">
        <f t="shared" si="237"/>
        <v>113</v>
      </c>
      <c r="AG1066" t="s">
        <v>38</v>
      </c>
      <c r="AH1066" s="3">
        <v>21.390999999999998</v>
      </c>
      <c r="AI1066" s="3">
        <f t="shared" si="238"/>
        <v>21.390999999999998</v>
      </c>
      <c r="AJ1066" t="s">
        <v>26</v>
      </c>
      <c r="AK1066" t="str">
        <f>PROPER(Table1[[#This Row],[CVD Risk Level]])</f>
        <v>Intermediary</v>
      </c>
    </row>
    <row r="1067" spans="1:37" x14ac:dyDescent="0.3">
      <c r="A1067" t="s">
        <v>20</v>
      </c>
      <c r="B1067">
        <v>67</v>
      </c>
      <c r="C1067" s="8">
        <f t="shared" si="227"/>
        <v>67</v>
      </c>
      <c r="D1067" s="5">
        <v>79.489000000000004</v>
      </c>
      <c r="E1067" s="8">
        <f t="shared" si="228"/>
        <v>79.489000000000004</v>
      </c>
      <c r="F1067">
        <v>1.879</v>
      </c>
      <c r="G1067" s="3">
        <f t="shared" si="229"/>
        <v>1.879</v>
      </c>
      <c r="H1067">
        <v>28.065999999999999</v>
      </c>
      <c r="I1067" s="5">
        <f t="shared" si="225"/>
        <v>28.065999999999999</v>
      </c>
      <c r="J1067" s="16" t="str">
        <f t="shared" si="230"/>
        <v>Overweight</v>
      </c>
      <c r="K1067">
        <v>81.173000000000002</v>
      </c>
      <c r="L1067">
        <v>0.432</v>
      </c>
      <c r="M1067" s="11">
        <f t="shared" si="226"/>
        <v>0.432</v>
      </c>
      <c r="N1067" s="5">
        <f t="shared" si="231"/>
        <v>81.173000000000002</v>
      </c>
      <c r="O1067">
        <v>229</v>
      </c>
      <c r="P1067">
        <v>70</v>
      </c>
      <c r="Q1067" s="8">
        <f t="shared" si="232"/>
        <v>70</v>
      </c>
      <c r="R1067" s="8">
        <v>129</v>
      </c>
      <c r="S1067" s="8">
        <f t="shared" si="233"/>
        <v>129</v>
      </c>
      <c r="T1067" s="8">
        <f>(Table1[[#This Row],[Total Cholesterol (mg/dL)]]+Table1[[#This Row],[HDL (mg/dL)2]]+Table1[[#This Row],[Estimated LDL (mg/dL)2]])*5</f>
        <v>2140</v>
      </c>
      <c r="U1067" s="8">
        <f>IF(O1067="",Table1[[#This Row],[Estimated LDL (mg/dL)2]]+Table1[[#This Row],[HDL (mg/dL)2]]+(Table1[[#This Row],[Triglycerides]]/5),O1067)</f>
        <v>229</v>
      </c>
      <c r="V1067">
        <v>136</v>
      </c>
      <c r="W1067" s="8">
        <f t="shared" si="234"/>
        <v>136</v>
      </c>
      <c r="X1067" t="str">
        <f t="shared" si="235"/>
        <v>Diabetes</v>
      </c>
      <c r="Y1067" t="s">
        <v>22</v>
      </c>
      <c r="Z1067" t="s">
        <v>22</v>
      </c>
      <c r="AA1067" t="s">
        <v>37</v>
      </c>
      <c r="AB1067" s="3" t="s">
        <v>915</v>
      </c>
      <c r="AC1067">
        <v>162</v>
      </c>
      <c r="AD1067" s="3" t="str">
        <f t="shared" si="236"/>
        <v>162</v>
      </c>
      <c r="AE1067">
        <v>117</v>
      </c>
      <c r="AF1067" s="3" t="str">
        <f t="shared" si="237"/>
        <v>117</v>
      </c>
      <c r="AG1067" t="s">
        <v>38</v>
      </c>
      <c r="AH1067" s="3">
        <v>18.292999999999999</v>
      </c>
      <c r="AI1067" s="3">
        <f t="shared" si="238"/>
        <v>18.292999999999999</v>
      </c>
      <c r="AJ1067" t="s">
        <v>52</v>
      </c>
      <c r="AK1067" t="str">
        <f>PROPER(Table1[[#This Row],[CVD Risk Level]])</f>
        <v>Low</v>
      </c>
    </row>
    <row r="1068" spans="1:37" x14ac:dyDescent="0.3">
      <c r="A1068" t="s">
        <v>20</v>
      </c>
      <c r="B1068">
        <v>33</v>
      </c>
      <c r="C1068" s="8">
        <f t="shared" si="227"/>
        <v>33</v>
      </c>
      <c r="D1068" s="5">
        <v>105.351</v>
      </c>
      <c r="E1068" s="8">
        <f t="shared" si="228"/>
        <v>105.351</v>
      </c>
      <c r="F1068">
        <v>1.68</v>
      </c>
      <c r="G1068" s="3">
        <f t="shared" si="229"/>
        <v>1.68</v>
      </c>
      <c r="H1068">
        <v>28.038</v>
      </c>
      <c r="I1068" s="5">
        <f t="shared" si="225"/>
        <v>28.038</v>
      </c>
      <c r="J1068" s="16" t="str">
        <f t="shared" si="230"/>
        <v>Overweight</v>
      </c>
      <c r="K1068">
        <v>109.807</v>
      </c>
      <c r="L1068">
        <v>0.65400000000000003</v>
      </c>
      <c r="M1068" s="11">
        <f t="shared" si="226"/>
        <v>0.65400000000000003</v>
      </c>
      <c r="N1068" s="5">
        <f t="shared" si="231"/>
        <v>109.807</v>
      </c>
      <c r="O1068">
        <v>288</v>
      </c>
      <c r="P1068">
        <v>48</v>
      </c>
      <c r="Q1068" s="8">
        <f t="shared" si="232"/>
        <v>48</v>
      </c>
      <c r="R1068" s="8">
        <v>210</v>
      </c>
      <c r="S1068" s="8">
        <f t="shared" si="233"/>
        <v>210</v>
      </c>
      <c r="T1068" s="8">
        <f>(Table1[[#This Row],[Total Cholesterol (mg/dL)]]+Table1[[#This Row],[HDL (mg/dL)2]]+Table1[[#This Row],[Estimated LDL (mg/dL)2]])*5</f>
        <v>2730</v>
      </c>
      <c r="U1068" s="8">
        <f>IF(O1068="",Table1[[#This Row],[Estimated LDL (mg/dL)2]]+Table1[[#This Row],[HDL (mg/dL)2]]+(Table1[[#This Row],[Triglycerides]]/5),O1068)</f>
        <v>288</v>
      </c>
      <c r="V1068">
        <v>161</v>
      </c>
      <c r="W1068" s="8">
        <f t="shared" si="234"/>
        <v>161</v>
      </c>
      <c r="X1068" t="str">
        <f t="shared" si="235"/>
        <v>Diabetes</v>
      </c>
      <c r="Y1068" t="s">
        <v>23</v>
      </c>
      <c r="Z1068" t="s">
        <v>23</v>
      </c>
      <c r="AA1068" t="s">
        <v>28</v>
      </c>
      <c r="AB1068" s="3" t="s">
        <v>568</v>
      </c>
      <c r="AC1068">
        <v>146</v>
      </c>
      <c r="AD1068" s="3" t="str">
        <f t="shared" si="236"/>
        <v>146</v>
      </c>
      <c r="AE1068">
        <v>91</v>
      </c>
      <c r="AF1068" s="3" t="str">
        <f t="shared" si="237"/>
        <v>91</v>
      </c>
      <c r="AG1068" t="s">
        <v>38</v>
      </c>
      <c r="AH1068" s="3">
        <v>20.667999999999999</v>
      </c>
      <c r="AI1068" s="3">
        <f t="shared" si="238"/>
        <v>20.667999999999999</v>
      </c>
      <c r="AJ1068" t="s">
        <v>52</v>
      </c>
      <c r="AK1068" t="str">
        <f>PROPER(Table1[[#This Row],[CVD Risk Level]])</f>
        <v>Low</v>
      </c>
    </row>
    <row r="1069" spans="1:37" x14ac:dyDescent="0.3">
      <c r="A1069" t="s">
        <v>20</v>
      </c>
      <c r="B1069">
        <v>64</v>
      </c>
      <c r="C1069" s="8">
        <f t="shared" si="227"/>
        <v>64</v>
      </c>
      <c r="D1069" s="5">
        <v>67.144000000000005</v>
      </c>
      <c r="E1069" s="8">
        <f t="shared" si="228"/>
        <v>67.144000000000005</v>
      </c>
      <c r="F1069">
        <v>1.532</v>
      </c>
      <c r="G1069" s="3">
        <f t="shared" si="229"/>
        <v>1.532</v>
      </c>
      <c r="H1069">
        <v>22.811</v>
      </c>
      <c r="I1069" s="5">
        <f t="shared" si="225"/>
        <v>22.811</v>
      </c>
      <c r="J1069" s="16" t="str">
        <f t="shared" si="230"/>
        <v>Normal</v>
      </c>
      <c r="K1069">
        <v>99.79</v>
      </c>
      <c r="L1069">
        <v>0.65100000000000002</v>
      </c>
      <c r="M1069" s="11">
        <f t="shared" si="226"/>
        <v>0.65100000000000002</v>
      </c>
      <c r="N1069" s="5">
        <f t="shared" si="231"/>
        <v>99.79</v>
      </c>
      <c r="O1069">
        <v>260</v>
      </c>
      <c r="P1069">
        <v>59</v>
      </c>
      <c r="Q1069" s="8">
        <f t="shared" si="232"/>
        <v>59</v>
      </c>
      <c r="R1069" s="8">
        <v>171</v>
      </c>
      <c r="S1069" s="8">
        <f t="shared" si="233"/>
        <v>171</v>
      </c>
      <c r="T1069" s="8">
        <f>(Table1[[#This Row],[Total Cholesterol (mg/dL)]]+Table1[[#This Row],[HDL (mg/dL)2]]+Table1[[#This Row],[Estimated LDL (mg/dL)2]])*5</f>
        <v>2450</v>
      </c>
      <c r="U1069" s="8">
        <f>IF(O1069="",Table1[[#This Row],[Estimated LDL (mg/dL)2]]+Table1[[#This Row],[HDL (mg/dL)2]]+(Table1[[#This Row],[Triglycerides]]/5),O1069)</f>
        <v>260</v>
      </c>
      <c r="V1069">
        <v>106</v>
      </c>
      <c r="W1069" s="8">
        <f t="shared" si="234"/>
        <v>106</v>
      </c>
      <c r="X1069" t="str">
        <f t="shared" si="235"/>
        <v>Prediabetes</v>
      </c>
      <c r="Y1069" t="s">
        <v>22</v>
      </c>
      <c r="Z1069" t="s">
        <v>22</v>
      </c>
      <c r="AA1069" t="s">
        <v>28</v>
      </c>
      <c r="AB1069" s="3" t="s">
        <v>756</v>
      </c>
      <c r="AC1069">
        <v>127</v>
      </c>
      <c r="AD1069" s="3" t="str">
        <f t="shared" si="236"/>
        <v>127</v>
      </c>
      <c r="AE1069">
        <v>99</v>
      </c>
      <c r="AF1069" s="3" t="str">
        <f t="shared" si="237"/>
        <v>99</v>
      </c>
      <c r="AG1069" t="s">
        <v>38</v>
      </c>
      <c r="AH1069" s="3">
        <v>16.111999999999998</v>
      </c>
      <c r="AI1069" s="3">
        <f t="shared" si="238"/>
        <v>16.111999999999998</v>
      </c>
      <c r="AJ1069" t="s">
        <v>30</v>
      </c>
      <c r="AK1069" t="str">
        <f>PROPER(Table1[[#This Row],[CVD Risk Level]])</f>
        <v>High</v>
      </c>
    </row>
    <row r="1070" spans="1:37" x14ac:dyDescent="0.3">
      <c r="A1070" t="s">
        <v>20</v>
      </c>
      <c r="B1070">
        <v>76</v>
      </c>
      <c r="C1070" s="8">
        <f t="shared" si="227"/>
        <v>76</v>
      </c>
      <c r="D1070" s="5">
        <v>99.191000000000003</v>
      </c>
      <c r="E1070" s="8">
        <f t="shared" si="228"/>
        <v>99.191000000000003</v>
      </c>
      <c r="F1070">
        <v>1.738</v>
      </c>
      <c r="G1070" s="3">
        <f t="shared" si="229"/>
        <v>1.738</v>
      </c>
      <c r="I1070" s="5">
        <f t="shared" si="225"/>
        <v>32.837699510435527</v>
      </c>
      <c r="J1070" s="16" t="str">
        <f t="shared" si="230"/>
        <v>Obese</v>
      </c>
      <c r="K1070">
        <v>80.861999999999995</v>
      </c>
      <c r="L1070">
        <v>0.46500000000000002</v>
      </c>
      <c r="M1070" s="11">
        <f t="shared" si="226"/>
        <v>0.46500000000000002</v>
      </c>
      <c r="N1070" s="5">
        <f t="shared" si="231"/>
        <v>80.861999999999995</v>
      </c>
      <c r="O1070">
        <v>212</v>
      </c>
      <c r="P1070">
        <v>66</v>
      </c>
      <c r="Q1070" s="8">
        <f t="shared" si="232"/>
        <v>66</v>
      </c>
      <c r="R1070" s="8">
        <v>116</v>
      </c>
      <c r="S1070" s="8">
        <f t="shared" si="233"/>
        <v>116</v>
      </c>
      <c r="T1070" s="8">
        <f>(Table1[[#This Row],[Total Cholesterol (mg/dL)]]+Table1[[#This Row],[HDL (mg/dL)2]]+Table1[[#This Row],[Estimated LDL (mg/dL)2]])*5</f>
        <v>1970</v>
      </c>
      <c r="U1070" s="8">
        <f>IF(O1070="",Table1[[#This Row],[Estimated LDL (mg/dL)2]]+Table1[[#This Row],[HDL (mg/dL)2]]+(Table1[[#This Row],[Triglycerides]]/5),O1070)</f>
        <v>212</v>
      </c>
      <c r="V1070">
        <v>178</v>
      </c>
      <c r="W1070" s="8">
        <f t="shared" si="234"/>
        <v>178</v>
      </c>
      <c r="X1070" t="str">
        <f t="shared" si="235"/>
        <v>Diabetes</v>
      </c>
      <c r="Y1070" t="s">
        <v>22</v>
      </c>
      <c r="Z1070" t="s">
        <v>23</v>
      </c>
      <c r="AA1070" t="s">
        <v>24</v>
      </c>
      <c r="AB1070" s="3" t="s">
        <v>916</v>
      </c>
      <c r="AC1070">
        <v>102</v>
      </c>
      <c r="AD1070" s="3" t="str">
        <f t="shared" si="236"/>
        <v>102</v>
      </c>
      <c r="AE1070">
        <v>70</v>
      </c>
      <c r="AF1070" s="3" t="str">
        <f t="shared" si="237"/>
        <v>70</v>
      </c>
      <c r="AG1070" t="s">
        <v>33</v>
      </c>
      <c r="AH1070" s="3">
        <v>18.044</v>
      </c>
      <c r="AI1070" s="3">
        <f t="shared" si="238"/>
        <v>18.044</v>
      </c>
      <c r="AJ1070" t="s">
        <v>26</v>
      </c>
      <c r="AK1070" t="str">
        <f>PROPER(Table1[[#This Row],[CVD Risk Level]])</f>
        <v>Intermediary</v>
      </c>
    </row>
    <row r="1071" spans="1:37" x14ac:dyDescent="0.3">
      <c r="A1071" t="s">
        <v>31</v>
      </c>
      <c r="B1071">
        <v>44</v>
      </c>
      <c r="C1071" s="8">
        <f t="shared" si="227"/>
        <v>44</v>
      </c>
      <c r="D1071" s="5">
        <v>104.303</v>
      </c>
      <c r="E1071" s="8">
        <f t="shared" si="228"/>
        <v>104.303</v>
      </c>
      <c r="F1071">
        <v>1.8959999999999999</v>
      </c>
      <c r="G1071" s="3">
        <f t="shared" si="229"/>
        <v>1.8959999999999999</v>
      </c>
      <c r="H1071">
        <v>33.274000000000001</v>
      </c>
      <c r="I1071" s="5">
        <f t="shared" si="225"/>
        <v>33.274000000000001</v>
      </c>
      <c r="J1071" s="16" t="str">
        <f t="shared" si="230"/>
        <v>Obese</v>
      </c>
      <c r="K1071">
        <v>90.572000000000003</v>
      </c>
      <c r="L1071">
        <v>0.47799999999999998</v>
      </c>
      <c r="M1071" s="11">
        <f t="shared" si="226"/>
        <v>0.47799999999999998</v>
      </c>
      <c r="N1071" s="5">
        <f t="shared" si="231"/>
        <v>90.572000000000003</v>
      </c>
      <c r="O1071">
        <v>117</v>
      </c>
      <c r="P1071">
        <v>43</v>
      </c>
      <c r="Q1071" s="8">
        <f t="shared" si="232"/>
        <v>43</v>
      </c>
      <c r="R1071" s="8">
        <v>44</v>
      </c>
      <c r="S1071" s="8">
        <f t="shared" si="233"/>
        <v>44</v>
      </c>
      <c r="T1071" s="8">
        <f>(Table1[[#This Row],[Total Cholesterol (mg/dL)]]+Table1[[#This Row],[HDL (mg/dL)2]]+Table1[[#This Row],[Estimated LDL (mg/dL)2]])*5</f>
        <v>1020</v>
      </c>
      <c r="U1071" s="8">
        <f>IF(O1071="",Table1[[#This Row],[Estimated LDL (mg/dL)2]]+Table1[[#This Row],[HDL (mg/dL)2]]+(Table1[[#This Row],[Triglycerides]]/5),O1071)</f>
        <v>117</v>
      </c>
      <c r="V1071">
        <v>170</v>
      </c>
      <c r="W1071" s="8">
        <f t="shared" si="234"/>
        <v>170</v>
      </c>
      <c r="X1071" t="str">
        <f t="shared" si="235"/>
        <v>Diabetes</v>
      </c>
      <c r="Y1071" t="s">
        <v>23</v>
      </c>
      <c r="Z1071" t="s">
        <v>22</v>
      </c>
      <c r="AA1071" t="s">
        <v>28</v>
      </c>
      <c r="AB1071" s="3" t="s">
        <v>917</v>
      </c>
      <c r="AC1071">
        <v>108</v>
      </c>
      <c r="AD1071" s="3" t="str">
        <f t="shared" si="236"/>
        <v>108</v>
      </c>
      <c r="AE1071">
        <v>84</v>
      </c>
      <c r="AF1071" s="3" t="str">
        <f t="shared" si="237"/>
        <v>84</v>
      </c>
      <c r="AG1071" t="s">
        <v>29</v>
      </c>
      <c r="AH1071" s="3">
        <v>14.395</v>
      </c>
      <c r="AI1071" s="3">
        <f t="shared" si="238"/>
        <v>14.395</v>
      </c>
      <c r="AJ1071" t="s">
        <v>30</v>
      </c>
      <c r="AK1071" t="str">
        <f>PROPER(Table1[[#This Row],[CVD Risk Level]])</f>
        <v>High</v>
      </c>
    </row>
    <row r="1072" spans="1:37" x14ac:dyDescent="0.3">
      <c r="A1072" t="s">
        <v>20</v>
      </c>
      <c r="B1072">
        <v>30</v>
      </c>
      <c r="C1072" s="8">
        <f t="shared" si="227"/>
        <v>30</v>
      </c>
      <c r="D1072" s="5">
        <v>74.353999999999999</v>
      </c>
      <c r="E1072" s="8">
        <f t="shared" si="228"/>
        <v>74.353999999999999</v>
      </c>
      <c r="G1072" s="3">
        <f t="shared" si="229"/>
        <v>1.6782250724915875</v>
      </c>
      <c r="H1072">
        <v>26.4</v>
      </c>
      <c r="I1072" s="5">
        <f t="shared" si="225"/>
        <v>26.4</v>
      </c>
      <c r="J1072" s="16" t="str">
        <f t="shared" si="230"/>
        <v>Overweight</v>
      </c>
      <c r="K1072">
        <v>96.936000000000007</v>
      </c>
      <c r="L1072">
        <v>0.54200000000000004</v>
      </c>
      <c r="M1072" s="11">
        <f t="shared" si="226"/>
        <v>0.54200000000000004</v>
      </c>
      <c r="N1072" s="5">
        <f t="shared" si="231"/>
        <v>96.936000000000007</v>
      </c>
      <c r="O1072">
        <v>160</v>
      </c>
      <c r="P1072">
        <v>37</v>
      </c>
      <c r="Q1072" s="8">
        <f t="shared" si="232"/>
        <v>37</v>
      </c>
      <c r="R1072" s="8">
        <v>93</v>
      </c>
      <c r="S1072" s="8">
        <f t="shared" si="233"/>
        <v>93</v>
      </c>
      <c r="T1072" s="8">
        <f>(Table1[[#This Row],[Total Cholesterol (mg/dL)]]+Table1[[#This Row],[HDL (mg/dL)2]]+Table1[[#This Row],[Estimated LDL (mg/dL)2]])*5</f>
        <v>1450</v>
      </c>
      <c r="U1072" s="8">
        <f>IF(O1072="",Table1[[#This Row],[Estimated LDL (mg/dL)2]]+Table1[[#This Row],[HDL (mg/dL)2]]+(Table1[[#This Row],[Triglycerides]]/5),O1072)</f>
        <v>160</v>
      </c>
      <c r="W1072" s="8">
        <f t="shared" si="234"/>
        <v>117.48563611491107</v>
      </c>
      <c r="X1072" t="str">
        <f t="shared" si="235"/>
        <v>Prediabetes</v>
      </c>
      <c r="Y1072" t="s">
        <v>23</v>
      </c>
      <c r="Z1072" t="s">
        <v>23</v>
      </c>
      <c r="AA1072" t="s">
        <v>37</v>
      </c>
      <c r="AB1072" s="3" t="s">
        <v>209</v>
      </c>
      <c r="AC1072">
        <v>102</v>
      </c>
      <c r="AD1072" s="3" t="str">
        <f t="shared" si="236"/>
        <v>102</v>
      </c>
      <c r="AE1072">
        <v>60</v>
      </c>
      <c r="AF1072" s="3" t="str">
        <f t="shared" si="237"/>
        <v>60</v>
      </c>
      <c r="AG1072" t="s">
        <v>33</v>
      </c>
      <c r="AH1072" s="3">
        <v>15.58</v>
      </c>
      <c r="AI1072" s="3">
        <f t="shared" si="238"/>
        <v>15.58</v>
      </c>
      <c r="AJ1072" t="s">
        <v>52</v>
      </c>
      <c r="AK1072" t="str">
        <f>PROPER(Table1[[#This Row],[CVD Risk Level]])</f>
        <v>Low</v>
      </c>
    </row>
    <row r="1073" spans="1:37" x14ac:dyDescent="0.3">
      <c r="A1073" t="s">
        <v>20</v>
      </c>
      <c r="B1073">
        <v>51</v>
      </c>
      <c r="C1073" s="8">
        <f t="shared" si="227"/>
        <v>51</v>
      </c>
      <c r="D1073" s="5">
        <v>70.213999999999999</v>
      </c>
      <c r="E1073" s="8">
        <f t="shared" si="228"/>
        <v>70.213999999999999</v>
      </c>
      <c r="F1073">
        <v>1.599</v>
      </c>
      <c r="G1073" s="3">
        <f t="shared" si="229"/>
        <v>1.599</v>
      </c>
      <c r="H1073">
        <v>21.675999999999998</v>
      </c>
      <c r="I1073" s="5">
        <f t="shared" si="225"/>
        <v>21.675999999999998</v>
      </c>
      <c r="J1073" s="16" t="str">
        <f t="shared" si="230"/>
        <v>Normal</v>
      </c>
      <c r="K1073">
        <v>77.685000000000002</v>
      </c>
      <c r="M1073" s="11">
        <f t="shared" si="226"/>
        <v>0.48583489681050657</v>
      </c>
      <c r="N1073" s="5">
        <f t="shared" si="231"/>
        <v>77.685000000000002</v>
      </c>
      <c r="O1073">
        <v>137</v>
      </c>
      <c r="P1073">
        <v>75</v>
      </c>
      <c r="Q1073" s="8">
        <f t="shared" si="232"/>
        <v>75</v>
      </c>
      <c r="R1073" s="8">
        <v>32</v>
      </c>
      <c r="S1073" s="8">
        <f t="shared" si="233"/>
        <v>32</v>
      </c>
      <c r="T1073" s="8">
        <f>(Table1[[#This Row],[Total Cholesterol (mg/dL)]]+Table1[[#This Row],[HDL (mg/dL)2]]+Table1[[#This Row],[Estimated LDL (mg/dL)2]])*5</f>
        <v>1220</v>
      </c>
      <c r="U1073" s="8">
        <f>IF(O1073="",Table1[[#This Row],[Estimated LDL (mg/dL)2]]+Table1[[#This Row],[HDL (mg/dL)2]]+(Table1[[#This Row],[Triglycerides]]/5),O1073)</f>
        <v>137</v>
      </c>
      <c r="V1073">
        <v>79</v>
      </c>
      <c r="W1073" s="8">
        <f t="shared" si="234"/>
        <v>79</v>
      </c>
      <c r="X1073" t="str">
        <f t="shared" si="235"/>
        <v>Normal</v>
      </c>
      <c r="Y1073" t="s">
        <v>23</v>
      </c>
      <c r="Z1073" t="s">
        <v>23</v>
      </c>
      <c r="AA1073" t="s">
        <v>37</v>
      </c>
      <c r="AB1073" s="3" t="s">
        <v>918</v>
      </c>
      <c r="AC1073">
        <v>127</v>
      </c>
      <c r="AD1073" s="3" t="str">
        <f t="shared" si="236"/>
        <v>127</v>
      </c>
      <c r="AE1073">
        <v>106</v>
      </c>
      <c r="AF1073" s="3" t="str">
        <f t="shared" si="237"/>
        <v>106</v>
      </c>
      <c r="AG1073" t="s">
        <v>38</v>
      </c>
      <c r="AH1073" s="3">
        <v>15.425000000000001</v>
      </c>
      <c r="AI1073" s="3">
        <f t="shared" si="238"/>
        <v>15.425000000000001</v>
      </c>
      <c r="AJ1073" t="s">
        <v>26</v>
      </c>
      <c r="AK1073" t="str">
        <f>PROPER(Table1[[#This Row],[CVD Risk Level]])</f>
        <v>Intermediary</v>
      </c>
    </row>
    <row r="1074" spans="1:37" x14ac:dyDescent="0.3">
      <c r="A1074" t="s">
        <v>31</v>
      </c>
      <c r="B1074">
        <v>72</v>
      </c>
      <c r="C1074" s="8">
        <f t="shared" si="227"/>
        <v>72</v>
      </c>
      <c r="D1074" s="5">
        <v>60.783000000000001</v>
      </c>
      <c r="E1074" s="8">
        <f t="shared" si="228"/>
        <v>60.783000000000001</v>
      </c>
      <c r="F1074">
        <v>1.556</v>
      </c>
      <c r="G1074" s="3">
        <f t="shared" si="229"/>
        <v>1.556</v>
      </c>
      <c r="H1074">
        <v>21.14</v>
      </c>
      <c r="I1074" s="5">
        <f t="shared" si="225"/>
        <v>21.14</v>
      </c>
      <c r="J1074" s="16" t="str">
        <f t="shared" si="230"/>
        <v>Normal</v>
      </c>
      <c r="K1074">
        <v>112.63</v>
      </c>
      <c r="L1074">
        <v>0.72399999999999998</v>
      </c>
      <c r="M1074" s="11">
        <f t="shared" si="226"/>
        <v>0.72399999999999998</v>
      </c>
      <c r="N1074" s="5">
        <f t="shared" si="231"/>
        <v>112.63</v>
      </c>
      <c r="O1074">
        <v>124</v>
      </c>
      <c r="P1074">
        <v>37</v>
      </c>
      <c r="Q1074" s="8">
        <f t="shared" si="232"/>
        <v>37</v>
      </c>
      <c r="R1074" s="8">
        <v>57</v>
      </c>
      <c r="S1074" s="8">
        <f t="shared" si="233"/>
        <v>57</v>
      </c>
      <c r="T1074" s="8">
        <f>(Table1[[#This Row],[Total Cholesterol (mg/dL)]]+Table1[[#This Row],[HDL (mg/dL)2]]+Table1[[#This Row],[Estimated LDL (mg/dL)2]])*5</f>
        <v>1090</v>
      </c>
      <c r="U1074" s="8">
        <f>IF(O1074="",Table1[[#This Row],[Estimated LDL (mg/dL)2]]+Table1[[#This Row],[HDL (mg/dL)2]]+(Table1[[#This Row],[Triglycerides]]/5),O1074)</f>
        <v>124</v>
      </c>
      <c r="V1074">
        <v>82</v>
      </c>
      <c r="W1074" s="8">
        <f t="shared" si="234"/>
        <v>82</v>
      </c>
      <c r="X1074" t="str">
        <f t="shared" si="235"/>
        <v>Normal</v>
      </c>
      <c r="Y1074" t="s">
        <v>22</v>
      </c>
      <c r="Z1074" t="s">
        <v>22</v>
      </c>
      <c r="AA1074" t="s">
        <v>24</v>
      </c>
      <c r="AB1074" s="3" t="s">
        <v>919</v>
      </c>
      <c r="AC1074">
        <v>117</v>
      </c>
      <c r="AD1074" s="3" t="str">
        <f t="shared" si="236"/>
        <v>117</v>
      </c>
      <c r="AE1074">
        <v>108</v>
      </c>
      <c r="AF1074" s="3" t="str">
        <f t="shared" si="237"/>
        <v>108</v>
      </c>
      <c r="AG1074" t="s">
        <v>38</v>
      </c>
      <c r="AH1074" s="3">
        <v>12.558</v>
      </c>
      <c r="AI1074" s="3">
        <f t="shared" si="238"/>
        <v>12.558</v>
      </c>
      <c r="AJ1074" t="s">
        <v>30</v>
      </c>
      <c r="AK1074" t="str">
        <f>PROPER(Table1[[#This Row],[CVD Risk Level]])</f>
        <v>High</v>
      </c>
    </row>
    <row r="1075" spans="1:37" x14ac:dyDescent="0.3">
      <c r="A1075" t="s">
        <v>20</v>
      </c>
      <c r="B1075">
        <v>59</v>
      </c>
      <c r="C1075" s="8">
        <f t="shared" si="227"/>
        <v>59</v>
      </c>
      <c r="D1075" s="5">
        <v>56.171999999999997</v>
      </c>
      <c r="E1075" s="8">
        <f t="shared" si="228"/>
        <v>56.171999999999997</v>
      </c>
      <c r="F1075">
        <v>1.958</v>
      </c>
      <c r="G1075" s="3">
        <f t="shared" si="229"/>
        <v>1.958</v>
      </c>
      <c r="H1075">
        <v>20.582000000000001</v>
      </c>
      <c r="I1075" s="5">
        <f t="shared" si="225"/>
        <v>20.582000000000001</v>
      </c>
      <c r="J1075" s="16" t="str">
        <f t="shared" si="230"/>
        <v>Normal</v>
      </c>
      <c r="K1075">
        <v>79.411000000000001</v>
      </c>
      <c r="L1075">
        <v>0.40600000000000003</v>
      </c>
      <c r="M1075" s="11">
        <f t="shared" si="226"/>
        <v>0.40600000000000003</v>
      </c>
      <c r="N1075" s="5">
        <f t="shared" si="231"/>
        <v>79.411000000000001</v>
      </c>
      <c r="O1075">
        <v>127</v>
      </c>
      <c r="P1075">
        <v>57</v>
      </c>
      <c r="Q1075" s="8">
        <f t="shared" si="232"/>
        <v>57</v>
      </c>
      <c r="R1075" s="8">
        <v>40</v>
      </c>
      <c r="S1075" s="8">
        <f t="shared" si="233"/>
        <v>40</v>
      </c>
      <c r="T1075" s="8">
        <f>(Table1[[#This Row],[Total Cholesterol (mg/dL)]]+Table1[[#This Row],[HDL (mg/dL)2]]+Table1[[#This Row],[Estimated LDL (mg/dL)2]])*5</f>
        <v>1120</v>
      </c>
      <c r="U1075" s="8">
        <f>IF(O1075="",Table1[[#This Row],[Estimated LDL (mg/dL)2]]+Table1[[#This Row],[HDL (mg/dL)2]]+(Table1[[#This Row],[Triglycerides]]/5),O1075)</f>
        <v>127</v>
      </c>
      <c r="V1075">
        <v>91</v>
      </c>
      <c r="W1075" s="8">
        <f t="shared" si="234"/>
        <v>91</v>
      </c>
      <c r="X1075" t="str">
        <f t="shared" si="235"/>
        <v>Normal</v>
      </c>
      <c r="Y1075" t="s">
        <v>23</v>
      </c>
      <c r="Z1075" t="s">
        <v>22</v>
      </c>
      <c r="AA1075" t="s">
        <v>37</v>
      </c>
      <c r="AB1075" s="3" t="s">
        <v>920</v>
      </c>
      <c r="AC1075">
        <v>167</v>
      </c>
      <c r="AD1075" s="3" t="str">
        <f t="shared" si="236"/>
        <v>167</v>
      </c>
      <c r="AF1075" s="3" t="str">
        <f t="shared" si="237"/>
        <v>108</v>
      </c>
      <c r="AG1075" t="s">
        <v>38</v>
      </c>
      <c r="AH1075" s="3">
        <v>15.006</v>
      </c>
      <c r="AI1075" s="3">
        <f t="shared" si="238"/>
        <v>15.006</v>
      </c>
      <c r="AJ1075" t="s">
        <v>52</v>
      </c>
      <c r="AK1075" t="str">
        <f>PROPER(Table1[[#This Row],[CVD Risk Level]])</f>
        <v>Low</v>
      </c>
    </row>
    <row r="1076" spans="1:37" x14ac:dyDescent="0.3">
      <c r="A1076" t="s">
        <v>31</v>
      </c>
      <c r="B1076">
        <v>34</v>
      </c>
      <c r="C1076" s="8">
        <f t="shared" si="227"/>
        <v>34</v>
      </c>
      <c r="D1076" s="5">
        <v>108.047</v>
      </c>
      <c r="E1076" s="8">
        <f t="shared" si="228"/>
        <v>108.047</v>
      </c>
      <c r="F1076">
        <v>1.51</v>
      </c>
      <c r="G1076" s="3">
        <f t="shared" si="229"/>
        <v>1.51</v>
      </c>
      <c r="H1076">
        <v>22.56</v>
      </c>
      <c r="I1076" s="5">
        <f t="shared" si="225"/>
        <v>22.56</v>
      </c>
      <c r="J1076" s="16" t="str">
        <f t="shared" si="230"/>
        <v>Normal</v>
      </c>
      <c r="K1076">
        <v>88.790999999999997</v>
      </c>
      <c r="L1076">
        <v>0.58799999999999997</v>
      </c>
      <c r="M1076" s="11">
        <f t="shared" si="226"/>
        <v>0.58799999999999997</v>
      </c>
      <c r="N1076" s="5">
        <f t="shared" si="231"/>
        <v>88.790999999999997</v>
      </c>
      <c r="O1076">
        <v>194</v>
      </c>
      <c r="P1076">
        <v>44</v>
      </c>
      <c r="Q1076" s="8">
        <f t="shared" si="232"/>
        <v>44</v>
      </c>
      <c r="R1076" s="8">
        <v>120</v>
      </c>
      <c r="S1076" s="8">
        <f t="shared" si="233"/>
        <v>120</v>
      </c>
      <c r="T1076" s="8">
        <f>(Table1[[#This Row],[Total Cholesterol (mg/dL)]]+Table1[[#This Row],[HDL (mg/dL)2]]+Table1[[#This Row],[Estimated LDL (mg/dL)2]])*5</f>
        <v>1790</v>
      </c>
      <c r="U1076" s="8">
        <f>IF(O1076="",Table1[[#This Row],[Estimated LDL (mg/dL)2]]+Table1[[#This Row],[HDL (mg/dL)2]]+(Table1[[#This Row],[Triglycerides]]/5),O1076)</f>
        <v>194</v>
      </c>
      <c r="V1076">
        <v>84</v>
      </c>
      <c r="W1076" s="8">
        <f t="shared" si="234"/>
        <v>84</v>
      </c>
      <c r="X1076" t="str">
        <f t="shared" si="235"/>
        <v>Normal</v>
      </c>
      <c r="Y1076" t="s">
        <v>23</v>
      </c>
      <c r="Z1076" t="s">
        <v>22</v>
      </c>
      <c r="AA1076" t="s">
        <v>37</v>
      </c>
      <c r="AB1076" s="3" t="s">
        <v>921</v>
      </c>
      <c r="AC1076">
        <v>109</v>
      </c>
      <c r="AD1076" s="3" t="str">
        <f t="shared" si="236"/>
        <v>109</v>
      </c>
      <c r="AE1076">
        <v>86</v>
      </c>
      <c r="AF1076" s="3" t="str">
        <f t="shared" si="237"/>
        <v>86</v>
      </c>
      <c r="AG1076" t="s">
        <v>29</v>
      </c>
      <c r="AH1076" s="3">
        <v>13.842000000000001</v>
      </c>
      <c r="AI1076" s="3">
        <f t="shared" si="238"/>
        <v>13.842000000000001</v>
      </c>
      <c r="AJ1076" t="s">
        <v>26</v>
      </c>
      <c r="AK1076" t="str">
        <f>PROPER(Table1[[#This Row],[CVD Risk Level]])</f>
        <v>Intermediary</v>
      </c>
    </row>
    <row r="1077" spans="1:37" x14ac:dyDescent="0.3">
      <c r="A1077" t="s">
        <v>20</v>
      </c>
      <c r="B1077">
        <v>70</v>
      </c>
      <c r="C1077" s="8">
        <f t="shared" si="227"/>
        <v>70</v>
      </c>
      <c r="D1077" s="5">
        <v>92.343999999999994</v>
      </c>
      <c r="E1077" s="8">
        <f t="shared" si="228"/>
        <v>92.343999999999994</v>
      </c>
      <c r="F1077">
        <v>1.629</v>
      </c>
      <c r="G1077" s="3">
        <f t="shared" si="229"/>
        <v>1.629</v>
      </c>
      <c r="H1077">
        <v>22.933</v>
      </c>
      <c r="I1077" s="5">
        <f t="shared" si="225"/>
        <v>22.933</v>
      </c>
      <c r="J1077" s="16" t="str">
        <f t="shared" si="230"/>
        <v>Normal</v>
      </c>
      <c r="K1077">
        <v>118.05800000000001</v>
      </c>
      <c r="L1077">
        <v>0.72499999999999998</v>
      </c>
      <c r="M1077" s="11">
        <f t="shared" si="226"/>
        <v>0.72499999999999998</v>
      </c>
      <c r="N1077" s="5">
        <f t="shared" si="231"/>
        <v>118.05800000000001</v>
      </c>
      <c r="O1077">
        <v>234</v>
      </c>
      <c r="P1077">
        <v>66</v>
      </c>
      <c r="Q1077" s="8">
        <f t="shared" si="232"/>
        <v>66</v>
      </c>
      <c r="R1077" s="8">
        <v>138</v>
      </c>
      <c r="S1077" s="8">
        <f t="shared" si="233"/>
        <v>138</v>
      </c>
      <c r="T1077" s="8">
        <f>(Table1[[#This Row],[Total Cholesterol (mg/dL)]]+Table1[[#This Row],[HDL (mg/dL)2]]+Table1[[#This Row],[Estimated LDL (mg/dL)2]])*5</f>
        <v>2190</v>
      </c>
      <c r="U1077" s="8">
        <f>IF(O1077="",Table1[[#This Row],[Estimated LDL (mg/dL)2]]+Table1[[#This Row],[HDL (mg/dL)2]]+(Table1[[#This Row],[Triglycerides]]/5),O1077)</f>
        <v>234</v>
      </c>
      <c r="V1077">
        <v>197</v>
      </c>
      <c r="W1077" s="8">
        <f t="shared" si="234"/>
        <v>197</v>
      </c>
      <c r="X1077" t="str">
        <f t="shared" si="235"/>
        <v>Diabetes</v>
      </c>
      <c r="Y1077" t="s">
        <v>22</v>
      </c>
      <c r="Z1077" t="s">
        <v>23</v>
      </c>
      <c r="AA1077" t="s">
        <v>28</v>
      </c>
      <c r="AB1077" s="3" t="s">
        <v>922</v>
      </c>
      <c r="AC1077">
        <v>132</v>
      </c>
      <c r="AD1077" s="3" t="str">
        <f t="shared" si="236"/>
        <v>132</v>
      </c>
      <c r="AE1077">
        <v>72</v>
      </c>
      <c r="AF1077" s="3" t="str">
        <f t="shared" si="237"/>
        <v>72</v>
      </c>
      <c r="AG1077" t="s">
        <v>29</v>
      </c>
      <c r="AH1077" s="3">
        <v>17.867000000000001</v>
      </c>
      <c r="AI1077" s="3">
        <f t="shared" si="238"/>
        <v>17.867000000000001</v>
      </c>
      <c r="AJ1077" t="s">
        <v>30</v>
      </c>
      <c r="AK1077" t="str">
        <f>PROPER(Table1[[#This Row],[CVD Risk Level]])</f>
        <v>High</v>
      </c>
    </row>
    <row r="1078" spans="1:37" x14ac:dyDescent="0.3">
      <c r="A1078" t="s">
        <v>31</v>
      </c>
      <c r="B1078">
        <v>30</v>
      </c>
      <c r="C1078" s="8">
        <f t="shared" si="227"/>
        <v>30</v>
      </c>
      <c r="D1078" s="5">
        <v>118.169</v>
      </c>
      <c r="E1078" s="8">
        <f t="shared" si="228"/>
        <v>118.169</v>
      </c>
      <c r="F1078">
        <v>1.6719999999999999</v>
      </c>
      <c r="G1078" s="3">
        <f t="shared" si="229"/>
        <v>1.6719999999999999</v>
      </c>
      <c r="H1078">
        <v>28.821999999999999</v>
      </c>
      <c r="I1078" s="5">
        <f t="shared" si="225"/>
        <v>28.821999999999999</v>
      </c>
      <c r="J1078" s="16" t="str">
        <f t="shared" si="230"/>
        <v>Overweight</v>
      </c>
      <c r="L1078">
        <v>0.59299999999999997</v>
      </c>
      <c r="M1078" s="11">
        <f t="shared" si="226"/>
        <v>0.59299999999999997</v>
      </c>
      <c r="N1078" s="5">
        <f t="shared" si="231"/>
        <v>99.149599999999992</v>
      </c>
      <c r="O1078">
        <v>265</v>
      </c>
      <c r="P1078">
        <v>73</v>
      </c>
      <c r="Q1078" s="8">
        <f t="shared" si="232"/>
        <v>73</v>
      </c>
      <c r="R1078" s="8">
        <v>162</v>
      </c>
      <c r="S1078" s="8">
        <f t="shared" si="233"/>
        <v>162</v>
      </c>
      <c r="T1078" s="8">
        <f>(Table1[[#This Row],[Total Cholesterol (mg/dL)]]+Table1[[#This Row],[HDL (mg/dL)2]]+Table1[[#This Row],[Estimated LDL (mg/dL)2]])*5</f>
        <v>2500</v>
      </c>
      <c r="U1078" s="8">
        <f>IF(O1078="",Table1[[#This Row],[Estimated LDL (mg/dL)2]]+Table1[[#This Row],[HDL (mg/dL)2]]+(Table1[[#This Row],[Triglycerides]]/5),O1078)</f>
        <v>265</v>
      </c>
      <c r="V1078">
        <v>74</v>
      </c>
      <c r="W1078" s="8">
        <f t="shared" si="234"/>
        <v>74</v>
      </c>
      <c r="X1078" t="str">
        <f t="shared" si="235"/>
        <v>Normal</v>
      </c>
      <c r="Y1078" t="s">
        <v>22</v>
      </c>
      <c r="Z1078" t="s">
        <v>23</v>
      </c>
      <c r="AA1078" t="s">
        <v>24</v>
      </c>
      <c r="AB1078" s="3" t="s">
        <v>923</v>
      </c>
      <c r="AC1078">
        <v>174</v>
      </c>
      <c r="AD1078" s="3" t="str">
        <f t="shared" si="236"/>
        <v>174</v>
      </c>
      <c r="AE1078">
        <v>76</v>
      </c>
      <c r="AF1078" s="3" t="str">
        <f t="shared" si="237"/>
        <v>76</v>
      </c>
      <c r="AG1078" t="s">
        <v>38</v>
      </c>
      <c r="AH1078" s="3">
        <v>21.763999999999999</v>
      </c>
      <c r="AI1078" s="3">
        <f t="shared" si="238"/>
        <v>21.763999999999999</v>
      </c>
      <c r="AJ1078" t="s">
        <v>26</v>
      </c>
      <c r="AK1078" t="str">
        <f>PROPER(Table1[[#This Row],[CVD Risk Level]])</f>
        <v>Intermediary</v>
      </c>
    </row>
    <row r="1079" spans="1:37" x14ac:dyDescent="0.3">
      <c r="A1079" t="s">
        <v>31</v>
      </c>
      <c r="B1079">
        <v>33</v>
      </c>
      <c r="C1079" s="8">
        <f t="shared" si="227"/>
        <v>33</v>
      </c>
      <c r="D1079" s="5">
        <v>66.855000000000004</v>
      </c>
      <c r="E1079" s="8">
        <f t="shared" si="228"/>
        <v>66.855000000000004</v>
      </c>
      <c r="F1079">
        <v>1.93</v>
      </c>
      <c r="G1079" s="3">
        <f t="shared" si="229"/>
        <v>1.93</v>
      </c>
      <c r="H1079">
        <v>29.587</v>
      </c>
      <c r="I1079" s="5">
        <f t="shared" si="225"/>
        <v>29.587</v>
      </c>
      <c r="J1079" s="16" t="str">
        <f t="shared" si="230"/>
        <v>Overweight</v>
      </c>
      <c r="K1079">
        <v>71.373000000000005</v>
      </c>
      <c r="L1079">
        <v>0.37</v>
      </c>
      <c r="M1079" s="11">
        <f t="shared" si="226"/>
        <v>0.37</v>
      </c>
      <c r="N1079" s="5">
        <f t="shared" si="231"/>
        <v>71.373000000000005</v>
      </c>
      <c r="O1079">
        <v>215</v>
      </c>
      <c r="P1079">
        <v>82</v>
      </c>
      <c r="Q1079" s="8">
        <f t="shared" si="232"/>
        <v>82</v>
      </c>
      <c r="R1079" s="8">
        <v>103</v>
      </c>
      <c r="S1079" s="8">
        <f t="shared" si="233"/>
        <v>103</v>
      </c>
      <c r="T1079" s="8">
        <f>(Table1[[#This Row],[Total Cholesterol (mg/dL)]]+Table1[[#This Row],[HDL (mg/dL)2]]+Table1[[#This Row],[Estimated LDL (mg/dL)2]])*5</f>
        <v>2000</v>
      </c>
      <c r="U1079" s="8">
        <f>IF(O1079="",Table1[[#This Row],[Estimated LDL (mg/dL)2]]+Table1[[#This Row],[HDL (mg/dL)2]]+(Table1[[#This Row],[Triglycerides]]/5),O1079)</f>
        <v>215</v>
      </c>
      <c r="V1079">
        <v>196</v>
      </c>
      <c r="W1079" s="8">
        <f t="shared" si="234"/>
        <v>196</v>
      </c>
      <c r="X1079" t="str">
        <f t="shared" si="235"/>
        <v>Diabetes</v>
      </c>
      <c r="Y1079" t="s">
        <v>22</v>
      </c>
      <c r="Z1079" t="s">
        <v>22</v>
      </c>
      <c r="AA1079" t="s">
        <v>37</v>
      </c>
      <c r="AB1079" s="3" t="s">
        <v>924</v>
      </c>
      <c r="AC1079">
        <v>144</v>
      </c>
      <c r="AD1079" s="3" t="str">
        <f t="shared" si="236"/>
        <v>144</v>
      </c>
      <c r="AE1079">
        <v>76</v>
      </c>
      <c r="AF1079" s="3" t="str">
        <f t="shared" si="237"/>
        <v>76</v>
      </c>
      <c r="AG1079" t="s">
        <v>38</v>
      </c>
      <c r="AH1079" s="3">
        <v>17.417000000000002</v>
      </c>
      <c r="AI1079" s="3">
        <f t="shared" si="238"/>
        <v>17.417000000000002</v>
      </c>
      <c r="AJ1079" t="s">
        <v>52</v>
      </c>
      <c r="AK1079" t="str">
        <f>PROPER(Table1[[#This Row],[CVD Risk Level]])</f>
        <v>Low</v>
      </c>
    </row>
    <row r="1080" spans="1:37" x14ac:dyDescent="0.3">
      <c r="A1080" t="s">
        <v>20</v>
      </c>
      <c r="B1080">
        <v>65</v>
      </c>
      <c r="C1080" s="8">
        <f t="shared" si="227"/>
        <v>65</v>
      </c>
      <c r="D1080" s="5">
        <v>83.355000000000004</v>
      </c>
      <c r="E1080" s="8">
        <f t="shared" si="228"/>
        <v>83.355000000000004</v>
      </c>
      <c r="F1080">
        <v>1.847</v>
      </c>
      <c r="G1080" s="3">
        <f t="shared" si="229"/>
        <v>1.847</v>
      </c>
      <c r="H1080">
        <v>27.68</v>
      </c>
      <c r="I1080" s="5">
        <f t="shared" si="225"/>
        <v>27.68</v>
      </c>
      <c r="J1080" s="16" t="str">
        <f t="shared" si="230"/>
        <v>Overweight</v>
      </c>
      <c r="K1080">
        <v>81.436000000000007</v>
      </c>
      <c r="L1080">
        <v>0.441</v>
      </c>
      <c r="M1080" s="11">
        <f t="shared" si="226"/>
        <v>0.441</v>
      </c>
      <c r="N1080" s="5">
        <f t="shared" si="231"/>
        <v>81.436000000000007</v>
      </c>
      <c r="O1080">
        <v>281</v>
      </c>
      <c r="P1080">
        <v>83</v>
      </c>
      <c r="Q1080" s="8">
        <f t="shared" si="232"/>
        <v>83</v>
      </c>
      <c r="R1080" s="8">
        <v>168</v>
      </c>
      <c r="S1080" s="8">
        <f t="shared" si="233"/>
        <v>168</v>
      </c>
      <c r="T1080" s="8">
        <f>(Table1[[#This Row],[Total Cholesterol (mg/dL)]]+Table1[[#This Row],[HDL (mg/dL)2]]+Table1[[#This Row],[Estimated LDL (mg/dL)2]])*5</f>
        <v>2660</v>
      </c>
      <c r="U1080" s="8">
        <f>IF(O1080="",Table1[[#This Row],[Estimated LDL (mg/dL)2]]+Table1[[#This Row],[HDL (mg/dL)2]]+(Table1[[#This Row],[Triglycerides]]/5),O1080)</f>
        <v>281</v>
      </c>
      <c r="V1080">
        <v>162</v>
      </c>
      <c r="W1080" s="8">
        <f t="shared" si="234"/>
        <v>162</v>
      </c>
      <c r="X1080" t="str">
        <f t="shared" si="235"/>
        <v>Diabetes</v>
      </c>
      <c r="Y1080" t="s">
        <v>23</v>
      </c>
      <c r="Z1080" t="s">
        <v>23</v>
      </c>
      <c r="AA1080" t="s">
        <v>28</v>
      </c>
      <c r="AB1080" s="3" t="s">
        <v>925</v>
      </c>
      <c r="AC1080">
        <v>102</v>
      </c>
      <c r="AD1080" s="3" t="str">
        <f t="shared" si="236"/>
        <v>102</v>
      </c>
      <c r="AE1080">
        <v>96</v>
      </c>
      <c r="AF1080" s="3" t="str">
        <f t="shared" si="237"/>
        <v>96</v>
      </c>
      <c r="AG1080" t="s">
        <v>38</v>
      </c>
      <c r="AI1080" s="3">
        <f t="shared" si="238"/>
        <v>16.960925291295425</v>
      </c>
      <c r="AJ1080" t="s">
        <v>30</v>
      </c>
      <c r="AK1080" t="str">
        <f>PROPER(Table1[[#This Row],[CVD Risk Level]])</f>
        <v>High</v>
      </c>
    </row>
    <row r="1081" spans="1:37" x14ac:dyDescent="0.3">
      <c r="A1081" t="s">
        <v>20</v>
      </c>
      <c r="B1081">
        <v>34</v>
      </c>
      <c r="C1081" s="8">
        <f t="shared" si="227"/>
        <v>34</v>
      </c>
      <c r="E1081" s="8">
        <f t="shared" si="228"/>
        <v>143.79382035199998</v>
      </c>
      <c r="F1081">
        <v>1.976</v>
      </c>
      <c r="G1081" s="3">
        <f t="shared" si="229"/>
        <v>1.976</v>
      </c>
      <c r="H1081">
        <v>36.826999999999998</v>
      </c>
      <c r="I1081" s="5">
        <f t="shared" si="225"/>
        <v>36.826999999999998</v>
      </c>
      <c r="J1081" s="16" t="str">
        <f t="shared" si="230"/>
        <v>Obese</v>
      </c>
      <c r="K1081">
        <v>109.577</v>
      </c>
      <c r="L1081">
        <v>0.55500000000000005</v>
      </c>
      <c r="M1081" s="11">
        <f t="shared" si="226"/>
        <v>0.55500000000000005</v>
      </c>
      <c r="N1081" s="5">
        <f t="shared" si="231"/>
        <v>109.577</v>
      </c>
      <c r="O1081">
        <v>216</v>
      </c>
      <c r="P1081">
        <v>55</v>
      </c>
      <c r="Q1081" s="8">
        <f t="shared" si="232"/>
        <v>55</v>
      </c>
      <c r="R1081" s="8">
        <v>131</v>
      </c>
      <c r="S1081" s="8">
        <f t="shared" si="233"/>
        <v>131</v>
      </c>
      <c r="T1081" s="8">
        <f>(Table1[[#This Row],[Total Cholesterol (mg/dL)]]+Table1[[#This Row],[HDL (mg/dL)2]]+Table1[[#This Row],[Estimated LDL (mg/dL)2]])*5</f>
        <v>2010</v>
      </c>
      <c r="U1081" s="8">
        <f>IF(O1081="",Table1[[#This Row],[Estimated LDL (mg/dL)2]]+Table1[[#This Row],[HDL (mg/dL)2]]+(Table1[[#This Row],[Triglycerides]]/5),O1081)</f>
        <v>216</v>
      </c>
      <c r="V1081">
        <v>192</v>
      </c>
      <c r="W1081" s="8">
        <f t="shared" si="234"/>
        <v>192</v>
      </c>
      <c r="X1081" t="str">
        <f t="shared" si="235"/>
        <v>Diabetes</v>
      </c>
      <c r="Y1081" t="s">
        <v>23</v>
      </c>
      <c r="Z1081" t="s">
        <v>22</v>
      </c>
      <c r="AA1081" t="s">
        <v>28</v>
      </c>
      <c r="AB1081" s="3" t="s">
        <v>926</v>
      </c>
      <c r="AC1081">
        <v>100</v>
      </c>
      <c r="AD1081" s="3" t="str">
        <f t="shared" si="236"/>
        <v>100</v>
      </c>
      <c r="AE1081">
        <v>84</v>
      </c>
      <c r="AF1081" s="3" t="str">
        <f t="shared" si="237"/>
        <v>84</v>
      </c>
      <c r="AG1081" t="s">
        <v>29</v>
      </c>
      <c r="AH1081" s="3">
        <v>16.684999999999999</v>
      </c>
      <c r="AI1081" s="3">
        <f t="shared" si="238"/>
        <v>16.684999999999999</v>
      </c>
      <c r="AJ1081" t="s">
        <v>52</v>
      </c>
      <c r="AK1081" t="str">
        <f>PROPER(Table1[[#This Row],[CVD Risk Level]])</f>
        <v>Low</v>
      </c>
    </row>
    <row r="1082" spans="1:37" x14ac:dyDescent="0.3">
      <c r="A1082" t="s">
        <v>20</v>
      </c>
      <c r="B1082">
        <v>35</v>
      </c>
      <c r="C1082" s="8">
        <f t="shared" si="227"/>
        <v>35</v>
      </c>
      <c r="D1082" s="5">
        <v>85.7</v>
      </c>
      <c r="E1082" s="8">
        <f t="shared" si="228"/>
        <v>85.7</v>
      </c>
      <c r="F1082">
        <v>1.78</v>
      </c>
      <c r="G1082" s="3">
        <f t="shared" si="229"/>
        <v>1.78</v>
      </c>
      <c r="I1082" s="5">
        <f t="shared" si="225"/>
        <v>27.048352480747379</v>
      </c>
      <c r="J1082" s="16" t="str">
        <f t="shared" si="230"/>
        <v>Overweight</v>
      </c>
      <c r="K1082">
        <v>119.672</v>
      </c>
      <c r="L1082">
        <v>0.67200000000000004</v>
      </c>
      <c r="M1082" s="11">
        <f t="shared" si="226"/>
        <v>0.67200000000000004</v>
      </c>
      <c r="N1082" s="5">
        <f t="shared" si="231"/>
        <v>119.672</v>
      </c>
      <c r="O1082">
        <v>173</v>
      </c>
      <c r="P1082">
        <v>60</v>
      </c>
      <c r="Q1082" s="8">
        <f t="shared" si="232"/>
        <v>60</v>
      </c>
      <c r="R1082" s="8">
        <v>83</v>
      </c>
      <c r="S1082" s="8">
        <f t="shared" si="233"/>
        <v>83</v>
      </c>
      <c r="T1082" s="8">
        <f>(Table1[[#This Row],[Total Cholesterol (mg/dL)]]+Table1[[#This Row],[HDL (mg/dL)2]]+Table1[[#This Row],[Estimated LDL (mg/dL)2]])*5</f>
        <v>1580</v>
      </c>
      <c r="U1082" s="8">
        <f>IF(O1082="",Table1[[#This Row],[Estimated LDL (mg/dL)2]]+Table1[[#This Row],[HDL (mg/dL)2]]+(Table1[[#This Row],[Triglycerides]]/5),O1082)</f>
        <v>173</v>
      </c>
      <c r="V1082">
        <v>187</v>
      </c>
      <c r="W1082" s="8">
        <f t="shared" si="234"/>
        <v>187</v>
      </c>
      <c r="X1082" t="str">
        <f t="shared" si="235"/>
        <v>Diabetes</v>
      </c>
      <c r="Y1082" t="s">
        <v>22</v>
      </c>
      <c r="Z1082" t="s">
        <v>23</v>
      </c>
      <c r="AA1082" t="s">
        <v>28</v>
      </c>
      <c r="AB1082" s="3" t="s">
        <v>927</v>
      </c>
      <c r="AC1082">
        <v>113</v>
      </c>
      <c r="AD1082" s="3" t="str">
        <f t="shared" si="236"/>
        <v>113</v>
      </c>
      <c r="AE1082">
        <v>65</v>
      </c>
      <c r="AF1082" s="3" t="str">
        <f t="shared" si="237"/>
        <v>65</v>
      </c>
      <c r="AG1082" t="s">
        <v>33</v>
      </c>
      <c r="AH1082" s="3">
        <v>18.323</v>
      </c>
      <c r="AI1082" s="3">
        <f t="shared" si="238"/>
        <v>18.323</v>
      </c>
      <c r="AJ1082" t="s">
        <v>30</v>
      </c>
      <c r="AK1082" t="str">
        <f>PROPER(Table1[[#This Row],[CVD Risk Level]])</f>
        <v>High</v>
      </c>
    </row>
    <row r="1083" spans="1:37" x14ac:dyDescent="0.3">
      <c r="A1083" t="s">
        <v>31</v>
      </c>
      <c r="B1083">
        <v>74</v>
      </c>
      <c r="C1083" s="8">
        <f t="shared" si="227"/>
        <v>74</v>
      </c>
      <c r="D1083" s="5">
        <v>88.77</v>
      </c>
      <c r="E1083" s="8">
        <f t="shared" si="228"/>
        <v>88.77</v>
      </c>
      <c r="F1083">
        <v>1.5720000000000001</v>
      </c>
      <c r="G1083" s="3">
        <f t="shared" si="229"/>
        <v>1.5720000000000001</v>
      </c>
      <c r="H1083">
        <v>25.428000000000001</v>
      </c>
      <c r="I1083" s="5">
        <f t="shared" si="225"/>
        <v>25.428000000000001</v>
      </c>
      <c r="J1083" s="16" t="str">
        <f t="shared" si="230"/>
        <v>Overweight</v>
      </c>
      <c r="K1083">
        <v>76.659000000000006</v>
      </c>
      <c r="L1083">
        <v>0.48799999999999999</v>
      </c>
      <c r="M1083" s="11">
        <f t="shared" si="226"/>
        <v>0.48799999999999999</v>
      </c>
      <c r="N1083" s="5">
        <f t="shared" si="231"/>
        <v>76.659000000000006</v>
      </c>
      <c r="O1083">
        <v>150</v>
      </c>
      <c r="P1083">
        <v>38</v>
      </c>
      <c r="Q1083" s="8">
        <f t="shared" si="232"/>
        <v>38</v>
      </c>
      <c r="R1083" s="8">
        <v>82</v>
      </c>
      <c r="S1083" s="8">
        <f t="shared" si="233"/>
        <v>82</v>
      </c>
      <c r="T1083" s="8">
        <f>(Table1[[#This Row],[Total Cholesterol (mg/dL)]]+Table1[[#This Row],[HDL (mg/dL)2]]+Table1[[#This Row],[Estimated LDL (mg/dL)2]])*5</f>
        <v>1350</v>
      </c>
      <c r="U1083" s="8">
        <f>IF(O1083="",Table1[[#This Row],[Estimated LDL (mg/dL)2]]+Table1[[#This Row],[HDL (mg/dL)2]]+(Table1[[#This Row],[Triglycerides]]/5),O1083)</f>
        <v>150</v>
      </c>
      <c r="V1083">
        <v>164</v>
      </c>
      <c r="W1083" s="8">
        <f t="shared" si="234"/>
        <v>164</v>
      </c>
      <c r="X1083" t="str">
        <f t="shared" si="235"/>
        <v>Diabetes</v>
      </c>
      <c r="Y1083" t="s">
        <v>22</v>
      </c>
      <c r="Z1083" t="s">
        <v>23</v>
      </c>
      <c r="AA1083" t="s">
        <v>28</v>
      </c>
      <c r="AB1083" s="3" t="s">
        <v>928</v>
      </c>
      <c r="AC1083">
        <v>170</v>
      </c>
      <c r="AD1083" s="3" t="str">
        <f t="shared" si="236"/>
        <v>170</v>
      </c>
      <c r="AE1083">
        <v>89</v>
      </c>
      <c r="AF1083" s="3" t="str">
        <f t="shared" si="237"/>
        <v>89</v>
      </c>
      <c r="AG1083" t="s">
        <v>29</v>
      </c>
      <c r="AH1083" s="3">
        <v>18.585999999999999</v>
      </c>
      <c r="AI1083" s="3">
        <f t="shared" si="238"/>
        <v>18.585999999999999</v>
      </c>
      <c r="AJ1083" t="s">
        <v>26</v>
      </c>
      <c r="AK1083" t="str">
        <f>PROPER(Table1[[#This Row],[CVD Risk Level]])</f>
        <v>Intermediary</v>
      </c>
    </row>
    <row r="1084" spans="1:37" x14ac:dyDescent="0.3">
      <c r="A1084" t="s">
        <v>31</v>
      </c>
      <c r="B1084">
        <v>52</v>
      </c>
      <c r="C1084" s="8">
        <f t="shared" si="227"/>
        <v>52</v>
      </c>
      <c r="D1084" s="5">
        <v>65.311000000000007</v>
      </c>
      <c r="E1084" s="8">
        <f t="shared" si="228"/>
        <v>65.311000000000007</v>
      </c>
      <c r="F1084">
        <v>1.589</v>
      </c>
      <c r="G1084" s="3">
        <f t="shared" si="229"/>
        <v>1.589</v>
      </c>
      <c r="H1084">
        <v>32.176000000000002</v>
      </c>
      <c r="I1084" s="5">
        <f t="shared" si="225"/>
        <v>32.176000000000002</v>
      </c>
      <c r="J1084" s="16" t="str">
        <f t="shared" si="230"/>
        <v>Obese</v>
      </c>
      <c r="K1084">
        <v>99.412000000000006</v>
      </c>
      <c r="L1084">
        <v>0.626</v>
      </c>
      <c r="M1084" s="11">
        <f t="shared" si="226"/>
        <v>0.626</v>
      </c>
      <c r="N1084" s="5">
        <f t="shared" si="231"/>
        <v>99.412000000000006</v>
      </c>
      <c r="O1084">
        <v>272</v>
      </c>
      <c r="P1084">
        <v>38</v>
      </c>
      <c r="Q1084" s="8">
        <f t="shared" si="232"/>
        <v>38</v>
      </c>
      <c r="R1084" s="8">
        <v>204</v>
      </c>
      <c r="S1084" s="8">
        <f t="shared" si="233"/>
        <v>204</v>
      </c>
      <c r="T1084" s="8">
        <f>(Table1[[#This Row],[Total Cholesterol (mg/dL)]]+Table1[[#This Row],[HDL (mg/dL)2]]+Table1[[#This Row],[Estimated LDL (mg/dL)2]])*5</f>
        <v>2570</v>
      </c>
      <c r="U1084" s="8">
        <f>IF(O1084="",Table1[[#This Row],[Estimated LDL (mg/dL)2]]+Table1[[#This Row],[HDL (mg/dL)2]]+(Table1[[#This Row],[Triglycerides]]/5),O1084)</f>
        <v>272</v>
      </c>
      <c r="V1084">
        <v>81</v>
      </c>
      <c r="W1084" s="8">
        <f t="shared" si="234"/>
        <v>81</v>
      </c>
      <c r="X1084" t="str">
        <f t="shared" si="235"/>
        <v>Normal</v>
      </c>
      <c r="Y1084" t="s">
        <v>23</v>
      </c>
      <c r="Z1084" t="s">
        <v>22</v>
      </c>
      <c r="AA1084" t="s">
        <v>28</v>
      </c>
      <c r="AB1084" s="3" t="s">
        <v>929</v>
      </c>
      <c r="AC1084">
        <v>139</v>
      </c>
      <c r="AD1084" s="3" t="str">
        <f t="shared" si="236"/>
        <v>139</v>
      </c>
      <c r="AE1084">
        <v>106</v>
      </c>
      <c r="AF1084" s="3" t="str">
        <f t="shared" si="237"/>
        <v>106</v>
      </c>
      <c r="AG1084" t="s">
        <v>29</v>
      </c>
      <c r="AH1084" s="3">
        <v>18.824999999999999</v>
      </c>
      <c r="AI1084" s="3">
        <f t="shared" si="238"/>
        <v>18.824999999999999</v>
      </c>
      <c r="AJ1084" t="s">
        <v>30</v>
      </c>
      <c r="AK1084" t="str">
        <f>PROPER(Table1[[#This Row],[CVD Risk Level]])</f>
        <v>High</v>
      </c>
    </row>
    <row r="1085" spans="1:37" x14ac:dyDescent="0.3">
      <c r="A1085" t="s">
        <v>20</v>
      </c>
      <c r="B1085">
        <v>27</v>
      </c>
      <c r="C1085" s="8">
        <f t="shared" si="227"/>
        <v>27</v>
      </c>
      <c r="D1085" s="5">
        <v>71.323999999999998</v>
      </c>
      <c r="E1085" s="8">
        <f t="shared" si="228"/>
        <v>71.323999999999998</v>
      </c>
      <c r="F1085">
        <v>1.9450000000000001</v>
      </c>
      <c r="G1085" s="3">
        <f t="shared" si="229"/>
        <v>1.9450000000000001</v>
      </c>
      <c r="H1085">
        <v>37.817</v>
      </c>
      <c r="I1085" s="5">
        <f t="shared" si="225"/>
        <v>37.817</v>
      </c>
      <c r="J1085" s="16" t="str">
        <f t="shared" si="230"/>
        <v>Obese</v>
      </c>
      <c r="K1085">
        <v>80.259</v>
      </c>
      <c r="L1085">
        <v>0.41299999999999998</v>
      </c>
      <c r="M1085" s="11">
        <f t="shared" si="226"/>
        <v>0.41299999999999998</v>
      </c>
      <c r="N1085" s="5">
        <f t="shared" si="231"/>
        <v>80.259</v>
      </c>
      <c r="O1085">
        <v>203</v>
      </c>
      <c r="P1085">
        <v>46</v>
      </c>
      <c r="Q1085" s="8">
        <f t="shared" si="232"/>
        <v>46</v>
      </c>
      <c r="R1085" s="8">
        <v>127</v>
      </c>
      <c r="S1085" s="8">
        <f t="shared" si="233"/>
        <v>127</v>
      </c>
      <c r="T1085" s="8">
        <f>(Table1[[#This Row],[Total Cholesterol (mg/dL)]]+Table1[[#This Row],[HDL (mg/dL)2]]+Table1[[#This Row],[Estimated LDL (mg/dL)2]])*5</f>
        <v>1880</v>
      </c>
      <c r="U1085" s="8">
        <f>IF(O1085="",Table1[[#This Row],[Estimated LDL (mg/dL)2]]+Table1[[#This Row],[HDL (mg/dL)2]]+(Table1[[#This Row],[Triglycerides]]/5),O1085)</f>
        <v>203</v>
      </c>
      <c r="V1085">
        <v>85</v>
      </c>
      <c r="W1085" s="8">
        <f t="shared" si="234"/>
        <v>85</v>
      </c>
      <c r="X1085" t="str">
        <f t="shared" si="235"/>
        <v>Normal</v>
      </c>
      <c r="Y1085" t="s">
        <v>23</v>
      </c>
      <c r="Z1085" t="s">
        <v>22</v>
      </c>
      <c r="AA1085" t="s">
        <v>28</v>
      </c>
      <c r="AB1085" s="3" t="s">
        <v>930</v>
      </c>
      <c r="AC1085">
        <v>92</v>
      </c>
      <c r="AD1085" s="3" t="str">
        <f t="shared" si="236"/>
        <v>92</v>
      </c>
      <c r="AE1085">
        <v>88</v>
      </c>
      <c r="AF1085" s="3" t="str">
        <f t="shared" si="237"/>
        <v>88</v>
      </c>
      <c r="AG1085" t="s">
        <v>29</v>
      </c>
      <c r="AH1085" s="3">
        <v>16.222999999999999</v>
      </c>
      <c r="AI1085" s="3">
        <f t="shared" si="238"/>
        <v>16.222999999999999</v>
      </c>
      <c r="AJ1085" t="s">
        <v>30</v>
      </c>
      <c r="AK1085" t="str">
        <f>PROPER(Table1[[#This Row],[CVD Risk Level]])</f>
        <v>High</v>
      </c>
    </row>
    <row r="1086" spans="1:37" x14ac:dyDescent="0.3">
      <c r="A1086" t="s">
        <v>31</v>
      </c>
      <c r="B1086">
        <v>45</v>
      </c>
      <c r="C1086" s="8">
        <f t="shared" si="227"/>
        <v>45</v>
      </c>
      <c r="D1086" s="5">
        <v>64.42</v>
      </c>
      <c r="E1086" s="8">
        <f t="shared" si="228"/>
        <v>64.42</v>
      </c>
      <c r="F1086">
        <v>1.921</v>
      </c>
      <c r="G1086" s="3">
        <f t="shared" si="229"/>
        <v>1.921</v>
      </c>
      <c r="H1086">
        <v>28.513000000000002</v>
      </c>
      <c r="I1086" s="5">
        <f t="shared" si="225"/>
        <v>28.513000000000002</v>
      </c>
      <c r="J1086" s="16" t="str">
        <f t="shared" si="230"/>
        <v>Overweight</v>
      </c>
      <c r="K1086">
        <v>81.260999999999996</v>
      </c>
      <c r="L1086">
        <v>0.42299999999999999</v>
      </c>
      <c r="M1086" s="11">
        <f t="shared" si="226"/>
        <v>0.42299999999999999</v>
      </c>
      <c r="N1086" s="5">
        <f t="shared" si="231"/>
        <v>81.260999999999996</v>
      </c>
      <c r="O1086">
        <v>219</v>
      </c>
      <c r="P1086">
        <v>74</v>
      </c>
      <c r="Q1086" s="8">
        <f t="shared" si="232"/>
        <v>74</v>
      </c>
      <c r="R1086" s="8">
        <v>115</v>
      </c>
      <c r="S1086" s="8">
        <f t="shared" si="233"/>
        <v>115</v>
      </c>
      <c r="T1086" s="8">
        <f>(Table1[[#This Row],[Total Cholesterol (mg/dL)]]+Table1[[#This Row],[HDL (mg/dL)2]]+Table1[[#This Row],[Estimated LDL (mg/dL)2]])*5</f>
        <v>2040</v>
      </c>
      <c r="U1086" s="8">
        <f>IF(O1086="",Table1[[#This Row],[Estimated LDL (mg/dL)2]]+Table1[[#This Row],[HDL (mg/dL)2]]+(Table1[[#This Row],[Triglycerides]]/5),O1086)</f>
        <v>219</v>
      </c>
      <c r="V1086">
        <v>157</v>
      </c>
      <c r="W1086" s="8">
        <f t="shared" si="234"/>
        <v>157</v>
      </c>
      <c r="X1086" t="str">
        <f t="shared" si="235"/>
        <v>Diabetes</v>
      </c>
      <c r="Y1086" t="s">
        <v>22</v>
      </c>
      <c r="Z1086" t="s">
        <v>23</v>
      </c>
      <c r="AA1086" t="s">
        <v>24</v>
      </c>
      <c r="AB1086" s="3" t="s">
        <v>931</v>
      </c>
      <c r="AC1086">
        <v>131</v>
      </c>
      <c r="AD1086" s="3" t="str">
        <f t="shared" si="236"/>
        <v>131</v>
      </c>
      <c r="AE1086">
        <v>115</v>
      </c>
      <c r="AF1086" s="3" t="str">
        <f t="shared" si="237"/>
        <v>115</v>
      </c>
      <c r="AG1086" t="s">
        <v>29</v>
      </c>
      <c r="AH1086" s="3">
        <v>18.632999999999999</v>
      </c>
      <c r="AI1086" s="3">
        <f t="shared" si="238"/>
        <v>18.632999999999999</v>
      </c>
      <c r="AJ1086" t="s">
        <v>26</v>
      </c>
      <c r="AK1086" t="str">
        <f>PROPER(Table1[[#This Row],[CVD Risk Level]])</f>
        <v>Intermediary</v>
      </c>
    </row>
    <row r="1087" spans="1:37" x14ac:dyDescent="0.3">
      <c r="A1087" t="s">
        <v>20</v>
      </c>
      <c r="B1087">
        <v>67</v>
      </c>
      <c r="C1087" s="8">
        <f t="shared" si="227"/>
        <v>67</v>
      </c>
      <c r="D1087" s="5">
        <v>99.691000000000003</v>
      </c>
      <c r="E1087" s="8">
        <f t="shared" si="228"/>
        <v>99.691000000000003</v>
      </c>
      <c r="F1087">
        <v>1.57</v>
      </c>
      <c r="G1087" s="3">
        <f t="shared" si="229"/>
        <v>1.57</v>
      </c>
      <c r="H1087">
        <v>25.021000000000001</v>
      </c>
      <c r="I1087" s="5">
        <f t="shared" si="225"/>
        <v>25.021000000000001</v>
      </c>
      <c r="J1087" s="16" t="str">
        <f t="shared" si="230"/>
        <v>Overweight</v>
      </c>
      <c r="K1087">
        <v>88.168999999999997</v>
      </c>
      <c r="L1087">
        <v>0.56100000000000005</v>
      </c>
      <c r="M1087" s="11">
        <f t="shared" si="226"/>
        <v>0.56100000000000005</v>
      </c>
      <c r="N1087" s="5">
        <f t="shared" si="231"/>
        <v>88.168999999999997</v>
      </c>
      <c r="O1087">
        <v>194</v>
      </c>
      <c r="P1087">
        <v>31</v>
      </c>
      <c r="Q1087" s="8">
        <f t="shared" si="232"/>
        <v>31</v>
      </c>
      <c r="R1087" s="8">
        <v>133</v>
      </c>
      <c r="S1087" s="8">
        <f t="shared" si="233"/>
        <v>133</v>
      </c>
      <c r="T1087" s="8">
        <f>(Table1[[#This Row],[Total Cholesterol (mg/dL)]]+Table1[[#This Row],[HDL (mg/dL)2]]+Table1[[#This Row],[Estimated LDL (mg/dL)2]])*5</f>
        <v>1790</v>
      </c>
      <c r="U1087" s="8">
        <f>IF(O1087="",Table1[[#This Row],[Estimated LDL (mg/dL)2]]+Table1[[#This Row],[HDL (mg/dL)2]]+(Table1[[#This Row],[Triglycerides]]/5),O1087)</f>
        <v>194</v>
      </c>
      <c r="V1087">
        <v>196</v>
      </c>
      <c r="W1087" s="8">
        <f t="shared" si="234"/>
        <v>196</v>
      </c>
      <c r="X1087" t="str">
        <f t="shared" si="235"/>
        <v>Diabetes</v>
      </c>
      <c r="Y1087" t="s">
        <v>22</v>
      </c>
      <c r="Z1087" t="s">
        <v>22</v>
      </c>
      <c r="AA1087" t="s">
        <v>37</v>
      </c>
      <c r="AB1087" s="3" t="s">
        <v>609</v>
      </c>
      <c r="AC1087">
        <v>109</v>
      </c>
      <c r="AD1087" s="3" t="str">
        <f t="shared" si="236"/>
        <v>109</v>
      </c>
      <c r="AE1087">
        <v>84</v>
      </c>
      <c r="AF1087" s="3" t="str">
        <f t="shared" si="237"/>
        <v>84</v>
      </c>
      <c r="AG1087" t="s">
        <v>29</v>
      </c>
      <c r="AH1087" s="3">
        <v>14.334</v>
      </c>
      <c r="AI1087" s="3">
        <f t="shared" si="238"/>
        <v>14.334</v>
      </c>
      <c r="AJ1087" t="s">
        <v>30</v>
      </c>
      <c r="AK1087" t="str">
        <f>PROPER(Table1[[#This Row],[CVD Risk Level]])</f>
        <v>High</v>
      </c>
    </row>
    <row r="1088" spans="1:37" x14ac:dyDescent="0.3">
      <c r="A1088" t="s">
        <v>31</v>
      </c>
      <c r="B1088">
        <v>58</v>
      </c>
      <c r="C1088" s="8">
        <f t="shared" si="227"/>
        <v>58</v>
      </c>
      <c r="D1088" s="5">
        <v>53.317</v>
      </c>
      <c r="E1088" s="8">
        <f t="shared" si="228"/>
        <v>53.317</v>
      </c>
      <c r="F1088">
        <v>1.913</v>
      </c>
      <c r="G1088" s="3">
        <f t="shared" si="229"/>
        <v>1.913</v>
      </c>
      <c r="H1088">
        <v>28.419</v>
      </c>
      <c r="I1088" s="5">
        <f t="shared" si="225"/>
        <v>28.419</v>
      </c>
      <c r="J1088" s="16" t="str">
        <f t="shared" si="230"/>
        <v>Overweight</v>
      </c>
      <c r="K1088">
        <v>110.331</v>
      </c>
      <c r="L1088">
        <v>0.57699999999999996</v>
      </c>
      <c r="M1088" s="11">
        <f t="shared" si="226"/>
        <v>0.57699999999999996</v>
      </c>
      <c r="N1088" s="5">
        <f t="shared" si="231"/>
        <v>110.331</v>
      </c>
      <c r="O1088">
        <v>100</v>
      </c>
      <c r="P1088">
        <v>88</v>
      </c>
      <c r="Q1088" s="8">
        <f t="shared" si="232"/>
        <v>88</v>
      </c>
      <c r="R1088" s="8">
        <v>-18</v>
      </c>
      <c r="S1088" s="8">
        <f t="shared" si="233"/>
        <v>109</v>
      </c>
      <c r="T1088" s="8">
        <f>(Table1[[#This Row],[Total Cholesterol (mg/dL)]]+Table1[[#This Row],[HDL (mg/dL)2]]+Table1[[#This Row],[Estimated LDL (mg/dL)2]])*5</f>
        <v>1485</v>
      </c>
      <c r="U1088" s="8">
        <f>IF(O1088="",Table1[[#This Row],[Estimated LDL (mg/dL)2]]+Table1[[#This Row],[HDL (mg/dL)2]]+(Table1[[#This Row],[Triglycerides]]/5),O1088)</f>
        <v>100</v>
      </c>
      <c r="V1088">
        <v>106</v>
      </c>
      <c r="W1088" s="8">
        <f t="shared" si="234"/>
        <v>106</v>
      </c>
      <c r="X1088" t="str">
        <f t="shared" si="235"/>
        <v>Prediabetes</v>
      </c>
      <c r="Y1088" t="s">
        <v>23</v>
      </c>
      <c r="Z1088" t="s">
        <v>22</v>
      </c>
      <c r="AA1088" t="s">
        <v>37</v>
      </c>
      <c r="AB1088" s="3" t="s">
        <v>932</v>
      </c>
      <c r="AC1088">
        <v>172</v>
      </c>
      <c r="AD1088" s="3" t="str">
        <f t="shared" si="236"/>
        <v>172</v>
      </c>
      <c r="AE1088">
        <v>108</v>
      </c>
      <c r="AF1088" s="3" t="str">
        <f t="shared" si="237"/>
        <v>108</v>
      </c>
      <c r="AG1088" t="s">
        <v>38</v>
      </c>
      <c r="AH1088" s="3">
        <v>16.283999999999999</v>
      </c>
      <c r="AI1088" s="3">
        <f t="shared" si="238"/>
        <v>16.283999999999999</v>
      </c>
      <c r="AJ1088" t="s">
        <v>30</v>
      </c>
      <c r="AK1088" t="str">
        <f>PROPER(Table1[[#This Row],[CVD Risk Level]])</f>
        <v>High</v>
      </c>
    </row>
    <row r="1089" spans="1:37" x14ac:dyDescent="0.3">
      <c r="A1089" t="s">
        <v>31</v>
      </c>
      <c r="B1089">
        <v>49</v>
      </c>
      <c r="C1089" s="8">
        <f t="shared" si="227"/>
        <v>49</v>
      </c>
      <c r="D1089" s="5">
        <v>71.372</v>
      </c>
      <c r="E1089" s="8">
        <f t="shared" si="228"/>
        <v>71.372</v>
      </c>
      <c r="F1089">
        <v>1.9239999999999999</v>
      </c>
      <c r="G1089" s="3">
        <f t="shared" si="229"/>
        <v>1.9239999999999999</v>
      </c>
      <c r="H1089">
        <v>34.363</v>
      </c>
      <c r="I1089" s="5">
        <f t="shared" si="225"/>
        <v>34.363</v>
      </c>
      <c r="J1089" s="16" t="str">
        <f t="shared" si="230"/>
        <v>Obese</v>
      </c>
      <c r="K1089">
        <v>84.581000000000003</v>
      </c>
      <c r="L1089">
        <v>0.44</v>
      </c>
      <c r="M1089" s="11">
        <f t="shared" si="226"/>
        <v>0.44</v>
      </c>
      <c r="N1089" s="5">
        <f t="shared" si="231"/>
        <v>84.581000000000003</v>
      </c>
      <c r="O1089">
        <v>178</v>
      </c>
      <c r="P1089">
        <v>60</v>
      </c>
      <c r="Q1089" s="8">
        <f t="shared" si="232"/>
        <v>60</v>
      </c>
      <c r="R1089" s="8">
        <v>88</v>
      </c>
      <c r="S1089" s="8">
        <f t="shared" si="233"/>
        <v>88</v>
      </c>
      <c r="T1089" s="8">
        <f>(Table1[[#This Row],[Total Cholesterol (mg/dL)]]+Table1[[#This Row],[HDL (mg/dL)2]]+Table1[[#This Row],[Estimated LDL (mg/dL)2]])*5</f>
        <v>1630</v>
      </c>
      <c r="U1089" s="8">
        <f>IF(O1089="",Table1[[#This Row],[Estimated LDL (mg/dL)2]]+Table1[[#This Row],[HDL (mg/dL)2]]+(Table1[[#This Row],[Triglycerides]]/5),O1089)</f>
        <v>178</v>
      </c>
      <c r="V1089">
        <v>164</v>
      </c>
      <c r="W1089" s="8">
        <f t="shared" si="234"/>
        <v>164</v>
      </c>
      <c r="X1089" t="str">
        <f t="shared" si="235"/>
        <v>Diabetes</v>
      </c>
      <c r="Y1089" t="s">
        <v>23</v>
      </c>
      <c r="Z1089" t="s">
        <v>23</v>
      </c>
      <c r="AA1089" t="s">
        <v>28</v>
      </c>
      <c r="AB1089" s="3" t="s">
        <v>880</v>
      </c>
      <c r="AC1089">
        <v>108</v>
      </c>
      <c r="AD1089" s="3" t="str">
        <f t="shared" si="236"/>
        <v>108</v>
      </c>
      <c r="AE1089">
        <v>115</v>
      </c>
      <c r="AF1089" s="3" t="str">
        <f t="shared" si="237"/>
        <v>115</v>
      </c>
      <c r="AG1089" t="s">
        <v>38</v>
      </c>
      <c r="AH1089" s="3">
        <v>17.832999999999998</v>
      </c>
      <c r="AI1089" s="3">
        <f t="shared" si="238"/>
        <v>17.832999999999998</v>
      </c>
      <c r="AJ1089" t="s">
        <v>30</v>
      </c>
      <c r="AK1089" t="str">
        <f>PROPER(Table1[[#This Row],[CVD Risk Level]])</f>
        <v>High</v>
      </c>
    </row>
    <row r="1090" spans="1:37" x14ac:dyDescent="0.3">
      <c r="A1090" t="s">
        <v>31</v>
      </c>
      <c r="B1090">
        <v>66</v>
      </c>
      <c r="C1090" s="8">
        <f t="shared" si="227"/>
        <v>66</v>
      </c>
      <c r="D1090" s="5">
        <v>85.786000000000001</v>
      </c>
      <c r="E1090" s="8">
        <f t="shared" si="228"/>
        <v>85.786000000000001</v>
      </c>
      <c r="F1090">
        <v>1.9610000000000001</v>
      </c>
      <c r="G1090" s="3">
        <f t="shared" si="229"/>
        <v>1.9610000000000001</v>
      </c>
      <c r="H1090">
        <v>19.439</v>
      </c>
      <c r="I1090" s="5">
        <f t="shared" ref="I1090:I1153" si="239" xml:space="preserve"> IF(H1090="",E1090 / (G1090^2),H1090)</f>
        <v>19.439</v>
      </c>
      <c r="J1090" s="16" t="str">
        <f t="shared" si="230"/>
        <v>Normal</v>
      </c>
      <c r="L1090">
        <v>0.439</v>
      </c>
      <c r="M1090" s="11">
        <f t="shared" ref="M1090:M1153" si="240">IF(L1090="",K1090/(G1090*100),L1090)</f>
        <v>0.439</v>
      </c>
      <c r="N1090" s="5">
        <f t="shared" si="231"/>
        <v>86.087900000000005</v>
      </c>
      <c r="O1090">
        <v>230</v>
      </c>
      <c r="P1090">
        <v>76</v>
      </c>
      <c r="Q1090" s="8">
        <f t="shared" si="232"/>
        <v>76</v>
      </c>
      <c r="R1090" s="8">
        <v>124</v>
      </c>
      <c r="S1090" s="8">
        <f t="shared" si="233"/>
        <v>124</v>
      </c>
      <c r="T1090" s="8">
        <f>(Table1[[#This Row],[Total Cholesterol (mg/dL)]]+Table1[[#This Row],[HDL (mg/dL)2]]+Table1[[#This Row],[Estimated LDL (mg/dL)2]])*5</f>
        <v>2150</v>
      </c>
      <c r="U1090" s="8">
        <f>IF(O1090="",Table1[[#This Row],[Estimated LDL (mg/dL)2]]+Table1[[#This Row],[HDL (mg/dL)2]]+(Table1[[#This Row],[Triglycerides]]/5),O1090)</f>
        <v>230</v>
      </c>
      <c r="V1090">
        <v>103</v>
      </c>
      <c r="W1090" s="8">
        <f t="shared" si="234"/>
        <v>103</v>
      </c>
      <c r="X1090" t="str">
        <f t="shared" si="235"/>
        <v>Prediabetes</v>
      </c>
      <c r="Y1090" t="s">
        <v>23</v>
      </c>
      <c r="Z1090" t="s">
        <v>23</v>
      </c>
      <c r="AA1090" t="s">
        <v>24</v>
      </c>
      <c r="AB1090" s="3" t="s">
        <v>933</v>
      </c>
      <c r="AC1090">
        <v>121</v>
      </c>
      <c r="AD1090" s="3" t="str">
        <f t="shared" si="236"/>
        <v>121</v>
      </c>
      <c r="AE1090">
        <v>105</v>
      </c>
      <c r="AF1090" s="3" t="str">
        <f t="shared" si="237"/>
        <v>105</v>
      </c>
      <c r="AG1090" t="s">
        <v>38</v>
      </c>
      <c r="AH1090" s="3">
        <v>16.538</v>
      </c>
      <c r="AI1090" s="3">
        <f t="shared" si="238"/>
        <v>16.538</v>
      </c>
      <c r="AJ1090" t="s">
        <v>52</v>
      </c>
      <c r="AK1090" t="str">
        <f>PROPER(Table1[[#This Row],[CVD Risk Level]])</f>
        <v>Low</v>
      </c>
    </row>
    <row r="1091" spans="1:37" x14ac:dyDescent="0.3">
      <c r="A1091" t="s">
        <v>31</v>
      </c>
      <c r="B1091">
        <v>63</v>
      </c>
      <c r="C1091" s="8">
        <f t="shared" ref="C1091:C1154" si="241">IF(B1091="",AVERAGE($B$2:$B$1530),B1091)</f>
        <v>63</v>
      </c>
      <c r="D1091" s="5">
        <v>54.923000000000002</v>
      </c>
      <c r="E1091" s="8">
        <f t="shared" ref="E1091:E1154" si="242">IF(D1091="", H1091*(F1091^2),D1091)</f>
        <v>54.923000000000002</v>
      </c>
      <c r="F1091">
        <v>1.8720000000000001</v>
      </c>
      <c r="G1091" s="3">
        <f t="shared" ref="G1091:G1154" si="243">IF(F1091="", SQRT(E1091 / H1091),F1091)</f>
        <v>1.8720000000000001</v>
      </c>
      <c r="H1091">
        <v>39.978999999999999</v>
      </c>
      <c r="I1091" s="5">
        <f t="shared" si="239"/>
        <v>39.978999999999999</v>
      </c>
      <c r="J1091" s="16" t="str">
        <f t="shared" ref="J1091:J1154" si="244">IF(I1091&lt;18.5,"Underweight",IF(I1091&lt;25,"Normal",IF(I1091&lt;30,"Overweight","Obese")))</f>
        <v>Obese</v>
      </c>
      <c r="K1091">
        <v>106.94799999999999</v>
      </c>
      <c r="L1091">
        <v>0.57099999999999995</v>
      </c>
      <c r="M1091" s="11">
        <f t="shared" si="240"/>
        <v>0.57099999999999995</v>
      </c>
      <c r="N1091" s="5">
        <f t="shared" ref="N1091:N1154" si="245">IF(K1091="",M1091*(G1091*100),K1091)</f>
        <v>106.94799999999999</v>
      </c>
      <c r="O1091">
        <v>100</v>
      </c>
      <c r="P1091">
        <v>61</v>
      </c>
      <c r="Q1091" s="8">
        <f t="shared" ref="Q1091:Q1154" si="246">IF(P1091="",AVERAGE($P$2:$P$1530),P1091)</f>
        <v>61</v>
      </c>
      <c r="R1091" s="8">
        <v>9</v>
      </c>
      <c r="S1091" s="8">
        <f t="shared" ref="S1091:S1154" si="247">IF(R1091&lt;=0,MEDIAN($R$2:$R$1530),R1091)</f>
        <v>9</v>
      </c>
      <c r="T1091" s="8">
        <f>(Table1[[#This Row],[Total Cholesterol (mg/dL)]]+Table1[[#This Row],[HDL (mg/dL)2]]+Table1[[#This Row],[Estimated LDL (mg/dL)2]])*5</f>
        <v>850</v>
      </c>
      <c r="U1091" s="8">
        <f>IF(O1091="",Table1[[#This Row],[Estimated LDL (mg/dL)2]]+Table1[[#This Row],[HDL (mg/dL)2]]+(Table1[[#This Row],[Triglycerides]]/5),O1091)</f>
        <v>100</v>
      </c>
      <c r="V1091">
        <v>70</v>
      </c>
      <c r="W1091" s="8">
        <f t="shared" ref="W1091:W1154" si="248">IF(V1091="",AVERAGE($V$2:$V$1530),V1091)</f>
        <v>70</v>
      </c>
      <c r="X1091" t="str">
        <f t="shared" ref="X1091:X1154" si="249">IF(W1091&lt;100,"Normal",IF(W1091&lt;126,"Prediabetes","Diabetes"))</f>
        <v>Normal</v>
      </c>
      <c r="Y1091" t="s">
        <v>23</v>
      </c>
      <c r="Z1091" t="s">
        <v>23</v>
      </c>
      <c r="AA1091" t="s">
        <v>24</v>
      </c>
      <c r="AB1091" s="3" t="s">
        <v>934</v>
      </c>
      <c r="AC1091">
        <v>179</v>
      </c>
      <c r="AD1091" s="3" t="str">
        <f t="shared" ref="AD1091:AD1154" si="250">LEFT(AB1091,FIND("/",AB1091)-1)</f>
        <v>179</v>
      </c>
      <c r="AE1091">
        <v>79</v>
      </c>
      <c r="AF1091" s="3" t="str">
        <f t="shared" ref="AF1091:AF1154" si="251">RIGHT(AB1091,LEN(AB1091)-FIND("/",AB1091))</f>
        <v>79</v>
      </c>
      <c r="AG1091" t="s">
        <v>38</v>
      </c>
      <c r="AH1091" s="3">
        <v>20.946000000000002</v>
      </c>
      <c r="AI1091" s="3">
        <f t="shared" ref="AI1091:AI1154" si="252">IF(AH1091="",AVERAGE($AH$2:$AH$1530),AH1091)</f>
        <v>20.946000000000002</v>
      </c>
      <c r="AJ1091" t="s">
        <v>26</v>
      </c>
      <c r="AK1091" t="str">
        <f>PROPER(Table1[[#This Row],[CVD Risk Level]])</f>
        <v>Intermediary</v>
      </c>
    </row>
    <row r="1092" spans="1:37" x14ac:dyDescent="0.3">
      <c r="A1092" t="s">
        <v>31</v>
      </c>
      <c r="B1092">
        <v>79</v>
      </c>
      <c r="C1092" s="8">
        <f t="shared" si="241"/>
        <v>79</v>
      </c>
      <c r="D1092" s="5">
        <v>116.72199999999999</v>
      </c>
      <c r="E1092" s="8">
        <f t="shared" si="242"/>
        <v>116.72199999999999</v>
      </c>
      <c r="F1092">
        <v>1.9690000000000001</v>
      </c>
      <c r="G1092" s="3">
        <f t="shared" si="243"/>
        <v>1.9690000000000001</v>
      </c>
      <c r="H1092">
        <v>33.073999999999998</v>
      </c>
      <c r="I1092" s="5">
        <f t="shared" si="239"/>
        <v>33.073999999999998</v>
      </c>
      <c r="J1092" s="16" t="str">
        <f t="shared" si="244"/>
        <v>Obese</v>
      </c>
      <c r="K1092">
        <v>105.557</v>
      </c>
      <c r="L1092">
        <v>0.53600000000000003</v>
      </c>
      <c r="M1092" s="11">
        <f t="shared" si="240"/>
        <v>0.53600000000000003</v>
      </c>
      <c r="N1092" s="5">
        <f t="shared" si="245"/>
        <v>105.557</v>
      </c>
      <c r="O1092">
        <v>118</v>
      </c>
      <c r="P1092">
        <v>87</v>
      </c>
      <c r="Q1092" s="8">
        <f t="shared" si="246"/>
        <v>87</v>
      </c>
      <c r="R1092" s="8">
        <v>1</v>
      </c>
      <c r="S1092" s="8">
        <f t="shared" si="247"/>
        <v>1</v>
      </c>
      <c r="T1092" s="8">
        <f>(Table1[[#This Row],[Total Cholesterol (mg/dL)]]+Table1[[#This Row],[HDL (mg/dL)2]]+Table1[[#This Row],[Estimated LDL (mg/dL)2]])*5</f>
        <v>1030</v>
      </c>
      <c r="U1092" s="8">
        <f>IF(O1092="",Table1[[#This Row],[Estimated LDL (mg/dL)2]]+Table1[[#This Row],[HDL (mg/dL)2]]+(Table1[[#This Row],[Triglycerides]]/5),O1092)</f>
        <v>118</v>
      </c>
      <c r="W1092" s="8">
        <f t="shared" si="248"/>
        <v>117.48563611491107</v>
      </c>
      <c r="X1092" t="str">
        <f t="shared" si="249"/>
        <v>Prediabetes</v>
      </c>
      <c r="Y1092" t="s">
        <v>22</v>
      </c>
      <c r="Z1092" t="s">
        <v>23</v>
      </c>
      <c r="AA1092" t="s">
        <v>24</v>
      </c>
      <c r="AB1092" s="3" t="s">
        <v>935</v>
      </c>
      <c r="AC1092">
        <v>94</v>
      </c>
      <c r="AD1092" s="3" t="str">
        <f t="shared" si="250"/>
        <v>94</v>
      </c>
      <c r="AE1092">
        <v>117</v>
      </c>
      <c r="AF1092" s="3" t="str">
        <f t="shared" si="251"/>
        <v>117</v>
      </c>
      <c r="AG1092" t="s">
        <v>38</v>
      </c>
      <c r="AH1092" s="3">
        <v>15.675000000000001</v>
      </c>
      <c r="AI1092" s="3">
        <f t="shared" si="252"/>
        <v>15.675000000000001</v>
      </c>
      <c r="AJ1092" t="s">
        <v>52</v>
      </c>
      <c r="AK1092" t="str">
        <f>PROPER(Table1[[#This Row],[CVD Risk Level]])</f>
        <v>Low</v>
      </c>
    </row>
    <row r="1093" spans="1:37" x14ac:dyDescent="0.3">
      <c r="A1093" t="s">
        <v>20</v>
      </c>
      <c r="B1093">
        <v>76</v>
      </c>
      <c r="C1093" s="8">
        <f t="shared" si="241"/>
        <v>76</v>
      </c>
      <c r="D1093" s="5">
        <v>106.884</v>
      </c>
      <c r="E1093" s="8">
        <f t="shared" si="242"/>
        <v>106.884</v>
      </c>
      <c r="F1093">
        <v>1.728</v>
      </c>
      <c r="G1093" s="3">
        <f t="shared" si="243"/>
        <v>1.728</v>
      </c>
      <c r="H1093">
        <v>20.629000000000001</v>
      </c>
      <c r="I1093" s="5">
        <f t="shared" si="239"/>
        <v>20.629000000000001</v>
      </c>
      <c r="J1093" s="16" t="str">
        <f t="shared" si="244"/>
        <v>Normal</v>
      </c>
      <c r="K1093">
        <v>101.182</v>
      </c>
      <c r="L1093">
        <v>0.58599999999999997</v>
      </c>
      <c r="M1093" s="11">
        <f t="shared" si="240"/>
        <v>0.58599999999999997</v>
      </c>
      <c r="N1093" s="5">
        <f t="shared" si="245"/>
        <v>101.182</v>
      </c>
      <c r="O1093">
        <v>102</v>
      </c>
      <c r="P1093">
        <v>54</v>
      </c>
      <c r="Q1093" s="8">
        <f t="shared" si="246"/>
        <v>54</v>
      </c>
      <c r="R1093" s="8">
        <v>18</v>
      </c>
      <c r="S1093" s="8">
        <f t="shared" si="247"/>
        <v>18</v>
      </c>
      <c r="T1093" s="8">
        <f>(Table1[[#This Row],[Total Cholesterol (mg/dL)]]+Table1[[#This Row],[HDL (mg/dL)2]]+Table1[[#This Row],[Estimated LDL (mg/dL)2]])*5</f>
        <v>870</v>
      </c>
      <c r="U1093" s="8">
        <f>IF(O1093="",Table1[[#This Row],[Estimated LDL (mg/dL)2]]+Table1[[#This Row],[HDL (mg/dL)2]]+(Table1[[#This Row],[Triglycerides]]/5),O1093)</f>
        <v>102</v>
      </c>
      <c r="V1093">
        <v>192</v>
      </c>
      <c r="W1093" s="8">
        <f t="shared" si="248"/>
        <v>192</v>
      </c>
      <c r="X1093" t="str">
        <f t="shared" si="249"/>
        <v>Diabetes</v>
      </c>
      <c r="Y1093" t="s">
        <v>23</v>
      </c>
      <c r="Z1093" t="s">
        <v>23</v>
      </c>
      <c r="AA1093" t="s">
        <v>28</v>
      </c>
      <c r="AB1093" s="3" t="s">
        <v>936</v>
      </c>
      <c r="AC1093">
        <v>155</v>
      </c>
      <c r="AD1093" s="3" t="str">
        <f t="shared" si="250"/>
        <v>155</v>
      </c>
      <c r="AE1093">
        <v>79</v>
      </c>
      <c r="AF1093" s="3" t="str">
        <f t="shared" si="251"/>
        <v>79</v>
      </c>
      <c r="AG1093" t="s">
        <v>38</v>
      </c>
      <c r="AI1093" s="3">
        <f t="shared" si="252"/>
        <v>16.960925291295425</v>
      </c>
      <c r="AJ1093" t="s">
        <v>26</v>
      </c>
      <c r="AK1093" t="str">
        <f>PROPER(Table1[[#This Row],[CVD Risk Level]])</f>
        <v>Intermediary</v>
      </c>
    </row>
    <row r="1094" spans="1:37" x14ac:dyDescent="0.3">
      <c r="A1094" t="s">
        <v>31</v>
      </c>
      <c r="B1094">
        <v>46</v>
      </c>
      <c r="C1094" s="8">
        <f t="shared" si="241"/>
        <v>46</v>
      </c>
      <c r="D1094" s="5">
        <v>90.77</v>
      </c>
      <c r="E1094" s="8">
        <f t="shared" si="242"/>
        <v>90.77</v>
      </c>
      <c r="F1094">
        <v>1.6419999999999999</v>
      </c>
      <c r="G1094" s="3">
        <f t="shared" si="243"/>
        <v>1.6419999999999999</v>
      </c>
      <c r="H1094">
        <v>18.899000000000001</v>
      </c>
      <c r="I1094" s="5">
        <f t="shared" si="239"/>
        <v>18.899000000000001</v>
      </c>
      <c r="J1094" s="16" t="str">
        <f t="shared" si="244"/>
        <v>Normal</v>
      </c>
      <c r="K1094">
        <v>114.08499999999999</v>
      </c>
      <c r="L1094">
        <v>0.69499999999999995</v>
      </c>
      <c r="M1094" s="11">
        <f t="shared" si="240"/>
        <v>0.69499999999999995</v>
      </c>
      <c r="N1094" s="5">
        <f t="shared" si="245"/>
        <v>114.08499999999999</v>
      </c>
      <c r="O1094">
        <v>199</v>
      </c>
      <c r="P1094">
        <v>32</v>
      </c>
      <c r="Q1094" s="8">
        <f t="shared" si="246"/>
        <v>32</v>
      </c>
      <c r="R1094" s="8">
        <v>137</v>
      </c>
      <c r="S1094" s="8">
        <f t="shared" si="247"/>
        <v>137</v>
      </c>
      <c r="T1094" s="8">
        <f>(Table1[[#This Row],[Total Cholesterol (mg/dL)]]+Table1[[#This Row],[HDL (mg/dL)2]]+Table1[[#This Row],[Estimated LDL (mg/dL)2]])*5</f>
        <v>1840</v>
      </c>
      <c r="U1094" s="8">
        <f>IF(O1094="",Table1[[#This Row],[Estimated LDL (mg/dL)2]]+Table1[[#This Row],[HDL (mg/dL)2]]+(Table1[[#This Row],[Triglycerides]]/5),O1094)</f>
        <v>199</v>
      </c>
      <c r="V1094">
        <v>70</v>
      </c>
      <c r="W1094" s="8">
        <f t="shared" si="248"/>
        <v>70</v>
      </c>
      <c r="X1094" t="str">
        <f t="shared" si="249"/>
        <v>Normal</v>
      </c>
      <c r="Y1094" t="s">
        <v>22</v>
      </c>
      <c r="Z1094" t="s">
        <v>23</v>
      </c>
      <c r="AA1094" t="s">
        <v>28</v>
      </c>
      <c r="AB1094" s="3" t="s">
        <v>937</v>
      </c>
      <c r="AC1094">
        <v>130</v>
      </c>
      <c r="AD1094" s="3" t="str">
        <f t="shared" si="250"/>
        <v>130</v>
      </c>
      <c r="AE1094">
        <v>109</v>
      </c>
      <c r="AF1094" s="3" t="str">
        <f t="shared" si="251"/>
        <v>109</v>
      </c>
      <c r="AG1094" t="s">
        <v>29</v>
      </c>
      <c r="AH1094" s="3">
        <v>16.260000000000002</v>
      </c>
      <c r="AI1094" s="3">
        <f t="shared" si="252"/>
        <v>16.260000000000002</v>
      </c>
      <c r="AJ1094" t="s">
        <v>26</v>
      </c>
      <c r="AK1094" t="str">
        <f>PROPER(Table1[[#This Row],[CVD Risk Level]])</f>
        <v>Intermediary</v>
      </c>
    </row>
    <row r="1095" spans="1:37" x14ac:dyDescent="0.3">
      <c r="A1095" t="s">
        <v>20</v>
      </c>
      <c r="B1095">
        <v>52</v>
      </c>
      <c r="C1095" s="8">
        <f t="shared" si="241"/>
        <v>52</v>
      </c>
      <c r="D1095" s="5">
        <v>53.542000000000002</v>
      </c>
      <c r="E1095" s="8">
        <f t="shared" si="242"/>
        <v>53.542000000000002</v>
      </c>
      <c r="F1095">
        <v>1.69</v>
      </c>
      <c r="G1095" s="3">
        <f t="shared" si="243"/>
        <v>1.69</v>
      </c>
      <c r="H1095">
        <v>28.713000000000001</v>
      </c>
      <c r="I1095" s="5">
        <f t="shared" si="239"/>
        <v>28.713000000000001</v>
      </c>
      <c r="J1095" s="16" t="str">
        <f t="shared" si="244"/>
        <v>Overweight</v>
      </c>
      <c r="K1095">
        <v>73.144999999999996</v>
      </c>
      <c r="L1095">
        <v>0.433</v>
      </c>
      <c r="M1095" s="11">
        <f t="shared" si="240"/>
        <v>0.433</v>
      </c>
      <c r="N1095" s="5">
        <f t="shared" si="245"/>
        <v>73.144999999999996</v>
      </c>
      <c r="O1095">
        <v>176</v>
      </c>
      <c r="P1095">
        <v>79</v>
      </c>
      <c r="Q1095" s="8">
        <f t="shared" si="246"/>
        <v>79</v>
      </c>
      <c r="R1095" s="8">
        <v>67</v>
      </c>
      <c r="S1095" s="8">
        <f t="shared" si="247"/>
        <v>67</v>
      </c>
      <c r="T1095" s="8">
        <f>(Table1[[#This Row],[Total Cholesterol (mg/dL)]]+Table1[[#This Row],[HDL (mg/dL)2]]+Table1[[#This Row],[Estimated LDL (mg/dL)2]])*5</f>
        <v>1610</v>
      </c>
      <c r="U1095" s="8">
        <f>IF(O1095="",Table1[[#This Row],[Estimated LDL (mg/dL)2]]+Table1[[#This Row],[HDL (mg/dL)2]]+(Table1[[#This Row],[Triglycerides]]/5),O1095)</f>
        <v>176</v>
      </c>
      <c r="V1095">
        <v>111</v>
      </c>
      <c r="W1095" s="8">
        <f t="shared" si="248"/>
        <v>111</v>
      </c>
      <c r="X1095" t="str">
        <f t="shared" si="249"/>
        <v>Prediabetes</v>
      </c>
      <c r="Y1095" t="s">
        <v>23</v>
      </c>
      <c r="Z1095" t="s">
        <v>22</v>
      </c>
      <c r="AA1095" t="s">
        <v>28</v>
      </c>
      <c r="AB1095" s="3" t="s">
        <v>938</v>
      </c>
      <c r="AC1095">
        <v>103</v>
      </c>
      <c r="AD1095" s="3" t="str">
        <f t="shared" si="250"/>
        <v>103</v>
      </c>
      <c r="AE1095">
        <v>90</v>
      </c>
      <c r="AF1095" s="3" t="str">
        <f t="shared" si="251"/>
        <v>90</v>
      </c>
      <c r="AG1095" t="s">
        <v>38</v>
      </c>
      <c r="AH1095" s="3">
        <v>14.413</v>
      </c>
      <c r="AI1095" s="3">
        <f t="shared" si="252"/>
        <v>14.413</v>
      </c>
      <c r="AJ1095" t="s">
        <v>52</v>
      </c>
      <c r="AK1095" t="str">
        <f>PROPER(Table1[[#This Row],[CVD Risk Level]])</f>
        <v>Low</v>
      </c>
    </row>
    <row r="1096" spans="1:37" x14ac:dyDescent="0.3">
      <c r="A1096" t="s">
        <v>20</v>
      </c>
      <c r="B1096">
        <v>74</v>
      </c>
      <c r="C1096" s="8">
        <f t="shared" si="241"/>
        <v>74</v>
      </c>
      <c r="D1096" s="5">
        <v>63.398000000000003</v>
      </c>
      <c r="E1096" s="8">
        <f t="shared" si="242"/>
        <v>63.398000000000003</v>
      </c>
      <c r="F1096">
        <v>1.7849999999999999</v>
      </c>
      <c r="G1096" s="3">
        <f t="shared" si="243"/>
        <v>1.7849999999999999</v>
      </c>
      <c r="H1096">
        <v>31.238</v>
      </c>
      <c r="I1096" s="5">
        <f t="shared" si="239"/>
        <v>31.238</v>
      </c>
      <c r="J1096" s="16" t="str">
        <f t="shared" si="244"/>
        <v>Obese</v>
      </c>
      <c r="K1096">
        <v>83.495000000000005</v>
      </c>
      <c r="L1096">
        <v>0.46800000000000003</v>
      </c>
      <c r="M1096" s="11">
        <f t="shared" si="240"/>
        <v>0.46800000000000003</v>
      </c>
      <c r="N1096" s="5">
        <f t="shared" si="245"/>
        <v>83.495000000000005</v>
      </c>
      <c r="O1096">
        <v>218</v>
      </c>
      <c r="P1096">
        <v>63</v>
      </c>
      <c r="Q1096" s="8">
        <f t="shared" si="246"/>
        <v>63</v>
      </c>
      <c r="R1096" s="8">
        <v>125</v>
      </c>
      <c r="S1096" s="8">
        <f t="shared" si="247"/>
        <v>125</v>
      </c>
      <c r="T1096" s="8">
        <f>(Table1[[#This Row],[Total Cholesterol (mg/dL)]]+Table1[[#This Row],[HDL (mg/dL)2]]+Table1[[#This Row],[Estimated LDL (mg/dL)2]])*5</f>
        <v>2030</v>
      </c>
      <c r="U1096" s="8">
        <f>IF(O1096="",Table1[[#This Row],[Estimated LDL (mg/dL)2]]+Table1[[#This Row],[HDL (mg/dL)2]]+(Table1[[#This Row],[Triglycerides]]/5),O1096)</f>
        <v>218</v>
      </c>
      <c r="V1096">
        <v>72</v>
      </c>
      <c r="W1096" s="8">
        <f t="shared" si="248"/>
        <v>72</v>
      </c>
      <c r="X1096" t="str">
        <f t="shared" si="249"/>
        <v>Normal</v>
      </c>
      <c r="Y1096" t="s">
        <v>23</v>
      </c>
      <c r="Z1096" t="s">
        <v>23</v>
      </c>
      <c r="AA1096" t="s">
        <v>28</v>
      </c>
      <c r="AB1096" s="3" t="s">
        <v>939</v>
      </c>
      <c r="AC1096">
        <v>137</v>
      </c>
      <c r="AD1096" s="3" t="str">
        <f t="shared" si="250"/>
        <v>137</v>
      </c>
      <c r="AE1096">
        <v>113</v>
      </c>
      <c r="AF1096" s="3" t="str">
        <f t="shared" si="251"/>
        <v>113</v>
      </c>
      <c r="AG1096" t="s">
        <v>29</v>
      </c>
      <c r="AH1096" s="3">
        <v>19.457999999999998</v>
      </c>
      <c r="AI1096" s="3">
        <f t="shared" si="252"/>
        <v>19.457999999999998</v>
      </c>
      <c r="AJ1096" t="s">
        <v>30</v>
      </c>
      <c r="AK1096" t="str">
        <f>PROPER(Table1[[#This Row],[CVD Risk Level]])</f>
        <v>High</v>
      </c>
    </row>
    <row r="1097" spans="1:37" x14ac:dyDescent="0.3">
      <c r="A1097" t="s">
        <v>20</v>
      </c>
      <c r="B1097">
        <v>60</v>
      </c>
      <c r="C1097" s="8">
        <f t="shared" si="241"/>
        <v>60</v>
      </c>
      <c r="D1097" s="5">
        <v>94.003</v>
      </c>
      <c r="E1097" s="8">
        <f t="shared" si="242"/>
        <v>94.003</v>
      </c>
      <c r="F1097">
        <v>1.5489999999999999</v>
      </c>
      <c r="G1097" s="3">
        <f t="shared" si="243"/>
        <v>1.5489999999999999</v>
      </c>
      <c r="H1097">
        <v>34.152999999999999</v>
      </c>
      <c r="I1097" s="5">
        <f t="shared" si="239"/>
        <v>34.152999999999999</v>
      </c>
      <c r="J1097" s="16" t="str">
        <f t="shared" si="244"/>
        <v>Obese</v>
      </c>
      <c r="K1097">
        <v>77.307000000000002</v>
      </c>
      <c r="L1097">
        <v>0.499</v>
      </c>
      <c r="M1097" s="11">
        <f t="shared" si="240"/>
        <v>0.499</v>
      </c>
      <c r="N1097" s="5">
        <f t="shared" si="245"/>
        <v>77.307000000000002</v>
      </c>
      <c r="O1097">
        <v>238</v>
      </c>
      <c r="P1097">
        <v>85</v>
      </c>
      <c r="Q1097" s="8">
        <f t="shared" si="246"/>
        <v>85</v>
      </c>
      <c r="R1097" s="8">
        <v>123</v>
      </c>
      <c r="S1097" s="8">
        <f t="shared" si="247"/>
        <v>123</v>
      </c>
      <c r="T1097" s="8">
        <f>(Table1[[#This Row],[Total Cholesterol (mg/dL)]]+Table1[[#This Row],[HDL (mg/dL)2]]+Table1[[#This Row],[Estimated LDL (mg/dL)2]])*5</f>
        <v>2230</v>
      </c>
      <c r="U1097" s="8">
        <f>IF(O1097="",Table1[[#This Row],[Estimated LDL (mg/dL)2]]+Table1[[#This Row],[HDL (mg/dL)2]]+(Table1[[#This Row],[Triglycerides]]/5),O1097)</f>
        <v>238</v>
      </c>
      <c r="V1097">
        <v>154</v>
      </c>
      <c r="W1097" s="8">
        <f t="shared" si="248"/>
        <v>154</v>
      </c>
      <c r="X1097" t="str">
        <f t="shared" si="249"/>
        <v>Diabetes</v>
      </c>
      <c r="Y1097" t="s">
        <v>22</v>
      </c>
      <c r="Z1097" t="s">
        <v>23</v>
      </c>
      <c r="AA1097" t="s">
        <v>37</v>
      </c>
      <c r="AB1097" s="3" t="s">
        <v>940</v>
      </c>
      <c r="AC1097">
        <v>152</v>
      </c>
      <c r="AD1097" s="3" t="str">
        <f t="shared" si="250"/>
        <v>152</v>
      </c>
      <c r="AE1097">
        <v>114</v>
      </c>
      <c r="AF1097" s="3" t="str">
        <f t="shared" si="251"/>
        <v>114</v>
      </c>
      <c r="AG1097" t="s">
        <v>38</v>
      </c>
      <c r="AH1097" s="3">
        <v>21.190999999999999</v>
      </c>
      <c r="AI1097" s="3">
        <f t="shared" si="252"/>
        <v>21.190999999999999</v>
      </c>
      <c r="AJ1097" t="s">
        <v>52</v>
      </c>
      <c r="AK1097" t="str">
        <f>PROPER(Table1[[#This Row],[CVD Risk Level]])</f>
        <v>Low</v>
      </c>
    </row>
    <row r="1098" spans="1:37" x14ac:dyDescent="0.3">
      <c r="A1098" t="s">
        <v>31</v>
      </c>
      <c r="B1098">
        <v>57</v>
      </c>
      <c r="C1098" s="8">
        <f t="shared" si="241"/>
        <v>57</v>
      </c>
      <c r="D1098" s="5">
        <v>119.063</v>
      </c>
      <c r="E1098" s="8">
        <f t="shared" si="242"/>
        <v>119.063</v>
      </c>
      <c r="F1098">
        <v>1.823</v>
      </c>
      <c r="G1098" s="3">
        <f t="shared" si="243"/>
        <v>1.823</v>
      </c>
      <c r="H1098">
        <v>33.326000000000001</v>
      </c>
      <c r="I1098" s="5">
        <f t="shared" si="239"/>
        <v>33.326000000000001</v>
      </c>
      <c r="J1098" s="16" t="str">
        <f t="shared" si="244"/>
        <v>Obese</v>
      </c>
      <c r="K1098">
        <v>76.637</v>
      </c>
      <c r="L1098">
        <v>0.42</v>
      </c>
      <c r="M1098" s="11">
        <f t="shared" si="240"/>
        <v>0.42</v>
      </c>
      <c r="N1098" s="5">
        <f t="shared" si="245"/>
        <v>76.637</v>
      </c>
      <c r="O1098">
        <v>250</v>
      </c>
      <c r="P1098">
        <v>73</v>
      </c>
      <c r="Q1098" s="8">
        <f t="shared" si="246"/>
        <v>73</v>
      </c>
      <c r="R1098" s="8">
        <v>147</v>
      </c>
      <c r="S1098" s="8">
        <f t="shared" si="247"/>
        <v>147</v>
      </c>
      <c r="T1098" s="8">
        <f>(Table1[[#This Row],[Total Cholesterol (mg/dL)]]+Table1[[#This Row],[HDL (mg/dL)2]]+Table1[[#This Row],[Estimated LDL (mg/dL)2]])*5</f>
        <v>2350</v>
      </c>
      <c r="U1098" s="8">
        <f>IF(O1098="",Table1[[#This Row],[Estimated LDL (mg/dL)2]]+Table1[[#This Row],[HDL (mg/dL)2]]+(Table1[[#This Row],[Triglycerides]]/5),O1098)</f>
        <v>250</v>
      </c>
      <c r="V1098">
        <v>185</v>
      </c>
      <c r="W1098" s="8">
        <f t="shared" si="248"/>
        <v>185</v>
      </c>
      <c r="X1098" t="str">
        <f t="shared" si="249"/>
        <v>Diabetes</v>
      </c>
      <c r="Y1098" t="s">
        <v>22</v>
      </c>
      <c r="Z1098" t="s">
        <v>23</v>
      </c>
      <c r="AA1098" t="s">
        <v>28</v>
      </c>
      <c r="AB1098" s="3" t="s">
        <v>941</v>
      </c>
      <c r="AC1098">
        <v>109</v>
      </c>
      <c r="AD1098" s="3" t="str">
        <f t="shared" si="250"/>
        <v>109</v>
      </c>
      <c r="AE1098">
        <v>118</v>
      </c>
      <c r="AF1098" s="3" t="str">
        <f t="shared" si="251"/>
        <v>118</v>
      </c>
      <c r="AG1098" t="s">
        <v>38</v>
      </c>
      <c r="AH1098" s="3">
        <v>19.114999999999998</v>
      </c>
      <c r="AI1098" s="3">
        <f t="shared" si="252"/>
        <v>19.114999999999998</v>
      </c>
      <c r="AJ1098" t="s">
        <v>30</v>
      </c>
      <c r="AK1098" t="str">
        <f>PROPER(Table1[[#This Row],[CVD Risk Level]])</f>
        <v>High</v>
      </c>
    </row>
    <row r="1099" spans="1:37" x14ac:dyDescent="0.3">
      <c r="A1099" t="s">
        <v>31</v>
      </c>
      <c r="B1099">
        <v>43</v>
      </c>
      <c r="C1099" s="8">
        <f t="shared" si="241"/>
        <v>43</v>
      </c>
      <c r="D1099" s="5">
        <v>93.834000000000003</v>
      </c>
      <c r="E1099" s="8">
        <f t="shared" si="242"/>
        <v>93.834000000000003</v>
      </c>
      <c r="F1099">
        <v>1.8069999999999999</v>
      </c>
      <c r="G1099" s="3">
        <f t="shared" si="243"/>
        <v>1.8069999999999999</v>
      </c>
      <c r="H1099">
        <v>24.548999999999999</v>
      </c>
      <c r="I1099" s="5">
        <f t="shared" si="239"/>
        <v>24.548999999999999</v>
      </c>
      <c r="J1099" s="16" t="str">
        <f t="shared" si="244"/>
        <v>Normal</v>
      </c>
      <c r="K1099">
        <v>97.454999999999998</v>
      </c>
      <c r="M1099" s="11">
        <f t="shared" si="240"/>
        <v>0.53931931377974551</v>
      </c>
      <c r="N1099" s="5">
        <f t="shared" si="245"/>
        <v>97.454999999999998</v>
      </c>
      <c r="O1099">
        <v>295</v>
      </c>
      <c r="P1099">
        <v>69</v>
      </c>
      <c r="Q1099" s="8">
        <f t="shared" si="246"/>
        <v>69</v>
      </c>
      <c r="R1099" s="8">
        <v>196</v>
      </c>
      <c r="S1099" s="8">
        <f t="shared" si="247"/>
        <v>196</v>
      </c>
      <c r="T1099" s="8">
        <f>(Table1[[#This Row],[Total Cholesterol (mg/dL)]]+Table1[[#This Row],[HDL (mg/dL)2]]+Table1[[#This Row],[Estimated LDL (mg/dL)2]])*5</f>
        <v>2800</v>
      </c>
      <c r="U1099" s="8">
        <f>IF(O1099="",Table1[[#This Row],[Estimated LDL (mg/dL)2]]+Table1[[#This Row],[HDL (mg/dL)2]]+(Table1[[#This Row],[Triglycerides]]/5),O1099)</f>
        <v>295</v>
      </c>
      <c r="V1099">
        <v>197</v>
      </c>
      <c r="W1099" s="8">
        <f t="shared" si="248"/>
        <v>197</v>
      </c>
      <c r="X1099" t="str">
        <f t="shared" si="249"/>
        <v>Diabetes</v>
      </c>
      <c r="Y1099" t="s">
        <v>22</v>
      </c>
      <c r="Z1099" t="s">
        <v>23</v>
      </c>
      <c r="AA1099" t="s">
        <v>24</v>
      </c>
      <c r="AB1099" s="3" t="s">
        <v>942</v>
      </c>
      <c r="AC1099">
        <v>155</v>
      </c>
      <c r="AD1099" s="3" t="str">
        <f t="shared" si="250"/>
        <v>155</v>
      </c>
      <c r="AE1099">
        <v>110</v>
      </c>
      <c r="AF1099" s="3" t="str">
        <f t="shared" si="251"/>
        <v>110</v>
      </c>
      <c r="AG1099" t="s">
        <v>38</v>
      </c>
      <c r="AH1099" s="3">
        <v>20.56</v>
      </c>
      <c r="AI1099" s="3">
        <f t="shared" si="252"/>
        <v>20.56</v>
      </c>
      <c r="AJ1099" t="s">
        <v>52</v>
      </c>
      <c r="AK1099" t="str">
        <f>PROPER(Table1[[#This Row],[CVD Risk Level]])</f>
        <v>Low</v>
      </c>
    </row>
    <row r="1100" spans="1:37" x14ac:dyDescent="0.3">
      <c r="A1100" t="s">
        <v>20</v>
      </c>
      <c r="B1100">
        <v>33</v>
      </c>
      <c r="C1100" s="8">
        <f t="shared" si="241"/>
        <v>33</v>
      </c>
      <c r="D1100" s="5">
        <v>59.622999999999998</v>
      </c>
      <c r="E1100" s="8">
        <f t="shared" si="242"/>
        <v>59.622999999999998</v>
      </c>
      <c r="F1100">
        <v>1.6259999999999999</v>
      </c>
      <c r="G1100" s="3">
        <f t="shared" si="243"/>
        <v>1.6259999999999999</v>
      </c>
      <c r="H1100">
        <v>25.751000000000001</v>
      </c>
      <c r="I1100" s="5">
        <f t="shared" si="239"/>
        <v>25.751000000000001</v>
      </c>
      <c r="J1100" s="16" t="str">
        <f t="shared" si="244"/>
        <v>Overweight</v>
      </c>
      <c r="K1100">
        <v>75.781999999999996</v>
      </c>
      <c r="L1100">
        <v>0.46600000000000003</v>
      </c>
      <c r="M1100" s="11">
        <f t="shared" si="240"/>
        <v>0.46600000000000003</v>
      </c>
      <c r="N1100" s="5">
        <f t="shared" si="245"/>
        <v>75.781999999999996</v>
      </c>
      <c r="O1100">
        <v>259</v>
      </c>
      <c r="P1100">
        <v>80</v>
      </c>
      <c r="Q1100" s="8">
        <f t="shared" si="246"/>
        <v>80</v>
      </c>
      <c r="R1100" s="8">
        <v>149</v>
      </c>
      <c r="S1100" s="8">
        <f t="shared" si="247"/>
        <v>149</v>
      </c>
      <c r="T1100" s="8">
        <f>(Table1[[#This Row],[Total Cholesterol (mg/dL)]]+Table1[[#This Row],[HDL (mg/dL)2]]+Table1[[#This Row],[Estimated LDL (mg/dL)2]])*5</f>
        <v>2440</v>
      </c>
      <c r="U1100" s="8">
        <f>IF(O1100="",Table1[[#This Row],[Estimated LDL (mg/dL)2]]+Table1[[#This Row],[HDL (mg/dL)2]]+(Table1[[#This Row],[Triglycerides]]/5),O1100)</f>
        <v>259</v>
      </c>
      <c r="V1100">
        <v>82</v>
      </c>
      <c r="W1100" s="8">
        <f t="shared" si="248"/>
        <v>82</v>
      </c>
      <c r="X1100" t="str">
        <f t="shared" si="249"/>
        <v>Normal</v>
      </c>
      <c r="Y1100" t="s">
        <v>22</v>
      </c>
      <c r="Z1100" t="s">
        <v>22</v>
      </c>
      <c r="AA1100" t="s">
        <v>24</v>
      </c>
      <c r="AB1100" s="3" t="s">
        <v>943</v>
      </c>
      <c r="AC1100">
        <v>170</v>
      </c>
      <c r="AD1100" s="3" t="str">
        <f t="shared" si="250"/>
        <v>170</v>
      </c>
      <c r="AE1100">
        <v>76</v>
      </c>
      <c r="AF1100" s="3" t="str">
        <f t="shared" si="251"/>
        <v>76</v>
      </c>
      <c r="AG1100" t="s">
        <v>38</v>
      </c>
      <c r="AH1100" s="3">
        <v>18.829999999999998</v>
      </c>
      <c r="AI1100" s="3">
        <f t="shared" si="252"/>
        <v>18.829999999999998</v>
      </c>
      <c r="AJ1100" t="s">
        <v>26</v>
      </c>
      <c r="AK1100" t="str">
        <f>PROPER(Table1[[#This Row],[CVD Risk Level]])</f>
        <v>Intermediary</v>
      </c>
    </row>
    <row r="1101" spans="1:37" x14ac:dyDescent="0.3">
      <c r="A1101" t="s">
        <v>20</v>
      </c>
      <c r="B1101">
        <v>72</v>
      </c>
      <c r="C1101" s="8">
        <f t="shared" si="241"/>
        <v>72</v>
      </c>
      <c r="D1101" s="5">
        <v>85.7</v>
      </c>
      <c r="E1101" s="8">
        <f t="shared" si="242"/>
        <v>85.7</v>
      </c>
      <c r="F1101">
        <v>1.589</v>
      </c>
      <c r="G1101" s="3">
        <f t="shared" si="243"/>
        <v>1.589</v>
      </c>
      <c r="I1101" s="5">
        <f t="shared" si="239"/>
        <v>33.941655996365832</v>
      </c>
      <c r="J1101" s="16" t="str">
        <f t="shared" si="244"/>
        <v>Obese</v>
      </c>
      <c r="K1101">
        <v>89.795000000000002</v>
      </c>
      <c r="L1101">
        <v>0.56499999999999995</v>
      </c>
      <c r="M1101" s="11">
        <f t="shared" si="240"/>
        <v>0.56499999999999995</v>
      </c>
      <c r="N1101" s="5">
        <f t="shared" si="245"/>
        <v>89.795000000000002</v>
      </c>
      <c r="O1101">
        <v>183</v>
      </c>
      <c r="P1101">
        <v>39</v>
      </c>
      <c r="Q1101" s="8">
        <f t="shared" si="246"/>
        <v>39</v>
      </c>
      <c r="S1101" s="8">
        <f t="shared" si="247"/>
        <v>109</v>
      </c>
      <c r="T1101" s="8">
        <f>(Table1[[#This Row],[Total Cholesterol (mg/dL)]]+Table1[[#This Row],[HDL (mg/dL)2]]+Table1[[#This Row],[Estimated LDL (mg/dL)2]])*5</f>
        <v>1655</v>
      </c>
      <c r="U1101" s="8">
        <f>IF(O1101="",Table1[[#This Row],[Estimated LDL (mg/dL)2]]+Table1[[#This Row],[HDL (mg/dL)2]]+(Table1[[#This Row],[Triglycerides]]/5),O1101)</f>
        <v>183</v>
      </c>
      <c r="V1101">
        <v>159</v>
      </c>
      <c r="W1101" s="8">
        <f t="shared" si="248"/>
        <v>159</v>
      </c>
      <c r="X1101" t="str">
        <f t="shared" si="249"/>
        <v>Diabetes</v>
      </c>
      <c r="Y1101" t="s">
        <v>22</v>
      </c>
      <c r="Z1101" t="s">
        <v>23</v>
      </c>
      <c r="AA1101" t="s">
        <v>24</v>
      </c>
      <c r="AB1101" s="3" t="s">
        <v>581</v>
      </c>
      <c r="AC1101">
        <v>134</v>
      </c>
      <c r="AD1101" s="3" t="str">
        <f t="shared" si="250"/>
        <v>134</v>
      </c>
      <c r="AE1101">
        <v>85</v>
      </c>
      <c r="AF1101" s="3" t="str">
        <f t="shared" si="251"/>
        <v>85</v>
      </c>
      <c r="AG1101" t="s">
        <v>29</v>
      </c>
      <c r="AH1101" s="3">
        <v>20.323</v>
      </c>
      <c r="AI1101" s="3">
        <f t="shared" si="252"/>
        <v>20.323</v>
      </c>
      <c r="AJ1101" t="s">
        <v>26</v>
      </c>
      <c r="AK1101" t="str">
        <f>PROPER(Table1[[#This Row],[CVD Risk Level]])</f>
        <v>Intermediary</v>
      </c>
    </row>
    <row r="1102" spans="1:37" x14ac:dyDescent="0.3">
      <c r="A1102" t="s">
        <v>31</v>
      </c>
      <c r="B1102">
        <v>38</v>
      </c>
      <c r="C1102" s="8">
        <f t="shared" si="241"/>
        <v>38</v>
      </c>
      <c r="D1102" s="5">
        <v>100.84</v>
      </c>
      <c r="E1102" s="8">
        <f t="shared" si="242"/>
        <v>100.84</v>
      </c>
      <c r="F1102">
        <v>1.7689999999999999</v>
      </c>
      <c r="G1102" s="3">
        <f t="shared" si="243"/>
        <v>1.7689999999999999</v>
      </c>
      <c r="H1102">
        <v>25.382999999999999</v>
      </c>
      <c r="I1102" s="5">
        <f t="shared" si="239"/>
        <v>25.382999999999999</v>
      </c>
      <c r="J1102" s="16" t="str">
        <f t="shared" si="244"/>
        <v>Overweight</v>
      </c>
      <c r="K1102">
        <v>73.367999999999995</v>
      </c>
      <c r="L1102">
        <v>0.41499999999999998</v>
      </c>
      <c r="M1102" s="11">
        <f t="shared" si="240"/>
        <v>0.41499999999999998</v>
      </c>
      <c r="N1102" s="5">
        <f t="shared" si="245"/>
        <v>73.367999999999995</v>
      </c>
      <c r="O1102">
        <v>201</v>
      </c>
      <c r="P1102">
        <v>31</v>
      </c>
      <c r="Q1102" s="8">
        <f t="shared" si="246"/>
        <v>31</v>
      </c>
      <c r="S1102" s="8">
        <f t="shared" si="247"/>
        <v>109</v>
      </c>
      <c r="T1102" s="8">
        <f>(Table1[[#This Row],[Total Cholesterol (mg/dL)]]+Table1[[#This Row],[HDL (mg/dL)2]]+Table1[[#This Row],[Estimated LDL (mg/dL)2]])*5</f>
        <v>1705</v>
      </c>
      <c r="U1102" s="8">
        <f>IF(O1102="",Table1[[#This Row],[Estimated LDL (mg/dL)2]]+Table1[[#This Row],[HDL (mg/dL)2]]+(Table1[[#This Row],[Triglycerides]]/5),O1102)</f>
        <v>201</v>
      </c>
      <c r="V1102">
        <v>172</v>
      </c>
      <c r="W1102" s="8">
        <f t="shared" si="248"/>
        <v>172</v>
      </c>
      <c r="X1102" t="str">
        <f t="shared" si="249"/>
        <v>Diabetes</v>
      </c>
      <c r="Y1102" t="s">
        <v>22</v>
      </c>
      <c r="Z1102" t="s">
        <v>23</v>
      </c>
      <c r="AA1102" t="s">
        <v>28</v>
      </c>
      <c r="AB1102" s="3" t="s">
        <v>944</v>
      </c>
      <c r="AD1102" s="3" t="str">
        <f t="shared" si="250"/>
        <v>124</v>
      </c>
      <c r="AE1102">
        <v>101</v>
      </c>
      <c r="AF1102" s="3" t="str">
        <f t="shared" si="251"/>
        <v>101</v>
      </c>
      <c r="AG1102" t="s">
        <v>38</v>
      </c>
      <c r="AH1102" s="3">
        <v>17.297000000000001</v>
      </c>
      <c r="AI1102" s="3">
        <f t="shared" si="252"/>
        <v>17.297000000000001</v>
      </c>
      <c r="AJ1102" t="s">
        <v>26</v>
      </c>
      <c r="AK1102" t="str">
        <f>PROPER(Table1[[#This Row],[CVD Risk Level]])</f>
        <v>Intermediary</v>
      </c>
    </row>
    <row r="1103" spans="1:37" x14ac:dyDescent="0.3">
      <c r="A1103" t="s">
        <v>20</v>
      </c>
      <c r="B1103">
        <v>57</v>
      </c>
      <c r="C1103" s="8">
        <f t="shared" si="241"/>
        <v>57</v>
      </c>
      <c r="D1103" s="5">
        <v>100.13</v>
      </c>
      <c r="E1103" s="8">
        <f t="shared" si="242"/>
        <v>100.13</v>
      </c>
      <c r="F1103">
        <v>1.84</v>
      </c>
      <c r="G1103" s="3">
        <f t="shared" si="243"/>
        <v>1.84</v>
      </c>
      <c r="H1103">
        <v>22.242000000000001</v>
      </c>
      <c r="I1103" s="5">
        <f t="shared" si="239"/>
        <v>22.242000000000001</v>
      </c>
      <c r="J1103" s="16" t="str">
        <f t="shared" si="244"/>
        <v>Normal</v>
      </c>
      <c r="K1103">
        <v>80.813999999999993</v>
      </c>
      <c r="L1103">
        <v>0.439</v>
      </c>
      <c r="M1103" s="11">
        <f t="shared" si="240"/>
        <v>0.439</v>
      </c>
      <c r="N1103" s="5">
        <f t="shared" si="245"/>
        <v>80.813999999999993</v>
      </c>
      <c r="O1103">
        <v>123</v>
      </c>
      <c r="P1103">
        <v>54</v>
      </c>
      <c r="Q1103" s="8">
        <f t="shared" si="246"/>
        <v>54</v>
      </c>
      <c r="R1103" s="8">
        <v>39</v>
      </c>
      <c r="S1103" s="8">
        <f t="shared" si="247"/>
        <v>39</v>
      </c>
      <c r="T1103" s="8">
        <f>(Table1[[#This Row],[Total Cholesterol (mg/dL)]]+Table1[[#This Row],[HDL (mg/dL)2]]+Table1[[#This Row],[Estimated LDL (mg/dL)2]])*5</f>
        <v>1080</v>
      </c>
      <c r="U1103" s="8">
        <f>IF(O1103="",Table1[[#This Row],[Estimated LDL (mg/dL)2]]+Table1[[#This Row],[HDL (mg/dL)2]]+(Table1[[#This Row],[Triglycerides]]/5),O1103)</f>
        <v>123</v>
      </c>
      <c r="V1103">
        <v>94</v>
      </c>
      <c r="W1103" s="8">
        <f t="shared" si="248"/>
        <v>94</v>
      </c>
      <c r="X1103" t="str">
        <f t="shared" si="249"/>
        <v>Normal</v>
      </c>
      <c r="Y1103" t="s">
        <v>22</v>
      </c>
      <c r="Z1103" t="s">
        <v>22</v>
      </c>
      <c r="AA1103" t="s">
        <v>24</v>
      </c>
      <c r="AB1103" s="3" t="s">
        <v>945</v>
      </c>
      <c r="AC1103">
        <v>165</v>
      </c>
      <c r="AD1103" s="3" t="str">
        <f t="shared" si="250"/>
        <v>165</v>
      </c>
      <c r="AE1103">
        <v>99</v>
      </c>
      <c r="AF1103" s="3" t="str">
        <f t="shared" si="251"/>
        <v>99</v>
      </c>
      <c r="AG1103" t="s">
        <v>38</v>
      </c>
      <c r="AH1103" s="3">
        <v>15.157999999999999</v>
      </c>
      <c r="AI1103" s="3">
        <f t="shared" si="252"/>
        <v>15.157999999999999</v>
      </c>
      <c r="AJ1103" t="s">
        <v>52</v>
      </c>
      <c r="AK1103" t="str">
        <f>PROPER(Table1[[#This Row],[CVD Risk Level]])</f>
        <v>Low</v>
      </c>
    </row>
    <row r="1104" spans="1:37" x14ac:dyDescent="0.3">
      <c r="A1104" t="s">
        <v>20</v>
      </c>
      <c r="C1104" s="8">
        <f t="shared" si="241"/>
        <v>47.025499655410059</v>
      </c>
      <c r="D1104" s="5">
        <v>98.783000000000001</v>
      </c>
      <c r="E1104" s="8">
        <f t="shared" si="242"/>
        <v>98.783000000000001</v>
      </c>
      <c r="F1104">
        <v>1.76</v>
      </c>
      <c r="G1104" s="3">
        <f t="shared" si="243"/>
        <v>1.76</v>
      </c>
      <c r="H1104">
        <v>36.078000000000003</v>
      </c>
      <c r="I1104" s="5">
        <f t="shared" si="239"/>
        <v>36.078000000000003</v>
      </c>
      <c r="J1104" s="16" t="str">
        <f t="shared" si="244"/>
        <v>Obese</v>
      </c>
      <c r="K1104">
        <v>74.397000000000006</v>
      </c>
      <c r="L1104">
        <v>0.42299999999999999</v>
      </c>
      <c r="M1104" s="11">
        <f t="shared" si="240"/>
        <v>0.42299999999999999</v>
      </c>
      <c r="N1104" s="5">
        <f t="shared" si="245"/>
        <v>74.397000000000006</v>
      </c>
      <c r="O1104">
        <v>227</v>
      </c>
      <c r="P1104">
        <v>77</v>
      </c>
      <c r="Q1104" s="8">
        <f t="shared" si="246"/>
        <v>77</v>
      </c>
      <c r="R1104" s="8">
        <v>120</v>
      </c>
      <c r="S1104" s="8">
        <f t="shared" si="247"/>
        <v>120</v>
      </c>
      <c r="T1104" s="8">
        <f>(Table1[[#This Row],[Total Cholesterol (mg/dL)]]+Table1[[#This Row],[HDL (mg/dL)2]]+Table1[[#This Row],[Estimated LDL (mg/dL)2]])*5</f>
        <v>2120</v>
      </c>
      <c r="U1104" s="8">
        <f>IF(O1104="",Table1[[#This Row],[Estimated LDL (mg/dL)2]]+Table1[[#This Row],[HDL (mg/dL)2]]+(Table1[[#This Row],[Triglycerides]]/5),O1104)</f>
        <v>227</v>
      </c>
      <c r="V1104">
        <v>105</v>
      </c>
      <c r="W1104" s="8">
        <f t="shared" si="248"/>
        <v>105</v>
      </c>
      <c r="X1104" t="str">
        <f t="shared" si="249"/>
        <v>Prediabetes</v>
      </c>
      <c r="Y1104" t="s">
        <v>22</v>
      </c>
      <c r="Z1104" t="s">
        <v>22</v>
      </c>
      <c r="AA1104" t="s">
        <v>28</v>
      </c>
      <c r="AB1104" s="3" t="s">
        <v>217</v>
      </c>
      <c r="AC1104">
        <v>117</v>
      </c>
      <c r="AD1104" s="3" t="str">
        <f t="shared" si="250"/>
        <v>117</v>
      </c>
      <c r="AE1104">
        <v>62</v>
      </c>
      <c r="AF1104" s="3" t="str">
        <f t="shared" si="251"/>
        <v>62</v>
      </c>
      <c r="AG1104" t="s">
        <v>33</v>
      </c>
      <c r="AH1104" s="3">
        <v>17.606000000000002</v>
      </c>
      <c r="AI1104" s="3">
        <f t="shared" si="252"/>
        <v>17.606000000000002</v>
      </c>
      <c r="AJ1104" t="s">
        <v>30</v>
      </c>
      <c r="AK1104" t="str">
        <f>PROPER(Table1[[#This Row],[CVD Risk Level]])</f>
        <v>High</v>
      </c>
    </row>
    <row r="1105" spans="1:37" x14ac:dyDescent="0.3">
      <c r="A1105" t="s">
        <v>31</v>
      </c>
      <c r="B1105">
        <v>27</v>
      </c>
      <c r="C1105" s="8">
        <f t="shared" si="241"/>
        <v>27</v>
      </c>
      <c r="D1105" s="5">
        <v>115.739</v>
      </c>
      <c r="E1105" s="8">
        <f t="shared" si="242"/>
        <v>115.739</v>
      </c>
      <c r="F1105">
        <v>1.7989999999999999</v>
      </c>
      <c r="G1105" s="3">
        <f t="shared" si="243"/>
        <v>1.7989999999999999</v>
      </c>
      <c r="H1105">
        <v>22.463999999999999</v>
      </c>
      <c r="I1105" s="5">
        <f t="shared" si="239"/>
        <v>22.463999999999999</v>
      </c>
      <c r="J1105" s="16" t="str">
        <f t="shared" si="244"/>
        <v>Normal</v>
      </c>
      <c r="K1105">
        <v>77.691999999999993</v>
      </c>
      <c r="L1105">
        <v>0.432</v>
      </c>
      <c r="M1105" s="11">
        <f t="shared" si="240"/>
        <v>0.432</v>
      </c>
      <c r="N1105" s="5">
        <f t="shared" si="245"/>
        <v>77.691999999999993</v>
      </c>
      <c r="O1105">
        <v>151</v>
      </c>
      <c r="P1105">
        <v>50</v>
      </c>
      <c r="Q1105" s="8">
        <f t="shared" si="246"/>
        <v>50</v>
      </c>
      <c r="R1105" s="8">
        <v>71</v>
      </c>
      <c r="S1105" s="8">
        <f t="shared" si="247"/>
        <v>71</v>
      </c>
      <c r="T1105" s="8">
        <f>(Table1[[#This Row],[Total Cholesterol (mg/dL)]]+Table1[[#This Row],[HDL (mg/dL)2]]+Table1[[#This Row],[Estimated LDL (mg/dL)2]])*5</f>
        <v>1360</v>
      </c>
      <c r="U1105" s="8">
        <f>IF(O1105="",Table1[[#This Row],[Estimated LDL (mg/dL)2]]+Table1[[#This Row],[HDL (mg/dL)2]]+(Table1[[#This Row],[Triglycerides]]/5),O1105)</f>
        <v>151</v>
      </c>
      <c r="V1105">
        <v>188</v>
      </c>
      <c r="W1105" s="8">
        <f t="shared" si="248"/>
        <v>188</v>
      </c>
      <c r="X1105" t="str">
        <f t="shared" si="249"/>
        <v>Diabetes</v>
      </c>
      <c r="Y1105" t="s">
        <v>23</v>
      </c>
      <c r="Z1105" t="s">
        <v>23</v>
      </c>
      <c r="AA1105" t="s">
        <v>28</v>
      </c>
      <c r="AB1105" s="3" t="s">
        <v>946</v>
      </c>
      <c r="AC1105">
        <v>173</v>
      </c>
      <c r="AD1105" s="3" t="str">
        <f t="shared" si="250"/>
        <v>173</v>
      </c>
      <c r="AE1105">
        <v>96</v>
      </c>
      <c r="AF1105" s="3" t="str">
        <f t="shared" si="251"/>
        <v>96</v>
      </c>
      <c r="AG1105" t="s">
        <v>38</v>
      </c>
      <c r="AH1105" s="3">
        <v>18.163</v>
      </c>
      <c r="AI1105" s="3">
        <f t="shared" si="252"/>
        <v>18.163</v>
      </c>
      <c r="AJ1105" t="s">
        <v>30</v>
      </c>
      <c r="AK1105" t="str">
        <f>PROPER(Table1[[#This Row],[CVD Risk Level]])</f>
        <v>High</v>
      </c>
    </row>
    <row r="1106" spans="1:37" x14ac:dyDescent="0.3">
      <c r="A1106" t="s">
        <v>20</v>
      </c>
      <c r="B1106">
        <v>38</v>
      </c>
      <c r="C1106" s="8">
        <f t="shared" si="241"/>
        <v>38</v>
      </c>
      <c r="D1106" s="5">
        <v>53.055999999999997</v>
      </c>
      <c r="E1106" s="8">
        <f t="shared" si="242"/>
        <v>53.055999999999997</v>
      </c>
      <c r="F1106">
        <v>1.7829999999999999</v>
      </c>
      <c r="G1106" s="3">
        <f t="shared" si="243"/>
        <v>1.7829999999999999</v>
      </c>
      <c r="H1106">
        <v>25.81</v>
      </c>
      <c r="I1106" s="5">
        <f t="shared" si="239"/>
        <v>25.81</v>
      </c>
      <c r="J1106" s="16" t="str">
        <f t="shared" si="244"/>
        <v>Overweight</v>
      </c>
      <c r="K1106">
        <v>73.491</v>
      </c>
      <c r="L1106">
        <v>0.41199999999999998</v>
      </c>
      <c r="M1106" s="11">
        <f t="shared" si="240"/>
        <v>0.41199999999999998</v>
      </c>
      <c r="N1106" s="5">
        <f t="shared" si="245"/>
        <v>73.491</v>
      </c>
      <c r="O1106">
        <v>274</v>
      </c>
      <c r="P1106">
        <v>61</v>
      </c>
      <c r="Q1106" s="8">
        <f t="shared" si="246"/>
        <v>61</v>
      </c>
      <c r="R1106" s="8">
        <v>183</v>
      </c>
      <c r="S1106" s="8">
        <f t="shared" si="247"/>
        <v>183</v>
      </c>
      <c r="T1106" s="8">
        <f>(Table1[[#This Row],[Total Cholesterol (mg/dL)]]+Table1[[#This Row],[HDL (mg/dL)2]]+Table1[[#This Row],[Estimated LDL (mg/dL)2]])*5</f>
        <v>2590</v>
      </c>
      <c r="U1106" s="8">
        <f>IF(O1106="",Table1[[#This Row],[Estimated LDL (mg/dL)2]]+Table1[[#This Row],[HDL (mg/dL)2]]+(Table1[[#This Row],[Triglycerides]]/5),O1106)</f>
        <v>274</v>
      </c>
      <c r="V1106">
        <v>160</v>
      </c>
      <c r="W1106" s="8">
        <f t="shared" si="248"/>
        <v>160</v>
      </c>
      <c r="X1106" t="str">
        <f t="shared" si="249"/>
        <v>Diabetes</v>
      </c>
      <c r="Y1106" t="s">
        <v>23</v>
      </c>
      <c r="Z1106" t="s">
        <v>23</v>
      </c>
      <c r="AA1106" t="s">
        <v>28</v>
      </c>
      <c r="AB1106" s="3" t="s">
        <v>659</v>
      </c>
      <c r="AC1106">
        <v>111</v>
      </c>
      <c r="AD1106" s="3" t="str">
        <f t="shared" si="250"/>
        <v>111</v>
      </c>
      <c r="AE1106">
        <v>97</v>
      </c>
      <c r="AF1106" s="3" t="str">
        <f t="shared" si="251"/>
        <v>97</v>
      </c>
      <c r="AG1106" t="s">
        <v>38</v>
      </c>
      <c r="AH1106" s="3">
        <v>18.192</v>
      </c>
      <c r="AI1106" s="3">
        <f t="shared" si="252"/>
        <v>18.192</v>
      </c>
      <c r="AJ1106" t="s">
        <v>52</v>
      </c>
      <c r="AK1106" t="str">
        <f>PROPER(Table1[[#This Row],[CVD Risk Level]])</f>
        <v>Low</v>
      </c>
    </row>
    <row r="1107" spans="1:37" x14ac:dyDescent="0.3">
      <c r="A1107" t="s">
        <v>20</v>
      </c>
      <c r="B1107">
        <v>29</v>
      </c>
      <c r="C1107" s="8">
        <f t="shared" si="241"/>
        <v>29</v>
      </c>
      <c r="D1107" s="5">
        <v>112.22499999999999</v>
      </c>
      <c r="E1107" s="8">
        <f t="shared" si="242"/>
        <v>112.22499999999999</v>
      </c>
      <c r="F1107">
        <v>1.9339999999999999</v>
      </c>
      <c r="G1107" s="3">
        <f t="shared" si="243"/>
        <v>1.9339999999999999</v>
      </c>
      <c r="H1107">
        <v>23.06</v>
      </c>
      <c r="I1107" s="5">
        <f t="shared" si="239"/>
        <v>23.06</v>
      </c>
      <c r="J1107" s="16" t="str">
        <f t="shared" si="244"/>
        <v>Normal</v>
      </c>
      <c r="K1107">
        <v>110.373</v>
      </c>
      <c r="L1107">
        <v>0.57099999999999995</v>
      </c>
      <c r="M1107" s="11">
        <f t="shared" si="240"/>
        <v>0.57099999999999995</v>
      </c>
      <c r="N1107" s="5">
        <f t="shared" si="245"/>
        <v>110.373</v>
      </c>
      <c r="O1107">
        <v>247</v>
      </c>
      <c r="P1107">
        <v>66</v>
      </c>
      <c r="Q1107" s="8">
        <f t="shared" si="246"/>
        <v>66</v>
      </c>
      <c r="R1107" s="8">
        <v>151</v>
      </c>
      <c r="S1107" s="8">
        <f t="shared" si="247"/>
        <v>151</v>
      </c>
      <c r="T1107" s="8">
        <f>(Table1[[#This Row],[Total Cholesterol (mg/dL)]]+Table1[[#This Row],[HDL (mg/dL)2]]+Table1[[#This Row],[Estimated LDL (mg/dL)2]])*5</f>
        <v>2320</v>
      </c>
      <c r="U1107" s="8">
        <f>IF(O1107="",Table1[[#This Row],[Estimated LDL (mg/dL)2]]+Table1[[#This Row],[HDL (mg/dL)2]]+(Table1[[#This Row],[Triglycerides]]/5),O1107)</f>
        <v>247</v>
      </c>
      <c r="V1107">
        <v>151</v>
      </c>
      <c r="W1107" s="8">
        <f t="shared" si="248"/>
        <v>151</v>
      </c>
      <c r="X1107" t="str">
        <f t="shared" si="249"/>
        <v>Diabetes</v>
      </c>
      <c r="Y1107" t="s">
        <v>22</v>
      </c>
      <c r="Z1107" t="s">
        <v>22</v>
      </c>
      <c r="AA1107" t="s">
        <v>37</v>
      </c>
      <c r="AB1107" s="3" t="s">
        <v>947</v>
      </c>
      <c r="AC1107">
        <v>178</v>
      </c>
      <c r="AD1107" s="3" t="str">
        <f t="shared" si="250"/>
        <v>178</v>
      </c>
      <c r="AE1107">
        <v>90</v>
      </c>
      <c r="AF1107" s="3" t="str">
        <f t="shared" si="251"/>
        <v>90</v>
      </c>
      <c r="AG1107" t="s">
        <v>38</v>
      </c>
      <c r="AH1107" s="3">
        <v>18.452000000000002</v>
      </c>
      <c r="AI1107" s="3">
        <f t="shared" si="252"/>
        <v>18.452000000000002</v>
      </c>
      <c r="AJ1107" t="s">
        <v>26</v>
      </c>
      <c r="AK1107" t="str">
        <f>PROPER(Table1[[#This Row],[CVD Risk Level]])</f>
        <v>Intermediary</v>
      </c>
    </row>
    <row r="1108" spans="1:37" x14ac:dyDescent="0.3">
      <c r="A1108" t="s">
        <v>31</v>
      </c>
      <c r="B1108">
        <v>45</v>
      </c>
      <c r="C1108" s="8">
        <f t="shared" si="241"/>
        <v>45</v>
      </c>
      <c r="D1108" s="5">
        <v>73.935000000000002</v>
      </c>
      <c r="E1108" s="8">
        <f t="shared" si="242"/>
        <v>73.935000000000002</v>
      </c>
      <c r="F1108">
        <v>1.9279999999999999</v>
      </c>
      <c r="G1108" s="3">
        <f t="shared" si="243"/>
        <v>1.9279999999999999</v>
      </c>
      <c r="H1108">
        <v>38.51</v>
      </c>
      <c r="I1108" s="5">
        <f t="shared" si="239"/>
        <v>38.51</v>
      </c>
      <c r="J1108" s="16" t="str">
        <f t="shared" si="244"/>
        <v>Obese</v>
      </c>
      <c r="K1108">
        <v>112.14700000000001</v>
      </c>
      <c r="L1108">
        <v>0.58199999999999996</v>
      </c>
      <c r="M1108" s="11">
        <f t="shared" si="240"/>
        <v>0.58199999999999996</v>
      </c>
      <c r="N1108" s="5">
        <f t="shared" si="245"/>
        <v>112.14700000000001</v>
      </c>
      <c r="O1108">
        <v>167</v>
      </c>
      <c r="P1108">
        <v>71</v>
      </c>
      <c r="Q1108" s="8">
        <f t="shared" si="246"/>
        <v>71</v>
      </c>
      <c r="R1108" s="8">
        <v>66</v>
      </c>
      <c r="S1108" s="8">
        <f>IF(R1108&lt;=0,MEDIAN($R$2:$R$1530),R1108)</f>
        <v>66</v>
      </c>
      <c r="T1108" s="8">
        <f>(Table1[[#This Row],[Total Cholesterol (mg/dL)]]+Table1[[#This Row],[HDL (mg/dL)2]]+Table1[[#This Row],[Estimated LDL (mg/dL)2]])*5</f>
        <v>1520</v>
      </c>
      <c r="U1108" s="8">
        <f>IF(O1108="",Table1[[#This Row],[Estimated LDL (mg/dL)2]]+Table1[[#This Row],[HDL (mg/dL)2]]+(Table1[[#This Row],[Triglycerides]]/5),O1108)</f>
        <v>167</v>
      </c>
      <c r="V1108">
        <v>115</v>
      </c>
      <c r="W1108" s="8">
        <f t="shared" si="248"/>
        <v>115</v>
      </c>
      <c r="X1108" t="str">
        <f t="shared" si="249"/>
        <v>Prediabetes</v>
      </c>
      <c r="Y1108" t="s">
        <v>22</v>
      </c>
      <c r="Z1108" t="s">
        <v>23</v>
      </c>
      <c r="AA1108" t="s">
        <v>28</v>
      </c>
      <c r="AB1108" s="3" t="s">
        <v>948</v>
      </c>
      <c r="AC1108">
        <v>159</v>
      </c>
      <c r="AD1108" s="3" t="str">
        <f t="shared" si="250"/>
        <v>159</v>
      </c>
      <c r="AE1108">
        <v>78</v>
      </c>
      <c r="AF1108" s="3" t="str">
        <f t="shared" si="251"/>
        <v>78</v>
      </c>
      <c r="AG1108" t="s">
        <v>38</v>
      </c>
      <c r="AH1108" s="3">
        <v>20.992000000000001</v>
      </c>
      <c r="AI1108" s="3">
        <f t="shared" si="252"/>
        <v>20.992000000000001</v>
      </c>
      <c r="AJ1108" t="s">
        <v>52</v>
      </c>
      <c r="AK1108" t="str">
        <f>PROPER(Table1[[#This Row],[CVD Risk Level]])</f>
        <v>Low</v>
      </c>
    </row>
    <row r="1109" spans="1:37" x14ac:dyDescent="0.3">
      <c r="A1109" t="s">
        <v>31</v>
      </c>
      <c r="B1109">
        <v>37</v>
      </c>
      <c r="C1109" s="8">
        <f t="shared" si="241"/>
        <v>37</v>
      </c>
      <c r="D1109" s="5">
        <v>116.535</v>
      </c>
      <c r="E1109" s="8">
        <f t="shared" si="242"/>
        <v>116.535</v>
      </c>
      <c r="F1109">
        <v>1.8120000000000001</v>
      </c>
      <c r="G1109" s="3">
        <f t="shared" si="243"/>
        <v>1.8120000000000001</v>
      </c>
      <c r="H1109">
        <v>28.501999999999999</v>
      </c>
      <c r="I1109" s="5">
        <f t="shared" si="239"/>
        <v>28.501999999999999</v>
      </c>
      <c r="J1109" s="16" t="str">
        <f t="shared" si="244"/>
        <v>Overweight</v>
      </c>
      <c r="K1109">
        <v>76.302000000000007</v>
      </c>
      <c r="L1109">
        <v>0.42099999999999999</v>
      </c>
      <c r="M1109" s="11">
        <f t="shared" si="240"/>
        <v>0.42099999999999999</v>
      </c>
      <c r="N1109" s="5">
        <f t="shared" si="245"/>
        <v>76.302000000000007</v>
      </c>
      <c r="O1109">
        <v>143</v>
      </c>
      <c r="P1109">
        <v>61</v>
      </c>
      <c r="Q1109" s="8">
        <f t="shared" si="246"/>
        <v>61</v>
      </c>
      <c r="R1109" s="8">
        <v>52</v>
      </c>
      <c r="S1109" s="8">
        <f t="shared" si="247"/>
        <v>52</v>
      </c>
      <c r="T1109" s="8">
        <f>(Table1[[#This Row],[Total Cholesterol (mg/dL)]]+Table1[[#This Row],[HDL (mg/dL)2]]+Table1[[#This Row],[Estimated LDL (mg/dL)2]])*5</f>
        <v>1280</v>
      </c>
      <c r="U1109" s="8">
        <f>IF(O1109="",Table1[[#This Row],[Estimated LDL (mg/dL)2]]+Table1[[#This Row],[HDL (mg/dL)2]]+(Table1[[#This Row],[Triglycerides]]/5),O1109)</f>
        <v>143</v>
      </c>
      <c r="V1109">
        <v>145</v>
      </c>
      <c r="W1109" s="8">
        <f t="shared" si="248"/>
        <v>145</v>
      </c>
      <c r="X1109" t="str">
        <f t="shared" si="249"/>
        <v>Diabetes</v>
      </c>
      <c r="Y1109" t="s">
        <v>22</v>
      </c>
      <c r="Z1109" t="s">
        <v>23</v>
      </c>
      <c r="AA1109" t="s">
        <v>37</v>
      </c>
      <c r="AB1109" s="3" t="s">
        <v>663</v>
      </c>
      <c r="AC1109">
        <v>118</v>
      </c>
      <c r="AD1109" s="3" t="str">
        <f t="shared" si="250"/>
        <v>118</v>
      </c>
      <c r="AE1109">
        <v>78</v>
      </c>
      <c r="AF1109" s="3" t="str">
        <f t="shared" si="251"/>
        <v>78</v>
      </c>
      <c r="AG1109" t="s">
        <v>33</v>
      </c>
      <c r="AH1109" s="3">
        <v>16.46</v>
      </c>
      <c r="AI1109" s="3">
        <f t="shared" si="252"/>
        <v>16.46</v>
      </c>
      <c r="AJ1109" t="s">
        <v>26</v>
      </c>
      <c r="AK1109" t="str">
        <f>PROPER(Table1[[#This Row],[CVD Risk Level]])</f>
        <v>Intermediary</v>
      </c>
    </row>
    <row r="1110" spans="1:37" x14ac:dyDescent="0.3">
      <c r="A1110" t="s">
        <v>20</v>
      </c>
      <c r="B1110">
        <v>34</v>
      </c>
      <c r="C1110" s="8">
        <f t="shared" si="241"/>
        <v>34</v>
      </c>
      <c r="D1110" s="5">
        <v>76.59</v>
      </c>
      <c r="E1110" s="8">
        <f t="shared" si="242"/>
        <v>76.59</v>
      </c>
      <c r="F1110">
        <v>1.7270000000000001</v>
      </c>
      <c r="G1110" s="3">
        <f t="shared" si="243"/>
        <v>1.7270000000000001</v>
      </c>
      <c r="H1110">
        <v>22.260999999999999</v>
      </c>
      <c r="I1110" s="5">
        <f t="shared" si="239"/>
        <v>22.260999999999999</v>
      </c>
      <c r="J1110" s="16" t="str">
        <f t="shared" si="244"/>
        <v>Normal</v>
      </c>
      <c r="K1110">
        <v>87.186999999999998</v>
      </c>
      <c r="L1110">
        <v>0.505</v>
      </c>
      <c r="M1110" s="11">
        <f t="shared" si="240"/>
        <v>0.505</v>
      </c>
      <c r="N1110" s="5">
        <f t="shared" si="245"/>
        <v>87.186999999999998</v>
      </c>
      <c r="O1110">
        <v>245</v>
      </c>
      <c r="P1110">
        <v>71</v>
      </c>
      <c r="Q1110" s="8">
        <f t="shared" si="246"/>
        <v>71</v>
      </c>
      <c r="R1110" s="8">
        <v>144</v>
      </c>
      <c r="S1110" s="8">
        <f>IF(R1110&lt;=0,MEDIAN($R$2:$R$1530),R1110)</f>
        <v>144</v>
      </c>
      <c r="T1110" s="8">
        <f>(Table1[[#This Row],[Total Cholesterol (mg/dL)]]+Table1[[#This Row],[HDL (mg/dL)2]]+Table1[[#This Row],[Estimated LDL (mg/dL)2]])*5</f>
        <v>2300</v>
      </c>
      <c r="U1110" s="8">
        <f>IF(O1110="",Table1[[#This Row],[Estimated LDL (mg/dL)2]]+Table1[[#This Row],[HDL (mg/dL)2]]+(Table1[[#This Row],[Triglycerides]]/5),O1110)</f>
        <v>245</v>
      </c>
      <c r="V1110">
        <v>156</v>
      </c>
      <c r="W1110" s="8">
        <f t="shared" si="248"/>
        <v>156</v>
      </c>
      <c r="X1110" t="str">
        <f t="shared" si="249"/>
        <v>Diabetes</v>
      </c>
      <c r="Y1110" t="s">
        <v>22</v>
      </c>
      <c r="Z1110" t="s">
        <v>23</v>
      </c>
      <c r="AA1110" t="s">
        <v>24</v>
      </c>
      <c r="AB1110" s="3" t="s">
        <v>949</v>
      </c>
      <c r="AC1110">
        <v>138</v>
      </c>
      <c r="AD1110" s="3" t="str">
        <f t="shared" si="250"/>
        <v>138</v>
      </c>
      <c r="AE1110">
        <v>71</v>
      </c>
      <c r="AF1110" s="3" t="str">
        <f t="shared" si="251"/>
        <v>71</v>
      </c>
      <c r="AG1110" t="s">
        <v>29</v>
      </c>
      <c r="AH1110" s="3">
        <v>18.251999999999999</v>
      </c>
      <c r="AI1110" s="3">
        <f t="shared" si="252"/>
        <v>18.251999999999999</v>
      </c>
      <c r="AJ1110" t="s">
        <v>26</v>
      </c>
      <c r="AK1110" t="str">
        <f>PROPER(Table1[[#This Row],[CVD Risk Level]])</f>
        <v>Intermediary</v>
      </c>
    </row>
    <row r="1111" spans="1:37" x14ac:dyDescent="0.3">
      <c r="A1111" t="s">
        <v>20</v>
      </c>
      <c r="B1111">
        <v>72</v>
      </c>
      <c r="C1111" s="8">
        <f t="shared" si="241"/>
        <v>72</v>
      </c>
      <c r="D1111" s="5">
        <v>96.578999999999994</v>
      </c>
      <c r="E1111" s="8">
        <f t="shared" si="242"/>
        <v>96.578999999999994</v>
      </c>
      <c r="F1111">
        <v>1.8640000000000001</v>
      </c>
      <c r="G1111" s="3">
        <f t="shared" si="243"/>
        <v>1.8640000000000001</v>
      </c>
      <c r="H1111">
        <v>35.783000000000001</v>
      </c>
      <c r="I1111" s="5">
        <f t="shared" si="239"/>
        <v>35.783000000000001</v>
      </c>
      <c r="J1111" s="16" t="str">
        <f t="shared" si="244"/>
        <v>Obese</v>
      </c>
      <c r="K1111">
        <v>93.995999999999995</v>
      </c>
      <c r="L1111">
        <v>0.504</v>
      </c>
      <c r="M1111" s="11">
        <f t="shared" si="240"/>
        <v>0.504</v>
      </c>
      <c r="N1111" s="5">
        <f t="shared" si="245"/>
        <v>93.995999999999995</v>
      </c>
      <c r="O1111">
        <v>282</v>
      </c>
      <c r="P1111">
        <v>59</v>
      </c>
      <c r="Q1111" s="8">
        <f t="shared" si="246"/>
        <v>59</v>
      </c>
      <c r="R1111" s="8">
        <v>193</v>
      </c>
      <c r="S1111" s="8">
        <f t="shared" si="247"/>
        <v>193</v>
      </c>
      <c r="T1111" s="8">
        <f>(Table1[[#This Row],[Total Cholesterol (mg/dL)]]+Table1[[#This Row],[HDL (mg/dL)2]]+Table1[[#This Row],[Estimated LDL (mg/dL)2]])*5</f>
        <v>2670</v>
      </c>
      <c r="U1111" s="8">
        <f>IF(O1111="",Table1[[#This Row],[Estimated LDL (mg/dL)2]]+Table1[[#This Row],[HDL (mg/dL)2]]+(Table1[[#This Row],[Triglycerides]]/5),O1111)</f>
        <v>282</v>
      </c>
      <c r="V1111">
        <v>174</v>
      </c>
      <c r="W1111" s="8">
        <f t="shared" si="248"/>
        <v>174</v>
      </c>
      <c r="X1111" t="str">
        <f t="shared" si="249"/>
        <v>Diabetes</v>
      </c>
      <c r="Y1111" t="s">
        <v>22</v>
      </c>
      <c r="Z1111" t="s">
        <v>22</v>
      </c>
      <c r="AA1111" t="s">
        <v>37</v>
      </c>
      <c r="AB1111" s="3" t="s">
        <v>96</v>
      </c>
      <c r="AC1111">
        <v>114</v>
      </c>
      <c r="AD1111" s="3" t="str">
        <f t="shared" si="250"/>
        <v>114</v>
      </c>
      <c r="AE1111">
        <v>91</v>
      </c>
      <c r="AF1111" s="3" t="str">
        <f t="shared" si="251"/>
        <v>91</v>
      </c>
      <c r="AG1111" t="s">
        <v>38</v>
      </c>
      <c r="AH1111" s="3">
        <v>18.497</v>
      </c>
      <c r="AI1111" s="3">
        <f t="shared" si="252"/>
        <v>18.497</v>
      </c>
      <c r="AJ1111" t="s">
        <v>52</v>
      </c>
      <c r="AK1111" t="str">
        <f>PROPER(Table1[[#This Row],[CVD Risk Level]])</f>
        <v>Low</v>
      </c>
    </row>
    <row r="1112" spans="1:37" x14ac:dyDescent="0.3">
      <c r="A1112" t="s">
        <v>31</v>
      </c>
      <c r="B1112">
        <v>75</v>
      </c>
      <c r="C1112" s="8">
        <f t="shared" si="241"/>
        <v>75</v>
      </c>
      <c r="D1112" s="5">
        <v>61.744999999999997</v>
      </c>
      <c r="E1112" s="8">
        <f t="shared" si="242"/>
        <v>61.744999999999997</v>
      </c>
      <c r="F1112">
        <v>1.8149999999999999</v>
      </c>
      <c r="G1112" s="3">
        <f t="shared" si="243"/>
        <v>1.8149999999999999</v>
      </c>
      <c r="H1112">
        <v>33.881</v>
      </c>
      <c r="I1112" s="5">
        <f t="shared" si="239"/>
        <v>33.881</v>
      </c>
      <c r="J1112" s="16" t="str">
        <f t="shared" si="244"/>
        <v>Obese</v>
      </c>
      <c r="K1112">
        <v>81.766000000000005</v>
      </c>
      <c r="M1112" s="11">
        <f t="shared" si="240"/>
        <v>0.45050137741046836</v>
      </c>
      <c r="N1112" s="5">
        <f t="shared" si="245"/>
        <v>81.766000000000005</v>
      </c>
      <c r="O1112">
        <v>277</v>
      </c>
      <c r="P1112">
        <v>53</v>
      </c>
      <c r="Q1112" s="8">
        <f t="shared" si="246"/>
        <v>53</v>
      </c>
      <c r="R1112" s="8">
        <v>194</v>
      </c>
      <c r="S1112" s="8">
        <f t="shared" si="247"/>
        <v>194</v>
      </c>
      <c r="T1112" s="8">
        <f>(Table1[[#This Row],[Total Cholesterol (mg/dL)]]+Table1[[#This Row],[HDL (mg/dL)2]]+Table1[[#This Row],[Estimated LDL (mg/dL)2]])*5</f>
        <v>2620</v>
      </c>
      <c r="U1112" s="8">
        <f>IF(O1112="",Table1[[#This Row],[Estimated LDL (mg/dL)2]]+Table1[[#This Row],[HDL (mg/dL)2]]+(Table1[[#This Row],[Triglycerides]]/5),O1112)</f>
        <v>277</v>
      </c>
      <c r="V1112">
        <v>100</v>
      </c>
      <c r="W1112" s="8">
        <f t="shared" si="248"/>
        <v>100</v>
      </c>
      <c r="X1112" t="str">
        <f t="shared" si="249"/>
        <v>Prediabetes</v>
      </c>
      <c r="Y1112" t="s">
        <v>23</v>
      </c>
      <c r="Z1112" t="s">
        <v>23</v>
      </c>
      <c r="AA1112" t="s">
        <v>28</v>
      </c>
      <c r="AB1112" s="3" t="s">
        <v>950</v>
      </c>
      <c r="AC1112">
        <v>161</v>
      </c>
      <c r="AD1112" s="3" t="str">
        <f t="shared" si="250"/>
        <v>161</v>
      </c>
      <c r="AE1112">
        <v>97</v>
      </c>
      <c r="AF1112" s="3" t="str">
        <f t="shared" si="251"/>
        <v>97</v>
      </c>
      <c r="AG1112" t="s">
        <v>38</v>
      </c>
      <c r="AH1112" s="3">
        <v>22.366</v>
      </c>
      <c r="AI1112" s="3">
        <f t="shared" si="252"/>
        <v>22.366</v>
      </c>
      <c r="AJ1112" t="s">
        <v>52</v>
      </c>
      <c r="AK1112" t="str">
        <f>PROPER(Table1[[#This Row],[CVD Risk Level]])</f>
        <v>Low</v>
      </c>
    </row>
    <row r="1113" spans="1:37" x14ac:dyDescent="0.3">
      <c r="A1113" t="s">
        <v>31</v>
      </c>
      <c r="B1113">
        <v>27</v>
      </c>
      <c r="C1113" s="8">
        <f t="shared" si="241"/>
        <v>27</v>
      </c>
      <c r="D1113" s="5">
        <v>104.574</v>
      </c>
      <c r="E1113" s="8">
        <f t="shared" si="242"/>
        <v>104.574</v>
      </c>
      <c r="F1113">
        <v>1.6519999999999999</v>
      </c>
      <c r="G1113" s="3">
        <f t="shared" si="243"/>
        <v>1.6519999999999999</v>
      </c>
      <c r="H1113">
        <v>36.427</v>
      </c>
      <c r="I1113" s="5">
        <f t="shared" si="239"/>
        <v>36.427</v>
      </c>
      <c r="J1113" s="16" t="str">
        <f t="shared" si="244"/>
        <v>Obese</v>
      </c>
      <c r="K1113">
        <v>102.483</v>
      </c>
      <c r="L1113">
        <v>0.621</v>
      </c>
      <c r="M1113" s="11">
        <f t="shared" si="240"/>
        <v>0.621</v>
      </c>
      <c r="N1113" s="5">
        <f t="shared" si="245"/>
        <v>102.483</v>
      </c>
      <c r="O1113">
        <v>179</v>
      </c>
      <c r="P1113">
        <v>62</v>
      </c>
      <c r="Q1113" s="8">
        <f t="shared" si="246"/>
        <v>62</v>
      </c>
      <c r="R1113" s="8">
        <v>87</v>
      </c>
      <c r="S1113" s="8">
        <f t="shared" si="247"/>
        <v>87</v>
      </c>
      <c r="T1113" s="8">
        <f>(Table1[[#This Row],[Total Cholesterol (mg/dL)]]+Table1[[#This Row],[HDL (mg/dL)2]]+Table1[[#This Row],[Estimated LDL (mg/dL)2]])*5</f>
        <v>1640</v>
      </c>
      <c r="U1113" s="8">
        <f>IF(O1113="",Table1[[#This Row],[Estimated LDL (mg/dL)2]]+Table1[[#This Row],[HDL (mg/dL)2]]+(Table1[[#This Row],[Triglycerides]]/5),O1113)</f>
        <v>179</v>
      </c>
      <c r="V1113">
        <v>154</v>
      </c>
      <c r="W1113" s="8">
        <f t="shared" si="248"/>
        <v>154</v>
      </c>
      <c r="X1113" t="str">
        <f t="shared" si="249"/>
        <v>Diabetes</v>
      </c>
      <c r="Y1113" t="s">
        <v>23</v>
      </c>
      <c r="Z1113" t="s">
        <v>23</v>
      </c>
      <c r="AA1113" t="s">
        <v>24</v>
      </c>
      <c r="AB1113" s="3" t="s">
        <v>951</v>
      </c>
      <c r="AC1113">
        <v>179</v>
      </c>
      <c r="AD1113" s="3" t="str">
        <f t="shared" si="250"/>
        <v>179</v>
      </c>
      <c r="AE1113">
        <v>97</v>
      </c>
      <c r="AF1113" s="3" t="str">
        <f t="shared" si="251"/>
        <v>97</v>
      </c>
      <c r="AG1113" t="s">
        <v>38</v>
      </c>
      <c r="AH1113" s="3">
        <v>21.815000000000001</v>
      </c>
      <c r="AI1113" s="3">
        <f t="shared" si="252"/>
        <v>21.815000000000001</v>
      </c>
      <c r="AJ1113" t="s">
        <v>26</v>
      </c>
      <c r="AK1113" t="str">
        <f>PROPER(Table1[[#This Row],[CVD Risk Level]])</f>
        <v>Intermediary</v>
      </c>
    </row>
    <row r="1114" spans="1:37" x14ac:dyDescent="0.3">
      <c r="A1114" t="s">
        <v>31</v>
      </c>
      <c r="B1114">
        <v>60</v>
      </c>
      <c r="C1114" s="8">
        <f t="shared" si="241"/>
        <v>60</v>
      </c>
      <c r="D1114" s="5">
        <v>113.801</v>
      </c>
      <c r="E1114" s="8">
        <f t="shared" si="242"/>
        <v>113.801</v>
      </c>
      <c r="F1114">
        <v>2</v>
      </c>
      <c r="G1114" s="3">
        <f t="shared" si="243"/>
        <v>2</v>
      </c>
      <c r="H1114">
        <v>26.901</v>
      </c>
      <c r="I1114" s="5">
        <f t="shared" si="239"/>
        <v>26.901</v>
      </c>
      <c r="J1114" s="16" t="str">
        <f t="shared" si="244"/>
        <v>Overweight</v>
      </c>
      <c r="K1114">
        <v>96.6</v>
      </c>
      <c r="L1114">
        <v>0.48299999999999998</v>
      </c>
      <c r="M1114" s="11">
        <f t="shared" si="240"/>
        <v>0.48299999999999998</v>
      </c>
      <c r="N1114" s="5">
        <f t="shared" si="245"/>
        <v>96.6</v>
      </c>
      <c r="O1114">
        <v>273</v>
      </c>
      <c r="P1114">
        <v>70</v>
      </c>
      <c r="Q1114" s="8">
        <f t="shared" si="246"/>
        <v>70</v>
      </c>
      <c r="R1114" s="8">
        <v>173</v>
      </c>
      <c r="S1114" s="8">
        <f t="shared" si="247"/>
        <v>173</v>
      </c>
      <c r="T1114" s="8">
        <f>(Table1[[#This Row],[Total Cholesterol (mg/dL)]]+Table1[[#This Row],[HDL (mg/dL)2]]+Table1[[#This Row],[Estimated LDL (mg/dL)2]])*5</f>
        <v>2580</v>
      </c>
      <c r="U1114" s="8">
        <f>IF(O1114="",Table1[[#This Row],[Estimated LDL (mg/dL)2]]+Table1[[#This Row],[HDL (mg/dL)2]]+(Table1[[#This Row],[Triglycerides]]/5),O1114)</f>
        <v>273</v>
      </c>
      <c r="V1114">
        <v>125</v>
      </c>
      <c r="W1114" s="8">
        <f t="shared" si="248"/>
        <v>125</v>
      </c>
      <c r="X1114" t="str">
        <f t="shared" si="249"/>
        <v>Prediabetes</v>
      </c>
      <c r="Y1114" t="s">
        <v>23</v>
      </c>
      <c r="Z1114" t="s">
        <v>23</v>
      </c>
      <c r="AA1114" t="s">
        <v>37</v>
      </c>
      <c r="AB1114" s="3" t="s">
        <v>952</v>
      </c>
      <c r="AC1114">
        <v>125</v>
      </c>
      <c r="AD1114" s="3" t="str">
        <f t="shared" si="250"/>
        <v>125</v>
      </c>
      <c r="AE1114">
        <v>116</v>
      </c>
      <c r="AF1114" s="3" t="str">
        <f t="shared" si="251"/>
        <v>116</v>
      </c>
      <c r="AG1114" t="s">
        <v>38</v>
      </c>
      <c r="AH1114" s="3">
        <v>19.09</v>
      </c>
      <c r="AI1114" s="3">
        <f t="shared" si="252"/>
        <v>19.09</v>
      </c>
      <c r="AJ1114" t="s">
        <v>26</v>
      </c>
      <c r="AK1114" t="str">
        <f>PROPER(Table1[[#This Row],[CVD Risk Level]])</f>
        <v>Intermediary</v>
      </c>
    </row>
    <row r="1115" spans="1:37" x14ac:dyDescent="0.3">
      <c r="A1115" t="s">
        <v>20</v>
      </c>
      <c r="B1115">
        <v>70</v>
      </c>
      <c r="C1115" s="8">
        <f t="shared" si="241"/>
        <v>70</v>
      </c>
      <c r="D1115" s="5">
        <v>85.24</v>
      </c>
      <c r="E1115" s="8">
        <f t="shared" si="242"/>
        <v>85.24</v>
      </c>
      <c r="F1115">
        <v>1.7969999999999999</v>
      </c>
      <c r="G1115" s="3">
        <f t="shared" si="243"/>
        <v>1.7969999999999999</v>
      </c>
      <c r="H1115">
        <v>23.600999999999999</v>
      </c>
      <c r="I1115" s="5">
        <f t="shared" si="239"/>
        <v>23.600999999999999</v>
      </c>
      <c r="J1115" s="16" t="str">
        <f t="shared" si="244"/>
        <v>Normal</v>
      </c>
      <c r="K1115">
        <v>82.224000000000004</v>
      </c>
      <c r="L1115">
        <v>0.45700000000000002</v>
      </c>
      <c r="M1115" s="11">
        <f t="shared" si="240"/>
        <v>0.45700000000000002</v>
      </c>
      <c r="N1115" s="5">
        <f t="shared" si="245"/>
        <v>82.224000000000004</v>
      </c>
      <c r="O1115">
        <v>224</v>
      </c>
      <c r="P1115">
        <v>67</v>
      </c>
      <c r="Q1115" s="8">
        <f t="shared" si="246"/>
        <v>67</v>
      </c>
      <c r="R1115" s="8">
        <v>127</v>
      </c>
      <c r="S1115" s="8">
        <f>IF(R1115&lt;=0,MEDIAN($R$2:$R$1530),R1115)</f>
        <v>127</v>
      </c>
      <c r="T1115" s="8">
        <f>(Table1[[#This Row],[Total Cholesterol (mg/dL)]]+Table1[[#This Row],[HDL (mg/dL)2]]+Table1[[#This Row],[Estimated LDL (mg/dL)2]])*5</f>
        <v>2090</v>
      </c>
      <c r="U1115" s="8">
        <f>IF(O1115="",Table1[[#This Row],[Estimated LDL (mg/dL)2]]+Table1[[#This Row],[HDL (mg/dL)2]]+(Table1[[#This Row],[Triglycerides]]/5),O1115)</f>
        <v>224</v>
      </c>
      <c r="V1115">
        <v>171</v>
      </c>
      <c r="W1115" s="8">
        <f t="shared" si="248"/>
        <v>171</v>
      </c>
      <c r="X1115" t="str">
        <f t="shared" si="249"/>
        <v>Diabetes</v>
      </c>
      <c r="Y1115" t="s">
        <v>23</v>
      </c>
      <c r="Z1115" t="s">
        <v>22</v>
      </c>
      <c r="AA1115" t="s">
        <v>28</v>
      </c>
      <c r="AB1115" s="3" t="s">
        <v>953</v>
      </c>
      <c r="AC1115">
        <v>125</v>
      </c>
      <c r="AD1115" s="3" t="str">
        <f t="shared" si="250"/>
        <v>125</v>
      </c>
      <c r="AE1115">
        <v>72</v>
      </c>
      <c r="AF1115" s="3" t="str">
        <f t="shared" si="251"/>
        <v>72</v>
      </c>
      <c r="AG1115" t="s">
        <v>25</v>
      </c>
      <c r="AH1115" s="3">
        <v>15.45</v>
      </c>
      <c r="AI1115" s="3">
        <f t="shared" si="252"/>
        <v>15.45</v>
      </c>
      <c r="AJ1115" t="s">
        <v>52</v>
      </c>
      <c r="AK1115" t="str">
        <f>PROPER(Table1[[#This Row],[CVD Risk Level]])</f>
        <v>Low</v>
      </c>
    </row>
    <row r="1116" spans="1:37" x14ac:dyDescent="0.3">
      <c r="A1116" t="s">
        <v>31</v>
      </c>
      <c r="B1116">
        <v>55</v>
      </c>
      <c r="C1116" s="8">
        <f t="shared" si="241"/>
        <v>55</v>
      </c>
      <c r="E1116" s="8">
        <f t="shared" si="242"/>
        <v>121.20053895199999</v>
      </c>
      <c r="F1116">
        <v>1.847</v>
      </c>
      <c r="G1116" s="3">
        <f t="shared" si="243"/>
        <v>1.847</v>
      </c>
      <c r="H1116">
        <v>35.527999999999999</v>
      </c>
      <c r="I1116" s="5">
        <f t="shared" si="239"/>
        <v>35.527999999999999</v>
      </c>
      <c r="J1116" s="16" t="str">
        <f t="shared" si="244"/>
        <v>Obese</v>
      </c>
      <c r="K1116">
        <v>114.91200000000001</v>
      </c>
      <c r="L1116">
        <v>0.622</v>
      </c>
      <c r="M1116" s="11">
        <f t="shared" si="240"/>
        <v>0.622</v>
      </c>
      <c r="N1116" s="5">
        <f t="shared" si="245"/>
        <v>114.91200000000001</v>
      </c>
      <c r="O1116">
        <v>296</v>
      </c>
      <c r="P1116">
        <v>36</v>
      </c>
      <c r="Q1116" s="8">
        <f t="shared" si="246"/>
        <v>36</v>
      </c>
      <c r="R1116" s="8">
        <v>230</v>
      </c>
      <c r="S1116" s="8">
        <f t="shared" si="247"/>
        <v>230</v>
      </c>
      <c r="T1116" s="8">
        <f>(Table1[[#This Row],[Total Cholesterol (mg/dL)]]+Table1[[#This Row],[HDL (mg/dL)2]]+Table1[[#This Row],[Estimated LDL (mg/dL)2]])*5</f>
        <v>2810</v>
      </c>
      <c r="U1116" s="8">
        <f>IF(O1116="",Table1[[#This Row],[Estimated LDL (mg/dL)2]]+Table1[[#This Row],[HDL (mg/dL)2]]+(Table1[[#This Row],[Triglycerides]]/5),O1116)</f>
        <v>296</v>
      </c>
      <c r="V1116">
        <v>73</v>
      </c>
      <c r="W1116" s="8">
        <f t="shared" si="248"/>
        <v>73</v>
      </c>
      <c r="X1116" t="str">
        <f t="shared" si="249"/>
        <v>Normal</v>
      </c>
      <c r="Y1116" t="s">
        <v>22</v>
      </c>
      <c r="Z1116" t="s">
        <v>23</v>
      </c>
      <c r="AA1116" t="s">
        <v>24</v>
      </c>
      <c r="AB1116" s="3" t="s">
        <v>954</v>
      </c>
      <c r="AC1116">
        <v>112</v>
      </c>
      <c r="AD1116" s="3" t="str">
        <f t="shared" si="250"/>
        <v>112</v>
      </c>
      <c r="AE1116">
        <v>113</v>
      </c>
      <c r="AF1116" s="3" t="str">
        <f t="shared" si="251"/>
        <v>113</v>
      </c>
      <c r="AG1116" t="s">
        <v>38</v>
      </c>
      <c r="AH1116" s="3">
        <v>20.626000000000001</v>
      </c>
      <c r="AI1116" s="3">
        <f t="shared" si="252"/>
        <v>20.626000000000001</v>
      </c>
      <c r="AJ1116" t="s">
        <v>30</v>
      </c>
      <c r="AK1116" t="str">
        <f>PROPER(Table1[[#This Row],[CVD Risk Level]])</f>
        <v>High</v>
      </c>
    </row>
    <row r="1117" spans="1:37" x14ac:dyDescent="0.3">
      <c r="A1117" t="s">
        <v>20</v>
      </c>
      <c r="B1117">
        <v>79</v>
      </c>
      <c r="C1117" s="8">
        <f t="shared" si="241"/>
        <v>79</v>
      </c>
      <c r="D1117" s="5">
        <v>106.143</v>
      </c>
      <c r="E1117" s="8">
        <f t="shared" si="242"/>
        <v>106.143</v>
      </c>
      <c r="F1117">
        <v>1.8480000000000001</v>
      </c>
      <c r="G1117" s="3">
        <f t="shared" si="243"/>
        <v>1.8480000000000001</v>
      </c>
      <c r="H1117">
        <v>37.142000000000003</v>
      </c>
      <c r="I1117" s="5">
        <f t="shared" si="239"/>
        <v>37.142000000000003</v>
      </c>
      <c r="J1117" s="16" t="str">
        <f t="shared" si="244"/>
        <v>Obese</v>
      </c>
      <c r="K1117">
        <v>82.367999999999995</v>
      </c>
      <c r="L1117">
        <v>0.44600000000000001</v>
      </c>
      <c r="M1117" s="11">
        <f t="shared" si="240"/>
        <v>0.44600000000000001</v>
      </c>
      <c r="N1117" s="5">
        <f t="shared" si="245"/>
        <v>82.367999999999995</v>
      </c>
      <c r="Q1117" s="8">
        <f t="shared" si="246"/>
        <v>56.197377501725327</v>
      </c>
      <c r="R1117" s="8">
        <v>127</v>
      </c>
      <c r="S1117" s="8">
        <f t="shared" si="247"/>
        <v>127</v>
      </c>
      <c r="T1117" s="8">
        <f>(Table1[[#This Row],[Total Cholesterol (mg/dL)]]+Table1[[#This Row],[HDL (mg/dL)2]]+Table1[[#This Row],[Estimated LDL (mg/dL)2]])*5</f>
        <v>915.98688750862664</v>
      </c>
      <c r="U1117" s="8">
        <f>IF(O1117="",Table1[[#This Row],[Estimated LDL (mg/dL)2]]+Table1[[#This Row],[HDL (mg/dL)2]]+(Table1[[#This Row],[Triglycerides]]/5),O1117)</f>
        <v>366.39475500345065</v>
      </c>
      <c r="V1117">
        <v>187</v>
      </c>
      <c r="W1117" s="8">
        <f t="shared" si="248"/>
        <v>187</v>
      </c>
      <c r="X1117" t="str">
        <f t="shared" si="249"/>
        <v>Diabetes</v>
      </c>
      <c r="Y1117" t="s">
        <v>23</v>
      </c>
      <c r="Z1117" t="s">
        <v>23</v>
      </c>
      <c r="AA1117" t="s">
        <v>37</v>
      </c>
      <c r="AB1117" s="3" t="s">
        <v>955</v>
      </c>
      <c r="AC1117">
        <v>100</v>
      </c>
      <c r="AD1117" s="3" t="str">
        <f t="shared" si="250"/>
        <v>100</v>
      </c>
      <c r="AE1117">
        <v>67</v>
      </c>
      <c r="AF1117" s="3" t="str">
        <f t="shared" si="251"/>
        <v>67</v>
      </c>
      <c r="AG1117" t="s">
        <v>33</v>
      </c>
      <c r="AH1117" s="3">
        <v>18.908000000000001</v>
      </c>
      <c r="AI1117" s="3">
        <f t="shared" si="252"/>
        <v>18.908000000000001</v>
      </c>
      <c r="AJ1117" t="s">
        <v>26</v>
      </c>
      <c r="AK1117" t="str">
        <f>PROPER(Table1[[#This Row],[CVD Risk Level]])</f>
        <v>Intermediary</v>
      </c>
    </row>
    <row r="1118" spans="1:37" x14ac:dyDescent="0.3">
      <c r="A1118" t="s">
        <v>31</v>
      </c>
      <c r="B1118">
        <v>51</v>
      </c>
      <c r="C1118" s="8">
        <f t="shared" si="241"/>
        <v>51</v>
      </c>
      <c r="D1118" s="5">
        <v>59.35</v>
      </c>
      <c r="E1118" s="8">
        <f t="shared" si="242"/>
        <v>59.35</v>
      </c>
      <c r="F1118">
        <v>1.87</v>
      </c>
      <c r="G1118" s="3">
        <f t="shared" si="243"/>
        <v>1.87</v>
      </c>
      <c r="H1118">
        <v>37.003999999999998</v>
      </c>
      <c r="I1118" s="5">
        <f t="shared" si="239"/>
        <v>37.003999999999998</v>
      </c>
      <c r="J1118" s="16" t="str">
        <f t="shared" si="244"/>
        <v>Obese</v>
      </c>
      <c r="K1118">
        <v>97.067999999999998</v>
      </c>
      <c r="L1118">
        <v>0.51900000000000002</v>
      </c>
      <c r="M1118" s="11">
        <f t="shared" si="240"/>
        <v>0.51900000000000002</v>
      </c>
      <c r="N1118" s="5">
        <f t="shared" si="245"/>
        <v>97.067999999999998</v>
      </c>
      <c r="O1118">
        <v>250</v>
      </c>
      <c r="Q1118" s="8">
        <f t="shared" si="246"/>
        <v>56.197377501725327</v>
      </c>
      <c r="R1118" s="8">
        <v>159</v>
      </c>
      <c r="S1118" s="8">
        <f t="shared" si="247"/>
        <v>159</v>
      </c>
      <c r="T1118" s="8">
        <f>(Table1[[#This Row],[Total Cholesterol (mg/dL)]]+Table1[[#This Row],[HDL (mg/dL)2]]+Table1[[#This Row],[Estimated LDL (mg/dL)2]])*5</f>
        <v>2325.9868875086268</v>
      </c>
      <c r="U1118" s="8">
        <f>IF(O1118="",Table1[[#This Row],[Estimated LDL (mg/dL)2]]+Table1[[#This Row],[HDL (mg/dL)2]]+(Table1[[#This Row],[Triglycerides]]/5),O1118)</f>
        <v>250</v>
      </c>
      <c r="V1118">
        <v>76</v>
      </c>
      <c r="W1118" s="8">
        <f t="shared" si="248"/>
        <v>76</v>
      </c>
      <c r="X1118" t="str">
        <f t="shared" si="249"/>
        <v>Normal</v>
      </c>
      <c r="Y1118" t="s">
        <v>22</v>
      </c>
      <c r="Z1118" t="s">
        <v>22</v>
      </c>
      <c r="AA1118" t="s">
        <v>37</v>
      </c>
      <c r="AB1118" s="3" t="s">
        <v>956</v>
      </c>
      <c r="AC1118">
        <v>113</v>
      </c>
      <c r="AD1118" s="3" t="str">
        <f t="shared" si="250"/>
        <v>113</v>
      </c>
      <c r="AE1118">
        <v>67</v>
      </c>
      <c r="AF1118" s="3" t="str">
        <f t="shared" si="251"/>
        <v>67</v>
      </c>
      <c r="AG1118" t="s">
        <v>33</v>
      </c>
      <c r="AH1118" s="3">
        <v>18.050999999999998</v>
      </c>
      <c r="AI1118" s="3">
        <f t="shared" si="252"/>
        <v>18.050999999999998</v>
      </c>
      <c r="AJ1118" t="s">
        <v>26</v>
      </c>
      <c r="AK1118" t="str">
        <f>PROPER(Table1[[#This Row],[CVD Risk Level]])</f>
        <v>Intermediary</v>
      </c>
    </row>
    <row r="1119" spans="1:37" x14ac:dyDescent="0.3">
      <c r="A1119" t="s">
        <v>31</v>
      </c>
      <c r="B1119">
        <v>61</v>
      </c>
      <c r="C1119" s="8">
        <f t="shared" si="241"/>
        <v>61</v>
      </c>
      <c r="D1119" s="5">
        <v>61.982999999999997</v>
      </c>
      <c r="E1119" s="8">
        <f t="shared" si="242"/>
        <v>61.982999999999997</v>
      </c>
      <c r="F1119">
        <v>1.7869999999999999</v>
      </c>
      <c r="G1119" s="3">
        <f t="shared" si="243"/>
        <v>1.7869999999999999</v>
      </c>
      <c r="H1119">
        <v>19.673999999999999</v>
      </c>
      <c r="I1119" s="5">
        <f t="shared" si="239"/>
        <v>19.673999999999999</v>
      </c>
      <c r="J1119" s="16" t="str">
        <f t="shared" si="244"/>
        <v>Normal</v>
      </c>
      <c r="L1119">
        <v>0.53200000000000003</v>
      </c>
      <c r="M1119" s="11">
        <f t="shared" si="240"/>
        <v>0.53200000000000003</v>
      </c>
      <c r="N1119" s="5">
        <f t="shared" si="245"/>
        <v>95.068399999999997</v>
      </c>
      <c r="O1119">
        <v>104</v>
      </c>
      <c r="P1119">
        <v>76</v>
      </c>
      <c r="Q1119" s="8">
        <f t="shared" si="246"/>
        <v>76</v>
      </c>
      <c r="R1119" s="8">
        <v>-2</v>
      </c>
      <c r="S1119" s="8">
        <f t="shared" si="247"/>
        <v>109</v>
      </c>
      <c r="T1119" s="8">
        <f>(Table1[[#This Row],[Total Cholesterol (mg/dL)]]+Table1[[#This Row],[HDL (mg/dL)2]]+Table1[[#This Row],[Estimated LDL (mg/dL)2]])*5</f>
        <v>1445</v>
      </c>
      <c r="U1119" s="8">
        <f>IF(O1119="",Table1[[#This Row],[Estimated LDL (mg/dL)2]]+Table1[[#This Row],[HDL (mg/dL)2]]+(Table1[[#This Row],[Triglycerides]]/5),O1119)</f>
        <v>104</v>
      </c>
      <c r="V1119">
        <v>137</v>
      </c>
      <c r="W1119" s="8">
        <f t="shared" si="248"/>
        <v>137</v>
      </c>
      <c r="X1119" t="str">
        <f t="shared" si="249"/>
        <v>Diabetes</v>
      </c>
      <c r="Y1119" t="s">
        <v>23</v>
      </c>
      <c r="Z1119" t="s">
        <v>22</v>
      </c>
      <c r="AA1119" t="s">
        <v>28</v>
      </c>
      <c r="AB1119" s="3" t="s">
        <v>957</v>
      </c>
      <c r="AC1119">
        <v>92</v>
      </c>
      <c r="AD1119" s="3" t="str">
        <f t="shared" si="250"/>
        <v>92</v>
      </c>
      <c r="AE1119">
        <v>93</v>
      </c>
      <c r="AF1119" s="3" t="str">
        <f t="shared" si="251"/>
        <v>93</v>
      </c>
      <c r="AG1119" t="s">
        <v>38</v>
      </c>
      <c r="AI1119" s="3">
        <f t="shared" si="252"/>
        <v>16.960925291295425</v>
      </c>
      <c r="AJ1119" t="s">
        <v>52</v>
      </c>
      <c r="AK1119" t="str">
        <f>PROPER(Table1[[#This Row],[CVD Risk Level]])</f>
        <v>Low</v>
      </c>
    </row>
    <row r="1120" spans="1:37" x14ac:dyDescent="0.3">
      <c r="A1120" t="s">
        <v>31</v>
      </c>
      <c r="B1120">
        <v>30</v>
      </c>
      <c r="C1120" s="8">
        <f t="shared" si="241"/>
        <v>30</v>
      </c>
      <c r="D1120" s="5">
        <v>70.296999999999997</v>
      </c>
      <c r="E1120" s="8">
        <f t="shared" si="242"/>
        <v>70.296999999999997</v>
      </c>
      <c r="G1120" s="3">
        <f t="shared" si="243"/>
        <v>1.7281219690006127</v>
      </c>
      <c r="H1120">
        <v>23.539000000000001</v>
      </c>
      <c r="I1120" s="5">
        <f t="shared" si="239"/>
        <v>23.539000000000001</v>
      </c>
      <c r="J1120" s="16" t="str">
        <f t="shared" si="244"/>
        <v>Normal</v>
      </c>
      <c r="K1120">
        <v>92.822999999999993</v>
      </c>
      <c r="L1120">
        <v>0.501</v>
      </c>
      <c r="M1120" s="11">
        <f t="shared" si="240"/>
        <v>0.501</v>
      </c>
      <c r="N1120" s="5">
        <f t="shared" si="245"/>
        <v>92.822999999999993</v>
      </c>
      <c r="O1120">
        <v>135</v>
      </c>
      <c r="P1120">
        <v>78</v>
      </c>
      <c r="Q1120" s="8">
        <f t="shared" si="246"/>
        <v>78</v>
      </c>
      <c r="R1120" s="8">
        <v>27</v>
      </c>
      <c r="S1120" s="8">
        <f t="shared" si="247"/>
        <v>27</v>
      </c>
      <c r="T1120" s="8">
        <f>(Table1[[#This Row],[Total Cholesterol (mg/dL)]]+Table1[[#This Row],[HDL (mg/dL)2]]+Table1[[#This Row],[Estimated LDL (mg/dL)2]])*5</f>
        <v>1200</v>
      </c>
      <c r="U1120" s="8">
        <f>IF(O1120="",Table1[[#This Row],[Estimated LDL (mg/dL)2]]+Table1[[#This Row],[HDL (mg/dL)2]]+(Table1[[#This Row],[Triglycerides]]/5),O1120)</f>
        <v>135</v>
      </c>
      <c r="V1120">
        <v>99</v>
      </c>
      <c r="W1120" s="8">
        <f t="shared" si="248"/>
        <v>99</v>
      </c>
      <c r="X1120" t="str">
        <f t="shared" si="249"/>
        <v>Normal</v>
      </c>
      <c r="Y1120" t="s">
        <v>23</v>
      </c>
      <c r="Z1120" t="s">
        <v>23</v>
      </c>
      <c r="AA1120" t="s">
        <v>37</v>
      </c>
      <c r="AB1120" s="3" t="s">
        <v>958</v>
      </c>
      <c r="AC1120">
        <v>172</v>
      </c>
      <c r="AD1120" s="3" t="str">
        <f t="shared" si="250"/>
        <v>172</v>
      </c>
      <c r="AE1120">
        <v>66</v>
      </c>
      <c r="AF1120" s="3" t="str">
        <f t="shared" si="251"/>
        <v>66</v>
      </c>
      <c r="AG1120" t="s">
        <v>38</v>
      </c>
      <c r="AH1120" s="3">
        <v>18.007999999999999</v>
      </c>
      <c r="AI1120" s="3">
        <f t="shared" si="252"/>
        <v>18.007999999999999</v>
      </c>
      <c r="AJ1120" t="s">
        <v>52</v>
      </c>
      <c r="AK1120" t="str">
        <f>PROPER(Table1[[#This Row],[CVD Risk Level]])</f>
        <v>Low</v>
      </c>
    </row>
    <row r="1121" spans="1:37" x14ac:dyDescent="0.3">
      <c r="A1121" t="s">
        <v>20</v>
      </c>
      <c r="B1121">
        <v>67</v>
      </c>
      <c r="C1121" s="8">
        <f t="shared" si="241"/>
        <v>67</v>
      </c>
      <c r="D1121" s="5">
        <v>115.768</v>
      </c>
      <c r="E1121" s="8">
        <f t="shared" si="242"/>
        <v>115.768</v>
      </c>
      <c r="F1121">
        <v>1.64</v>
      </c>
      <c r="G1121" s="3">
        <f t="shared" si="243"/>
        <v>1.64</v>
      </c>
      <c r="H1121">
        <v>28.486000000000001</v>
      </c>
      <c r="I1121" s="5">
        <f t="shared" si="239"/>
        <v>28.486000000000001</v>
      </c>
      <c r="J1121" s="16" t="str">
        <f t="shared" si="244"/>
        <v>Overweight</v>
      </c>
      <c r="K1121">
        <v>107.307</v>
      </c>
      <c r="L1121">
        <v>0.65400000000000003</v>
      </c>
      <c r="M1121" s="11">
        <f t="shared" si="240"/>
        <v>0.65400000000000003</v>
      </c>
      <c r="N1121" s="5">
        <f t="shared" si="245"/>
        <v>107.307</v>
      </c>
      <c r="O1121">
        <v>260</v>
      </c>
      <c r="P1121">
        <v>46</v>
      </c>
      <c r="Q1121" s="8">
        <f t="shared" si="246"/>
        <v>46</v>
      </c>
      <c r="R1121" s="8">
        <v>184</v>
      </c>
      <c r="S1121" s="8">
        <f t="shared" si="247"/>
        <v>184</v>
      </c>
      <c r="T1121" s="8">
        <f>(Table1[[#This Row],[Total Cholesterol (mg/dL)]]+Table1[[#This Row],[HDL (mg/dL)2]]+Table1[[#This Row],[Estimated LDL (mg/dL)2]])*5</f>
        <v>2450</v>
      </c>
      <c r="U1121" s="8">
        <f>IF(O1121="",Table1[[#This Row],[Estimated LDL (mg/dL)2]]+Table1[[#This Row],[HDL (mg/dL)2]]+(Table1[[#This Row],[Triglycerides]]/5),O1121)</f>
        <v>260</v>
      </c>
      <c r="V1121">
        <v>131</v>
      </c>
      <c r="W1121" s="8">
        <f t="shared" si="248"/>
        <v>131</v>
      </c>
      <c r="X1121" t="str">
        <f t="shared" si="249"/>
        <v>Diabetes</v>
      </c>
      <c r="Y1121" t="s">
        <v>23</v>
      </c>
      <c r="Z1121" t="s">
        <v>22</v>
      </c>
      <c r="AA1121" t="s">
        <v>28</v>
      </c>
      <c r="AB1121" s="3" t="s">
        <v>959</v>
      </c>
      <c r="AC1121">
        <v>162</v>
      </c>
      <c r="AD1121" s="3" t="str">
        <f t="shared" si="250"/>
        <v>162</v>
      </c>
      <c r="AE1121">
        <v>95</v>
      </c>
      <c r="AF1121" s="3" t="str">
        <f t="shared" si="251"/>
        <v>95</v>
      </c>
      <c r="AG1121" t="s">
        <v>38</v>
      </c>
      <c r="AH1121" s="3">
        <v>18.997</v>
      </c>
      <c r="AI1121" s="3">
        <f t="shared" si="252"/>
        <v>18.997</v>
      </c>
      <c r="AJ1121" t="s">
        <v>52</v>
      </c>
      <c r="AK1121" t="str">
        <f>PROPER(Table1[[#This Row],[CVD Risk Level]])</f>
        <v>Low</v>
      </c>
    </row>
    <row r="1122" spans="1:37" x14ac:dyDescent="0.3">
      <c r="A1122" t="s">
        <v>31</v>
      </c>
      <c r="B1122">
        <v>55</v>
      </c>
      <c r="C1122" s="8">
        <f t="shared" si="241"/>
        <v>55</v>
      </c>
      <c r="D1122" s="5">
        <v>114.033</v>
      </c>
      <c r="E1122" s="8">
        <f t="shared" si="242"/>
        <v>114.033</v>
      </c>
      <c r="F1122">
        <v>1.907</v>
      </c>
      <c r="G1122" s="3">
        <f t="shared" si="243"/>
        <v>1.907</v>
      </c>
      <c r="H1122">
        <v>38.616999999999997</v>
      </c>
      <c r="I1122" s="5">
        <f t="shared" si="239"/>
        <v>38.616999999999997</v>
      </c>
      <c r="J1122" s="16" t="str">
        <f t="shared" si="244"/>
        <v>Obese</v>
      </c>
      <c r="K1122">
        <v>115.36199999999999</v>
      </c>
      <c r="L1122">
        <v>0.60499999999999998</v>
      </c>
      <c r="M1122" s="11">
        <f t="shared" si="240"/>
        <v>0.60499999999999998</v>
      </c>
      <c r="N1122" s="5">
        <f t="shared" si="245"/>
        <v>115.36199999999999</v>
      </c>
      <c r="O1122">
        <v>117</v>
      </c>
      <c r="P1122">
        <v>59</v>
      </c>
      <c r="Q1122" s="8">
        <f t="shared" si="246"/>
        <v>59</v>
      </c>
      <c r="R1122" s="8">
        <v>28</v>
      </c>
      <c r="S1122" s="8">
        <f t="shared" si="247"/>
        <v>28</v>
      </c>
      <c r="T1122" s="8">
        <f>(Table1[[#This Row],[Total Cholesterol (mg/dL)]]+Table1[[#This Row],[HDL (mg/dL)2]]+Table1[[#This Row],[Estimated LDL (mg/dL)2]])*5</f>
        <v>1020</v>
      </c>
      <c r="U1122" s="8">
        <f>IF(O1122="",Table1[[#This Row],[Estimated LDL (mg/dL)2]]+Table1[[#This Row],[HDL (mg/dL)2]]+(Table1[[#This Row],[Triglycerides]]/5),O1122)</f>
        <v>117</v>
      </c>
      <c r="V1122">
        <v>89</v>
      </c>
      <c r="W1122" s="8">
        <f t="shared" si="248"/>
        <v>89</v>
      </c>
      <c r="X1122" t="str">
        <f t="shared" si="249"/>
        <v>Normal</v>
      </c>
      <c r="Y1122" t="s">
        <v>23</v>
      </c>
      <c r="Z1122" t="s">
        <v>22</v>
      </c>
      <c r="AA1122" t="s">
        <v>37</v>
      </c>
      <c r="AB1122" s="3" t="s">
        <v>960</v>
      </c>
      <c r="AC1122">
        <v>179</v>
      </c>
      <c r="AD1122" s="3" t="str">
        <f t="shared" si="250"/>
        <v>179</v>
      </c>
      <c r="AF1122" s="3" t="str">
        <f t="shared" si="251"/>
        <v>71</v>
      </c>
      <c r="AG1122" t="s">
        <v>38</v>
      </c>
      <c r="AH1122" s="3">
        <v>19.013000000000002</v>
      </c>
      <c r="AI1122" s="3">
        <f t="shared" si="252"/>
        <v>19.013000000000002</v>
      </c>
      <c r="AJ1122" t="s">
        <v>52</v>
      </c>
      <c r="AK1122" t="str">
        <f>PROPER(Table1[[#This Row],[CVD Risk Level]])</f>
        <v>Low</v>
      </c>
    </row>
    <row r="1123" spans="1:37" x14ac:dyDescent="0.3">
      <c r="A1123" t="s">
        <v>31</v>
      </c>
      <c r="B1123">
        <v>47</v>
      </c>
      <c r="C1123" s="8">
        <f t="shared" si="241"/>
        <v>47</v>
      </c>
      <c r="D1123" s="5">
        <v>79.057000000000002</v>
      </c>
      <c r="E1123" s="8">
        <f t="shared" si="242"/>
        <v>79.057000000000002</v>
      </c>
      <c r="F1123">
        <v>1.6379999999999999</v>
      </c>
      <c r="G1123" s="3">
        <f t="shared" si="243"/>
        <v>1.6379999999999999</v>
      </c>
      <c r="H1123">
        <v>33.725999999999999</v>
      </c>
      <c r="I1123" s="5">
        <f t="shared" si="239"/>
        <v>33.725999999999999</v>
      </c>
      <c r="J1123" s="16" t="str">
        <f t="shared" si="244"/>
        <v>Obese</v>
      </c>
      <c r="K1123">
        <v>112.245</v>
      </c>
      <c r="L1123">
        <v>0.68500000000000005</v>
      </c>
      <c r="M1123" s="11">
        <f t="shared" si="240"/>
        <v>0.68500000000000005</v>
      </c>
      <c r="N1123" s="5">
        <f t="shared" si="245"/>
        <v>112.245</v>
      </c>
      <c r="O1123">
        <v>197</v>
      </c>
      <c r="P1123">
        <v>82</v>
      </c>
      <c r="Q1123" s="8">
        <f t="shared" si="246"/>
        <v>82</v>
      </c>
      <c r="R1123" s="8">
        <v>85</v>
      </c>
      <c r="S1123" s="8">
        <f t="shared" si="247"/>
        <v>85</v>
      </c>
      <c r="T1123" s="8">
        <f>(Table1[[#This Row],[Total Cholesterol (mg/dL)]]+Table1[[#This Row],[HDL (mg/dL)2]]+Table1[[#This Row],[Estimated LDL (mg/dL)2]])*5</f>
        <v>1820</v>
      </c>
      <c r="U1123" s="8">
        <f>IF(O1123="",Table1[[#This Row],[Estimated LDL (mg/dL)2]]+Table1[[#This Row],[HDL (mg/dL)2]]+(Table1[[#This Row],[Triglycerides]]/5),O1123)</f>
        <v>197</v>
      </c>
      <c r="V1123">
        <v>109</v>
      </c>
      <c r="W1123" s="8">
        <f t="shared" si="248"/>
        <v>109</v>
      </c>
      <c r="X1123" t="str">
        <f t="shared" si="249"/>
        <v>Prediabetes</v>
      </c>
      <c r="Y1123" t="s">
        <v>22</v>
      </c>
      <c r="Z1123" t="s">
        <v>23</v>
      </c>
      <c r="AA1123" t="s">
        <v>24</v>
      </c>
      <c r="AB1123" s="3" t="s">
        <v>961</v>
      </c>
      <c r="AC1123">
        <v>93</v>
      </c>
      <c r="AD1123" s="3" t="str">
        <f t="shared" si="250"/>
        <v>93</v>
      </c>
      <c r="AE1123">
        <v>117</v>
      </c>
      <c r="AF1123" s="3" t="str">
        <f t="shared" si="251"/>
        <v>117</v>
      </c>
      <c r="AG1123" t="s">
        <v>38</v>
      </c>
      <c r="AH1123" s="3">
        <v>17.335000000000001</v>
      </c>
      <c r="AI1123" s="3">
        <f t="shared" si="252"/>
        <v>17.335000000000001</v>
      </c>
      <c r="AJ1123" t="s">
        <v>26</v>
      </c>
      <c r="AK1123" t="str">
        <f>PROPER(Table1[[#This Row],[CVD Risk Level]])</f>
        <v>Intermediary</v>
      </c>
    </row>
    <row r="1124" spans="1:37" x14ac:dyDescent="0.3">
      <c r="A1124" t="s">
        <v>31</v>
      </c>
      <c r="B1124">
        <v>78</v>
      </c>
      <c r="C1124" s="8">
        <f t="shared" si="241"/>
        <v>78</v>
      </c>
      <c r="D1124" s="5">
        <v>61.345999999999997</v>
      </c>
      <c r="E1124" s="8">
        <f t="shared" si="242"/>
        <v>61.345999999999997</v>
      </c>
      <c r="F1124">
        <v>1.9690000000000001</v>
      </c>
      <c r="G1124" s="3">
        <f t="shared" si="243"/>
        <v>1.9690000000000001</v>
      </c>
      <c r="H1124">
        <v>27.276</v>
      </c>
      <c r="I1124" s="5">
        <f t="shared" si="239"/>
        <v>27.276</v>
      </c>
      <c r="J1124" s="16" t="str">
        <f t="shared" si="244"/>
        <v>Overweight</v>
      </c>
      <c r="K1124">
        <v>114.44199999999999</v>
      </c>
      <c r="L1124">
        <v>0.58099999999999996</v>
      </c>
      <c r="M1124" s="11">
        <f t="shared" si="240"/>
        <v>0.58099999999999996</v>
      </c>
      <c r="N1124" s="5">
        <f t="shared" si="245"/>
        <v>114.44199999999999</v>
      </c>
      <c r="O1124">
        <v>223</v>
      </c>
      <c r="P1124">
        <v>82</v>
      </c>
      <c r="Q1124" s="8">
        <f t="shared" si="246"/>
        <v>82</v>
      </c>
      <c r="S1124" s="8">
        <f t="shared" si="247"/>
        <v>109</v>
      </c>
      <c r="T1124" s="8">
        <f>(Table1[[#This Row],[Total Cholesterol (mg/dL)]]+Table1[[#This Row],[HDL (mg/dL)2]]+Table1[[#This Row],[Estimated LDL (mg/dL)2]])*5</f>
        <v>2070</v>
      </c>
      <c r="U1124" s="8">
        <f>IF(O1124="",Table1[[#This Row],[Estimated LDL (mg/dL)2]]+Table1[[#This Row],[HDL (mg/dL)2]]+(Table1[[#This Row],[Triglycerides]]/5),O1124)</f>
        <v>223</v>
      </c>
      <c r="V1124">
        <v>108</v>
      </c>
      <c r="W1124" s="8">
        <f t="shared" si="248"/>
        <v>108</v>
      </c>
      <c r="X1124" t="str">
        <f t="shared" si="249"/>
        <v>Prediabetes</v>
      </c>
      <c r="Y1124" t="s">
        <v>23</v>
      </c>
      <c r="Z1124" t="s">
        <v>22</v>
      </c>
      <c r="AA1124" t="s">
        <v>37</v>
      </c>
      <c r="AB1124" s="3" t="s">
        <v>610</v>
      </c>
      <c r="AC1124">
        <v>126</v>
      </c>
      <c r="AD1124" s="3" t="str">
        <f t="shared" si="250"/>
        <v>126</v>
      </c>
      <c r="AE1124">
        <v>91</v>
      </c>
      <c r="AF1124" s="3" t="str">
        <f t="shared" si="251"/>
        <v>91</v>
      </c>
      <c r="AG1124" t="s">
        <v>38</v>
      </c>
      <c r="AH1124" s="3">
        <v>16.215</v>
      </c>
      <c r="AI1124" s="3">
        <f t="shared" si="252"/>
        <v>16.215</v>
      </c>
      <c r="AJ1124" t="s">
        <v>30</v>
      </c>
      <c r="AK1124" t="str">
        <f>PROPER(Table1[[#This Row],[CVD Risk Level]])</f>
        <v>High</v>
      </c>
    </row>
    <row r="1125" spans="1:37" x14ac:dyDescent="0.3">
      <c r="A1125" t="s">
        <v>20</v>
      </c>
      <c r="B1125">
        <v>78</v>
      </c>
      <c r="C1125" s="8">
        <f t="shared" si="241"/>
        <v>78</v>
      </c>
      <c r="D1125" s="5">
        <v>54.046999999999997</v>
      </c>
      <c r="E1125" s="8">
        <f t="shared" si="242"/>
        <v>54.046999999999997</v>
      </c>
      <c r="F1125">
        <v>1.794</v>
      </c>
      <c r="G1125" s="3">
        <f t="shared" si="243"/>
        <v>1.794</v>
      </c>
      <c r="H1125">
        <v>33.164000000000001</v>
      </c>
      <c r="I1125" s="5">
        <f t="shared" si="239"/>
        <v>33.164000000000001</v>
      </c>
      <c r="J1125" s="16" t="str">
        <f t="shared" si="244"/>
        <v>Obese</v>
      </c>
      <c r="K1125">
        <v>119.48399999999999</v>
      </c>
      <c r="L1125">
        <v>0.66600000000000004</v>
      </c>
      <c r="M1125" s="11">
        <f t="shared" si="240"/>
        <v>0.66600000000000004</v>
      </c>
      <c r="N1125" s="5">
        <f t="shared" si="245"/>
        <v>119.48399999999999</v>
      </c>
      <c r="O1125">
        <v>178</v>
      </c>
      <c r="P1125">
        <v>57</v>
      </c>
      <c r="Q1125" s="8">
        <f t="shared" si="246"/>
        <v>57</v>
      </c>
      <c r="R1125" s="8">
        <v>91</v>
      </c>
      <c r="S1125" s="8">
        <f t="shared" si="247"/>
        <v>91</v>
      </c>
      <c r="T1125" s="8">
        <f>(Table1[[#This Row],[Total Cholesterol (mg/dL)]]+Table1[[#This Row],[HDL (mg/dL)2]]+Table1[[#This Row],[Estimated LDL (mg/dL)2]])*5</f>
        <v>1630</v>
      </c>
      <c r="U1125" s="8">
        <f>IF(O1125="",Table1[[#This Row],[Estimated LDL (mg/dL)2]]+Table1[[#This Row],[HDL (mg/dL)2]]+(Table1[[#This Row],[Triglycerides]]/5),O1125)</f>
        <v>178</v>
      </c>
      <c r="V1125">
        <v>96</v>
      </c>
      <c r="W1125" s="8">
        <f t="shared" si="248"/>
        <v>96</v>
      </c>
      <c r="X1125" t="str">
        <f t="shared" si="249"/>
        <v>Normal</v>
      </c>
      <c r="Y1125" t="s">
        <v>22</v>
      </c>
      <c r="Z1125" t="s">
        <v>23</v>
      </c>
      <c r="AA1125" t="s">
        <v>24</v>
      </c>
      <c r="AB1125" s="3" t="s">
        <v>962</v>
      </c>
      <c r="AC1125">
        <v>93</v>
      </c>
      <c r="AD1125" s="3" t="str">
        <f t="shared" si="250"/>
        <v>93</v>
      </c>
      <c r="AE1125">
        <v>93</v>
      </c>
      <c r="AF1125" s="3" t="str">
        <f t="shared" si="251"/>
        <v>93</v>
      </c>
      <c r="AG1125" t="s">
        <v>38</v>
      </c>
      <c r="AH1125" s="3">
        <v>16.843</v>
      </c>
      <c r="AI1125" s="3">
        <f t="shared" si="252"/>
        <v>16.843</v>
      </c>
      <c r="AJ1125" t="s">
        <v>52</v>
      </c>
      <c r="AK1125" t="str">
        <f>PROPER(Table1[[#This Row],[CVD Risk Level]])</f>
        <v>Low</v>
      </c>
    </row>
    <row r="1126" spans="1:37" x14ac:dyDescent="0.3">
      <c r="A1126" t="s">
        <v>20</v>
      </c>
      <c r="B1126">
        <v>72</v>
      </c>
      <c r="C1126" s="8">
        <f t="shared" si="241"/>
        <v>72</v>
      </c>
      <c r="D1126" s="5">
        <v>109.136</v>
      </c>
      <c r="E1126" s="8">
        <f t="shared" si="242"/>
        <v>109.136</v>
      </c>
      <c r="F1126">
        <v>1.905</v>
      </c>
      <c r="G1126" s="3">
        <f t="shared" si="243"/>
        <v>1.905</v>
      </c>
      <c r="H1126">
        <v>31.61</v>
      </c>
      <c r="I1126" s="5">
        <f t="shared" si="239"/>
        <v>31.61</v>
      </c>
      <c r="J1126" s="16" t="str">
        <f t="shared" si="244"/>
        <v>Obese</v>
      </c>
      <c r="K1126">
        <v>74.462000000000003</v>
      </c>
      <c r="L1126">
        <v>0.39100000000000001</v>
      </c>
      <c r="M1126" s="11">
        <f t="shared" si="240"/>
        <v>0.39100000000000001</v>
      </c>
      <c r="N1126" s="5">
        <f t="shared" si="245"/>
        <v>74.462000000000003</v>
      </c>
      <c r="O1126">
        <v>109</v>
      </c>
      <c r="P1126">
        <v>60</v>
      </c>
      <c r="Q1126" s="8">
        <f t="shared" si="246"/>
        <v>60</v>
      </c>
      <c r="R1126" s="8">
        <v>19</v>
      </c>
      <c r="S1126" s="8">
        <f t="shared" si="247"/>
        <v>19</v>
      </c>
      <c r="T1126" s="8">
        <f>(Table1[[#This Row],[Total Cholesterol (mg/dL)]]+Table1[[#This Row],[HDL (mg/dL)2]]+Table1[[#This Row],[Estimated LDL (mg/dL)2]])*5</f>
        <v>940</v>
      </c>
      <c r="U1126" s="8">
        <f>IF(O1126="",Table1[[#This Row],[Estimated LDL (mg/dL)2]]+Table1[[#This Row],[HDL (mg/dL)2]]+(Table1[[#This Row],[Triglycerides]]/5),O1126)</f>
        <v>109</v>
      </c>
      <c r="V1126">
        <v>104</v>
      </c>
      <c r="W1126" s="8">
        <f t="shared" si="248"/>
        <v>104</v>
      </c>
      <c r="X1126" t="str">
        <f t="shared" si="249"/>
        <v>Prediabetes</v>
      </c>
      <c r="Y1126" t="s">
        <v>23</v>
      </c>
      <c r="Z1126" t="s">
        <v>22</v>
      </c>
      <c r="AA1126" t="s">
        <v>37</v>
      </c>
      <c r="AB1126" s="3" t="s">
        <v>963</v>
      </c>
      <c r="AC1126">
        <v>99</v>
      </c>
      <c r="AD1126" s="3" t="str">
        <f t="shared" si="250"/>
        <v>99</v>
      </c>
      <c r="AE1126">
        <v>71</v>
      </c>
      <c r="AF1126" s="3" t="str">
        <f t="shared" si="251"/>
        <v>71</v>
      </c>
      <c r="AG1126" t="s">
        <v>33</v>
      </c>
      <c r="AH1126" s="3">
        <v>13.452</v>
      </c>
      <c r="AI1126" s="3">
        <f t="shared" si="252"/>
        <v>13.452</v>
      </c>
      <c r="AJ1126" t="s">
        <v>30</v>
      </c>
      <c r="AK1126" t="str">
        <f>PROPER(Table1[[#This Row],[CVD Risk Level]])</f>
        <v>High</v>
      </c>
    </row>
    <row r="1127" spans="1:37" x14ac:dyDescent="0.3">
      <c r="A1127" t="s">
        <v>31</v>
      </c>
      <c r="B1127">
        <v>56</v>
      </c>
      <c r="C1127" s="8">
        <f t="shared" si="241"/>
        <v>56</v>
      </c>
      <c r="D1127" s="5">
        <v>94.117999999999995</v>
      </c>
      <c r="E1127" s="8">
        <f t="shared" si="242"/>
        <v>94.117999999999995</v>
      </c>
      <c r="F1127">
        <v>1.7729999999999999</v>
      </c>
      <c r="G1127" s="3">
        <f t="shared" si="243"/>
        <v>1.7729999999999999</v>
      </c>
      <c r="H1127">
        <v>27.082999999999998</v>
      </c>
      <c r="I1127" s="5">
        <f t="shared" si="239"/>
        <v>27.082999999999998</v>
      </c>
      <c r="J1127" s="16" t="str">
        <f t="shared" si="244"/>
        <v>Overweight</v>
      </c>
      <c r="K1127">
        <v>77.094999999999999</v>
      </c>
      <c r="L1127">
        <v>0.435</v>
      </c>
      <c r="M1127" s="11">
        <f t="shared" si="240"/>
        <v>0.435</v>
      </c>
      <c r="N1127" s="5">
        <f t="shared" si="245"/>
        <v>77.094999999999999</v>
      </c>
      <c r="O1127">
        <v>160</v>
      </c>
      <c r="P1127">
        <v>44</v>
      </c>
      <c r="Q1127" s="8">
        <f t="shared" si="246"/>
        <v>44</v>
      </c>
      <c r="R1127" s="8">
        <v>86</v>
      </c>
      <c r="S1127" s="8">
        <f t="shared" si="247"/>
        <v>86</v>
      </c>
      <c r="T1127" s="8">
        <f>(Table1[[#This Row],[Total Cholesterol (mg/dL)]]+Table1[[#This Row],[HDL (mg/dL)2]]+Table1[[#This Row],[Estimated LDL (mg/dL)2]])*5</f>
        <v>1450</v>
      </c>
      <c r="U1127" s="8">
        <f>IF(O1127="",Table1[[#This Row],[Estimated LDL (mg/dL)2]]+Table1[[#This Row],[HDL (mg/dL)2]]+(Table1[[#This Row],[Triglycerides]]/5),O1127)</f>
        <v>160</v>
      </c>
      <c r="V1127">
        <v>179</v>
      </c>
      <c r="W1127" s="8">
        <f t="shared" si="248"/>
        <v>179</v>
      </c>
      <c r="X1127" t="str">
        <f t="shared" si="249"/>
        <v>Diabetes</v>
      </c>
      <c r="Y1127" t="s">
        <v>23</v>
      </c>
      <c r="Z1127" t="s">
        <v>22</v>
      </c>
      <c r="AA1127" t="s">
        <v>37</v>
      </c>
      <c r="AB1127" s="3" t="s">
        <v>964</v>
      </c>
      <c r="AC1127">
        <v>174</v>
      </c>
      <c r="AD1127" s="3" t="str">
        <f t="shared" si="250"/>
        <v>174</v>
      </c>
      <c r="AE1127">
        <v>78</v>
      </c>
      <c r="AF1127" s="3" t="str">
        <f t="shared" si="251"/>
        <v>78</v>
      </c>
      <c r="AG1127" t="s">
        <v>38</v>
      </c>
      <c r="AH1127" s="3">
        <v>17.317</v>
      </c>
      <c r="AI1127" s="3">
        <f t="shared" si="252"/>
        <v>17.317</v>
      </c>
      <c r="AJ1127" t="s">
        <v>26</v>
      </c>
      <c r="AK1127" t="str">
        <f>PROPER(Table1[[#This Row],[CVD Risk Level]])</f>
        <v>Intermediary</v>
      </c>
    </row>
    <row r="1128" spans="1:37" x14ac:dyDescent="0.3">
      <c r="A1128" t="s">
        <v>20</v>
      </c>
      <c r="B1128">
        <v>60</v>
      </c>
      <c r="C1128" s="8">
        <f t="shared" si="241"/>
        <v>60</v>
      </c>
      <c r="D1128" s="5">
        <v>51.871000000000002</v>
      </c>
      <c r="E1128" s="8">
        <f t="shared" si="242"/>
        <v>51.871000000000002</v>
      </c>
      <c r="F1128">
        <v>1.8939999999999999</v>
      </c>
      <c r="G1128" s="3">
        <f t="shared" si="243"/>
        <v>1.8939999999999999</v>
      </c>
      <c r="H1128">
        <v>30.558</v>
      </c>
      <c r="I1128" s="5">
        <f t="shared" si="239"/>
        <v>30.558</v>
      </c>
      <c r="J1128" s="16" t="str">
        <f t="shared" si="244"/>
        <v>Obese</v>
      </c>
      <c r="K1128">
        <v>83.375</v>
      </c>
      <c r="L1128">
        <v>0.44</v>
      </c>
      <c r="M1128" s="11">
        <f t="shared" si="240"/>
        <v>0.44</v>
      </c>
      <c r="N1128" s="5">
        <f t="shared" si="245"/>
        <v>83.375</v>
      </c>
      <c r="O1128">
        <v>261</v>
      </c>
      <c r="P1128">
        <v>36</v>
      </c>
      <c r="Q1128" s="8">
        <f t="shared" si="246"/>
        <v>36</v>
      </c>
      <c r="R1128" s="8">
        <v>195</v>
      </c>
      <c r="S1128" s="8">
        <f t="shared" si="247"/>
        <v>195</v>
      </c>
      <c r="T1128" s="8">
        <f>(Table1[[#This Row],[Total Cholesterol (mg/dL)]]+Table1[[#This Row],[HDL (mg/dL)2]]+Table1[[#This Row],[Estimated LDL (mg/dL)2]])*5</f>
        <v>2460</v>
      </c>
      <c r="U1128" s="8">
        <f>IF(O1128="",Table1[[#This Row],[Estimated LDL (mg/dL)2]]+Table1[[#This Row],[HDL (mg/dL)2]]+(Table1[[#This Row],[Triglycerides]]/5),O1128)</f>
        <v>261</v>
      </c>
      <c r="W1128" s="8">
        <f t="shared" si="248"/>
        <v>117.48563611491107</v>
      </c>
      <c r="X1128" t="str">
        <f t="shared" si="249"/>
        <v>Prediabetes</v>
      </c>
      <c r="Y1128" t="s">
        <v>22</v>
      </c>
      <c r="Z1128" t="s">
        <v>23</v>
      </c>
      <c r="AA1128" t="s">
        <v>28</v>
      </c>
      <c r="AB1128" s="3" t="s">
        <v>965</v>
      </c>
      <c r="AC1128">
        <v>99</v>
      </c>
      <c r="AD1128" s="3" t="str">
        <f t="shared" si="250"/>
        <v>99</v>
      </c>
      <c r="AE1128">
        <v>108</v>
      </c>
      <c r="AF1128" s="3" t="str">
        <f t="shared" si="251"/>
        <v>108</v>
      </c>
      <c r="AG1128" t="s">
        <v>38</v>
      </c>
      <c r="AH1128" s="3">
        <v>18.282</v>
      </c>
      <c r="AI1128" s="3">
        <f t="shared" si="252"/>
        <v>18.282</v>
      </c>
      <c r="AJ1128" t="s">
        <v>30</v>
      </c>
      <c r="AK1128" t="str">
        <f>PROPER(Table1[[#This Row],[CVD Risk Level]])</f>
        <v>High</v>
      </c>
    </row>
    <row r="1129" spans="1:37" x14ac:dyDescent="0.3">
      <c r="A1129" t="s">
        <v>20</v>
      </c>
      <c r="B1129">
        <v>41</v>
      </c>
      <c r="C1129" s="8">
        <f t="shared" si="241"/>
        <v>41</v>
      </c>
      <c r="D1129" s="5">
        <v>117.726</v>
      </c>
      <c r="E1129" s="8">
        <f t="shared" si="242"/>
        <v>117.726</v>
      </c>
      <c r="G1129" s="3">
        <f t="shared" si="243"/>
        <v>2.1801718337796685</v>
      </c>
      <c r="H1129">
        <v>24.768000000000001</v>
      </c>
      <c r="I1129" s="5">
        <f t="shared" si="239"/>
        <v>24.768000000000001</v>
      </c>
      <c r="J1129" s="16" t="str">
        <f t="shared" si="244"/>
        <v>Normal</v>
      </c>
      <c r="K1129">
        <v>92.332999999999998</v>
      </c>
      <c r="L1129">
        <v>0.499</v>
      </c>
      <c r="M1129" s="11">
        <f t="shared" si="240"/>
        <v>0.499</v>
      </c>
      <c r="N1129" s="5">
        <f t="shared" si="245"/>
        <v>92.332999999999998</v>
      </c>
      <c r="O1129">
        <v>139</v>
      </c>
      <c r="Q1129" s="8">
        <f t="shared" si="246"/>
        <v>56.197377501725327</v>
      </c>
      <c r="R1129" s="8">
        <v>53</v>
      </c>
      <c r="S1129" s="8">
        <f>IF(R1129&lt;=0,MEDIAN($R$2:$R$1530),R1129)</f>
        <v>53</v>
      </c>
      <c r="T1129" s="8">
        <f>(Table1[[#This Row],[Total Cholesterol (mg/dL)]]+Table1[[#This Row],[HDL (mg/dL)2]]+Table1[[#This Row],[Estimated LDL (mg/dL)2]])*5</f>
        <v>1240.9868875086268</v>
      </c>
      <c r="U1129" s="8">
        <f>IF(O1129="",Table1[[#This Row],[Estimated LDL (mg/dL)2]]+Table1[[#This Row],[HDL (mg/dL)2]]+(Table1[[#This Row],[Triglycerides]]/5),O1129)</f>
        <v>139</v>
      </c>
      <c r="V1129">
        <v>139</v>
      </c>
      <c r="W1129" s="8">
        <f t="shared" si="248"/>
        <v>139</v>
      </c>
      <c r="X1129" t="str">
        <f t="shared" si="249"/>
        <v>Diabetes</v>
      </c>
      <c r="Y1129" t="s">
        <v>22</v>
      </c>
      <c r="Z1129" t="s">
        <v>22</v>
      </c>
      <c r="AA1129" t="s">
        <v>37</v>
      </c>
      <c r="AB1129" s="3" t="s">
        <v>966</v>
      </c>
      <c r="AC1129">
        <v>166</v>
      </c>
      <c r="AD1129" s="3" t="str">
        <f t="shared" si="250"/>
        <v>166</v>
      </c>
      <c r="AE1129">
        <v>77</v>
      </c>
      <c r="AF1129" s="3" t="str">
        <f t="shared" si="251"/>
        <v>77</v>
      </c>
      <c r="AG1129" t="s">
        <v>38</v>
      </c>
      <c r="AH1129" s="3">
        <v>16.033999999999999</v>
      </c>
      <c r="AI1129" s="3">
        <f t="shared" si="252"/>
        <v>16.033999999999999</v>
      </c>
      <c r="AJ1129" t="s">
        <v>30</v>
      </c>
      <c r="AK1129" t="str">
        <f>PROPER(Table1[[#This Row],[CVD Risk Level]])</f>
        <v>High</v>
      </c>
    </row>
    <row r="1130" spans="1:37" x14ac:dyDescent="0.3">
      <c r="A1130" t="s">
        <v>31</v>
      </c>
      <c r="B1130">
        <v>66</v>
      </c>
      <c r="C1130" s="8">
        <f t="shared" si="241"/>
        <v>66</v>
      </c>
      <c r="D1130" s="5">
        <v>86.933000000000007</v>
      </c>
      <c r="E1130" s="8">
        <f t="shared" si="242"/>
        <v>86.933000000000007</v>
      </c>
      <c r="F1130">
        <v>1.5169999999999999</v>
      </c>
      <c r="G1130" s="3">
        <f t="shared" si="243"/>
        <v>1.5169999999999999</v>
      </c>
      <c r="H1130">
        <v>39.320999999999998</v>
      </c>
      <c r="I1130" s="5">
        <f t="shared" si="239"/>
        <v>39.320999999999998</v>
      </c>
      <c r="J1130" s="16" t="str">
        <f t="shared" si="244"/>
        <v>Obese</v>
      </c>
      <c r="K1130">
        <v>79.563999999999993</v>
      </c>
      <c r="L1130">
        <v>0.52400000000000002</v>
      </c>
      <c r="M1130" s="11">
        <f t="shared" si="240"/>
        <v>0.52400000000000002</v>
      </c>
      <c r="N1130" s="5">
        <f t="shared" si="245"/>
        <v>79.563999999999993</v>
      </c>
      <c r="O1130">
        <v>257</v>
      </c>
      <c r="P1130">
        <v>36</v>
      </c>
      <c r="Q1130" s="8">
        <f t="shared" si="246"/>
        <v>36</v>
      </c>
      <c r="R1130" s="8">
        <v>191</v>
      </c>
      <c r="S1130" s="8">
        <f t="shared" si="247"/>
        <v>191</v>
      </c>
      <c r="T1130" s="8">
        <f>(Table1[[#This Row],[Total Cholesterol (mg/dL)]]+Table1[[#This Row],[HDL (mg/dL)2]]+Table1[[#This Row],[Estimated LDL (mg/dL)2]])*5</f>
        <v>2420</v>
      </c>
      <c r="U1130" s="8">
        <f>IF(O1130="",Table1[[#This Row],[Estimated LDL (mg/dL)2]]+Table1[[#This Row],[HDL (mg/dL)2]]+(Table1[[#This Row],[Triglycerides]]/5),O1130)</f>
        <v>257</v>
      </c>
      <c r="V1130">
        <v>105</v>
      </c>
      <c r="W1130" s="8">
        <f t="shared" si="248"/>
        <v>105</v>
      </c>
      <c r="X1130" t="str">
        <f t="shared" si="249"/>
        <v>Prediabetes</v>
      </c>
      <c r="Y1130" t="s">
        <v>22</v>
      </c>
      <c r="Z1130" t="s">
        <v>22</v>
      </c>
      <c r="AA1130" t="s">
        <v>37</v>
      </c>
      <c r="AB1130" s="3" t="s">
        <v>967</v>
      </c>
      <c r="AC1130">
        <v>105</v>
      </c>
      <c r="AD1130" s="3" t="str">
        <f t="shared" si="250"/>
        <v>105</v>
      </c>
      <c r="AE1130">
        <v>68</v>
      </c>
      <c r="AF1130" s="3" t="str">
        <f t="shared" si="251"/>
        <v>68</v>
      </c>
      <c r="AG1130" t="s">
        <v>33</v>
      </c>
      <c r="AH1130" s="3">
        <v>18.254000000000001</v>
      </c>
      <c r="AI1130" s="3">
        <f t="shared" si="252"/>
        <v>18.254000000000001</v>
      </c>
      <c r="AJ1130" t="s">
        <v>52</v>
      </c>
      <c r="AK1130" t="str">
        <f>PROPER(Table1[[#This Row],[CVD Risk Level]])</f>
        <v>Low</v>
      </c>
    </row>
    <row r="1131" spans="1:37" x14ac:dyDescent="0.3">
      <c r="A1131" t="s">
        <v>31</v>
      </c>
      <c r="B1131">
        <v>48</v>
      </c>
      <c r="C1131" s="8">
        <f t="shared" si="241"/>
        <v>48</v>
      </c>
      <c r="D1131" s="5">
        <v>101.761</v>
      </c>
      <c r="E1131" s="8">
        <f t="shared" si="242"/>
        <v>101.761</v>
      </c>
      <c r="F1131">
        <v>1.51</v>
      </c>
      <c r="G1131" s="3">
        <f t="shared" si="243"/>
        <v>1.51</v>
      </c>
      <c r="H1131">
        <v>27.321999999999999</v>
      </c>
      <c r="I1131" s="5">
        <f t="shared" si="239"/>
        <v>27.321999999999999</v>
      </c>
      <c r="J1131" s="16" t="str">
        <f t="shared" si="244"/>
        <v>Overweight</v>
      </c>
      <c r="L1131">
        <v>0.70799999999999996</v>
      </c>
      <c r="M1131" s="11">
        <f t="shared" si="240"/>
        <v>0.70799999999999996</v>
      </c>
      <c r="N1131" s="5">
        <f t="shared" si="245"/>
        <v>106.908</v>
      </c>
      <c r="O1131">
        <v>278</v>
      </c>
      <c r="P1131">
        <v>83</v>
      </c>
      <c r="Q1131" s="8">
        <f t="shared" si="246"/>
        <v>83</v>
      </c>
      <c r="R1131" s="8">
        <v>165</v>
      </c>
      <c r="S1131" s="8">
        <f t="shared" si="247"/>
        <v>165</v>
      </c>
      <c r="T1131" s="8">
        <f>(Table1[[#This Row],[Total Cholesterol (mg/dL)]]+Table1[[#This Row],[HDL (mg/dL)2]]+Table1[[#This Row],[Estimated LDL (mg/dL)2]])*5</f>
        <v>2630</v>
      </c>
      <c r="U1131" s="8">
        <f>IF(O1131="",Table1[[#This Row],[Estimated LDL (mg/dL)2]]+Table1[[#This Row],[HDL (mg/dL)2]]+(Table1[[#This Row],[Triglycerides]]/5),O1131)</f>
        <v>278</v>
      </c>
      <c r="V1131">
        <v>168</v>
      </c>
      <c r="W1131" s="8">
        <f t="shared" si="248"/>
        <v>168</v>
      </c>
      <c r="X1131" t="str">
        <f t="shared" si="249"/>
        <v>Diabetes</v>
      </c>
      <c r="Y1131" t="s">
        <v>23</v>
      </c>
      <c r="Z1131" t="s">
        <v>22</v>
      </c>
      <c r="AA1131" t="s">
        <v>28</v>
      </c>
      <c r="AB1131" s="3" t="s">
        <v>968</v>
      </c>
      <c r="AC1131">
        <v>136</v>
      </c>
      <c r="AD1131" s="3" t="str">
        <f t="shared" si="250"/>
        <v>136</v>
      </c>
      <c r="AE1131">
        <v>101</v>
      </c>
      <c r="AF1131" s="3" t="str">
        <f t="shared" si="251"/>
        <v>101</v>
      </c>
      <c r="AG1131" t="s">
        <v>29</v>
      </c>
      <c r="AH1131" s="3">
        <v>17.824000000000002</v>
      </c>
      <c r="AI1131" s="3">
        <f t="shared" si="252"/>
        <v>17.824000000000002</v>
      </c>
      <c r="AJ1131" t="s">
        <v>52</v>
      </c>
      <c r="AK1131" t="str">
        <f>PROPER(Table1[[#This Row],[CVD Risk Level]])</f>
        <v>Low</v>
      </c>
    </row>
    <row r="1132" spans="1:37" x14ac:dyDescent="0.3">
      <c r="A1132" t="s">
        <v>31</v>
      </c>
      <c r="B1132">
        <v>38</v>
      </c>
      <c r="C1132" s="8">
        <f t="shared" si="241"/>
        <v>38</v>
      </c>
      <c r="D1132" s="5">
        <v>76.971000000000004</v>
      </c>
      <c r="E1132" s="8">
        <f t="shared" si="242"/>
        <v>76.971000000000004</v>
      </c>
      <c r="F1132">
        <v>1.921</v>
      </c>
      <c r="G1132" s="3">
        <f t="shared" si="243"/>
        <v>1.921</v>
      </c>
      <c r="H1132">
        <v>39.555</v>
      </c>
      <c r="I1132" s="5">
        <f t="shared" si="239"/>
        <v>39.555</v>
      </c>
      <c r="J1132" s="16" t="str">
        <f t="shared" si="244"/>
        <v>Obese</v>
      </c>
      <c r="K1132">
        <v>85.308000000000007</v>
      </c>
      <c r="L1132">
        <v>0.44400000000000001</v>
      </c>
      <c r="M1132" s="11">
        <f t="shared" si="240"/>
        <v>0.44400000000000001</v>
      </c>
      <c r="N1132" s="5">
        <f t="shared" si="245"/>
        <v>85.308000000000007</v>
      </c>
      <c r="O1132">
        <v>148</v>
      </c>
      <c r="P1132">
        <v>31</v>
      </c>
      <c r="Q1132" s="8">
        <f t="shared" si="246"/>
        <v>31</v>
      </c>
      <c r="R1132" s="8">
        <v>87</v>
      </c>
      <c r="S1132" s="8">
        <f t="shared" si="247"/>
        <v>87</v>
      </c>
      <c r="T1132" s="8">
        <f>(Table1[[#This Row],[Total Cholesterol (mg/dL)]]+Table1[[#This Row],[HDL (mg/dL)2]]+Table1[[#This Row],[Estimated LDL (mg/dL)2]])*5</f>
        <v>1330</v>
      </c>
      <c r="U1132" s="8">
        <f>IF(O1132="",Table1[[#This Row],[Estimated LDL (mg/dL)2]]+Table1[[#This Row],[HDL (mg/dL)2]]+(Table1[[#This Row],[Triglycerides]]/5),O1132)</f>
        <v>148</v>
      </c>
      <c r="V1132">
        <v>117</v>
      </c>
      <c r="W1132" s="8">
        <f t="shared" si="248"/>
        <v>117</v>
      </c>
      <c r="X1132" t="str">
        <f t="shared" si="249"/>
        <v>Prediabetes</v>
      </c>
      <c r="Y1132" t="s">
        <v>23</v>
      </c>
      <c r="Z1132" t="s">
        <v>23</v>
      </c>
      <c r="AA1132" t="s">
        <v>37</v>
      </c>
      <c r="AB1132" s="3" t="s">
        <v>969</v>
      </c>
      <c r="AC1132">
        <v>112</v>
      </c>
      <c r="AD1132" s="3" t="str">
        <f t="shared" si="250"/>
        <v>112</v>
      </c>
      <c r="AE1132">
        <v>119</v>
      </c>
      <c r="AF1132" s="3" t="str">
        <f t="shared" si="251"/>
        <v>119</v>
      </c>
      <c r="AG1132" t="s">
        <v>38</v>
      </c>
      <c r="AH1132" s="3">
        <v>18.471</v>
      </c>
      <c r="AI1132" s="3">
        <f t="shared" si="252"/>
        <v>18.471</v>
      </c>
      <c r="AJ1132" t="s">
        <v>30</v>
      </c>
      <c r="AK1132" t="str">
        <f>PROPER(Table1[[#This Row],[CVD Risk Level]])</f>
        <v>High</v>
      </c>
    </row>
    <row r="1133" spans="1:37" x14ac:dyDescent="0.3">
      <c r="A1133" t="s">
        <v>31</v>
      </c>
      <c r="C1133" s="8">
        <f t="shared" si="241"/>
        <v>47.025499655410059</v>
      </c>
      <c r="D1133" s="5">
        <v>115.322</v>
      </c>
      <c r="E1133" s="8">
        <f t="shared" si="242"/>
        <v>115.322</v>
      </c>
      <c r="F1133">
        <v>1.589</v>
      </c>
      <c r="G1133" s="3">
        <f t="shared" si="243"/>
        <v>1.589</v>
      </c>
      <c r="H1133">
        <v>27.756</v>
      </c>
      <c r="I1133" s="5">
        <f t="shared" si="239"/>
        <v>27.756</v>
      </c>
      <c r="J1133" s="16" t="str">
        <f t="shared" si="244"/>
        <v>Overweight</v>
      </c>
      <c r="K1133">
        <v>75.941000000000003</v>
      </c>
      <c r="L1133">
        <v>0.47799999999999998</v>
      </c>
      <c r="M1133" s="11">
        <f t="shared" si="240"/>
        <v>0.47799999999999998</v>
      </c>
      <c r="N1133" s="5">
        <f t="shared" si="245"/>
        <v>75.941000000000003</v>
      </c>
      <c r="O1133">
        <v>121</v>
      </c>
      <c r="P1133">
        <v>53</v>
      </c>
      <c r="Q1133" s="8">
        <f t="shared" si="246"/>
        <v>53</v>
      </c>
      <c r="R1133" s="8">
        <v>38</v>
      </c>
      <c r="S1133" s="8">
        <f t="shared" si="247"/>
        <v>38</v>
      </c>
      <c r="T1133" s="8">
        <f>(Table1[[#This Row],[Total Cholesterol (mg/dL)]]+Table1[[#This Row],[HDL (mg/dL)2]]+Table1[[#This Row],[Estimated LDL (mg/dL)2]])*5</f>
        <v>1060</v>
      </c>
      <c r="U1133" s="8">
        <f>IF(O1133="",Table1[[#This Row],[Estimated LDL (mg/dL)2]]+Table1[[#This Row],[HDL (mg/dL)2]]+(Table1[[#This Row],[Triglycerides]]/5),O1133)</f>
        <v>121</v>
      </c>
      <c r="V1133">
        <v>103</v>
      </c>
      <c r="W1133" s="8">
        <f t="shared" si="248"/>
        <v>103</v>
      </c>
      <c r="X1133" t="str">
        <f t="shared" si="249"/>
        <v>Prediabetes</v>
      </c>
      <c r="Y1133" t="s">
        <v>22</v>
      </c>
      <c r="Z1133" t="s">
        <v>22</v>
      </c>
      <c r="AA1133" t="s">
        <v>37</v>
      </c>
      <c r="AB1133" s="3" t="s">
        <v>970</v>
      </c>
      <c r="AC1133">
        <v>159</v>
      </c>
      <c r="AD1133" s="3" t="str">
        <f t="shared" si="250"/>
        <v>159</v>
      </c>
      <c r="AE1133">
        <v>89</v>
      </c>
      <c r="AF1133" s="3" t="str">
        <f t="shared" si="251"/>
        <v>89</v>
      </c>
      <c r="AG1133" t="s">
        <v>29</v>
      </c>
      <c r="AH1133" s="3">
        <v>15.920999999999999</v>
      </c>
      <c r="AI1133" s="3">
        <f t="shared" si="252"/>
        <v>15.920999999999999</v>
      </c>
      <c r="AJ1133" t="s">
        <v>52</v>
      </c>
      <c r="AK1133" t="str">
        <f>PROPER(Table1[[#This Row],[CVD Risk Level]])</f>
        <v>Low</v>
      </c>
    </row>
    <row r="1134" spans="1:37" x14ac:dyDescent="0.3">
      <c r="A1134" t="s">
        <v>31</v>
      </c>
      <c r="B1134">
        <v>49</v>
      </c>
      <c r="C1134" s="8">
        <f t="shared" si="241"/>
        <v>49</v>
      </c>
      <c r="D1134" s="5">
        <v>83.064999999999998</v>
      </c>
      <c r="E1134" s="8">
        <f t="shared" si="242"/>
        <v>83.064999999999998</v>
      </c>
      <c r="F1134">
        <v>1.9710000000000001</v>
      </c>
      <c r="G1134" s="3">
        <f t="shared" si="243"/>
        <v>1.9710000000000001</v>
      </c>
      <c r="H1134">
        <v>28.154</v>
      </c>
      <c r="I1134" s="5">
        <f t="shared" si="239"/>
        <v>28.154</v>
      </c>
      <c r="J1134" s="16" t="str">
        <f t="shared" si="244"/>
        <v>Overweight</v>
      </c>
      <c r="K1134">
        <v>92.423000000000002</v>
      </c>
      <c r="L1134">
        <v>0.46899999999999997</v>
      </c>
      <c r="M1134" s="11">
        <f t="shared" si="240"/>
        <v>0.46899999999999997</v>
      </c>
      <c r="N1134" s="5">
        <f t="shared" si="245"/>
        <v>92.423000000000002</v>
      </c>
      <c r="O1134">
        <v>104</v>
      </c>
      <c r="P1134">
        <v>89</v>
      </c>
      <c r="Q1134" s="8">
        <f t="shared" si="246"/>
        <v>89</v>
      </c>
      <c r="R1134" s="8">
        <v>-15</v>
      </c>
      <c r="S1134" s="8">
        <f t="shared" si="247"/>
        <v>109</v>
      </c>
      <c r="T1134" s="8">
        <f>(Table1[[#This Row],[Total Cholesterol (mg/dL)]]+Table1[[#This Row],[HDL (mg/dL)2]]+Table1[[#This Row],[Estimated LDL (mg/dL)2]])*5</f>
        <v>1510</v>
      </c>
      <c r="U1134" s="8">
        <f>IF(O1134="",Table1[[#This Row],[Estimated LDL (mg/dL)2]]+Table1[[#This Row],[HDL (mg/dL)2]]+(Table1[[#This Row],[Triglycerides]]/5),O1134)</f>
        <v>104</v>
      </c>
      <c r="V1134">
        <v>71</v>
      </c>
      <c r="W1134" s="8">
        <f t="shared" si="248"/>
        <v>71</v>
      </c>
      <c r="X1134" t="str">
        <f t="shared" si="249"/>
        <v>Normal</v>
      </c>
      <c r="Y1134" t="s">
        <v>22</v>
      </c>
      <c r="Z1134" t="s">
        <v>22</v>
      </c>
      <c r="AA1134" t="s">
        <v>24</v>
      </c>
      <c r="AB1134" s="3" t="s">
        <v>133</v>
      </c>
      <c r="AC1134">
        <v>103</v>
      </c>
      <c r="AD1134" s="3" t="str">
        <f t="shared" si="250"/>
        <v>103</v>
      </c>
      <c r="AE1134">
        <v>81</v>
      </c>
      <c r="AF1134" s="3" t="str">
        <f t="shared" si="251"/>
        <v>81</v>
      </c>
      <c r="AG1134" t="s">
        <v>29</v>
      </c>
      <c r="AH1134" s="3">
        <v>12.861000000000001</v>
      </c>
      <c r="AI1134" s="3">
        <f t="shared" si="252"/>
        <v>12.861000000000001</v>
      </c>
      <c r="AJ1134" t="s">
        <v>26</v>
      </c>
      <c r="AK1134" t="str">
        <f>PROPER(Table1[[#This Row],[CVD Risk Level]])</f>
        <v>Intermediary</v>
      </c>
    </row>
    <row r="1135" spans="1:37" x14ac:dyDescent="0.3">
      <c r="A1135" t="s">
        <v>31</v>
      </c>
      <c r="B1135">
        <v>59</v>
      </c>
      <c r="C1135" s="8">
        <f t="shared" si="241"/>
        <v>59</v>
      </c>
      <c r="D1135" s="5">
        <v>108.125</v>
      </c>
      <c r="E1135" s="8">
        <f t="shared" si="242"/>
        <v>108.125</v>
      </c>
      <c r="F1135">
        <v>1.5680000000000001</v>
      </c>
      <c r="G1135" s="3">
        <f t="shared" si="243"/>
        <v>1.5680000000000001</v>
      </c>
      <c r="H1135">
        <v>25.887</v>
      </c>
      <c r="I1135" s="5">
        <f t="shared" si="239"/>
        <v>25.887</v>
      </c>
      <c r="J1135" s="16" t="str">
        <f t="shared" si="244"/>
        <v>Overweight</v>
      </c>
      <c r="K1135">
        <v>103.05500000000001</v>
      </c>
      <c r="L1135">
        <v>0.65700000000000003</v>
      </c>
      <c r="M1135" s="11">
        <f t="shared" si="240"/>
        <v>0.65700000000000003</v>
      </c>
      <c r="N1135" s="5">
        <f t="shared" si="245"/>
        <v>103.05500000000001</v>
      </c>
      <c r="O1135">
        <v>255</v>
      </c>
      <c r="Q1135" s="8">
        <f t="shared" si="246"/>
        <v>56.197377501725327</v>
      </c>
      <c r="R1135" s="8">
        <v>180</v>
      </c>
      <c r="S1135" s="8">
        <f>IF(R1135&lt;=0,MEDIAN($R$2:$R$1530),R1135)</f>
        <v>180</v>
      </c>
      <c r="T1135" s="8">
        <f>(Table1[[#This Row],[Total Cholesterol (mg/dL)]]+Table1[[#This Row],[HDL (mg/dL)2]]+Table1[[#This Row],[Estimated LDL (mg/dL)2]])*5</f>
        <v>2455.9868875086268</v>
      </c>
      <c r="U1135" s="8">
        <f>IF(O1135="",Table1[[#This Row],[Estimated LDL (mg/dL)2]]+Table1[[#This Row],[HDL (mg/dL)2]]+(Table1[[#This Row],[Triglycerides]]/5),O1135)</f>
        <v>255</v>
      </c>
      <c r="V1135">
        <v>137</v>
      </c>
      <c r="W1135" s="8">
        <f t="shared" si="248"/>
        <v>137</v>
      </c>
      <c r="X1135" t="str">
        <f t="shared" si="249"/>
        <v>Diabetes</v>
      </c>
      <c r="Y1135" t="s">
        <v>23</v>
      </c>
      <c r="Z1135" t="s">
        <v>23</v>
      </c>
      <c r="AA1135" t="s">
        <v>28</v>
      </c>
      <c r="AB1135" s="3" t="s">
        <v>971</v>
      </c>
      <c r="AC1135">
        <v>157</v>
      </c>
      <c r="AD1135" s="3" t="str">
        <f t="shared" si="250"/>
        <v>157</v>
      </c>
      <c r="AE1135">
        <v>61</v>
      </c>
      <c r="AF1135" s="3" t="str">
        <f t="shared" si="251"/>
        <v>61</v>
      </c>
      <c r="AG1135" t="s">
        <v>38</v>
      </c>
      <c r="AH1135" s="3">
        <v>20.126999999999999</v>
      </c>
      <c r="AI1135" s="3">
        <f t="shared" si="252"/>
        <v>20.126999999999999</v>
      </c>
      <c r="AJ1135" t="s">
        <v>52</v>
      </c>
      <c r="AK1135" t="str">
        <f>PROPER(Table1[[#This Row],[CVD Risk Level]])</f>
        <v>Low</v>
      </c>
    </row>
    <row r="1136" spans="1:37" x14ac:dyDescent="0.3">
      <c r="A1136" t="s">
        <v>31</v>
      </c>
      <c r="C1136" s="8">
        <f t="shared" si="241"/>
        <v>47.025499655410059</v>
      </c>
      <c r="D1136" s="5">
        <v>95.772000000000006</v>
      </c>
      <c r="E1136" s="8">
        <f t="shared" si="242"/>
        <v>95.772000000000006</v>
      </c>
      <c r="F1136">
        <v>1.6890000000000001</v>
      </c>
      <c r="G1136" s="3">
        <f t="shared" si="243"/>
        <v>1.6890000000000001</v>
      </c>
      <c r="H1136">
        <v>21.716999999999999</v>
      </c>
      <c r="I1136" s="5">
        <f t="shared" si="239"/>
        <v>21.716999999999999</v>
      </c>
      <c r="J1136" s="16" t="str">
        <f t="shared" si="244"/>
        <v>Normal</v>
      </c>
      <c r="K1136">
        <v>79.183999999999997</v>
      </c>
      <c r="L1136">
        <v>0.46899999999999997</v>
      </c>
      <c r="M1136" s="11">
        <f t="shared" si="240"/>
        <v>0.46899999999999997</v>
      </c>
      <c r="N1136" s="5">
        <f t="shared" si="245"/>
        <v>79.183999999999997</v>
      </c>
      <c r="O1136">
        <v>163</v>
      </c>
      <c r="P1136">
        <v>83</v>
      </c>
      <c r="Q1136" s="8">
        <f t="shared" si="246"/>
        <v>83</v>
      </c>
      <c r="R1136" s="8">
        <v>50</v>
      </c>
      <c r="S1136" s="8">
        <f t="shared" si="247"/>
        <v>50</v>
      </c>
      <c r="T1136" s="8">
        <f>(Table1[[#This Row],[Total Cholesterol (mg/dL)]]+Table1[[#This Row],[HDL (mg/dL)2]]+Table1[[#This Row],[Estimated LDL (mg/dL)2]])*5</f>
        <v>1480</v>
      </c>
      <c r="U1136" s="8">
        <f>IF(O1136="",Table1[[#This Row],[Estimated LDL (mg/dL)2]]+Table1[[#This Row],[HDL (mg/dL)2]]+(Table1[[#This Row],[Triglycerides]]/5),O1136)</f>
        <v>163</v>
      </c>
      <c r="V1136">
        <v>154</v>
      </c>
      <c r="W1136" s="8">
        <f t="shared" si="248"/>
        <v>154</v>
      </c>
      <c r="X1136" t="str">
        <f t="shared" si="249"/>
        <v>Diabetes</v>
      </c>
      <c r="Y1136" t="s">
        <v>22</v>
      </c>
      <c r="Z1136" t="s">
        <v>23</v>
      </c>
      <c r="AA1136" t="s">
        <v>28</v>
      </c>
      <c r="AB1136" s="3" t="s">
        <v>140</v>
      </c>
      <c r="AC1136">
        <v>113</v>
      </c>
      <c r="AD1136" s="3" t="str">
        <f t="shared" si="250"/>
        <v>113</v>
      </c>
      <c r="AE1136">
        <v>99</v>
      </c>
      <c r="AF1136" s="3" t="str">
        <f t="shared" si="251"/>
        <v>99</v>
      </c>
      <c r="AG1136" t="s">
        <v>38</v>
      </c>
      <c r="AH1136" s="3">
        <v>15.253</v>
      </c>
      <c r="AI1136" s="3">
        <f t="shared" si="252"/>
        <v>15.253</v>
      </c>
      <c r="AJ1136" t="s">
        <v>30</v>
      </c>
      <c r="AK1136" t="str">
        <f>PROPER(Table1[[#This Row],[CVD Risk Level]])</f>
        <v>High</v>
      </c>
    </row>
    <row r="1137" spans="1:37" x14ac:dyDescent="0.3">
      <c r="A1137" t="s">
        <v>31</v>
      </c>
      <c r="B1137">
        <v>30</v>
      </c>
      <c r="C1137" s="8">
        <f t="shared" si="241"/>
        <v>30</v>
      </c>
      <c r="D1137" s="5">
        <v>102.828</v>
      </c>
      <c r="E1137" s="8">
        <f t="shared" si="242"/>
        <v>102.828</v>
      </c>
      <c r="F1137">
        <v>1.9770000000000001</v>
      </c>
      <c r="G1137" s="3">
        <f t="shared" si="243"/>
        <v>1.9770000000000001</v>
      </c>
      <c r="H1137">
        <v>38.314999999999998</v>
      </c>
      <c r="I1137" s="5">
        <f t="shared" si="239"/>
        <v>38.314999999999998</v>
      </c>
      <c r="J1137" s="16" t="str">
        <f t="shared" si="244"/>
        <v>Obese</v>
      </c>
      <c r="K1137">
        <v>100.4</v>
      </c>
      <c r="L1137">
        <v>0.50800000000000001</v>
      </c>
      <c r="M1137" s="11">
        <f t="shared" si="240"/>
        <v>0.50800000000000001</v>
      </c>
      <c r="N1137" s="5">
        <f t="shared" si="245"/>
        <v>100.4</v>
      </c>
      <c r="O1137">
        <v>294</v>
      </c>
      <c r="P1137">
        <v>30</v>
      </c>
      <c r="Q1137" s="8">
        <f t="shared" si="246"/>
        <v>30</v>
      </c>
      <c r="R1137" s="8">
        <v>234</v>
      </c>
      <c r="S1137" s="8">
        <f t="shared" si="247"/>
        <v>234</v>
      </c>
      <c r="T1137" s="8">
        <f>(Table1[[#This Row],[Total Cholesterol (mg/dL)]]+Table1[[#This Row],[HDL (mg/dL)2]]+Table1[[#This Row],[Estimated LDL (mg/dL)2]])*5</f>
        <v>2790</v>
      </c>
      <c r="U1137" s="8">
        <f>IF(O1137="",Table1[[#This Row],[Estimated LDL (mg/dL)2]]+Table1[[#This Row],[HDL (mg/dL)2]]+(Table1[[#This Row],[Triglycerides]]/5),O1137)</f>
        <v>294</v>
      </c>
      <c r="V1137">
        <v>88</v>
      </c>
      <c r="W1137" s="8">
        <f t="shared" si="248"/>
        <v>88</v>
      </c>
      <c r="X1137" t="str">
        <f t="shared" si="249"/>
        <v>Normal</v>
      </c>
      <c r="Y1137" t="s">
        <v>23</v>
      </c>
      <c r="Z1137" t="s">
        <v>23</v>
      </c>
      <c r="AA1137" t="s">
        <v>28</v>
      </c>
      <c r="AB1137" s="3" t="s">
        <v>972</v>
      </c>
      <c r="AC1137">
        <v>151</v>
      </c>
      <c r="AD1137" s="3" t="str">
        <f t="shared" si="250"/>
        <v>151</v>
      </c>
      <c r="AE1137">
        <v>77</v>
      </c>
      <c r="AF1137" s="3" t="str">
        <f t="shared" si="251"/>
        <v>77</v>
      </c>
      <c r="AG1137" t="s">
        <v>38</v>
      </c>
      <c r="AH1137" s="3">
        <v>23.093</v>
      </c>
      <c r="AI1137" s="3">
        <f t="shared" si="252"/>
        <v>23.093</v>
      </c>
      <c r="AJ1137" t="s">
        <v>52</v>
      </c>
      <c r="AK1137" t="str">
        <f>PROPER(Table1[[#This Row],[CVD Risk Level]])</f>
        <v>Low</v>
      </c>
    </row>
    <row r="1138" spans="1:37" x14ac:dyDescent="0.3">
      <c r="A1138" t="s">
        <v>31</v>
      </c>
      <c r="B1138">
        <v>26</v>
      </c>
      <c r="C1138" s="8">
        <f t="shared" si="241"/>
        <v>26</v>
      </c>
      <c r="D1138" s="5">
        <v>58.953000000000003</v>
      </c>
      <c r="E1138" s="8">
        <f t="shared" si="242"/>
        <v>58.953000000000003</v>
      </c>
      <c r="F1138">
        <v>1.6879999999999999</v>
      </c>
      <c r="G1138" s="3">
        <f t="shared" si="243"/>
        <v>1.6879999999999999</v>
      </c>
      <c r="H1138">
        <v>25.286000000000001</v>
      </c>
      <c r="I1138" s="5">
        <f t="shared" si="239"/>
        <v>25.286000000000001</v>
      </c>
      <c r="J1138" s="16" t="str">
        <f t="shared" si="244"/>
        <v>Overweight</v>
      </c>
      <c r="L1138">
        <v>0.45500000000000002</v>
      </c>
      <c r="M1138" s="11">
        <f t="shared" si="240"/>
        <v>0.45500000000000002</v>
      </c>
      <c r="N1138" s="5">
        <f t="shared" si="245"/>
        <v>76.803999999999988</v>
      </c>
      <c r="O1138">
        <v>258</v>
      </c>
      <c r="P1138">
        <v>58</v>
      </c>
      <c r="Q1138" s="8">
        <f t="shared" si="246"/>
        <v>58</v>
      </c>
      <c r="R1138" s="8">
        <v>170</v>
      </c>
      <c r="S1138" s="8">
        <f t="shared" si="247"/>
        <v>170</v>
      </c>
      <c r="T1138" s="8">
        <f>(Table1[[#This Row],[Total Cholesterol (mg/dL)]]+Table1[[#This Row],[HDL (mg/dL)2]]+Table1[[#This Row],[Estimated LDL (mg/dL)2]])*5</f>
        <v>2430</v>
      </c>
      <c r="U1138" s="8">
        <f>IF(O1138="",Table1[[#This Row],[Estimated LDL (mg/dL)2]]+Table1[[#This Row],[HDL (mg/dL)2]]+(Table1[[#This Row],[Triglycerides]]/5),O1138)</f>
        <v>258</v>
      </c>
      <c r="V1138">
        <v>146</v>
      </c>
      <c r="W1138" s="8">
        <f t="shared" si="248"/>
        <v>146</v>
      </c>
      <c r="X1138" t="str">
        <f t="shared" si="249"/>
        <v>Diabetes</v>
      </c>
      <c r="Y1138" t="s">
        <v>22</v>
      </c>
      <c r="Z1138" t="s">
        <v>22</v>
      </c>
      <c r="AA1138" t="s">
        <v>28</v>
      </c>
      <c r="AB1138" s="3" t="s">
        <v>973</v>
      </c>
      <c r="AC1138">
        <v>110</v>
      </c>
      <c r="AD1138" s="3" t="str">
        <f t="shared" si="250"/>
        <v>110</v>
      </c>
      <c r="AE1138">
        <v>114</v>
      </c>
      <c r="AF1138" s="3" t="str">
        <f t="shared" si="251"/>
        <v>114</v>
      </c>
      <c r="AG1138" t="s">
        <v>38</v>
      </c>
      <c r="AH1138" s="3">
        <v>15.717000000000001</v>
      </c>
      <c r="AI1138" s="3">
        <f t="shared" si="252"/>
        <v>15.717000000000001</v>
      </c>
      <c r="AJ1138" t="s">
        <v>30</v>
      </c>
      <c r="AK1138" t="str">
        <f>PROPER(Table1[[#This Row],[CVD Risk Level]])</f>
        <v>High</v>
      </c>
    </row>
    <row r="1139" spans="1:37" x14ac:dyDescent="0.3">
      <c r="A1139" t="s">
        <v>31</v>
      </c>
      <c r="B1139">
        <v>76</v>
      </c>
      <c r="C1139" s="8">
        <f t="shared" si="241"/>
        <v>76</v>
      </c>
      <c r="D1139" s="5">
        <v>99.585999999999999</v>
      </c>
      <c r="E1139" s="8">
        <f t="shared" si="242"/>
        <v>99.585999999999999</v>
      </c>
      <c r="F1139">
        <v>1.8979999999999999</v>
      </c>
      <c r="G1139" s="3">
        <f t="shared" si="243"/>
        <v>1.8979999999999999</v>
      </c>
      <c r="H1139">
        <v>39.517000000000003</v>
      </c>
      <c r="I1139" s="5">
        <f t="shared" si="239"/>
        <v>39.517000000000003</v>
      </c>
      <c r="J1139" s="16" t="str">
        <f t="shared" si="244"/>
        <v>Obese</v>
      </c>
      <c r="K1139">
        <v>107.48099999999999</v>
      </c>
      <c r="L1139">
        <v>0.56599999999999995</v>
      </c>
      <c r="M1139" s="11">
        <f t="shared" si="240"/>
        <v>0.56599999999999995</v>
      </c>
      <c r="N1139" s="5">
        <f t="shared" si="245"/>
        <v>107.48099999999999</v>
      </c>
      <c r="O1139">
        <v>125</v>
      </c>
      <c r="P1139">
        <v>45</v>
      </c>
      <c r="Q1139" s="8">
        <f t="shared" si="246"/>
        <v>45</v>
      </c>
      <c r="R1139" s="8">
        <v>50</v>
      </c>
      <c r="S1139" s="8">
        <f t="shared" si="247"/>
        <v>50</v>
      </c>
      <c r="T1139" s="8">
        <f>(Table1[[#This Row],[Total Cholesterol (mg/dL)]]+Table1[[#This Row],[HDL (mg/dL)2]]+Table1[[#This Row],[Estimated LDL (mg/dL)2]])*5</f>
        <v>1100</v>
      </c>
      <c r="U1139" s="8">
        <f>IF(O1139="",Table1[[#This Row],[Estimated LDL (mg/dL)2]]+Table1[[#This Row],[HDL (mg/dL)2]]+(Table1[[#This Row],[Triglycerides]]/5),O1139)</f>
        <v>125</v>
      </c>
      <c r="V1139">
        <v>101</v>
      </c>
      <c r="W1139" s="8">
        <f t="shared" si="248"/>
        <v>101</v>
      </c>
      <c r="X1139" t="str">
        <f t="shared" si="249"/>
        <v>Prediabetes</v>
      </c>
      <c r="Y1139" t="s">
        <v>23</v>
      </c>
      <c r="Z1139" t="s">
        <v>23</v>
      </c>
      <c r="AA1139" t="s">
        <v>28</v>
      </c>
      <c r="AB1139" s="3" t="s">
        <v>974</v>
      </c>
      <c r="AC1139">
        <v>171</v>
      </c>
      <c r="AD1139" s="3" t="str">
        <f t="shared" si="250"/>
        <v>171</v>
      </c>
      <c r="AE1139">
        <v>80</v>
      </c>
      <c r="AF1139" s="3" t="str">
        <f t="shared" si="251"/>
        <v>80</v>
      </c>
      <c r="AG1139" t="s">
        <v>29</v>
      </c>
      <c r="AH1139" s="3">
        <v>20.952999999999999</v>
      </c>
      <c r="AI1139" s="3">
        <f t="shared" si="252"/>
        <v>20.952999999999999</v>
      </c>
      <c r="AJ1139" t="s">
        <v>52</v>
      </c>
      <c r="AK1139" t="str">
        <f>PROPER(Table1[[#This Row],[CVD Risk Level]])</f>
        <v>Low</v>
      </c>
    </row>
    <row r="1140" spans="1:37" x14ac:dyDescent="0.3">
      <c r="A1140" t="s">
        <v>31</v>
      </c>
      <c r="B1140">
        <v>75</v>
      </c>
      <c r="C1140" s="8">
        <f t="shared" si="241"/>
        <v>75</v>
      </c>
      <c r="D1140" s="5">
        <v>96.063000000000002</v>
      </c>
      <c r="E1140" s="8">
        <f t="shared" si="242"/>
        <v>96.063000000000002</v>
      </c>
      <c r="F1140">
        <v>1.986</v>
      </c>
      <c r="G1140" s="3">
        <f t="shared" si="243"/>
        <v>1.986</v>
      </c>
      <c r="H1140">
        <v>27.821000000000002</v>
      </c>
      <c r="I1140" s="5">
        <f t="shared" si="239"/>
        <v>27.821000000000002</v>
      </c>
      <c r="J1140" s="16" t="str">
        <f t="shared" si="244"/>
        <v>Overweight</v>
      </c>
      <c r="K1140">
        <v>72.712999999999994</v>
      </c>
      <c r="L1140">
        <v>0.36599999999999999</v>
      </c>
      <c r="M1140" s="11">
        <f t="shared" si="240"/>
        <v>0.36599999999999999</v>
      </c>
      <c r="N1140" s="5">
        <f t="shared" si="245"/>
        <v>72.712999999999994</v>
      </c>
      <c r="O1140">
        <v>211</v>
      </c>
      <c r="P1140">
        <v>74</v>
      </c>
      <c r="Q1140" s="8">
        <f t="shared" si="246"/>
        <v>74</v>
      </c>
      <c r="R1140" s="8">
        <v>107</v>
      </c>
      <c r="S1140" s="8">
        <f t="shared" si="247"/>
        <v>107</v>
      </c>
      <c r="T1140" s="8">
        <f>(Table1[[#This Row],[Total Cholesterol (mg/dL)]]+Table1[[#This Row],[HDL (mg/dL)2]]+Table1[[#This Row],[Estimated LDL (mg/dL)2]])*5</f>
        <v>1960</v>
      </c>
      <c r="U1140" s="8">
        <f>IF(O1140="",Table1[[#This Row],[Estimated LDL (mg/dL)2]]+Table1[[#This Row],[HDL (mg/dL)2]]+(Table1[[#This Row],[Triglycerides]]/5),O1140)</f>
        <v>211</v>
      </c>
      <c r="V1140">
        <v>75</v>
      </c>
      <c r="W1140" s="8">
        <f t="shared" si="248"/>
        <v>75</v>
      </c>
      <c r="X1140" t="str">
        <f t="shared" si="249"/>
        <v>Normal</v>
      </c>
      <c r="Y1140" t="s">
        <v>23</v>
      </c>
      <c r="Z1140" t="s">
        <v>23</v>
      </c>
      <c r="AA1140" t="s">
        <v>24</v>
      </c>
      <c r="AB1140" s="3" t="s">
        <v>902</v>
      </c>
      <c r="AC1140">
        <v>158</v>
      </c>
      <c r="AD1140" s="3" t="str">
        <f t="shared" si="250"/>
        <v>158</v>
      </c>
      <c r="AE1140">
        <v>74</v>
      </c>
      <c r="AF1140" s="3" t="str">
        <f t="shared" si="251"/>
        <v>74</v>
      </c>
      <c r="AG1140" t="s">
        <v>38</v>
      </c>
      <c r="AH1140" s="3">
        <v>19.684000000000001</v>
      </c>
      <c r="AI1140" s="3">
        <f t="shared" si="252"/>
        <v>19.684000000000001</v>
      </c>
      <c r="AJ1140" t="s">
        <v>52</v>
      </c>
      <c r="AK1140" t="str">
        <f>PROPER(Table1[[#This Row],[CVD Risk Level]])</f>
        <v>Low</v>
      </c>
    </row>
    <row r="1141" spans="1:37" x14ac:dyDescent="0.3">
      <c r="A1141" t="s">
        <v>20</v>
      </c>
      <c r="B1141">
        <v>76</v>
      </c>
      <c r="C1141" s="8">
        <f t="shared" si="241"/>
        <v>76</v>
      </c>
      <c r="D1141" s="5">
        <v>60.206000000000003</v>
      </c>
      <c r="E1141" s="8">
        <f t="shared" si="242"/>
        <v>60.206000000000003</v>
      </c>
      <c r="F1141">
        <v>1.857</v>
      </c>
      <c r="G1141" s="3">
        <f t="shared" si="243"/>
        <v>1.857</v>
      </c>
      <c r="H1141">
        <v>21.033000000000001</v>
      </c>
      <c r="I1141" s="5">
        <f t="shared" si="239"/>
        <v>21.033000000000001</v>
      </c>
      <c r="J1141" s="16" t="str">
        <f t="shared" si="244"/>
        <v>Normal</v>
      </c>
      <c r="K1141">
        <v>78.745000000000005</v>
      </c>
      <c r="L1141">
        <v>0.42399999999999999</v>
      </c>
      <c r="M1141" s="11">
        <f t="shared" si="240"/>
        <v>0.42399999999999999</v>
      </c>
      <c r="N1141" s="5">
        <f t="shared" si="245"/>
        <v>78.745000000000005</v>
      </c>
      <c r="O1141">
        <v>123</v>
      </c>
      <c r="P1141">
        <v>76</v>
      </c>
      <c r="Q1141" s="8">
        <f t="shared" si="246"/>
        <v>76</v>
      </c>
      <c r="R1141" s="8">
        <v>17</v>
      </c>
      <c r="S1141" s="8">
        <f t="shared" si="247"/>
        <v>17</v>
      </c>
      <c r="T1141" s="8">
        <f>(Table1[[#This Row],[Total Cholesterol (mg/dL)]]+Table1[[#This Row],[HDL (mg/dL)2]]+Table1[[#This Row],[Estimated LDL (mg/dL)2]])*5</f>
        <v>1080</v>
      </c>
      <c r="U1141" s="8">
        <f>IF(O1141="",Table1[[#This Row],[Estimated LDL (mg/dL)2]]+Table1[[#This Row],[HDL (mg/dL)2]]+(Table1[[#This Row],[Triglycerides]]/5),O1141)</f>
        <v>123</v>
      </c>
      <c r="V1141">
        <v>109</v>
      </c>
      <c r="W1141" s="8">
        <f t="shared" si="248"/>
        <v>109</v>
      </c>
      <c r="X1141" t="str">
        <f t="shared" si="249"/>
        <v>Prediabetes</v>
      </c>
      <c r="Y1141" t="s">
        <v>22</v>
      </c>
      <c r="Z1141" t="s">
        <v>22</v>
      </c>
      <c r="AA1141" t="s">
        <v>24</v>
      </c>
      <c r="AB1141" s="3" t="s">
        <v>975</v>
      </c>
      <c r="AC1141">
        <v>140</v>
      </c>
      <c r="AD1141" s="3" t="str">
        <f t="shared" si="250"/>
        <v>140</v>
      </c>
      <c r="AE1141">
        <v>61</v>
      </c>
      <c r="AF1141" s="3" t="str">
        <f t="shared" si="251"/>
        <v>61</v>
      </c>
      <c r="AG1141" t="s">
        <v>38</v>
      </c>
      <c r="AH1141" s="3">
        <v>13.667</v>
      </c>
      <c r="AI1141" s="3">
        <f t="shared" si="252"/>
        <v>13.667</v>
      </c>
      <c r="AJ1141" t="s">
        <v>52</v>
      </c>
      <c r="AK1141" t="str">
        <f>PROPER(Table1[[#This Row],[CVD Risk Level]])</f>
        <v>Low</v>
      </c>
    </row>
    <row r="1142" spans="1:37" x14ac:dyDescent="0.3">
      <c r="A1142" t="s">
        <v>20</v>
      </c>
      <c r="C1142" s="8">
        <f t="shared" si="241"/>
        <v>47.025499655410059</v>
      </c>
      <c r="D1142" s="5">
        <v>59.238</v>
      </c>
      <c r="E1142" s="8">
        <f t="shared" si="242"/>
        <v>59.238</v>
      </c>
      <c r="F1142">
        <v>1.623</v>
      </c>
      <c r="G1142" s="3">
        <f t="shared" si="243"/>
        <v>1.623</v>
      </c>
      <c r="H1142">
        <v>26.465</v>
      </c>
      <c r="I1142" s="5">
        <f t="shared" si="239"/>
        <v>26.465</v>
      </c>
      <c r="J1142" s="16" t="str">
        <f t="shared" si="244"/>
        <v>Overweight</v>
      </c>
      <c r="K1142">
        <v>98.698999999999998</v>
      </c>
      <c r="L1142">
        <v>0.60799999999999998</v>
      </c>
      <c r="M1142" s="11">
        <f t="shared" si="240"/>
        <v>0.60799999999999998</v>
      </c>
      <c r="N1142" s="5">
        <f t="shared" si="245"/>
        <v>98.698999999999998</v>
      </c>
      <c r="O1142">
        <v>247</v>
      </c>
      <c r="P1142">
        <v>41</v>
      </c>
      <c r="Q1142" s="8">
        <f t="shared" si="246"/>
        <v>41</v>
      </c>
      <c r="R1142" s="8">
        <v>176</v>
      </c>
      <c r="S1142" s="8">
        <f t="shared" si="247"/>
        <v>176</v>
      </c>
      <c r="T1142" s="8">
        <f>(Table1[[#This Row],[Total Cholesterol (mg/dL)]]+Table1[[#This Row],[HDL (mg/dL)2]]+Table1[[#This Row],[Estimated LDL (mg/dL)2]])*5</f>
        <v>2320</v>
      </c>
      <c r="U1142" s="8">
        <f>IF(O1142="",Table1[[#This Row],[Estimated LDL (mg/dL)2]]+Table1[[#This Row],[HDL (mg/dL)2]]+(Table1[[#This Row],[Triglycerides]]/5),O1142)</f>
        <v>247</v>
      </c>
      <c r="V1142">
        <v>71</v>
      </c>
      <c r="W1142" s="8">
        <f t="shared" si="248"/>
        <v>71</v>
      </c>
      <c r="X1142" t="str">
        <f t="shared" si="249"/>
        <v>Normal</v>
      </c>
      <c r="Y1142" t="s">
        <v>22</v>
      </c>
      <c r="Z1142" t="s">
        <v>23</v>
      </c>
      <c r="AA1142" t="s">
        <v>37</v>
      </c>
      <c r="AB1142" s="3" t="s">
        <v>976</v>
      </c>
      <c r="AC1142">
        <v>113</v>
      </c>
      <c r="AD1142" s="3" t="str">
        <f t="shared" si="250"/>
        <v>113</v>
      </c>
      <c r="AE1142">
        <v>66</v>
      </c>
      <c r="AF1142" s="3" t="str">
        <f t="shared" si="251"/>
        <v>66</v>
      </c>
      <c r="AG1142" t="s">
        <v>33</v>
      </c>
      <c r="AH1142" s="3">
        <v>17.882999999999999</v>
      </c>
      <c r="AI1142" s="3">
        <f t="shared" si="252"/>
        <v>17.882999999999999</v>
      </c>
      <c r="AJ1142" t="s">
        <v>26</v>
      </c>
      <c r="AK1142" t="str">
        <f>PROPER(Table1[[#This Row],[CVD Risk Level]])</f>
        <v>Intermediary</v>
      </c>
    </row>
    <row r="1143" spans="1:37" x14ac:dyDescent="0.3">
      <c r="A1143" t="s">
        <v>31</v>
      </c>
      <c r="B1143">
        <v>33</v>
      </c>
      <c r="C1143" s="8">
        <f t="shared" si="241"/>
        <v>33</v>
      </c>
      <c r="D1143" s="5">
        <v>116.375</v>
      </c>
      <c r="E1143" s="8">
        <f t="shared" si="242"/>
        <v>116.375</v>
      </c>
      <c r="F1143">
        <v>1.91</v>
      </c>
      <c r="G1143" s="3">
        <f t="shared" si="243"/>
        <v>1.91</v>
      </c>
      <c r="H1143">
        <v>33.597000000000001</v>
      </c>
      <c r="I1143" s="5">
        <f t="shared" si="239"/>
        <v>33.597000000000001</v>
      </c>
      <c r="J1143" s="16" t="str">
        <f t="shared" si="244"/>
        <v>Obese</v>
      </c>
      <c r="L1143">
        <v>0.42599999999999999</v>
      </c>
      <c r="M1143" s="11">
        <f t="shared" si="240"/>
        <v>0.42599999999999999</v>
      </c>
      <c r="N1143" s="5">
        <f t="shared" si="245"/>
        <v>81.366</v>
      </c>
      <c r="O1143">
        <v>240</v>
      </c>
      <c r="P1143">
        <v>60</v>
      </c>
      <c r="Q1143" s="8">
        <f t="shared" si="246"/>
        <v>60</v>
      </c>
      <c r="R1143" s="8">
        <v>150</v>
      </c>
      <c r="S1143" s="8">
        <f t="shared" si="247"/>
        <v>150</v>
      </c>
      <c r="T1143" s="8">
        <f>(Table1[[#This Row],[Total Cholesterol (mg/dL)]]+Table1[[#This Row],[HDL (mg/dL)2]]+Table1[[#This Row],[Estimated LDL (mg/dL)2]])*5</f>
        <v>2250</v>
      </c>
      <c r="U1143" s="8">
        <f>IF(O1143="",Table1[[#This Row],[Estimated LDL (mg/dL)2]]+Table1[[#This Row],[HDL (mg/dL)2]]+(Table1[[#This Row],[Triglycerides]]/5),O1143)</f>
        <v>240</v>
      </c>
      <c r="V1143">
        <v>180</v>
      </c>
      <c r="W1143" s="8">
        <f t="shared" si="248"/>
        <v>180</v>
      </c>
      <c r="X1143" t="str">
        <f t="shared" si="249"/>
        <v>Diabetes</v>
      </c>
      <c r="Y1143" t="s">
        <v>22</v>
      </c>
      <c r="Z1143" t="s">
        <v>23</v>
      </c>
      <c r="AA1143" t="s">
        <v>28</v>
      </c>
      <c r="AB1143" s="3" t="s">
        <v>977</v>
      </c>
      <c r="AC1143">
        <v>98</v>
      </c>
      <c r="AD1143" s="3" t="str">
        <f t="shared" si="250"/>
        <v>98</v>
      </c>
      <c r="AE1143">
        <v>91</v>
      </c>
      <c r="AF1143" s="3" t="str">
        <f t="shared" si="251"/>
        <v>91</v>
      </c>
      <c r="AG1143" t="s">
        <v>38</v>
      </c>
      <c r="AH1143" s="3">
        <v>18.419</v>
      </c>
      <c r="AI1143" s="3">
        <f t="shared" si="252"/>
        <v>18.419</v>
      </c>
      <c r="AJ1143" t="s">
        <v>26</v>
      </c>
      <c r="AK1143" t="str">
        <f>PROPER(Table1[[#This Row],[CVD Risk Level]])</f>
        <v>Intermediary</v>
      </c>
    </row>
    <row r="1144" spans="1:37" x14ac:dyDescent="0.3">
      <c r="A1144" t="s">
        <v>31</v>
      </c>
      <c r="B1144">
        <v>64</v>
      </c>
      <c r="C1144" s="8">
        <f t="shared" si="241"/>
        <v>64</v>
      </c>
      <c r="D1144" s="5">
        <v>92.384</v>
      </c>
      <c r="E1144" s="8">
        <f t="shared" si="242"/>
        <v>92.384</v>
      </c>
      <c r="F1144">
        <v>1.5640000000000001</v>
      </c>
      <c r="G1144" s="3">
        <f t="shared" si="243"/>
        <v>1.5640000000000001</v>
      </c>
      <c r="H1144">
        <v>33.505000000000003</v>
      </c>
      <c r="I1144" s="5">
        <f t="shared" si="239"/>
        <v>33.505000000000003</v>
      </c>
      <c r="J1144" s="16" t="str">
        <f t="shared" si="244"/>
        <v>Obese</v>
      </c>
      <c r="K1144">
        <v>82.86</v>
      </c>
      <c r="L1144">
        <v>0.53</v>
      </c>
      <c r="M1144" s="11">
        <f t="shared" si="240"/>
        <v>0.53</v>
      </c>
      <c r="N1144" s="5">
        <f t="shared" si="245"/>
        <v>82.86</v>
      </c>
      <c r="O1144">
        <v>146</v>
      </c>
      <c r="P1144">
        <v>84</v>
      </c>
      <c r="Q1144" s="8">
        <f t="shared" si="246"/>
        <v>84</v>
      </c>
      <c r="R1144" s="8">
        <v>32</v>
      </c>
      <c r="S1144" s="8">
        <f t="shared" si="247"/>
        <v>32</v>
      </c>
      <c r="T1144" s="8">
        <f>(Table1[[#This Row],[Total Cholesterol (mg/dL)]]+Table1[[#This Row],[HDL (mg/dL)2]]+Table1[[#This Row],[Estimated LDL (mg/dL)2]])*5</f>
        <v>1310</v>
      </c>
      <c r="U1144" s="8">
        <f>IF(O1144="",Table1[[#This Row],[Estimated LDL (mg/dL)2]]+Table1[[#This Row],[HDL (mg/dL)2]]+(Table1[[#This Row],[Triglycerides]]/5),O1144)</f>
        <v>146</v>
      </c>
      <c r="V1144">
        <v>117</v>
      </c>
      <c r="W1144" s="8">
        <f t="shared" si="248"/>
        <v>117</v>
      </c>
      <c r="X1144" t="str">
        <f t="shared" si="249"/>
        <v>Prediabetes</v>
      </c>
      <c r="Y1144" t="s">
        <v>23</v>
      </c>
      <c r="Z1144" t="s">
        <v>22</v>
      </c>
      <c r="AA1144" t="s">
        <v>24</v>
      </c>
      <c r="AB1144" s="3" t="s">
        <v>978</v>
      </c>
      <c r="AC1144">
        <v>146</v>
      </c>
      <c r="AD1144" s="3" t="str">
        <f t="shared" si="250"/>
        <v>146</v>
      </c>
      <c r="AE1144">
        <v>72</v>
      </c>
      <c r="AF1144" s="3" t="str">
        <f t="shared" si="251"/>
        <v>72</v>
      </c>
      <c r="AG1144" t="s">
        <v>38</v>
      </c>
      <c r="AH1144" s="3">
        <v>16.920999999999999</v>
      </c>
      <c r="AI1144" s="3">
        <f t="shared" si="252"/>
        <v>16.920999999999999</v>
      </c>
      <c r="AJ1144" t="s">
        <v>52</v>
      </c>
      <c r="AK1144" t="str">
        <f>PROPER(Table1[[#This Row],[CVD Risk Level]])</f>
        <v>Low</v>
      </c>
    </row>
    <row r="1145" spans="1:37" x14ac:dyDescent="0.3">
      <c r="A1145" t="s">
        <v>31</v>
      </c>
      <c r="B1145">
        <v>31</v>
      </c>
      <c r="C1145" s="8">
        <f t="shared" si="241"/>
        <v>31</v>
      </c>
      <c r="D1145" s="5">
        <v>112.709</v>
      </c>
      <c r="E1145" s="8">
        <f t="shared" si="242"/>
        <v>112.709</v>
      </c>
      <c r="F1145">
        <v>1.8420000000000001</v>
      </c>
      <c r="G1145" s="3">
        <f t="shared" si="243"/>
        <v>1.8420000000000001</v>
      </c>
      <c r="H1145">
        <v>26.524000000000001</v>
      </c>
      <c r="I1145" s="5">
        <f t="shared" si="239"/>
        <v>26.524000000000001</v>
      </c>
      <c r="J1145" s="16" t="str">
        <f t="shared" si="244"/>
        <v>Overweight</v>
      </c>
      <c r="K1145">
        <v>107.197</v>
      </c>
      <c r="L1145">
        <v>0.58199999999999996</v>
      </c>
      <c r="M1145" s="11">
        <f t="shared" si="240"/>
        <v>0.58199999999999996</v>
      </c>
      <c r="N1145" s="5">
        <f t="shared" si="245"/>
        <v>107.197</v>
      </c>
      <c r="O1145">
        <v>155</v>
      </c>
      <c r="P1145">
        <v>64</v>
      </c>
      <c r="Q1145" s="8">
        <f t="shared" si="246"/>
        <v>64</v>
      </c>
      <c r="R1145" s="8">
        <v>61</v>
      </c>
      <c r="S1145" s="8">
        <f t="shared" si="247"/>
        <v>61</v>
      </c>
      <c r="T1145" s="8">
        <f>(Table1[[#This Row],[Total Cholesterol (mg/dL)]]+Table1[[#This Row],[HDL (mg/dL)2]]+Table1[[#This Row],[Estimated LDL (mg/dL)2]])*5</f>
        <v>1400</v>
      </c>
      <c r="U1145" s="8">
        <f>IF(O1145="",Table1[[#This Row],[Estimated LDL (mg/dL)2]]+Table1[[#This Row],[HDL (mg/dL)2]]+(Table1[[#This Row],[Triglycerides]]/5),O1145)</f>
        <v>155</v>
      </c>
      <c r="V1145">
        <v>160</v>
      </c>
      <c r="W1145" s="8">
        <f t="shared" si="248"/>
        <v>160</v>
      </c>
      <c r="X1145" t="str">
        <f t="shared" si="249"/>
        <v>Diabetes</v>
      </c>
      <c r="Y1145" t="s">
        <v>23</v>
      </c>
      <c r="Z1145" t="s">
        <v>22</v>
      </c>
      <c r="AA1145" t="s">
        <v>37</v>
      </c>
      <c r="AB1145" s="3" t="s">
        <v>979</v>
      </c>
      <c r="AC1145">
        <v>112</v>
      </c>
      <c r="AD1145" s="3" t="str">
        <f t="shared" si="250"/>
        <v>112</v>
      </c>
      <c r="AE1145">
        <v>77</v>
      </c>
      <c r="AF1145" s="3" t="str">
        <f t="shared" si="251"/>
        <v>77</v>
      </c>
      <c r="AG1145" t="s">
        <v>33</v>
      </c>
      <c r="AH1145" s="3">
        <v>14.005000000000001</v>
      </c>
      <c r="AI1145" s="3">
        <f t="shared" si="252"/>
        <v>14.005000000000001</v>
      </c>
      <c r="AJ1145" t="s">
        <v>30</v>
      </c>
      <c r="AK1145" t="str">
        <f>PROPER(Table1[[#This Row],[CVD Risk Level]])</f>
        <v>High</v>
      </c>
    </row>
    <row r="1146" spans="1:37" x14ac:dyDescent="0.3">
      <c r="A1146" t="s">
        <v>31</v>
      </c>
      <c r="B1146">
        <v>79</v>
      </c>
      <c r="C1146" s="8">
        <f t="shared" si="241"/>
        <v>79</v>
      </c>
      <c r="D1146" s="5">
        <v>71.227999999999994</v>
      </c>
      <c r="E1146" s="8">
        <f t="shared" si="242"/>
        <v>71.227999999999994</v>
      </c>
      <c r="F1146">
        <v>1.7969999999999999</v>
      </c>
      <c r="G1146" s="3">
        <f t="shared" si="243"/>
        <v>1.7969999999999999</v>
      </c>
      <c r="H1146">
        <v>19.484999999999999</v>
      </c>
      <c r="I1146" s="5">
        <f t="shared" si="239"/>
        <v>19.484999999999999</v>
      </c>
      <c r="J1146" s="16" t="str">
        <f t="shared" si="244"/>
        <v>Normal</v>
      </c>
      <c r="K1146">
        <v>109.94199999999999</v>
      </c>
      <c r="L1146">
        <v>0.61199999999999999</v>
      </c>
      <c r="M1146" s="11">
        <f t="shared" si="240"/>
        <v>0.61199999999999999</v>
      </c>
      <c r="N1146" s="5">
        <f t="shared" si="245"/>
        <v>109.94199999999999</v>
      </c>
      <c r="O1146">
        <v>150</v>
      </c>
      <c r="P1146">
        <v>75</v>
      </c>
      <c r="Q1146" s="8">
        <f t="shared" si="246"/>
        <v>75</v>
      </c>
      <c r="R1146" s="8">
        <v>45</v>
      </c>
      <c r="S1146" s="8">
        <f t="shared" si="247"/>
        <v>45</v>
      </c>
      <c r="T1146" s="8">
        <f>(Table1[[#This Row],[Total Cholesterol (mg/dL)]]+Table1[[#This Row],[HDL (mg/dL)2]]+Table1[[#This Row],[Estimated LDL (mg/dL)2]])*5</f>
        <v>1350</v>
      </c>
      <c r="U1146" s="8">
        <f>IF(O1146="",Table1[[#This Row],[Estimated LDL (mg/dL)2]]+Table1[[#This Row],[HDL (mg/dL)2]]+(Table1[[#This Row],[Triglycerides]]/5),O1146)</f>
        <v>150</v>
      </c>
      <c r="V1146">
        <v>97</v>
      </c>
      <c r="W1146" s="8">
        <f t="shared" si="248"/>
        <v>97</v>
      </c>
      <c r="X1146" t="str">
        <f t="shared" si="249"/>
        <v>Normal</v>
      </c>
      <c r="Y1146" t="s">
        <v>22</v>
      </c>
      <c r="Z1146" t="s">
        <v>23</v>
      </c>
      <c r="AA1146" t="s">
        <v>28</v>
      </c>
      <c r="AB1146" s="3" t="s">
        <v>980</v>
      </c>
      <c r="AC1146">
        <v>132</v>
      </c>
      <c r="AD1146" s="3" t="str">
        <f t="shared" si="250"/>
        <v>132</v>
      </c>
      <c r="AE1146">
        <v>60</v>
      </c>
      <c r="AF1146" s="3" t="str">
        <f t="shared" si="251"/>
        <v>60</v>
      </c>
      <c r="AG1146" t="s">
        <v>29</v>
      </c>
      <c r="AH1146" s="3">
        <v>15.497</v>
      </c>
      <c r="AI1146" s="3">
        <f t="shared" si="252"/>
        <v>15.497</v>
      </c>
      <c r="AJ1146" t="s">
        <v>52</v>
      </c>
      <c r="AK1146" t="str">
        <f>PROPER(Table1[[#This Row],[CVD Risk Level]])</f>
        <v>Low</v>
      </c>
    </row>
    <row r="1147" spans="1:37" x14ac:dyDescent="0.3">
      <c r="A1147" t="s">
        <v>20</v>
      </c>
      <c r="B1147">
        <v>58</v>
      </c>
      <c r="C1147" s="8">
        <f t="shared" si="241"/>
        <v>58</v>
      </c>
      <c r="D1147" s="5">
        <v>69.87</v>
      </c>
      <c r="E1147" s="8">
        <f t="shared" si="242"/>
        <v>69.87</v>
      </c>
      <c r="F1147">
        <v>1.944</v>
      </c>
      <c r="G1147" s="3">
        <f t="shared" si="243"/>
        <v>1.944</v>
      </c>
      <c r="H1147">
        <v>20.785</v>
      </c>
      <c r="I1147" s="5">
        <f t="shared" si="239"/>
        <v>20.785</v>
      </c>
      <c r="J1147" s="16" t="str">
        <f t="shared" si="244"/>
        <v>Normal</v>
      </c>
      <c r="K1147">
        <v>86.259</v>
      </c>
      <c r="L1147">
        <v>0.44400000000000001</v>
      </c>
      <c r="M1147" s="11">
        <f t="shared" si="240"/>
        <v>0.44400000000000001</v>
      </c>
      <c r="N1147" s="5">
        <f t="shared" si="245"/>
        <v>86.259</v>
      </c>
      <c r="O1147">
        <v>151</v>
      </c>
      <c r="Q1147" s="8">
        <f t="shared" si="246"/>
        <v>56.197377501725327</v>
      </c>
      <c r="R1147" s="8">
        <v>44</v>
      </c>
      <c r="S1147" s="8">
        <f>IF(R1147&lt;=0,MEDIAN($R$2:$R$1530),R1147)</f>
        <v>44</v>
      </c>
      <c r="T1147" s="8">
        <f>(Table1[[#This Row],[Total Cholesterol (mg/dL)]]+Table1[[#This Row],[HDL (mg/dL)2]]+Table1[[#This Row],[Estimated LDL (mg/dL)2]])*5</f>
        <v>1255.9868875086268</v>
      </c>
      <c r="U1147" s="8">
        <f>IF(O1147="",Table1[[#This Row],[Estimated LDL (mg/dL)2]]+Table1[[#This Row],[HDL (mg/dL)2]]+(Table1[[#This Row],[Triglycerides]]/5),O1147)</f>
        <v>151</v>
      </c>
      <c r="V1147">
        <v>139</v>
      </c>
      <c r="W1147" s="8">
        <f t="shared" si="248"/>
        <v>139</v>
      </c>
      <c r="X1147" t="str">
        <f t="shared" si="249"/>
        <v>Diabetes</v>
      </c>
      <c r="Y1147" t="s">
        <v>23</v>
      </c>
      <c r="Z1147" t="s">
        <v>22</v>
      </c>
      <c r="AA1147" t="s">
        <v>37</v>
      </c>
      <c r="AB1147" s="3" t="s">
        <v>981</v>
      </c>
      <c r="AC1147">
        <v>162</v>
      </c>
      <c r="AD1147" s="3" t="str">
        <f t="shared" si="250"/>
        <v>162</v>
      </c>
      <c r="AE1147">
        <v>106</v>
      </c>
      <c r="AF1147" s="3" t="str">
        <f t="shared" si="251"/>
        <v>106</v>
      </c>
      <c r="AG1147" t="s">
        <v>38</v>
      </c>
      <c r="AH1147" s="3">
        <v>15.276999999999999</v>
      </c>
      <c r="AI1147" s="3">
        <f t="shared" si="252"/>
        <v>15.276999999999999</v>
      </c>
      <c r="AJ1147" t="s">
        <v>30</v>
      </c>
      <c r="AK1147" t="str">
        <f>PROPER(Table1[[#This Row],[CVD Risk Level]])</f>
        <v>High</v>
      </c>
    </row>
    <row r="1148" spans="1:37" x14ac:dyDescent="0.3">
      <c r="A1148" t="s">
        <v>20</v>
      </c>
      <c r="C1148" s="8">
        <f t="shared" si="241"/>
        <v>47.025499655410059</v>
      </c>
      <c r="D1148" s="5">
        <v>68.159000000000006</v>
      </c>
      <c r="E1148" s="8">
        <f t="shared" si="242"/>
        <v>68.159000000000006</v>
      </c>
      <c r="F1148">
        <v>1.655</v>
      </c>
      <c r="G1148" s="3">
        <f t="shared" si="243"/>
        <v>1.655</v>
      </c>
      <c r="H1148">
        <v>31.213999999999999</v>
      </c>
      <c r="I1148" s="5">
        <f t="shared" si="239"/>
        <v>31.213999999999999</v>
      </c>
      <c r="J1148" s="16" t="str">
        <f t="shared" si="244"/>
        <v>Obese</v>
      </c>
      <c r="K1148">
        <v>92.111000000000004</v>
      </c>
      <c r="L1148">
        <v>0.55600000000000005</v>
      </c>
      <c r="M1148" s="11">
        <f t="shared" si="240"/>
        <v>0.55600000000000005</v>
      </c>
      <c r="N1148" s="5">
        <f t="shared" si="245"/>
        <v>92.111000000000004</v>
      </c>
      <c r="O1148">
        <v>123</v>
      </c>
      <c r="P1148">
        <v>34</v>
      </c>
      <c r="Q1148" s="8">
        <f t="shared" si="246"/>
        <v>34</v>
      </c>
      <c r="S1148" s="8">
        <f t="shared" si="247"/>
        <v>109</v>
      </c>
      <c r="T1148" s="8">
        <f>(Table1[[#This Row],[Total Cholesterol (mg/dL)]]+Table1[[#This Row],[HDL (mg/dL)2]]+Table1[[#This Row],[Estimated LDL (mg/dL)2]])*5</f>
        <v>1330</v>
      </c>
      <c r="U1148" s="8">
        <f>IF(O1148="",Table1[[#This Row],[Estimated LDL (mg/dL)2]]+Table1[[#This Row],[HDL (mg/dL)2]]+(Table1[[#This Row],[Triglycerides]]/5),O1148)</f>
        <v>123</v>
      </c>
      <c r="V1148">
        <v>118</v>
      </c>
      <c r="W1148" s="8">
        <f t="shared" si="248"/>
        <v>118</v>
      </c>
      <c r="X1148" t="str">
        <f t="shared" si="249"/>
        <v>Prediabetes</v>
      </c>
      <c r="Y1148" t="s">
        <v>23</v>
      </c>
      <c r="Z1148" t="s">
        <v>22</v>
      </c>
      <c r="AA1148" t="s">
        <v>28</v>
      </c>
      <c r="AB1148" s="3" t="s">
        <v>800</v>
      </c>
      <c r="AC1148">
        <v>113</v>
      </c>
      <c r="AD1148" s="3" t="str">
        <f t="shared" si="250"/>
        <v>113</v>
      </c>
      <c r="AE1148">
        <v>70</v>
      </c>
      <c r="AF1148" s="3" t="str">
        <f t="shared" si="251"/>
        <v>70</v>
      </c>
      <c r="AG1148" t="s">
        <v>33</v>
      </c>
      <c r="AH1148" s="3">
        <v>14.353</v>
      </c>
      <c r="AI1148" s="3">
        <f t="shared" si="252"/>
        <v>14.353</v>
      </c>
      <c r="AJ1148" t="s">
        <v>52</v>
      </c>
      <c r="AK1148" t="str">
        <f>PROPER(Table1[[#This Row],[CVD Risk Level]])</f>
        <v>Low</v>
      </c>
    </row>
    <row r="1149" spans="1:37" x14ac:dyDescent="0.3">
      <c r="A1149" t="s">
        <v>20</v>
      </c>
      <c r="C1149" s="8">
        <f t="shared" si="241"/>
        <v>47.025499655410059</v>
      </c>
      <c r="D1149" s="5">
        <v>104.46899999999999</v>
      </c>
      <c r="E1149" s="8">
        <f t="shared" si="242"/>
        <v>104.46899999999999</v>
      </c>
      <c r="F1149">
        <v>1.9950000000000001</v>
      </c>
      <c r="G1149" s="3">
        <f t="shared" si="243"/>
        <v>1.9950000000000001</v>
      </c>
      <c r="H1149">
        <v>25.39</v>
      </c>
      <c r="I1149" s="5">
        <f t="shared" si="239"/>
        <v>25.39</v>
      </c>
      <c r="J1149" s="16" t="str">
        <f t="shared" si="244"/>
        <v>Overweight</v>
      </c>
      <c r="K1149">
        <v>86.894000000000005</v>
      </c>
      <c r="L1149">
        <v>0.436</v>
      </c>
      <c r="M1149" s="11">
        <f t="shared" si="240"/>
        <v>0.436</v>
      </c>
      <c r="N1149" s="5">
        <f t="shared" si="245"/>
        <v>86.894000000000005</v>
      </c>
      <c r="P1149">
        <v>82</v>
      </c>
      <c r="Q1149" s="8">
        <f t="shared" si="246"/>
        <v>82</v>
      </c>
      <c r="R1149" s="8">
        <v>147</v>
      </c>
      <c r="S1149" s="8">
        <f t="shared" si="247"/>
        <v>147</v>
      </c>
      <c r="T1149" s="8">
        <f>(Table1[[#This Row],[Total Cholesterol (mg/dL)]]+Table1[[#This Row],[HDL (mg/dL)2]]+Table1[[#This Row],[Estimated LDL (mg/dL)2]])*5</f>
        <v>1145</v>
      </c>
      <c r="U1149" s="8">
        <f>IF(O1149="",Table1[[#This Row],[Estimated LDL (mg/dL)2]]+Table1[[#This Row],[HDL (mg/dL)2]]+(Table1[[#This Row],[Triglycerides]]/5),O1149)</f>
        <v>458</v>
      </c>
      <c r="V1149">
        <v>175</v>
      </c>
      <c r="W1149" s="8">
        <f t="shared" si="248"/>
        <v>175</v>
      </c>
      <c r="X1149" t="str">
        <f t="shared" si="249"/>
        <v>Diabetes</v>
      </c>
      <c r="Y1149" t="s">
        <v>22</v>
      </c>
      <c r="Z1149" t="s">
        <v>22</v>
      </c>
      <c r="AA1149" t="s">
        <v>24</v>
      </c>
      <c r="AB1149" s="3" t="s">
        <v>982</v>
      </c>
      <c r="AC1149">
        <v>164</v>
      </c>
      <c r="AD1149" s="3" t="str">
        <f t="shared" si="250"/>
        <v>164</v>
      </c>
      <c r="AE1149">
        <v>90</v>
      </c>
      <c r="AF1149" s="3" t="str">
        <f t="shared" si="251"/>
        <v>90</v>
      </c>
      <c r="AG1149" t="s">
        <v>38</v>
      </c>
      <c r="AH1149" s="3">
        <v>18.457999999999998</v>
      </c>
      <c r="AI1149" s="3">
        <f t="shared" si="252"/>
        <v>18.457999999999998</v>
      </c>
      <c r="AJ1149" t="s">
        <v>30</v>
      </c>
      <c r="AK1149" t="str">
        <f>PROPER(Table1[[#This Row],[CVD Risk Level]])</f>
        <v>High</v>
      </c>
    </row>
    <row r="1150" spans="1:37" x14ac:dyDescent="0.3">
      <c r="A1150" t="s">
        <v>20</v>
      </c>
      <c r="B1150">
        <v>36</v>
      </c>
      <c r="C1150" s="8">
        <f t="shared" si="241"/>
        <v>36</v>
      </c>
      <c r="D1150" s="5">
        <v>113.298</v>
      </c>
      <c r="E1150" s="8">
        <f t="shared" si="242"/>
        <v>113.298</v>
      </c>
      <c r="F1150">
        <v>1.5089999999999999</v>
      </c>
      <c r="G1150" s="3">
        <f t="shared" si="243"/>
        <v>1.5089999999999999</v>
      </c>
      <c r="H1150">
        <v>22.850999999999999</v>
      </c>
      <c r="I1150" s="5">
        <f t="shared" si="239"/>
        <v>22.850999999999999</v>
      </c>
      <c r="J1150" s="16" t="str">
        <f t="shared" si="244"/>
        <v>Normal</v>
      </c>
      <c r="K1150">
        <v>113.07</v>
      </c>
      <c r="L1150">
        <v>0.749</v>
      </c>
      <c r="M1150" s="11">
        <f t="shared" si="240"/>
        <v>0.749</v>
      </c>
      <c r="N1150" s="5">
        <f t="shared" si="245"/>
        <v>113.07</v>
      </c>
      <c r="O1150">
        <v>241</v>
      </c>
      <c r="P1150">
        <v>77</v>
      </c>
      <c r="Q1150" s="8">
        <f t="shared" si="246"/>
        <v>77</v>
      </c>
      <c r="R1150" s="8">
        <v>134</v>
      </c>
      <c r="S1150" s="8">
        <f t="shared" si="247"/>
        <v>134</v>
      </c>
      <c r="T1150" s="8">
        <f>(Table1[[#This Row],[Total Cholesterol (mg/dL)]]+Table1[[#This Row],[HDL (mg/dL)2]]+Table1[[#This Row],[Estimated LDL (mg/dL)2]])*5</f>
        <v>2260</v>
      </c>
      <c r="U1150" s="8">
        <f>IF(O1150="",Table1[[#This Row],[Estimated LDL (mg/dL)2]]+Table1[[#This Row],[HDL (mg/dL)2]]+(Table1[[#This Row],[Triglycerides]]/5),O1150)</f>
        <v>241</v>
      </c>
      <c r="V1150">
        <v>95</v>
      </c>
      <c r="W1150" s="8">
        <f t="shared" si="248"/>
        <v>95</v>
      </c>
      <c r="X1150" t="str">
        <f t="shared" si="249"/>
        <v>Normal</v>
      </c>
      <c r="Y1150" t="s">
        <v>23</v>
      </c>
      <c r="Z1150" t="s">
        <v>22</v>
      </c>
      <c r="AA1150" t="s">
        <v>24</v>
      </c>
      <c r="AB1150" s="3" t="s">
        <v>983</v>
      </c>
      <c r="AC1150">
        <v>133</v>
      </c>
      <c r="AD1150" s="3" t="str">
        <f t="shared" si="250"/>
        <v>133</v>
      </c>
      <c r="AE1150">
        <v>115</v>
      </c>
      <c r="AF1150" s="3" t="str">
        <f t="shared" si="251"/>
        <v>115</v>
      </c>
      <c r="AG1150" t="s">
        <v>29</v>
      </c>
      <c r="AH1150" s="3">
        <v>16.04</v>
      </c>
      <c r="AI1150" s="3">
        <f t="shared" si="252"/>
        <v>16.04</v>
      </c>
      <c r="AJ1150" t="s">
        <v>52</v>
      </c>
      <c r="AK1150" t="str">
        <f>PROPER(Table1[[#This Row],[CVD Risk Level]])</f>
        <v>Low</v>
      </c>
    </row>
    <row r="1151" spans="1:37" x14ac:dyDescent="0.3">
      <c r="A1151" t="s">
        <v>31</v>
      </c>
      <c r="B1151">
        <v>43</v>
      </c>
      <c r="C1151" s="8">
        <f t="shared" si="241"/>
        <v>43</v>
      </c>
      <c r="D1151" s="5">
        <v>53.326999999999998</v>
      </c>
      <c r="E1151" s="8">
        <f t="shared" si="242"/>
        <v>53.326999999999998</v>
      </c>
      <c r="F1151">
        <v>1.7050000000000001</v>
      </c>
      <c r="G1151" s="3">
        <f t="shared" si="243"/>
        <v>1.7050000000000001</v>
      </c>
      <c r="H1151">
        <v>34.231999999999999</v>
      </c>
      <c r="I1151" s="5">
        <f t="shared" si="239"/>
        <v>34.231999999999999</v>
      </c>
      <c r="J1151" s="16" t="str">
        <f t="shared" si="244"/>
        <v>Obese</v>
      </c>
      <c r="K1151">
        <v>111.739</v>
      </c>
      <c r="L1151">
        <v>0.65600000000000003</v>
      </c>
      <c r="M1151" s="11">
        <f t="shared" si="240"/>
        <v>0.65600000000000003</v>
      </c>
      <c r="N1151" s="5">
        <f t="shared" si="245"/>
        <v>111.739</v>
      </c>
      <c r="O1151">
        <v>287</v>
      </c>
      <c r="P1151">
        <v>82</v>
      </c>
      <c r="Q1151" s="8">
        <f t="shared" si="246"/>
        <v>82</v>
      </c>
      <c r="R1151" s="8">
        <v>175</v>
      </c>
      <c r="S1151" s="8">
        <f t="shared" si="247"/>
        <v>175</v>
      </c>
      <c r="T1151" s="8">
        <f>(Table1[[#This Row],[Total Cholesterol (mg/dL)]]+Table1[[#This Row],[HDL (mg/dL)2]]+Table1[[#This Row],[Estimated LDL (mg/dL)2]])*5</f>
        <v>2720</v>
      </c>
      <c r="U1151" s="8">
        <f>IF(O1151="",Table1[[#This Row],[Estimated LDL (mg/dL)2]]+Table1[[#This Row],[HDL (mg/dL)2]]+(Table1[[#This Row],[Triglycerides]]/5),O1151)</f>
        <v>287</v>
      </c>
      <c r="V1151">
        <v>140</v>
      </c>
      <c r="W1151" s="8">
        <f t="shared" si="248"/>
        <v>140</v>
      </c>
      <c r="X1151" t="str">
        <f t="shared" si="249"/>
        <v>Diabetes</v>
      </c>
      <c r="Y1151" t="s">
        <v>23</v>
      </c>
      <c r="Z1151" t="s">
        <v>22</v>
      </c>
      <c r="AA1151" t="s">
        <v>28</v>
      </c>
      <c r="AB1151" s="3" t="s">
        <v>984</v>
      </c>
      <c r="AC1151">
        <v>117</v>
      </c>
      <c r="AD1151" s="3" t="str">
        <f t="shared" si="250"/>
        <v>117</v>
      </c>
      <c r="AE1151">
        <v>116</v>
      </c>
      <c r="AF1151" s="3" t="str">
        <f t="shared" si="251"/>
        <v>116</v>
      </c>
      <c r="AG1151" t="s">
        <v>38</v>
      </c>
      <c r="AH1151" s="3">
        <v>18.436</v>
      </c>
      <c r="AI1151" s="3">
        <f t="shared" si="252"/>
        <v>18.436</v>
      </c>
      <c r="AJ1151" t="s">
        <v>30</v>
      </c>
      <c r="AK1151" t="str">
        <f>PROPER(Table1[[#This Row],[CVD Risk Level]])</f>
        <v>High</v>
      </c>
    </row>
    <row r="1152" spans="1:37" x14ac:dyDescent="0.3">
      <c r="A1152" t="s">
        <v>31</v>
      </c>
      <c r="B1152">
        <v>30</v>
      </c>
      <c r="C1152" s="8">
        <f t="shared" si="241"/>
        <v>30</v>
      </c>
      <c r="D1152" s="5">
        <v>58.401000000000003</v>
      </c>
      <c r="E1152" s="8">
        <f t="shared" si="242"/>
        <v>58.401000000000003</v>
      </c>
      <c r="F1152">
        <v>1.998</v>
      </c>
      <c r="G1152" s="3">
        <f t="shared" si="243"/>
        <v>1.998</v>
      </c>
      <c r="H1152">
        <v>30.402999999999999</v>
      </c>
      <c r="I1152" s="5">
        <f t="shared" si="239"/>
        <v>30.402999999999999</v>
      </c>
      <c r="J1152" s="16" t="str">
        <f t="shared" si="244"/>
        <v>Obese</v>
      </c>
      <c r="K1152">
        <v>105.896</v>
      </c>
      <c r="L1152">
        <v>0.53</v>
      </c>
      <c r="M1152" s="11">
        <f t="shared" si="240"/>
        <v>0.53</v>
      </c>
      <c r="N1152" s="5">
        <f t="shared" si="245"/>
        <v>105.896</v>
      </c>
      <c r="O1152">
        <v>173</v>
      </c>
      <c r="P1152">
        <v>60</v>
      </c>
      <c r="Q1152" s="8">
        <f t="shared" si="246"/>
        <v>60</v>
      </c>
      <c r="R1152" s="8">
        <v>83</v>
      </c>
      <c r="S1152" s="8">
        <f t="shared" si="247"/>
        <v>83</v>
      </c>
      <c r="T1152" s="8">
        <f>(Table1[[#This Row],[Total Cholesterol (mg/dL)]]+Table1[[#This Row],[HDL (mg/dL)2]]+Table1[[#This Row],[Estimated LDL (mg/dL)2]])*5</f>
        <v>1580</v>
      </c>
      <c r="U1152" s="8">
        <f>IF(O1152="",Table1[[#This Row],[Estimated LDL (mg/dL)2]]+Table1[[#This Row],[HDL (mg/dL)2]]+(Table1[[#This Row],[Triglycerides]]/5),O1152)</f>
        <v>173</v>
      </c>
      <c r="V1152">
        <v>141</v>
      </c>
      <c r="W1152" s="8">
        <f t="shared" si="248"/>
        <v>141</v>
      </c>
      <c r="X1152" t="str">
        <f t="shared" si="249"/>
        <v>Diabetes</v>
      </c>
      <c r="Y1152" t="s">
        <v>23</v>
      </c>
      <c r="Z1152" t="s">
        <v>23</v>
      </c>
      <c r="AA1152" t="s">
        <v>24</v>
      </c>
      <c r="AB1152" s="3" t="s">
        <v>985</v>
      </c>
      <c r="AC1152">
        <v>154</v>
      </c>
      <c r="AD1152" s="3" t="str">
        <f t="shared" si="250"/>
        <v>154</v>
      </c>
      <c r="AE1152">
        <v>97</v>
      </c>
      <c r="AF1152" s="3" t="str">
        <f t="shared" si="251"/>
        <v>97</v>
      </c>
      <c r="AG1152" t="s">
        <v>38</v>
      </c>
      <c r="AH1152" s="3">
        <v>19.241</v>
      </c>
      <c r="AI1152" s="3">
        <f t="shared" si="252"/>
        <v>19.241</v>
      </c>
      <c r="AJ1152" t="s">
        <v>26</v>
      </c>
      <c r="AK1152" t="str">
        <f>PROPER(Table1[[#This Row],[CVD Risk Level]])</f>
        <v>Intermediary</v>
      </c>
    </row>
    <row r="1153" spans="1:37" x14ac:dyDescent="0.3">
      <c r="A1153" t="s">
        <v>31</v>
      </c>
      <c r="B1153">
        <v>58</v>
      </c>
      <c r="C1153" s="8">
        <f t="shared" si="241"/>
        <v>58</v>
      </c>
      <c r="D1153" s="5">
        <v>50.863999999999997</v>
      </c>
      <c r="E1153" s="8">
        <f t="shared" si="242"/>
        <v>50.863999999999997</v>
      </c>
      <c r="F1153">
        <v>1.782</v>
      </c>
      <c r="G1153" s="3">
        <f t="shared" si="243"/>
        <v>1.782</v>
      </c>
      <c r="H1153">
        <v>25.684999999999999</v>
      </c>
      <c r="I1153" s="5">
        <f t="shared" si="239"/>
        <v>25.684999999999999</v>
      </c>
      <c r="J1153" s="16" t="str">
        <f t="shared" si="244"/>
        <v>Overweight</v>
      </c>
      <c r="K1153">
        <v>119.736</v>
      </c>
      <c r="L1153">
        <v>0.67200000000000004</v>
      </c>
      <c r="M1153" s="11">
        <f t="shared" si="240"/>
        <v>0.67200000000000004</v>
      </c>
      <c r="N1153" s="5">
        <f t="shared" si="245"/>
        <v>119.736</v>
      </c>
      <c r="O1153">
        <v>273</v>
      </c>
      <c r="P1153">
        <v>37</v>
      </c>
      <c r="Q1153" s="8">
        <f t="shared" si="246"/>
        <v>37</v>
      </c>
      <c r="R1153" s="8">
        <v>206</v>
      </c>
      <c r="S1153" s="8">
        <f t="shared" si="247"/>
        <v>206</v>
      </c>
      <c r="T1153" s="8">
        <f>(Table1[[#This Row],[Total Cholesterol (mg/dL)]]+Table1[[#This Row],[HDL (mg/dL)2]]+Table1[[#This Row],[Estimated LDL (mg/dL)2]])*5</f>
        <v>2580</v>
      </c>
      <c r="U1153" s="8">
        <f>IF(O1153="",Table1[[#This Row],[Estimated LDL (mg/dL)2]]+Table1[[#This Row],[HDL (mg/dL)2]]+(Table1[[#This Row],[Triglycerides]]/5),O1153)</f>
        <v>273</v>
      </c>
      <c r="V1153">
        <v>108</v>
      </c>
      <c r="W1153" s="8">
        <f t="shared" si="248"/>
        <v>108</v>
      </c>
      <c r="X1153" t="str">
        <f t="shared" si="249"/>
        <v>Prediabetes</v>
      </c>
      <c r="Y1153" t="s">
        <v>22</v>
      </c>
      <c r="Z1153" t="s">
        <v>23</v>
      </c>
      <c r="AA1153" t="s">
        <v>28</v>
      </c>
      <c r="AB1153" s="3" t="s">
        <v>919</v>
      </c>
      <c r="AC1153">
        <v>117</v>
      </c>
      <c r="AD1153" s="3" t="str">
        <f t="shared" si="250"/>
        <v>117</v>
      </c>
      <c r="AE1153">
        <v>108</v>
      </c>
      <c r="AF1153" s="3" t="str">
        <f t="shared" si="251"/>
        <v>108</v>
      </c>
      <c r="AG1153" t="s">
        <v>38</v>
      </c>
      <c r="AH1153" s="3">
        <v>18.446999999999999</v>
      </c>
      <c r="AI1153" s="3">
        <f t="shared" si="252"/>
        <v>18.446999999999999</v>
      </c>
      <c r="AJ1153" t="s">
        <v>30</v>
      </c>
      <c r="AK1153" t="str">
        <f>PROPER(Table1[[#This Row],[CVD Risk Level]])</f>
        <v>High</v>
      </c>
    </row>
    <row r="1154" spans="1:37" x14ac:dyDescent="0.3">
      <c r="A1154" t="s">
        <v>31</v>
      </c>
      <c r="B1154">
        <v>76</v>
      </c>
      <c r="C1154" s="8">
        <f t="shared" si="241"/>
        <v>76</v>
      </c>
      <c r="D1154" s="5">
        <v>56.93</v>
      </c>
      <c r="E1154" s="8">
        <f t="shared" si="242"/>
        <v>56.93</v>
      </c>
      <c r="F1154">
        <v>1.95</v>
      </c>
      <c r="G1154" s="3">
        <f t="shared" si="243"/>
        <v>1.95</v>
      </c>
      <c r="H1154">
        <v>25.27</v>
      </c>
      <c r="I1154" s="5">
        <f t="shared" ref="I1154:I1217" si="253" xml:space="preserve"> IF(H1154="",E1154 / (G1154^2),H1154)</f>
        <v>25.27</v>
      </c>
      <c r="J1154" s="16" t="str">
        <f t="shared" si="244"/>
        <v>Overweight</v>
      </c>
      <c r="K1154">
        <v>88.361000000000004</v>
      </c>
      <c r="L1154">
        <v>0.45300000000000001</v>
      </c>
      <c r="M1154" s="11">
        <f t="shared" ref="M1154:M1217" si="254">IF(L1154="",K1154/(G1154*100),L1154)</f>
        <v>0.45300000000000001</v>
      </c>
      <c r="N1154" s="5">
        <f t="shared" si="245"/>
        <v>88.361000000000004</v>
      </c>
      <c r="P1154">
        <v>44</v>
      </c>
      <c r="Q1154" s="8">
        <f t="shared" si="246"/>
        <v>44</v>
      </c>
      <c r="R1154" s="8">
        <v>113</v>
      </c>
      <c r="S1154" s="8">
        <f t="shared" si="247"/>
        <v>113</v>
      </c>
      <c r="T1154" s="8">
        <f>(Table1[[#This Row],[Total Cholesterol (mg/dL)]]+Table1[[#This Row],[HDL (mg/dL)2]]+Table1[[#This Row],[Estimated LDL (mg/dL)2]])*5</f>
        <v>785</v>
      </c>
      <c r="U1154" s="8">
        <f>IF(O1154="",Table1[[#This Row],[Estimated LDL (mg/dL)2]]+Table1[[#This Row],[HDL (mg/dL)2]]+(Table1[[#This Row],[Triglycerides]]/5),O1154)</f>
        <v>314</v>
      </c>
      <c r="V1154">
        <v>115</v>
      </c>
      <c r="W1154" s="8">
        <f t="shared" si="248"/>
        <v>115</v>
      </c>
      <c r="X1154" t="str">
        <f t="shared" si="249"/>
        <v>Prediabetes</v>
      </c>
      <c r="Y1154" t="s">
        <v>22</v>
      </c>
      <c r="Z1154" t="s">
        <v>23</v>
      </c>
      <c r="AA1154" t="s">
        <v>24</v>
      </c>
      <c r="AB1154" s="3" t="s">
        <v>986</v>
      </c>
      <c r="AC1154">
        <v>110</v>
      </c>
      <c r="AD1154" s="3" t="str">
        <f t="shared" si="250"/>
        <v>110</v>
      </c>
      <c r="AE1154">
        <v>67</v>
      </c>
      <c r="AF1154" s="3" t="str">
        <f t="shared" si="251"/>
        <v>67</v>
      </c>
      <c r="AG1154" t="s">
        <v>33</v>
      </c>
      <c r="AH1154" s="3">
        <v>16.294</v>
      </c>
      <c r="AI1154" s="3">
        <f t="shared" si="252"/>
        <v>16.294</v>
      </c>
      <c r="AJ1154" t="s">
        <v>26</v>
      </c>
      <c r="AK1154" t="str">
        <f>PROPER(Table1[[#This Row],[CVD Risk Level]])</f>
        <v>Intermediary</v>
      </c>
    </row>
    <row r="1155" spans="1:37" x14ac:dyDescent="0.3">
      <c r="A1155" t="s">
        <v>20</v>
      </c>
      <c r="B1155">
        <v>50</v>
      </c>
      <c r="C1155" s="8">
        <f t="shared" ref="C1155:C1218" si="255">IF(B1155="",AVERAGE($B$2:$B$1530),B1155)</f>
        <v>50</v>
      </c>
      <c r="D1155" s="5">
        <v>69.123000000000005</v>
      </c>
      <c r="E1155" s="8">
        <f t="shared" ref="E1155:E1218" si="256">IF(D1155="", H1155*(F1155^2),D1155)</f>
        <v>69.123000000000005</v>
      </c>
      <c r="F1155">
        <v>1.5820000000000001</v>
      </c>
      <c r="G1155" s="3">
        <f t="shared" ref="G1155:G1218" si="257">IF(F1155="", SQRT(E1155 / H1155),F1155)</f>
        <v>1.5820000000000001</v>
      </c>
      <c r="H1155">
        <v>35.716000000000001</v>
      </c>
      <c r="I1155" s="5">
        <f t="shared" si="253"/>
        <v>35.716000000000001</v>
      </c>
      <c r="J1155" s="16" t="str">
        <f t="shared" ref="J1155:J1218" si="258">IF(I1155&lt;18.5,"Underweight",IF(I1155&lt;25,"Normal",IF(I1155&lt;30,"Overweight","Obese")))</f>
        <v>Obese</v>
      </c>
      <c r="K1155">
        <v>82.75</v>
      </c>
      <c r="L1155">
        <v>0.52300000000000002</v>
      </c>
      <c r="M1155" s="11">
        <f t="shared" si="254"/>
        <v>0.52300000000000002</v>
      </c>
      <c r="N1155" s="5">
        <f t="shared" ref="N1155:N1218" si="259">IF(K1155="",M1155*(G1155*100),K1155)</f>
        <v>82.75</v>
      </c>
      <c r="O1155">
        <v>251</v>
      </c>
      <c r="P1155">
        <v>75</v>
      </c>
      <c r="Q1155" s="8">
        <f t="shared" ref="Q1155:Q1218" si="260">IF(P1155="",AVERAGE($P$2:$P$1530),P1155)</f>
        <v>75</v>
      </c>
      <c r="R1155" s="8">
        <v>146</v>
      </c>
      <c r="S1155" s="8">
        <f t="shared" ref="S1155:S1218" si="261">IF(R1155&lt;=0,MEDIAN($R$2:$R$1530),R1155)</f>
        <v>146</v>
      </c>
      <c r="T1155" s="8">
        <f>(Table1[[#This Row],[Total Cholesterol (mg/dL)]]+Table1[[#This Row],[HDL (mg/dL)2]]+Table1[[#This Row],[Estimated LDL (mg/dL)2]])*5</f>
        <v>2360</v>
      </c>
      <c r="U1155" s="8">
        <f>IF(O1155="",Table1[[#This Row],[Estimated LDL (mg/dL)2]]+Table1[[#This Row],[HDL (mg/dL)2]]+(Table1[[#This Row],[Triglycerides]]/5),O1155)</f>
        <v>251</v>
      </c>
      <c r="W1155" s="8">
        <f t="shared" ref="W1155:W1218" si="262">IF(V1155="",AVERAGE($V$2:$V$1530),V1155)</f>
        <v>117.48563611491107</v>
      </c>
      <c r="X1155" t="str">
        <f t="shared" ref="X1155:X1218" si="263">IF(W1155&lt;100,"Normal",IF(W1155&lt;126,"Prediabetes","Diabetes"))</f>
        <v>Prediabetes</v>
      </c>
      <c r="Y1155" t="s">
        <v>23</v>
      </c>
      <c r="Z1155" t="s">
        <v>22</v>
      </c>
      <c r="AA1155" t="s">
        <v>28</v>
      </c>
      <c r="AB1155" s="3" t="s">
        <v>987</v>
      </c>
      <c r="AC1155">
        <v>175</v>
      </c>
      <c r="AD1155" s="3" t="str">
        <f t="shared" ref="AD1155:AD1218" si="264">LEFT(AB1155,FIND("/",AB1155)-1)</f>
        <v>175</v>
      </c>
      <c r="AE1155">
        <v>98</v>
      </c>
      <c r="AF1155" s="3" t="str">
        <f t="shared" ref="AF1155:AF1218" si="265">RIGHT(AB1155,LEN(AB1155)-FIND("/",AB1155))</f>
        <v>98</v>
      </c>
      <c r="AG1155" t="s">
        <v>38</v>
      </c>
      <c r="AH1155" s="3">
        <v>20.913</v>
      </c>
      <c r="AI1155" s="3">
        <f t="shared" ref="AI1155:AI1218" si="266">IF(AH1155="",AVERAGE($AH$2:$AH$1530),AH1155)</f>
        <v>20.913</v>
      </c>
      <c r="AJ1155" t="s">
        <v>30</v>
      </c>
      <c r="AK1155" t="str">
        <f>PROPER(Table1[[#This Row],[CVD Risk Level]])</f>
        <v>High</v>
      </c>
    </row>
    <row r="1156" spans="1:37" x14ac:dyDescent="0.3">
      <c r="A1156" t="s">
        <v>31</v>
      </c>
      <c r="B1156">
        <v>50</v>
      </c>
      <c r="C1156" s="8">
        <f t="shared" si="255"/>
        <v>50</v>
      </c>
      <c r="D1156" s="5">
        <v>110.31699999999999</v>
      </c>
      <c r="E1156" s="8">
        <f t="shared" si="256"/>
        <v>110.31699999999999</v>
      </c>
      <c r="F1156">
        <v>1.8520000000000001</v>
      </c>
      <c r="G1156" s="3">
        <f t="shared" si="257"/>
        <v>1.8520000000000001</v>
      </c>
      <c r="H1156">
        <v>33.401000000000003</v>
      </c>
      <c r="I1156" s="5">
        <f t="shared" si="253"/>
        <v>33.401000000000003</v>
      </c>
      <c r="J1156" s="16" t="str">
        <f t="shared" si="258"/>
        <v>Obese</v>
      </c>
      <c r="K1156">
        <v>100.033</v>
      </c>
      <c r="L1156">
        <v>0.54</v>
      </c>
      <c r="M1156" s="11">
        <f t="shared" si="254"/>
        <v>0.54</v>
      </c>
      <c r="N1156" s="5">
        <f t="shared" si="259"/>
        <v>100.033</v>
      </c>
      <c r="P1156">
        <v>87</v>
      </c>
      <c r="Q1156" s="8">
        <f t="shared" si="260"/>
        <v>87</v>
      </c>
      <c r="R1156" s="8">
        <v>158</v>
      </c>
      <c r="S1156" s="8">
        <f t="shared" si="261"/>
        <v>158</v>
      </c>
      <c r="T1156" s="8">
        <f>(Table1[[#This Row],[Total Cholesterol (mg/dL)]]+Table1[[#This Row],[HDL (mg/dL)2]]+Table1[[#This Row],[Estimated LDL (mg/dL)2]])*5</f>
        <v>1225</v>
      </c>
      <c r="U1156" s="8">
        <f>IF(O1156="",Table1[[#This Row],[Estimated LDL (mg/dL)2]]+Table1[[#This Row],[HDL (mg/dL)2]]+(Table1[[#This Row],[Triglycerides]]/5),O1156)</f>
        <v>490</v>
      </c>
      <c r="V1156">
        <v>180</v>
      </c>
      <c r="W1156" s="8">
        <f t="shared" si="262"/>
        <v>180</v>
      </c>
      <c r="X1156" t="str">
        <f t="shared" si="263"/>
        <v>Diabetes</v>
      </c>
      <c r="Y1156" t="s">
        <v>22</v>
      </c>
      <c r="Z1156" t="s">
        <v>23</v>
      </c>
      <c r="AA1156" t="s">
        <v>28</v>
      </c>
      <c r="AB1156" s="3" t="s">
        <v>988</v>
      </c>
      <c r="AC1156">
        <v>110</v>
      </c>
      <c r="AD1156" s="3" t="str">
        <f t="shared" si="264"/>
        <v>110</v>
      </c>
      <c r="AE1156">
        <v>90</v>
      </c>
      <c r="AF1156" s="3" t="str">
        <f t="shared" si="265"/>
        <v>90</v>
      </c>
      <c r="AG1156" t="s">
        <v>38</v>
      </c>
      <c r="AH1156" s="3">
        <v>19.68</v>
      </c>
      <c r="AI1156" s="3">
        <f t="shared" si="266"/>
        <v>19.68</v>
      </c>
      <c r="AJ1156" t="s">
        <v>26</v>
      </c>
      <c r="AK1156" t="str">
        <f>PROPER(Table1[[#This Row],[CVD Risk Level]])</f>
        <v>Intermediary</v>
      </c>
    </row>
    <row r="1157" spans="1:37" x14ac:dyDescent="0.3">
      <c r="A1157" t="s">
        <v>20</v>
      </c>
      <c r="B1157">
        <v>29</v>
      </c>
      <c r="C1157" s="8">
        <f t="shared" si="255"/>
        <v>29</v>
      </c>
      <c r="D1157" s="5">
        <v>64.171999999999997</v>
      </c>
      <c r="E1157" s="8">
        <f t="shared" si="256"/>
        <v>64.171999999999997</v>
      </c>
      <c r="F1157">
        <v>1.6779999999999999</v>
      </c>
      <c r="G1157" s="3">
        <f t="shared" si="257"/>
        <v>1.6779999999999999</v>
      </c>
      <c r="H1157">
        <v>20.372</v>
      </c>
      <c r="I1157" s="5">
        <f t="shared" si="253"/>
        <v>20.372</v>
      </c>
      <c r="J1157" s="16" t="str">
        <f t="shared" si="258"/>
        <v>Normal</v>
      </c>
      <c r="K1157">
        <v>100.568</v>
      </c>
      <c r="L1157">
        <v>0.59899999999999998</v>
      </c>
      <c r="M1157" s="11">
        <f t="shared" si="254"/>
        <v>0.59899999999999998</v>
      </c>
      <c r="N1157" s="5">
        <f t="shared" si="259"/>
        <v>100.568</v>
      </c>
      <c r="O1157">
        <v>225</v>
      </c>
      <c r="P1157">
        <v>78</v>
      </c>
      <c r="Q1157" s="8">
        <f t="shared" si="260"/>
        <v>78</v>
      </c>
      <c r="S1157" s="8">
        <f t="shared" si="261"/>
        <v>109</v>
      </c>
      <c r="T1157" s="8">
        <f>(Table1[[#This Row],[Total Cholesterol (mg/dL)]]+Table1[[#This Row],[HDL (mg/dL)2]]+Table1[[#This Row],[Estimated LDL (mg/dL)2]])*5</f>
        <v>2060</v>
      </c>
      <c r="U1157" s="8">
        <f>IF(O1157="",Table1[[#This Row],[Estimated LDL (mg/dL)2]]+Table1[[#This Row],[HDL (mg/dL)2]]+(Table1[[#This Row],[Triglycerides]]/5),O1157)</f>
        <v>225</v>
      </c>
      <c r="V1157">
        <v>140</v>
      </c>
      <c r="W1157" s="8">
        <f t="shared" si="262"/>
        <v>140</v>
      </c>
      <c r="X1157" t="str">
        <f t="shared" si="263"/>
        <v>Diabetes</v>
      </c>
      <c r="Y1157" t="s">
        <v>23</v>
      </c>
      <c r="Z1157" t="s">
        <v>22</v>
      </c>
      <c r="AA1157" t="s">
        <v>28</v>
      </c>
      <c r="AB1157" s="3" t="s">
        <v>989</v>
      </c>
      <c r="AC1157">
        <v>146</v>
      </c>
      <c r="AD1157" s="3" t="str">
        <f t="shared" si="264"/>
        <v>146</v>
      </c>
      <c r="AE1157">
        <v>96</v>
      </c>
      <c r="AF1157" s="3" t="str">
        <f t="shared" si="265"/>
        <v>96</v>
      </c>
      <c r="AG1157" t="s">
        <v>38</v>
      </c>
      <c r="AH1157" s="3">
        <v>15.874000000000001</v>
      </c>
      <c r="AI1157" s="3">
        <f t="shared" si="266"/>
        <v>15.874000000000001</v>
      </c>
      <c r="AJ1157" t="s">
        <v>52</v>
      </c>
      <c r="AK1157" t="str">
        <f>PROPER(Table1[[#This Row],[CVD Risk Level]])</f>
        <v>Low</v>
      </c>
    </row>
    <row r="1158" spans="1:37" x14ac:dyDescent="0.3">
      <c r="A1158" t="s">
        <v>31</v>
      </c>
      <c r="B1158">
        <v>46</v>
      </c>
      <c r="C1158" s="8">
        <f t="shared" si="255"/>
        <v>46</v>
      </c>
      <c r="D1158" s="5">
        <v>113.143</v>
      </c>
      <c r="E1158" s="8">
        <f t="shared" si="256"/>
        <v>113.143</v>
      </c>
      <c r="F1158">
        <v>1.518</v>
      </c>
      <c r="G1158" s="3">
        <f t="shared" si="257"/>
        <v>1.518</v>
      </c>
      <c r="H1158">
        <v>25.745000000000001</v>
      </c>
      <c r="I1158" s="5">
        <f t="shared" si="253"/>
        <v>25.745000000000001</v>
      </c>
      <c r="J1158" s="16" t="str">
        <f t="shared" si="258"/>
        <v>Overweight</v>
      </c>
      <c r="K1158">
        <v>97.483000000000004</v>
      </c>
      <c r="L1158">
        <v>0.64200000000000002</v>
      </c>
      <c r="M1158" s="11">
        <f t="shared" si="254"/>
        <v>0.64200000000000002</v>
      </c>
      <c r="N1158" s="5">
        <f t="shared" si="259"/>
        <v>97.483000000000004</v>
      </c>
      <c r="O1158">
        <v>150</v>
      </c>
      <c r="P1158">
        <v>54</v>
      </c>
      <c r="Q1158" s="8">
        <f t="shared" si="260"/>
        <v>54</v>
      </c>
      <c r="R1158" s="8">
        <v>66</v>
      </c>
      <c r="S1158" s="8">
        <f t="shared" si="261"/>
        <v>66</v>
      </c>
      <c r="T1158" s="8">
        <f>(Table1[[#This Row],[Total Cholesterol (mg/dL)]]+Table1[[#This Row],[HDL (mg/dL)2]]+Table1[[#This Row],[Estimated LDL (mg/dL)2]])*5</f>
        <v>1350</v>
      </c>
      <c r="U1158" s="8">
        <f>IF(O1158="",Table1[[#This Row],[Estimated LDL (mg/dL)2]]+Table1[[#This Row],[HDL (mg/dL)2]]+(Table1[[#This Row],[Triglycerides]]/5),O1158)</f>
        <v>150</v>
      </c>
      <c r="V1158">
        <v>133</v>
      </c>
      <c r="W1158" s="8">
        <f t="shared" si="262"/>
        <v>133</v>
      </c>
      <c r="X1158" t="str">
        <f t="shared" si="263"/>
        <v>Diabetes</v>
      </c>
      <c r="Y1158" t="s">
        <v>23</v>
      </c>
      <c r="Z1158" t="s">
        <v>23</v>
      </c>
      <c r="AA1158" t="s">
        <v>24</v>
      </c>
      <c r="AB1158" s="3" t="s">
        <v>803</v>
      </c>
      <c r="AC1158">
        <v>133</v>
      </c>
      <c r="AD1158" s="3" t="str">
        <f t="shared" si="264"/>
        <v>133</v>
      </c>
      <c r="AE1158">
        <v>95</v>
      </c>
      <c r="AF1158" s="3" t="str">
        <f t="shared" si="265"/>
        <v>95</v>
      </c>
      <c r="AG1158" t="s">
        <v>29</v>
      </c>
      <c r="AH1158" s="3">
        <v>16.798999999999999</v>
      </c>
      <c r="AI1158" s="3">
        <f t="shared" si="266"/>
        <v>16.798999999999999</v>
      </c>
      <c r="AJ1158" t="s">
        <v>30</v>
      </c>
      <c r="AK1158" t="str">
        <f>PROPER(Table1[[#This Row],[CVD Risk Level]])</f>
        <v>High</v>
      </c>
    </row>
    <row r="1159" spans="1:37" x14ac:dyDescent="0.3">
      <c r="A1159" t="s">
        <v>31</v>
      </c>
      <c r="B1159">
        <v>53</v>
      </c>
      <c r="C1159" s="8">
        <f t="shared" si="255"/>
        <v>53</v>
      </c>
      <c r="D1159" s="5">
        <v>68.763999999999996</v>
      </c>
      <c r="E1159" s="8">
        <f t="shared" si="256"/>
        <v>68.763999999999996</v>
      </c>
      <c r="F1159">
        <v>1.742</v>
      </c>
      <c r="G1159" s="3">
        <f t="shared" si="257"/>
        <v>1.742</v>
      </c>
      <c r="H1159">
        <v>34.994</v>
      </c>
      <c r="I1159" s="5">
        <f t="shared" si="253"/>
        <v>34.994</v>
      </c>
      <c r="J1159" s="16" t="str">
        <f t="shared" si="258"/>
        <v>Obese</v>
      </c>
      <c r="K1159">
        <v>94.353999999999999</v>
      </c>
      <c r="L1159">
        <v>0.54200000000000004</v>
      </c>
      <c r="M1159" s="11">
        <f t="shared" si="254"/>
        <v>0.54200000000000004</v>
      </c>
      <c r="N1159" s="5">
        <f t="shared" si="259"/>
        <v>94.353999999999999</v>
      </c>
      <c r="O1159">
        <v>261</v>
      </c>
      <c r="P1159">
        <v>43</v>
      </c>
      <c r="Q1159" s="8">
        <f t="shared" si="260"/>
        <v>43</v>
      </c>
      <c r="R1159" s="8">
        <v>188</v>
      </c>
      <c r="S1159" s="8">
        <f t="shared" si="261"/>
        <v>188</v>
      </c>
      <c r="T1159" s="8">
        <f>(Table1[[#This Row],[Total Cholesterol (mg/dL)]]+Table1[[#This Row],[HDL (mg/dL)2]]+Table1[[#This Row],[Estimated LDL (mg/dL)2]])*5</f>
        <v>2460</v>
      </c>
      <c r="U1159" s="8">
        <f>IF(O1159="",Table1[[#This Row],[Estimated LDL (mg/dL)2]]+Table1[[#This Row],[HDL (mg/dL)2]]+(Table1[[#This Row],[Triglycerides]]/5),O1159)</f>
        <v>261</v>
      </c>
      <c r="V1159">
        <v>78</v>
      </c>
      <c r="W1159" s="8">
        <f t="shared" si="262"/>
        <v>78</v>
      </c>
      <c r="X1159" t="str">
        <f t="shared" si="263"/>
        <v>Normal</v>
      </c>
      <c r="Y1159" t="s">
        <v>22</v>
      </c>
      <c r="Z1159" t="s">
        <v>22</v>
      </c>
      <c r="AA1159" t="s">
        <v>37</v>
      </c>
      <c r="AB1159" s="3" t="s">
        <v>990</v>
      </c>
      <c r="AC1159">
        <v>156</v>
      </c>
      <c r="AD1159" s="3" t="str">
        <f t="shared" si="264"/>
        <v>156</v>
      </c>
      <c r="AE1159">
        <v>64</v>
      </c>
      <c r="AF1159" s="3" t="str">
        <f t="shared" si="265"/>
        <v>64</v>
      </c>
      <c r="AG1159" t="s">
        <v>38</v>
      </c>
      <c r="AH1159" s="3">
        <v>20.018999999999998</v>
      </c>
      <c r="AI1159" s="3">
        <f t="shared" si="266"/>
        <v>20.018999999999998</v>
      </c>
      <c r="AJ1159" t="s">
        <v>52</v>
      </c>
      <c r="AK1159" t="str">
        <f>PROPER(Table1[[#This Row],[CVD Risk Level]])</f>
        <v>Low</v>
      </c>
    </row>
    <row r="1160" spans="1:37" x14ac:dyDescent="0.3">
      <c r="A1160" t="s">
        <v>31</v>
      </c>
      <c r="B1160">
        <v>74</v>
      </c>
      <c r="C1160" s="8">
        <f t="shared" si="255"/>
        <v>74</v>
      </c>
      <c r="D1160" s="5">
        <v>51.857999999999997</v>
      </c>
      <c r="E1160" s="8">
        <f t="shared" si="256"/>
        <v>51.857999999999997</v>
      </c>
      <c r="F1160">
        <v>1.6080000000000001</v>
      </c>
      <c r="G1160" s="3">
        <f t="shared" si="257"/>
        <v>1.6080000000000001</v>
      </c>
      <c r="H1160">
        <v>33.293999999999997</v>
      </c>
      <c r="I1160" s="5">
        <f t="shared" si="253"/>
        <v>33.293999999999997</v>
      </c>
      <c r="J1160" s="16" t="str">
        <f t="shared" si="258"/>
        <v>Obese</v>
      </c>
      <c r="K1160">
        <v>71.58</v>
      </c>
      <c r="L1160">
        <v>0.44500000000000001</v>
      </c>
      <c r="M1160" s="11">
        <f t="shared" si="254"/>
        <v>0.44500000000000001</v>
      </c>
      <c r="N1160" s="5">
        <f t="shared" si="259"/>
        <v>71.58</v>
      </c>
      <c r="O1160">
        <v>124</v>
      </c>
      <c r="P1160">
        <v>60</v>
      </c>
      <c r="Q1160" s="8">
        <f t="shared" si="260"/>
        <v>60</v>
      </c>
      <c r="R1160" s="8">
        <v>34</v>
      </c>
      <c r="S1160" s="8">
        <f t="shared" si="261"/>
        <v>34</v>
      </c>
      <c r="T1160" s="8">
        <f>(Table1[[#This Row],[Total Cholesterol (mg/dL)]]+Table1[[#This Row],[HDL (mg/dL)2]]+Table1[[#This Row],[Estimated LDL (mg/dL)2]])*5</f>
        <v>1090</v>
      </c>
      <c r="U1160" s="8">
        <f>IF(O1160="",Table1[[#This Row],[Estimated LDL (mg/dL)2]]+Table1[[#This Row],[HDL (mg/dL)2]]+(Table1[[#This Row],[Triglycerides]]/5),O1160)</f>
        <v>124</v>
      </c>
      <c r="V1160">
        <v>135</v>
      </c>
      <c r="W1160" s="8">
        <f t="shared" si="262"/>
        <v>135</v>
      </c>
      <c r="X1160" t="str">
        <f t="shared" si="263"/>
        <v>Diabetes</v>
      </c>
      <c r="Y1160" t="s">
        <v>23</v>
      </c>
      <c r="Z1160" t="s">
        <v>23</v>
      </c>
      <c r="AA1160" t="s">
        <v>37</v>
      </c>
      <c r="AB1160" s="3" t="s">
        <v>991</v>
      </c>
      <c r="AC1160">
        <v>99</v>
      </c>
      <c r="AD1160" s="3" t="str">
        <f t="shared" si="264"/>
        <v>99</v>
      </c>
      <c r="AF1160" s="3" t="str">
        <f t="shared" si="265"/>
        <v>78</v>
      </c>
      <c r="AG1160" t="s">
        <v>33</v>
      </c>
      <c r="AH1160" s="3">
        <v>16.088999999999999</v>
      </c>
      <c r="AI1160" s="3">
        <f t="shared" si="266"/>
        <v>16.088999999999999</v>
      </c>
      <c r="AJ1160" t="s">
        <v>52</v>
      </c>
      <c r="AK1160" t="str">
        <f>PROPER(Table1[[#This Row],[CVD Risk Level]])</f>
        <v>Low</v>
      </c>
    </row>
    <row r="1161" spans="1:37" x14ac:dyDescent="0.3">
      <c r="A1161" t="s">
        <v>31</v>
      </c>
      <c r="B1161">
        <v>63</v>
      </c>
      <c r="C1161" s="8">
        <f t="shared" si="255"/>
        <v>63</v>
      </c>
      <c r="D1161" s="5">
        <v>72.349999999999994</v>
      </c>
      <c r="E1161" s="8">
        <f t="shared" si="256"/>
        <v>72.349999999999994</v>
      </c>
      <c r="F1161">
        <v>1.738</v>
      </c>
      <c r="G1161" s="3">
        <f t="shared" si="257"/>
        <v>1.738</v>
      </c>
      <c r="H1161">
        <v>37.643999999999998</v>
      </c>
      <c r="I1161" s="5">
        <f t="shared" si="253"/>
        <v>37.643999999999998</v>
      </c>
      <c r="J1161" s="16" t="str">
        <f t="shared" si="258"/>
        <v>Obese</v>
      </c>
      <c r="K1161">
        <v>73.531000000000006</v>
      </c>
      <c r="L1161">
        <v>0.42299999999999999</v>
      </c>
      <c r="M1161" s="11">
        <f t="shared" si="254"/>
        <v>0.42299999999999999</v>
      </c>
      <c r="N1161" s="5">
        <f t="shared" si="259"/>
        <v>73.531000000000006</v>
      </c>
      <c r="P1161">
        <v>41</v>
      </c>
      <c r="Q1161" s="8">
        <f t="shared" si="260"/>
        <v>41</v>
      </c>
      <c r="R1161" s="8">
        <v>96</v>
      </c>
      <c r="S1161" s="8">
        <f t="shared" si="261"/>
        <v>96</v>
      </c>
      <c r="T1161" s="8">
        <f>(Table1[[#This Row],[Total Cholesterol (mg/dL)]]+Table1[[#This Row],[HDL (mg/dL)2]]+Table1[[#This Row],[Estimated LDL (mg/dL)2]])*5</f>
        <v>685</v>
      </c>
      <c r="U1161" s="8">
        <f>IF(O1161="",Table1[[#This Row],[Estimated LDL (mg/dL)2]]+Table1[[#This Row],[HDL (mg/dL)2]]+(Table1[[#This Row],[Triglycerides]]/5),O1161)</f>
        <v>274</v>
      </c>
      <c r="V1161">
        <v>76</v>
      </c>
      <c r="W1161" s="8">
        <f t="shared" si="262"/>
        <v>76</v>
      </c>
      <c r="X1161" t="str">
        <f t="shared" si="263"/>
        <v>Normal</v>
      </c>
      <c r="Y1161" t="s">
        <v>23</v>
      </c>
      <c r="Z1161" t="s">
        <v>22</v>
      </c>
      <c r="AA1161" t="s">
        <v>37</v>
      </c>
      <c r="AB1161" s="3" t="s">
        <v>992</v>
      </c>
      <c r="AC1161">
        <v>145</v>
      </c>
      <c r="AD1161" s="3" t="str">
        <f t="shared" si="264"/>
        <v>145</v>
      </c>
      <c r="AE1161">
        <v>103</v>
      </c>
      <c r="AF1161" s="3" t="str">
        <f t="shared" si="265"/>
        <v>103</v>
      </c>
      <c r="AG1161" t="s">
        <v>38</v>
      </c>
      <c r="AH1161" s="3">
        <v>18.119</v>
      </c>
      <c r="AI1161" s="3">
        <f t="shared" si="266"/>
        <v>18.119</v>
      </c>
      <c r="AJ1161" t="s">
        <v>26</v>
      </c>
      <c r="AK1161" t="str">
        <f>PROPER(Table1[[#This Row],[CVD Risk Level]])</f>
        <v>Intermediary</v>
      </c>
    </row>
    <row r="1162" spans="1:37" x14ac:dyDescent="0.3">
      <c r="A1162" t="s">
        <v>31</v>
      </c>
      <c r="B1162">
        <v>76</v>
      </c>
      <c r="C1162" s="8">
        <f t="shared" si="255"/>
        <v>76</v>
      </c>
      <c r="D1162" s="5">
        <v>100.935</v>
      </c>
      <c r="E1162" s="8">
        <f t="shared" si="256"/>
        <v>100.935</v>
      </c>
      <c r="F1162">
        <v>1.512</v>
      </c>
      <c r="G1162" s="3">
        <f t="shared" si="257"/>
        <v>1.512</v>
      </c>
      <c r="H1162">
        <v>32.673000000000002</v>
      </c>
      <c r="I1162" s="5">
        <f t="shared" si="253"/>
        <v>32.673000000000002</v>
      </c>
      <c r="J1162" s="16" t="str">
        <f t="shared" si="258"/>
        <v>Obese</v>
      </c>
      <c r="K1162">
        <v>80.738</v>
      </c>
      <c r="L1162">
        <v>0.53400000000000003</v>
      </c>
      <c r="M1162" s="11">
        <f t="shared" si="254"/>
        <v>0.53400000000000003</v>
      </c>
      <c r="N1162" s="5">
        <f t="shared" si="259"/>
        <v>80.738</v>
      </c>
      <c r="O1162">
        <v>106</v>
      </c>
      <c r="P1162">
        <v>30</v>
      </c>
      <c r="Q1162" s="8">
        <f t="shared" si="260"/>
        <v>30</v>
      </c>
      <c r="R1162" s="8">
        <v>46</v>
      </c>
      <c r="S1162" s="8">
        <f t="shared" si="261"/>
        <v>46</v>
      </c>
      <c r="T1162" s="8">
        <f>(Table1[[#This Row],[Total Cholesterol (mg/dL)]]+Table1[[#This Row],[HDL (mg/dL)2]]+Table1[[#This Row],[Estimated LDL (mg/dL)2]])*5</f>
        <v>910</v>
      </c>
      <c r="U1162" s="8">
        <f>IF(O1162="",Table1[[#This Row],[Estimated LDL (mg/dL)2]]+Table1[[#This Row],[HDL (mg/dL)2]]+(Table1[[#This Row],[Triglycerides]]/5),O1162)</f>
        <v>106</v>
      </c>
      <c r="V1162">
        <v>191</v>
      </c>
      <c r="W1162" s="8">
        <f t="shared" si="262"/>
        <v>191</v>
      </c>
      <c r="X1162" t="str">
        <f t="shared" si="263"/>
        <v>Diabetes</v>
      </c>
      <c r="Y1162" t="s">
        <v>23</v>
      </c>
      <c r="Z1162" t="s">
        <v>23</v>
      </c>
      <c r="AA1162" t="s">
        <v>37</v>
      </c>
      <c r="AB1162" s="3" t="s">
        <v>993</v>
      </c>
      <c r="AC1162">
        <v>151</v>
      </c>
      <c r="AD1162" s="3" t="str">
        <f t="shared" si="264"/>
        <v>151</v>
      </c>
      <c r="AE1162">
        <v>78</v>
      </c>
      <c r="AF1162" s="3" t="str">
        <f t="shared" si="265"/>
        <v>78</v>
      </c>
      <c r="AG1162" t="s">
        <v>38</v>
      </c>
      <c r="AH1162" s="3">
        <v>18.204999999999998</v>
      </c>
      <c r="AI1162" s="3">
        <f t="shared" si="266"/>
        <v>18.204999999999998</v>
      </c>
      <c r="AJ1162" t="s">
        <v>52</v>
      </c>
      <c r="AK1162" t="str">
        <f>PROPER(Table1[[#This Row],[CVD Risk Level]])</f>
        <v>Low</v>
      </c>
    </row>
    <row r="1163" spans="1:37" x14ac:dyDescent="0.3">
      <c r="A1163" t="s">
        <v>31</v>
      </c>
      <c r="B1163">
        <v>31</v>
      </c>
      <c r="C1163" s="8">
        <f t="shared" si="255"/>
        <v>31</v>
      </c>
      <c r="D1163" s="5">
        <v>60.392000000000003</v>
      </c>
      <c r="E1163" s="8">
        <f t="shared" si="256"/>
        <v>60.392000000000003</v>
      </c>
      <c r="F1163">
        <v>1.589</v>
      </c>
      <c r="G1163" s="3">
        <f t="shared" si="257"/>
        <v>1.589</v>
      </c>
      <c r="H1163">
        <v>35.881</v>
      </c>
      <c r="I1163" s="5">
        <f t="shared" si="253"/>
        <v>35.881</v>
      </c>
      <c r="J1163" s="16" t="str">
        <f t="shared" si="258"/>
        <v>Obese</v>
      </c>
      <c r="K1163">
        <v>106.985</v>
      </c>
      <c r="L1163">
        <v>0.67300000000000004</v>
      </c>
      <c r="M1163" s="11">
        <f t="shared" si="254"/>
        <v>0.67300000000000004</v>
      </c>
      <c r="N1163" s="5">
        <f t="shared" si="259"/>
        <v>106.985</v>
      </c>
      <c r="O1163">
        <v>154</v>
      </c>
      <c r="P1163">
        <v>87</v>
      </c>
      <c r="Q1163" s="8">
        <f t="shared" si="260"/>
        <v>87</v>
      </c>
      <c r="R1163" s="8">
        <v>37</v>
      </c>
      <c r="S1163" s="8">
        <f t="shared" si="261"/>
        <v>37</v>
      </c>
      <c r="T1163" s="8">
        <f>(Table1[[#This Row],[Total Cholesterol (mg/dL)]]+Table1[[#This Row],[HDL (mg/dL)2]]+Table1[[#This Row],[Estimated LDL (mg/dL)2]])*5</f>
        <v>1390</v>
      </c>
      <c r="U1163" s="8">
        <f>IF(O1163="",Table1[[#This Row],[Estimated LDL (mg/dL)2]]+Table1[[#This Row],[HDL (mg/dL)2]]+(Table1[[#This Row],[Triglycerides]]/5),O1163)</f>
        <v>154</v>
      </c>
      <c r="V1163">
        <v>124</v>
      </c>
      <c r="W1163" s="8">
        <f t="shared" si="262"/>
        <v>124</v>
      </c>
      <c r="X1163" t="str">
        <f t="shared" si="263"/>
        <v>Prediabetes</v>
      </c>
      <c r="Y1163" t="s">
        <v>22</v>
      </c>
      <c r="Z1163" t="s">
        <v>23</v>
      </c>
      <c r="AA1163" t="s">
        <v>28</v>
      </c>
      <c r="AB1163" s="3" t="s">
        <v>994</v>
      </c>
      <c r="AC1163">
        <v>155</v>
      </c>
      <c r="AD1163" s="3" t="str">
        <f t="shared" si="264"/>
        <v>155</v>
      </c>
      <c r="AE1163">
        <v>81</v>
      </c>
      <c r="AF1163" s="3" t="str">
        <f t="shared" si="265"/>
        <v>81</v>
      </c>
      <c r="AG1163" t="s">
        <v>29</v>
      </c>
      <c r="AH1163" s="3">
        <v>20.006</v>
      </c>
      <c r="AI1163" s="3">
        <f t="shared" si="266"/>
        <v>20.006</v>
      </c>
      <c r="AJ1163" t="s">
        <v>26</v>
      </c>
      <c r="AK1163" t="str">
        <f>PROPER(Table1[[#This Row],[CVD Risk Level]])</f>
        <v>Intermediary</v>
      </c>
    </row>
    <row r="1164" spans="1:37" x14ac:dyDescent="0.3">
      <c r="A1164" t="s">
        <v>20</v>
      </c>
      <c r="B1164">
        <v>59</v>
      </c>
      <c r="C1164" s="8">
        <f t="shared" si="255"/>
        <v>59</v>
      </c>
      <c r="D1164" s="5">
        <v>86.528999999999996</v>
      </c>
      <c r="E1164" s="8">
        <f t="shared" si="256"/>
        <v>86.528999999999996</v>
      </c>
      <c r="F1164">
        <v>1.8140000000000001</v>
      </c>
      <c r="G1164" s="3">
        <f t="shared" si="257"/>
        <v>1.8140000000000001</v>
      </c>
      <c r="H1164">
        <v>27.254000000000001</v>
      </c>
      <c r="I1164" s="5">
        <f t="shared" si="253"/>
        <v>27.254000000000001</v>
      </c>
      <c r="J1164" s="16" t="str">
        <f t="shared" si="258"/>
        <v>Overweight</v>
      </c>
      <c r="K1164">
        <v>110.922</v>
      </c>
      <c r="L1164">
        <v>0.61099999999999999</v>
      </c>
      <c r="M1164" s="11">
        <f t="shared" si="254"/>
        <v>0.61099999999999999</v>
      </c>
      <c r="N1164" s="5">
        <f t="shared" si="259"/>
        <v>110.922</v>
      </c>
      <c r="O1164">
        <v>287</v>
      </c>
      <c r="P1164">
        <v>37</v>
      </c>
      <c r="Q1164" s="8">
        <f t="shared" si="260"/>
        <v>37</v>
      </c>
      <c r="R1164" s="8">
        <v>220</v>
      </c>
      <c r="S1164" s="8">
        <f t="shared" si="261"/>
        <v>220</v>
      </c>
      <c r="T1164" s="8">
        <f>(Table1[[#This Row],[Total Cholesterol (mg/dL)]]+Table1[[#This Row],[HDL (mg/dL)2]]+Table1[[#This Row],[Estimated LDL (mg/dL)2]])*5</f>
        <v>2720</v>
      </c>
      <c r="U1164" s="8">
        <f>IF(O1164="",Table1[[#This Row],[Estimated LDL (mg/dL)2]]+Table1[[#This Row],[HDL (mg/dL)2]]+(Table1[[#This Row],[Triglycerides]]/5),O1164)</f>
        <v>287</v>
      </c>
      <c r="W1164" s="8">
        <f t="shared" si="262"/>
        <v>117.48563611491107</v>
      </c>
      <c r="X1164" t="str">
        <f t="shared" si="263"/>
        <v>Prediabetes</v>
      </c>
      <c r="Y1164" t="s">
        <v>23</v>
      </c>
      <c r="Z1164" t="s">
        <v>22</v>
      </c>
      <c r="AA1164" t="s">
        <v>28</v>
      </c>
      <c r="AB1164" s="3" t="s">
        <v>995</v>
      </c>
      <c r="AC1164">
        <v>151</v>
      </c>
      <c r="AD1164" s="3" t="str">
        <f t="shared" si="264"/>
        <v>151</v>
      </c>
      <c r="AE1164">
        <v>90</v>
      </c>
      <c r="AF1164" s="3" t="str">
        <f t="shared" si="265"/>
        <v>90</v>
      </c>
      <c r="AG1164" t="s">
        <v>38</v>
      </c>
      <c r="AH1164" s="3">
        <v>18.741</v>
      </c>
      <c r="AI1164" s="3">
        <f t="shared" si="266"/>
        <v>18.741</v>
      </c>
      <c r="AJ1164" t="s">
        <v>52</v>
      </c>
      <c r="AK1164" t="str">
        <f>PROPER(Table1[[#This Row],[CVD Risk Level]])</f>
        <v>Low</v>
      </c>
    </row>
    <row r="1165" spans="1:37" x14ac:dyDescent="0.3">
      <c r="A1165" t="s">
        <v>31</v>
      </c>
      <c r="B1165">
        <v>48</v>
      </c>
      <c r="C1165" s="8">
        <f t="shared" si="255"/>
        <v>48</v>
      </c>
      <c r="D1165" s="5">
        <v>56.454000000000001</v>
      </c>
      <c r="E1165" s="8">
        <f t="shared" si="256"/>
        <v>56.454000000000001</v>
      </c>
      <c r="F1165">
        <v>1.9319999999999999</v>
      </c>
      <c r="G1165" s="3">
        <f t="shared" si="257"/>
        <v>1.9319999999999999</v>
      </c>
      <c r="H1165">
        <v>18.731000000000002</v>
      </c>
      <c r="I1165" s="5">
        <f t="shared" si="253"/>
        <v>18.731000000000002</v>
      </c>
      <c r="J1165" s="16" t="str">
        <f t="shared" si="258"/>
        <v>Normal</v>
      </c>
      <c r="L1165">
        <v>0.376</v>
      </c>
      <c r="M1165" s="11">
        <f t="shared" si="254"/>
        <v>0.376</v>
      </c>
      <c r="N1165" s="5">
        <f t="shared" si="259"/>
        <v>72.643199999999993</v>
      </c>
      <c r="O1165">
        <v>278</v>
      </c>
      <c r="P1165">
        <v>39</v>
      </c>
      <c r="Q1165" s="8">
        <f t="shared" si="260"/>
        <v>39</v>
      </c>
      <c r="S1165" s="8">
        <f t="shared" si="261"/>
        <v>109</v>
      </c>
      <c r="T1165" s="8">
        <f>(Table1[[#This Row],[Total Cholesterol (mg/dL)]]+Table1[[#This Row],[HDL (mg/dL)2]]+Table1[[#This Row],[Estimated LDL (mg/dL)2]])*5</f>
        <v>2130</v>
      </c>
      <c r="U1165" s="8">
        <f>IF(O1165="",Table1[[#This Row],[Estimated LDL (mg/dL)2]]+Table1[[#This Row],[HDL (mg/dL)2]]+(Table1[[#This Row],[Triglycerides]]/5),O1165)</f>
        <v>278</v>
      </c>
      <c r="W1165" s="8">
        <f t="shared" si="262"/>
        <v>117.48563611491107</v>
      </c>
      <c r="X1165" t="str">
        <f t="shared" si="263"/>
        <v>Prediabetes</v>
      </c>
      <c r="Y1165" t="s">
        <v>23</v>
      </c>
      <c r="Z1165" t="s">
        <v>22</v>
      </c>
      <c r="AA1165" t="s">
        <v>37</v>
      </c>
      <c r="AB1165" s="3" t="s">
        <v>996</v>
      </c>
      <c r="AC1165">
        <v>173</v>
      </c>
      <c r="AD1165" s="3" t="str">
        <f t="shared" si="264"/>
        <v>173</v>
      </c>
      <c r="AE1165">
        <v>109</v>
      </c>
      <c r="AF1165" s="3" t="str">
        <f t="shared" si="265"/>
        <v>109</v>
      </c>
      <c r="AG1165" t="s">
        <v>38</v>
      </c>
      <c r="AH1165" s="3">
        <v>17.956</v>
      </c>
      <c r="AI1165" s="3">
        <f t="shared" si="266"/>
        <v>17.956</v>
      </c>
      <c r="AJ1165" t="s">
        <v>26</v>
      </c>
      <c r="AK1165" t="str">
        <f>PROPER(Table1[[#This Row],[CVD Risk Level]])</f>
        <v>Intermediary</v>
      </c>
    </row>
    <row r="1166" spans="1:37" x14ac:dyDescent="0.3">
      <c r="A1166" t="s">
        <v>31</v>
      </c>
      <c r="B1166">
        <v>25</v>
      </c>
      <c r="C1166" s="8">
        <f t="shared" si="255"/>
        <v>25</v>
      </c>
      <c r="D1166" s="5">
        <v>114.988</v>
      </c>
      <c r="E1166" s="8">
        <f t="shared" si="256"/>
        <v>114.988</v>
      </c>
      <c r="F1166">
        <v>1.978</v>
      </c>
      <c r="G1166" s="3">
        <f t="shared" si="257"/>
        <v>1.978</v>
      </c>
      <c r="H1166">
        <v>25.492000000000001</v>
      </c>
      <c r="I1166" s="5">
        <f t="shared" si="253"/>
        <v>25.492000000000001</v>
      </c>
      <c r="J1166" s="16" t="str">
        <f t="shared" si="258"/>
        <v>Overweight</v>
      </c>
      <c r="K1166">
        <v>119.996</v>
      </c>
      <c r="M1166" s="11">
        <f t="shared" si="254"/>
        <v>0.60665318503538923</v>
      </c>
      <c r="N1166" s="5">
        <f t="shared" si="259"/>
        <v>119.996</v>
      </c>
      <c r="O1166">
        <v>132</v>
      </c>
      <c r="P1166">
        <v>67</v>
      </c>
      <c r="Q1166" s="8">
        <f t="shared" si="260"/>
        <v>67</v>
      </c>
      <c r="R1166" s="8">
        <v>35</v>
      </c>
      <c r="S1166" s="8">
        <f>IF(R1166&lt;=0,MEDIAN($R$2:$R$1530),R1166)</f>
        <v>35</v>
      </c>
      <c r="T1166" s="8">
        <f>(Table1[[#This Row],[Total Cholesterol (mg/dL)]]+Table1[[#This Row],[HDL (mg/dL)2]]+Table1[[#This Row],[Estimated LDL (mg/dL)2]])*5</f>
        <v>1170</v>
      </c>
      <c r="U1166" s="8">
        <f>IF(O1166="",Table1[[#This Row],[Estimated LDL (mg/dL)2]]+Table1[[#This Row],[HDL (mg/dL)2]]+(Table1[[#This Row],[Triglycerides]]/5),O1166)</f>
        <v>132</v>
      </c>
      <c r="V1166">
        <v>148</v>
      </c>
      <c r="W1166" s="8">
        <f t="shared" si="262"/>
        <v>148</v>
      </c>
      <c r="X1166" t="str">
        <f t="shared" si="263"/>
        <v>Diabetes</v>
      </c>
      <c r="Y1166" t="s">
        <v>23</v>
      </c>
      <c r="Z1166" t="s">
        <v>22</v>
      </c>
      <c r="AA1166" t="s">
        <v>24</v>
      </c>
      <c r="AB1166" s="3" t="s">
        <v>997</v>
      </c>
      <c r="AC1166">
        <v>136</v>
      </c>
      <c r="AD1166" s="3" t="str">
        <f t="shared" si="264"/>
        <v>136</v>
      </c>
      <c r="AE1166">
        <v>72</v>
      </c>
      <c r="AF1166" s="3" t="str">
        <f t="shared" si="265"/>
        <v>72</v>
      </c>
      <c r="AG1166" t="s">
        <v>29</v>
      </c>
      <c r="AH1166" s="3">
        <v>14.538</v>
      </c>
      <c r="AI1166" s="3">
        <f t="shared" si="266"/>
        <v>14.538</v>
      </c>
      <c r="AJ1166" t="s">
        <v>30</v>
      </c>
      <c r="AK1166" t="str">
        <f>PROPER(Table1[[#This Row],[CVD Risk Level]])</f>
        <v>High</v>
      </c>
    </row>
    <row r="1167" spans="1:37" x14ac:dyDescent="0.3">
      <c r="A1167" t="s">
        <v>31</v>
      </c>
      <c r="B1167">
        <v>67</v>
      </c>
      <c r="C1167" s="8">
        <f t="shared" si="255"/>
        <v>67</v>
      </c>
      <c r="D1167" s="5">
        <v>103.637</v>
      </c>
      <c r="E1167" s="8">
        <f t="shared" si="256"/>
        <v>103.637</v>
      </c>
      <c r="F1167">
        <v>1.7170000000000001</v>
      </c>
      <c r="G1167" s="3">
        <f t="shared" si="257"/>
        <v>1.7170000000000001</v>
      </c>
      <c r="H1167">
        <v>34.828000000000003</v>
      </c>
      <c r="I1167" s="5">
        <f t="shared" si="253"/>
        <v>34.828000000000003</v>
      </c>
      <c r="J1167" s="16" t="str">
        <f t="shared" si="258"/>
        <v>Obese</v>
      </c>
      <c r="K1167">
        <v>99.754999999999995</v>
      </c>
      <c r="L1167">
        <v>0.58099999999999996</v>
      </c>
      <c r="M1167" s="11">
        <f t="shared" si="254"/>
        <v>0.58099999999999996</v>
      </c>
      <c r="N1167" s="5">
        <f t="shared" si="259"/>
        <v>99.754999999999995</v>
      </c>
      <c r="P1167">
        <v>42</v>
      </c>
      <c r="Q1167" s="8">
        <f t="shared" si="260"/>
        <v>42</v>
      </c>
      <c r="R1167" s="8">
        <v>148</v>
      </c>
      <c r="S1167" s="8">
        <f t="shared" si="261"/>
        <v>148</v>
      </c>
      <c r="T1167" s="8">
        <f>(Table1[[#This Row],[Total Cholesterol (mg/dL)]]+Table1[[#This Row],[HDL (mg/dL)2]]+Table1[[#This Row],[Estimated LDL (mg/dL)2]])*5</f>
        <v>950</v>
      </c>
      <c r="U1167" s="8">
        <f>IF(O1167="",Table1[[#This Row],[Estimated LDL (mg/dL)2]]+Table1[[#This Row],[HDL (mg/dL)2]]+(Table1[[#This Row],[Triglycerides]]/5),O1167)</f>
        <v>380</v>
      </c>
      <c r="V1167">
        <v>175</v>
      </c>
      <c r="W1167" s="8">
        <f t="shared" si="262"/>
        <v>175</v>
      </c>
      <c r="X1167" t="str">
        <f t="shared" si="263"/>
        <v>Diabetes</v>
      </c>
      <c r="Y1167" t="s">
        <v>23</v>
      </c>
      <c r="Z1167" t="s">
        <v>23</v>
      </c>
      <c r="AA1167" t="s">
        <v>37</v>
      </c>
      <c r="AB1167" s="3" t="s">
        <v>998</v>
      </c>
      <c r="AC1167">
        <v>128</v>
      </c>
      <c r="AD1167" s="3" t="str">
        <f t="shared" si="264"/>
        <v>128</v>
      </c>
      <c r="AE1167">
        <v>61</v>
      </c>
      <c r="AF1167" s="3" t="str">
        <f t="shared" si="265"/>
        <v>61</v>
      </c>
      <c r="AG1167" t="s">
        <v>25</v>
      </c>
      <c r="AH1167" s="3">
        <v>19.765999999999998</v>
      </c>
      <c r="AI1167" s="3">
        <f t="shared" si="266"/>
        <v>19.765999999999998</v>
      </c>
      <c r="AJ1167" t="s">
        <v>30</v>
      </c>
      <c r="AK1167" t="str">
        <f>PROPER(Table1[[#This Row],[CVD Risk Level]])</f>
        <v>High</v>
      </c>
    </row>
    <row r="1168" spans="1:37" x14ac:dyDescent="0.3">
      <c r="A1168" t="s">
        <v>20</v>
      </c>
      <c r="B1168">
        <v>29</v>
      </c>
      <c r="C1168" s="8">
        <f t="shared" si="255"/>
        <v>29</v>
      </c>
      <c r="D1168" s="5">
        <v>115.58199999999999</v>
      </c>
      <c r="E1168" s="8">
        <f t="shared" si="256"/>
        <v>115.58199999999999</v>
      </c>
      <c r="F1168">
        <v>1.972</v>
      </c>
      <c r="G1168" s="3">
        <f t="shared" si="257"/>
        <v>1.972</v>
      </c>
      <c r="H1168">
        <v>25.184999999999999</v>
      </c>
      <c r="I1168" s="5">
        <f t="shared" si="253"/>
        <v>25.184999999999999</v>
      </c>
      <c r="J1168" s="16" t="str">
        <f t="shared" si="258"/>
        <v>Overweight</v>
      </c>
      <c r="K1168">
        <v>110.35899999999999</v>
      </c>
      <c r="L1168">
        <v>0.56000000000000005</v>
      </c>
      <c r="M1168" s="11">
        <f t="shared" si="254"/>
        <v>0.56000000000000005</v>
      </c>
      <c r="N1168" s="5">
        <f t="shared" si="259"/>
        <v>110.35899999999999</v>
      </c>
      <c r="O1168">
        <v>122</v>
      </c>
      <c r="P1168">
        <v>44</v>
      </c>
      <c r="Q1168" s="8">
        <f t="shared" si="260"/>
        <v>44</v>
      </c>
      <c r="R1168" s="8">
        <v>48</v>
      </c>
      <c r="S1168" s="8">
        <f t="shared" si="261"/>
        <v>48</v>
      </c>
      <c r="T1168" s="8">
        <f>(Table1[[#This Row],[Total Cholesterol (mg/dL)]]+Table1[[#This Row],[HDL (mg/dL)2]]+Table1[[#This Row],[Estimated LDL (mg/dL)2]])*5</f>
        <v>1070</v>
      </c>
      <c r="U1168" s="8">
        <f>IF(O1168="",Table1[[#This Row],[Estimated LDL (mg/dL)2]]+Table1[[#This Row],[HDL (mg/dL)2]]+(Table1[[#This Row],[Triglycerides]]/5),O1168)</f>
        <v>122</v>
      </c>
      <c r="V1168">
        <v>137</v>
      </c>
      <c r="W1168" s="8">
        <f t="shared" si="262"/>
        <v>137</v>
      </c>
      <c r="X1168" t="str">
        <f t="shared" si="263"/>
        <v>Diabetes</v>
      </c>
      <c r="Y1168" t="s">
        <v>23</v>
      </c>
      <c r="Z1168" t="s">
        <v>23</v>
      </c>
      <c r="AA1168" t="s">
        <v>28</v>
      </c>
      <c r="AB1168" s="3" t="s">
        <v>999</v>
      </c>
      <c r="AD1168" s="3" t="str">
        <f t="shared" si="264"/>
        <v>158</v>
      </c>
      <c r="AE1168">
        <v>84</v>
      </c>
      <c r="AF1168" s="3" t="str">
        <f t="shared" si="265"/>
        <v>84</v>
      </c>
      <c r="AG1168" t="s">
        <v>29</v>
      </c>
      <c r="AH1168" s="3">
        <v>17.376999999999999</v>
      </c>
      <c r="AI1168" s="3">
        <f t="shared" si="266"/>
        <v>17.376999999999999</v>
      </c>
      <c r="AJ1168" t="s">
        <v>26</v>
      </c>
      <c r="AK1168" t="str">
        <f>PROPER(Table1[[#This Row],[CVD Risk Level]])</f>
        <v>Intermediary</v>
      </c>
    </row>
    <row r="1169" spans="1:37" x14ac:dyDescent="0.3">
      <c r="A1169" t="s">
        <v>20</v>
      </c>
      <c r="C1169" s="8">
        <f t="shared" si="255"/>
        <v>47.025499655410059</v>
      </c>
      <c r="D1169" s="5">
        <v>102.002</v>
      </c>
      <c r="E1169" s="8">
        <f t="shared" si="256"/>
        <v>102.002</v>
      </c>
      <c r="F1169">
        <v>1.9470000000000001</v>
      </c>
      <c r="G1169" s="3">
        <f t="shared" si="257"/>
        <v>1.9470000000000001</v>
      </c>
      <c r="H1169">
        <v>31.382999999999999</v>
      </c>
      <c r="I1169" s="5">
        <f t="shared" si="253"/>
        <v>31.382999999999999</v>
      </c>
      <c r="J1169" s="16" t="str">
        <f t="shared" si="258"/>
        <v>Obese</v>
      </c>
      <c r="K1169">
        <v>110.059</v>
      </c>
      <c r="L1169">
        <v>0.56499999999999995</v>
      </c>
      <c r="M1169" s="11">
        <f t="shared" si="254"/>
        <v>0.56499999999999995</v>
      </c>
      <c r="N1169" s="5">
        <f t="shared" si="259"/>
        <v>110.059</v>
      </c>
      <c r="O1169">
        <v>161</v>
      </c>
      <c r="P1169">
        <v>76</v>
      </c>
      <c r="Q1169" s="8">
        <f t="shared" si="260"/>
        <v>76</v>
      </c>
      <c r="R1169" s="8">
        <v>55</v>
      </c>
      <c r="S1169" s="8">
        <f t="shared" si="261"/>
        <v>55</v>
      </c>
      <c r="T1169" s="8">
        <f>(Table1[[#This Row],[Total Cholesterol (mg/dL)]]+Table1[[#This Row],[HDL (mg/dL)2]]+Table1[[#This Row],[Estimated LDL (mg/dL)2]])*5</f>
        <v>1460</v>
      </c>
      <c r="U1169" s="8">
        <f>IF(O1169="",Table1[[#This Row],[Estimated LDL (mg/dL)2]]+Table1[[#This Row],[HDL (mg/dL)2]]+(Table1[[#This Row],[Triglycerides]]/5),O1169)</f>
        <v>161</v>
      </c>
      <c r="V1169">
        <v>100</v>
      </c>
      <c r="W1169" s="8">
        <f t="shared" si="262"/>
        <v>100</v>
      </c>
      <c r="X1169" t="str">
        <f t="shared" si="263"/>
        <v>Prediabetes</v>
      </c>
      <c r="Y1169" t="s">
        <v>22</v>
      </c>
      <c r="Z1169" t="s">
        <v>22</v>
      </c>
      <c r="AA1169" t="s">
        <v>24</v>
      </c>
      <c r="AB1169" s="3" t="s">
        <v>1000</v>
      </c>
      <c r="AC1169">
        <v>136</v>
      </c>
      <c r="AD1169" s="3" t="str">
        <f t="shared" si="264"/>
        <v>136</v>
      </c>
      <c r="AE1169">
        <v>112</v>
      </c>
      <c r="AF1169" s="3" t="str">
        <f t="shared" si="265"/>
        <v>112</v>
      </c>
      <c r="AG1169" t="s">
        <v>29</v>
      </c>
      <c r="AH1169" s="3">
        <v>16.297000000000001</v>
      </c>
      <c r="AI1169" s="3">
        <f t="shared" si="266"/>
        <v>16.297000000000001</v>
      </c>
      <c r="AJ1169" t="s">
        <v>26</v>
      </c>
      <c r="AK1169" t="str">
        <f>PROPER(Table1[[#This Row],[CVD Risk Level]])</f>
        <v>Intermediary</v>
      </c>
    </row>
    <row r="1170" spans="1:37" x14ac:dyDescent="0.3">
      <c r="A1170" t="s">
        <v>31</v>
      </c>
      <c r="B1170">
        <v>66</v>
      </c>
      <c r="C1170" s="8">
        <f t="shared" si="255"/>
        <v>66</v>
      </c>
      <c r="D1170" s="5">
        <v>101.774</v>
      </c>
      <c r="E1170" s="8">
        <f t="shared" si="256"/>
        <v>101.774</v>
      </c>
      <c r="F1170">
        <v>1.5760000000000001</v>
      </c>
      <c r="G1170" s="3">
        <f t="shared" si="257"/>
        <v>1.5760000000000001</v>
      </c>
      <c r="H1170">
        <v>24.568000000000001</v>
      </c>
      <c r="I1170" s="5">
        <f t="shared" si="253"/>
        <v>24.568000000000001</v>
      </c>
      <c r="J1170" s="16" t="str">
        <f t="shared" si="258"/>
        <v>Normal</v>
      </c>
      <c r="K1170">
        <v>88.424999999999997</v>
      </c>
      <c r="L1170">
        <v>0.56100000000000005</v>
      </c>
      <c r="M1170" s="11">
        <f t="shared" si="254"/>
        <v>0.56100000000000005</v>
      </c>
      <c r="N1170" s="5">
        <f t="shared" si="259"/>
        <v>88.424999999999997</v>
      </c>
      <c r="O1170">
        <v>254</v>
      </c>
      <c r="P1170">
        <v>58</v>
      </c>
      <c r="Q1170" s="8">
        <f t="shared" si="260"/>
        <v>58</v>
      </c>
      <c r="R1170" s="8">
        <v>166</v>
      </c>
      <c r="S1170" s="8">
        <f t="shared" si="261"/>
        <v>166</v>
      </c>
      <c r="T1170" s="8">
        <f>(Table1[[#This Row],[Total Cholesterol (mg/dL)]]+Table1[[#This Row],[HDL (mg/dL)2]]+Table1[[#This Row],[Estimated LDL (mg/dL)2]])*5</f>
        <v>2390</v>
      </c>
      <c r="U1170" s="8">
        <f>IF(O1170="",Table1[[#This Row],[Estimated LDL (mg/dL)2]]+Table1[[#This Row],[HDL (mg/dL)2]]+(Table1[[#This Row],[Triglycerides]]/5),O1170)</f>
        <v>254</v>
      </c>
      <c r="V1170">
        <v>150</v>
      </c>
      <c r="W1170" s="8">
        <f t="shared" si="262"/>
        <v>150</v>
      </c>
      <c r="X1170" t="str">
        <f t="shared" si="263"/>
        <v>Diabetes</v>
      </c>
      <c r="Y1170" t="s">
        <v>22</v>
      </c>
      <c r="Z1170" t="s">
        <v>23</v>
      </c>
      <c r="AA1170" t="s">
        <v>37</v>
      </c>
      <c r="AB1170" s="3" t="s">
        <v>1001</v>
      </c>
      <c r="AC1170">
        <v>95</v>
      </c>
      <c r="AD1170" s="3" t="str">
        <f t="shared" si="264"/>
        <v>95</v>
      </c>
      <c r="AE1170">
        <v>105</v>
      </c>
      <c r="AF1170" s="3" t="str">
        <f t="shared" si="265"/>
        <v>105</v>
      </c>
      <c r="AG1170" t="s">
        <v>38</v>
      </c>
      <c r="AH1170" s="3">
        <v>16.744</v>
      </c>
      <c r="AI1170" s="3">
        <f t="shared" si="266"/>
        <v>16.744</v>
      </c>
      <c r="AJ1170" t="s">
        <v>26</v>
      </c>
      <c r="AK1170" t="str">
        <f>PROPER(Table1[[#This Row],[CVD Risk Level]])</f>
        <v>Intermediary</v>
      </c>
    </row>
    <row r="1171" spans="1:37" x14ac:dyDescent="0.3">
      <c r="A1171" t="s">
        <v>20</v>
      </c>
      <c r="B1171">
        <v>79</v>
      </c>
      <c r="C1171" s="8">
        <f t="shared" si="255"/>
        <v>79</v>
      </c>
      <c r="D1171" s="5">
        <v>105.30200000000001</v>
      </c>
      <c r="E1171" s="8">
        <f t="shared" si="256"/>
        <v>105.30200000000001</v>
      </c>
      <c r="F1171">
        <v>1.5429999999999999</v>
      </c>
      <c r="G1171" s="3">
        <f t="shared" si="257"/>
        <v>1.5429999999999999</v>
      </c>
      <c r="H1171">
        <v>34.625</v>
      </c>
      <c r="I1171" s="5">
        <f t="shared" si="253"/>
        <v>34.625</v>
      </c>
      <c r="J1171" s="16" t="str">
        <f t="shared" si="258"/>
        <v>Obese</v>
      </c>
      <c r="K1171">
        <v>113.675</v>
      </c>
      <c r="L1171">
        <v>0.73699999999999999</v>
      </c>
      <c r="M1171" s="11">
        <f t="shared" si="254"/>
        <v>0.73699999999999999</v>
      </c>
      <c r="N1171" s="5">
        <f t="shared" si="259"/>
        <v>113.675</v>
      </c>
      <c r="O1171">
        <v>272</v>
      </c>
      <c r="P1171">
        <v>55</v>
      </c>
      <c r="Q1171" s="8">
        <f t="shared" si="260"/>
        <v>55</v>
      </c>
      <c r="S1171" s="8">
        <f t="shared" si="261"/>
        <v>109</v>
      </c>
      <c r="T1171" s="8">
        <f>(Table1[[#This Row],[Total Cholesterol (mg/dL)]]+Table1[[#This Row],[HDL (mg/dL)2]]+Table1[[#This Row],[Estimated LDL (mg/dL)2]])*5</f>
        <v>2180</v>
      </c>
      <c r="U1171" s="8">
        <f>IF(O1171="",Table1[[#This Row],[Estimated LDL (mg/dL)2]]+Table1[[#This Row],[HDL (mg/dL)2]]+(Table1[[#This Row],[Triglycerides]]/5),O1171)</f>
        <v>272</v>
      </c>
      <c r="V1171">
        <v>117</v>
      </c>
      <c r="W1171" s="8">
        <f t="shared" si="262"/>
        <v>117</v>
      </c>
      <c r="X1171" t="str">
        <f t="shared" si="263"/>
        <v>Prediabetes</v>
      </c>
      <c r="Y1171" t="s">
        <v>22</v>
      </c>
      <c r="Z1171" t="s">
        <v>22</v>
      </c>
      <c r="AA1171" t="s">
        <v>37</v>
      </c>
      <c r="AB1171" s="3" t="s">
        <v>1002</v>
      </c>
      <c r="AC1171">
        <v>141</v>
      </c>
      <c r="AD1171" s="3" t="str">
        <f t="shared" si="264"/>
        <v>141</v>
      </c>
      <c r="AE1171">
        <v>87</v>
      </c>
      <c r="AF1171" s="3" t="str">
        <f t="shared" si="265"/>
        <v>87</v>
      </c>
      <c r="AG1171" t="s">
        <v>29</v>
      </c>
      <c r="AH1171" s="3">
        <v>19.414999999999999</v>
      </c>
      <c r="AI1171" s="3">
        <f t="shared" si="266"/>
        <v>19.414999999999999</v>
      </c>
      <c r="AJ1171" t="s">
        <v>26</v>
      </c>
      <c r="AK1171" t="str">
        <f>PROPER(Table1[[#This Row],[CVD Risk Level]])</f>
        <v>Intermediary</v>
      </c>
    </row>
    <row r="1172" spans="1:37" x14ac:dyDescent="0.3">
      <c r="A1172" t="s">
        <v>31</v>
      </c>
      <c r="B1172">
        <v>42</v>
      </c>
      <c r="C1172" s="8">
        <f t="shared" si="255"/>
        <v>42</v>
      </c>
      <c r="D1172" s="5">
        <v>100.479</v>
      </c>
      <c r="E1172" s="8">
        <f t="shared" si="256"/>
        <v>100.479</v>
      </c>
      <c r="F1172">
        <v>1.9690000000000001</v>
      </c>
      <c r="G1172" s="3">
        <f t="shared" si="257"/>
        <v>1.9690000000000001</v>
      </c>
      <c r="H1172">
        <v>33.57</v>
      </c>
      <c r="I1172" s="5">
        <f t="shared" si="253"/>
        <v>33.57</v>
      </c>
      <c r="J1172" s="16" t="str">
        <f t="shared" si="258"/>
        <v>Obese</v>
      </c>
      <c r="K1172">
        <v>85.733999999999995</v>
      </c>
      <c r="L1172">
        <v>0.435</v>
      </c>
      <c r="M1172" s="11">
        <f t="shared" si="254"/>
        <v>0.435</v>
      </c>
      <c r="N1172" s="5">
        <f t="shared" si="259"/>
        <v>85.733999999999995</v>
      </c>
      <c r="O1172">
        <v>293</v>
      </c>
      <c r="P1172">
        <v>89</v>
      </c>
      <c r="Q1172" s="8">
        <f t="shared" si="260"/>
        <v>89</v>
      </c>
      <c r="R1172" s="8">
        <v>174</v>
      </c>
      <c r="S1172" s="8">
        <f t="shared" si="261"/>
        <v>174</v>
      </c>
      <c r="T1172" s="8">
        <f>(Table1[[#This Row],[Total Cholesterol (mg/dL)]]+Table1[[#This Row],[HDL (mg/dL)2]]+Table1[[#This Row],[Estimated LDL (mg/dL)2]])*5</f>
        <v>2780</v>
      </c>
      <c r="U1172" s="8">
        <f>IF(O1172="",Table1[[#This Row],[Estimated LDL (mg/dL)2]]+Table1[[#This Row],[HDL (mg/dL)2]]+(Table1[[#This Row],[Triglycerides]]/5),O1172)</f>
        <v>293</v>
      </c>
      <c r="V1172">
        <v>95</v>
      </c>
      <c r="W1172" s="8">
        <f t="shared" si="262"/>
        <v>95</v>
      </c>
      <c r="X1172" t="str">
        <f t="shared" si="263"/>
        <v>Normal</v>
      </c>
      <c r="Y1172" t="s">
        <v>23</v>
      </c>
      <c r="Z1172" t="s">
        <v>23</v>
      </c>
      <c r="AA1172" t="s">
        <v>28</v>
      </c>
      <c r="AB1172" s="3" t="s">
        <v>1003</v>
      </c>
      <c r="AC1172">
        <v>103</v>
      </c>
      <c r="AD1172" s="3" t="str">
        <f t="shared" si="264"/>
        <v>103</v>
      </c>
      <c r="AE1172">
        <v>119</v>
      </c>
      <c r="AF1172" s="3" t="str">
        <f t="shared" si="265"/>
        <v>119</v>
      </c>
      <c r="AG1172" t="s">
        <v>38</v>
      </c>
      <c r="AH1172" s="3">
        <v>19.724</v>
      </c>
      <c r="AI1172" s="3">
        <f t="shared" si="266"/>
        <v>19.724</v>
      </c>
      <c r="AJ1172" t="s">
        <v>26</v>
      </c>
      <c r="AK1172" t="str">
        <f>PROPER(Table1[[#This Row],[CVD Risk Level]])</f>
        <v>Intermediary</v>
      </c>
    </row>
    <row r="1173" spans="1:37" x14ac:dyDescent="0.3">
      <c r="A1173" t="s">
        <v>31</v>
      </c>
      <c r="B1173">
        <v>43</v>
      </c>
      <c r="C1173" s="8">
        <f t="shared" si="255"/>
        <v>43</v>
      </c>
      <c r="D1173" s="5">
        <v>57.829000000000001</v>
      </c>
      <c r="E1173" s="8">
        <f t="shared" si="256"/>
        <v>57.829000000000001</v>
      </c>
      <c r="F1173">
        <v>1.526</v>
      </c>
      <c r="G1173" s="3">
        <f t="shared" si="257"/>
        <v>1.526</v>
      </c>
      <c r="H1173">
        <v>19.004999999999999</v>
      </c>
      <c r="I1173" s="5">
        <f t="shared" si="253"/>
        <v>19.004999999999999</v>
      </c>
      <c r="J1173" s="16" t="str">
        <f t="shared" si="258"/>
        <v>Normal</v>
      </c>
      <c r="K1173">
        <v>90.872</v>
      </c>
      <c r="L1173">
        <v>0.59499999999999997</v>
      </c>
      <c r="M1173" s="11">
        <f t="shared" si="254"/>
        <v>0.59499999999999997</v>
      </c>
      <c r="N1173" s="5">
        <f t="shared" si="259"/>
        <v>90.872</v>
      </c>
      <c r="O1173">
        <v>163</v>
      </c>
      <c r="P1173">
        <v>59</v>
      </c>
      <c r="Q1173" s="8">
        <f t="shared" si="260"/>
        <v>59</v>
      </c>
      <c r="R1173" s="8">
        <v>74</v>
      </c>
      <c r="S1173" s="8">
        <f t="shared" si="261"/>
        <v>74</v>
      </c>
      <c r="T1173" s="8">
        <f>(Table1[[#This Row],[Total Cholesterol (mg/dL)]]+Table1[[#This Row],[HDL (mg/dL)2]]+Table1[[#This Row],[Estimated LDL (mg/dL)2]])*5</f>
        <v>1480</v>
      </c>
      <c r="U1173" s="8">
        <f>IF(O1173="",Table1[[#This Row],[Estimated LDL (mg/dL)2]]+Table1[[#This Row],[HDL (mg/dL)2]]+(Table1[[#This Row],[Triglycerides]]/5),O1173)</f>
        <v>163</v>
      </c>
      <c r="V1173">
        <v>95</v>
      </c>
      <c r="W1173" s="8">
        <f t="shared" si="262"/>
        <v>95</v>
      </c>
      <c r="X1173" t="str">
        <f t="shared" si="263"/>
        <v>Normal</v>
      </c>
      <c r="Y1173" t="s">
        <v>22</v>
      </c>
      <c r="Z1173" t="s">
        <v>23</v>
      </c>
      <c r="AA1173" t="s">
        <v>28</v>
      </c>
      <c r="AB1173" s="3" t="s">
        <v>1004</v>
      </c>
      <c r="AC1173">
        <v>177</v>
      </c>
      <c r="AD1173" s="3" t="str">
        <f t="shared" si="264"/>
        <v>177</v>
      </c>
      <c r="AE1173">
        <v>72</v>
      </c>
      <c r="AF1173" s="3" t="str">
        <f t="shared" si="265"/>
        <v>72</v>
      </c>
      <c r="AG1173" t="s">
        <v>38</v>
      </c>
      <c r="AH1173" s="3">
        <v>17.911000000000001</v>
      </c>
      <c r="AI1173" s="3">
        <f t="shared" si="266"/>
        <v>17.911000000000001</v>
      </c>
      <c r="AJ1173" t="s">
        <v>52</v>
      </c>
      <c r="AK1173" t="str">
        <f>PROPER(Table1[[#This Row],[CVD Risk Level]])</f>
        <v>Low</v>
      </c>
    </row>
    <row r="1174" spans="1:37" x14ac:dyDescent="0.3">
      <c r="A1174" t="s">
        <v>31</v>
      </c>
      <c r="B1174">
        <v>79</v>
      </c>
      <c r="C1174" s="8">
        <f t="shared" si="255"/>
        <v>79</v>
      </c>
      <c r="D1174" s="5">
        <v>85.79</v>
      </c>
      <c r="E1174" s="8">
        <f t="shared" si="256"/>
        <v>85.79</v>
      </c>
      <c r="G1174" s="3">
        <f t="shared" si="257"/>
        <v>1.4867793227122614</v>
      </c>
      <c r="H1174">
        <v>38.81</v>
      </c>
      <c r="I1174" s="5">
        <f t="shared" si="253"/>
        <v>38.81</v>
      </c>
      <c r="J1174" s="16" t="str">
        <f t="shared" si="258"/>
        <v>Obese</v>
      </c>
      <c r="L1174">
        <v>0.46700000000000003</v>
      </c>
      <c r="M1174" s="11">
        <f t="shared" si="254"/>
        <v>0.46700000000000003</v>
      </c>
      <c r="N1174" s="5">
        <f t="shared" si="259"/>
        <v>69.432594370662613</v>
      </c>
      <c r="O1174">
        <v>183</v>
      </c>
      <c r="P1174">
        <v>78</v>
      </c>
      <c r="Q1174" s="8">
        <f t="shared" si="260"/>
        <v>78</v>
      </c>
      <c r="R1174" s="8">
        <v>75</v>
      </c>
      <c r="S1174" s="8">
        <f t="shared" si="261"/>
        <v>75</v>
      </c>
      <c r="T1174" s="8">
        <f>(Table1[[#This Row],[Total Cholesterol (mg/dL)]]+Table1[[#This Row],[HDL (mg/dL)2]]+Table1[[#This Row],[Estimated LDL (mg/dL)2]])*5</f>
        <v>1680</v>
      </c>
      <c r="U1174" s="8">
        <f>IF(O1174="",Table1[[#This Row],[Estimated LDL (mg/dL)2]]+Table1[[#This Row],[HDL (mg/dL)2]]+(Table1[[#This Row],[Triglycerides]]/5),O1174)</f>
        <v>183</v>
      </c>
      <c r="V1174">
        <v>94</v>
      </c>
      <c r="W1174" s="8">
        <f t="shared" si="262"/>
        <v>94</v>
      </c>
      <c r="X1174" t="str">
        <f t="shared" si="263"/>
        <v>Normal</v>
      </c>
      <c r="Y1174" t="s">
        <v>22</v>
      </c>
      <c r="Z1174" t="s">
        <v>23</v>
      </c>
      <c r="AA1174" t="s">
        <v>28</v>
      </c>
      <c r="AB1174" s="3" t="s">
        <v>1005</v>
      </c>
      <c r="AC1174">
        <v>166</v>
      </c>
      <c r="AD1174" s="3" t="str">
        <f t="shared" si="264"/>
        <v>166</v>
      </c>
      <c r="AE1174">
        <v>115</v>
      </c>
      <c r="AF1174" s="3" t="str">
        <f t="shared" si="265"/>
        <v>115</v>
      </c>
      <c r="AG1174" t="s">
        <v>38</v>
      </c>
      <c r="AH1174" s="3">
        <v>21.722000000000001</v>
      </c>
      <c r="AI1174" s="3">
        <f t="shared" si="266"/>
        <v>21.722000000000001</v>
      </c>
      <c r="AJ1174" t="s">
        <v>30</v>
      </c>
      <c r="AK1174" t="str">
        <f>PROPER(Table1[[#This Row],[CVD Risk Level]])</f>
        <v>High</v>
      </c>
    </row>
    <row r="1175" spans="1:37" x14ac:dyDescent="0.3">
      <c r="A1175" t="s">
        <v>20</v>
      </c>
      <c r="B1175">
        <v>64</v>
      </c>
      <c r="C1175" s="8">
        <f t="shared" si="255"/>
        <v>64</v>
      </c>
      <c r="D1175" s="5">
        <v>93.953999999999994</v>
      </c>
      <c r="E1175" s="8">
        <f t="shared" si="256"/>
        <v>93.953999999999994</v>
      </c>
      <c r="F1175">
        <v>1.587</v>
      </c>
      <c r="G1175" s="3">
        <f t="shared" si="257"/>
        <v>1.587</v>
      </c>
      <c r="H1175">
        <v>31.268999999999998</v>
      </c>
      <c r="I1175" s="5">
        <f t="shared" si="253"/>
        <v>31.268999999999998</v>
      </c>
      <c r="J1175" s="16" t="str">
        <f t="shared" si="258"/>
        <v>Obese</v>
      </c>
      <c r="K1175">
        <v>109.312</v>
      </c>
      <c r="L1175">
        <v>0.68899999999999995</v>
      </c>
      <c r="M1175" s="11">
        <f t="shared" si="254"/>
        <v>0.68899999999999995</v>
      </c>
      <c r="N1175" s="5">
        <f t="shared" si="259"/>
        <v>109.312</v>
      </c>
      <c r="O1175">
        <v>127</v>
      </c>
      <c r="P1175">
        <v>76</v>
      </c>
      <c r="Q1175" s="8">
        <f t="shared" si="260"/>
        <v>76</v>
      </c>
      <c r="S1175" s="8">
        <f t="shared" si="261"/>
        <v>109</v>
      </c>
      <c r="T1175" s="8">
        <f>(Table1[[#This Row],[Total Cholesterol (mg/dL)]]+Table1[[#This Row],[HDL (mg/dL)2]]+Table1[[#This Row],[Estimated LDL (mg/dL)2]])*5</f>
        <v>1560</v>
      </c>
      <c r="U1175" s="8">
        <f>IF(O1175="",Table1[[#This Row],[Estimated LDL (mg/dL)2]]+Table1[[#This Row],[HDL (mg/dL)2]]+(Table1[[#This Row],[Triglycerides]]/5),O1175)</f>
        <v>127</v>
      </c>
      <c r="V1175">
        <v>97</v>
      </c>
      <c r="W1175" s="8">
        <f t="shared" si="262"/>
        <v>97</v>
      </c>
      <c r="X1175" t="str">
        <f t="shared" si="263"/>
        <v>Normal</v>
      </c>
      <c r="Y1175" t="s">
        <v>22</v>
      </c>
      <c r="Z1175" t="s">
        <v>23</v>
      </c>
      <c r="AA1175" t="s">
        <v>24</v>
      </c>
      <c r="AB1175" s="3" t="s">
        <v>1006</v>
      </c>
      <c r="AC1175">
        <v>138</v>
      </c>
      <c r="AD1175" s="3" t="str">
        <f t="shared" si="264"/>
        <v>138</v>
      </c>
      <c r="AE1175">
        <v>89</v>
      </c>
      <c r="AF1175" s="3" t="str">
        <f t="shared" si="265"/>
        <v>89</v>
      </c>
      <c r="AG1175" t="s">
        <v>29</v>
      </c>
      <c r="AH1175" s="3">
        <v>17.693999999999999</v>
      </c>
      <c r="AI1175" s="3">
        <f t="shared" si="266"/>
        <v>17.693999999999999</v>
      </c>
      <c r="AJ1175" t="s">
        <v>52</v>
      </c>
      <c r="AK1175" t="str">
        <f>PROPER(Table1[[#This Row],[CVD Risk Level]])</f>
        <v>Low</v>
      </c>
    </row>
    <row r="1176" spans="1:37" x14ac:dyDescent="0.3">
      <c r="A1176" t="s">
        <v>31</v>
      </c>
      <c r="B1176">
        <v>33</v>
      </c>
      <c r="C1176" s="8">
        <f t="shared" si="255"/>
        <v>33</v>
      </c>
      <c r="D1176" s="5">
        <v>69.347999999999999</v>
      </c>
      <c r="E1176" s="8">
        <f t="shared" si="256"/>
        <v>69.347999999999999</v>
      </c>
      <c r="F1176">
        <v>1.621</v>
      </c>
      <c r="G1176" s="3">
        <f t="shared" si="257"/>
        <v>1.621</v>
      </c>
      <c r="H1176">
        <v>23.952999999999999</v>
      </c>
      <c r="I1176" s="5">
        <f t="shared" si="253"/>
        <v>23.952999999999999</v>
      </c>
      <c r="J1176" s="16" t="str">
        <f t="shared" si="258"/>
        <v>Normal</v>
      </c>
      <c r="L1176">
        <v>0.58799999999999997</v>
      </c>
      <c r="M1176" s="11">
        <f t="shared" si="254"/>
        <v>0.58799999999999997</v>
      </c>
      <c r="N1176" s="5">
        <f t="shared" si="259"/>
        <v>95.314799999999991</v>
      </c>
      <c r="O1176">
        <v>293</v>
      </c>
      <c r="P1176">
        <v>66</v>
      </c>
      <c r="Q1176" s="8">
        <f t="shared" si="260"/>
        <v>66</v>
      </c>
      <c r="R1176" s="8">
        <v>197</v>
      </c>
      <c r="S1176" s="8">
        <f t="shared" si="261"/>
        <v>197</v>
      </c>
      <c r="T1176" s="8">
        <f>(Table1[[#This Row],[Total Cholesterol (mg/dL)]]+Table1[[#This Row],[HDL (mg/dL)2]]+Table1[[#This Row],[Estimated LDL (mg/dL)2]])*5</f>
        <v>2780</v>
      </c>
      <c r="U1176" s="8">
        <f>IF(O1176="",Table1[[#This Row],[Estimated LDL (mg/dL)2]]+Table1[[#This Row],[HDL (mg/dL)2]]+(Table1[[#This Row],[Triglycerides]]/5),O1176)</f>
        <v>293</v>
      </c>
      <c r="V1176">
        <v>135</v>
      </c>
      <c r="W1176" s="8">
        <f t="shared" si="262"/>
        <v>135</v>
      </c>
      <c r="X1176" t="str">
        <f t="shared" si="263"/>
        <v>Diabetes</v>
      </c>
      <c r="Y1176" t="s">
        <v>22</v>
      </c>
      <c r="Z1176" t="s">
        <v>22</v>
      </c>
      <c r="AA1176" t="s">
        <v>37</v>
      </c>
      <c r="AB1176" s="3" t="s">
        <v>1007</v>
      </c>
      <c r="AC1176">
        <v>147</v>
      </c>
      <c r="AD1176" s="3" t="str">
        <f t="shared" si="264"/>
        <v>147</v>
      </c>
      <c r="AE1176">
        <v>119</v>
      </c>
      <c r="AF1176" s="3" t="str">
        <f t="shared" si="265"/>
        <v>119</v>
      </c>
      <c r="AG1176" t="s">
        <v>38</v>
      </c>
      <c r="AH1176" s="3">
        <v>18.001000000000001</v>
      </c>
      <c r="AI1176" s="3">
        <f t="shared" si="266"/>
        <v>18.001000000000001</v>
      </c>
      <c r="AJ1176" t="s">
        <v>30</v>
      </c>
      <c r="AK1176" t="str">
        <f>PROPER(Table1[[#This Row],[CVD Risk Level]])</f>
        <v>High</v>
      </c>
    </row>
    <row r="1177" spans="1:37" x14ac:dyDescent="0.3">
      <c r="A1177" t="s">
        <v>20</v>
      </c>
      <c r="B1177">
        <v>51</v>
      </c>
      <c r="C1177" s="8">
        <f t="shared" si="255"/>
        <v>51</v>
      </c>
      <c r="D1177" s="5">
        <v>82.313000000000002</v>
      </c>
      <c r="E1177" s="8">
        <f t="shared" si="256"/>
        <v>82.313000000000002</v>
      </c>
      <c r="F1177">
        <v>1.518</v>
      </c>
      <c r="G1177" s="3">
        <f t="shared" si="257"/>
        <v>1.518</v>
      </c>
      <c r="H1177">
        <v>35.055</v>
      </c>
      <c r="I1177" s="5">
        <f t="shared" si="253"/>
        <v>35.055</v>
      </c>
      <c r="J1177" s="16" t="str">
        <f t="shared" si="258"/>
        <v>Obese</v>
      </c>
      <c r="K1177">
        <v>95.308000000000007</v>
      </c>
      <c r="L1177">
        <v>0.628</v>
      </c>
      <c r="M1177" s="11">
        <f t="shared" si="254"/>
        <v>0.628</v>
      </c>
      <c r="N1177" s="5">
        <f t="shared" si="259"/>
        <v>95.308000000000007</v>
      </c>
      <c r="O1177">
        <v>156</v>
      </c>
      <c r="P1177">
        <v>35</v>
      </c>
      <c r="Q1177" s="8">
        <f t="shared" si="260"/>
        <v>35</v>
      </c>
      <c r="R1177" s="8">
        <v>91</v>
      </c>
      <c r="S1177" s="8">
        <f t="shared" si="261"/>
        <v>91</v>
      </c>
      <c r="T1177" s="8">
        <f>(Table1[[#This Row],[Total Cholesterol (mg/dL)]]+Table1[[#This Row],[HDL (mg/dL)2]]+Table1[[#This Row],[Estimated LDL (mg/dL)2]])*5</f>
        <v>1410</v>
      </c>
      <c r="U1177" s="8">
        <f>IF(O1177="",Table1[[#This Row],[Estimated LDL (mg/dL)2]]+Table1[[#This Row],[HDL (mg/dL)2]]+(Table1[[#This Row],[Triglycerides]]/5),O1177)</f>
        <v>156</v>
      </c>
      <c r="V1177">
        <v>139</v>
      </c>
      <c r="W1177" s="8">
        <f t="shared" si="262"/>
        <v>139</v>
      </c>
      <c r="X1177" t="str">
        <f t="shared" si="263"/>
        <v>Diabetes</v>
      </c>
      <c r="Y1177" t="s">
        <v>22</v>
      </c>
      <c r="Z1177" t="s">
        <v>23</v>
      </c>
      <c r="AA1177" t="s">
        <v>24</v>
      </c>
      <c r="AB1177" s="3" t="s">
        <v>1008</v>
      </c>
      <c r="AC1177">
        <v>144</v>
      </c>
      <c r="AD1177" s="3" t="str">
        <f t="shared" si="264"/>
        <v>144</v>
      </c>
      <c r="AE1177">
        <v>90</v>
      </c>
      <c r="AF1177" s="3" t="str">
        <f t="shared" si="265"/>
        <v>90</v>
      </c>
      <c r="AG1177" t="s">
        <v>38</v>
      </c>
      <c r="AH1177" s="3">
        <v>19.331</v>
      </c>
      <c r="AI1177" s="3">
        <f t="shared" si="266"/>
        <v>19.331</v>
      </c>
      <c r="AJ1177" t="s">
        <v>30</v>
      </c>
      <c r="AK1177" t="str">
        <f>PROPER(Table1[[#This Row],[CVD Risk Level]])</f>
        <v>High</v>
      </c>
    </row>
    <row r="1178" spans="1:37" x14ac:dyDescent="0.3">
      <c r="A1178" t="s">
        <v>20</v>
      </c>
      <c r="B1178">
        <v>43</v>
      </c>
      <c r="C1178" s="8">
        <f t="shared" si="255"/>
        <v>43</v>
      </c>
      <c r="D1178" s="5">
        <v>89.83</v>
      </c>
      <c r="E1178" s="8">
        <f t="shared" si="256"/>
        <v>89.83</v>
      </c>
      <c r="F1178">
        <v>1.857</v>
      </c>
      <c r="G1178" s="3">
        <f t="shared" si="257"/>
        <v>1.857</v>
      </c>
      <c r="H1178">
        <v>28.135000000000002</v>
      </c>
      <c r="I1178" s="5">
        <f t="shared" si="253"/>
        <v>28.135000000000002</v>
      </c>
      <c r="J1178" s="16" t="str">
        <f t="shared" si="258"/>
        <v>Overweight</v>
      </c>
      <c r="K1178">
        <v>117.79600000000001</v>
      </c>
      <c r="L1178">
        <v>0.63400000000000001</v>
      </c>
      <c r="M1178" s="11">
        <f t="shared" si="254"/>
        <v>0.63400000000000001</v>
      </c>
      <c r="N1178" s="5">
        <f t="shared" si="259"/>
        <v>117.79600000000001</v>
      </c>
      <c r="O1178">
        <v>250</v>
      </c>
      <c r="P1178">
        <v>33</v>
      </c>
      <c r="Q1178" s="8">
        <f t="shared" si="260"/>
        <v>33</v>
      </c>
      <c r="R1178" s="8">
        <v>187</v>
      </c>
      <c r="S1178" s="8">
        <f t="shared" si="261"/>
        <v>187</v>
      </c>
      <c r="T1178" s="8">
        <f>(Table1[[#This Row],[Total Cholesterol (mg/dL)]]+Table1[[#This Row],[HDL (mg/dL)2]]+Table1[[#This Row],[Estimated LDL (mg/dL)2]])*5</f>
        <v>2350</v>
      </c>
      <c r="U1178" s="8">
        <f>IF(O1178="",Table1[[#This Row],[Estimated LDL (mg/dL)2]]+Table1[[#This Row],[HDL (mg/dL)2]]+(Table1[[#This Row],[Triglycerides]]/5),O1178)</f>
        <v>250</v>
      </c>
      <c r="V1178">
        <v>92</v>
      </c>
      <c r="W1178" s="8">
        <f t="shared" si="262"/>
        <v>92</v>
      </c>
      <c r="X1178" t="str">
        <f t="shared" si="263"/>
        <v>Normal</v>
      </c>
      <c r="Y1178" t="s">
        <v>23</v>
      </c>
      <c r="Z1178" t="s">
        <v>23</v>
      </c>
      <c r="AA1178" t="s">
        <v>37</v>
      </c>
      <c r="AB1178" s="3" t="s">
        <v>716</v>
      </c>
      <c r="AC1178">
        <v>110</v>
      </c>
      <c r="AD1178" s="3" t="str">
        <f t="shared" si="264"/>
        <v>110</v>
      </c>
      <c r="AE1178">
        <v>64</v>
      </c>
      <c r="AF1178" s="3" t="str">
        <f t="shared" si="265"/>
        <v>64</v>
      </c>
      <c r="AG1178" t="s">
        <v>33</v>
      </c>
      <c r="AH1178" s="3">
        <v>18.126999999999999</v>
      </c>
      <c r="AI1178" s="3">
        <f t="shared" si="266"/>
        <v>18.126999999999999</v>
      </c>
      <c r="AJ1178" t="s">
        <v>26</v>
      </c>
      <c r="AK1178" t="str">
        <f>PROPER(Table1[[#This Row],[CVD Risk Level]])</f>
        <v>Intermediary</v>
      </c>
    </row>
    <row r="1179" spans="1:37" x14ac:dyDescent="0.3">
      <c r="A1179" t="s">
        <v>20</v>
      </c>
      <c r="B1179">
        <v>54</v>
      </c>
      <c r="C1179" s="8">
        <f t="shared" si="255"/>
        <v>54</v>
      </c>
      <c r="D1179" s="5">
        <v>83.558000000000007</v>
      </c>
      <c r="E1179" s="8">
        <f t="shared" si="256"/>
        <v>83.558000000000007</v>
      </c>
      <c r="F1179">
        <v>1.784</v>
      </c>
      <c r="G1179" s="3">
        <f t="shared" si="257"/>
        <v>1.784</v>
      </c>
      <c r="H1179">
        <v>26.809000000000001</v>
      </c>
      <c r="I1179" s="5">
        <f t="shared" si="253"/>
        <v>26.809000000000001</v>
      </c>
      <c r="J1179" s="16" t="str">
        <f t="shared" si="258"/>
        <v>Overweight</v>
      </c>
      <c r="K1179">
        <v>103.006</v>
      </c>
      <c r="L1179">
        <v>0.57799999999999996</v>
      </c>
      <c r="M1179" s="11">
        <f t="shared" si="254"/>
        <v>0.57799999999999996</v>
      </c>
      <c r="N1179" s="5">
        <f t="shared" si="259"/>
        <v>103.006</v>
      </c>
      <c r="O1179">
        <v>137</v>
      </c>
      <c r="P1179">
        <v>72</v>
      </c>
      <c r="Q1179" s="8">
        <f t="shared" si="260"/>
        <v>72</v>
      </c>
      <c r="R1179" s="8">
        <v>35</v>
      </c>
      <c r="S1179" s="8">
        <f>IF(R1179&lt;=0,MEDIAN($R$2:$R$1530),R1179)</f>
        <v>35</v>
      </c>
      <c r="T1179" s="8">
        <f>(Table1[[#This Row],[Total Cholesterol (mg/dL)]]+Table1[[#This Row],[HDL (mg/dL)2]]+Table1[[#This Row],[Estimated LDL (mg/dL)2]])*5</f>
        <v>1220</v>
      </c>
      <c r="U1179" s="8">
        <f>IF(O1179="",Table1[[#This Row],[Estimated LDL (mg/dL)2]]+Table1[[#This Row],[HDL (mg/dL)2]]+(Table1[[#This Row],[Triglycerides]]/5),O1179)</f>
        <v>137</v>
      </c>
      <c r="V1179">
        <v>147</v>
      </c>
      <c r="W1179" s="8">
        <f t="shared" si="262"/>
        <v>147</v>
      </c>
      <c r="X1179" t="str">
        <f t="shared" si="263"/>
        <v>Diabetes</v>
      </c>
      <c r="Y1179" t="s">
        <v>23</v>
      </c>
      <c r="Z1179" t="s">
        <v>23</v>
      </c>
      <c r="AA1179" t="s">
        <v>28</v>
      </c>
      <c r="AB1179" s="3" t="s">
        <v>1009</v>
      </c>
      <c r="AC1179">
        <v>168</v>
      </c>
      <c r="AD1179" s="3" t="str">
        <f t="shared" si="264"/>
        <v>168</v>
      </c>
      <c r="AE1179">
        <v>110</v>
      </c>
      <c r="AF1179" s="3" t="str">
        <f t="shared" si="265"/>
        <v>110</v>
      </c>
      <c r="AG1179" t="s">
        <v>38</v>
      </c>
      <c r="AH1179" s="3">
        <v>18.501999999999999</v>
      </c>
      <c r="AI1179" s="3">
        <f t="shared" si="266"/>
        <v>18.501999999999999</v>
      </c>
      <c r="AJ1179" t="s">
        <v>30</v>
      </c>
      <c r="AK1179" t="str">
        <f>PROPER(Table1[[#This Row],[CVD Risk Level]])</f>
        <v>High</v>
      </c>
    </row>
    <row r="1180" spans="1:37" x14ac:dyDescent="0.3">
      <c r="A1180" t="s">
        <v>31</v>
      </c>
      <c r="B1180">
        <v>49</v>
      </c>
      <c r="C1180" s="8">
        <f t="shared" si="255"/>
        <v>49</v>
      </c>
      <c r="D1180" s="5">
        <v>70.563000000000002</v>
      </c>
      <c r="E1180" s="8">
        <f t="shared" si="256"/>
        <v>70.563000000000002</v>
      </c>
      <c r="F1180">
        <v>1.901</v>
      </c>
      <c r="G1180" s="3">
        <f t="shared" si="257"/>
        <v>1.901</v>
      </c>
      <c r="H1180">
        <v>31.814</v>
      </c>
      <c r="I1180" s="5">
        <f t="shared" si="253"/>
        <v>31.814</v>
      </c>
      <c r="J1180" s="16" t="str">
        <f t="shared" si="258"/>
        <v>Obese</v>
      </c>
      <c r="K1180">
        <v>102.616</v>
      </c>
      <c r="L1180">
        <v>0.54</v>
      </c>
      <c r="M1180" s="11">
        <f t="shared" si="254"/>
        <v>0.54</v>
      </c>
      <c r="N1180" s="5">
        <f t="shared" si="259"/>
        <v>102.616</v>
      </c>
      <c r="O1180">
        <v>197</v>
      </c>
      <c r="P1180">
        <v>68</v>
      </c>
      <c r="Q1180" s="8">
        <f t="shared" si="260"/>
        <v>68</v>
      </c>
      <c r="R1180" s="8">
        <v>99</v>
      </c>
      <c r="S1180" s="8">
        <f t="shared" si="261"/>
        <v>99</v>
      </c>
      <c r="T1180" s="8">
        <f>(Table1[[#This Row],[Total Cholesterol (mg/dL)]]+Table1[[#This Row],[HDL (mg/dL)2]]+Table1[[#This Row],[Estimated LDL (mg/dL)2]])*5</f>
        <v>1820</v>
      </c>
      <c r="U1180" s="8">
        <f>IF(O1180="",Table1[[#This Row],[Estimated LDL (mg/dL)2]]+Table1[[#This Row],[HDL (mg/dL)2]]+(Table1[[#This Row],[Triglycerides]]/5),O1180)</f>
        <v>197</v>
      </c>
      <c r="W1180" s="8">
        <f t="shared" si="262"/>
        <v>117.48563611491107</v>
      </c>
      <c r="X1180" t="str">
        <f t="shared" si="263"/>
        <v>Prediabetes</v>
      </c>
      <c r="Y1180" t="s">
        <v>23</v>
      </c>
      <c r="Z1180" t="s">
        <v>22</v>
      </c>
      <c r="AA1180" t="s">
        <v>28</v>
      </c>
      <c r="AB1180" s="3" t="s">
        <v>1010</v>
      </c>
      <c r="AC1180">
        <v>123</v>
      </c>
      <c r="AD1180" s="3" t="str">
        <f t="shared" si="264"/>
        <v>123</v>
      </c>
      <c r="AE1180">
        <v>91</v>
      </c>
      <c r="AF1180" s="3" t="str">
        <f t="shared" si="265"/>
        <v>91</v>
      </c>
      <c r="AG1180" t="s">
        <v>38</v>
      </c>
      <c r="AH1180" s="3">
        <v>16.452999999999999</v>
      </c>
      <c r="AI1180" s="3">
        <f t="shared" si="266"/>
        <v>16.452999999999999</v>
      </c>
      <c r="AJ1180" t="s">
        <v>52</v>
      </c>
      <c r="AK1180" t="str">
        <f>PROPER(Table1[[#This Row],[CVD Risk Level]])</f>
        <v>Low</v>
      </c>
    </row>
    <row r="1181" spans="1:37" x14ac:dyDescent="0.3">
      <c r="A1181" t="s">
        <v>20</v>
      </c>
      <c r="B1181">
        <v>72</v>
      </c>
      <c r="C1181" s="8">
        <f t="shared" si="255"/>
        <v>72</v>
      </c>
      <c r="D1181" s="5">
        <v>92.602000000000004</v>
      </c>
      <c r="E1181" s="8">
        <f t="shared" si="256"/>
        <v>92.602000000000004</v>
      </c>
      <c r="F1181">
        <v>1.9359999999999999</v>
      </c>
      <c r="G1181" s="3">
        <f t="shared" si="257"/>
        <v>1.9359999999999999</v>
      </c>
      <c r="H1181">
        <v>31.960999999999999</v>
      </c>
      <c r="I1181" s="5">
        <f t="shared" si="253"/>
        <v>31.960999999999999</v>
      </c>
      <c r="J1181" s="16" t="str">
        <f t="shared" si="258"/>
        <v>Obese</v>
      </c>
      <c r="K1181">
        <v>108.304</v>
      </c>
      <c r="L1181">
        <v>0.55900000000000005</v>
      </c>
      <c r="M1181" s="11">
        <f t="shared" si="254"/>
        <v>0.55900000000000005</v>
      </c>
      <c r="N1181" s="5">
        <f t="shared" si="259"/>
        <v>108.304</v>
      </c>
      <c r="O1181">
        <v>298</v>
      </c>
      <c r="P1181">
        <v>69</v>
      </c>
      <c r="Q1181" s="8">
        <f t="shared" si="260"/>
        <v>69</v>
      </c>
      <c r="R1181" s="8">
        <v>199</v>
      </c>
      <c r="S1181" s="8">
        <f t="shared" si="261"/>
        <v>199</v>
      </c>
      <c r="T1181" s="8">
        <f>(Table1[[#This Row],[Total Cholesterol (mg/dL)]]+Table1[[#This Row],[HDL (mg/dL)2]]+Table1[[#This Row],[Estimated LDL (mg/dL)2]])*5</f>
        <v>2830</v>
      </c>
      <c r="U1181" s="8">
        <f>IF(O1181="",Table1[[#This Row],[Estimated LDL (mg/dL)2]]+Table1[[#This Row],[HDL (mg/dL)2]]+(Table1[[#This Row],[Triglycerides]]/5),O1181)</f>
        <v>298</v>
      </c>
      <c r="V1181">
        <v>107</v>
      </c>
      <c r="W1181" s="8">
        <f t="shared" si="262"/>
        <v>107</v>
      </c>
      <c r="X1181" t="str">
        <f t="shared" si="263"/>
        <v>Prediabetes</v>
      </c>
      <c r="Y1181" t="s">
        <v>22</v>
      </c>
      <c r="Z1181" t="s">
        <v>22</v>
      </c>
      <c r="AA1181" t="s">
        <v>37</v>
      </c>
      <c r="AB1181" s="3" t="s">
        <v>1011</v>
      </c>
      <c r="AC1181">
        <v>91</v>
      </c>
      <c r="AD1181" s="3" t="str">
        <f t="shared" si="264"/>
        <v>91</v>
      </c>
      <c r="AE1181">
        <v>105</v>
      </c>
      <c r="AF1181" s="3" t="str">
        <f t="shared" si="265"/>
        <v>105</v>
      </c>
      <c r="AG1181" t="s">
        <v>38</v>
      </c>
      <c r="AH1181" s="3">
        <v>16.902000000000001</v>
      </c>
      <c r="AI1181" s="3">
        <f t="shared" si="266"/>
        <v>16.902000000000001</v>
      </c>
      <c r="AJ1181" t="s">
        <v>26</v>
      </c>
      <c r="AK1181" t="str">
        <f>PROPER(Table1[[#This Row],[CVD Risk Level]])</f>
        <v>Intermediary</v>
      </c>
    </row>
    <row r="1182" spans="1:37" x14ac:dyDescent="0.3">
      <c r="A1182" t="s">
        <v>31</v>
      </c>
      <c r="B1182">
        <v>39</v>
      </c>
      <c r="C1182" s="8">
        <f t="shared" si="255"/>
        <v>39</v>
      </c>
      <c r="D1182" s="5">
        <v>88.135000000000005</v>
      </c>
      <c r="E1182" s="8">
        <f t="shared" si="256"/>
        <v>88.135000000000005</v>
      </c>
      <c r="F1182">
        <v>1.984</v>
      </c>
      <c r="G1182" s="3">
        <f t="shared" si="257"/>
        <v>1.984</v>
      </c>
      <c r="H1182">
        <v>37.984000000000002</v>
      </c>
      <c r="I1182" s="5">
        <f t="shared" si="253"/>
        <v>37.984000000000002</v>
      </c>
      <c r="J1182" s="16" t="str">
        <f t="shared" si="258"/>
        <v>Obese</v>
      </c>
      <c r="K1182">
        <v>92.120999999999995</v>
      </c>
      <c r="L1182">
        <v>0.46400000000000002</v>
      </c>
      <c r="M1182" s="11">
        <f t="shared" si="254"/>
        <v>0.46400000000000002</v>
      </c>
      <c r="N1182" s="5">
        <f t="shared" si="259"/>
        <v>92.120999999999995</v>
      </c>
      <c r="P1182">
        <v>72</v>
      </c>
      <c r="Q1182" s="8">
        <f t="shared" si="260"/>
        <v>72</v>
      </c>
      <c r="R1182" s="8">
        <v>60</v>
      </c>
      <c r="S1182" s="8">
        <f>IF(R1182&lt;=0,MEDIAN($R$2:$R$1530),R1182)</f>
        <v>60</v>
      </c>
      <c r="T1182" s="8">
        <f>(Table1[[#This Row],[Total Cholesterol (mg/dL)]]+Table1[[#This Row],[HDL (mg/dL)2]]+Table1[[#This Row],[Estimated LDL (mg/dL)2]])*5</f>
        <v>660</v>
      </c>
      <c r="U1182" s="8">
        <f>IF(O1182="",Table1[[#This Row],[Estimated LDL (mg/dL)2]]+Table1[[#This Row],[HDL (mg/dL)2]]+(Table1[[#This Row],[Triglycerides]]/5),O1182)</f>
        <v>264</v>
      </c>
      <c r="V1182">
        <v>195</v>
      </c>
      <c r="W1182" s="8">
        <f t="shared" si="262"/>
        <v>195</v>
      </c>
      <c r="X1182" t="str">
        <f t="shared" si="263"/>
        <v>Diabetes</v>
      </c>
      <c r="Y1182" t="s">
        <v>23</v>
      </c>
      <c r="Z1182" t="s">
        <v>22</v>
      </c>
      <c r="AA1182" t="s">
        <v>24</v>
      </c>
      <c r="AB1182" s="3" t="s">
        <v>1012</v>
      </c>
      <c r="AC1182">
        <v>154</v>
      </c>
      <c r="AD1182" s="3" t="str">
        <f t="shared" si="264"/>
        <v>154</v>
      </c>
      <c r="AE1182">
        <v>71</v>
      </c>
      <c r="AF1182" s="3" t="str">
        <f t="shared" si="265"/>
        <v>71</v>
      </c>
      <c r="AG1182" t="s">
        <v>38</v>
      </c>
      <c r="AH1182" s="3">
        <v>18.536999999999999</v>
      </c>
      <c r="AI1182" s="3">
        <f t="shared" si="266"/>
        <v>18.536999999999999</v>
      </c>
      <c r="AJ1182" t="s">
        <v>52</v>
      </c>
      <c r="AK1182" t="str">
        <f>PROPER(Table1[[#This Row],[CVD Risk Level]])</f>
        <v>Low</v>
      </c>
    </row>
    <row r="1183" spans="1:37" x14ac:dyDescent="0.3">
      <c r="A1183" t="s">
        <v>31</v>
      </c>
      <c r="B1183">
        <v>32</v>
      </c>
      <c r="C1183" s="8">
        <f t="shared" si="255"/>
        <v>32</v>
      </c>
      <c r="D1183" s="5">
        <v>97.001999999999995</v>
      </c>
      <c r="E1183" s="8">
        <f t="shared" si="256"/>
        <v>97.001999999999995</v>
      </c>
      <c r="F1183">
        <v>1.6419999999999999</v>
      </c>
      <c r="G1183" s="3">
        <f t="shared" si="257"/>
        <v>1.6419999999999999</v>
      </c>
      <c r="H1183">
        <v>25.102</v>
      </c>
      <c r="I1183" s="5">
        <f t="shared" si="253"/>
        <v>25.102</v>
      </c>
      <c r="J1183" s="16" t="str">
        <f t="shared" si="258"/>
        <v>Overweight</v>
      </c>
      <c r="K1183">
        <v>109.869</v>
      </c>
      <c r="L1183">
        <v>0.66900000000000004</v>
      </c>
      <c r="M1183" s="11">
        <f t="shared" si="254"/>
        <v>0.66900000000000004</v>
      </c>
      <c r="N1183" s="5">
        <f t="shared" si="259"/>
        <v>109.869</v>
      </c>
      <c r="O1183">
        <v>160</v>
      </c>
      <c r="P1183">
        <v>44</v>
      </c>
      <c r="Q1183" s="8">
        <f t="shared" si="260"/>
        <v>44</v>
      </c>
      <c r="R1183" s="8">
        <v>86</v>
      </c>
      <c r="S1183" s="8">
        <f t="shared" si="261"/>
        <v>86</v>
      </c>
      <c r="T1183" s="8">
        <f>(Table1[[#This Row],[Total Cholesterol (mg/dL)]]+Table1[[#This Row],[HDL (mg/dL)2]]+Table1[[#This Row],[Estimated LDL (mg/dL)2]])*5</f>
        <v>1450</v>
      </c>
      <c r="U1183" s="8">
        <f>IF(O1183="",Table1[[#This Row],[Estimated LDL (mg/dL)2]]+Table1[[#This Row],[HDL (mg/dL)2]]+(Table1[[#This Row],[Triglycerides]]/5),O1183)</f>
        <v>160</v>
      </c>
      <c r="V1183">
        <v>86</v>
      </c>
      <c r="W1183" s="8">
        <f t="shared" si="262"/>
        <v>86</v>
      </c>
      <c r="X1183" t="str">
        <f t="shared" si="263"/>
        <v>Normal</v>
      </c>
      <c r="Y1183" t="s">
        <v>22</v>
      </c>
      <c r="Z1183" t="s">
        <v>23</v>
      </c>
      <c r="AA1183" t="s">
        <v>37</v>
      </c>
      <c r="AB1183" s="3" t="s">
        <v>613</v>
      </c>
      <c r="AC1183">
        <v>105</v>
      </c>
      <c r="AD1183" s="3" t="str">
        <f t="shared" si="264"/>
        <v>105</v>
      </c>
      <c r="AE1183">
        <v>72</v>
      </c>
      <c r="AF1183" s="3" t="str">
        <f t="shared" si="265"/>
        <v>72</v>
      </c>
      <c r="AG1183" t="s">
        <v>33</v>
      </c>
      <c r="AH1183" s="3">
        <v>15.47</v>
      </c>
      <c r="AI1183" s="3">
        <f t="shared" si="266"/>
        <v>15.47</v>
      </c>
      <c r="AJ1183" t="s">
        <v>52</v>
      </c>
      <c r="AK1183" t="str">
        <f>PROPER(Table1[[#This Row],[CVD Risk Level]])</f>
        <v>Low</v>
      </c>
    </row>
    <row r="1184" spans="1:37" x14ac:dyDescent="0.3">
      <c r="A1184" t="s">
        <v>20</v>
      </c>
      <c r="B1184">
        <v>31</v>
      </c>
      <c r="C1184" s="8">
        <f t="shared" si="255"/>
        <v>31</v>
      </c>
      <c r="D1184" s="5">
        <v>90.448999999999998</v>
      </c>
      <c r="E1184" s="8">
        <f t="shared" si="256"/>
        <v>90.448999999999998</v>
      </c>
      <c r="F1184">
        <v>1.9810000000000001</v>
      </c>
      <c r="G1184" s="3">
        <f t="shared" si="257"/>
        <v>1.9810000000000001</v>
      </c>
      <c r="H1184">
        <v>26.614000000000001</v>
      </c>
      <c r="I1184" s="5">
        <f t="shared" si="253"/>
        <v>26.614000000000001</v>
      </c>
      <c r="J1184" s="16" t="str">
        <f t="shared" si="258"/>
        <v>Overweight</v>
      </c>
      <c r="K1184">
        <v>87.471999999999994</v>
      </c>
      <c r="L1184">
        <v>0.441</v>
      </c>
      <c r="M1184" s="11">
        <f t="shared" si="254"/>
        <v>0.441</v>
      </c>
      <c r="N1184" s="5">
        <f t="shared" si="259"/>
        <v>87.471999999999994</v>
      </c>
      <c r="O1184">
        <v>208</v>
      </c>
      <c r="P1184">
        <v>43</v>
      </c>
      <c r="Q1184" s="8">
        <f t="shared" si="260"/>
        <v>43</v>
      </c>
      <c r="R1184" s="8">
        <v>135</v>
      </c>
      <c r="S1184" s="8">
        <f t="shared" si="261"/>
        <v>135</v>
      </c>
      <c r="T1184" s="8">
        <f>(Table1[[#This Row],[Total Cholesterol (mg/dL)]]+Table1[[#This Row],[HDL (mg/dL)2]]+Table1[[#This Row],[Estimated LDL (mg/dL)2]])*5</f>
        <v>1930</v>
      </c>
      <c r="U1184" s="8">
        <f>IF(O1184="",Table1[[#This Row],[Estimated LDL (mg/dL)2]]+Table1[[#This Row],[HDL (mg/dL)2]]+(Table1[[#This Row],[Triglycerides]]/5),O1184)</f>
        <v>208</v>
      </c>
      <c r="V1184">
        <v>73</v>
      </c>
      <c r="W1184" s="8">
        <f t="shared" si="262"/>
        <v>73</v>
      </c>
      <c r="X1184" t="str">
        <f t="shared" si="263"/>
        <v>Normal</v>
      </c>
      <c r="Y1184" t="s">
        <v>23</v>
      </c>
      <c r="Z1184" t="s">
        <v>22</v>
      </c>
      <c r="AA1184" t="s">
        <v>24</v>
      </c>
      <c r="AB1184" s="3" t="s">
        <v>1013</v>
      </c>
      <c r="AC1184">
        <v>164</v>
      </c>
      <c r="AD1184" s="3" t="str">
        <f t="shared" si="264"/>
        <v>164</v>
      </c>
      <c r="AE1184">
        <v>63</v>
      </c>
      <c r="AF1184" s="3" t="str">
        <f t="shared" si="265"/>
        <v>63</v>
      </c>
      <c r="AG1184" t="s">
        <v>38</v>
      </c>
      <c r="AH1184" s="3">
        <v>17.683</v>
      </c>
      <c r="AI1184" s="3">
        <f t="shared" si="266"/>
        <v>17.683</v>
      </c>
      <c r="AJ1184" t="s">
        <v>26</v>
      </c>
      <c r="AK1184" t="str">
        <f>PROPER(Table1[[#This Row],[CVD Risk Level]])</f>
        <v>Intermediary</v>
      </c>
    </row>
    <row r="1185" spans="1:37" x14ac:dyDescent="0.3">
      <c r="A1185" t="s">
        <v>31</v>
      </c>
      <c r="B1185">
        <v>31</v>
      </c>
      <c r="C1185" s="8">
        <f t="shared" si="255"/>
        <v>31</v>
      </c>
      <c r="E1185" s="8">
        <f t="shared" si="256"/>
        <v>51.340962400000002</v>
      </c>
      <c r="F1185">
        <v>1.58</v>
      </c>
      <c r="G1185" s="3">
        <f t="shared" si="257"/>
        <v>1.58</v>
      </c>
      <c r="H1185">
        <v>20.565999999999999</v>
      </c>
      <c r="I1185" s="5">
        <f t="shared" si="253"/>
        <v>20.565999999999999</v>
      </c>
      <c r="J1185" s="16" t="str">
        <f t="shared" si="258"/>
        <v>Normal</v>
      </c>
      <c r="K1185">
        <v>86.876000000000005</v>
      </c>
      <c r="L1185">
        <v>0.55000000000000004</v>
      </c>
      <c r="M1185" s="11">
        <f t="shared" si="254"/>
        <v>0.55000000000000004</v>
      </c>
      <c r="N1185" s="5">
        <f t="shared" si="259"/>
        <v>86.876000000000005</v>
      </c>
      <c r="O1185">
        <v>213</v>
      </c>
      <c r="P1185">
        <v>76</v>
      </c>
      <c r="Q1185" s="8">
        <f t="shared" si="260"/>
        <v>76</v>
      </c>
      <c r="R1185" s="8">
        <v>107</v>
      </c>
      <c r="S1185" s="8">
        <f t="shared" si="261"/>
        <v>107</v>
      </c>
      <c r="T1185" s="8">
        <f>(Table1[[#This Row],[Total Cholesterol (mg/dL)]]+Table1[[#This Row],[HDL (mg/dL)2]]+Table1[[#This Row],[Estimated LDL (mg/dL)2]])*5</f>
        <v>1980</v>
      </c>
      <c r="U1185" s="8">
        <f>IF(O1185="",Table1[[#This Row],[Estimated LDL (mg/dL)2]]+Table1[[#This Row],[HDL (mg/dL)2]]+(Table1[[#This Row],[Triglycerides]]/5),O1185)</f>
        <v>213</v>
      </c>
      <c r="V1185">
        <v>182</v>
      </c>
      <c r="W1185" s="8">
        <f t="shared" si="262"/>
        <v>182</v>
      </c>
      <c r="X1185" t="str">
        <f t="shared" si="263"/>
        <v>Diabetes</v>
      </c>
      <c r="Y1185" t="s">
        <v>23</v>
      </c>
      <c r="Z1185" t="s">
        <v>22</v>
      </c>
      <c r="AA1185" t="s">
        <v>28</v>
      </c>
      <c r="AB1185" s="3" t="s">
        <v>1014</v>
      </c>
      <c r="AC1185">
        <v>142</v>
      </c>
      <c r="AD1185" s="3" t="str">
        <f t="shared" si="264"/>
        <v>142</v>
      </c>
      <c r="AE1185">
        <v>74</v>
      </c>
      <c r="AF1185" s="3" t="str">
        <f t="shared" si="265"/>
        <v>74</v>
      </c>
      <c r="AG1185" t="s">
        <v>38</v>
      </c>
      <c r="AH1185" s="3">
        <v>15.473000000000001</v>
      </c>
      <c r="AI1185" s="3">
        <f t="shared" si="266"/>
        <v>15.473000000000001</v>
      </c>
      <c r="AJ1185" t="s">
        <v>30</v>
      </c>
      <c r="AK1185" t="str">
        <f>PROPER(Table1[[#This Row],[CVD Risk Level]])</f>
        <v>High</v>
      </c>
    </row>
    <row r="1186" spans="1:37" x14ac:dyDescent="0.3">
      <c r="A1186" t="s">
        <v>31</v>
      </c>
      <c r="B1186">
        <v>64</v>
      </c>
      <c r="C1186" s="8">
        <f t="shared" si="255"/>
        <v>64</v>
      </c>
      <c r="D1186" s="5">
        <v>105.461</v>
      </c>
      <c r="E1186" s="8">
        <f t="shared" si="256"/>
        <v>105.461</v>
      </c>
      <c r="F1186">
        <v>1.5620000000000001</v>
      </c>
      <c r="G1186" s="3">
        <f t="shared" si="257"/>
        <v>1.5620000000000001</v>
      </c>
      <c r="H1186">
        <v>26.538</v>
      </c>
      <c r="I1186" s="5">
        <f t="shared" si="253"/>
        <v>26.538</v>
      </c>
      <c r="J1186" s="16" t="str">
        <f t="shared" si="258"/>
        <v>Overweight</v>
      </c>
      <c r="K1186">
        <v>109.05</v>
      </c>
      <c r="L1186">
        <v>0.69799999999999995</v>
      </c>
      <c r="M1186" s="11">
        <f t="shared" si="254"/>
        <v>0.69799999999999995</v>
      </c>
      <c r="N1186" s="5">
        <f t="shared" si="259"/>
        <v>109.05</v>
      </c>
      <c r="O1186">
        <v>295</v>
      </c>
      <c r="P1186">
        <v>73</v>
      </c>
      <c r="Q1186" s="8">
        <f t="shared" si="260"/>
        <v>73</v>
      </c>
      <c r="R1186" s="8">
        <v>192</v>
      </c>
      <c r="S1186" s="8">
        <f t="shared" si="261"/>
        <v>192</v>
      </c>
      <c r="T1186" s="8">
        <f>(Table1[[#This Row],[Total Cholesterol (mg/dL)]]+Table1[[#This Row],[HDL (mg/dL)2]]+Table1[[#This Row],[Estimated LDL (mg/dL)2]])*5</f>
        <v>2800</v>
      </c>
      <c r="U1186" s="8">
        <f>IF(O1186="",Table1[[#This Row],[Estimated LDL (mg/dL)2]]+Table1[[#This Row],[HDL (mg/dL)2]]+(Table1[[#This Row],[Triglycerides]]/5),O1186)</f>
        <v>295</v>
      </c>
      <c r="V1186">
        <v>157</v>
      </c>
      <c r="W1186" s="8">
        <f t="shared" si="262"/>
        <v>157</v>
      </c>
      <c r="X1186" t="str">
        <f t="shared" si="263"/>
        <v>Diabetes</v>
      </c>
      <c r="Y1186" t="s">
        <v>23</v>
      </c>
      <c r="Z1186" t="s">
        <v>23</v>
      </c>
      <c r="AA1186" t="s">
        <v>28</v>
      </c>
      <c r="AB1186" s="3" t="s">
        <v>1015</v>
      </c>
      <c r="AC1186">
        <v>147</v>
      </c>
      <c r="AD1186" s="3" t="str">
        <f t="shared" si="264"/>
        <v>147</v>
      </c>
      <c r="AE1186">
        <v>73</v>
      </c>
      <c r="AF1186" s="3" t="str">
        <f t="shared" si="265"/>
        <v>73</v>
      </c>
      <c r="AG1186" t="s">
        <v>38</v>
      </c>
      <c r="AH1186" s="3">
        <v>20.558</v>
      </c>
      <c r="AI1186" s="3">
        <f t="shared" si="266"/>
        <v>20.558</v>
      </c>
      <c r="AJ1186" t="s">
        <v>26</v>
      </c>
      <c r="AK1186" t="str">
        <f>PROPER(Table1[[#This Row],[CVD Risk Level]])</f>
        <v>Intermediary</v>
      </c>
    </row>
    <row r="1187" spans="1:37" x14ac:dyDescent="0.3">
      <c r="A1187" t="s">
        <v>20</v>
      </c>
      <c r="B1187">
        <v>33</v>
      </c>
      <c r="C1187" s="8">
        <f t="shared" si="255"/>
        <v>33</v>
      </c>
      <c r="D1187" s="5">
        <v>112.497</v>
      </c>
      <c r="E1187" s="8">
        <f t="shared" si="256"/>
        <v>112.497</v>
      </c>
      <c r="F1187">
        <v>1.657</v>
      </c>
      <c r="G1187" s="3">
        <f t="shared" si="257"/>
        <v>1.657</v>
      </c>
      <c r="H1187">
        <v>34.683</v>
      </c>
      <c r="I1187" s="5">
        <f t="shared" si="253"/>
        <v>34.683</v>
      </c>
      <c r="J1187" s="16" t="str">
        <f t="shared" si="258"/>
        <v>Obese</v>
      </c>
      <c r="K1187">
        <v>77.507999999999996</v>
      </c>
      <c r="L1187">
        <v>0.46800000000000003</v>
      </c>
      <c r="M1187" s="11">
        <f t="shared" si="254"/>
        <v>0.46800000000000003</v>
      </c>
      <c r="N1187" s="5">
        <f t="shared" si="259"/>
        <v>77.507999999999996</v>
      </c>
      <c r="O1187">
        <v>130</v>
      </c>
      <c r="P1187">
        <v>87</v>
      </c>
      <c r="Q1187" s="8">
        <f t="shared" si="260"/>
        <v>87</v>
      </c>
      <c r="R1187" s="8">
        <v>13</v>
      </c>
      <c r="S1187" s="8">
        <f t="shared" si="261"/>
        <v>13</v>
      </c>
      <c r="T1187" s="8">
        <f>(Table1[[#This Row],[Total Cholesterol (mg/dL)]]+Table1[[#This Row],[HDL (mg/dL)2]]+Table1[[#This Row],[Estimated LDL (mg/dL)2]])*5</f>
        <v>1150</v>
      </c>
      <c r="U1187" s="8">
        <f>IF(O1187="",Table1[[#This Row],[Estimated LDL (mg/dL)2]]+Table1[[#This Row],[HDL (mg/dL)2]]+(Table1[[#This Row],[Triglycerides]]/5),O1187)</f>
        <v>130</v>
      </c>
      <c r="V1187">
        <v>81</v>
      </c>
      <c r="W1187" s="8">
        <f t="shared" si="262"/>
        <v>81</v>
      </c>
      <c r="X1187" t="str">
        <f t="shared" si="263"/>
        <v>Normal</v>
      </c>
      <c r="Y1187" t="s">
        <v>23</v>
      </c>
      <c r="Z1187" t="s">
        <v>23</v>
      </c>
      <c r="AA1187" t="s">
        <v>37</v>
      </c>
      <c r="AB1187" s="3" t="s">
        <v>1016</v>
      </c>
      <c r="AC1187">
        <v>121</v>
      </c>
      <c r="AD1187" s="3" t="str">
        <f t="shared" si="264"/>
        <v>121</v>
      </c>
      <c r="AF1187" s="3" t="str">
        <f t="shared" si="265"/>
        <v>73</v>
      </c>
      <c r="AG1187" t="s">
        <v>25</v>
      </c>
      <c r="AH1187" s="3">
        <v>17.587</v>
      </c>
      <c r="AI1187" s="3">
        <f t="shared" si="266"/>
        <v>17.587</v>
      </c>
      <c r="AJ1187" t="s">
        <v>52</v>
      </c>
      <c r="AK1187" t="str">
        <f>PROPER(Table1[[#This Row],[CVD Risk Level]])</f>
        <v>Low</v>
      </c>
    </row>
    <row r="1188" spans="1:37" x14ac:dyDescent="0.3">
      <c r="A1188" t="s">
        <v>20</v>
      </c>
      <c r="B1188">
        <v>70</v>
      </c>
      <c r="C1188" s="8">
        <f t="shared" si="255"/>
        <v>70</v>
      </c>
      <c r="D1188" s="5">
        <v>99.48</v>
      </c>
      <c r="E1188" s="8">
        <f t="shared" si="256"/>
        <v>99.48</v>
      </c>
      <c r="F1188">
        <v>1.9750000000000001</v>
      </c>
      <c r="G1188" s="3">
        <f t="shared" si="257"/>
        <v>1.9750000000000001</v>
      </c>
      <c r="H1188">
        <v>38.491</v>
      </c>
      <c r="I1188" s="5">
        <f t="shared" si="253"/>
        <v>38.491</v>
      </c>
      <c r="J1188" s="16" t="str">
        <f t="shared" si="258"/>
        <v>Obese</v>
      </c>
      <c r="K1188">
        <v>71.545000000000002</v>
      </c>
      <c r="L1188">
        <v>0.36199999999999999</v>
      </c>
      <c r="M1188" s="11">
        <f t="shared" si="254"/>
        <v>0.36199999999999999</v>
      </c>
      <c r="N1188" s="5">
        <f t="shared" si="259"/>
        <v>71.545000000000002</v>
      </c>
      <c r="O1188">
        <v>161</v>
      </c>
      <c r="P1188">
        <v>76</v>
      </c>
      <c r="Q1188" s="8">
        <f t="shared" si="260"/>
        <v>76</v>
      </c>
      <c r="R1188" s="8">
        <v>55</v>
      </c>
      <c r="S1188" s="8">
        <f t="shared" si="261"/>
        <v>55</v>
      </c>
      <c r="T1188" s="8">
        <f>(Table1[[#This Row],[Total Cholesterol (mg/dL)]]+Table1[[#This Row],[HDL (mg/dL)2]]+Table1[[#This Row],[Estimated LDL (mg/dL)2]])*5</f>
        <v>1460</v>
      </c>
      <c r="U1188" s="8">
        <f>IF(O1188="",Table1[[#This Row],[Estimated LDL (mg/dL)2]]+Table1[[#This Row],[HDL (mg/dL)2]]+(Table1[[#This Row],[Triglycerides]]/5),O1188)</f>
        <v>161</v>
      </c>
      <c r="V1188">
        <v>130</v>
      </c>
      <c r="W1188" s="8">
        <f t="shared" si="262"/>
        <v>130</v>
      </c>
      <c r="X1188" t="str">
        <f t="shared" si="263"/>
        <v>Diabetes</v>
      </c>
      <c r="Y1188" t="s">
        <v>22</v>
      </c>
      <c r="Z1188" t="s">
        <v>22</v>
      </c>
      <c r="AA1188" t="s">
        <v>37</v>
      </c>
      <c r="AB1188" s="3" t="s">
        <v>1017</v>
      </c>
      <c r="AC1188">
        <v>129</v>
      </c>
      <c r="AD1188" s="3" t="str">
        <f t="shared" si="264"/>
        <v>129</v>
      </c>
      <c r="AE1188">
        <v>65</v>
      </c>
      <c r="AF1188" s="3" t="str">
        <f t="shared" si="265"/>
        <v>65</v>
      </c>
      <c r="AG1188" t="s">
        <v>25</v>
      </c>
      <c r="AH1188" s="3">
        <v>17.367999999999999</v>
      </c>
      <c r="AI1188" s="3">
        <f t="shared" si="266"/>
        <v>17.367999999999999</v>
      </c>
      <c r="AJ1188" t="s">
        <v>30</v>
      </c>
      <c r="AK1188" t="str">
        <f>PROPER(Table1[[#This Row],[CVD Risk Level]])</f>
        <v>High</v>
      </c>
    </row>
    <row r="1189" spans="1:37" x14ac:dyDescent="0.3">
      <c r="A1189" t="s">
        <v>20</v>
      </c>
      <c r="B1189">
        <v>75</v>
      </c>
      <c r="C1189" s="8">
        <f t="shared" si="255"/>
        <v>75</v>
      </c>
      <c r="D1189" s="5">
        <v>59.262999999999998</v>
      </c>
      <c r="E1189" s="8">
        <f t="shared" si="256"/>
        <v>59.262999999999998</v>
      </c>
      <c r="F1189">
        <v>1.583</v>
      </c>
      <c r="G1189" s="3">
        <f t="shared" si="257"/>
        <v>1.583</v>
      </c>
      <c r="H1189">
        <v>31.780999999999999</v>
      </c>
      <c r="I1189" s="5">
        <f t="shared" si="253"/>
        <v>31.780999999999999</v>
      </c>
      <c r="J1189" s="16" t="str">
        <f t="shared" si="258"/>
        <v>Obese</v>
      </c>
      <c r="K1189">
        <v>104.872</v>
      </c>
      <c r="L1189">
        <v>0.66300000000000003</v>
      </c>
      <c r="M1189" s="11">
        <f t="shared" si="254"/>
        <v>0.66300000000000003</v>
      </c>
      <c r="N1189" s="5">
        <f t="shared" si="259"/>
        <v>104.872</v>
      </c>
      <c r="O1189">
        <v>219</v>
      </c>
      <c r="P1189">
        <v>70</v>
      </c>
      <c r="Q1189" s="8">
        <f t="shared" si="260"/>
        <v>70</v>
      </c>
      <c r="R1189" s="8">
        <v>119</v>
      </c>
      <c r="S1189" s="8">
        <f t="shared" si="261"/>
        <v>119</v>
      </c>
      <c r="T1189" s="8">
        <f>(Table1[[#This Row],[Total Cholesterol (mg/dL)]]+Table1[[#This Row],[HDL (mg/dL)2]]+Table1[[#This Row],[Estimated LDL (mg/dL)2]])*5</f>
        <v>2040</v>
      </c>
      <c r="U1189" s="8">
        <f>IF(O1189="",Table1[[#This Row],[Estimated LDL (mg/dL)2]]+Table1[[#This Row],[HDL (mg/dL)2]]+(Table1[[#This Row],[Triglycerides]]/5),O1189)</f>
        <v>219</v>
      </c>
      <c r="V1189">
        <v>105</v>
      </c>
      <c r="W1189" s="8">
        <f t="shared" si="262"/>
        <v>105</v>
      </c>
      <c r="X1189" t="str">
        <f t="shared" si="263"/>
        <v>Prediabetes</v>
      </c>
      <c r="Y1189" t="s">
        <v>22</v>
      </c>
      <c r="Z1189" t="s">
        <v>23</v>
      </c>
      <c r="AA1189" t="s">
        <v>24</v>
      </c>
      <c r="AB1189" s="3" t="s">
        <v>1018</v>
      </c>
      <c r="AD1189" s="3" t="str">
        <f t="shared" si="264"/>
        <v>92</v>
      </c>
      <c r="AE1189">
        <v>86</v>
      </c>
      <c r="AF1189" s="3" t="str">
        <f t="shared" si="265"/>
        <v>86</v>
      </c>
      <c r="AG1189" t="s">
        <v>29</v>
      </c>
      <c r="AH1189" s="3">
        <v>17.335999999999999</v>
      </c>
      <c r="AI1189" s="3">
        <f t="shared" si="266"/>
        <v>17.335999999999999</v>
      </c>
      <c r="AJ1189" t="s">
        <v>30</v>
      </c>
      <c r="AK1189" t="str">
        <f>PROPER(Table1[[#This Row],[CVD Risk Level]])</f>
        <v>High</v>
      </c>
    </row>
    <row r="1190" spans="1:37" x14ac:dyDescent="0.3">
      <c r="A1190" t="s">
        <v>31</v>
      </c>
      <c r="B1190">
        <v>64</v>
      </c>
      <c r="C1190" s="8">
        <f t="shared" si="255"/>
        <v>64</v>
      </c>
      <c r="D1190" s="5">
        <v>73.349000000000004</v>
      </c>
      <c r="E1190" s="8">
        <f t="shared" si="256"/>
        <v>73.349000000000004</v>
      </c>
      <c r="F1190">
        <v>1.966</v>
      </c>
      <c r="G1190" s="3">
        <f t="shared" si="257"/>
        <v>1.966</v>
      </c>
      <c r="H1190">
        <v>31.843</v>
      </c>
      <c r="I1190" s="5">
        <f t="shared" si="253"/>
        <v>31.843</v>
      </c>
      <c r="J1190" s="16" t="str">
        <f t="shared" si="258"/>
        <v>Obese</v>
      </c>
      <c r="K1190">
        <v>104.876</v>
      </c>
      <c r="L1190">
        <v>0.53400000000000003</v>
      </c>
      <c r="M1190" s="11">
        <f t="shared" si="254"/>
        <v>0.53400000000000003</v>
      </c>
      <c r="N1190" s="5">
        <f t="shared" si="259"/>
        <v>104.876</v>
      </c>
      <c r="O1190">
        <v>299</v>
      </c>
      <c r="P1190">
        <v>86</v>
      </c>
      <c r="Q1190" s="8">
        <f t="shared" si="260"/>
        <v>86</v>
      </c>
      <c r="R1190" s="8">
        <v>183</v>
      </c>
      <c r="S1190" s="8">
        <f t="shared" si="261"/>
        <v>183</v>
      </c>
      <c r="T1190" s="8">
        <f>(Table1[[#This Row],[Total Cholesterol (mg/dL)]]+Table1[[#This Row],[HDL (mg/dL)2]]+Table1[[#This Row],[Estimated LDL (mg/dL)2]])*5</f>
        <v>2840</v>
      </c>
      <c r="U1190" s="8">
        <f>IF(O1190="",Table1[[#This Row],[Estimated LDL (mg/dL)2]]+Table1[[#This Row],[HDL (mg/dL)2]]+(Table1[[#This Row],[Triglycerides]]/5),O1190)</f>
        <v>299</v>
      </c>
      <c r="V1190">
        <v>139</v>
      </c>
      <c r="W1190" s="8">
        <f t="shared" si="262"/>
        <v>139</v>
      </c>
      <c r="X1190" t="str">
        <f t="shared" si="263"/>
        <v>Diabetes</v>
      </c>
      <c r="Y1190" t="s">
        <v>23</v>
      </c>
      <c r="Z1190" t="s">
        <v>23</v>
      </c>
      <c r="AA1190" t="s">
        <v>28</v>
      </c>
      <c r="AB1190" s="3" t="s">
        <v>1019</v>
      </c>
      <c r="AC1190">
        <v>116</v>
      </c>
      <c r="AD1190" s="3" t="str">
        <f t="shared" si="264"/>
        <v>116</v>
      </c>
      <c r="AE1190">
        <v>82</v>
      </c>
      <c r="AF1190" s="3" t="str">
        <f t="shared" si="265"/>
        <v>82</v>
      </c>
      <c r="AG1190" t="s">
        <v>29</v>
      </c>
      <c r="AH1190" s="3">
        <v>20.149000000000001</v>
      </c>
      <c r="AI1190" s="3">
        <f t="shared" si="266"/>
        <v>20.149000000000001</v>
      </c>
      <c r="AJ1190" t="s">
        <v>30</v>
      </c>
      <c r="AK1190" t="str">
        <f>PROPER(Table1[[#This Row],[CVD Risk Level]])</f>
        <v>High</v>
      </c>
    </row>
    <row r="1191" spans="1:37" x14ac:dyDescent="0.3">
      <c r="A1191" t="s">
        <v>31</v>
      </c>
      <c r="B1191">
        <v>36</v>
      </c>
      <c r="C1191" s="8">
        <f t="shared" si="255"/>
        <v>36</v>
      </c>
      <c r="D1191" s="5">
        <v>89.56</v>
      </c>
      <c r="E1191" s="8">
        <f t="shared" si="256"/>
        <v>89.56</v>
      </c>
      <c r="F1191">
        <v>1.5960000000000001</v>
      </c>
      <c r="G1191" s="3">
        <f t="shared" si="257"/>
        <v>1.5960000000000001</v>
      </c>
      <c r="H1191">
        <v>31.536999999999999</v>
      </c>
      <c r="I1191" s="5">
        <f t="shared" si="253"/>
        <v>31.536999999999999</v>
      </c>
      <c r="J1191" s="16" t="str">
        <f t="shared" si="258"/>
        <v>Obese</v>
      </c>
      <c r="K1191">
        <v>84.117999999999995</v>
      </c>
      <c r="L1191">
        <v>0.52700000000000002</v>
      </c>
      <c r="M1191" s="11">
        <f t="shared" si="254"/>
        <v>0.52700000000000002</v>
      </c>
      <c r="N1191" s="5">
        <f t="shared" si="259"/>
        <v>84.117999999999995</v>
      </c>
      <c r="O1191">
        <v>289</v>
      </c>
      <c r="P1191">
        <v>72</v>
      </c>
      <c r="Q1191" s="8">
        <f t="shared" si="260"/>
        <v>72</v>
      </c>
      <c r="R1191" s="8">
        <v>187</v>
      </c>
      <c r="S1191" s="8">
        <f>IF(R1191&lt;=0,MEDIAN($R$2:$R$1530),R1191)</f>
        <v>187</v>
      </c>
      <c r="T1191" s="8">
        <f>(Table1[[#This Row],[Total Cholesterol (mg/dL)]]+Table1[[#This Row],[HDL (mg/dL)2]]+Table1[[#This Row],[Estimated LDL (mg/dL)2]])*5</f>
        <v>2740</v>
      </c>
      <c r="U1191" s="8">
        <f>IF(O1191="",Table1[[#This Row],[Estimated LDL (mg/dL)2]]+Table1[[#This Row],[HDL (mg/dL)2]]+(Table1[[#This Row],[Triglycerides]]/5),O1191)</f>
        <v>289</v>
      </c>
      <c r="V1191">
        <v>70</v>
      </c>
      <c r="W1191" s="8">
        <f t="shared" si="262"/>
        <v>70</v>
      </c>
      <c r="X1191" t="str">
        <f t="shared" si="263"/>
        <v>Normal</v>
      </c>
      <c r="Y1191" t="s">
        <v>22</v>
      </c>
      <c r="Z1191" t="s">
        <v>22</v>
      </c>
      <c r="AA1191" t="s">
        <v>37</v>
      </c>
      <c r="AB1191" s="3" t="s">
        <v>1020</v>
      </c>
      <c r="AC1191">
        <v>91</v>
      </c>
      <c r="AD1191" s="3" t="str">
        <f t="shared" si="264"/>
        <v>91</v>
      </c>
      <c r="AE1191">
        <v>92</v>
      </c>
      <c r="AF1191" s="3" t="str">
        <f t="shared" si="265"/>
        <v>92</v>
      </c>
      <c r="AG1191" t="s">
        <v>38</v>
      </c>
      <c r="AH1191" s="3">
        <v>16.637</v>
      </c>
      <c r="AI1191" s="3">
        <f t="shared" si="266"/>
        <v>16.637</v>
      </c>
      <c r="AJ1191" t="s">
        <v>52</v>
      </c>
      <c r="AK1191" t="str">
        <f>PROPER(Table1[[#This Row],[CVD Risk Level]])</f>
        <v>Low</v>
      </c>
    </row>
    <row r="1192" spans="1:37" x14ac:dyDescent="0.3">
      <c r="A1192" t="s">
        <v>31</v>
      </c>
      <c r="B1192">
        <v>73</v>
      </c>
      <c r="C1192" s="8">
        <f t="shared" si="255"/>
        <v>73</v>
      </c>
      <c r="D1192" s="5">
        <v>118.88800000000001</v>
      </c>
      <c r="E1192" s="8">
        <f t="shared" si="256"/>
        <v>118.88800000000001</v>
      </c>
      <c r="G1192" s="3">
        <f t="shared" si="257"/>
        <v>1.8396538641986211</v>
      </c>
      <c r="H1192">
        <v>35.128999999999998</v>
      </c>
      <c r="I1192" s="5">
        <f t="shared" si="253"/>
        <v>35.128999999999998</v>
      </c>
      <c r="J1192" s="16" t="str">
        <f t="shared" si="258"/>
        <v>Obese</v>
      </c>
      <c r="K1192">
        <v>97.39</v>
      </c>
      <c r="L1192">
        <v>0.54300000000000004</v>
      </c>
      <c r="M1192" s="11">
        <f t="shared" si="254"/>
        <v>0.54300000000000004</v>
      </c>
      <c r="N1192" s="5">
        <f t="shared" si="259"/>
        <v>97.39</v>
      </c>
      <c r="O1192">
        <v>147</v>
      </c>
      <c r="P1192">
        <v>43</v>
      </c>
      <c r="Q1192" s="8">
        <f t="shared" si="260"/>
        <v>43</v>
      </c>
      <c r="R1192" s="8">
        <v>74</v>
      </c>
      <c r="S1192" s="8">
        <f t="shared" si="261"/>
        <v>74</v>
      </c>
      <c r="T1192" s="8">
        <f>(Table1[[#This Row],[Total Cholesterol (mg/dL)]]+Table1[[#This Row],[HDL (mg/dL)2]]+Table1[[#This Row],[Estimated LDL (mg/dL)2]])*5</f>
        <v>1320</v>
      </c>
      <c r="U1192" s="8">
        <f>IF(O1192="",Table1[[#This Row],[Estimated LDL (mg/dL)2]]+Table1[[#This Row],[HDL (mg/dL)2]]+(Table1[[#This Row],[Triglycerides]]/5),O1192)</f>
        <v>147</v>
      </c>
      <c r="V1192">
        <v>135</v>
      </c>
      <c r="W1192" s="8">
        <f t="shared" si="262"/>
        <v>135</v>
      </c>
      <c r="X1192" t="str">
        <f t="shared" si="263"/>
        <v>Diabetes</v>
      </c>
      <c r="Y1192" t="s">
        <v>23</v>
      </c>
      <c r="Z1192" t="s">
        <v>23</v>
      </c>
      <c r="AA1192" t="s">
        <v>37</v>
      </c>
      <c r="AB1192" s="3" t="s">
        <v>1021</v>
      </c>
      <c r="AC1192">
        <v>101</v>
      </c>
      <c r="AD1192" s="3" t="str">
        <f t="shared" si="264"/>
        <v>101</v>
      </c>
      <c r="AE1192">
        <v>95</v>
      </c>
      <c r="AF1192" s="3" t="str">
        <f t="shared" si="265"/>
        <v>95</v>
      </c>
      <c r="AG1192" t="s">
        <v>38</v>
      </c>
      <c r="AH1192" s="3">
        <v>17.015999999999998</v>
      </c>
      <c r="AI1192" s="3">
        <f t="shared" si="266"/>
        <v>17.015999999999998</v>
      </c>
      <c r="AJ1192" t="s">
        <v>52</v>
      </c>
      <c r="AK1192" t="str">
        <f>PROPER(Table1[[#This Row],[CVD Risk Level]])</f>
        <v>Low</v>
      </c>
    </row>
    <row r="1193" spans="1:37" x14ac:dyDescent="0.3">
      <c r="A1193" t="s">
        <v>20</v>
      </c>
      <c r="B1193">
        <v>59</v>
      </c>
      <c r="C1193" s="8">
        <f t="shared" si="255"/>
        <v>59</v>
      </c>
      <c r="D1193" s="5">
        <v>117.124</v>
      </c>
      <c r="E1193" s="8">
        <f t="shared" si="256"/>
        <v>117.124</v>
      </c>
      <c r="F1193">
        <v>1.8029999999999999</v>
      </c>
      <c r="G1193" s="3">
        <f t="shared" si="257"/>
        <v>1.8029999999999999</v>
      </c>
      <c r="H1193">
        <v>31.814</v>
      </c>
      <c r="I1193" s="5">
        <f t="shared" si="253"/>
        <v>31.814</v>
      </c>
      <c r="J1193" s="16" t="str">
        <f t="shared" si="258"/>
        <v>Obese</v>
      </c>
      <c r="K1193">
        <v>116.892</v>
      </c>
      <c r="L1193">
        <v>0.64800000000000002</v>
      </c>
      <c r="M1193" s="11">
        <f t="shared" si="254"/>
        <v>0.64800000000000002</v>
      </c>
      <c r="N1193" s="5">
        <f t="shared" si="259"/>
        <v>116.892</v>
      </c>
      <c r="O1193">
        <v>207</v>
      </c>
      <c r="P1193">
        <v>64</v>
      </c>
      <c r="Q1193" s="8">
        <f t="shared" si="260"/>
        <v>64</v>
      </c>
      <c r="R1193" s="8">
        <v>113</v>
      </c>
      <c r="S1193" s="8">
        <f t="shared" si="261"/>
        <v>113</v>
      </c>
      <c r="T1193" s="8">
        <f>(Table1[[#This Row],[Total Cholesterol (mg/dL)]]+Table1[[#This Row],[HDL (mg/dL)2]]+Table1[[#This Row],[Estimated LDL (mg/dL)2]])*5</f>
        <v>1920</v>
      </c>
      <c r="U1193" s="8">
        <f>IF(O1193="",Table1[[#This Row],[Estimated LDL (mg/dL)2]]+Table1[[#This Row],[HDL (mg/dL)2]]+(Table1[[#This Row],[Triglycerides]]/5),O1193)</f>
        <v>207</v>
      </c>
      <c r="V1193">
        <v>127</v>
      </c>
      <c r="W1193" s="8">
        <f t="shared" si="262"/>
        <v>127</v>
      </c>
      <c r="X1193" t="str">
        <f t="shared" si="263"/>
        <v>Diabetes</v>
      </c>
      <c r="Y1193" t="s">
        <v>23</v>
      </c>
      <c r="Z1193" t="s">
        <v>23</v>
      </c>
      <c r="AA1193" t="s">
        <v>28</v>
      </c>
      <c r="AB1193" s="3" t="s">
        <v>1022</v>
      </c>
      <c r="AC1193">
        <v>161</v>
      </c>
      <c r="AD1193" s="3" t="str">
        <f t="shared" si="264"/>
        <v>161</v>
      </c>
      <c r="AE1193">
        <v>99</v>
      </c>
      <c r="AF1193" s="3" t="str">
        <f t="shared" si="265"/>
        <v>99</v>
      </c>
      <c r="AG1193" t="s">
        <v>38</v>
      </c>
      <c r="AH1193" s="3">
        <v>20.553000000000001</v>
      </c>
      <c r="AI1193" s="3">
        <f t="shared" si="266"/>
        <v>20.553000000000001</v>
      </c>
      <c r="AJ1193" t="s">
        <v>52</v>
      </c>
      <c r="AK1193" t="str">
        <f>PROPER(Table1[[#This Row],[CVD Risk Level]])</f>
        <v>Low</v>
      </c>
    </row>
    <row r="1194" spans="1:37" x14ac:dyDescent="0.3">
      <c r="A1194" t="s">
        <v>31</v>
      </c>
      <c r="B1194">
        <v>75</v>
      </c>
      <c r="C1194" s="8">
        <f t="shared" si="255"/>
        <v>75</v>
      </c>
      <c r="D1194" s="5">
        <v>54.893000000000001</v>
      </c>
      <c r="E1194" s="8">
        <f t="shared" si="256"/>
        <v>54.893000000000001</v>
      </c>
      <c r="F1194">
        <v>1.9139999999999999</v>
      </c>
      <c r="G1194" s="3">
        <f t="shared" si="257"/>
        <v>1.9139999999999999</v>
      </c>
      <c r="H1194">
        <v>30.824999999999999</v>
      </c>
      <c r="I1194" s="5">
        <f t="shared" si="253"/>
        <v>30.824999999999999</v>
      </c>
      <c r="J1194" s="16" t="str">
        <f t="shared" si="258"/>
        <v>Obese</v>
      </c>
      <c r="K1194">
        <v>78.863</v>
      </c>
      <c r="M1194" s="11">
        <f t="shared" si="254"/>
        <v>0.41203239289446186</v>
      </c>
      <c r="N1194" s="5">
        <f t="shared" si="259"/>
        <v>78.863</v>
      </c>
      <c r="O1194">
        <v>211</v>
      </c>
      <c r="P1194">
        <v>64</v>
      </c>
      <c r="Q1194" s="8">
        <f t="shared" si="260"/>
        <v>64</v>
      </c>
      <c r="R1194" s="8">
        <v>117</v>
      </c>
      <c r="S1194" s="8">
        <f t="shared" si="261"/>
        <v>117</v>
      </c>
      <c r="T1194" s="8">
        <f>(Table1[[#This Row],[Total Cholesterol (mg/dL)]]+Table1[[#This Row],[HDL (mg/dL)2]]+Table1[[#This Row],[Estimated LDL (mg/dL)2]])*5</f>
        <v>1960</v>
      </c>
      <c r="U1194" s="8">
        <f>IF(O1194="",Table1[[#This Row],[Estimated LDL (mg/dL)2]]+Table1[[#This Row],[HDL (mg/dL)2]]+(Table1[[#This Row],[Triglycerides]]/5),O1194)</f>
        <v>211</v>
      </c>
      <c r="W1194" s="8">
        <f t="shared" si="262"/>
        <v>117.48563611491107</v>
      </c>
      <c r="X1194" t="str">
        <f t="shared" si="263"/>
        <v>Prediabetes</v>
      </c>
      <c r="Y1194" t="s">
        <v>22</v>
      </c>
      <c r="Z1194" t="s">
        <v>22</v>
      </c>
      <c r="AA1194" t="s">
        <v>28</v>
      </c>
      <c r="AB1194" s="3" t="s">
        <v>129</v>
      </c>
      <c r="AC1194">
        <v>124</v>
      </c>
      <c r="AD1194" s="3" t="str">
        <f t="shared" si="264"/>
        <v>124</v>
      </c>
      <c r="AE1194">
        <v>72</v>
      </c>
      <c r="AF1194" s="3" t="str">
        <f t="shared" si="265"/>
        <v>72</v>
      </c>
      <c r="AG1194" t="s">
        <v>25</v>
      </c>
      <c r="AH1194" s="3">
        <v>16.585000000000001</v>
      </c>
      <c r="AI1194" s="3">
        <f t="shared" si="266"/>
        <v>16.585000000000001</v>
      </c>
      <c r="AJ1194" t="s">
        <v>30</v>
      </c>
      <c r="AK1194" t="str">
        <f>PROPER(Table1[[#This Row],[CVD Risk Level]])</f>
        <v>High</v>
      </c>
    </row>
    <row r="1195" spans="1:37" x14ac:dyDescent="0.3">
      <c r="A1195" t="s">
        <v>31</v>
      </c>
      <c r="B1195">
        <v>39</v>
      </c>
      <c r="C1195" s="8">
        <f t="shared" si="255"/>
        <v>39</v>
      </c>
      <c r="D1195" s="5">
        <v>111.4</v>
      </c>
      <c r="E1195" s="8">
        <f t="shared" si="256"/>
        <v>111.4</v>
      </c>
      <c r="F1195">
        <v>1.8620000000000001</v>
      </c>
      <c r="G1195" s="3">
        <f t="shared" si="257"/>
        <v>1.8620000000000001</v>
      </c>
      <c r="H1195">
        <v>24.745000000000001</v>
      </c>
      <c r="I1195" s="5">
        <f t="shared" si="253"/>
        <v>24.745000000000001</v>
      </c>
      <c r="J1195" s="16" t="str">
        <f t="shared" si="258"/>
        <v>Normal</v>
      </c>
      <c r="K1195">
        <v>93.126999999999995</v>
      </c>
      <c r="L1195">
        <v>0.5</v>
      </c>
      <c r="M1195" s="11">
        <f t="shared" si="254"/>
        <v>0.5</v>
      </c>
      <c r="N1195" s="5">
        <f t="shared" si="259"/>
        <v>93.126999999999995</v>
      </c>
      <c r="O1195">
        <v>181</v>
      </c>
      <c r="P1195">
        <v>61</v>
      </c>
      <c r="Q1195" s="8">
        <f t="shared" si="260"/>
        <v>61</v>
      </c>
      <c r="R1195" s="8">
        <v>90</v>
      </c>
      <c r="S1195" s="8">
        <f t="shared" si="261"/>
        <v>90</v>
      </c>
      <c r="T1195" s="8">
        <f>(Table1[[#This Row],[Total Cholesterol (mg/dL)]]+Table1[[#This Row],[HDL (mg/dL)2]]+Table1[[#This Row],[Estimated LDL (mg/dL)2]])*5</f>
        <v>1660</v>
      </c>
      <c r="U1195" s="8">
        <f>IF(O1195="",Table1[[#This Row],[Estimated LDL (mg/dL)2]]+Table1[[#This Row],[HDL (mg/dL)2]]+(Table1[[#This Row],[Triglycerides]]/5),O1195)</f>
        <v>181</v>
      </c>
      <c r="V1195">
        <v>123</v>
      </c>
      <c r="W1195" s="8">
        <f t="shared" si="262"/>
        <v>123</v>
      </c>
      <c r="X1195" t="str">
        <f t="shared" si="263"/>
        <v>Prediabetes</v>
      </c>
      <c r="Y1195" t="s">
        <v>22</v>
      </c>
      <c r="Z1195" t="s">
        <v>23</v>
      </c>
      <c r="AA1195" t="s">
        <v>28</v>
      </c>
      <c r="AB1195" s="3" t="s">
        <v>1023</v>
      </c>
      <c r="AC1195">
        <v>157</v>
      </c>
      <c r="AD1195" s="3" t="str">
        <f t="shared" si="264"/>
        <v>157</v>
      </c>
      <c r="AE1195">
        <v>109</v>
      </c>
      <c r="AF1195" s="3" t="str">
        <f t="shared" si="265"/>
        <v>109</v>
      </c>
      <c r="AG1195" t="s">
        <v>38</v>
      </c>
      <c r="AH1195" s="3">
        <v>18.419</v>
      </c>
      <c r="AI1195" s="3">
        <f t="shared" si="266"/>
        <v>18.419</v>
      </c>
      <c r="AJ1195" t="s">
        <v>26</v>
      </c>
      <c r="AK1195" t="str">
        <f>PROPER(Table1[[#This Row],[CVD Risk Level]])</f>
        <v>Intermediary</v>
      </c>
    </row>
    <row r="1196" spans="1:37" x14ac:dyDescent="0.3">
      <c r="A1196" t="s">
        <v>31</v>
      </c>
      <c r="B1196">
        <v>55</v>
      </c>
      <c r="C1196" s="8">
        <f t="shared" si="255"/>
        <v>55</v>
      </c>
      <c r="D1196" s="5">
        <v>63.582999999999998</v>
      </c>
      <c r="E1196" s="8">
        <f t="shared" si="256"/>
        <v>63.582999999999998</v>
      </c>
      <c r="F1196">
        <v>1.9810000000000001</v>
      </c>
      <c r="G1196" s="3">
        <f t="shared" si="257"/>
        <v>1.9810000000000001</v>
      </c>
      <c r="H1196">
        <v>30.974</v>
      </c>
      <c r="I1196" s="5">
        <f t="shared" si="253"/>
        <v>30.974</v>
      </c>
      <c r="J1196" s="16" t="str">
        <f t="shared" si="258"/>
        <v>Obese</v>
      </c>
      <c r="K1196">
        <v>82.141999999999996</v>
      </c>
      <c r="L1196">
        <v>0.41499999999999998</v>
      </c>
      <c r="M1196" s="11">
        <f t="shared" si="254"/>
        <v>0.41499999999999998</v>
      </c>
      <c r="N1196" s="5">
        <f t="shared" si="259"/>
        <v>82.141999999999996</v>
      </c>
      <c r="O1196">
        <v>194</v>
      </c>
      <c r="P1196">
        <v>75</v>
      </c>
      <c r="Q1196" s="8">
        <f t="shared" si="260"/>
        <v>75</v>
      </c>
      <c r="R1196" s="8">
        <v>89</v>
      </c>
      <c r="S1196" s="8">
        <f t="shared" si="261"/>
        <v>89</v>
      </c>
      <c r="T1196" s="8">
        <f>(Table1[[#This Row],[Total Cholesterol (mg/dL)]]+Table1[[#This Row],[HDL (mg/dL)2]]+Table1[[#This Row],[Estimated LDL (mg/dL)2]])*5</f>
        <v>1790</v>
      </c>
      <c r="U1196" s="8">
        <f>IF(O1196="",Table1[[#This Row],[Estimated LDL (mg/dL)2]]+Table1[[#This Row],[HDL (mg/dL)2]]+(Table1[[#This Row],[Triglycerides]]/5),O1196)</f>
        <v>194</v>
      </c>
      <c r="V1196">
        <v>150</v>
      </c>
      <c r="W1196" s="8">
        <f t="shared" si="262"/>
        <v>150</v>
      </c>
      <c r="X1196" t="str">
        <f t="shared" si="263"/>
        <v>Diabetes</v>
      </c>
      <c r="Y1196" t="s">
        <v>23</v>
      </c>
      <c r="Z1196" t="s">
        <v>22</v>
      </c>
      <c r="AA1196" t="s">
        <v>37</v>
      </c>
      <c r="AB1196" s="3" t="s">
        <v>1024</v>
      </c>
      <c r="AC1196">
        <v>172</v>
      </c>
      <c r="AD1196" s="3" t="str">
        <f t="shared" si="264"/>
        <v>172</v>
      </c>
      <c r="AE1196">
        <v>79</v>
      </c>
      <c r="AF1196" s="3" t="str">
        <f t="shared" si="265"/>
        <v>79</v>
      </c>
      <c r="AG1196" t="s">
        <v>38</v>
      </c>
      <c r="AH1196" s="3">
        <v>18.675000000000001</v>
      </c>
      <c r="AI1196" s="3">
        <f t="shared" si="266"/>
        <v>18.675000000000001</v>
      </c>
      <c r="AJ1196" t="s">
        <v>52</v>
      </c>
      <c r="AK1196" t="str">
        <f>PROPER(Table1[[#This Row],[CVD Risk Level]])</f>
        <v>Low</v>
      </c>
    </row>
    <row r="1197" spans="1:37" x14ac:dyDescent="0.3">
      <c r="A1197" t="s">
        <v>20</v>
      </c>
      <c r="B1197">
        <v>30</v>
      </c>
      <c r="C1197" s="8">
        <f t="shared" si="255"/>
        <v>30</v>
      </c>
      <c r="D1197" s="5">
        <v>71.600999999999999</v>
      </c>
      <c r="E1197" s="8">
        <f t="shared" si="256"/>
        <v>71.600999999999999</v>
      </c>
      <c r="F1197">
        <v>1.782</v>
      </c>
      <c r="G1197" s="3">
        <f t="shared" si="257"/>
        <v>1.782</v>
      </c>
      <c r="H1197">
        <v>19.030999999999999</v>
      </c>
      <c r="I1197" s="5">
        <f t="shared" si="253"/>
        <v>19.030999999999999</v>
      </c>
      <c r="J1197" s="16" t="str">
        <f t="shared" si="258"/>
        <v>Normal</v>
      </c>
      <c r="K1197">
        <v>72.418999999999997</v>
      </c>
      <c r="L1197">
        <v>0.40600000000000003</v>
      </c>
      <c r="M1197" s="11">
        <f t="shared" si="254"/>
        <v>0.40600000000000003</v>
      </c>
      <c r="N1197" s="5">
        <f t="shared" si="259"/>
        <v>72.418999999999997</v>
      </c>
      <c r="O1197">
        <v>264</v>
      </c>
      <c r="P1197">
        <v>44</v>
      </c>
      <c r="Q1197" s="8">
        <f t="shared" si="260"/>
        <v>44</v>
      </c>
      <c r="R1197" s="8">
        <v>190</v>
      </c>
      <c r="S1197" s="8">
        <f t="shared" si="261"/>
        <v>190</v>
      </c>
      <c r="T1197" s="8">
        <f>(Table1[[#This Row],[Total Cholesterol (mg/dL)]]+Table1[[#This Row],[HDL (mg/dL)2]]+Table1[[#This Row],[Estimated LDL (mg/dL)2]])*5</f>
        <v>2490</v>
      </c>
      <c r="U1197" s="8">
        <f>IF(O1197="",Table1[[#This Row],[Estimated LDL (mg/dL)2]]+Table1[[#This Row],[HDL (mg/dL)2]]+(Table1[[#This Row],[Triglycerides]]/5),O1197)</f>
        <v>264</v>
      </c>
      <c r="V1197">
        <v>189</v>
      </c>
      <c r="W1197" s="8">
        <f t="shared" si="262"/>
        <v>189</v>
      </c>
      <c r="X1197" t="str">
        <f t="shared" si="263"/>
        <v>Diabetes</v>
      </c>
      <c r="Y1197" t="s">
        <v>23</v>
      </c>
      <c r="Z1197" t="s">
        <v>22</v>
      </c>
      <c r="AA1197" t="s">
        <v>24</v>
      </c>
      <c r="AB1197" s="3" t="s">
        <v>1025</v>
      </c>
      <c r="AC1197">
        <v>126</v>
      </c>
      <c r="AD1197" s="3" t="str">
        <f t="shared" si="264"/>
        <v>126</v>
      </c>
      <c r="AE1197">
        <v>106</v>
      </c>
      <c r="AF1197" s="3" t="str">
        <f t="shared" si="265"/>
        <v>106</v>
      </c>
      <c r="AG1197" t="s">
        <v>38</v>
      </c>
      <c r="AH1197" s="3">
        <v>15.385999999999999</v>
      </c>
      <c r="AI1197" s="3">
        <f t="shared" si="266"/>
        <v>15.385999999999999</v>
      </c>
      <c r="AJ1197" t="s">
        <v>52</v>
      </c>
      <c r="AK1197" t="str">
        <f>PROPER(Table1[[#This Row],[CVD Risk Level]])</f>
        <v>Low</v>
      </c>
    </row>
    <row r="1198" spans="1:37" x14ac:dyDescent="0.3">
      <c r="A1198" t="s">
        <v>20</v>
      </c>
      <c r="B1198">
        <v>37</v>
      </c>
      <c r="C1198" s="8">
        <f t="shared" si="255"/>
        <v>37</v>
      </c>
      <c r="D1198" s="5">
        <v>113.34099999999999</v>
      </c>
      <c r="E1198" s="8">
        <f t="shared" si="256"/>
        <v>113.34099999999999</v>
      </c>
      <c r="F1198">
        <v>1.7869999999999999</v>
      </c>
      <c r="G1198" s="3">
        <f t="shared" si="257"/>
        <v>1.7869999999999999</v>
      </c>
      <c r="H1198">
        <v>29.344999999999999</v>
      </c>
      <c r="I1198" s="5">
        <f t="shared" si="253"/>
        <v>29.344999999999999</v>
      </c>
      <c r="J1198" s="16" t="str">
        <f t="shared" si="258"/>
        <v>Overweight</v>
      </c>
      <c r="K1198">
        <v>80.006</v>
      </c>
      <c r="L1198">
        <v>0.44800000000000001</v>
      </c>
      <c r="M1198" s="11">
        <f t="shared" si="254"/>
        <v>0.44800000000000001</v>
      </c>
      <c r="N1198" s="5">
        <f t="shared" si="259"/>
        <v>80.006</v>
      </c>
      <c r="O1198">
        <v>266</v>
      </c>
      <c r="P1198">
        <v>85</v>
      </c>
      <c r="Q1198" s="8">
        <f t="shared" si="260"/>
        <v>85</v>
      </c>
      <c r="R1198" s="8">
        <v>151</v>
      </c>
      <c r="S1198" s="8">
        <f t="shared" si="261"/>
        <v>151</v>
      </c>
      <c r="T1198" s="8">
        <f>(Table1[[#This Row],[Total Cholesterol (mg/dL)]]+Table1[[#This Row],[HDL (mg/dL)2]]+Table1[[#This Row],[Estimated LDL (mg/dL)2]])*5</f>
        <v>2510</v>
      </c>
      <c r="U1198" s="8">
        <f>IF(O1198="",Table1[[#This Row],[Estimated LDL (mg/dL)2]]+Table1[[#This Row],[HDL (mg/dL)2]]+(Table1[[#This Row],[Triglycerides]]/5),O1198)</f>
        <v>266</v>
      </c>
      <c r="V1198">
        <v>185</v>
      </c>
      <c r="W1198" s="8">
        <f t="shared" si="262"/>
        <v>185</v>
      </c>
      <c r="X1198" t="str">
        <f t="shared" si="263"/>
        <v>Diabetes</v>
      </c>
      <c r="Y1198" t="s">
        <v>23</v>
      </c>
      <c r="Z1198" t="s">
        <v>23</v>
      </c>
      <c r="AA1198" t="s">
        <v>28</v>
      </c>
      <c r="AB1198" s="3" t="s">
        <v>317</v>
      </c>
      <c r="AC1198">
        <v>129</v>
      </c>
      <c r="AD1198" s="3" t="str">
        <f t="shared" si="264"/>
        <v>129</v>
      </c>
      <c r="AE1198">
        <v>63</v>
      </c>
      <c r="AF1198" s="3" t="str">
        <f t="shared" si="265"/>
        <v>63</v>
      </c>
      <c r="AG1198" t="s">
        <v>25</v>
      </c>
      <c r="AH1198" s="3">
        <v>19.638999999999999</v>
      </c>
      <c r="AI1198" s="3">
        <f t="shared" si="266"/>
        <v>19.638999999999999</v>
      </c>
      <c r="AJ1198" t="s">
        <v>30</v>
      </c>
      <c r="AK1198" t="str">
        <f>PROPER(Table1[[#This Row],[CVD Risk Level]])</f>
        <v>High</v>
      </c>
    </row>
    <row r="1199" spans="1:37" x14ac:dyDescent="0.3">
      <c r="A1199" t="s">
        <v>20</v>
      </c>
      <c r="B1199">
        <v>68</v>
      </c>
      <c r="C1199" s="8">
        <f t="shared" si="255"/>
        <v>68</v>
      </c>
      <c r="D1199" s="5">
        <v>78.561000000000007</v>
      </c>
      <c r="E1199" s="8">
        <f t="shared" si="256"/>
        <v>78.561000000000007</v>
      </c>
      <c r="G1199" s="3">
        <f t="shared" si="257"/>
        <v>1.5555683894417089</v>
      </c>
      <c r="H1199">
        <v>32.466000000000001</v>
      </c>
      <c r="I1199" s="5">
        <f t="shared" si="253"/>
        <v>32.466000000000001</v>
      </c>
      <c r="J1199" s="16" t="str">
        <f t="shared" si="258"/>
        <v>Obese</v>
      </c>
      <c r="K1199">
        <v>77.183999999999997</v>
      </c>
      <c r="L1199">
        <v>0.45200000000000001</v>
      </c>
      <c r="M1199" s="11">
        <f t="shared" si="254"/>
        <v>0.45200000000000001</v>
      </c>
      <c r="N1199" s="5">
        <f t="shared" si="259"/>
        <v>77.183999999999997</v>
      </c>
      <c r="O1199">
        <v>178</v>
      </c>
      <c r="P1199">
        <v>73</v>
      </c>
      <c r="Q1199" s="8">
        <f t="shared" si="260"/>
        <v>73</v>
      </c>
      <c r="R1199" s="8">
        <v>75</v>
      </c>
      <c r="S1199" s="8">
        <f t="shared" si="261"/>
        <v>75</v>
      </c>
      <c r="T1199" s="8">
        <f>(Table1[[#This Row],[Total Cholesterol (mg/dL)]]+Table1[[#This Row],[HDL (mg/dL)2]]+Table1[[#This Row],[Estimated LDL (mg/dL)2]])*5</f>
        <v>1630</v>
      </c>
      <c r="U1199" s="8">
        <f>IF(O1199="",Table1[[#This Row],[Estimated LDL (mg/dL)2]]+Table1[[#This Row],[HDL (mg/dL)2]]+(Table1[[#This Row],[Triglycerides]]/5),O1199)</f>
        <v>178</v>
      </c>
      <c r="V1199">
        <v>143</v>
      </c>
      <c r="W1199" s="8">
        <f t="shared" si="262"/>
        <v>143</v>
      </c>
      <c r="X1199" t="str">
        <f t="shared" si="263"/>
        <v>Diabetes</v>
      </c>
      <c r="Y1199" t="s">
        <v>23</v>
      </c>
      <c r="Z1199" t="s">
        <v>23</v>
      </c>
      <c r="AA1199" t="s">
        <v>28</v>
      </c>
      <c r="AB1199" s="3" t="s">
        <v>434</v>
      </c>
      <c r="AC1199">
        <v>141</v>
      </c>
      <c r="AD1199" s="3" t="str">
        <f t="shared" si="264"/>
        <v>141</v>
      </c>
      <c r="AE1199">
        <v>76</v>
      </c>
      <c r="AF1199" s="3" t="str">
        <f t="shared" si="265"/>
        <v>76</v>
      </c>
      <c r="AG1199" t="s">
        <v>38</v>
      </c>
      <c r="AH1199" s="3">
        <v>19.103000000000002</v>
      </c>
      <c r="AI1199" s="3">
        <f t="shared" si="266"/>
        <v>19.103000000000002</v>
      </c>
      <c r="AJ1199" t="s">
        <v>30</v>
      </c>
      <c r="AK1199" t="str">
        <f>PROPER(Table1[[#This Row],[CVD Risk Level]])</f>
        <v>High</v>
      </c>
    </row>
    <row r="1200" spans="1:37" x14ac:dyDescent="0.3">
      <c r="A1200" t="s">
        <v>31</v>
      </c>
      <c r="B1200">
        <v>39</v>
      </c>
      <c r="C1200" s="8">
        <f t="shared" si="255"/>
        <v>39</v>
      </c>
      <c r="D1200" s="5">
        <v>54.08</v>
      </c>
      <c r="E1200" s="8">
        <f t="shared" si="256"/>
        <v>54.08</v>
      </c>
      <c r="F1200">
        <v>1.56</v>
      </c>
      <c r="G1200" s="3">
        <f t="shared" si="257"/>
        <v>1.56</v>
      </c>
      <c r="H1200">
        <v>19.771999999999998</v>
      </c>
      <c r="I1200" s="5">
        <f t="shared" si="253"/>
        <v>19.771999999999998</v>
      </c>
      <c r="J1200" s="16" t="str">
        <f t="shared" si="258"/>
        <v>Normal</v>
      </c>
      <c r="K1200">
        <v>107.995</v>
      </c>
      <c r="L1200">
        <v>0.69199999999999995</v>
      </c>
      <c r="M1200" s="11">
        <f t="shared" si="254"/>
        <v>0.69199999999999995</v>
      </c>
      <c r="N1200" s="5">
        <f t="shared" si="259"/>
        <v>107.995</v>
      </c>
      <c r="O1200">
        <v>287</v>
      </c>
      <c r="P1200">
        <v>56</v>
      </c>
      <c r="Q1200" s="8">
        <f t="shared" si="260"/>
        <v>56</v>
      </c>
      <c r="R1200" s="8">
        <v>201</v>
      </c>
      <c r="S1200" s="8">
        <f t="shared" si="261"/>
        <v>201</v>
      </c>
      <c r="T1200" s="8">
        <f>(Table1[[#This Row],[Total Cholesterol (mg/dL)]]+Table1[[#This Row],[HDL (mg/dL)2]]+Table1[[#This Row],[Estimated LDL (mg/dL)2]])*5</f>
        <v>2720</v>
      </c>
      <c r="U1200" s="8">
        <f>IF(O1200="",Table1[[#This Row],[Estimated LDL (mg/dL)2]]+Table1[[#This Row],[HDL (mg/dL)2]]+(Table1[[#This Row],[Triglycerides]]/5),O1200)</f>
        <v>287</v>
      </c>
      <c r="V1200">
        <v>176</v>
      </c>
      <c r="W1200" s="8">
        <f t="shared" si="262"/>
        <v>176</v>
      </c>
      <c r="X1200" t="str">
        <f t="shared" si="263"/>
        <v>Diabetes</v>
      </c>
      <c r="Y1200" t="s">
        <v>23</v>
      </c>
      <c r="Z1200" t="s">
        <v>23</v>
      </c>
      <c r="AA1200" t="s">
        <v>37</v>
      </c>
      <c r="AB1200" s="3" t="s">
        <v>1026</v>
      </c>
      <c r="AD1200" s="3" t="str">
        <f t="shared" si="264"/>
        <v>116</v>
      </c>
      <c r="AE1200">
        <v>71</v>
      </c>
      <c r="AF1200" s="3" t="str">
        <f t="shared" si="265"/>
        <v>71</v>
      </c>
      <c r="AG1200" t="s">
        <v>33</v>
      </c>
      <c r="AH1200" s="3">
        <v>17.494</v>
      </c>
      <c r="AI1200" s="3">
        <f t="shared" si="266"/>
        <v>17.494</v>
      </c>
      <c r="AJ1200" t="s">
        <v>26</v>
      </c>
      <c r="AK1200" t="str">
        <f>PROPER(Table1[[#This Row],[CVD Risk Level]])</f>
        <v>Intermediary</v>
      </c>
    </row>
    <row r="1201" spans="1:37" x14ac:dyDescent="0.3">
      <c r="A1201" t="s">
        <v>31</v>
      </c>
      <c r="B1201">
        <v>38</v>
      </c>
      <c r="C1201" s="8">
        <f t="shared" si="255"/>
        <v>38</v>
      </c>
      <c r="D1201" s="5">
        <v>60.436</v>
      </c>
      <c r="E1201" s="8">
        <f t="shared" si="256"/>
        <v>60.436</v>
      </c>
      <c r="F1201">
        <v>1.506</v>
      </c>
      <c r="G1201" s="3">
        <f t="shared" si="257"/>
        <v>1.506</v>
      </c>
      <c r="H1201">
        <v>20.268999999999998</v>
      </c>
      <c r="I1201" s="5">
        <f t="shared" si="253"/>
        <v>20.268999999999998</v>
      </c>
      <c r="J1201" s="16" t="str">
        <f t="shared" si="258"/>
        <v>Normal</v>
      </c>
      <c r="K1201">
        <v>79.7</v>
      </c>
      <c r="L1201">
        <v>0.52900000000000003</v>
      </c>
      <c r="M1201" s="11">
        <f t="shared" si="254"/>
        <v>0.52900000000000003</v>
      </c>
      <c r="N1201" s="5">
        <f t="shared" si="259"/>
        <v>79.7</v>
      </c>
      <c r="O1201">
        <v>119</v>
      </c>
      <c r="P1201">
        <v>46</v>
      </c>
      <c r="Q1201" s="8">
        <f t="shared" si="260"/>
        <v>46</v>
      </c>
      <c r="R1201" s="8">
        <v>43</v>
      </c>
      <c r="S1201" s="8">
        <f t="shared" si="261"/>
        <v>43</v>
      </c>
      <c r="T1201" s="8">
        <f>(Table1[[#This Row],[Total Cholesterol (mg/dL)]]+Table1[[#This Row],[HDL (mg/dL)2]]+Table1[[#This Row],[Estimated LDL (mg/dL)2]])*5</f>
        <v>1040</v>
      </c>
      <c r="U1201" s="8">
        <f>IF(O1201="",Table1[[#This Row],[Estimated LDL (mg/dL)2]]+Table1[[#This Row],[HDL (mg/dL)2]]+(Table1[[#This Row],[Triglycerides]]/5),O1201)</f>
        <v>119</v>
      </c>
      <c r="V1201">
        <v>190</v>
      </c>
      <c r="W1201" s="8">
        <f t="shared" si="262"/>
        <v>190</v>
      </c>
      <c r="X1201" t="str">
        <f t="shared" si="263"/>
        <v>Diabetes</v>
      </c>
      <c r="Y1201" t="s">
        <v>22</v>
      </c>
      <c r="Z1201" t="s">
        <v>22</v>
      </c>
      <c r="AA1201" t="s">
        <v>28</v>
      </c>
      <c r="AB1201" s="3" t="s">
        <v>1027</v>
      </c>
      <c r="AC1201">
        <v>168</v>
      </c>
      <c r="AD1201" s="3" t="str">
        <f t="shared" si="264"/>
        <v>168</v>
      </c>
      <c r="AE1201">
        <v>63</v>
      </c>
      <c r="AF1201" s="3" t="str">
        <f t="shared" si="265"/>
        <v>63</v>
      </c>
      <c r="AG1201" t="s">
        <v>38</v>
      </c>
      <c r="AH1201" s="3">
        <v>14.834</v>
      </c>
      <c r="AI1201" s="3">
        <f t="shared" si="266"/>
        <v>14.834</v>
      </c>
      <c r="AJ1201" t="s">
        <v>30</v>
      </c>
      <c r="AK1201" t="str">
        <f>PROPER(Table1[[#This Row],[CVD Risk Level]])</f>
        <v>High</v>
      </c>
    </row>
    <row r="1202" spans="1:37" x14ac:dyDescent="0.3">
      <c r="A1202" t="s">
        <v>31</v>
      </c>
      <c r="B1202">
        <v>53</v>
      </c>
      <c r="C1202" s="8">
        <f t="shared" si="255"/>
        <v>53</v>
      </c>
      <c r="D1202" s="5">
        <v>108.15900000000001</v>
      </c>
      <c r="E1202" s="8">
        <f t="shared" si="256"/>
        <v>108.15900000000001</v>
      </c>
      <c r="F1202">
        <v>1.925</v>
      </c>
      <c r="G1202" s="3">
        <f t="shared" si="257"/>
        <v>1.925</v>
      </c>
      <c r="H1202">
        <v>24.081</v>
      </c>
      <c r="I1202" s="5">
        <f t="shared" si="253"/>
        <v>24.081</v>
      </c>
      <c r="J1202" s="16" t="str">
        <f t="shared" si="258"/>
        <v>Normal</v>
      </c>
      <c r="L1202">
        <v>0.41099999999999998</v>
      </c>
      <c r="M1202" s="11">
        <f t="shared" si="254"/>
        <v>0.41099999999999998</v>
      </c>
      <c r="N1202" s="5">
        <f t="shared" si="259"/>
        <v>79.117499999999993</v>
      </c>
      <c r="O1202">
        <v>141</v>
      </c>
      <c r="Q1202" s="8">
        <f t="shared" si="260"/>
        <v>56.197377501725327</v>
      </c>
      <c r="R1202" s="8">
        <v>63</v>
      </c>
      <c r="S1202" s="8">
        <f>IF(R1202&lt;=0,MEDIAN($R$2:$R$1530),R1202)</f>
        <v>63</v>
      </c>
      <c r="T1202" s="8">
        <f>(Table1[[#This Row],[Total Cholesterol (mg/dL)]]+Table1[[#This Row],[HDL (mg/dL)2]]+Table1[[#This Row],[Estimated LDL (mg/dL)2]])*5</f>
        <v>1300.9868875086268</v>
      </c>
      <c r="U1202" s="8">
        <f>IF(O1202="",Table1[[#This Row],[Estimated LDL (mg/dL)2]]+Table1[[#This Row],[HDL (mg/dL)2]]+(Table1[[#This Row],[Triglycerides]]/5),O1202)</f>
        <v>141</v>
      </c>
      <c r="V1202">
        <v>178</v>
      </c>
      <c r="W1202" s="8">
        <f t="shared" si="262"/>
        <v>178</v>
      </c>
      <c r="X1202" t="str">
        <f t="shared" si="263"/>
        <v>Diabetes</v>
      </c>
      <c r="Y1202" t="s">
        <v>23</v>
      </c>
      <c r="Z1202" t="s">
        <v>23</v>
      </c>
      <c r="AA1202" t="s">
        <v>37</v>
      </c>
      <c r="AB1202" s="3" t="s">
        <v>1028</v>
      </c>
      <c r="AC1202">
        <v>162</v>
      </c>
      <c r="AD1202" s="3" t="str">
        <f t="shared" si="264"/>
        <v>162</v>
      </c>
      <c r="AE1202">
        <v>94</v>
      </c>
      <c r="AF1202" s="3" t="str">
        <f t="shared" si="265"/>
        <v>94</v>
      </c>
      <c r="AG1202" t="s">
        <v>38</v>
      </c>
      <c r="AH1202" s="3">
        <v>17.736000000000001</v>
      </c>
      <c r="AI1202" s="3">
        <f t="shared" si="266"/>
        <v>17.736000000000001</v>
      </c>
      <c r="AJ1202" t="s">
        <v>30</v>
      </c>
      <c r="AK1202" t="str">
        <f>PROPER(Table1[[#This Row],[CVD Risk Level]])</f>
        <v>High</v>
      </c>
    </row>
    <row r="1203" spans="1:37" x14ac:dyDescent="0.3">
      <c r="A1203" t="s">
        <v>31</v>
      </c>
      <c r="C1203" s="8">
        <f t="shared" si="255"/>
        <v>47.025499655410059</v>
      </c>
      <c r="D1203" s="5">
        <v>119.806</v>
      </c>
      <c r="E1203" s="8">
        <f t="shared" si="256"/>
        <v>119.806</v>
      </c>
      <c r="F1203">
        <v>1.6080000000000001</v>
      </c>
      <c r="G1203" s="3">
        <f t="shared" si="257"/>
        <v>1.6080000000000001</v>
      </c>
      <c r="H1203">
        <v>31.884</v>
      </c>
      <c r="I1203" s="5">
        <f t="shared" si="253"/>
        <v>31.884</v>
      </c>
      <c r="J1203" s="16" t="str">
        <f t="shared" si="258"/>
        <v>Obese</v>
      </c>
      <c r="K1203">
        <v>80.539000000000001</v>
      </c>
      <c r="L1203">
        <v>0.501</v>
      </c>
      <c r="M1203" s="11">
        <f t="shared" si="254"/>
        <v>0.501</v>
      </c>
      <c r="N1203" s="5">
        <f t="shared" si="259"/>
        <v>80.539000000000001</v>
      </c>
      <c r="O1203">
        <v>242</v>
      </c>
      <c r="P1203">
        <v>78</v>
      </c>
      <c r="Q1203" s="8">
        <f t="shared" si="260"/>
        <v>78</v>
      </c>
      <c r="R1203" s="8">
        <v>134</v>
      </c>
      <c r="S1203" s="8">
        <f t="shared" si="261"/>
        <v>134</v>
      </c>
      <c r="T1203" s="8">
        <f>(Table1[[#This Row],[Total Cholesterol (mg/dL)]]+Table1[[#This Row],[HDL (mg/dL)2]]+Table1[[#This Row],[Estimated LDL (mg/dL)2]])*5</f>
        <v>2270</v>
      </c>
      <c r="U1203" s="8">
        <f>IF(O1203="",Table1[[#This Row],[Estimated LDL (mg/dL)2]]+Table1[[#This Row],[HDL (mg/dL)2]]+(Table1[[#This Row],[Triglycerides]]/5),O1203)</f>
        <v>242</v>
      </c>
      <c r="V1203">
        <v>116</v>
      </c>
      <c r="W1203" s="8">
        <f t="shared" si="262"/>
        <v>116</v>
      </c>
      <c r="X1203" t="str">
        <f t="shared" si="263"/>
        <v>Prediabetes</v>
      </c>
      <c r="Y1203" t="s">
        <v>23</v>
      </c>
      <c r="Z1203" t="s">
        <v>22</v>
      </c>
      <c r="AA1203" t="s">
        <v>37</v>
      </c>
      <c r="AB1203" s="3" t="s">
        <v>1029</v>
      </c>
      <c r="AC1203">
        <v>124</v>
      </c>
      <c r="AD1203" s="3" t="str">
        <f t="shared" si="264"/>
        <v>124</v>
      </c>
      <c r="AE1203">
        <v>100</v>
      </c>
      <c r="AF1203" s="3" t="str">
        <f t="shared" si="265"/>
        <v>100</v>
      </c>
      <c r="AG1203" t="s">
        <v>38</v>
      </c>
      <c r="AI1203" s="3">
        <f t="shared" si="266"/>
        <v>16.960925291295425</v>
      </c>
      <c r="AJ1203" t="s">
        <v>30</v>
      </c>
      <c r="AK1203" t="str">
        <f>PROPER(Table1[[#This Row],[CVD Risk Level]])</f>
        <v>High</v>
      </c>
    </row>
    <row r="1204" spans="1:37" x14ac:dyDescent="0.3">
      <c r="A1204" t="s">
        <v>20</v>
      </c>
      <c r="B1204">
        <v>46</v>
      </c>
      <c r="C1204" s="8">
        <f t="shared" si="255"/>
        <v>46</v>
      </c>
      <c r="D1204" s="5">
        <v>103.504</v>
      </c>
      <c r="E1204" s="8">
        <f t="shared" si="256"/>
        <v>103.504</v>
      </c>
      <c r="F1204">
        <v>1.5389999999999999</v>
      </c>
      <c r="G1204" s="3">
        <f t="shared" si="257"/>
        <v>1.5389999999999999</v>
      </c>
      <c r="H1204">
        <v>27.606000000000002</v>
      </c>
      <c r="I1204" s="5">
        <f t="shared" si="253"/>
        <v>27.606000000000002</v>
      </c>
      <c r="J1204" s="16" t="str">
        <f t="shared" si="258"/>
        <v>Overweight</v>
      </c>
      <c r="K1204">
        <v>93.716999999999999</v>
      </c>
      <c r="L1204">
        <v>0.60899999999999999</v>
      </c>
      <c r="M1204" s="11">
        <f t="shared" si="254"/>
        <v>0.60899999999999999</v>
      </c>
      <c r="N1204" s="5">
        <f t="shared" si="259"/>
        <v>93.716999999999999</v>
      </c>
      <c r="O1204">
        <v>238</v>
      </c>
      <c r="P1204">
        <v>87</v>
      </c>
      <c r="Q1204" s="8">
        <f t="shared" si="260"/>
        <v>87</v>
      </c>
      <c r="R1204" s="8">
        <v>121</v>
      </c>
      <c r="S1204" s="8">
        <f t="shared" si="261"/>
        <v>121</v>
      </c>
      <c r="T1204" s="8">
        <f>(Table1[[#This Row],[Total Cholesterol (mg/dL)]]+Table1[[#This Row],[HDL (mg/dL)2]]+Table1[[#This Row],[Estimated LDL (mg/dL)2]])*5</f>
        <v>2230</v>
      </c>
      <c r="U1204" s="8">
        <f>IF(O1204="",Table1[[#This Row],[Estimated LDL (mg/dL)2]]+Table1[[#This Row],[HDL (mg/dL)2]]+(Table1[[#This Row],[Triglycerides]]/5),O1204)</f>
        <v>238</v>
      </c>
      <c r="W1204" s="8">
        <f t="shared" si="262"/>
        <v>117.48563611491107</v>
      </c>
      <c r="X1204" t="str">
        <f t="shared" si="263"/>
        <v>Prediabetes</v>
      </c>
      <c r="Y1204" t="s">
        <v>22</v>
      </c>
      <c r="Z1204" t="s">
        <v>22</v>
      </c>
      <c r="AA1204" t="s">
        <v>28</v>
      </c>
      <c r="AB1204" s="3" t="s">
        <v>1030</v>
      </c>
      <c r="AC1204">
        <v>156</v>
      </c>
      <c r="AD1204" s="3" t="str">
        <f t="shared" si="264"/>
        <v>156</v>
      </c>
      <c r="AE1204">
        <v>103</v>
      </c>
      <c r="AF1204" s="3" t="str">
        <f t="shared" si="265"/>
        <v>103</v>
      </c>
      <c r="AG1204" t="s">
        <v>38</v>
      </c>
      <c r="AH1204" s="3">
        <v>18.081</v>
      </c>
      <c r="AI1204" s="3">
        <f t="shared" si="266"/>
        <v>18.081</v>
      </c>
      <c r="AJ1204" t="s">
        <v>26</v>
      </c>
      <c r="AK1204" t="str">
        <f>PROPER(Table1[[#This Row],[CVD Risk Level]])</f>
        <v>Intermediary</v>
      </c>
    </row>
    <row r="1205" spans="1:37" x14ac:dyDescent="0.3">
      <c r="A1205" t="s">
        <v>31</v>
      </c>
      <c r="B1205">
        <v>33</v>
      </c>
      <c r="C1205" s="8">
        <f t="shared" si="255"/>
        <v>33</v>
      </c>
      <c r="D1205" s="5">
        <v>74.183999999999997</v>
      </c>
      <c r="E1205" s="8">
        <f t="shared" si="256"/>
        <v>74.183999999999997</v>
      </c>
      <c r="F1205">
        <v>1.966</v>
      </c>
      <c r="G1205" s="3">
        <f t="shared" si="257"/>
        <v>1.966</v>
      </c>
      <c r="H1205">
        <v>32.116</v>
      </c>
      <c r="I1205" s="5">
        <f t="shared" si="253"/>
        <v>32.116</v>
      </c>
      <c r="J1205" s="16" t="str">
        <f t="shared" si="258"/>
        <v>Obese</v>
      </c>
      <c r="K1205">
        <v>88.628</v>
      </c>
      <c r="L1205">
        <v>0.45100000000000001</v>
      </c>
      <c r="M1205" s="11">
        <f t="shared" si="254"/>
        <v>0.45100000000000001</v>
      </c>
      <c r="N1205" s="5">
        <f t="shared" si="259"/>
        <v>88.628</v>
      </c>
      <c r="O1205">
        <v>242</v>
      </c>
      <c r="P1205">
        <v>77</v>
      </c>
      <c r="Q1205" s="8">
        <f t="shared" si="260"/>
        <v>77</v>
      </c>
      <c r="R1205" s="8">
        <v>135</v>
      </c>
      <c r="S1205" s="8">
        <f t="shared" si="261"/>
        <v>135</v>
      </c>
      <c r="T1205" s="8">
        <f>(Table1[[#This Row],[Total Cholesterol (mg/dL)]]+Table1[[#This Row],[HDL (mg/dL)2]]+Table1[[#This Row],[Estimated LDL (mg/dL)2]])*5</f>
        <v>2270</v>
      </c>
      <c r="U1205" s="8">
        <f>IF(O1205="",Table1[[#This Row],[Estimated LDL (mg/dL)2]]+Table1[[#This Row],[HDL (mg/dL)2]]+(Table1[[#This Row],[Triglycerides]]/5),O1205)</f>
        <v>242</v>
      </c>
      <c r="V1205">
        <v>112</v>
      </c>
      <c r="W1205" s="8">
        <f t="shared" si="262"/>
        <v>112</v>
      </c>
      <c r="X1205" t="str">
        <f t="shared" si="263"/>
        <v>Prediabetes</v>
      </c>
      <c r="Y1205" t="s">
        <v>23</v>
      </c>
      <c r="Z1205" t="s">
        <v>23</v>
      </c>
      <c r="AA1205" t="s">
        <v>24</v>
      </c>
      <c r="AB1205" s="3" t="s">
        <v>1031</v>
      </c>
      <c r="AC1205">
        <v>171</v>
      </c>
      <c r="AD1205" s="3" t="str">
        <f t="shared" si="264"/>
        <v>171</v>
      </c>
      <c r="AE1205">
        <v>76</v>
      </c>
      <c r="AF1205" s="3" t="str">
        <f t="shared" si="265"/>
        <v>76</v>
      </c>
      <c r="AG1205" t="s">
        <v>38</v>
      </c>
      <c r="AH1205" s="3">
        <v>21.812999999999999</v>
      </c>
      <c r="AI1205" s="3">
        <f t="shared" si="266"/>
        <v>21.812999999999999</v>
      </c>
      <c r="AJ1205" t="s">
        <v>30</v>
      </c>
      <c r="AK1205" t="str">
        <f>PROPER(Table1[[#This Row],[CVD Risk Level]])</f>
        <v>High</v>
      </c>
    </row>
    <row r="1206" spans="1:37" x14ac:dyDescent="0.3">
      <c r="A1206" t="s">
        <v>20</v>
      </c>
      <c r="B1206">
        <v>55</v>
      </c>
      <c r="C1206" s="8">
        <f t="shared" si="255"/>
        <v>55</v>
      </c>
      <c r="D1206" s="5">
        <v>63.18</v>
      </c>
      <c r="E1206" s="8">
        <f t="shared" si="256"/>
        <v>63.18</v>
      </c>
      <c r="F1206">
        <v>1.954</v>
      </c>
      <c r="G1206" s="3">
        <f t="shared" si="257"/>
        <v>1.954</v>
      </c>
      <c r="I1206" s="5">
        <f t="shared" si="253"/>
        <v>16.547428103284449</v>
      </c>
      <c r="J1206" s="16" t="str">
        <f t="shared" si="258"/>
        <v>Underweight</v>
      </c>
      <c r="K1206">
        <v>74.63</v>
      </c>
      <c r="M1206" s="11">
        <f t="shared" si="254"/>
        <v>0.38193449334698054</v>
      </c>
      <c r="N1206" s="5">
        <f t="shared" si="259"/>
        <v>74.63</v>
      </c>
      <c r="O1206">
        <v>246</v>
      </c>
      <c r="P1206">
        <v>73</v>
      </c>
      <c r="Q1206" s="8">
        <f t="shared" si="260"/>
        <v>73</v>
      </c>
      <c r="R1206" s="8">
        <v>143</v>
      </c>
      <c r="S1206" s="8">
        <f t="shared" si="261"/>
        <v>143</v>
      </c>
      <c r="T1206" s="8">
        <f>(Table1[[#This Row],[Total Cholesterol (mg/dL)]]+Table1[[#This Row],[HDL (mg/dL)2]]+Table1[[#This Row],[Estimated LDL (mg/dL)2]])*5</f>
        <v>2310</v>
      </c>
      <c r="U1206" s="8">
        <f>IF(O1206="",Table1[[#This Row],[Estimated LDL (mg/dL)2]]+Table1[[#This Row],[HDL (mg/dL)2]]+(Table1[[#This Row],[Triglycerides]]/5),O1206)</f>
        <v>246</v>
      </c>
      <c r="V1206">
        <v>122</v>
      </c>
      <c r="W1206" s="8">
        <f t="shared" si="262"/>
        <v>122</v>
      </c>
      <c r="X1206" t="str">
        <f t="shared" si="263"/>
        <v>Prediabetes</v>
      </c>
      <c r="Y1206" t="s">
        <v>22</v>
      </c>
      <c r="Z1206" t="s">
        <v>23</v>
      </c>
      <c r="AA1206" t="s">
        <v>24</v>
      </c>
      <c r="AB1206" s="3" t="s">
        <v>1032</v>
      </c>
      <c r="AC1206">
        <v>152</v>
      </c>
      <c r="AD1206" s="3" t="str">
        <f t="shared" si="264"/>
        <v>152</v>
      </c>
      <c r="AE1206">
        <v>61</v>
      </c>
      <c r="AF1206" s="3" t="str">
        <f t="shared" si="265"/>
        <v>61</v>
      </c>
      <c r="AG1206" t="s">
        <v>38</v>
      </c>
      <c r="AH1206" s="3">
        <v>19.07</v>
      </c>
      <c r="AI1206" s="3">
        <f t="shared" si="266"/>
        <v>19.07</v>
      </c>
      <c r="AJ1206" t="s">
        <v>26</v>
      </c>
      <c r="AK1206" t="str">
        <f>PROPER(Table1[[#This Row],[CVD Risk Level]])</f>
        <v>Intermediary</v>
      </c>
    </row>
    <row r="1207" spans="1:37" x14ac:dyDescent="0.3">
      <c r="A1207" t="s">
        <v>20</v>
      </c>
      <c r="B1207">
        <v>51</v>
      </c>
      <c r="C1207" s="8">
        <f t="shared" si="255"/>
        <v>51</v>
      </c>
      <c r="D1207" s="5">
        <v>81.921999999999997</v>
      </c>
      <c r="E1207" s="8">
        <f t="shared" si="256"/>
        <v>81.921999999999997</v>
      </c>
      <c r="F1207">
        <v>1.5660000000000001</v>
      </c>
      <c r="G1207" s="3">
        <f t="shared" si="257"/>
        <v>1.5660000000000001</v>
      </c>
      <c r="H1207">
        <v>29.849</v>
      </c>
      <c r="I1207" s="5">
        <f t="shared" si="253"/>
        <v>29.849</v>
      </c>
      <c r="J1207" s="16" t="str">
        <f t="shared" si="258"/>
        <v>Overweight</v>
      </c>
      <c r="K1207">
        <v>89.554000000000002</v>
      </c>
      <c r="L1207">
        <v>0.57199999999999995</v>
      </c>
      <c r="M1207" s="11">
        <f t="shared" si="254"/>
        <v>0.57199999999999995</v>
      </c>
      <c r="N1207" s="5">
        <f t="shared" si="259"/>
        <v>89.554000000000002</v>
      </c>
      <c r="O1207">
        <v>195</v>
      </c>
      <c r="P1207">
        <v>87</v>
      </c>
      <c r="Q1207" s="8">
        <f t="shared" si="260"/>
        <v>87</v>
      </c>
      <c r="R1207" s="8">
        <v>78</v>
      </c>
      <c r="S1207" s="8">
        <f t="shared" si="261"/>
        <v>78</v>
      </c>
      <c r="T1207" s="8">
        <f>(Table1[[#This Row],[Total Cholesterol (mg/dL)]]+Table1[[#This Row],[HDL (mg/dL)2]]+Table1[[#This Row],[Estimated LDL (mg/dL)2]])*5</f>
        <v>1800</v>
      </c>
      <c r="U1207" s="8">
        <f>IF(O1207="",Table1[[#This Row],[Estimated LDL (mg/dL)2]]+Table1[[#This Row],[HDL (mg/dL)2]]+(Table1[[#This Row],[Triglycerides]]/5),O1207)</f>
        <v>195</v>
      </c>
      <c r="V1207">
        <v>112</v>
      </c>
      <c r="W1207" s="8">
        <f t="shared" si="262"/>
        <v>112</v>
      </c>
      <c r="X1207" t="str">
        <f t="shared" si="263"/>
        <v>Prediabetes</v>
      </c>
      <c r="Y1207" t="s">
        <v>22</v>
      </c>
      <c r="Z1207" t="s">
        <v>23</v>
      </c>
      <c r="AA1207" t="s">
        <v>37</v>
      </c>
      <c r="AB1207" s="3" t="s">
        <v>1033</v>
      </c>
      <c r="AC1207">
        <v>95</v>
      </c>
      <c r="AD1207" s="3" t="str">
        <f t="shared" si="264"/>
        <v>95</v>
      </c>
      <c r="AE1207">
        <v>115</v>
      </c>
      <c r="AF1207" s="3" t="str">
        <f t="shared" si="265"/>
        <v>115</v>
      </c>
      <c r="AG1207" t="s">
        <v>38</v>
      </c>
      <c r="AI1207" s="3">
        <f t="shared" si="266"/>
        <v>16.960925291295425</v>
      </c>
      <c r="AJ1207" t="s">
        <v>52</v>
      </c>
      <c r="AK1207" t="str">
        <f>PROPER(Table1[[#This Row],[CVD Risk Level]])</f>
        <v>Low</v>
      </c>
    </row>
    <row r="1208" spans="1:37" x14ac:dyDescent="0.3">
      <c r="A1208" t="s">
        <v>31</v>
      </c>
      <c r="C1208" s="8">
        <f t="shared" si="255"/>
        <v>47.025499655410059</v>
      </c>
      <c r="D1208" s="5">
        <v>59.493000000000002</v>
      </c>
      <c r="E1208" s="8">
        <f t="shared" si="256"/>
        <v>59.493000000000002</v>
      </c>
      <c r="F1208">
        <v>1.8959999999999999</v>
      </c>
      <c r="G1208" s="3">
        <f t="shared" si="257"/>
        <v>1.8959999999999999</v>
      </c>
      <c r="H1208">
        <v>25.012</v>
      </c>
      <c r="I1208" s="5">
        <f t="shared" si="253"/>
        <v>25.012</v>
      </c>
      <c r="J1208" s="16" t="str">
        <f t="shared" si="258"/>
        <v>Overweight</v>
      </c>
      <c r="K1208">
        <v>83.275999999999996</v>
      </c>
      <c r="L1208">
        <v>0.439</v>
      </c>
      <c r="M1208" s="11">
        <f t="shared" si="254"/>
        <v>0.439</v>
      </c>
      <c r="N1208" s="5">
        <f t="shared" si="259"/>
        <v>83.275999999999996</v>
      </c>
      <c r="O1208">
        <v>226</v>
      </c>
      <c r="P1208">
        <v>83</v>
      </c>
      <c r="Q1208" s="8">
        <f t="shared" si="260"/>
        <v>83</v>
      </c>
      <c r="R1208" s="8">
        <v>113</v>
      </c>
      <c r="S1208" s="8">
        <f t="shared" si="261"/>
        <v>113</v>
      </c>
      <c r="T1208" s="8">
        <f>(Table1[[#This Row],[Total Cholesterol (mg/dL)]]+Table1[[#This Row],[HDL (mg/dL)2]]+Table1[[#This Row],[Estimated LDL (mg/dL)2]])*5</f>
        <v>2110</v>
      </c>
      <c r="U1208" s="8">
        <f>IF(O1208="",Table1[[#This Row],[Estimated LDL (mg/dL)2]]+Table1[[#This Row],[HDL (mg/dL)2]]+(Table1[[#This Row],[Triglycerides]]/5),O1208)</f>
        <v>226</v>
      </c>
      <c r="V1208">
        <v>174</v>
      </c>
      <c r="W1208" s="8">
        <f t="shared" si="262"/>
        <v>174</v>
      </c>
      <c r="X1208" t="str">
        <f t="shared" si="263"/>
        <v>Diabetes</v>
      </c>
      <c r="Y1208" t="s">
        <v>23</v>
      </c>
      <c r="Z1208" t="s">
        <v>22</v>
      </c>
      <c r="AA1208" t="s">
        <v>37</v>
      </c>
      <c r="AB1208" s="3" t="s">
        <v>1034</v>
      </c>
      <c r="AC1208">
        <v>120</v>
      </c>
      <c r="AD1208" s="3" t="str">
        <f t="shared" si="264"/>
        <v>120</v>
      </c>
      <c r="AE1208">
        <v>61</v>
      </c>
      <c r="AF1208" s="3" t="str">
        <f t="shared" si="265"/>
        <v>61</v>
      </c>
      <c r="AG1208" t="s">
        <v>25</v>
      </c>
      <c r="AH1208" s="3">
        <v>15.522</v>
      </c>
      <c r="AI1208" s="3">
        <f t="shared" si="266"/>
        <v>15.522</v>
      </c>
      <c r="AJ1208" t="s">
        <v>52</v>
      </c>
      <c r="AK1208" t="str">
        <f>PROPER(Table1[[#This Row],[CVD Risk Level]])</f>
        <v>Low</v>
      </c>
    </row>
    <row r="1209" spans="1:37" x14ac:dyDescent="0.3">
      <c r="A1209" t="s">
        <v>31</v>
      </c>
      <c r="B1209">
        <v>73</v>
      </c>
      <c r="C1209" s="8">
        <f t="shared" si="255"/>
        <v>73</v>
      </c>
      <c r="D1209" s="5">
        <v>117.136</v>
      </c>
      <c r="E1209" s="8">
        <f t="shared" si="256"/>
        <v>117.136</v>
      </c>
      <c r="F1209">
        <v>1.637</v>
      </c>
      <c r="G1209" s="3">
        <f t="shared" si="257"/>
        <v>1.637</v>
      </c>
      <c r="H1209">
        <v>30.518000000000001</v>
      </c>
      <c r="I1209" s="5">
        <f t="shared" si="253"/>
        <v>30.518000000000001</v>
      </c>
      <c r="J1209" s="16" t="str">
        <f t="shared" si="258"/>
        <v>Obese</v>
      </c>
      <c r="K1209">
        <v>105.836</v>
      </c>
      <c r="L1209">
        <v>0.64700000000000002</v>
      </c>
      <c r="M1209" s="11">
        <f t="shared" si="254"/>
        <v>0.64700000000000002</v>
      </c>
      <c r="N1209" s="5">
        <f t="shared" si="259"/>
        <v>105.836</v>
      </c>
      <c r="P1209">
        <v>83</v>
      </c>
      <c r="Q1209" s="8">
        <f t="shared" si="260"/>
        <v>83</v>
      </c>
      <c r="R1209" s="8">
        <v>99</v>
      </c>
      <c r="S1209" s="8">
        <f t="shared" si="261"/>
        <v>99</v>
      </c>
      <c r="T1209" s="8">
        <f>(Table1[[#This Row],[Total Cholesterol (mg/dL)]]+Table1[[#This Row],[HDL (mg/dL)2]]+Table1[[#This Row],[Estimated LDL (mg/dL)2]])*5</f>
        <v>910</v>
      </c>
      <c r="U1209" s="8">
        <f>IF(O1209="",Table1[[#This Row],[Estimated LDL (mg/dL)2]]+Table1[[#This Row],[HDL (mg/dL)2]]+(Table1[[#This Row],[Triglycerides]]/5),O1209)</f>
        <v>364</v>
      </c>
      <c r="V1209">
        <v>106</v>
      </c>
      <c r="W1209" s="8">
        <f t="shared" si="262"/>
        <v>106</v>
      </c>
      <c r="X1209" t="str">
        <f t="shared" si="263"/>
        <v>Prediabetes</v>
      </c>
      <c r="Y1209" t="s">
        <v>22</v>
      </c>
      <c r="Z1209" t="s">
        <v>23</v>
      </c>
      <c r="AA1209" t="s">
        <v>24</v>
      </c>
      <c r="AB1209" s="3" t="s">
        <v>1035</v>
      </c>
      <c r="AC1209">
        <v>168</v>
      </c>
      <c r="AD1209" s="3" t="str">
        <f t="shared" si="264"/>
        <v>168</v>
      </c>
      <c r="AE1209">
        <v>61</v>
      </c>
      <c r="AF1209" s="3" t="str">
        <f t="shared" si="265"/>
        <v>61</v>
      </c>
      <c r="AG1209" t="s">
        <v>38</v>
      </c>
      <c r="AH1209" s="3">
        <v>20.744</v>
      </c>
      <c r="AI1209" s="3">
        <f t="shared" si="266"/>
        <v>20.744</v>
      </c>
      <c r="AJ1209" t="s">
        <v>30</v>
      </c>
      <c r="AK1209" t="str">
        <f>PROPER(Table1[[#This Row],[CVD Risk Level]])</f>
        <v>High</v>
      </c>
    </row>
    <row r="1210" spans="1:37" x14ac:dyDescent="0.3">
      <c r="A1210" t="s">
        <v>20</v>
      </c>
      <c r="B1210">
        <v>28</v>
      </c>
      <c r="C1210" s="8">
        <f t="shared" si="255"/>
        <v>28</v>
      </c>
      <c r="D1210" s="5">
        <v>116.072</v>
      </c>
      <c r="E1210" s="8">
        <f t="shared" si="256"/>
        <v>116.072</v>
      </c>
      <c r="F1210">
        <v>1.508</v>
      </c>
      <c r="G1210" s="3">
        <f t="shared" si="257"/>
        <v>1.508</v>
      </c>
      <c r="H1210">
        <v>19.613</v>
      </c>
      <c r="I1210" s="5">
        <f t="shared" si="253"/>
        <v>19.613</v>
      </c>
      <c r="J1210" s="16" t="str">
        <f t="shared" si="258"/>
        <v>Normal</v>
      </c>
      <c r="K1210">
        <v>94.575999999999993</v>
      </c>
      <c r="L1210">
        <v>0.627</v>
      </c>
      <c r="M1210" s="11">
        <f t="shared" si="254"/>
        <v>0.627</v>
      </c>
      <c r="N1210" s="5">
        <f t="shared" si="259"/>
        <v>94.575999999999993</v>
      </c>
      <c r="O1210">
        <v>143</v>
      </c>
      <c r="P1210">
        <v>50</v>
      </c>
      <c r="Q1210" s="8">
        <f t="shared" si="260"/>
        <v>50</v>
      </c>
      <c r="R1210" s="8">
        <v>63</v>
      </c>
      <c r="S1210" s="8">
        <f t="shared" si="261"/>
        <v>63</v>
      </c>
      <c r="T1210" s="8">
        <f>(Table1[[#This Row],[Total Cholesterol (mg/dL)]]+Table1[[#This Row],[HDL (mg/dL)2]]+Table1[[#This Row],[Estimated LDL (mg/dL)2]])*5</f>
        <v>1280</v>
      </c>
      <c r="U1210" s="8">
        <f>IF(O1210="",Table1[[#This Row],[Estimated LDL (mg/dL)2]]+Table1[[#This Row],[HDL (mg/dL)2]]+(Table1[[#This Row],[Triglycerides]]/5),O1210)</f>
        <v>143</v>
      </c>
      <c r="V1210">
        <v>120</v>
      </c>
      <c r="W1210" s="8">
        <f t="shared" si="262"/>
        <v>120</v>
      </c>
      <c r="X1210" t="str">
        <f t="shared" si="263"/>
        <v>Prediabetes</v>
      </c>
      <c r="Y1210" t="s">
        <v>22</v>
      </c>
      <c r="Z1210" t="s">
        <v>22</v>
      </c>
      <c r="AA1210" t="s">
        <v>24</v>
      </c>
      <c r="AB1210" s="3" t="s">
        <v>1036</v>
      </c>
      <c r="AC1210">
        <v>97</v>
      </c>
      <c r="AD1210" s="3" t="str">
        <f t="shared" si="264"/>
        <v>97</v>
      </c>
      <c r="AE1210">
        <v>101</v>
      </c>
      <c r="AF1210" s="3" t="str">
        <f t="shared" si="265"/>
        <v>101</v>
      </c>
      <c r="AG1210" t="s">
        <v>38</v>
      </c>
      <c r="AH1210" s="3">
        <v>11.632999999999999</v>
      </c>
      <c r="AI1210" s="3">
        <f t="shared" si="266"/>
        <v>11.632999999999999</v>
      </c>
      <c r="AJ1210" t="s">
        <v>52</v>
      </c>
      <c r="AK1210" t="str">
        <f>PROPER(Table1[[#This Row],[CVD Risk Level]])</f>
        <v>Low</v>
      </c>
    </row>
    <row r="1211" spans="1:37" x14ac:dyDescent="0.3">
      <c r="A1211" t="s">
        <v>20</v>
      </c>
      <c r="B1211">
        <v>66</v>
      </c>
      <c r="C1211" s="8">
        <f t="shared" si="255"/>
        <v>66</v>
      </c>
      <c r="D1211" s="5">
        <v>99.887</v>
      </c>
      <c r="E1211" s="8">
        <f t="shared" si="256"/>
        <v>99.887</v>
      </c>
      <c r="F1211">
        <v>1.738</v>
      </c>
      <c r="G1211" s="3">
        <f t="shared" si="257"/>
        <v>1.738</v>
      </c>
      <c r="H1211">
        <v>29.832999999999998</v>
      </c>
      <c r="I1211" s="5">
        <f t="shared" si="253"/>
        <v>29.832999999999998</v>
      </c>
      <c r="J1211" s="16" t="str">
        <f t="shared" si="258"/>
        <v>Overweight</v>
      </c>
      <c r="K1211">
        <v>83.744</v>
      </c>
      <c r="L1211">
        <v>0.48199999999999998</v>
      </c>
      <c r="M1211" s="11">
        <f t="shared" si="254"/>
        <v>0.48199999999999998</v>
      </c>
      <c r="N1211" s="5">
        <f t="shared" si="259"/>
        <v>83.744</v>
      </c>
      <c r="O1211">
        <v>283</v>
      </c>
      <c r="P1211">
        <v>82</v>
      </c>
      <c r="Q1211" s="8">
        <f t="shared" si="260"/>
        <v>82</v>
      </c>
      <c r="R1211" s="8">
        <v>171</v>
      </c>
      <c r="S1211" s="8">
        <f t="shared" si="261"/>
        <v>171</v>
      </c>
      <c r="T1211" s="8">
        <f>(Table1[[#This Row],[Total Cholesterol (mg/dL)]]+Table1[[#This Row],[HDL (mg/dL)2]]+Table1[[#This Row],[Estimated LDL (mg/dL)2]])*5</f>
        <v>2680</v>
      </c>
      <c r="U1211" s="8">
        <f>IF(O1211="",Table1[[#This Row],[Estimated LDL (mg/dL)2]]+Table1[[#This Row],[HDL (mg/dL)2]]+(Table1[[#This Row],[Triglycerides]]/5),O1211)</f>
        <v>283</v>
      </c>
      <c r="V1211">
        <v>122</v>
      </c>
      <c r="W1211" s="8">
        <f t="shared" si="262"/>
        <v>122</v>
      </c>
      <c r="X1211" t="str">
        <f t="shared" si="263"/>
        <v>Prediabetes</v>
      </c>
      <c r="Y1211" t="s">
        <v>23</v>
      </c>
      <c r="Z1211" t="s">
        <v>23</v>
      </c>
      <c r="AA1211" t="s">
        <v>24</v>
      </c>
      <c r="AB1211" s="3" t="s">
        <v>1037</v>
      </c>
      <c r="AC1211">
        <v>144</v>
      </c>
      <c r="AD1211" s="3" t="str">
        <f t="shared" si="264"/>
        <v>144</v>
      </c>
      <c r="AE1211">
        <v>105</v>
      </c>
      <c r="AF1211" s="3" t="str">
        <f t="shared" si="265"/>
        <v>105</v>
      </c>
      <c r="AG1211" t="s">
        <v>38</v>
      </c>
      <c r="AH1211" s="3">
        <v>20.827000000000002</v>
      </c>
      <c r="AI1211" s="3">
        <f t="shared" si="266"/>
        <v>20.827000000000002</v>
      </c>
      <c r="AJ1211" t="s">
        <v>26</v>
      </c>
      <c r="AK1211" t="str">
        <f>PROPER(Table1[[#This Row],[CVD Risk Level]])</f>
        <v>Intermediary</v>
      </c>
    </row>
    <row r="1212" spans="1:37" x14ac:dyDescent="0.3">
      <c r="A1212" t="s">
        <v>20</v>
      </c>
      <c r="B1212">
        <v>74</v>
      </c>
      <c r="C1212" s="8">
        <f t="shared" si="255"/>
        <v>74</v>
      </c>
      <c r="D1212" s="5">
        <v>68.647999999999996</v>
      </c>
      <c r="E1212" s="8">
        <f t="shared" si="256"/>
        <v>68.647999999999996</v>
      </c>
      <c r="F1212">
        <v>1.665</v>
      </c>
      <c r="G1212" s="3">
        <f t="shared" si="257"/>
        <v>1.665</v>
      </c>
      <c r="I1212" s="5">
        <f t="shared" si="253"/>
        <v>24.762780798816831</v>
      </c>
      <c r="J1212" s="16" t="str">
        <f t="shared" si="258"/>
        <v>Normal</v>
      </c>
      <c r="L1212">
        <v>0.66800000000000004</v>
      </c>
      <c r="M1212" s="11">
        <f t="shared" si="254"/>
        <v>0.66800000000000004</v>
      </c>
      <c r="N1212" s="5">
        <f t="shared" si="259"/>
        <v>111.22200000000001</v>
      </c>
      <c r="O1212">
        <v>111</v>
      </c>
      <c r="P1212">
        <v>64</v>
      </c>
      <c r="Q1212" s="8">
        <f t="shared" si="260"/>
        <v>64</v>
      </c>
      <c r="R1212" s="8">
        <v>17</v>
      </c>
      <c r="S1212" s="8">
        <f t="shared" si="261"/>
        <v>17</v>
      </c>
      <c r="T1212" s="8">
        <f>(Table1[[#This Row],[Total Cholesterol (mg/dL)]]+Table1[[#This Row],[HDL (mg/dL)2]]+Table1[[#This Row],[Estimated LDL (mg/dL)2]])*5</f>
        <v>960</v>
      </c>
      <c r="U1212" s="8">
        <f>IF(O1212="",Table1[[#This Row],[Estimated LDL (mg/dL)2]]+Table1[[#This Row],[HDL (mg/dL)2]]+(Table1[[#This Row],[Triglycerides]]/5),O1212)</f>
        <v>111</v>
      </c>
      <c r="V1212">
        <v>198</v>
      </c>
      <c r="W1212" s="8">
        <f t="shared" si="262"/>
        <v>198</v>
      </c>
      <c r="X1212" t="str">
        <f t="shared" si="263"/>
        <v>Diabetes</v>
      </c>
      <c r="Y1212" t="s">
        <v>22</v>
      </c>
      <c r="Z1212" t="s">
        <v>23</v>
      </c>
      <c r="AA1212" t="s">
        <v>24</v>
      </c>
      <c r="AB1212" s="3" t="s">
        <v>1038</v>
      </c>
      <c r="AD1212" s="3" t="str">
        <f t="shared" si="264"/>
        <v>152</v>
      </c>
      <c r="AE1212">
        <v>108</v>
      </c>
      <c r="AF1212" s="3" t="str">
        <f t="shared" si="265"/>
        <v>108</v>
      </c>
      <c r="AG1212" t="s">
        <v>38</v>
      </c>
      <c r="AH1212" s="3">
        <v>17.794</v>
      </c>
      <c r="AI1212" s="3">
        <f t="shared" si="266"/>
        <v>17.794</v>
      </c>
      <c r="AJ1212" t="s">
        <v>52</v>
      </c>
      <c r="AK1212" t="str">
        <f>PROPER(Table1[[#This Row],[CVD Risk Level]])</f>
        <v>Low</v>
      </c>
    </row>
    <row r="1213" spans="1:37" x14ac:dyDescent="0.3">
      <c r="A1213" t="s">
        <v>31</v>
      </c>
      <c r="B1213">
        <v>44</v>
      </c>
      <c r="C1213" s="8">
        <f t="shared" si="255"/>
        <v>44</v>
      </c>
      <c r="D1213" s="5">
        <v>106.965</v>
      </c>
      <c r="E1213" s="8">
        <f t="shared" si="256"/>
        <v>106.965</v>
      </c>
      <c r="F1213">
        <v>1.8680000000000001</v>
      </c>
      <c r="G1213" s="3">
        <f t="shared" si="257"/>
        <v>1.8680000000000001</v>
      </c>
      <c r="H1213">
        <v>37.476999999999997</v>
      </c>
      <c r="I1213" s="5">
        <f t="shared" si="253"/>
        <v>37.476999999999997</v>
      </c>
      <c r="J1213" s="16" t="str">
        <f t="shared" si="258"/>
        <v>Obese</v>
      </c>
      <c r="K1213">
        <v>113.002</v>
      </c>
      <c r="L1213">
        <v>0.60499999999999998</v>
      </c>
      <c r="M1213" s="11">
        <f t="shared" si="254"/>
        <v>0.60499999999999998</v>
      </c>
      <c r="N1213" s="5">
        <f t="shared" si="259"/>
        <v>113.002</v>
      </c>
      <c r="O1213">
        <v>295</v>
      </c>
      <c r="P1213">
        <v>88</v>
      </c>
      <c r="Q1213" s="8">
        <f t="shared" si="260"/>
        <v>88</v>
      </c>
      <c r="R1213" s="8">
        <v>177</v>
      </c>
      <c r="S1213" s="8">
        <f t="shared" si="261"/>
        <v>177</v>
      </c>
      <c r="T1213" s="8">
        <f>(Table1[[#This Row],[Total Cholesterol (mg/dL)]]+Table1[[#This Row],[HDL (mg/dL)2]]+Table1[[#This Row],[Estimated LDL (mg/dL)2]])*5</f>
        <v>2800</v>
      </c>
      <c r="U1213" s="8">
        <f>IF(O1213="",Table1[[#This Row],[Estimated LDL (mg/dL)2]]+Table1[[#This Row],[HDL (mg/dL)2]]+(Table1[[#This Row],[Triglycerides]]/5),O1213)</f>
        <v>295</v>
      </c>
      <c r="V1213">
        <v>151</v>
      </c>
      <c r="W1213" s="8">
        <f t="shared" si="262"/>
        <v>151</v>
      </c>
      <c r="X1213" t="str">
        <f t="shared" si="263"/>
        <v>Diabetes</v>
      </c>
      <c r="Y1213" t="s">
        <v>23</v>
      </c>
      <c r="Z1213" t="s">
        <v>23</v>
      </c>
      <c r="AA1213" t="s">
        <v>24</v>
      </c>
      <c r="AB1213" s="3" t="s">
        <v>1039</v>
      </c>
      <c r="AC1213">
        <v>156</v>
      </c>
      <c r="AD1213" s="3" t="str">
        <f t="shared" si="264"/>
        <v>156</v>
      </c>
      <c r="AE1213">
        <v>68</v>
      </c>
      <c r="AF1213" s="3" t="str">
        <f t="shared" si="265"/>
        <v>68</v>
      </c>
      <c r="AG1213" t="s">
        <v>38</v>
      </c>
      <c r="AH1213" s="3">
        <v>23.195</v>
      </c>
      <c r="AI1213" s="3">
        <f t="shared" si="266"/>
        <v>23.195</v>
      </c>
      <c r="AJ1213" t="s">
        <v>30</v>
      </c>
      <c r="AK1213" t="str">
        <f>PROPER(Table1[[#This Row],[CVD Risk Level]])</f>
        <v>High</v>
      </c>
    </row>
    <row r="1214" spans="1:37" x14ac:dyDescent="0.3">
      <c r="A1214" t="s">
        <v>20</v>
      </c>
      <c r="B1214">
        <v>61</v>
      </c>
      <c r="C1214" s="8">
        <f t="shared" si="255"/>
        <v>61</v>
      </c>
      <c r="D1214" s="5">
        <v>57.841000000000001</v>
      </c>
      <c r="E1214" s="8">
        <f t="shared" si="256"/>
        <v>57.841000000000001</v>
      </c>
      <c r="F1214">
        <v>1.7889999999999999</v>
      </c>
      <c r="G1214" s="3">
        <f t="shared" si="257"/>
        <v>1.7889999999999999</v>
      </c>
      <c r="H1214">
        <v>27.015000000000001</v>
      </c>
      <c r="I1214" s="5">
        <f t="shared" si="253"/>
        <v>27.015000000000001</v>
      </c>
      <c r="J1214" s="16" t="str">
        <f t="shared" si="258"/>
        <v>Overweight</v>
      </c>
      <c r="K1214">
        <v>70.902000000000001</v>
      </c>
      <c r="M1214" s="11">
        <f t="shared" si="254"/>
        <v>0.39632196757965343</v>
      </c>
      <c r="N1214" s="5">
        <f t="shared" si="259"/>
        <v>70.902000000000001</v>
      </c>
      <c r="O1214">
        <v>280</v>
      </c>
      <c r="P1214">
        <v>77</v>
      </c>
      <c r="Q1214" s="8">
        <f t="shared" si="260"/>
        <v>77</v>
      </c>
      <c r="R1214" s="8">
        <v>173</v>
      </c>
      <c r="S1214" s="8">
        <f t="shared" si="261"/>
        <v>173</v>
      </c>
      <c r="T1214" s="8">
        <f>(Table1[[#This Row],[Total Cholesterol (mg/dL)]]+Table1[[#This Row],[HDL (mg/dL)2]]+Table1[[#This Row],[Estimated LDL (mg/dL)2]])*5</f>
        <v>2650</v>
      </c>
      <c r="U1214" s="8">
        <f>IF(O1214="",Table1[[#This Row],[Estimated LDL (mg/dL)2]]+Table1[[#This Row],[HDL (mg/dL)2]]+(Table1[[#This Row],[Triglycerides]]/5),O1214)</f>
        <v>280</v>
      </c>
      <c r="V1214">
        <v>187</v>
      </c>
      <c r="W1214" s="8">
        <f t="shared" si="262"/>
        <v>187</v>
      </c>
      <c r="X1214" t="str">
        <f t="shared" si="263"/>
        <v>Diabetes</v>
      </c>
      <c r="Y1214" t="s">
        <v>23</v>
      </c>
      <c r="Z1214" t="s">
        <v>22</v>
      </c>
      <c r="AA1214" t="s">
        <v>24</v>
      </c>
      <c r="AB1214" s="3" t="s">
        <v>1012</v>
      </c>
      <c r="AC1214">
        <v>154</v>
      </c>
      <c r="AD1214" s="3" t="str">
        <f t="shared" si="264"/>
        <v>154</v>
      </c>
      <c r="AE1214">
        <v>71</v>
      </c>
      <c r="AF1214" s="3" t="str">
        <f t="shared" si="265"/>
        <v>71</v>
      </c>
      <c r="AG1214" t="s">
        <v>38</v>
      </c>
      <c r="AH1214" s="3">
        <v>18.702999999999999</v>
      </c>
      <c r="AI1214" s="3">
        <f t="shared" si="266"/>
        <v>18.702999999999999</v>
      </c>
      <c r="AJ1214" t="s">
        <v>30</v>
      </c>
      <c r="AK1214" t="str">
        <f>PROPER(Table1[[#This Row],[CVD Risk Level]])</f>
        <v>High</v>
      </c>
    </row>
    <row r="1215" spans="1:37" x14ac:dyDescent="0.3">
      <c r="A1215" t="s">
        <v>31</v>
      </c>
      <c r="B1215">
        <v>32</v>
      </c>
      <c r="C1215" s="8">
        <f t="shared" si="255"/>
        <v>32</v>
      </c>
      <c r="D1215" s="5">
        <v>51.237000000000002</v>
      </c>
      <c r="E1215" s="8">
        <f t="shared" si="256"/>
        <v>51.237000000000002</v>
      </c>
      <c r="F1215">
        <v>1.544</v>
      </c>
      <c r="G1215" s="3">
        <f t="shared" si="257"/>
        <v>1.544</v>
      </c>
      <c r="H1215">
        <v>21.132999999999999</v>
      </c>
      <c r="I1215" s="5">
        <f t="shared" si="253"/>
        <v>21.132999999999999</v>
      </c>
      <c r="J1215" s="16" t="str">
        <f t="shared" si="258"/>
        <v>Normal</v>
      </c>
      <c r="K1215">
        <v>72.805999999999997</v>
      </c>
      <c r="L1215">
        <v>0.47099999999999997</v>
      </c>
      <c r="M1215" s="11">
        <f t="shared" si="254"/>
        <v>0.47099999999999997</v>
      </c>
      <c r="N1215" s="5">
        <f t="shared" si="259"/>
        <v>72.805999999999997</v>
      </c>
      <c r="O1215">
        <v>122</v>
      </c>
      <c r="P1215">
        <v>47</v>
      </c>
      <c r="Q1215" s="8">
        <f t="shared" si="260"/>
        <v>47</v>
      </c>
      <c r="R1215" s="8">
        <v>45</v>
      </c>
      <c r="S1215" s="8">
        <f t="shared" si="261"/>
        <v>45</v>
      </c>
      <c r="T1215" s="8">
        <f>(Table1[[#This Row],[Total Cholesterol (mg/dL)]]+Table1[[#This Row],[HDL (mg/dL)2]]+Table1[[#This Row],[Estimated LDL (mg/dL)2]])*5</f>
        <v>1070</v>
      </c>
      <c r="U1215" s="8">
        <f>IF(O1215="",Table1[[#This Row],[Estimated LDL (mg/dL)2]]+Table1[[#This Row],[HDL (mg/dL)2]]+(Table1[[#This Row],[Triglycerides]]/5),O1215)</f>
        <v>122</v>
      </c>
      <c r="V1215">
        <v>176</v>
      </c>
      <c r="W1215" s="8">
        <f t="shared" si="262"/>
        <v>176</v>
      </c>
      <c r="X1215" t="str">
        <f t="shared" si="263"/>
        <v>Diabetes</v>
      </c>
      <c r="Y1215" t="s">
        <v>22</v>
      </c>
      <c r="Z1215" t="s">
        <v>23</v>
      </c>
      <c r="AA1215" t="s">
        <v>24</v>
      </c>
      <c r="AB1215" s="3" t="s">
        <v>1040</v>
      </c>
      <c r="AC1215">
        <v>146</v>
      </c>
      <c r="AD1215" s="3" t="str">
        <f t="shared" si="264"/>
        <v>146</v>
      </c>
      <c r="AE1215">
        <v>118</v>
      </c>
      <c r="AF1215" s="3" t="str">
        <f t="shared" si="265"/>
        <v>118</v>
      </c>
      <c r="AG1215" t="s">
        <v>38</v>
      </c>
      <c r="AH1215" s="3">
        <v>15.967000000000001</v>
      </c>
      <c r="AI1215" s="3">
        <f t="shared" si="266"/>
        <v>15.967000000000001</v>
      </c>
      <c r="AJ1215" t="s">
        <v>52</v>
      </c>
      <c r="AK1215" t="str">
        <f>PROPER(Table1[[#This Row],[CVD Risk Level]])</f>
        <v>Low</v>
      </c>
    </row>
    <row r="1216" spans="1:37" x14ac:dyDescent="0.3">
      <c r="A1216" t="s">
        <v>31</v>
      </c>
      <c r="B1216">
        <v>79</v>
      </c>
      <c r="C1216" s="8">
        <f t="shared" si="255"/>
        <v>79</v>
      </c>
      <c r="D1216" s="5">
        <v>84.51</v>
      </c>
      <c r="E1216" s="8">
        <f t="shared" si="256"/>
        <v>84.51</v>
      </c>
      <c r="F1216">
        <v>1.6839999999999999</v>
      </c>
      <c r="G1216" s="3">
        <f t="shared" si="257"/>
        <v>1.6839999999999999</v>
      </c>
      <c r="H1216">
        <v>19.545999999999999</v>
      </c>
      <c r="I1216" s="5">
        <f t="shared" si="253"/>
        <v>19.545999999999999</v>
      </c>
      <c r="J1216" s="16" t="str">
        <f t="shared" si="258"/>
        <v>Normal</v>
      </c>
      <c r="K1216">
        <v>97.86</v>
      </c>
      <c r="L1216">
        <v>0.58099999999999996</v>
      </c>
      <c r="M1216" s="11">
        <f t="shared" si="254"/>
        <v>0.58099999999999996</v>
      </c>
      <c r="N1216" s="5">
        <f t="shared" si="259"/>
        <v>97.86</v>
      </c>
      <c r="O1216">
        <v>115</v>
      </c>
      <c r="P1216">
        <v>63</v>
      </c>
      <c r="Q1216" s="8">
        <f t="shared" si="260"/>
        <v>63</v>
      </c>
      <c r="R1216" s="8">
        <v>22</v>
      </c>
      <c r="S1216" s="8">
        <f t="shared" si="261"/>
        <v>22</v>
      </c>
      <c r="T1216" s="8">
        <f>(Table1[[#This Row],[Total Cholesterol (mg/dL)]]+Table1[[#This Row],[HDL (mg/dL)2]]+Table1[[#This Row],[Estimated LDL (mg/dL)2]])*5</f>
        <v>1000</v>
      </c>
      <c r="U1216" s="8">
        <f>IF(O1216="",Table1[[#This Row],[Estimated LDL (mg/dL)2]]+Table1[[#This Row],[HDL (mg/dL)2]]+(Table1[[#This Row],[Triglycerides]]/5),O1216)</f>
        <v>115</v>
      </c>
      <c r="V1216">
        <v>120</v>
      </c>
      <c r="W1216" s="8">
        <f t="shared" si="262"/>
        <v>120</v>
      </c>
      <c r="X1216" t="str">
        <f t="shared" si="263"/>
        <v>Prediabetes</v>
      </c>
      <c r="Y1216" t="s">
        <v>22</v>
      </c>
      <c r="Z1216" t="s">
        <v>22</v>
      </c>
      <c r="AA1216" t="s">
        <v>37</v>
      </c>
      <c r="AB1216" s="3" t="s">
        <v>1041</v>
      </c>
      <c r="AC1216">
        <v>157</v>
      </c>
      <c r="AD1216" s="3" t="str">
        <f t="shared" si="264"/>
        <v>157</v>
      </c>
      <c r="AE1216">
        <v>65</v>
      </c>
      <c r="AF1216" s="3" t="str">
        <f t="shared" si="265"/>
        <v>65</v>
      </c>
      <c r="AG1216" t="s">
        <v>38</v>
      </c>
      <c r="AH1216" s="3">
        <v>14.058999999999999</v>
      </c>
      <c r="AI1216" s="3">
        <f t="shared" si="266"/>
        <v>14.058999999999999</v>
      </c>
      <c r="AJ1216" t="s">
        <v>26</v>
      </c>
      <c r="AK1216" t="str">
        <f>PROPER(Table1[[#This Row],[CVD Risk Level]])</f>
        <v>Intermediary</v>
      </c>
    </row>
    <row r="1217" spans="1:37" x14ac:dyDescent="0.3">
      <c r="A1217" t="s">
        <v>20</v>
      </c>
      <c r="B1217">
        <v>29</v>
      </c>
      <c r="C1217" s="8">
        <f t="shared" si="255"/>
        <v>29</v>
      </c>
      <c r="E1217" s="8">
        <f t="shared" si="256"/>
        <v>109.058527424</v>
      </c>
      <c r="F1217">
        <v>1.6719999999999999</v>
      </c>
      <c r="G1217" s="3">
        <f t="shared" si="257"/>
        <v>1.6719999999999999</v>
      </c>
      <c r="H1217">
        <v>39.011000000000003</v>
      </c>
      <c r="I1217" s="5">
        <f t="shared" si="253"/>
        <v>39.011000000000003</v>
      </c>
      <c r="J1217" s="16" t="str">
        <f t="shared" si="258"/>
        <v>Obese</v>
      </c>
      <c r="K1217">
        <v>114.98099999999999</v>
      </c>
      <c r="L1217">
        <v>0.68799999999999994</v>
      </c>
      <c r="M1217" s="11">
        <f t="shared" si="254"/>
        <v>0.68799999999999994</v>
      </c>
      <c r="N1217" s="5">
        <f t="shared" si="259"/>
        <v>114.98099999999999</v>
      </c>
      <c r="O1217">
        <v>175</v>
      </c>
      <c r="P1217">
        <v>34</v>
      </c>
      <c r="Q1217" s="8">
        <f t="shared" si="260"/>
        <v>34</v>
      </c>
      <c r="R1217" s="8">
        <v>111</v>
      </c>
      <c r="S1217" s="8">
        <f t="shared" si="261"/>
        <v>111</v>
      </c>
      <c r="T1217" s="8">
        <f>(Table1[[#This Row],[Total Cholesterol (mg/dL)]]+Table1[[#This Row],[HDL (mg/dL)2]]+Table1[[#This Row],[Estimated LDL (mg/dL)2]])*5</f>
        <v>1600</v>
      </c>
      <c r="U1217" s="8">
        <f>IF(O1217="",Table1[[#This Row],[Estimated LDL (mg/dL)2]]+Table1[[#This Row],[HDL (mg/dL)2]]+(Table1[[#This Row],[Triglycerides]]/5),O1217)</f>
        <v>175</v>
      </c>
      <c r="V1217">
        <v>178</v>
      </c>
      <c r="W1217" s="8">
        <f t="shared" si="262"/>
        <v>178</v>
      </c>
      <c r="X1217" t="str">
        <f t="shared" si="263"/>
        <v>Diabetes</v>
      </c>
      <c r="Y1217" t="s">
        <v>23</v>
      </c>
      <c r="Z1217" t="s">
        <v>22</v>
      </c>
      <c r="AA1217" t="s">
        <v>28</v>
      </c>
      <c r="AB1217" s="3" t="s">
        <v>1042</v>
      </c>
      <c r="AC1217">
        <v>123</v>
      </c>
      <c r="AD1217" s="3" t="str">
        <f t="shared" si="264"/>
        <v>123</v>
      </c>
      <c r="AE1217">
        <v>114</v>
      </c>
      <c r="AF1217" s="3" t="str">
        <f t="shared" si="265"/>
        <v>114</v>
      </c>
      <c r="AG1217" t="s">
        <v>38</v>
      </c>
      <c r="AI1217" s="3">
        <f t="shared" si="266"/>
        <v>16.960925291295425</v>
      </c>
      <c r="AJ1217" t="s">
        <v>52</v>
      </c>
      <c r="AK1217" t="str">
        <f>PROPER(Table1[[#This Row],[CVD Risk Level]])</f>
        <v>Low</v>
      </c>
    </row>
    <row r="1218" spans="1:37" x14ac:dyDescent="0.3">
      <c r="A1218" t="s">
        <v>20</v>
      </c>
      <c r="B1218">
        <v>75</v>
      </c>
      <c r="C1218" s="8">
        <f t="shared" si="255"/>
        <v>75</v>
      </c>
      <c r="D1218" s="5">
        <v>119.42100000000001</v>
      </c>
      <c r="E1218" s="8">
        <f t="shared" si="256"/>
        <v>119.42100000000001</v>
      </c>
      <c r="F1218">
        <v>1.6140000000000001</v>
      </c>
      <c r="G1218" s="3">
        <f t="shared" si="257"/>
        <v>1.6140000000000001</v>
      </c>
      <c r="H1218">
        <v>20.669</v>
      </c>
      <c r="I1218" s="5">
        <f t="shared" ref="I1218:I1281" si="267" xml:space="preserve"> IF(H1218="",E1218 / (G1218^2),H1218)</f>
        <v>20.669</v>
      </c>
      <c r="J1218" s="16" t="str">
        <f t="shared" si="258"/>
        <v>Normal</v>
      </c>
      <c r="K1218">
        <v>100.03</v>
      </c>
      <c r="L1218">
        <v>0.62</v>
      </c>
      <c r="M1218" s="11">
        <f t="shared" ref="M1218:M1281" si="268">IF(L1218="",K1218/(G1218*100),L1218)</f>
        <v>0.62</v>
      </c>
      <c r="N1218" s="5">
        <f t="shared" si="259"/>
        <v>100.03</v>
      </c>
      <c r="O1218">
        <v>163</v>
      </c>
      <c r="P1218">
        <v>42</v>
      </c>
      <c r="Q1218" s="8">
        <f t="shared" si="260"/>
        <v>42</v>
      </c>
      <c r="R1218" s="8">
        <v>91</v>
      </c>
      <c r="S1218" s="8">
        <f t="shared" si="261"/>
        <v>91</v>
      </c>
      <c r="T1218" s="8">
        <f>(Table1[[#This Row],[Total Cholesterol (mg/dL)]]+Table1[[#This Row],[HDL (mg/dL)2]]+Table1[[#This Row],[Estimated LDL (mg/dL)2]])*5</f>
        <v>1480</v>
      </c>
      <c r="U1218" s="8">
        <f>IF(O1218="",Table1[[#This Row],[Estimated LDL (mg/dL)2]]+Table1[[#This Row],[HDL (mg/dL)2]]+(Table1[[#This Row],[Triglycerides]]/5),O1218)</f>
        <v>163</v>
      </c>
      <c r="W1218" s="8">
        <f t="shared" si="262"/>
        <v>117.48563611491107</v>
      </c>
      <c r="X1218" t="str">
        <f t="shared" si="263"/>
        <v>Prediabetes</v>
      </c>
      <c r="Y1218" t="s">
        <v>22</v>
      </c>
      <c r="Z1218" t="s">
        <v>22</v>
      </c>
      <c r="AA1218" t="s">
        <v>24</v>
      </c>
      <c r="AB1218" s="3" t="s">
        <v>1043</v>
      </c>
      <c r="AC1218">
        <v>111</v>
      </c>
      <c r="AD1218" s="3" t="str">
        <f t="shared" si="264"/>
        <v>111</v>
      </c>
      <c r="AE1218">
        <v>82</v>
      </c>
      <c r="AF1218" s="3" t="str">
        <f t="shared" si="265"/>
        <v>82</v>
      </c>
      <c r="AG1218" t="s">
        <v>29</v>
      </c>
      <c r="AH1218" s="3">
        <v>12.944000000000001</v>
      </c>
      <c r="AI1218" s="3">
        <f t="shared" si="266"/>
        <v>12.944000000000001</v>
      </c>
      <c r="AJ1218" t="s">
        <v>52</v>
      </c>
      <c r="AK1218" t="str">
        <f>PROPER(Table1[[#This Row],[CVD Risk Level]])</f>
        <v>Low</v>
      </c>
    </row>
    <row r="1219" spans="1:37" x14ac:dyDescent="0.3">
      <c r="A1219" t="s">
        <v>31</v>
      </c>
      <c r="B1219">
        <v>39</v>
      </c>
      <c r="C1219" s="8">
        <f t="shared" ref="C1219:C1282" si="269">IF(B1219="",AVERAGE($B$2:$B$1530),B1219)</f>
        <v>39</v>
      </c>
      <c r="D1219" s="5">
        <v>89.867999999999995</v>
      </c>
      <c r="E1219" s="8">
        <f t="shared" ref="E1219:E1282" si="270">IF(D1219="", H1219*(F1219^2),D1219)</f>
        <v>89.867999999999995</v>
      </c>
      <c r="F1219">
        <v>1.8640000000000001</v>
      </c>
      <c r="G1219" s="3">
        <f t="shared" ref="G1219:G1282" si="271">IF(F1219="", SQRT(E1219 / H1219),F1219)</f>
        <v>1.8640000000000001</v>
      </c>
      <c r="H1219">
        <v>38.767000000000003</v>
      </c>
      <c r="I1219" s="5">
        <f t="shared" si="267"/>
        <v>38.767000000000003</v>
      </c>
      <c r="J1219" s="16" t="str">
        <f t="shared" ref="J1219:J1282" si="272">IF(I1219&lt;18.5,"Underweight",IF(I1219&lt;25,"Normal",IF(I1219&lt;30,"Overweight","Obese")))</f>
        <v>Obese</v>
      </c>
      <c r="K1219">
        <v>97.74</v>
      </c>
      <c r="L1219">
        <v>0.52400000000000002</v>
      </c>
      <c r="M1219" s="11">
        <f t="shared" si="268"/>
        <v>0.52400000000000002</v>
      </c>
      <c r="N1219" s="5">
        <f t="shared" ref="N1219:N1282" si="273">IF(K1219="",M1219*(G1219*100),K1219)</f>
        <v>97.74</v>
      </c>
      <c r="O1219">
        <v>169</v>
      </c>
      <c r="P1219">
        <v>38</v>
      </c>
      <c r="Q1219" s="8">
        <f t="shared" ref="Q1219:Q1282" si="274">IF(P1219="",AVERAGE($P$2:$P$1530),P1219)</f>
        <v>38</v>
      </c>
      <c r="R1219" s="8">
        <v>101</v>
      </c>
      <c r="S1219" s="8">
        <f t="shared" ref="S1219:S1282" si="275">IF(R1219&lt;=0,MEDIAN($R$2:$R$1530),R1219)</f>
        <v>101</v>
      </c>
      <c r="T1219" s="8">
        <f>(Table1[[#This Row],[Total Cholesterol (mg/dL)]]+Table1[[#This Row],[HDL (mg/dL)2]]+Table1[[#This Row],[Estimated LDL (mg/dL)2]])*5</f>
        <v>1540</v>
      </c>
      <c r="U1219" s="8">
        <f>IF(O1219="",Table1[[#This Row],[Estimated LDL (mg/dL)2]]+Table1[[#This Row],[HDL (mg/dL)2]]+(Table1[[#This Row],[Triglycerides]]/5),O1219)</f>
        <v>169</v>
      </c>
      <c r="V1219">
        <v>154</v>
      </c>
      <c r="W1219" s="8">
        <f t="shared" ref="W1219:W1282" si="276">IF(V1219="",AVERAGE($V$2:$V$1530),V1219)</f>
        <v>154</v>
      </c>
      <c r="X1219" t="str">
        <f t="shared" ref="X1219:X1282" si="277">IF(W1219&lt;100,"Normal",IF(W1219&lt;126,"Prediabetes","Diabetes"))</f>
        <v>Diabetes</v>
      </c>
      <c r="Y1219" t="s">
        <v>22</v>
      </c>
      <c r="Z1219" t="s">
        <v>23</v>
      </c>
      <c r="AA1219" t="s">
        <v>24</v>
      </c>
      <c r="AB1219" s="3" t="s">
        <v>1044</v>
      </c>
      <c r="AC1219">
        <v>178</v>
      </c>
      <c r="AD1219" s="3" t="str">
        <f t="shared" ref="AD1219:AD1282" si="278">LEFT(AB1219,FIND("/",AB1219)-1)</f>
        <v>178</v>
      </c>
      <c r="AE1219">
        <v>111</v>
      </c>
      <c r="AF1219" s="3" t="str">
        <f t="shared" ref="AF1219:AF1282" si="279">RIGHT(AB1219,LEN(AB1219)-FIND("/",AB1219))</f>
        <v>111</v>
      </c>
      <c r="AG1219" t="s">
        <v>38</v>
      </c>
      <c r="AH1219" s="3">
        <v>22.033000000000001</v>
      </c>
      <c r="AI1219" s="3">
        <f t="shared" ref="AI1219:AI1282" si="280">IF(AH1219="",AVERAGE($AH$2:$AH$1530),AH1219)</f>
        <v>22.033000000000001</v>
      </c>
      <c r="AJ1219" t="s">
        <v>52</v>
      </c>
      <c r="AK1219" t="str">
        <f>PROPER(Table1[[#This Row],[CVD Risk Level]])</f>
        <v>Low</v>
      </c>
    </row>
    <row r="1220" spans="1:37" x14ac:dyDescent="0.3">
      <c r="A1220" t="s">
        <v>20</v>
      </c>
      <c r="B1220">
        <v>49</v>
      </c>
      <c r="C1220" s="8">
        <f t="shared" si="269"/>
        <v>49</v>
      </c>
      <c r="D1220" s="5">
        <v>99.522000000000006</v>
      </c>
      <c r="E1220" s="8">
        <f t="shared" si="270"/>
        <v>99.522000000000006</v>
      </c>
      <c r="F1220">
        <v>1.9690000000000001</v>
      </c>
      <c r="G1220" s="3">
        <f t="shared" si="271"/>
        <v>1.9690000000000001</v>
      </c>
      <c r="I1220" s="5">
        <f t="shared" si="267"/>
        <v>25.670106044399205</v>
      </c>
      <c r="J1220" s="16" t="str">
        <f t="shared" si="272"/>
        <v>Overweight</v>
      </c>
      <c r="K1220">
        <v>85.954999999999998</v>
      </c>
      <c r="L1220">
        <v>0.437</v>
      </c>
      <c r="M1220" s="11">
        <f t="shared" si="268"/>
        <v>0.437</v>
      </c>
      <c r="N1220" s="5">
        <f t="shared" si="273"/>
        <v>85.954999999999998</v>
      </c>
      <c r="O1220">
        <v>135</v>
      </c>
      <c r="P1220">
        <v>55</v>
      </c>
      <c r="Q1220" s="8">
        <f t="shared" si="274"/>
        <v>55</v>
      </c>
      <c r="R1220" s="8">
        <v>50</v>
      </c>
      <c r="S1220" s="8">
        <f t="shared" si="275"/>
        <v>50</v>
      </c>
      <c r="T1220" s="8">
        <f>(Table1[[#This Row],[Total Cholesterol (mg/dL)]]+Table1[[#This Row],[HDL (mg/dL)2]]+Table1[[#This Row],[Estimated LDL (mg/dL)2]])*5</f>
        <v>1200</v>
      </c>
      <c r="U1220" s="8">
        <f>IF(O1220="",Table1[[#This Row],[Estimated LDL (mg/dL)2]]+Table1[[#This Row],[HDL (mg/dL)2]]+(Table1[[#This Row],[Triglycerides]]/5),O1220)</f>
        <v>135</v>
      </c>
      <c r="V1220">
        <v>120</v>
      </c>
      <c r="W1220" s="8">
        <f t="shared" si="276"/>
        <v>120</v>
      </c>
      <c r="X1220" t="str">
        <f t="shared" si="277"/>
        <v>Prediabetes</v>
      </c>
      <c r="Y1220" t="s">
        <v>22</v>
      </c>
      <c r="Z1220" t="s">
        <v>23</v>
      </c>
      <c r="AA1220" t="s">
        <v>28</v>
      </c>
      <c r="AB1220" s="3" t="s">
        <v>130</v>
      </c>
      <c r="AC1220">
        <v>127</v>
      </c>
      <c r="AD1220" s="3" t="str">
        <f t="shared" si="278"/>
        <v>127</v>
      </c>
      <c r="AE1220">
        <v>98</v>
      </c>
      <c r="AF1220" s="3" t="str">
        <f t="shared" si="279"/>
        <v>98</v>
      </c>
      <c r="AG1220" t="s">
        <v>38</v>
      </c>
      <c r="AH1220" s="3">
        <v>15.167999999999999</v>
      </c>
      <c r="AI1220" s="3">
        <f t="shared" si="280"/>
        <v>15.167999999999999</v>
      </c>
      <c r="AJ1220" t="s">
        <v>26</v>
      </c>
      <c r="AK1220" t="str">
        <f>PROPER(Table1[[#This Row],[CVD Risk Level]])</f>
        <v>Intermediary</v>
      </c>
    </row>
    <row r="1221" spans="1:37" x14ac:dyDescent="0.3">
      <c r="A1221" t="s">
        <v>20</v>
      </c>
      <c r="B1221">
        <v>47</v>
      </c>
      <c r="C1221" s="8">
        <f t="shared" si="269"/>
        <v>47</v>
      </c>
      <c r="D1221" s="5">
        <v>72.641000000000005</v>
      </c>
      <c r="E1221" s="8">
        <f t="shared" si="270"/>
        <v>72.641000000000005</v>
      </c>
      <c r="F1221">
        <v>1.9370000000000001</v>
      </c>
      <c r="G1221" s="3">
        <f t="shared" si="271"/>
        <v>1.9370000000000001</v>
      </c>
      <c r="H1221">
        <v>22.629000000000001</v>
      </c>
      <c r="I1221" s="5">
        <f t="shared" si="267"/>
        <v>22.629000000000001</v>
      </c>
      <c r="J1221" s="16" t="str">
        <f t="shared" si="272"/>
        <v>Normal</v>
      </c>
      <c r="K1221">
        <v>95.209000000000003</v>
      </c>
      <c r="L1221">
        <v>0.49199999999999999</v>
      </c>
      <c r="M1221" s="11">
        <f t="shared" si="268"/>
        <v>0.49199999999999999</v>
      </c>
      <c r="N1221" s="5">
        <f t="shared" si="273"/>
        <v>95.209000000000003</v>
      </c>
      <c r="O1221">
        <v>133</v>
      </c>
      <c r="P1221">
        <v>34</v>
      </c>
      <c r="Q1221" s="8">
        <f t="shared" si="274"/>
        <v>34</v>
      </c>
      <c r="R1221" s="8">
        <v>69</v>
      </c>
      <c r="S1221" s="8">
        <f t="shared" si="275"/>
        <v>69</v>
      </c>
      <c r="T1221" s="8">
        <f>(Table1[[#This Row],[Total Cholesterol (mg/dL)]]+Table1[[#This Row],[HDL (mg/dL)2]]+Table1[[#This Row],[Estimated LDL (mg/dL)2]])*5</f>
        <v>1180</v>
      </c>
      <c r="U1221" s="8">
        <f>IF(O1221="",Table1[[#This Row],[Estimated LDL (mg/dL)2]]+Table1[[#This Row],[HDL (mg/dL)2]]+(Table1[[#This Row],[Triglycerides]]/5),O1221)</f>
        <v>133</v>
      </c>
      <c r="V1221">
        <v>120</v>
      </c>
      <c r="W1221" s="8">
        <f t="shared" si="276"/>
        <v>120</v>
      </c>
      <c r="X1221" t="str">
        <f t="shared" si="277"/>
        <v>Prediabetes</v>
      </c>
      <c r="Y1221" t="s">
        <v>23</v>
      </c>
      <c r="Z1221" t="s">
        <v>22</v>
      </c>
      <c r="AA1221" t="s">
        <v>24</v>
      </c>
      <c r="AB1221" s="3" t="s">
        <v>1045</v>
      </c>
      <c r="AC1221">
        <v>139</v>
      </c>
      <c r="AD1221" s="3" t="str">
        <f t="shared" si="278"/>
        <v>139</v>
      </c>
      <c r="AE1221">
        <v>108</v>
      </c>
      <c r="AF1221" s="3" t="str">
        <f t="shared" si="279"/>
        <v>108</v>
      </c>
      <c r="AG1221" t="s">
        <v>29</v>
      </c>
      <c r="AH1221" s="3">
        <v>14.135999999999999</v>
      </c>
      <c r="AI1221" s="3">
        <f t="shared" si="280"/>
        <v>14.135999999999999</v>
      </c>
      <c r="AJ1221" t="s">
        <v>26</v>
      </c>
      <c r="AK1221" t="str">
        <f>PROPER(Table1[[#This Row],[CVD Risk Level]])</f>
        <v>Intermediary</v>
      </c>
    </row>
    <row r="1222" spans="1:37" x14ac:dyDescent="0.3">
      <c r="A1222" t="s">
        <v>20</v>
      </c>
      <c r="B1222">
        <v>44</v>
      </c>
      <c r="C1222" s="8">
        <f t="shared" si="269"/>
        <v>44</v>
      </c>
      <c r="D1222" s="5">
        <v>84.462999999999994</v>
      </c>
      <c r="E1222" s="8">
        <f t="shared" si="270"/>
        <v>84.462999999999994</v>
      </c>
      <c r="F1222">
        <v>1.84</v>
      </c>
      <c r="G1222" s="3">
        <f t="shared" si="271"/>
        <v>1.84</v>
      </c>
      <c r="I1222" s="5">
        <f t="shared" si="267"/>
        <v>24.947719754253306</v>
      </c>
      <c r="J1222" s="16" t="str">
        <f t="shared" si="272"/>
        <v>Normal</v>
      </c>
      <c r="K1222">
        <v>72.656999999999996</v>
      </c>
      <c r="L1222">
        <v>0.39500000000000002</v>
      </c>
      <c r="M1222" s="11">
        <f t="shared" si="268"/>
        <v>0.39500000000000002</v>
      </c>
      <c r="N1222" s="5">
        <f t="shared" si="273"/>
        <v>72.656999999999996</v>
      </c>
      <c r="O1222">
        <v>110</v>
      </c>
      <c r="P1222">
        <v>53</v>
      </c>
      <c r="Q1222" s="8">
        <f t="shared" si="274"/>
        <v>53</v>
      </c>
      <c r="R1222" s="8">
        <v>27</v>
      </c>
      <c r="S1222" s="8">
        <f t="shared" si="275"/>
        <v>27</v>
      </c>
      <c r="T1222" s="8">
        <f>(Table1[[#This Row],[Total Cholesterol (mg/dL)]]+Table1[[#This Row],[HDL (mg/dL)2]]+Table1[[#This Row],[Estimated LDL (mg/dL)2]])*5</f>
        <v>950</v>
      </c>
      <c r="U1222" s="8">
        <f>IF(O1222="",Table1[[#This Row],[Estimated LDL (mg/dL)2]]+Table1[[#This Row],[HDL (mg/dL)2]]+(Table1[[#This Row],[Triglycerides]]/5),O1222)</f>
        <v>110</v>
      </c>
      <c r="W1222" s="8">
        <f t="shared" si="276"/>
        <v>117.48563611491107</v>
      </c>
      <c r="X1222" t="str">
        <f t="shared" si="277"/>
        <v>Prediabetes</v>
      </c>
      <c r="Y1222" t="s">
        <v>23</v>
      </c>
      <c r="Z1222" t="s">
        <v>23</v>
      </c>
      <c r="AA1222" t="s">
        <v>28</v>
      </c>
      <c r="AB1222" s="3" t="s">
        <v>1046</v>
      </c>
      <c r="AC1222">
        <v>93</v>
      </c>
      <c r="AD1222" s="3" t="str">
        <f t="shared" si="278"/>
        <v>93</v>
      </c>
      <c r="AE1222">
        <v>96</v>
      </c>
      <c r="AF1222" s="3" t="str">
        <f t="shared" si="279"/>
        <v>96</v>
      </c>
      <c r="AG1222" t="s">
        <v>38</v>
      </c>
      <c r="AH1222" s="3">
        <v>16.047000000000001</v>
      </c>
      <c r="AI1222" s="3">
        <f t="shared" si="280"/>
        <v>16.047000000000001</v>
      </c>
      <c r="AJ1222" t="s">
        <v>26</v>
      </c>
      <c r="AK1222" t="str">
        <f>PROPER(Table1[[#This Row],[CVD Risk Level]])</f>
        <v>Intermediary</v>
      </c>
    </row>
    <row r="1223" spans="1:37" x14ac:dyDescent="0.3">
      <c r="A1223" t="s">
        <v>31</v>
      </c>
      <c r="B1223">
        <v>45</v>
      </c>
      <c r="C1223" s="8">
        <f t="shared" si="269"/>
        <v>45</v>
      </c>
      <c r="D1223" s="5">
        <v>94.435000000000002</v>
      </c>
      <c r="E1223" s="8">
        <f t="shared" si="270"/>
        <v>94.435000000000002</v>
      </c>
      <c r="F1223">
        <v>1.528</v>
      </c>
      <c r="G1223" s="3">
        <f t="shared" si="271"/>
        <v>1.528</v>
      </c>
      <c r="H1223">
        <v>39.621000000000002</v>
      </c>
      <c r="I1223" s="5">
        <f t="shared" si="267"/>
        <v>39.621000000000002</v>
      </c>
      <c r="J1223" s="16" t="str">
        <f t="shared" si="272"/>
        <v>Obese</v>
      </c>
      <c r="L1223">
        <v>0.59499999999999997</v>
      </c>
      <c r="M1223" s="11">
        <f t="shared" si="268"/>
        <v>0.59499999999999997</v>
      </c>
      <c r="N1223" s="5">
        <f t="shared" si="273"/>
        <v>90.915999999999997</v>
      </c>
      <c r="O1223">
        <v>284</v>
      </c>
      <c r="P1223">
        <v>86</v>
      </c>
      <c r="Q1223" s="8">
        <f t="shared" si="274"/>
        <v>86</v>
      </c>
      <c r="R1223" s="8">
        <v>168</v>
      </c>
      <c r="S1223" s="8">
        <f t="shared" si="275"/>
        <v>168</v>
      </c>
      <c r="T1223" s="8">
        <f>(Table1[[#This Row],[Total Cholesterol (mg/dL)]]+Table1[[#This Row],[HDL (mg/dL)2]]+Table1[[#This Row],[Estimated LDL (mg/dL)2]])*5</f>
        <v>2690</v>
      </c>
      <c r="U1223" s="8">
        <f>IF(O1223="",Table1[[#This Row],[Estimated LDL (mg/dL)2]]+Table1[[#This Row],[HDL (mg/dL)2]]+(Table1[[#This Row],[Triglycerides]]/5),O1223)</f>
        <v>284</v>
      </c>
      <c r="V1223">
        <v>144</v>
      </c>
      <c r="W1223" s="8">
        <f t="shared" si="276"/>
        <v>144</v>
      </c>
      <c r="X1223" t="str">
        <f t="shared" si="277"/>
        <v>Diabetes</v>
      </c>
      <c r="Y1223" t="s">
        <v>23</v>
      </c>
      <c r="Z1223" t="s">
        <v>22</v>
      </c>
      <c r="AA1223" t="s">
        <v>24</v>
      </c>
      <c r="AB1223" s="3" t="s">
        <v>1047</v>
      </c>
      <c r="AC1223">
        <v>167</v>
      </c>
      <c r="AD1223" s="3" t="str">
        <f t="shared" si="278"/>
        <v>167</v>
      </c>
      <c r="AE1223">
        <v>90</v>
      </c>
      <c r="AF1223" s="3" t="str">
        <f t="shared" si="279"/>
        <v>90</v>
      </c>
      <c r="AG1223" t="s">
        <v>38</v>
      </c>
      <c r="AH1223" s="3">
        <v>21.954000000000001</v>
      </c>
      <c r="AI1223" s="3">
        <f t="shared" si="280"/>
        <v>21.954000000000001</v>
      </c>
      <c r="AJ1223" t="s">
        <v>52</v>
      </c>
      <c r="AK1223" t="str">
        <f>PROPER(Table1[[#This Row],[CVD Risk Level]])</f>
        <v>Low</v>
      </c>
    </row>
    <row r="1224" spans="1:37" x14ac:dyDescent="0.3">
      <c r="A1224" t="s">
        <v>20</v>
      </c>
      <c r="B1224">
        <v>30</v>
      </c>
      <c r="C1224" s="8">
        <f t="shared" si="269"/>
        <v>30</v>
      </c>
      <c r="D1224" s="5">
        <v>51.725999999999999</v>
      </c>
      <c r="E1224" s="8">
        <f t="shared" si="270"/>
        <v>51.725999999999999</v>
      </c>
      <c r="F1224">
        <v>1.619</v>
      </c>
      <c r="G1224" s="3">
        <f t="shared" si="271"/>
        <v>1.619</v>
      </c>
      <c r="H1224">
        <v>28.905999999999999</v>
      </c>
      <c r="I1224" s="5">
        <f t="shared" si="267"/>
        <v>28.905999999999999</v>
      </c>
      <c r="J1224" s="16" t="str">
        <f t="shared" si="272"/>
        <v>Overweight</v>
      </c>
      <c r="K1224">
        <v>98.12</v>
      </c>
      <c r="L1224">
        <v>0.60599999999999998</v>
      </c>
      <c r="M1224" s="11">
        <f t="shared" si="268"/>
        <v>0.60599999999999998</v>
      </c>
      <c r="N1224" s="5">
        <f t="shared" si="273"/>
        <v>98.12</v>
      </c>
      <c r="O1224">
        <v>113</v>
      </c>
      <c r="P1224">
        <v>43</v>
      </c>
      <c r="Q1224" s="8">
        <f t="shared" si="274"/>
        <v>43</v>
      </c>
      <c r="R1224" s="8">
        <v>40</v>
      </c>
      <c r="S1224" s="8">
        <f t="shared" si="275"/>
        <v>40</v>
      </c>
      <c r="T1224" s="8">
        <f>(Table1[[#This Row],[Total Cholesterol (mg/dL)]]+Table1[[#This Row],[HDL (mg/dL)2]]+Table1[[#This Row],[Estimated LDL (mg/dL)2]])*5</f>
        <v>980</v>
      </c>
      <c r="U1224" s="8">
        <f>IF(O1224="",Table1[[#This Row],[Estimated LDL (mg/dL)2]]+Table1[[#This Row],[HDL (mg/dL)2]]+(Table1[[#This Row],[Triglycerides]]/5),O1224)</f>
        <v>113</v>
      </c>
      <c r="V1224">
        <v>91</v>
      </c>
      <c r="W1224" s="8">
        <f t="shared" si="276"/>
        <v>91</v>
      </c>
      <c r="X1224" t="str">
        <f t="shared" si="277"/>
        <v>Normal</v>
      </c>
      <c r="Y1224" t="s">
        <v>23</v>
      </c>
      <c r="Z1224" t="s">
        <v>22</v>
      </c>
      <c r="AA1224" t="s">
        <v>37</v>
      </c>
      <c r="AB1224" s="3" t="s">
        <v>1048</v>
      </c>
      <c r="AC1224">
        <v>173</v>
      </c>
      <c r="AD1224" s="3" t="str">
        <f t="shared" si="278"/>
        <v>173</v>
      </c>
      <c r="AE1224">
        <v>102</v>
      </c>
      <c r="AF1224" s="3" t="str">
        <f t="shared" si="279"/>
        <v>102</v>
      </c>
      <c r="AG1224" t="s">
        <v>38</v>
      </c>
      <c r="AH1224" s="3">
        <v>16.690999999999999</v>
      </c>
      <c r="AI1224" s="3">
        <f t="shared" si="280"/>
        <v>16.690999999999999</v>
      </c>
      <c r="AJ1224" t="s">
        <v>30</v>
      </c>
      <c r="AK1224" t="str">
        <f>PROPER(Table1[[#This Row],[CVD Risk Level]])</f>
        <v>High</v>
      </c>
    </row>
    <row r="1225" spans="1:37" x14ac:dyDescent="0.3">
      <c r="A1225" t="s">
        <v>31</v>
      </c>
      <c r="B1225">
        <v>39</v>
      </c>
      <c r="C1225" s="8">
        <f t="shared" si="269"/>
        <v>39</v>
      </c>
      <c r="D1225" s="5">
        <v>51.042999999999999</v>
      </c>
      <c r="E1225" s="8">
        <f t="shared" si="270"/>
        <v>51.042999999999999</v>
      </c>
      <c r="F1225">
        <v>1.625</v>
      </c>
      <c r="G1225" s="3">
        <f t="shared" si="271"/>
        <v>1.625</v>
      </c>
      <c r="H1225">
        <v>19.056000000000001</v>
      </c>
      <c r="I1225" s="5">
        <f t="shared" si="267"/>
        <v>19.056000000000001</v>
      </c>
      <c r="J1225" s="16" t="str">
        <f t="shared" si="272"/>
        <v>Normal</v>
      </c>
      <c r="K1225">
        <v>90.965000000000003</v>
      </c>
      <c r="L1225">
        <v>0.56000000000000005</v>
      </c>
      <c r="M1225" s="11">
        <f t="shared" si="268"/>
        <v>0.56000000000000005</v>
      </c>
      <c r="N1225" s="5">
        <f t="shared" si="273"/>
        <v>90.965000000000003</v>
      </c>
      <c r="O1225">
        <v>179</v>
      </c>
      <c r="Q1225" s="8">
        <f t="shared" si="274"/>
        <v>56.197377501725327</v>
      </c>
      <c r="R1225" s="8">
        <v>61</v>
      </c>
      <c r="S1225" s="8">
        <f>IF(R1225&lt;=0,MEDIAN($R$2:$R$1530),R1225)</f>
        <v>61</v>
      </c>
      <c r="T1225" s="8">
        <f>(Table1[[#This Row],[Total Cholesterol (mg/dL)]]+Table1[[#This Row],[HDL (mg/dL)2]]+Table1[[#This Row],[Estimated LDL (mg/dL)2]])*5</f>
        <v>1480.9868875086268</v>
      </c>
      <c r="U1225" s="8">
        <f>IF(O1225="",Table1[[#This Row],[Estimated LDL (mg/dL)2]]+Table1[[#This Row],[HDL (mg/dL)2]]+(Table1[[#This Row],[Triglycerides]]/5),O1225)</f>
        <v>179</v>
      </c>
      <c r="V1225">
        <v>131</v>
      </c>
      <c r="W1225" s="8">
        <f t="shared" si="276"/>
        <v>131</v>
      </c>
      <c r="X1225" t="str">
        <f t="shared" si="277"/>
        <v>Diabetes</v>
      </c>
      <c r="Y1225" t="s">
        <v>22</v>
      </c>
      <c r="Z1225" t="s">
        <v>23</v>
      </c>
      <c r="AA1225" t="s">
        <v>37</v>
      </c>
      <c r="AB1225" s="3" t="s">
        <v>1049</v>
      </c>
      <c r="AC1225">
        <v>119</v>
      </c>
      <c r="AD1225" s="3" t="str">
        <f t="shared" si="278"/>
        <v>119</v>
      </c>
      <c r="AE1225">
        <v>100</v>
      </c>
      <c r="AF1225" s="3" t="str">
        <f t="shared" si="279"/>
        <v>100</v>
      </c>
      <c r="AG1225" t="s">
        <v>38</v>
      </c>
      <c r="AH1225" s="3">
        <v>15.340999999999999</v>
      </c>
      <c r="AI1225" s="3">
        <f t="shared" si="280"/>
        <v>15.340999999999999</v>
      </c>
      <c r="AJ1225" t="s">
        <v>52</v>
      </c>
      <c r="AK1225" t="str">
        <f>PROPER(Table1[[#This Row],[CVD Risk Level]])</f>
        <v>Low</v>
      </c>
    </row>
    <row r="1226" spans="1:37" x14ac:dyDescent="0.3">
      <c r="A1226" t="s">
        <v>20</v>
      </c>
      <c r="B1226">
        <v>38</v>
      </c>
      <c r="C1226" s="8">
        <f t="shared" si="269"/>
        <v>38</v>
      </c>
      <c r="D1226" s="5">
        <v>50.625999999999998</v>
      </c>
      <c r="E1226" s="8">
        <f t="shared" si="270"/>
        <v>50.625999999999998</v>
      </c>
      <c r="F1226">
        <v>1.9279999999999999</v>
      </c>
      <c r="G1226" s="3">
        <f t="shared" si="271"/>
        <v>1.9279999999999999</v>
      </c>
      <c r="H1226">
        <v>28.959</v>
      </c>
      <c r="I1226" s="5">
        <f t="shared" si="267"/>
        <v>28.959</v>
      </c>
      <c r="J1226" s="16" t="str">
        <f t="shared" si="272"/>
        <v>Overweight</v>
      </c>
      <c r="K1226">
        <v>113.04</v>
      </c>
      <c r="L1226">
        <v>0.58599999999999997</v>
      </c>
      <c r="M1226" s="11">
        <f t="shared" si="268"/>
        <v>0.58599999999999997</v>
      </c>
      <c r="N1226" s="5">
        <f t="shared" si="273"/>
        <v>113.04</v>
      </c>
      <c r="O1226">
        <v>117</v>
      </c>
      <c r="P1226">
        <v>59</v>
      </c>
      <c r="Q1226" s="8">
        <f t="shared" si="274"/>
        <v>59</v>
      </c>
      <c r="R1226" s="8">
        <v>28</v>
      </c>
      <c r="S1226" s="8">
        <f t="shared" si="275"/>
        <v>28</v>
      </c>
      <c r="T1226" s="8">
        <f>(Table1[[#This Row],[Total Cholesterol (mg/dL)]]+Table1[[#This Row],[HDL (mg/dL)2]]+Table1[[#This Row],[Estimated LDL (mg/dL)2]])*5</f>
        <v>1020</v>
      </c>
      <c r="U1226" s="8">
        <f>IF(O1226="",Table1[[#This Row],[Estimated LDL (mg/dL)2]]+Table1[[#This Row],[HDL (mg/dL)2]]+(Table1[[#This Row],[Triglycerides]]/5),O1226)</f>
        <v>117</v>
      </c>
      <c r="W1226" s="8">
        <f t="shared" si="276"/>
        <v>117.48563611491107</v>
      </c>
      <c r="X1226" t="str">
        <f t="shared" si="277"/>
        <v>Prediabetes</v>
      </c>
      <c r="Y1226" t="s">
        <v>22</v>
      </c>
      <c r="Z1226" t="s">
        <v>22</v>
      </c>
      <c r="AA1226" t="s">
        <v>24</v>
      </c>
      <c r="AB1226" s="3" t="s">
        <v>1050</v>
      </c>
      <c r="AC1226">
        <v>179</v>
      </c>
      <c r="AD1226" s="3" t="str">
        <f t="shared" si="278"/>
        <v>179</v>
      </c>
      <c r="AE1226">
        <v>94</v>
      </c>
      <c r="AF1226" s="3" t="str">
        <f t="shared" si="279"/>
        <v>94</v>
      </c>
      <c r="AG1226" t="s">
        <v>38</v>
      </c>
      <c r="AH1226" s="3">
        <v>17.082000000000001</v>
      </c>
      <c r="AI1226" s="3">
        <f t="shared" si="280"/>
        <v>17.082000000000001</v>
      </c>
      <c r="AJ1226" t="s">
        <v>26</v>
      </c>
      <c r="AK1226" t="str">
        <f>PROPER(Table1[[#This Row],[CVD Risk Level]])</f>
        <v>Intermediary</v>
      </c>
    </row>
    <row r="1227" spans="1:37" x14ac:dyDescent="0.3">
      <c r="A1227" t="s">
        <v>20</v>
      </c>
      <c r="B1227">
        <v>72</v>
      </c>
      <c r="C1227" s="8">
        <f t="shared" si="269"/>
        <v>72</v>
      </c>
      <c r="D1227" s="5">
        <v>63.320999999999998</v>
      </c>
      <c r="E1227" s="8">
        <f t="shared" si="270"/>
        <v>63.320999999999998</v>
      </c>
      <c r="F1227">
        <v>1.722</v>
      </c>
      <c r="G1227" s="3">
        <f t="shared" si="271"/>
        <v>1.722</v>
      </c>
      <c r="H1227">
        <v>28.718</v>
      </c>
      <c r="I1227" s="5">
        <f t="shared" si="267"/>
        <v>28.718</v>
      </c>
      <c r="J1227" s="16" t="str">
        <f t="shared" si="272"/>
        <v>Overweight</v>
      </c>
      <c r="K1227">
        <v>90.281999999999996</v>
      </c>
      <c r="L1227">
        <v>0.52400000000000002</v>
      </c>
      <c r="M1227" s="11">
        <f t="shared" si="268"/>
        <v>0.52400000000000002</v>
      </c>
      <c r="N1227" s="5">
        <f t="shared" si="273"/>
        <v>90.281999999999996</v>
      </c>
      <c r="O1227">
        <v>158</v>
      </c>
      <c r="P1227">
        <v>34</v>
      </c>
      <c r="Q1227" s="8">
        <f t="shared" si="274"/>
        <v>34</v>
      </c>
      <c r="R1227" s="8">
        <v>94</v>
      </c>
      <c r="S1227" s="8">
        <f t="shared" si="275"/>
        <v>94</v>
      </c>
      <c r="T1227" s="8">
        <f>(Table1[[#This Row],[Total Cholesterol (mg/dL)]]+Table1[[#This Row],[HDL (mg/dL)2]]+Table1[[#This Row],[Estimated LDL (mg/dL)2]])*5</f>
        <v>1430</v>
      </c>
      <c r="U1227" s="8">
        <f>IF(O1227="",Table1[[#This Row],[Estimated LDL (mg/dL)2]]+Table1[[#This Row],[HDL (mg/dL)2]]+(Table1[[#This Row],[Triglycerides]]/5),O1227)</f>
        <v>158</v>
      </c>
      <c r="V1227">
        <v>175</v>
      </c>
      <c r="W1227" s="8">
        <f t="shared" si="276"/>
        <v>175</v>
      </c>
      <c r="X1227" t="str">
        <f t="shared" si="277"/>
        <v>Diabetes</v>
      </c>
      <c r="Y1227" t="s">
        <v>23</v>
      </c>
      <c r="Z1227" t="s">
        <v>22</v>
      </c>
      <c r="AA1227" t="s">
        <v>37</v>
      </c>
      <c r="AB1227" s="3" t="s">
        <v>741</v>
      </c>
      <c r="AC1227">
        <v>132</v>
      </c>
      <c r="AD1227" s="3" t="str">
        <f t="shared" si="278"/>
        <v>132</v>
      </c>
      <c r="AE1227">
        <v>76</v>
      </c>
      <c r="AF1227" s="3" t="str">
        <f t="shared" si="279"/>
        <v>76</v>
      </c>
      <c r="AG1227" t="s">
        <v>29</v>
      </c>
      <c r="AH1227" s="3">
        <v>15.504</v>
      </c>
      <c r="AI1227" s="3">
        <f t="shared" si="280"/>
        <v>15.504</v>
      </c>
      <c r="AJ1227" t="s">
        <v>30</v>
      </c>
      <c r="AK1227" t="str">
        <f>PROPER(Table1[[#This Row],[CVD Risk Level]])</f>
        <v>High</v>
      </c>
    </row>
    <row r="1228" spans="1:37" x14ac:dyDescent="0.3">
      <c r="A1228" t="s">
        <v>20</v>
      </c>
      <c r="B1228">
        <v>40</v>
      </c>
      <c r="C1228" s="8">
        <f t="shared" si="269"/>
        <v>40</v>
      </c>
      <c r="D1228" s="5">
        <v>58.029000000000003</v>
      </c>
      <c r="E1228" s="8">
        <f t="shared" si="270"/>
        <v>58.029000000000003</v>
      </c>
      <c r="F1228">
        <v>1.8440000000000001</v>
      </c>
      <c r="G1228" s="3">
        <f t="shared" si="271"/>
        <v>1.8440000000000001</v>
      </c>
      <c r="H1228">
        <v>29.207000000000001</v>
      </c>
      <c r="I1228" s="5">
        <f t="shared" si="267"/>
        <v>29.207000000000001</v>
      </c>
      <c r="J1228" s="16" t="str">
        <f t="shared" si="272"/>
        <v>Overweight</v>
      </c>
      <c r="K1228">
        <v>92.4</v>
      </c>
      <c r="L1228">
        <v>0.501</v>
      </c>
      <c r="M1228" s="11">
        <f t="shared" si="268"/>
        <v>0.501</v>
      </c>
      <c r="N1228" s="5">
        <f t="shared" si="273"/>
        <v>92.4</v>
      </c>
      <c r="O1228">
        <v>273</v>
      </c>
      <c r="P1228">
        <v>42</v>
      </c>
      <c r="Q1228" s="8">
        <f t="shared" si="274"/>
        <v>42</v>
      </c>
      <c r="R1228" s="8">
        <v>201</v>
      </c>
      <c r="S1228" s="8">
        <f t="shared" si="275"/>
        <v>201</v>
      </c>
      <c r="T1228" s="8">
        <f>(Table1[[#This Row],[Total Cholesterol (mg/dL)]]+Table1[[#This Row],[HDL (mg/dL)2]]+Table1[[#This Row],[Estimated LDL (mg/dL)2]])*5</f>
        <v>2580</v>
      </c>
      <c r="U1228" s="8">
        <f>IF(O1228="",Table1[[#This Row],[Estimated LDL (mg/dL)2]]+Table1[[#This Row],[HDL (mg/dL)2]]+(Table1[[#This Row],[Triglycerides]]/5),O1228)</f>
        <v>273</v>
      </c>
      <c r="V1228">
        <v>103</v>
      </c>
      <c r="W1228" s="8">
        <f t="shared" si="276"/>
        <v>103</v>
      </c>
      <c r="X1228" t="str">
        <f t="shared" si="277"/>
        <v>Prediabetes</v>
      </c>
      <c r="Y1228" t="s">
        <v>23</v>
      </c>
      <c r="Z1228" t="s">
        <v>22</v>
      </c>
      <c r="AA1228" t="s">
        <v>28</v>
      </c>
      <c r="AB1228" s="3" t="s">
        <v>1051</v>
      </c>
      <c r="AC1228">
        <v>140</v>
      </c>
      <c r="AD1228" s="3" t="str">
        <f t="shared" si="278"/>
        <v>140</v>
      </c>
      <c r="AE1228">
        <v>105</v>
      </c>
      <c r="AF1228" s="3" t="str">
        <f t="shared" si="279"/>
        <v>105</v>
      </c>
      <c r="AG1228" t="s">
        <v>38</v>
      </c>
      <c r="AH1228" s="3">
        <v>18.300999999999998</v>
      </c>
      <c r="AI1228" s="3">
        <f t="shared" si="280"/>
        <v>18.300999999999998</v>
      </c>
      <c r="AJ1228" t="s">
        <v>52</v>
      </c>
      <c r="AK1228" t="str">
        <f>PROPER(Table1[[#This Row],[CVD Risk Level]])</f>
        <v>Low</v>
      </c>
    </row>
    <row r="1229" spans="1:37" x14ac:dyDescent="0.3">
      <c r="A1229" t="s">
        <v>31</v>
      </c>
      <c r="B1229">
        <v>38</v>
      </c>
      <c r="C1229" s="8">
        <f t="shared" si="269"/>
        <v>38</v>
      </c>
      <c r="D1229" s="5">
        <v>85.623000000000005</v>
      </c>
      <c r="E1229" s="8">
        <f t="shared" si="270"/>
        <v>85.623000000000005</v>
      </c>
      <c r="F1229">
        <v>1.6719999999999999</v>
      </c>
      <c r="G1229" s="3">
        <f t="shared" si="271"/>
        <v>1.6719999999999999</v>
      </c>
      <c r="H1229">
        <v>30.795000000000002</v>
      </c>
      <c r="I1229" s="5">
        <f t="shared" si="267"/>
        <v>30.795000000000002</v>
      </c>
      <c r="J1229" s="16" t="str">
        <f t="shared" si="272"/>
        <v>Obese</v>
      </c>
      <c r="K1229">
        <v>94.795000000000002</v>
      </c>
      <c r="L1229">
        <v>0.56699999999999995</v>
      </c>
      <c r="M1229" s="11">
        <f t="shared" si="268"/>
        <v>0.56699999999999995</v>
      </c>
      <c r="N1229" s="5">
        <f t="shared" si="273"/>
        <v>94.795000000000002</v>
      </c>
      <c r="O1229">
        <v>148</v>
      </c>
      <c r="P1229">
        <v>40</v>
      </c>
      <c r="Q1229" s="8">
        <f t="shared" si="274"/>
        <v>40</v>
      </c>
      <c r="R1229" s="8">
        <v>78</v>
      </c>
      <c r="S1229" s="8">
        <f t="shared" si="275"/>
        <v>78</v>
      </c>
      <c r="T1229" s="8">
        <f>(Table1[[#This Row],[Total Cholesterol (mg/dL)]]+Table1[[#This Row],[HDL (mg/dL)2]]+Table1[[#This Row],[Estimated LDL (mg/dL)2]])*5</f>
        <v>1330</v>
      </c>
      <c r="U1229" s="8">
        <f>IF(O1229="",Table1[[#This Row],[Estimated LDL (mg/dL)2]]+Table1[[#This Row],[HDL (mg/dL)2]]+(Table1[[#This Row],[Triglycerides]]/5),O1229)</f>
        <v>148</v>
      </c>
      <c r="V1229">
        <v>178</v>
      </c>
      <c r="W1229" s="8">
        <f t="shared" si="276"/>
        <v>178</v>
      </c>
      <c r="X1229" t="str">
        <f t="shared" si="277"/>
        <v>Diabetes</v>
      </c>
      <c r="Y1229" t="s">
        <v>22</v>
      </c>
      <c r="Z1229" t="s">
        <v>22</v>
      </c>
      <c r="AA1229" t="s">
        <v>37</v>
      </c>
      <c r="AB1229" s="3" t="s">
        <v>1052</v>
      </c>
      <c r="AD1229" s="3" t="str">
        <f t="shared" si="278"/>
        <v>140</v>
      </c>
      <c r="AE1229">
        <v>87</v>
      </c>
      <c r="AF1229" s="3" t="str">
        <f t="shared" si="279"/>
        <v>87</v>
      </c>
      <c r="AG1229" t="s">
        <v>29</v>
      </c>
      <c r="AH1229" s="3">
        <v>16.119</v>
      </c>
      <c r="AI1229" s="3">
        <f t="shared" si="280"/>
        <v>16.119</v>
      </c>
      <c r="AJ1229" t="s">
        <v>26</v>
      </c>
      <c r="AK1229" t="str">
        <f>PROPER(Table1[[#This Row],[CVD Risk Level]])</f>
        <v>Intermediary</v>
      </c>
    </row>
    <row r="1230" spans="1:37" x14ac:dyDescent="0.3">
      <c r="A1230" t="s">
        <v>31</v>
      </c>
      <c r="B1230">
        <v>30</v>
      </c>
      <c r="C1230" s="8">
        <f t="shared" si="269"/>
        <v>30</v>
      </c>
      <c r="D1230" s="5">
        <v>72.192999999999998</v>
      </c>
      <c r="E1230" s="8">
        <f t="shared" si="270"/>
        <v>72.192999999999998</v>
      </c>
      <c r="F1230">
        <v>1.5960000000000001</v>
      </c>
      <c r="G1230" s="3">
        <f t="shared" si="271"/>
        <v>1.5960000000000001</v>
      </c>
      <c r="H1230">
        <v>31.677</v>
      </c>
      <c r="I1230" s="5">
        <f t="shared" si="267"/>
        <v>31.677</v>
      </c>
      <c r="J1230" s="16" t="str">
        <f t="shared" si="272"/>
        <v>Obese</v>
      </c>
      <c r="K1230">
        <v>105.31699999999999</v>
      </c>
      <c r="L1230">
        <v>0.66</v>
      </c>
      <c r="M1230" s="11">
        <f t="shared" si="268"/>
        <v>0.66</v>
      </c>
      <c r="N1230" s="5">
        <f t="shared" si="273"/>
        <v>105.31699999999999</v>
      </c>
      <c r="O1230">
        <v>246</v>
      </c>
      <c r="P1230">
        <v>79</v>
      </c>
      <c r="Q1230" s="8">
        <f t="shared" si="274"/>
        <v>79</v>
      </c>
      <c r="R1230" s="8">
        <v>137</v>
      </c>
      <c r="S1230" s="8">
        <f t="shared" si="275"/>
        <v>137</v>
      </c>
      <c r="T1230" s="8">
        <f>(Table1[[#This Row],[Total Cholesterol (mg/dL)]]+Table1[[#This Row],[HDL (mg/dL)2]]+Table1[[#This Row],[Estimated LDL (mg/dL)2]])*5</f>
        <v>2310</v>
      </c>
      <c r="U1230" s="8">
        <f>IF(O1230="",Table1[[#This Row],[Estimated LDL (mg/dL)2]]+Table1[[#This Row],[HDL (mg/dL)2]]+(Table1[[#This Row],[Triglycerides]]/5),O1230)</f>
        <v>246</v>
      </c>
      <c r="V1230">
        <v>72</v>
      </c>
      <c r="W1230" s="8">
        <f t="shared" si="276"/>
        <v>72</v>
      </c>
      <c r="X1230" t="str">
        <f t="shared" si="277"/>
        <v>Normal</v>
      </c>
      <c r="Y1230" t="s">
        <v>23</v>
      </c>
      <c r="Z1230" t="s">
        <v>22</v>
      </c>
      <c r="AA1230" t="s">
        <v>24</v>
      </c>
      <c r="AB1230" s="3" t="s">
        <v>751</v>
      </c>
      <c r="AC1230">
        <v>116</v>
      </c>
      <c r="AD1230" s="3" t="str">
        <f t="shared" si="278"/>
        <v>116</v>
      </c>
      <c r="AE1230">
        <v>85</v>
      </c>
      <c r="AF1230" s="3" t="str">
        <f t="shared" si="279"/>
        <v>85</v>
      </c>
      <c r="AG1230" t="s">
        <v>29</v>
      </c>
      <c r="AH1230" s="3">
        <v>17.055</v>
      </c>
      <c r="AI1230" s="3">
        <f t="shared" si="280"/>
        <v>17.055</v>
      </c>
      <c r="AJ1230" t="s">
        <v>30</v>
      </c>
      <c r="AK1230" t="str">
        <f>PROPER(Table1[[#This Row],[CVD Risk Level]])</f>
        <v>High</v>
      </c>
    </row>
    <row r="1231" spans="1:37" x14ac:dyDescent="0.3">
      <c r="A1231" t="s">
        <v>31</v>
      </c>
      <c r="B1231">
        <v>32</v>
      </c>
      <c r="C1231" s="8">
        <f t="shared" si="269"/>
        <v>32</v>
      </c>
      <c r="D1231" s="5">
        <v>73.239000000000004</v>
      </c>
      <c r="E1231" s="8">
        <f t="shared" si="270"/>
        <v>73.239000000000004</v>
      </c>
      <c r="F1231">
        <v>1.988</v>
      </c>
      <c r="G1231" s="3">
        <f t="shared" si="271"/>
        <v>1.988</v>
      </c>
      <c r="H1231">
        <v>30.581</v>
      </c>
      <c r="I1231" s="5">
        <f t="shared" si="267"/>
        <v>30.581</v>
      </c>
      <c r="J1231" s="16" t="str">
        <f t="shared" si="272"/>
        <v>Obese</v>
      </c>
      <c r="K1231">
        <v>118.324</v>
      </c>
      <c r="L1231">
        <v>0.59499999999999997</v>
      </c>
      <c r="M1231" s="11">
        <f t="shared" si="268"/>
        <v>0.59499999999999997</v>
      </c>
      <c r="N1231" s="5">
        <f t="shared" si="273"/>
        <v>118.324</v>
      </c>
      <c r="O1231">
        <v>188</v>
      </c>
      <c r="P1231">
        <v>30</v>
      </c>
      <c r="Q1231" s="8">
        <f t="shared" si="274"/>
        <v>30</v>
      </c>
      <c r="R1231" s="8">
        <v>128</v>
      </c>
      <c r="S1231" s="8">
        <f t="shared" si="275"/>
        <v>128</v>
      </c>
      <c r="T1231" s="8">
        <f>(Table1[[#This Row],[Total Cholesterol (mg/dL)]]+Table1[[#This Row],[HDL (mg/dL)2]]+Table1[[#This Row],[Estimated LDL (mg/dL)2]])*5</f>
        <v>1730</v>
      </c>
      <c r="U1231" s="8">
        <f>IF(O1231="",Table1[[#This Row],[Estimated LDL (mg/dL)2]]+Table1[[#This Row],[HDL (mg/dL)2]]+(Table1[[#This Row],[Triglycerides]]/5),O1231)</f>
        <v>188</v>
      </c>
      <c r="V1231">
        <v>137</v>
      </c>
      <c r="W1231" s="8">
        <f t="shared" si="276"/>
        <v>137</v>
      </c>
      <c r="X1231" t="str">
        <f t="shared" si="277"/>
        <v>Diabetes</v>
      </c>
      <c r="Y1231" t="s">
        <v>22</v>
      </c>
      <c r="Z1231" t="s">
        <v>22</v>
      </c>
      <c r="AA1231" t="s">
        <v>24</v>
      </c>
      <c r="AB1231" s="3" t="s">
        <v>714</v>
      </c>
      <c r="AC1231">
        <v>142</v>
      </c>
      <c r="AD1231" s="3" t="str">
        <f t="shared" si="278"/>
        <v>142</v>
      </c>
      <c r="AE1231">
        <v>88</v>
      </c>
      <c r="AF1231" s="3" t="str">
        <f t="shared" si="279"/>
        <v>88</v>
      </c>
      <c r="AG1231" t="s">
        <v>29</v>
      </c>
      <c r="AH1231" s="3">
        <v>16.975999999999999</v>
      </c>
      <c r="AI1231" s="3">
        <f t="shared" si="280"/>
        <v>16.975999999999999</v>
      </c>
      <c r="AJ1231" t="s">
        <v>26</v>
      </c>
      <c r="AK1231" t="str">
        <f>PROPER(Table1[[#This Row],[CVD Risk Level]])</f>
        <v>Intermediary</v>
      </c>
    </row>
    <row r="1232" spans="1:37" x14ac:dyDescent="0.3">
      <c r="A1232" t="s">
        <v>31</v>
      </c>
      <c r="B1232">
        <v>69</v>
      </c>
      <c r="C1232" s="8">
        <f t="shared" si="269"/>
        <v>69</v>
      </c>
      <c r="D1232" s="5">
        <v>87.713999999999999</v>
      </c>
      <c r="E1232" s="8">
        <f t="shared" si="270"/>
        <v>87.713999999999999</v>
      </c>
      <c r="F1232">
        <v>1.7230000000000001</v>
      </c>
      <c r="G1232" s="3">
        <f t="shared" si="271"/>
        <v>1.7230000000000001</v>
      </c>
      <c r="H1232">
        <v>39.732999999999997</v>
      </c>
      <c r="I1232" s="5">
        <f t="shared" si="267"/>
        <v>39.732999999999997</v>
      </c>
      <c r="J1232" s="16" t="str">
        <f t="shared" si="272"/>
        <v>Obese</v>
      </c>
      <c r="K1232">
        <v>111.803</v>
      </c>
      <c r="L1232">
        <v>0.64900000000000002</v>
      </c>
      <c r="M1232" s="11">
        <f t="shared" si="268"/>
        <v>0.64900000000000002</v>
      </c>
      <c r="N1232" s="5">
        <f t="shared" si="273"/>
        <v>111.803</v>
      </c>
      <c r="O1232">
        <v>108</v>
      </c>
      <c r="P1232">
        <v>41</v>
      </c>
      <c r="Q1232" s="8">
        <f t="shared" si="274"/>
        <v>41</v>
      </c>
      <c r="R1232" s="8">
        <v>37</v>
      </c>
      <c r="S1232" s="8">
        <f t="shared" si="275"/>
        <v>37</v>
      </c>
      <c r="T1232" s="8">
        <f>(Table1[[#This Row],[Total Cholesterol (mg/dL)]]+Table1[[#This Row],[HDL (mg/dL)2]]+Table1[[#This Row],[Estimated LDL (mg/dL)2]])*5</f>
        <v>930</v>
      </c>
      <c r="U1232" s="8">
        <f>IF(O1232="",Table1[[#This Row],[Estimated LDL (mg/dL)2]]+Table1[[#This Row],[HDL (mg/dL)2]]+(Table1[[#This Row],[Triglycerides]]/5),O1232)</f>
        <v>108</v>
      </c>
      <c r="V1232">
        <v>93</v>
      </c>
      <c r="W1232" s="8">
        <f t="shared" si="276"/>
        <v>93</v>
      </c>
      <c r="X1232" t="str">
        <f t="shared" si="277"/>
        <v>Normal</v>
      </c>
      <c r="Y1232" t="s">
        <v>23</v>
      </c>
      <c r="Z1232" t="s">
        <v>22</v>
      </c>
      <c r="AA1232" t="s">
        <v>37</v>
      </c>
      <c r="AB1232" s="3" t="s">
        <v>1053</v>
      </c>
      <c r="AC1232">
        <v>132</v>
      </c>
      <c r="AD1232" s="3" t="str">
        <f t="shared" si="278"/>
        <v>132</v>
      </c>
      <c r="AE1232">
        <v>101</v>
      </c>
      <c r="AF1232" s="3" t="str">
        <f t="shared" si="279"/>
        <v>101</v>
      </c>
      <c r="AG1232" t="s">
        <v>29</v>
      </c>
      <c r="AH1232" s="3">
        <v>16.707000000000001</v>
      </c>
      <c r="AI1232" s="3">
        <f t="shared" si="280"/>
        <v>16.707000000000001</v>
      </c>
      <c r="AJ1232" t="s">
        <v>30</v>
      </c>
      <c r="AK1232" t="str">
        <f>PROPER(Table1[[#This Row],[CVD Risk Level]])</f>
        <v>High</v>
      </c>
    </row>
    <row r="1233" spans="1:37" x14ac:dyDescent="0.3">
      <c r="A1233" t="s">
        <v>31</v>
      </c>
      <c r="B1233">
        <v>31</v>
      </c>
      <c r="C1233" s="8">
        <f t="shared" si="269"/>
        <v>31</v>
      </c>
      <c r="D1233" s="5">
        <v>99.921000000000006</v>
      </c>
      <c r="E1233" s="8">
        <f t="shared" si="270"/>
        <v>99.921000000000006</v>
      </c>
      <c r="F1233">
        <v>1.5880000000000001</v>
      </c>
      <c r="G1233" s="3">
        <f t="shared" si="271"/>
        <v>1.5880000000000001</v>
      </c>
      <c r="H1233">
        <v>21.277000000000001</v>
      </c>
      <c r="I1233" s="5">
        <f t="shared" si="267"/>
        <v>21.277000000000001</v>
      </c>
      <c r="J1233" s="16" t="str">
        <f t="shared" si="272"/>
        <v>Normal</v>
      </c>
      <c r="K1233">
        <v>105.875</v>
      </c>
      <c r="L1233">
        <v>0.66700000000000004</v>
      </c>
      <c r="M1233" s="11">
        <f t="shared" si="268"/>
        <v>0.66700000000000004</v>
      </c>
      <c r="N1233" s="5">
        <f t="shared" si="273"/>
        <v>105.875</v>
      </c>
      <c r="O1233">
        <v>287</v>
      </c>
      <c r="P1233">
        <v>75</v>
      </c>
      <c r="Q1233" s="8">
        <f t="shared" si="274"/>
        <v>75</v>
      </c>
      <c r="S1233" s="8">
        <f t="shared" si="275"/>
        <v>109</v>
      </c>
      <c r="T1233" s="8">
        <f>(Table1[[#This Row],[Total Cholesterol (mg/dL)]]+Table1[[#This Row],[HDL (mg/dL)2]]+Table1[[#This Row],[Estimated LDL (mg/dL)2]])*5</f>
        <v>2355</v>
      </c>
      <c r="U1233" s="8">
        <f>IF(O1233="",Table1[[#This Row],[Estimated LDL (mg/dL)2]]+Table1[[#This Row],[HDL (mg/dL)2]]+(Table1[[#This Row],[Triglycerides]]/5),O1233)</f>
        <v>287</v>
      </c>
      <c r="V1233">
        <v>92</v>
      </c>
      <c r="W1233" s="8">
        <f t="shared" si="276"/>
        <v>92</v>
      </c>
      <c r="X1233" t="str">
        <f t="shared" si="277"/>
        <v>Normal</v>
      </c>
      <c r="Y1233" t="s">
        <v>23</v>
      </c>
      <c r="Z1233" t="s">
        <v>22</v>
      </c>
      <c r="AA1233" t="s">
        <v>28</v>
      </c>
      <c r="AB1233" s="3" t="s">
        <v>878</v>
      </c>
      <c r="AC1233">
        <v>121</v>
      </c>
      <c r="AD1233" s="3" t="str">
        <f t="shared" si="278"/>
        <v>121</v>
      </c>
      <c r="AE1233">
        <v>115</v>
      </c>
      <c r="AF1233" s="3" t="str">
        <f t="shared" si="279"/>
        <v>115</v>
      </c>
      <c r="AG1233" t="s">
        <v>38</v>
      </c>
      <c r="AH1233" s="3">
        <v>16.045000000000002</v>
      </c>
      <c r="AI1233" s="3">
        <f t="shared" si="280"/>
        <v>16.045000000000002</v>
      </c>
      <c r="AJ1233" t="s">
        <v>26</v>
      </c>
      <c r="AK1233" t="str">
        <f>PROPER(Table1[[#This Row],[CVD Risk Level]])</f>
        <v>Intermediary</v>
      </c>
    </row>
    <row r="1234" spans="1:37" x14ac:dyDescent="0.3">
      <c r="A1234" t="s">
        <v>31</v>
      </c>
      <c r="B1234">
        <v>25</v>
      </c>
      <c r="C1234" s="8">
        <f t="shared" si="269"/>
        <v>25</v>
      </c>
      <c r="D1234" s="5">
        <v>94.281999999999996</v>
      </c>
      <c r="E1234" s="8">
        <f t="shared" si="270"/>
        <v>94.281999999999996</v>
      </c>
      <c r="G1234" s="3">
        <f t="shared" si="271"/>
        <v>1.5435879094065914</v>
      </c>
      <c r="H1234">
        <v>39.57</v>
      </c>
      <c r="I1234" s="5">
        <f t="shared" si="267"/>
        <v>39.57</v>
      </c>
      <c r="J1234" s="16" t="str">
        <f t="shared" si="272"/>
        <v>Obese</v>
      </c>
      <c r="K1234">
        <v>88.016999999999996</v>
      </c>
      <c r="L1234">
        <v>0.58599999999999997</v>
      </c>
      <c r="M1234" s="11">
        <f t="shared" si="268"/>
        <v>0.58599999999999997</v>
      </c>
      <c r="N1234" s="5">
        <f t="shared" si="273"/>
        <v>88.016999999999996</v>
      </c>
      <c r="O1234">
        <v>245</v>
      </c>
      <c r="P1234">
        <v>49</v>
      </c>
      <c r="Q1234" s="8">
        <f t="shared" si="274"/>
        <v>49</v>
      </c>
      <c r="S1234" s="8">
        <f t="shared" si="275"/>
        <v>109</v>
      </c>
      <c r="T1234" s="8">
        <f>(Table1[[#This Row],[Total Cholesterol (mg/dL)]]+Table1[[#This Row],[HDL (mg/dL)2]]+Table1[[#This Row],[Estimated LDL (mg/dL)2]])*5</f>
        <v>2015</v>
      </c>
      <c r="U1234" s="8">
        <f>IF(O1234="",Table1[[#This Row],[Estimated LDL (mg/dL)2]]+Table1[[#This Row],[HDL (mg/dL)2]]+(Table1[[#This Row],[Triglycerides]]/5),O1234)</f>
        <v>245</v>
      </c>
      <c r="V1234">
        <v>145</v>
      </c>
      <c r="W1234" s="8">
        <f t="shared" si="276"/>
        <v>145</v>
      </c>
      <c r="X1234" t="str">
        <f t="shared" si="277"/>
        <v>Diabetes</v>
      </c>
      <c r="Y1234" t="s">
        <v>22</v>
      </c>
      <c r="Z1234" t="s">
        <v>22</v>
      </c>
      <c r="AA1234" t="s">
        <v>37</v>
      </c>
      <c r="AB1234" s="3" t="s">
        <v>209</v>
      </c>
      <c r="AC1234">
        <v>102</v>
      </c>
      <c r="AD1234" s="3" t="str">
        <f t="shared" si="278"/>
        <v>102</v>
      </c>
      <c r="AE1234">
        <v>60</v>
      </c>
      <c r="AF1234" s="3" t="str">
        <f t="shared" si="279"/>
        <v>60</v>
      </c>
      <c r="AG1234" t="s">
        <v>33</v>
      </c>
      <c r="AH1234" s="3">
        <v>17.914000000000001</v>
      </c>
      <c r="AI1234" s="3">
        <f t="shared" si="280"/>
        <v>17.914000000000001</v>
      </c>
      <c r="AJ1234" t="s">
        <v>30</v>
      </c>
      <c r="AK1234" t="str">
        <f>PROPER(Table1[[#This Row],[CVD Risk Level]])</f>
        <v>High</v>
      </c>
    </row>
    <row r="1235" spans="1:37" x14ac:dyDescent="0.3">
      <c r="A1235" t="s">
        <v>31</v>
      </c>
      <c r="B1235">
        <v>38</v>
      </c>
      <c r="C1235" s="8">
        <f t="shared" si="269"/>
        <v>38</v>
      </c>
      <c r="D1235" s="5">
        <v>80.879000000000005</v>
      </c>
      <c r="E1235" s="8">
        <f t="shared" si="270"/>
        <v>80.879000000000005</v>
      </c>
      <c r="F1235">
        <v>1.6419999999999999</v>
      </c>
      <c r="G1235" s="3">
        <f t="shared" si="271"/>
        <v>1.6419999999999999</v>
      </c>
      <c r="H1235">
        <v>32.671999999999997</v>
      </c>
      <c r="I1235" s="5">
        <f t="shared" si="267"/>
        <v>32.671999999999997</v>
      </c>
      <c r="J1235" s="16" t="str">
        <f t="shared" si="272"/>
        <v>Obese</v>
      </c>
      <c r="K1235">
        <v>87.366</v>
      </c>
      <c r="L1235">
        <v>0.53200000000000003</v>
      </c>
      <c r="M1235" s="11">
        <f t="shared" si="268"/>
        <v>0.53200000000000003</v>
      </c>
      <c r="N1235" s="5">
        <f t="shared" si="273"/>
        <v>87.366</v>
      </c>
      <c r="O1235">
        <v>138</v>
      </c>
      <c r="P1235">
        <v>75</v>
      </c>
      <c r="Q1235" s="8">
        <f t="shared" si="274"/>
        <v>75</v>
      </c>
      <c r="R1235" s="8">
        <v>33</v>
      </c>
      <c r="S1235" s="8">
        <f t="shared" si="275"/>
        <v>33</v>
      </c>
      <c r="T1235" s="8">
        <f>(Table1[[#This Row],[Total Cholesterol (mg/dL)]]+Table1[[#This Row],[HDL (mg/dL)2]]+Table1[[#This Row],[Estimated LDL (mg/dL)2]])*5</f>
        <v>1230</v>
      </c>
      <c r="U1235" s="8">
        <f>IF(O1235="",Table1[[#This Row],[Estimated LDL (mg/dL)2]]+Table1[[#This Row],[HDL (mg/dL)2]]+(Table1[[#This Row],[Triglycerides]]/5),O1235)</f>
        <v>138</v>
      </c>
      <c r="V1235">
        <v>128</v>
      </c>
      <c r="W1235" s="8">
        <f t="shared" si="276"/>
        <v>128</v>
      </c>
      <c r="X1235" t="str">
        <f t="shared" si="277"/>
        <v>Diabetes</v>
      </c>
      <c r="Y1235" t="s">
        <v>22</v>
      </c>
      <c r="Z1235" t="s">
        <v>22</v>
      </c>
      <c r="AA1235" t="s">
        <v>24</v>
      </c>
      <c r="AB1235" s="3" t="s">
        <v>1054</v>
      </c>
      <c r="AC1235">
        <v>106</v>
      </c>
      <c r="AD1235" s="3" t="str">
        <f t="shared" si="278"/>
        <v>106</v>
      </c>
      <c r="AF1235" s="3" t="str">
        <f t="shared" si="279"/>
        <v>89</v>
      </c>
      <c r="AG1235" t="s">
        <v>29</v>
      </c>
      <c r="AH1235" s="3">
        <v>14.593999999999999</v>
      </c>
      <c r="AI1235" s="3">
        <f t="shared" si="280"/>
        <v>14.593999999999999</v>
      </c>
      <c r="AJ1235" t="s">
        <v>26</v>
      </c>
      <c r="AK1235" t="str">
        <f>PROPER(Table1[[#This Row],[CVD Risk Level]])</f>
        <v>Intermediary</v>
      </c>
    </row>
    <row r="1236" spans="1:37" x14ac:dyDescent="0.3">
      <c r="A1236" t="s">
        <v>20</v>
      </c>
      <c r="B1236">
        <v>43</v>
      </c>
      <c r="C1236" s="8">
        <f t="shared" si="269"/>
        <v>43</v>
      </c>
      <c r="D1236" s="5">
        <v>56.215000000000003</v>
      </c>
      <c r="E1236" s="8">
        <f t="shared" si="270"/>
        <v>56.215000000000003</v>
      </c>
      <c r="F1236">
        <v>1.9450000000000001</v>
      </c>
      <c r="G1236" s="3">
        <f t="shared" si="271"/>
        <v>1.9450000000000001</v>
      </c>
      <c r="H1236">
        <v>30.687000000000001</v>
      </c>
      <c r="I1236" s="5">
        <f t="shared" si="267"/>
        <v>30.687000000000001</v>
      </c>
      <c r="J1236" s="16" t="str">
        <f t="shared" si="272"/>
        <v>Obese</v>
      </c>
      <c r="K1236">
        <v>104.30800000000001</v>
      </c>
      <c r="L1236">
        <v>0.53600000000000003</v>
      </c>
      <c r="M1236" s="11">
        <f t="shared" si="268"/>
        <v>0.53600000000000003</v>
      </c>
      <c r="N1236" s="5">
        <f t="shared" si="273"/>
        <v>104.30800000000001</v>
      </c>
      <c r="O1236">
        <v>194</v>
      </c>
      <c r="P1236">
        <v>50</v>
      </c>
      <c r="Q1236" s="8">
        <f t="shared" si="274"/>
        <v>50</v>
      </c>
      <c r="R1236" s="8">
        <v>114</v>
      </c>
      <c r="S1236" s="8">
        <f t="shared" si="275"/>
        <v>114</v>
      </c>
      <c r="T1236" s="8">
        <f>(Table1[[#This Row],[Total Cholesterol (mg/dL)]]+Table1[[#This Row],[HDL (mg/dL)2]]+Table1[[#This Row],[Estimated LDL (mg/dL)2]])*5</f>
        <v>1790</v>
      </c>
      <c r="U1236" s="8">
        <f>IF(O1236="",Table1[[#This Row],[Estimated LDL (mg/dL)2]]+Table1[[#This Row],[HDL (mg/dL)2]]+(Table1[[#This Row],[Triglycerides]]/5),O1236)</f>
        <v>194</v>
      </c>
      <c r="V1236">
        <v>97</v>
      </c>
      <c r="W1236" s="8">
        <f t="shared" si="276"/>
        <v>97</v>
      </c>
      <c r="X1236" t="str">
        <f t="shared" si="277"/>
        <v>Normal</v>
      </c>
      <c r="Y1236" t="s">
        <v>22</v>
      </c>
      <c r="Z1236" t="s">
        <v>23</v>
      </c>
      <c r="AA1236" t="s">
        <v>24</v>
      </c>
      <c r="AB1236" s="3" t="s">
        <v>1055</v>
      </c>
      <c r="AC1236">
        <v>159</v>
      </c>
      <c r="AD1236" s="3" t="str">
        <f t="shared" si="278"/>
        <v>159</v>
      </c>
      <c r="AE1236">
        <v>82</v>
      </c>
      <c r="AF1236" s="3" t="str">
        <f t="shared" si="279"/>
        <v>82</v>
      </c>
      <c r="AG1236" t="s">
        <v>29</v>
      </c>
      <c r="AI1236" s="3">
        <f t="shared" si="280"/>
        <v>16.960925291295425</v>
      </c>
      <c r="AJ1236" t="s">
        <v>30</v>
      </c>
      <c r="AK1236" t="str">
        <f>PROPER(Table1[[#This Row],[CVD Risk Level]])</f>
        <v>High</v>
      </c>
    </row>
    <row r="1237" spans="1:37" x14ac:dyDescent="0.3">
      <c r="A1237" t="s">
        <v>31</v>
      </c>
      <c r="B1237">
        <v>55</v>
      </c>
      <c r="C1237" s="8">
        <f t="shared" si="269"/>
        <v>55</v>
      </c>
      <c r="D1237" s="5">
        <v>77.948999999999998</v>
      </c>
      <c r="E1237" s="8">
        <f t="shared" si="270"/>
        <v>77.948999999999998</v>
      </c>
      <c r="F1237">
        <v>1.7470000000000001</v>
      </c>
      <c r="G1237" s="3">
        <f t="shared" si="271"/>
        <v>1.7470000000000001</v>
      </c>
      <c r="H1237">
        <v>20.678999999999998</v>
      </c>
      <c r="I1237" s="5">
        <f t="shared" si="267"/>
        <v>20.678999999999998</v>
      </c>
      <c r="J1237" s="16" t="str">
        <f t="shared" si="272"/>
        <v>Normal</v>
      </c>
      <c r="K1237">
        <v>89.384</v>
      </c>
      <c r="L1237">
        <v>0.51200000000000001</v>
      </c>
      <c r="M1237" s="11">
        <f t="shared" si="268"/>
        <v>0.51200000000000001</v>
      </c>
      <c r="N1237" s="5">
        <f t="shared" si="273"/>
        <v>89.384</v>
      </c>
      <c r="O1237">
        <v>254</v>
      </c>
      <c r="P1237">
        <v>35</v>
      </c>
      <c r="Q1237" s="8">
        <f t="shared" si="274"/>
        <v>35</v>
      </c>
      <c r="R1237" s="8">
        <v>189</v>
      </c>
      <c r="S1237" s="8">
        <f t="shared" si="275"/>
        <v>189</v>
      </c>
      <c r="T1237" s="8">
        <f>(Table1[[#This Row],[Total Cholesterol (mg/dL)]]+Table1[[#This Row],[HDL (mg/dL)2]]+Table1[[#This Row],[Estimated LDL (mg/dL)2]])*5</f>
        <v>2390</v>
      </c>
      <c r="U1237" s="8">
        <f>IF(O1237="",Table1[[#This Row],[Estimated LDL (mg/dL)2]]+Table1[[#This Row],[HDL (mg/dL)2]]+(Table1[[#This Row],[Triglycerides]]/5),O1237)</f>
        <v>254</v>
      </c>
      <c r="V1237">
        <v>180</v>
      </c>
      <c r="W1237" s="8">
        <f t="shared" si="276"/>
        <v>180</v>
      </c>
      <c r="X1237" t="str">
        <f t="shared" si="277"/>
        <v>Diabetes</v>
      </c>
      <c r="Y1237" t="s">
        <v>23</v>
      </c>
      <c r="Z1237" t="s">
        <v>23</v>
      </c>
      <c r="AA1237" t="s">
        <v>24</v>
      </c>
      <c r="AB1237" s="3" t="s">
        <v>982</v>
      </c>
      <c r="AC1237">
        <v>164</v>
      </c>
      <c r="AD1237" s="3" t="str">
        <f t="shared" si="278"/>
        <v>164</v>
      </c>
      <c r="AE1237">
        <v>90</v>
      </c>
      <c r="AF1237" s="3" t="str">
        <f t="shared" si="279"/>
        <v>90</v>
      </c>
      <c r="AG1237" t="s">
        <v>38</v>
      </c>
      <c r="AH1237" s="3">
        <v>19.416</v>
      </c>
      <c r="AI1237" s="3">
        <f t="shared" si="280"/>
        <v>19.416</v>
      </c>
      <c r="AJ1237" t="s">
        <v>52</v>
      </c>
      <c r="AK1237" t="str">
        <f>PROPER(Table1[[#This Row],[CVD Risk Level]])</f>
        <v>Low</v>
      </c>
    </row>
    <row r="1238" spans="1:37" x14ac:dyDescent="0.3">
      <c r="A1238" t="s">
        <v>20</v>
      </c>
      <c r="B1238">
        <v>41</v>
      </c>
      <c r="C1238" s="8">
        <f t="shared" si="269"/>
        <v>41</v>
      </c>
      <c r="D1238" s="5">
        <v>111.047</v>
      </c>
      <c r="E1238" s="8">
        <f t="shared" si="270"/>
        <v>111.047</v>
      </c>
      <c r="F1238">
        <v>1.5069999999999999</v>
      </c>
      <c r="G1238" s="3">
        <f t="shared" si="271"/>
        <v>1.5069999999999999</v>
      </c>
      <c r="H1238">
        <v>24.111999999999998</v>
      </c>
      <c r="I1238" s="5">
        <f t="shared" si="267"/>
        <v>24.111999999999998</v>
      </c>
      <c r="J1238" s="16" t="str">
        <f t="shared" si="272"/>
        <v>Normal</v>
      </c>
      <c r="K1238">
        <v>85.741</v>
      </c>
      <c r="L1238">
        <v>0.56899999999999995</v>
      </c>
      <c r="M1238" s="11">
        <f t="shared" si="268"/>
        <v>0.56899999999999995</v>
      </c>
      <c r="N1238" s="5">
        <f t="shared" si="273"/>
        <v>85.741</v>
      </c>
      <c r="O1238">
        <v>172</v>
      </c>
      <c r="P1238">
        <v>45</v>
      </c>
      <c r="Q1238" s="8">
        <f t="shared" si="274"/>
        <v>45</v>
      </c>
      <c r="R1238" s="8">
        <v>97</v>
      </c>
      <c r="S1238" s="8">
        <f t="shared" si="275"/>
        <v>97</v>
      </c>
      <c r="T1238" s="8">
        <f>(Table1[[#This Row],[Total Cholesterol (mg/dL)]]+Table1[[#This Row],[HDL (mg/dL)2]]+Table1[[#This Row],[Estimated LDL (mg/dL)2]])*5</f>
        <v>1570</v>
      </c>
      <c r="U1238" s="8">
        <f>IF(O1238="",Table1[[#This Row],[Estimated LDL (mg/dL)2]]+Table1[[#This Row],[HDL (mg/dL)2]]+(Table1[[#This Row],[Triglycerides]]/5),O1238)</f>
        <v>172</v>
      </c>
      <c r="V1238">
        <v>129</v>
      </c>
      <c r="W1238" s="8">
        <f t="shared" si="276"/>
        <v>129</v>
      </c>
      <c r="X1238" t="str">
        <f t="shared" si="277"/>
        <v>Diabetes</v>
      </c>
      <c r="Y1238" t="s">
        <v>22</v>
      </c>
      <c r="Z1238" t="s">
        <v>23</v>
      </c>
      <c r="AA1238" t="s">
        <v>24</v>
      </c>
      <c r="AB1238" s="3" t="s">
        <v>1056</v>
      </c>
      <c r="AC1238">
        <v>125</v>
      </c>
      <c r="AD1238" s="3" t="str">
        <f t="shared" si="278"/>
        <v>125</v>
      </c>
      <c r="AE1238">
        <v>78</v>
      </c>
      <c r="AF1238" s="3" t="str">
        <f t="shared" si="279"/>
        <v>78</v>
      </c>
      <c r="AG1238" t="s">
        <v>25</v>
      </c>
      <c r="AH1238" s="3">
        <v>16.512</v>
      </c>
      <c r="AI1238" s="3">
        <f t="shared" si="280"/>
        <v>16.512</v>
      </c>
      <c r="AJ1238" t="s">
        <v>26</v>
      </c>
      <c r="AK1238" t="str">
        <f>PROPER(Table1[[#This Row],[CVD Risk Level]])</f>
        <v>Intermediary</v>
      </c>
    </row>
    <row r="1239" spans="1:37" x14ac:dyDescent="0.3">
      <c r="A1239" t="s">
        <v>20</v>
      </c>
      <c r="B1239">
        <v>62</v>
      </c>
      <c r="C1239" s="8">
        <f t="shared" si="269"/>
        <v>62</v>
      </c>
      <c r="D1239" s="5">
        <v>103.39</v>
      </c>
      <c r="E1239" s="8">
        <f t="shared" si="270"/>
        <v>103.39</v>
      </c>
      <c r="F1239">
        <v>1.917</v>
      </c>
      <c r="G1239" s="3">
        <f t="shared" si="271"/>
        <v>1.917</v>
      </c>
      <c r="H1239">
        <v>21.050999999999998</v>
      </c>
      <c r="I1239" s="5">
        <f t="shared" si="267"/>
        <v>21.050999999999998</v>
      </c>
      <c r="J1239" s="16" t="str">
        <f t="shared" si="272"/>
        <v>Normal</v>
      </c>
      <c r="K1239">
        <v>88.534000000000006</v>
      </c>
      <c r="L1239">
        <v>0.46200000000000002</v>
      </c>
      <c r="M1239" s="11">
        <f t="shared" si="268"/>
        <v>0.46200000000000002</v>
      </c>
      <c r="N1239" s="5">
        <f t="shared" si="273"/>
        <v>88.534000000000006</v>
      </c>
      <c r="O1239">
        <v>134</v>
      </c>
      <c r="P1239">
        <v>74</v>
      </c>
      <c r="Q1239" s="8">
        <f t="shared" si="274"/>
        <v>74</v>
      </c>
      <c r="R1239" s="8">
        <v>30</v>
      </c>
      <c r="S1239" s="8">
        <f t="shared" si="275"/>
        <v>30</v>
      </c>
      <c r="T1239" s="8">
        <f>(Table1[[#This Row],[Total Cholesterol (mg/dL)]]+Table1[[#This Row],[HDL (mg/dL)2]]+Table1[[#This Row],[Estimated LDL (mg/dL)2]])*5</f>
        <v>1190</v>
      </c>
      <c r="U1239" s="8">
        <f>IF(O1239="",Table1[[#This Row],[Estimated LDL (mg/dL)2]]+Table1[[#This Row],[HDL (mg/dL)2]]+(Table1[[#This Row],[Triglycerides]]/5),O1239)</f>
        <v>134</v>
      </c>
      <c r="V1239">
        <v>152</v>
      </c>
      <c r="W1239" s="8">
        <f t="shared" si="276"/>
        <v>152</v>
      </c>
      <c r="X1239" t="str">
        <f t="shared" si="277"/>
        <v>Diabetes</v>
      </c>
      <c r="Y1239" t="s">
        <v>22</v>
      </c>
      <c r="Z1239" t="s">
        <v>22</v>
      </c>
      <c r="AA1239" t="s">
        <v>28</v>
      </c>
      <c r="AB1239" s="3" t="s">
        <v>1057</v>
      </c>
      <c r="AC1239">
        <v>125</v>
      </c>
      <c r="AD1239" s="3" t="str">
        <f t="shared" si="278"/>
        <v>125</v>
      </c>
      <c r="AE1239">
        <v>85</v>
      </c>
      <c r="AF1239" s="3" t="str">
        <f t="shared" si="279"/>
        <v>85</v>
      </c>
      <c r="AG1239" t="s">
        <v>29</v>
      </c>
      <c r="AH1239" s="3">
        <v>13.14</v>
      </c>
      <c r="AI1239" s="3">
        <f t="shared" si="280"/>
        <v>13.14</v>
      </c>
      <c r="AJ1239" t="s">
        <v>30</v>
      </c>
      <c r="AK1239" t="str">
        <f>PROPER(Table1[[#This Row],[CVD Risk Level]])</f>
        <v>High</v>
      </c>
    </row>
    <row r="1240" spans="1:37" x14ac:dyDescent="0.3">
      <c r="A1240" t="s">
        <v>31</v>
      </c>
      <c r="B1240">
        <v>74</v>
      </c>
      <c r="C1240" s="8">
        <f t="shared" si="269"/>
        <v>74</v>
      </c>
      <c r="D1240" s="5">
        <v>117.717</v>
      </c>
      <c r="E1240" s="8">
        <f t="shared" si="270"/>
        <v>117.717</v>
      </c>
      <c r="F1240">
        <v>1.984</v>
      </c>
      <c r="G1240" s="3">
        <f t="shared" si="271"/>
        <v>1.984</v>
      </c>
      <c r="H1240">
        <v>27.812999999999999</v>
      </c>
      <c r="I1240" s="5">
        <f t="shared" si="267"/>
        <v>27.812999999999999</v>
      </c>
      <c r="J1240" s="16" t="str">
        <f t="shared" si="272"/>
        <v>Overweight</v>
      </c>
      <c r="K1240">
        <v>107.255</v>
      </c>
      <c r="L1240">
        <v>0.54100000000000004</v>
      </c>
      <c r="M1240" s="11">
        <f t="shared" si="268"/>
        <v>0.54100000000000004</v>
      </c>
      <c r="N1240" s="5">
        <f t="shared" si="273"/>
        <v>107.255</v>
      </c>
      <c r="O1240">
        <v>244</v>
      </c>
      <c r="P1240">
        <v>68</v>
      </c>
      <c r="Q1240" s="8">
        <f t="shared" si="274"/>
        <v>68</v>
      </c>
      <c r="R1240" s="8">
        <v>146</v>
      </c>
      <c r="S1240" s="8">
        <f t="shared" si="275"/>
        <v>146</v>
      </c>
      <c r="T1240" s="8">
        <f>(Table1[[#This Row],[Total Cholesterol (mg/dL)]]+Table1[[#This Row],[HDL (mg/dL)2]]+Table1[[#This Row],[Estimated LDL (mg/dL)2]])*5</f>
        <v>2290</v>
      </c>
      <c r="U1240" s="8">
        <f>IF(O1240="",Table1[[#This Row],[Estimated LDL (mg/dL)2]]+Table1[[#This Row],[HDL (mg/dL)2]]+(Table1[[#This Row],[Triglycerides]]/5),O1240)</f>
        <v>244</v>
      </c>
      <c r="V1240">
        <v>85</v>
      </c>
      <c r="W1240" s="8">
        <f t="shared" si="276"/>
        <v>85</v>
      </c>
      <c r="X1240" t="str">
        <f t="shared" si="277"/>
        <v>Normal</v>
      </c>
      <c r="Y1240" t="s">
        <v>23</v>
      </c>
      <c r="Z1240" t="s">
        <v>22</v>
      </c>
      <c r="AA1240" t="s">
        <v>37</v>
      </c>
      <c r="AB1240" s="3" t="s">
        <v>1058</v>
      </c>
      <c r="AC1240">
        <v>144</v>
      </c>
      <c r="AD1240" s="3" t="str">
        <f t="shared" si="278"/>
        <v>144</v>
      </c>
      <c r="AE1240">
        <v>95</v>
      </c>
      <c r="AF1240" s="3" t="str">
        <f t="shared" si="279"/>
        <v>95</v>
      </c>
      <c r="AG1240" t="s">
        <v>38</v>
      </c>
      <c r="AH1240" s="3">
        <v>17.643000000000001</v>
      </c>
      <c r="AI1240" s="3">
        <f t="shared" si="280"/>
        <v>17.643000000000001</v>
      </c>
      <c r="AJ1240" t="s">
        <v>26</v>
      </c>
      <c r="AK1240" t="str">
        <f>PROPER(Table1[[#This Row],[CVD Risk Level]])</f>
        <v>Intermediary</v>
      </c>
    </row>
    <row r="1241" spans="1:37" x14ac:dyDescent="0.3">
      <c r="A1241" t="s">
        <v>31</v>
      </c>
      <c r="B1241">
        <v>61</v>
      </c>
      <c r="C1241" s="8">
        <f t="shared" si="269"/>
        <v>61</v>
      </c>
      <c r="D1241" s="5">
        <v>108.873</v>
      </c>
      <c r="E1241" s="8">
        <f t="shared" si="270"/>
        <v>108.873</v>
      </c>
      <c r="F1241">
        <v>1.9690000000000001</v>
      </c>
      <c r="G1241" s="3">
        <f t="shared" si="271"/>
        <v>1.9690000000000001</v>
      </c>
      <c r="H1241">
        <v>18.678999999999998</v>
      </c>
      <c r="I1241" s="5">
        <f t="shared" si="267"/>
        <v>18.678999999999998</v>
      </c>
      <c r="J1241" s="16" t="str">
        <f t="shared" si="272"/>
        <v>Normal</v>
      </c>
      <c r="K1241">
        <v>94.512</v>
      </c>
      <c r="L1241">
        <v>0.48</v>
      </c>
      <c r="M1241" s="11">
        <f t="shared" si="268"/>
        <v>0.48</v>
      </c>
      <c r="N1241" s="5">
        <f t="shared" si="273"/>
        <v>94.512</v>
      </c>
      <c r="O1241">
        <v>295</v>
      </c>
      <c r="P1241">
        <v>83</v>
      </c>
      <c r="Q1241" s="8">
        <f t="shared" si="274"/>
        <v>83</v>
      </c>
      <c r="R1241" s="8">
        <v>182</v>
      </c>
      <c r="S1241" s="8">
        <f t="shared" si="275"/>
        <v>182</v>
      </c>
      <c r="T1241" s="8">
        <f>(Table1[[#This Row],[Total Cholesterol (mg/dL)]]+Table1[[#This Row],[HDL (mg/dL)2]]+Table1[[#This Row],[Estimated LDL (mg/dL)2]])*5</f>
        <v>2800</v>
      </c>
      <c r="U1241" s="8">
        <f>IF(O1241="",Table1[[#This Row],[Estimated LDL (mg/dL)2]]+Table1[[#This Row],[HDL (mg/dL)2]]+(Table1[[#This Row],[Triglycerides]]/5),O1241)</f>
        <v>295</v>
      </c>
      <c r="V1241">
        <v>119</v>
      </c>
      <c r="W1241" s="8">
        <f t="shared" si="276"/>
        <v>119</v>
      </c>
      <c r="X1241" t="str">
        <f t="shared" si="277"/>
        <v>Prediabetes</v>
      </c>
      <c r="Y1241" t="s">
        <v>23</v>
      </c>
      <c r="Z1241" t="s">
        <v>22</v>
      </c>
      <c r="AA1241" t="s">
        <v>24</v>
      </c>
      <c r="AB1241" s="3" t="s">
        <v>1059</v>
      </c>
      <c r="AC1241">
        <v>109</v>
      </c>
      <c r="AD1241" s="3" t="str">
        <f t="shared" si="278"/>
        <v>109</v>
      </c>
      <c r="AE1241">
        <v>82</v>
      </c>
      <c r="AF1241" s="3" t="str">
        <f t="shared" si="279"/>
        <v>82</v>
      </c>
      <c r="AG1241" t="s">
        <v>29</v>
      </c>
      <c r="AH1241" s="3">
        <v>15.086</v>
      </c>
      <c r="AI1241" s="3">
        <f t="shared" si="280"/>
        <v>15.086</v>
      </c>
      <c r="AJ1241" t="s">
        <v>30</v>
      </c>
      <c r="AK1241" t="str">
        <f>PROPER(Table1[[#This Row],[CVD Risk Level]])</f>
        <v>High</v>
      </c>
    </row>
    <row r="1242" spans="1:37" x14ac:dyDescent="0.3">
      <c r="A1242" t="s">
        <v>31</v>
      </c>
      <c r="C1242" s="8">
        <f t="shared" si="269"/>
        <v>47.025499655410059</v>
      </c>
      <c r="D1242" s="5">
        <v>112.068</v>
      </c>
      <c r="E1242" s="8">
        <f t="shared" si="270"/>
        <v>112.068</v>
      </c>
      <c r="F1242">
        <v>1.9450000000000001</v>
      </c>
      <c r="G1242" s="3">
        <f t="shared" si="271"/>
        <v>1.9450000000000001</v>
      </c>
      <c r="H1242">
        <v>32.357999999999997</v>
      </c>
      <c r="I1242" s="5">
        <f t="shared" si="267"/>
        <v>32.357999999999997</v>
      </c>
      <c r="J1242" s="16" t="str">
        <f t="shared" si="272"/>
        <v>Obese</v>
      </c>
      <c r="K1242">
        <v>106.46</v>
      </c>
      <c r="L1242">
        <v>0.54700000000000004</v>
      </c>
      <c r="M1242" s="11">
        <f t="shared" si="268"/>
        <v>0.54700000000000004</v>
      </c>
      <c r="N1242" s="5">
        <f t="shared" si="273"/>
        <v>106.46</v>
      </c>
      <c r="O1242">
        <v>280</v>
      </c>
      <c r="P1242">
        <v>34</v>
      </c>
      <c r="Q1242" s="8">
        <f t="shared" si="274"/>
        <v>34</v>
      </c>
      <c r="R1242" s="8">
        <v>216</v>
      </c>
      <c r="S1242" s="8">
        <f t="shared" si="275"/>
        <v>216</v>
      </c>
      <c r="T1242" s="8">
        <f>(Table1[[#This Row],[Total Cholesterol (mg/dL)]]+Table1[[#This Row],[HDL (mg/dL)2]]+Table1[[#This Row],[Estimated LDL (mg/dL)2]])*5</f>
        <v>2650</v>
      </c>
      <c r="U1242" s="8">
        <f>IF(O1242="",Table1[[#This Row],[Estimated LDL (mg/dL)2]]+Table1[[#This Row],[HDL (mg/dL)2]]+(Table1[[#This Row],[Triglycerides]]/5),O1242)</f>
        <v>280</v>
      </c>
      <c r="V1242">
        <v>158</v>
      </c>
      <c r="W1242" s="8">
        <f t="shared" si="276"/>
        <v>158</v>
      </c>
      <c r="X1242" t="str">
        <f t="shared" si="277"/>
        <v>Diabetes</v>
      </c>
      <c r="Y1242" t="s">
        <v>23</v>
      </c>
      <c r="Z1242" t="s">
        <v>22</v>
      </c>
      <c r="AA1242" t="s">
        <v>37</v>
      </c>
      <c r="AB1242" s="3" t="s">
        <v>1060</v>
      </c>
      <c r="AC1242">
        <v>102</v>
      </c>
      <c r="AD1242" s="3" t="str">
        <f t="shared" si="278"/>
        <v>102</v>
      </c>
      <c r="AF1242" s="3" t="str">
        <f t="shared" si="279"/>
        <v>88</v>
      </c>
      <c r="AG1242" t="s">
        <v>29</v>
      </c>
      <c r="AH1242" s="3">
        <v>17.172000000000001</v>
      </c>
      <c r="AI1242" s="3">
        <f t="shared" si="280"/>
        <v>17.172000000000001</v>
      </c>
      <c r="AJ1242" t="s">
        <v>52</v>
      </c>
      <c r="AK1242" t="str">
        <f>PROPER(Table1[[#This Row],[CVD Risk Level]])</f>
        <v>Low</v>
      </c>
    </row>
    <row r="1243" spans="1:37" x14ac:dyDescent="0.3">
      <c r="A1243" t="s">
        <v>20</v>
      </c>
      <c r="B1243">
        <v>50</v>
      </c>
      <c r="C1243" s="8">
        <f t="shared" si="269"/>
        <v>50</v>
      </c>
      <c r="E1243" s="8">
        <f t="shared" si="270"/>
        <v>54.962671575000009</v>
      </c>
      <c r="F1243">
        <v>1.7150000000000001</v>
      </c>
      <c r="G1243" s="3">
        <f t="shared" si="271"/>
        <v>1.7150000000000001</v>
      </c>
      <c r="H1243">
        <v>18.687000000000001</v>
      </c>
      <c r="I1243" s="5">
        <f t="shared" si="267"/>
        <v>18.687000000000001</v>
      </c>
      <c r="J1243" s="16" t="str">
        <f t="shared" si="272"/>
        <v>Normal</v>
      </c>
      <c r="K1243">
        <v>117.9</v>
      </c>
      <c r="L1243">
        <v>0.68799999999999994</v>
      </c>
      <c r="M1243" s="11">
        <f t="shared" si="268"/>
        <v>0.68799999999999994</v>
      </c>
      <c r="N1243" s="5">
        <f t="shared" si="273"/>
        <v>117.9</v>
      </c>
      <c r="O1243">
        <v>208</v>
      </c>
      <c r="P1243">
        <v>43</v>
      </c>
      <c r="Q1243" s="8">
        <f t="shared" si="274"/>
        <v>43</v>
      </c>
      <c r="S1243" s="8">
        <f t="shared" si="275"/>
        <v>109</v>
      </c>
      <c r="T1243" s="8">
        <f>(Table1[[#This Row],[Total Cholesterol (mg/dL)]]+Table1[[#This Row],[HDL (mg/dL)2]]+Table1[[#This Row],[Estimated LDL (mg/dL)2]])*5</f>
        <v>1800</v>
      </c>
      <c r="U1243" s="8">
        <f>IF(O1243="",Table1[[#This Row],[Estimated LDL (mg/dL)2]]+Table1[[#This Row],[HDL (mg/dL)2]]+(Table1[[#This Row],[Triglycerides]]/5),O1243)</f>
        <v>208</v>
      </c>
      <c r="V1243">
        <v>155</v>
      </c>
      <c r="W1243" s="8">
        <f t="shared" si="276"/>
        <v>155</v>
      </c>
      <c r="X1243" t="str">
        <f t="shared" si="277"/>
        <v>Diabetes</v>
      </c>
      <c r="Y1243" t="s">
        <v>23</v>
      </c>
      <c r="Z1243" t="s">
        <v>23</v>
      </c>
      <c r="AA1243" t="s">
        <v>28</v>
      </c>
      <c r="AB1243" s="3" t="s">
        <v>1061</v>
      </c>
      <c r="AC1243">
        <v>164</v>
      </c>
      <c r="AD1243" s="3" t="str">
        <f t="shared" si="278"/>
        <v>164</v>
      </c>
      <c r="AE1243">
        <v>81</v>
      </c>
      <c r="AF1243" s="3" t="str">
        <f t="shared" si="279"/>
        <v>81</v>
      </c>
      <c r="AG1243" t="s">
        <v>29</v>
      </c>
      <c r="AH1243" s="3">
        <v>18.097000000000001</v>
      </c>
      <c r="AI1243" s="3">
        <f t="shared" si="280"/>
        <v>18.097000000000001</v>
      </c>
      <c r="AJ1243" t="s">
        <v>52</v>
      </c>
      <c r="AK1243" t="str">
        <f>PROPER(Table1[[#This Row],[CVD Risk Level]])</f>
        <v>Low</v>
      </c>
    </row>
    <row r="1244" spans="1:37" x14ac:dyDescent="0.3">
      <c r="A1244" t="s">
        <v>20</v>
      </c>
      <c r="B1244">
        <v>44</v>
      </c>
      <c r="C1244" s="8">
        <f t="shared" si="269"/>
        <v>44</v>
      </c>
      <c r="D1244" s="5">
        <v>106.675</v>
      </c>
      <c r="E1244" s="8">
        <f t="shared" si="270"/>
        <v>106.675</v>
      </c>
      <c r="F1244">
        <v>1.7989999999999999</v>
      </c>
      <c r="G1244" s="3">
        <f t="shared" si="271"/>
        <v>1.7989999999999999</v>
      </c>
      <c r="H1244">
        <v>20.375</v>
      </c>
      <c r="I1244" s="5">
        <f t="shared" si="267"/>
        <v>20.375</v>
      </c>
      <c r="J1244" s="16" t="str">
        <f t="shared" si="272"/>
        <v>Normal</v>
      </c>
      <c r="K1244">
        <v>83.194000000000003</v>
      </c>
      <c r="L1244">
        <v>0.46200000000000002</v>
      </c>
      <c r="M1244" s="11">
        <f t="shared" si="268"/>
        <v>0.46200000000000002</v>
      </c>
      <c r="N1244" s="5">
        <f t="shared" si="273"/>
        <v>83.194000000000003</v>
      </c>
      <c r="O1244">
        <v>131</v>
      </c>
      <c r="P1244">
        <v>66</v>
      </c>
      <c r="Q1244" s="8">
        <f t="shared" si="274"/>
        <v>66</v>
      </c>
      <c r="R1244" s="8">
        <v>35</v>
      </c>
      <c r="S1244" s="8">
        <f t="shared" si="275"/>
        <v>35</v>
      </c>
      <c r="T1244" s="8">
        <f>(Table1[[#This Row],[Total Cholesterol (mg/dL)]]+Table1[[#This Row],[HDL (mg/dL)2]]+Table1[[#This Row],[Estimated LDL (mg/dL)2]])*5</f>
        <v>1160</v>
      </c>
      <c r="U1244" s="8">
        <f>IF(O1244="",Table1[[#This Row],[Estimated LDL (mg/dL)2]]+Table1[[#This Row],[HDL (mg/dL)2]]+(Table1[[#This Row],[Triglycerides]]/5),O1244)</f>
        <v>131</v>
      </c>
      <c r="V1244">
        <v>166</v>
      </c>
      <c r="W1244" s="8">
        <f t="shared" si="276"/>
        <v>166</v>
      </c>
      <c r="X1244" t="str">
        <f t="shared" si="277"/>
        <v>Diabetes</v>
      </c>
      <c r="Y1244" t="s">
        <v>22</v>
      </c>
      <c r="Z1244" t="s">
        <v>22</v>
      </c>
      <c r="AA1244" t="s">
        <v>28</v>
      </c>
      <c r="AB1244" s="3" t="s">
        <v>1062</v>
      </c>
      <c r="AC1244">
        <v>106</v>
      </c>
      <c r="AD1244" s="3" t="str">
        <f t="shared" si="278"/>
        <v>106</v>
      </c>
      <c r="AE1244">
        <v>105</v>
      </c>
      <c r="AF1244" s="3" t="str">
        <f t="shared" si="279"/>
        <v>105</v>
      </c>
      <c r="AG1244" t="s">
        <v>38</v>
      </c>
      <c r="AH1244" s="3">
        <v>11.994999999999999</v>
      </c>
      <c r="AI1244" s="3">
        <f t="shared" si="280"/>
        <v>11.994999999999999</v>
      </c>
      <c r="AJ1244" t="s">
        <v>30</v>
      </c>
      <c r="AK1244" t="str">
        <f>PROPER(Table1[[#This Row],[CVD Risk Level]])</f>
        <v>High</v>
      </c>
    </row>
    <row r="1245" spans="1:37" x14ac:dyDescent="0.3">
      <c r="A1245" t="s">
        <v>20</v>
      </c>
      <c r="B1245">
        <v>52</v>
      </c>
      <c r="C1245" s="8">
        <f t="shared" si="269"/>
        <v>52</v>
      </c>
      <c r="D1245" s="5">
        <v>78.588999999999999</v>
      </c>
      <c r="E1245" s="8">
        <f t="shared" si="270"/>
        <v>78.588999999999999</v>
      </c>
      <c r="F1245">
        <v>1.9319999999999999</v>
      </c>
      <c r="G1245" s="3">
        <f t="shared" si="271"/>
        <v>1.9319999999999999</v>
      </c>
      <c r="H1245">
        <v>27.216999999999999</v>
      </c>
      <c r="I1245" s="5">
        <f t="shared" si="267"/>
        <v>27.216999999999999</v>
      </c>
      <c r="J1245" s="16" t="str">
        <f t="shared" si="272"/>
        <v>Overweight</v>
      </c>
      <c r="K1245">
        <v>112.51</v>
      </c>
      <c r="L1245">
        <v>0.58199999999999996</v>
      </c>
      <c r="M1245" s="11">
        <f t="shared" si="268"/>
        <v>0.58199999999999996</v>
      </c>
      <c r="N1245" s="5">
        <f t="shared" si="273"/>
        <v>112.51</v>
      </c>
      <c r="O1245">
        <v>123</v>
      </c>
      <c r="Q1245" s="8">
        <f t="shared" si="274"/>
        <v>56.197377501725327</v>
      </c>
      <c r="R1245" s="8">
        <v>60</v>
      </c>
      <c r="S1245" s="8">
        <f>IF(R1245&lt;=0,MEDIAN($R$2:$R$1530),R1245)</f>
        <v>60</v>
      </c>
      <c r="T1245" s="8">
        <f>(Table1[[#This Row],[Total Cholesterol (mg/dL)]]+Table1[[#This Row],[HDL (mg/dL)2]]+Table1[[#This Row],[Estimated LDL (mg/dL)2]])*5</f>
        <v>1195.9868875086268</v>
      </c>
      <c r="U1245" s="8">
        <f>IF(O1245="",Table1[[#This Row],[Estimated LDL (mg/dL)2]]+Table1[[#This Row],[HDL (mg/dL)2]]+(Table1[[#This Row],[Triglycerides]]/5),O1245)</f>
        <v>123</v>
      </c>
      <c r="V1245">
        <v>103</v>
      </c>
      <c r="W1245" s="8">
        <f t="shared" si="276"/>
        <v>103</v>
      </c>
      <c r="X1245" t="str">
        <f t="shared" si="277"/>
        <v>Prediabetes</v>
      </c>
      <c r="Y1245" t="s">
        <v>22</v>
      </c>
      <c r="Z1245" t="s">
        <v>22</v>
      </c>
      <c r="AA1245" t="s">
        <v>28</v>
      </c>
      <c r="AB1245" s="3" t="s">
        <v>1063</v>
      </c>
      <c r="AC1245">
        <v>129</v>
      </c>
      <c r="AD1245" s="3" t="str">
        <f t="shared" si="278"/>
        <v>129</v>
      </c>
      <c r="AE1245">
        <v>99</v>
      </c>
      <c r="AF1245" s="3" t="str">
        <f t="shared" si="279"/>
        <v>99</v>
      </c>
      <c r="AG1245" t="s">
        <v>38</v>
      </c>
      <c r="AH1245" s="3">
        <v>14.353</v>
      </c>
      <c r="AI1245" s="3">
        <f t="shared" si="280"/>
        <v>14.353</v>
      </c>
      <c r="AJ1245" t="s">
        <v>26</v>
      </c>
      <c r="AK1245" t="str">
        <f>PROPER(Table1[[#This Row],[CVD Risk Level]])</f>
        <v>Intermediary</v>
      </c>
    </row>
    <row r="1246" spans="1:37" x14ac:dyDescent="0.3">
      <c r="A1246" t="s">
        <v>20</v>
      </c>
      <c r="C1246" s="8">
        <f t="shared" si="269"/>
        <v>47.025499655410059</v>
      </c>
      <c r="D1246" s="5">
        <v>111.474</v>
      </c>
      <c r="E1246" s="8">
        <f t="shared" si="270"/>
        <v>111.474</v>
      </c>
      <c r="F1246">
        <v>1.542</v>
      </c>
      <c r="G1246" s="3">
        <f t="shared" si="271"/>
        <v>1.542</v>
      </c>
      <c r="H1246">
        <v>24.814</v>
      </c>
      <c r="I1246" s="5">
        <f t="shared" si="267"/>
        <v>24.814</v>
      </c>
      <c r="J1246" s="16" t="str">
        <f t="shared" si="272"/>
        <v>Normal</v>
      </c>
      <c r="K1246">
        <v>77.655000000000001</v>
      </c>
      <c r="L1246">
        <v>0.504</v>
      </c>
      <c r="M1246" s="11">
        <f t="shared" si="268"/>
        <v>0.504</v>
      </c>
      <c r="N1246" s="5">
        <f t="shared" si="273"/>
        <v>77.655000000000001</v>
      </c>
      <c r="O1246">
        <v>260</v>
      </c>
      <c r="P1246">
        <v>46</v>
      </c>
      <c r="Q1246" s="8">
        <f t="shared" si="274"/>
        <v>46</v>
      </c>
      <c r="R1246" s="8">
        <v>184</v>
      </c>
      <c r="S1246" s="8">
        <f t="shared" si="275"/>
        <v>184</v>
      </c>
      <c r="T1246" s="8">
        <f>(Table1[[#This Row],[Total Cholesterol (mg/dL)]]+Table1[[#This Row],[HDL (mg/dL)2]]+Table1[[#This Row],[Estimated LDL (mg/dL)2]])*5</f>
        <v>2450</v>
      </c>
      <c r="U1246" s="8">
        <f>IF(O1246="",Table1[[#This Row],[Estimated LDL (mg/dL)2]]+Table1[[#This Row],[HDL (mg/dL)2]]+(Table1[[#This Row],[Triglycerides]]/5),O1246)</f>
        <v>260</v>
      </c>
      <c r="V1246">
        <v>95</v>
      </c>
      <c r="W1246" s="8">
        <f t="shared" si="276"/>
        <v>95</v>
      </c>
      <c r="X1246" t="str">
        <f t="shared" si="277"/>
        <v>Normal</v>
      </c>
      <c r="Y1246" t="s">
        <v>22</v>
      </c>
      <c r="Z1246" t="s">
        <v>22</v>
      </c>
      <c r="AA1246" t="s">
        <v>24</v>
      </c>
      <c r="AB1246" s="3" t="s">
        <v>1064</v>
      </c>
      <c r="AC1246">
        <v>164</v>
      </c>
      <c r="AD1246" s="3" t="str">
        <f t="shared" si="278"/>
        <v>164</v>
      </c>
      <c r="AE1246">
        <v>100</v>
      </c>
      <c r="AF1246" s="3" t="str">
        <f t="shared" si="279"/>
        <v>100</v>
      </c>
      <c r="AG1246" t="s">
        <v>38</v>
      </c>
      <c r="AH1246" s="3">
        <v>18.363</v>
      </c>
      <c r="AI1246" s="3">
        <f t="shared" si="280"/>
        <v>18.363</v>
      </c>
      <c r="AJ1246" t="s">
        <v>26</v>
      </c>
      <c r="AK1246" t="str">
        <f>PROPER(Table1[[#This Row],[CVD Risk Level]])</f>
        <v>Intermediary</v>
      </c>
    </row>
    <row r="1247" spans="1:37" x14ac:dyDescent="0.3">
      <c r="A1247" t="s">
        <v>20</v>
      </c>
      <c r="C1247" s="8">
        <f t="shared" si="269"/>
        <v>47.025499655410059</v>
      </c>
      <c r="D1247" s="5">
        <v>89.647000000000006</v>
      </c>
      <c r="E1247" s="8">
        <f t="shared" si="270"/>
        <v>89.647000000000006</v>
      </c>
      <c r="F1247">
        <v>1.8069999999999999</v>
      </c>
      <c r="G1247" s="3">
        <f t="shared" si="271"/>
        <v>1.8069999999999999</v>
      </c>
      <c r="H1247">
        <v>24.763000000000002</v>
      </c>
      <c r="I1247" s="5">
        <f t="shared" si="267"/>
        <v>24.763000000000002</v>
      </c>
      <c r="J1247" s="16" t="str">
        <f t="shared" si="272"/>
        <v>Normal</v>
      </c>
      <c r="K1247">
        <v>77.941999999999993</v>
      </c>
      <c r="L1247">
        <v>0.43099999999999999</v>
      </c>
      <c r="M1247" s="11">
        <f t="shared" si="268"/>
        <v>0.43099999999999999</v>
      </c>
      <c r="N1247" s="5">
        <f t="shared" si="273"/>
        <v>77.941999999999993</v>
      </c>
      <c r="O1247">
        <v>227</v>
      </c>
      <c r="P1247">
        <v>40</v>
      </c>
      <c r="Q1247" s="8">
        <f t="shared" si="274"/>
        <v>40</v>
      </c>
      <c r="R1247" s="8">
        <v>157</v>
      </c>
      <c r="S1247" s="8">
        <f t="shared" si="275"/>
        <v>157</v>
      </c>
      <c r="T1247" s="8">
        <f>(Table1[[#This Row],[Total Cholesterol (mg/dL)]]+Table1[[#This Row],[HDL (mg/dL)2]]+Table1[[#This Row],[Estimated LDL (mg/dL)2]])*5</f>
        <v>2120</v>
      </c>
      <c r="U1247" s="8">
        <f>IF(O1247="",Table1[[#This Row],[Estimated LDL (mg/dL)2]]+Table1[[#This Row],[HDL (mg/dL)2]]+(Table1[[#This Row],[Triglycerides]]/5),O1247)</f>
        <v>227</v>
      </c>
      <c r="V1247">
        <v>175</v>
      </c>
      <c r="W1247" s="8">
        <f t="shared" si="276"/>
        <v>175</v>
      </c>
      <c r="X1247" t="str">
        <f t="shared" si="277"/>
        <v>Diabetes</v>
      </c>
      <c r="Y1247" t="s">
        <v>23</v>
      </c>
      <c r="Z1247" t="s">
        <v>22</v>
      </c>
      <c r="AA1247" t="s">
        <v>28</v>
      </c>
      <c r="AB1247" s="3" t="s">
        <v>1035</v>
      </c>
      <c r="AC1247">
        <v>168</v>
      </c>
      <c r="AD1247" s="3" t="str">
        <f t="shared" si="278"/>
        <v>168</v>
      </c>
      <c r="AE1247">
        <v>61</v>
      </c>
      <c r="AF1247" s="3" t="str">
        <f t="shared" si="279"/>
        <v>61</v>
      </c>
      <c r="AG1247" t="s">
        <v>38</v>
      </c>
      <c r="AH1247" s="3">
        <v>17.893000000000001</v>
      </c>
      <c r="AI1247" s="3">
        <f t="shared" si="280"/>
        <v>17.893000000000001</v>
      </c>
      <c r="AJ1247" t="s">
        <v>52</v>
      </c>
      <c r="AK1247" t="str">
        <f>PROPER(Table1[[#This Row],[CVD Risk Level]])</f>
        <v>Low</v>
      </c>
    </row>
    <row r="1248" spans="1:37" x14ac:dyDescent="0.3">
      <c r="A1248" t="s">
        <v>20</v>
      </c>
      <c r="B1248">
        <v>77</v>
      </c>
      <c r="C1248" s="8">
        <f t="shared" si="269"/>
        <v>77</v>
      </c>
      <c r="D1248" s="5">
        <v>60.106999999999999</v>
      </c>
      <c r="E1248" s="8">
        <f t="shared" si="270"/>
        <v>60.106999999999999</v>
      </c>
      <c r="F1248">
        <v>1.728</v>
      </c>
      <c r="G1248" s="3">
        <f t="shared" si="271"/>
        <v>1.728</v>
      </c>
      <c r="H1248">
        <v>22.247</v>
      </c>
      <c r="I1248" s="5">
        <f t="shared" si="267"/>
        <v>22.247</v>
      </c>
      <c r="J1248" s="16" t="str">
        <f t="shared" si="272"/>
        <v>Normal</v>
      </c>
      <c r="K1248">
        <v>89.010999999999996</v>
      </c>
      <c r="M1248" s="11">
        <f t="shared" si="268"/>
        <v>0.5151099537037036</v>
      </c>
      <c r="N1248" s="5">
        <f t="shared" si="273"/>
        <v>89.010999999999996</v>
      </c>
      <c r="O1248">
        <v>108</v>
      </c>
      <c r="P1248">
        <v>37</v>
      </c>
      <c r="Q1248" s="8">
        <f t="shared" si="274"/>
        <v>37</v>
      </c>
      <c r="S1248" s="8">
        <f t="shared" si="275"/>
        <v>109</v>
      </c>
      <c r="T1248" s="8">
        <f>(Table1[[#This Row],[Total Cholesterol (mg/dL)]]+Table1[[#This Row],[HDL (mg/dL)2]]+Table1[[#This Row],[Estimated LDL (mg/dL)2]])*5</f>
        <v>1270</v>
      </c>
      <c r="U1248" s="8">
        <f>IF(O1248="",Table1[[#This Row],[Estimated LDL (mg/dL)2]]+Table1[[#This Row],[HDL (mg/dL)2]]+(Table1[[#This Row],[Triglycerides]]/5),O1248)</f>
        <v>108</v>
      </c>
      <c r="V1248">
        <v>179</v>
      </c>
      <c r="W1248" s="8">
        <f t="shared" si="276"/>
        <v>179</v>
      </c>
      <c r="X1248" t="str">
        <f t="shared" si="277"/>
        <v>Diabetes</v>
      </c>
      <c r="Y1248" t="s">
        <v>23</v>
      </c>
      <c r="Z1248" t="s">
        <v>22</v>
      </c>
      <c r="AA1248" t="s">
        <v>24</v>
      </c>
      <c r="AB1248" s="3" t="s">
        <v>1065</v>
      </c>
      <c r="AC1248">
        <v>166</v>
      </c>
      <c r="AD1248" s="3" t="str">
        <f t="shared" si="278"/>
        <v>166</v>
      </c>
      <c r="AE1248">
        <v>116</v>
      </c>
      <c r="AF1248" s="3" t="str">
        <f t="shared" si="279"/>
        <v>116</v>
      </c>
      <c r="AG1248" t="s">
        <v>38</v>
      </c>
      <c r="AH1248" s="3">
        <v>14.909000000000001</v>
      </c>
      <c r="AI1248" s="3">
        <f t="shared" si="280"/>
        <v>14.909000000000001</v>
      </c>
      <c r="AJ1248" t="s">
        <v>30</v>
      </c>
      <c r="AK1248" t="str">
        <f>PROPER(Table1[[#This Row],[CVD Risk Level]])</f>
        <v>High</v>
      </c>
    </row>
    <row r="1249" spans="1:37" x14ac:dyDescent="0.3">
      <c r="A1249" t="s">
        <v>20</v>
      </c>
      <c r="B1249">
        <v>42</v>
      </c>
      <c r="C1249" s="8">
        <f t="shared" si="269"/>
        <v>42</v>
      </c>
      <c r="D1249" s="5">
        <v>52.707999999999998</v>
      </c>
      <c r="E1249" s="8">
        <f t="shared" si="270"/>
        <v>52.707999999999998</v>
      </c>
      <c r="F1249">
        <v>1.587</v>
      </c>
      <c r="G1249" s="3">
        <f t="shared" si="271"/>
        <v>1.587</v>
      </c>
      <c r="I1249" s="5">
        <f t="shared" si="267"/>
        <v>20.927756992164998</v>
      </c>
      <c r="J1249" s="16" t="str">
        <f t="shared" si="272"/>
        <v>Normal</v>
      </c>
      <c r="K1249">
        <v>110.821</v>
      </c>
      <c r="L1249">
        <v>0.69799999999999995</v>
      </c>
      <c r="M1249" s="11">
        <f t="shared" si="268"/>
        <v>0.69799999999999995</v>
      </c>
      <c r="N1249" s="5">
        <f t="shared" si="273"/>
        <v>110.821</v>
      </c>
      <c r="O1249">
        <v>137</v>
      </c>
      <c r="P1249">
        <v>45</v>
      </c>
      <c r="Q1249" s="8">
        <f t="shared" si="274"/>
        <v>45</v>
      </c>
      <c r="R1249" s="8">
        <v>62</v>
      </c>
      <c r="S1249" s="8">
        <f t="shared" si="275"/>
        <v>62</v>
      </c>
      <c r="T1249" s="8">
        <f>(Table1[[#This Row],[Total Cholesterol (mg/dL)]]+Table1[[#This Row],[HDL (mg/dL)2]]+Table1[[#This Row],[Estimated LDL (mg/dL)2]])*5</f>
        <v>1220</v>
      </c>
      <c r="U1249" s="8">
        <f>IF(O1249="",Table1[[#This Row],[Estimated LDL (mg/dL)2]]+Table1[[#This Row],[HDL (mg/dL)2]]+(Table1[[#This Row],[Triglycerides]]/5),O1249)</f>
        <v>137</v>
      </c>
      <c r="V1249">
        <v>120</v>
      </c>
      <c r="W1249" s="8">
        <f t="shared" si="276"/>
        <v>120</v>
      </c>
      <c r="X1249" t="str">
        <f t="shared" si="277"/>
        <v>Prediabetes</v>
      </c>
      <c r="Y1249" t="s">
        <v>22</v>
      </c>
      <c r="Z1249" t="s">
        <v>22</v>
      </c>
      <c r="AA1249" t="s">
        <v>37</v>
      </c>
      <c r="AB1249" s="3" t="s">
        <v>1066</v>
      </c>
      <c r="AC1249">
        <v>117</v>
      </c>
      <c r="AD1249" s="3" t="str">
        <f t="shared" si="278"/>
        <v>117</v>
      </c>
      <c r="AE1249">
        <v>113</v>
      </c>
      <c r="AF1249" s="3" t="str">
        <f t="shared" si="279"/>
        <v>113</v>
      </c>
      <c r="AG1249" t="s">
        <v>38</v>
      </c>
      <c r="AH1249" s="3">
        <v>13.826000000000001</v>
      </c>
      <c r="AI1249" s="3">
        <f t="shared" si="280"/>
        <v>13.826000000000001</v>
      </c>
      <c r="AJ1249" t="s">
        <v>30</v>
      </c>
      <c r="AK1249" t="str">
        <f>PROPER(Table1[[#This Row],[CVD Risk Level]])</f>
        <v>High</v>
      </c>
    </row>
    <row r="1250" spans="1:37" x14ac:dyDescent="0.3">
      <c r="A1250" t="s">
        <v>20</v>
      </c>
      <c r="B1250">
        <v>30</v>
      </c>
      <c r="C1250" s="8">
        <f t="shared" si="269"/>
        <v>30</v>
      </c>
      <c r="D1250" s="5">
        <v>86.364000000000004</v>
      </c>
      <c r="E1250" s="8">
        <f t="shared" si="270"/>
        <v>86.364000000000004</v>
      </c>
      <c r="F1250">
        <v>1.7050000000000001</v>
      </c>
      <c r="G1250" s="3">
        <f t="shared" si="271"/>
        <v>1.7050000000000001</v>
      </c>
      <c r="H1250">
        <v>35.158999999999999</v>
      </c>
      <c r="I1250" s="5">
        <f t="shared" si="267"/>
        <v>35.158999999999999</v>
      </c>
      <c r="J1250" s="16" t="str">
        <f t="shared" si="272"/>
        <v>Obese</v>
      </c>
      <c r="K1250">
        <v>72.730999999999995</v>
      </c>
      <c r="L1250">
        <v>0.42699999999999999</v>
      </c>
      <c r="M1250" s="11">
        <f t="shared" si="268"/>
        <v>0.42699999999999999</v>
      </c>
      <c r="N1250" s="5">
        <f t="shared" si="273"/>
        <v>72.730999999999995</v>
      </c>
      <c r="O1250">
        <v>198</v>
      </c>
      <c r="P1250">
        <v>71</v>
      </c>
      <c r="Q1250" s="8">
        <f t="shared" si="274"/>
        <v>71</v>
      </c>
      <c r="R1250" s="8">
        <v>97</v>
      </c>
      <c r="S1250" s="8">
        <f>IF(R1250&lt;=0,MEDIAN($R$2:$R$1530),R1250)</f>
        <v>97</v>
      </c>
      <c r="T1250" s="8">
        <f>(Table1[[#This Row],[Total Cholesterol (mg/dL)]]+Table1[[#This Row],[HDL (mg/dL)2]]+Table1[[#This Row],[Estimated LDL (mg/dL)2]])*5</f>
        <v>1830</v>
      </c>
      <c r="U1250" s="8">
        <f>IF(O1250="",Table1[[#This Row],[Estimated LDL (mg/dL)2]]+Table1[[#This Row],[HDL (mg/dL)2]]+(Table1[[#This Row],[Triglycerides]]/5),O1250)</f>
        <v>198</v>
      </c>
      <c r="V1250">
        <v>130</v>
      </c>
      <c r="W1250" s="8">
        <f t="shared" si="276"/>
        <v>130</v>
      </c>
      <c r="X1250" t="str">
        <f t="shared" si="277"/>
        <v>Diabetes</v>
      </c>
      <c r="Y1250" t="s">
        <v>23</v>
      </c>
      <c r="Z1250" t="s">
        <v>22</v>
      </c>
      <c r="AA1250" t="s">
        <v>28</v>
      </c>
      <c r="AB1250" s="3" t="s">
        <v>1067</v>
      </c>
      <c r="AC1250">
        <v>95</v>
      </c>
      <c r="AD1250" s="3" t="str">
        <f t="shared" si="278"/>
        <v>95</v>
      </c>
      <c r="AE1250">
        <v>87</v>
      </c>
      <c r="AF1250" s="3" t="str">
        <f t="shared" si="279"/>
        <v>87</v>
      </c>
      <c r="AG1250" t="s">
        <v>29</v>
      </c>
      <c r="AI1250" s="3">
        <f t="shared" si="280"/>
        <v>16.960925291295425</v>
      </c>
      <c r="AJ1250" t="s">
        <v>26</v>
      </c>
      <c r="AK1250" t="str">
        <f>PROPER(Table1[[#This Row],[CVD Risk Level]])</f>
        <v>Intermediary</v>
      </c>
    </row>
    <row r="1251" spans="1:37" x14ac:dyDescent="0.3">
      <c r="A1251" t="s">
        <v>31</v>
      </c>
      <c r="B1251">
        <v>35</v>
      </c>
      <c r="C1251" s="8">
        <f t="shared" si="269"/>
        <v>35</v>
      </c>
      <c r="D1251" s="5">
        <v>117.19</v>
      </c>
      <c r="E1251" s="8">
        <f t="shared" si="270"/>
        <v>117.19</v>
      </c>
      <c r="F1251">
        <v>1.702</v>
      </c>
      <c r="G1251" s="3">
        <f t="shared" si="271"/>
        <v>1.702</v>
      </c>
      <c r="H1251">
        <v>24.965</v>
      </c>
      <c r="I1251" s="5">
        <f t="shared" si="267"/>
        <v>24.965</v>
      </c>
      <c r="J1251" s="16" t="str">
        <f t="shared" si="272"/>
        <v>Normal</v>
      </c>
      <c r="K1251">
        <v>103.38200000000001</v>
      </c>
      <c r="L1251">
        <v>0.60699999999999998</v>
      </c>
      <c r="M1251" s="11">
        <f t="shared" si="268"/>
        <v>0.60699999999999998</v>
      </c>
      <c r="N1251" s="5">
        <f t="shared" si="273"/>
        <v>103.38200000000001</v>
      </c>
      <c r="O1251">
        <v>180</v>
      </c>
      <c r="P1251">
        <v>89</v>
      </c>
      <c r="Q1251" s="8">
        <f t="shared" si="274"/>
        <v>89</v>
      </c>
      <c r="R1251" s="8">
        <v>61</v>
      </c>
      <c r="S1251" s="8">
        <f t="shared" si="275"/>
        <v>61</v>
      </c>
      <c r="T1251" s="8">
        <f>(Table1[[#This Row],[Total Cholesterol (mg/dL)]]+Table1[[#This Row],[HDL (mg/dL)2]]+Table1[[#This Row],[Estimated LDL (mg/dL)2]])*5</f>
        <v>1650</v>
      </c>
      <c r="U1251" s="8">
        <f>IF(O1251="",Table1[[#This Row],[Estimated LDL (mg/dL)2]]+Table1[[#This Row],[HDL (mg/dL)2]]+(Table1[[#This Row],[Triglycerides]]/5),O1251)</f>
        <v>180</v>
      </c>
      <c r="V1251">
        <v>99</v>
      </c>
      <c r="W1251" s="8">
        <f t="shared" si="276"/>
        <v>99</v>
      </c>
      <c r="X1251" t="str">
        <f t="shared" si="277"/>
        <v>Normal</v>
      </c>
      <c r="Y1251" t="s">
        <v>23</v>
      </c>
      <c r="Z1251" t="s">
        <v>23</v>
      </c>
      <c r="AA1251" t="s">
        <v>24</v>
      </c>
      <c r="AB1251" s="3" t="s">
        <v>1068</v>
      </c>
      <c r="AC1251">
        <v>102</v>
      </c>
      <c r="AD1251" s="3" t="str">
        <f t="shared" si="278"/>
        <v>102</v>
      </c>
      <c r="AF1251" s="3" t="str">
        <f t="shared" si="279"/>
        <v>69</v>
      </c>
      <c r="AG1251" t="s">
        <v>33</v>
      </c>
      <c r="AH1251" s="3">
        <v>15.693</v>
      </c>
      <c r="AI1251" s="3">
        <f t="shared" si="280"/>
        <v>15.693</v>
      </c>
      <c r="AJ1251" t="s">
        <v>30</v>
      </c>
      <c r="AK1251" t="str">
        <f>PROPER(Table1[[#This Row],[CVD Risk Level]])</f>
        <v>High</v>
      </c>
    </row>
    <row r="1252" spans="1:37" x14ac:dyDescent="0.3">
      <c r="A1252" t="s">
        <v>31</v>
      </c>
      <c r="C1252" s="8">
        <f t="shared" si="269"/>
        <v>47.025499655410059</v>
      </c>
      <c r="D1252" s="5">
        <v>87.055000000000007</v>
      </c>
      <c r="E1252" s="8">
        <f t="shared" si="270"/>
        <v>87.055000000000007</v>
      </c>
      <c r="F1252">
        <v>1.5269999999999999</v>
      </c>
      <c r="G1252" s="3">
        <f t="shared" si="271"/>
        <v>1.5269999999999999</v>
      </c>
      <c r="H1252">
        <v>23.245000000000001</v>
      </c>
      <c r="I1252" s="5">
        <f t="shared" si="267"/>
        <v>23.245000000000001</v>
      </c>
      <c r="J1252" s="16" t="str">
        <f t="shared" si="272"/>
        <v>Normal</v>
      </c>
      <c r="K1252">
        <v>96.492999999999995</v>
      </c>
      <c r="L1252">
        <v>0.63200000000000001</v>
      </c>
      <c r="M1252" s="11">
        <f t="shared" si="268"/>
        <v>0.63200000000000001</v>
      </c>
      <c r="N1252" s="5">
        <f t="shared" si="273"/>
        <v>96.492999999999995</v>
      </c>
      <c r="O1252">
        <v>132</v>
      </c>
      <c r="P1252">
        <v>80</v>
      </c>
      <c r="Q1252" s="8">
        <f t="shared" si="274"/>
        <v>80</v>
      </c>
      <c r="R1252" s="8">
        <v>22</v>
      </c>
      <c r="S1252" s="8">
        <f t="shared" si="275"/>
        <v>22</v>
      </c>
      <c r="T1252" s="8">
        <f>(Table1[[#This Row],[Total Cholesterol (mg/dL)]]+Table1[[#This Row],[HDL (mg/dL)2]]+Table1[[#This Row],[Estimated LDL (mg/dL)2]])*5</f>
        <v>1170</v>
      </c>
      <c r="U1252" s="8">
        <f>IF(O1252="",Table1[[#This Row],[Estimated LDL (mg/dL)2]]+Table1[[#This Row],[HDL (mg/dL)2]]+(Table1[[#This Row],[Triglycerides]]/5),O1252)</f>
        <v>132</v>
      </c>
      <c r="V1252">
        <v>188</v>
      </c>
      <c r="W1252" s="8">
        <f t="shared" si="276"/>
        <v>188</v>
      </c>
      <c r="X1252" t="str">
        <f t="shared" si="277"/>
        <v>Diabetes</v>
      </c>
      <c r="Y1252" t="s">
        <v>23</v>
      </c>
      <c r="Z1252" t="s">
        <v>22</v>
      </c>
      <c r="AA1252" t="s">
        <v>24</v>
      </c>
      <c r="AB1252" s="3" t="s">
        <v>1069</v>
      </c>
      <c r="AC1252">
        <v>103</v>
      </c>
      <c r="AD1252" s="3" t="str">
        <f t="shared" si="278"/>
        <v>103</v>
      </c>
      <c r="AE1252">
        <v>72</v>
      </c>
      <c r="AF1252" s="3" t="str">
        <f t="shared" si="279"/>
        <v>72</v>
      </c>
      <c r="AG1252" t="s">
        <v>33</v>
      </c>
      <c r="AH1252" s="3">
        <v>12.439</v>
      </c>
      <c r="AI1252" s="3">
        <f t="shared" si="280"/>
        <v>12.439</v>
      </c>
      <c r="AJ1252" t="s">
        <v>26</v>
      </c>
      <c r="AK1252" t="str">
        <f>PROPER(Table1[[#This Row],[CVD Risk Level]])</f>
        <v>Intermediary</v>
      </c>
    </row>
    <row r="1253" spans="1:37" x14ac:dyDescent="0.3">
      <c r="A1253" t="s">
        <v>31</v>
      </c>
      <c r="B1253">
        <v>25</v>
      </c>
      <c r="C1253" s="8">
        <f t="shared" si="269"/>
        <v>25</v>
      </c>
      <c r="D1253" s="5">
        <v>102.449</v>
      </c>
      <c r="E1253" s="8">
        <f t="shared" si="270"/>
        <v>102.449</v>
      </c>
      <c r="F1253">
        <v>1.6890000000000001</v>
      </c>
      <c r="G1253" s="3">
        <f t="shared" si="271"/>
        <v>1.6890000000000001</v>
      </c>
      <c r="H1253">
        <v>21.762</v>
      </c>
      <c r="I1253" s="5">
        <f t="shared" si="267"/>
        <v>21.762</v>
      </c>
      <c r="J1253" s="16" t="str">
        <f t="shared" si="272"/>
        <v>Normal</v>
      </c>
      <c r="K1253">
        <v>91.188999999999993</v>
      </c>
      <c r="M1253" s="11">
        <f t="shared" si="268"/>
        <v>0.53989934872705736</v>
      </c>
      <c r="N1253" s="5">
        <f t="shared" si="273"/>
        <v>91.188999999999993</v>
      </c>
      <c r="O1253">
        <v>257</v>
      </c>
      <c r="P1253">
        <v>79</v>
      </c>
      <c r="Q1253" s="8">
        <f t="shared" si="274"/>
        <v>79</v>
      </c>
      <c r="R1253" s="8">
        <v>148</v>
      </c>
      <c r="S1253" s="8">
        <f t="shared" si="275"/>
        <v>148</v>
      </c>
      <c r="T1253" s="8">
        <f>(Table1[[#This Row],[Total Cholesterol (mg/dL)]]+Table1[[#This Row],[HDL (mg/dL)2]]+Table1[[#This Row],[Estimated LDL (mg/dL)2]])*5</f>
        <v>2420</v>
      </c>
      <c r="U1253" s="8">
        <f>IF(O1253="",Table1[[#This Row],[Estimated LDL (mg/dL)2]]+Table1[[#This Row],[HDL (mg/dL)2]]+(Table1[[#This Row],[Triglycerides]]/5),O1253)</f>
        <v>257</v>
      </c>
      <c r="V1253">
        <v>164</v>
      </c>
      <c r="W1253" s="8">
        <f t="shared" si="276"/>
        <v>164</v>
      </c>
      <c r="X1253" t="str">
        <f t="shared" si="277"/>
        <v>Diabetes</v>
      </c>
      <c r="Y1253" t="s">
        <v>22</v>
      </c>
      <c r="Z1253" t="s">
        <v>22</v>
      </c>
      <c r="AA1253" t="s">
        <v>37</v>
      </c>
      <c r="AB1253" s="3" t="s">
        <v>1070</v>
      </c>
      <c r="AC1253">
        <v>112</v>
      </c>
      <c r="AD1253" s="3" t="str">
        <f t="shared" si="278"/>
        <v>112</v>
      </c>
      <c r="AE1253">
        <v>117</v>
      </c>
      <c r="AF1253" s="3" t="str">
        <f t="shared" si="279"/>
        <v>117</v>
      </c>
      <c r="AG1253" t="s">
        <v>38</v>
      </c>
      <c r="AH1253" s="3">
        <v>15.092000000000001</v>
      </c>
      <c r="AI1253" s="3">
        <f t="shared" si="280"/>
        <v>15.092000000000001</v>
      </c>
      <c r="AJ1253" t="s">
        <v>30</v>
      </c>
      <c r="AK1253" t="str">
        <f>PROPER(Table1[[#This Row],[CVD Risk Level]])</f>
        <v>High</v>
      </c>
    </row>
    <row r="1254" spans="1:37" x14ac:dyDescent="0.3">
      <c r="A1254" t="s">
        <v>20</v>
      </c>
      <c r="B1254">
        <v>32</v>
      </c>
      <c r="C1254" s="8">
        <f t="shared" si="269"/>
        <v>32</v>
      </c>
      <c r="D1254" s="5">
        <v>57.814</v>
      </c>
      <c r="E1254" s="8">
        <f t="shared" si="270"/>
        <v>57.814</v>
      </c>
      <c r="F1254">
        <v>1.5960000000000001</v>
      </c>
      <c r="G1254" s="3">
        <f t="shared" si="271"/>
        <v>1.5960000000000001</v>
      </c>
      <c r="H1254">
        <v>20.405000000000001</v>
      </c>
      <c r="I1254" s="5">
        <f t="shared" si="267"/>
        <v>20.405000000000001</v>
      </c>
      <c r="J1254" s="16" t="str">
        <f t="shared" si="272"/>
        <v>Normal</v>
      </c>
      <c r="K1254">
        <v>98.225999999999999</v>
      </c>
      <c r="L1254">
        <v>0.61499999999999999</v>
      </c>
      <c r="M1254" s="11">
        <f t="shared" si="268"/>
        <v>0.61499999999999999</v>
      </c>
      <c r="N1254" s="5">
        <f t="shared" si="273"/>
        <v>98.225999999999999</v>
      </c>
      <c r="O1254">
        <v>285</v>
      </c>
      <c r="P1254">
        <v>58</v>
      </c>
      <c r="Q1254" s="8">
        <f t="shared" si="274"/>
        <v>58</v>
      </c>
      <c r="R1254" s="8">
        <v>197</v>
      </c>
      <c r="S1254" s="8">
        <f t="shared" si="275"/>
        <v>197</v>
      </c>
      <c r="T1254" s="8">
        <f>(Table1[[#This Row],[Total Cholesterol (mg/dL)]]+Table1[[#This Row],[HDL (mg/dL)2]]+Table1[[#This Row],[Estimated LDL (mg/dL)2]])*5</f>
        <v>2700</v>
      </c>
      <c r="U1254" s="8">
        <f>IF(O1254="",Table1[[#This Row],[Estimated LDL (mg/dL)2]]+Table1[[#This Row],[HDL (mg/dL)2]]+(Table1[[#This Row],[Triglycerides]]/5),O1254)</f>
        <v>285</v>
      </c>
      <c r="V1254">
        <v>107</v>
      </c>
      <c r="W1254" s="8">
        <f t="shared" si="276"/>
        <v>107</v>
      </c>
      <c r="X1254" t="str">
        <f t="shared" si="277"/>
        <v>Prediabetes</v>
      </c>
      <c r="Y1254" t="s">
        <v>22</v>
      </c>
      <c r="Z1254" t="s">
        <v>23</v>
      </c>
      <c r="AA1254" t="s">
        <v>37</v>
      </c>
      <c r="AB1254" s="3" t="s">
        <v>1071</v>
      </c>
      <c r="AC1254">
        <v>130</v>
      </c>
      <c r="AD1254" s="3" t="str">
        <f t="shared" si="278"/>
        <v>130</v>
      </c>
      <c r="AE1254">
        <v>70</v>
      </c>
      <c r="AF1254" s="3" t="str">
        <f t="shared" si="279"/>
        <v>70</v>
      </c>
      <c r="AG1254" t="s">
        <v>29</v>
      </c>
      <c r="AH1254" s="3">
        <v>18.280999999999999</v>
      </c>
      <c r="AI1254" s="3">
        <f t="shared" si="280"/>
        <v>18.280999999999999</v>
      </c>
      <c r="AJ1254" t="s">
        <v>52</v>
      </c>
      <c r="AK1254" t="str">
        <f>PROPER(Table1[[#This Row],[CVD Risk Level]])</f>
        <v>Low</v>
      </c>
    </row>
    <row r="1255" spans="1:37" x14ac:dyDescent="0.3">
      <c r="A1255" t="s">
        <v>31</v>
      </c>
      <c r="B1255">
        <v>47</v>
      </c>
      <c r="C1255" s="8">
        <f t="shared" si="269"/>
        <v>47</v>
      </c>
      <c r="D1255" s="5">
        <v>86.468000000000004</v>
      </c>
      <c r="E1255" s="8">
        <f t="shared" si="270"/>
        <v>86.468000000000004</v>
      </c>
      <c r="F1255">
        <v>1.5509999999999999</v>
      </c>
      <c r="G1255" s="3">
        <f t="shared" si="271"/>
        <v>1.5509999999999999</v>
      </c>
      <c r="H1255">
        <v>24.102</v>
      </c>
      <c r="I1255" s="5">
        <f t="shared" si="267"/>
        <v>24.102</v>
      </c>
      <c r="J1255" s="16" t="str">
        <f t="shared" si="272"/>
        <v>Normal</v>
      </c>
      <c r="K1255">
        <v>90.585999999999999</v>
      </c>
      <c r="L1255">
        <v>0.58399999999999996</v>
      </c>
      <c r="M1255" s="11">
        <f t="shared" si="268"/>
        <v>0.58399999999999996</v>
      </c>
      <c r="N1255" s="5">
        <f t="shared" si="273"/>
        <v>90.585999999999999</v>
      </c>
      <c r="O1255">
        <v>149</v>
      </c>
      <c r="P1255">
        <v>38</v>
      </c>
      <c r="Q1255" s="8">
        <f t="shared" si="274"/>
        <v>38</v>
      </c>
      <c r="R1255" s="8">
        <v>81</v>
      </c>
      <c r="S1255" s="8">
        <f t="shared" si="275"/>
        <v>81</v>
      </c>
      <c r="T1255" s="8">
        <f>(Table1[[#This Row],[Total Cholesterol (mg/dL)]]+Table1[[#This Row],[HDL (mg/dL)2]]+Table1[[#This Row],[Estimated LDL (mg/dL)2]])*5</f>
        <v>1340</v>
      </c>
      <c r="U1255" s="8">
        <f>IF(O1255="",Table1[[#This Row],[Estimated LDL (mg/dL)2]]+Table1[[#This Row],[HDL (mg/dL)2]]+(Table1[[#This Row],[Triglycerides]]/5),O1255)</f>
        <v>149</v>
      </c>
      <c r="W1255" s="8">
        <f t="shared" si="276"/>
        <v>117.48563611491107</v>
      </c>
      <c r="X1255" t="str">
        <f t="shared" si="277"/>
        <v>Prediabetes</v>
      </c>
      <c r="Y1255" t="s">
        <v>22</v>
      </c>
      <c r="Z1255" t="s">
        <v>22</v>
      </c>
      <c r="AA1255" t="s">
        <v>24</v>
      </c>
      <c r="AB1255" s="3" t="s">
        <v>1072</v>
      </c>
      <c r="AC1255">
        <v>90</v>
      </c>
      <c r="AD1255" s="3" t="str">
        <f t="shared" si="278"/>
        <v>90</v>
      </c>
      <c r="AE1255">
        <v>66</v>
      </c>
      <c r="AF1255" s="3" t="str">
        <f t="shared" si="279"/>
        <v>66</v>
      </c>
      <c r="AG1255" t="s">
        <v>33</v>
      </c>
      <c r="AH1255" s="3">
        <v>12.3</v>
      </c>
      <c r="AI1255" s="3">
        <f t="shared" si="280"/>
        <v>12.3</v>
      </c>
      <c r="AJ1255" t="s">
        <v>26</v>
      </c>
      <c r="AK1255" t="str">
        <f>PROPER(Table1[[#This Row],[CVD Risk Level]])</f>
        <v>Intermediary</v>
      </c>
    </row>
    <row r="1256" spans="1:37" x14ac:dyDescent="0.3">
      <c r="A1256" t="s">
        <v>20</v>
      </c>
      <c r="B1256">
        <v>29</v>
      </c>
      <c r="C1256" s="8">
        <f t="shared" si="269"/>
        <v>29</v>
      </c>
      <c r="D1256" s="5">
        <v>97.284999999999997</v>
      </c>
      <c r="E1256" s="8">
        <f t="shared" si="270"/>
        <v>97.284999999999997</v>
      </c>
      <c r="F1256">
        <v>1.863</v>
      </c>
      <c r="G1256" s="3">
        <f t="shared" si="271"/>
        <v>1.863</v>
      </c>
      <c r="H1256">
        <v>31.457000000000001</v>
      </c>
      <c r="I1256" s="5">
        <f t="shared" si="267"/>
        <v>31.457000000000001</v>
      </c>
      <c r="J1256" s="16" t="str">
        <f t="shared" si="272"/>
        <v>Obese</v>
      </c>
      <c r="K1256">
        <v>108.324</v>
      </c>
      <c r="L1256">
        <v>0.58099999999999996</v>
      </c>
      <c r="M1256" s="11">
        <f t="shared" si="268"/>
        <v>0.58099999999999996</v>
      </c>
      <c r="N1256" s="5">
        <f t="shared" si="273"/>
        <v>108.324</v>
      </c>
      <c r="O1256">
        <v>295</v>
      </c>
      <c r="P1256">
        <v>72</v>
      </c>
      <c r="Q1256" s="8">
        <f t="shared" si="274"/>
        <v>72</v>
      </c>
      <c r="R1256" s="8">
        <v>193</v>
      </c>
      <c r="S1256" s="8">
        <f>IF(R1256&lt;=0,MEDIAN($R$2:$R$1530),R1256)</f>
        <v>193</v>
      </c>
      <c r="T1256" s="8">
        <f>(Table1[[#This Row],[Total Cholesterol (mg/dL)]]+Table1[[#This Row],[HDL (mg/dL)2]]+Table1[[#This Row],[Estimated LDL (mg/dL)2]])*5</f>
        <v>2800</v>
      </c>
      <c r="U1256" s="8">
        <f>IF(O1256="",Table1[[#This Row],[Estimated LDL (mg/dL)2]]+Table1[[#This Row],[HDL (mg/dL)2]]+(Table1[[#This Row],[Triglycerides]]/5),O1256)</f>
        <v>295</v>
      </c>
      <c r="V1256">
        <v>143</v>
      </c>
      <c r="W1256" s="8">
        <f t="shared" si="276"/>
        <v>143</v>
      </c>
      <c r="X1256" t="str">
        <f t="shared" si="277"/>
        <v>Diabetes</v>
      </c>
      <c r="Y1256" t="s">
        <v>23</v>
      </c>
      <c r="Z1256" t="s">
        <v>23</v>
      </c>
      <c r="AA1256" t="s">
        <v>37</v>
      </c>
      <c r="AB1256" s="3" t="s">
        <v>1073</v>
      </c>
      <c r="AC1256">
        <v>111</v>
      </c>
      <c r="AD1256" s="3" t="str">
        <f t="shared" si="278"/>
        <v>111</v>
      </c>
      <c r="AE1256">
        <v>108</v>
      </c>
      <c r="AF1256" s="3" t="str">
        <f t="shared" si="279"/>
        <v>108</v>
      </c>
      <c r="AG1256" t="s">
        <v>38</v>
      </c>
      <c r="AH1256" s="3">
        <v>19.741</v>
      </c>
      <c r="AI1256" s="3">
        <f t="shared" si="280"/>
        <v>19.741</v>
      </c>
      <c r="AJ1256" t="s">
        <v>30</v>
      </c>
      <c r="AK1256" t="str">
        <f>PROPER(Table1[[#This Row],[CVD Risk Level]])</f>
        <v>High</v>
      </c>
    </row>
    <row r="1257" spans="1:37" x14ac:dyDescent="0.3">
      <c r="A1257" t="s">
        <v>20</v>
      </c>
      <c r="B1257">
        <v>33</v>
      </c>
      <c r="C1257" s="8">
        <f t="shared" si="269"/>
        <v>33</v>
      </c>
      <c r="D1257" s="5">
        <v>88.7</v>
      </c>
      <c r="E1257" s="8">
        <f t="shared" si="270"/>
        <v>88.7</v>
      </c>
      <c r="F1257">
        <v>1.5860000000000001</v>
      </c>
      <c r="G1257" s="3">
        <f t="shared" si="271"/>
        <v>1.5860000000000001</v>
      </c>
      <c r="H1257">
        <v>21.158000000000001</v>
      </c>
      <c r="I1257" s="5">
        <f t="shared" si="267"/>
        <v>21.158000000000001</v>
      </c>
      <c r="J1257" s="16" t="str">
        <f t="shared" si="272"/>
        <v>Normal</v>
      </c>
      <c r="K1257">
        <v>75.322000000000003</v>
      </c>
      <c r="L1257">
        <v>0.47499999999999998</v>
      </c>
      <c r="M1257" s="11">
        <f t="shared" si="268"/>
        <v>0.47499999999999998</v>
      </c>
      <c r="N1257" s="5">
        <f t="shared" si="273"/>
        <v>75.322000000000003</v>
      </c>
      <c r="O1257">
        <v>233</v>
      </c>
      <c r="P1257">
        <v>51</v>
      </c>
      <c r="Q1257" s="8">
        <f t="shared" si="274"/>
        <v>51</v>
      </c>
      <c r="R1257" s="8">
        <v>152</v>
      </c>
      <c r="S1257" s="8">
        <f t="shared" si="275"/>
        <v>152</v>
      </c>
      <c r="T1257" s="8">
        <f>(Table1[[#This Row],[Total Cholesterol (mg/dL)]]+Table1[[#This Row],[HDL (mg/dL)2]]+Table1[[#This Row],[Estimated LDL (mg/dL)2]])*5</f>
        <v>2180</v>
      </c>
      <c r="U1257" s="8">
        <f>IF(O1257="",Table1[[#This Row],[Estimated LDL (mg/dL)2]]+Table1[[#This Row],[HDL (mg/dL)2]]+(Table1[[#This Row],[Triglycerides]]/5),O1257)</f>
        <v>233</v>
      </c>
      <c r="V1257">
        <v>135</v>
      </c>
      <c r="W1257" s="8">
        <f t="shared" si="276"/>
        <v>135</v>
      </c>
      <c r="X1257" t="str">
        <f t="shared" si="277"/>
        <v>Diabetes</v>
      </c>
      <c r="Y1257" t="s">
        <v>23</v>
      </c>
      <c r="Z1257" t="s">
        <v>23</v>
      </c>
      <c r="AA1257" t="s">
        <v>24</v>
      </c>
      <c r="AB1257" s="3" t="s">
        <v>1074</v>
      </c>
      <c r="AC1257">
        <v>145</v>
      </c>
      <c r="AD1257" s="3" t="str">
        <f t="shared" si="278"/>
        <v>145</v>
      </c>
      <c r="AE1257">
        <v>110</v>
      </c>
      <c r="AF1257" s="3" t="str">
        <f t="shared" si="279"/>
        <v>110</v>
      </c>
      <c r="AG1257" t="s">
        <v>38</v>
      </c>
      <c r="AH1257" s="3">
        <v>18.141999999999999</v>
      </c>
      <c r="AI1257" s="3">
        <f t="shared" si="280"/>
        <v>18.141999999999999</v>
      </c>
      <c r="AJ1257" t="s">
        <v>52</v>
      </c>
      <c r="AK1257" t="str">
        <f>PROPER(Table1[[#This Row],[CVD Risk Level]])</f>
        <v>Low</v>
      </c>
    </row>
    <row r="1258" spans="1:37" x14ac:dyDescent="0.3">
      <c r="A1258" t="s">
        <v>31</v>
      </c>
      <c r="B1258">
        <v>38</v>
      </c>
      <c r="C1258" s="8">
        <f t="shared" si="269"/>
        <v>38</v>
      </c>
      <c r="D1258" s="5">
        <v>53.383000000000003</v>
      </c>
      <c r="E1258" s="8">
        <f t="shared" si="270"/>
        <v>53.383000000000003</v>
      </c>
      <c r="F1258">
        <v>1.736</v>
      </c>
      <c r="G1258" s="3">
        <f t="shared" si="271"/>
        <v>1.736</v>
      </c>
      <c r="H1258">
        <v>30.614000000000001</v>
      </c>
      <c r="I1258" s="5">
        <f t="shared" si="267"/>
        <v>30.614000000000001</v>
      </c>
      <c r="J1258" s="16" t="str">
        <f t="shared" si="272"/>
        <v>Obese</v>
      </c>
      <c r="K1258">
        <v>78.617999999999995</v>
      </c>
      <c r="L1258">
        <v>0.45300000000000001</v>
      </c>
      <c r="M1258" s="11">
        <f t="shared" si="268"/>
        <v>0.45300000000000001</v>
      </c>
      <c r="N1258" s="5">
        <f t="shared" si="273"/>
        <v>78.617999999999995</v>
      </c>
      <c r="O1258">
        <v>162</v>
      </c>
      <c r="P1258">
        <v>46</v>
      </c>
      <c r="Q1258" s="8">
        <f t="shared" si="274"/>
        <v>46</v>
      </c>
      <c r="R1258" s="8">
        <v>86</v>
      </c>
      <c r="S1258" s="8">
        <f t="shared" si="275"/>
        <v>86</v>
      </c>
      <c r="T1258" s="8">
        <f>(Table1[[#This Row],[Total Cholesterol (mg/dL)]]+Table1[[#This Row],[HDL (mg/dL)2]]+Table1[[#This Row],[Estimated LDL (mg/dL)2]])*5</f>
        <v>1470</v>
      </c>
      <c r="U1258" s="8">
        <f>IF(O1258="",Table1[[#This Row],[Estimated LDL (mg/dL)2]]+Table1[[#This Row],[HDL (mg/dL)2]]+(Table1[[#This Row],[Triglycerides]]/5),O1258)</f>
        <v>162</v>
      </c>
      <c r="V1258">
        <v>105</v>
      </c>
      <c r="W1258" s="8">
        <f t="shared" si="276"/>
        <v>105</v>
      </c>
      <c r="X1258" t="str">
        <f t="shared" si="277"/>
        <v>Prediabetes</v>
      </c>
      <c r="Y1258" t="s">
        <v>22</v>
      </c>
      <c r="Z1258" t="s">
        <v>23</v>
      </c>
      <c r="AA1258" t="s">
        <v>37</v>
      </c>
      <c r="AB1258" s="3" t="s">
        <v>1075</v>
      </c>
      <c r="AC1258">
        <v>102</v>
      </c>
      <c r="AD1258" s="3" t="str">
        <f t="shared" si="278"/>
        <v>102</v>
      </c>
      <c r="AE1258">
        <v>97</v>
      </c>
      <c r="AF1258" s="3" t="str">
        <f t="shared" si="279"/>
        <v>97</v>
      </c>
      <c r="AG1258" t="s">
        <v>38</v>
      </c>
      <c r="AI1258" s="3">
        <f t="shared" si="280"/>
        <v>16.960925291295425</v>
      </c>
      <c r="AJ1258" t="s">
        <v>26</v>
      </c>
      <c r="AK1258" t="str">
        <f>PROPER(Table1[[#This Row],[CVD Risk Level]])</f>
        <v>Intermediary</v>
      </c>
    </row>
    <row r="1259" spans="1:37" x14ac:dyDescent="0.3">
      <c r="A1259" t="s">
        <v>20</v>
      </c>
      <c r="B1259">
        <v>79</v>
      </c>
      <c r="C1259" s="8">
        <f t="shared" si="269"/>
        <v>79</v>
      </c>
      <c r="D1259" s="5">
        <v>110.631</v>
      </c>
      <c r="E1259" s="8">
        <f t="shared" si="270"/>
        <v>110.631</v>
      </c>
      <c r="G1259" s="3">
        <f t="shared" si="271"/>
        <v>2.3949410077341682</v>
      </c>
      <c r="H1259">
        <v>19.288</v>
      </c>
      <c r="I1259" s="5">
        <f t="shared" si="267"/>
        <v>19.288</v>
      </c>
      <c r="J1259" s="16" t="str">
        <f t="shared" si="272"/>
        <v>Normal</v>
      </c>
      <c r="K1259">
        <v>102.27200000000001</v>
      </c>
      <c r="L1259">
        <v>0.58699999999999997</v>
      </c>
      <c r="M1259" s="11">
        <f t="shared" si="268"/>
        <v>0.58699999999999997</v>
      </c>
      <c r="N1259" s="5">
        <f t="shared" si="273"/>
        <v>102.27200000000001</v>
      </c>
      <c r="O1259">
        <v>261</v>
      </c>
      <c r="P1259">
        <v>56</v>
      </c>
      <c r="Q1259" s="8">
        <f t="shared" si="274"/>
        <v>56</v>
      </c>
      <c r="R1259" s="8">
        <v>175</v>
      </c>
      <c r="S1259" s="8">
        <f t="shared" si="275"/>
        <v>175</v>
      </c>
      <c r="T1259" s="8">
        <f>(Table1[[#This Row],[Total Cholesterol (mg/dL)]]+Table1[[#This Row],[HDL (mg/dL)2]]+Table1[[#This Row],[Estimated LDL (mg/dL)2]])*5</f>
        <v>2460</v>
      </c>
      <c r="U1259" s="8">
        <f>IF(O1259="",Table1[[#This Row],[Estimated LDL (mg/dL)2]]+Table1[[#This Row],[HDL (mg/dL)2]]+(Table1[[#This Row],[Triglycerides]]/5),O1259)</f>
        <v>261</v>
      </c>
      <c r="V1259">
        <v>75</v>
      </c>
      <c r="W1259" s="8">
        <f t="shared" si="276"/>
        <v>75</v>
      </c>
      <c r="X1259" t="str">
        <f t="shared" si="277"/>
        <v>Normal</v>
      </c>
      <c r="Y1259" t="s">
        <v>23</v>
      </c>
      <c r="Z1259" t="s">
        <v>23</v>
      </c>
      <c r="AA1259" t="s">
        <v>28</v>
      </c>
      <c r="AB1259" s="3" t="s">
        <v>1076</v>
      </c>
      <c r="AD1259" s="3" t="str">
        <f t="shared" si="278"/>
        <v>176</v>
      </c>
      <c r="AF1259" s="3" t="str">
        <f t="shared" si="279"/>
        <v>89</v>
      </c>
      <c r="AG1259" t="s">
        <v>29</v>
      </c>
      <c r="AH1259" s="3">
        <v>19.878</v>
      </c>
      <c r="AI1259" s="3">
        <f t="shared" si="280"/>
        <v>19.878</v>
      </c>
      <c r="AJ1259" t="s">
        <v>52</v>
      </c>
      <c r="AK1259" t="str">
        <f>PROPER(Table1[[#This Row],[CVD Risk Level]])</f>
        <v>Low</v>
      </c>
    </row>
    <row r="1260" spans="1:37" x14ac:dyDescent="0.3">
      <c r="A1260" t="s">
        <v>20</v>
      </c>
      <c r="B1260">
        <v>56</v>
      </c>
      <c r="C1260" s="8">
        <f t="shared" si="269"/>
        <v>56</v>
      </c>
      <c r="E1260" s="8">
        <f t="shared" si="270"/>
        <v>49.5310281</v>
      </c>
      <c r="F1260">
        <v>1.585</v>
      </c>
      <c r="G1260" s="3">
        <f t="shared" si="271"/>
        <v>1.585</v>
      </c>
      <c r="H1260">
        <v>19.716000000000001</v>
      </c>
      <c r="I1260" s="5">
        <f t="shared" si="267"/>
        <v>19.716000000000001</v>
      </c>
      <c r="J1260" s="16" t="str">
        <f t="shared" si="272"/>
        <v>Normal</v>
      </c>
      <c r="K1260">
        <v>74.037999999999997</v>
      </c>
      <c r="M1260" s="11">
        <f t="shared" si="268"/>
        <v>0.46711671924290221</v>
      </c>
      <c r="N1260" s="5">
        <f t="shared" si="273"/>
        <v>74.037999999999997</v>
      </c>
      <c r="O1260">
        <v>111</v>
      </c>
      <c r="P1260">
        <v>76</v>
      </c>
      <c r="Q1260" s="8">
        <f t="shared" si="274"/>
        <v>76</v>
      </c>
      <c r="R1260" s="8">
        <v>5</v>
      </c>
      <c r="S1260" s="8">
        <f t="shared" si="275"/>
        <v>5</v>
      </c>
      <c r="T1260" s="8">
        <f>(Table1[[#This Row],[Total Cholesterol (mg/dL)]]+Table1[[#This Row],[HDL (mg/dL)2]]+Table1[[#This Row],[Estimated LDL (mg/dL)2]])*5</f>
        <v>960</v>
      </c>
      <c r="U1260" s="8">
        <f>IF(O1260="",Table1[[#This Row],[Estimated LDL (mg/dL)2]]+Table1[[#This Row],[HDL (mg/dL)2]]+(Table1[[#This Row],[Triglycerides]]/5),O1260)</f>
        <v>111</v>
      </c>
      <c r="W1260" s="8">
        <f t="shared" si="276"/>
        <v>117.48563611491107</v>
      </c>
      <c r="X1260" t="str">
        <f t="shared" si="277"/>
        <v>Prediabetes</v>
      </c>
      <c r="Y1260" t="s">
        <v>22</v>
      </c>
      <c r="Z1260" t="s">
        <v>22</v>
      </c>
      <c r="AA1260" t="s">
        <v>37</v>
      </c>
      <c r="AB1260" s="3" t="s">
        <v>1077</v>
      </c>
      <c r="AC1260">
        <v>126</v>
      </c>
      <c r="AD1260" s="3" t="str">
        <f t="shared" si="278"/>
        <v>126</v>
      </c>
      <c r="AE1260">
        <v>113</v>
      </c>
      <c r="AF1260" s="3" t="str">
        <f t="shared" si="279"/>
        <v>113</v>
      </c>
      <c r="AG1260" t="s">
        <v>38</v>
      </c>
      <c r="AH1260" s="3">
        <v>12.462999999999999</v>
      </c>
      <c r="AI1260" s="3">
        <f t="shared" si="280"/>
        <v>12.462999999999999</v>
      </c>
      <c r="AJ1260" t="s">
        <v>30</v>
      </c>
      <c r="AK1260" t="str">
        <f>PROPER(Table1[[#This Row],[CVD Risk Level]])</f>
        <v>High</v>
      </c>
    </row>
    <row r="1261" spans="1:37" x14ac:dyDescent="0.3">
      <c r="A1261" t="s">
        <v>20</v>
      </c>
      <c r="B1261">
        <v>50</v>
      </c>
      <c r="C1261" s="8">
        <f t="shared" si="269"/>
        <v>50</v>
      </c>
      <c r="D1261" s="5">
        <v>107.755</v>
      </c>
      <c r="E1261" s="8">
        <f t="shared" si="270"/>
        <v>107.755</v>
      </c>
      <c r="F1261">
        <v>1.5780000000000001</v>
      </c>
      <c r="G1261" s="3">
        <f t="shared" si="271"/>
        <v>1.5780000000000001</v>
      </c>
      <c r="H1261">
        <v>33.746000000000002</v>
      </c>
      <c r="I1261" s="5">
        <f t="shared" si="267"/>
        <v>33.746000000000002</v>
      </c>
      <c r="J1261" s="16" t="str">
        <f t="shared" si="272"/>
        <v>Obese</v>
      </c>
      <c r="K1261">
        <v>73.831000000000003</v>
      </c>
      <c r="L1261">
        <v>0.46800000000000003</v>
      </c>
      <c r="M1261" s="11">
        <f t="shared" si="268"/>
        <v>0.46800000000000003</v>
      </c>
      <c r="N1261" s="5">
        <f t="shared" si="273"/>
        <v>73.831000000000003</v>
      </c>
      <c r="O1261">
        <v>264</v>
      </c>
      <c r="P1261">
        <v>78</v>
      </c>
      <c r="Q1261" s="8">
        <f t="shared" si="274"/>
        <v>78</v>
      </c>
      <c r="R1261" s="8">
        <v>156</v>
      </c>
      <c r="S1261" s="8">
        <f t="shared" si="275"/>
        <v>156</v>
      </c>
      <c r="T1261" s="8">
        <f>(Table1[[#This Row],[Total Cholesterol (mg/dL)]]+Table1[[#This Row],[HDL (mg/dL)2]]+Table1[[#This Row],[Estimated LDL (mg/dL)2]])*5</f>
        <v>2490</v>
      </c>
      <c r="U1261" s="8">
        <f>IF(O1261="",Table1[[#This Row],[Estimated LDL (mg/dL)2]]+Table1[[#This Row],[HDL (mg/dL)2]]+(Table1[[#This Row],[Triglycerides]]/5),O1261)</f>
        <v>264</v>
      </c>
      <c r="V1261">
        <v>119</v>
      </c>
      <c r="W1261" s="8">
        <f t="shared" si="276"/>
        <v>119</v>
      </c>
      <c r="X1261" t="str">
        <f t="shared" si="277"/>
        <v>Prediabetes</v>
      </c>
      <c r="Y1261" t="s">
        <v>23</v>
      </c>
      <c r="Z1261" t="s">
        <v>23</v>
      </c>
      <c r="AA1261" t="s">
        <v>24</v>
      </c>
      <c r="AB1261" s="3" t="s">
        <v>1078</v>
      </c>
      <c r="AC1261">
        <v>160</v>
      </c>
      <c r="AD1261" s="3" t="str">
        <f t="shared" si="278"/>
        <v>160</v>
      </c>
      <c r="AE1261">
        <v>71</v>
      </c>
      <c r="AF1261" s="3" t="str">
        <f t="shared" si="279"/>
        <v>71</v>
      </c>
      <c r="AG1261" t="s">
        <v>38</v>
      </c>
      <c r="AH1261" s="3">
        <v>22.029</v>
      </c>
      <c r="AI1261" s="3">
        <f t="shared" si="280"/>
        <v>22.029</v>
      </c>
      <c r="AJ1261" t="s">
        <v>30</v>
      </c>
      <c r="AK1261" t="str">
        <f>PROPER(Table1[[#This Row],[CVD Risk Level]])</f>
        <v>High</v>
      </c>
    </row>
    <row r="1262" spans="1:37" x14ac:dyDescent="0.3">
      <c r="A1262" t="s">
        <v>31</v>
      </c>
      <c r="B1262">
        <v>73</v>
      </c>
      <c r="C1262" s="8">
        <f t="shared" si="269"/>
        <v>73</v>
      </c>
      <c r="D1262" s="5">
        <v>98.596000000000004</v>
      </c>
      <c r="E1262" s="8">
        <f t="shared" si="270"/>
        <v>98.596000000000004</v>
      </c>
      <c r="F1262">
        <v>1.9890000000000001</v>
      </c>
      <c r="G1262" s="3">
        <f t="shared" si="271"/>
        <v>1.9890000000000001</v>
      </c>
      <c r="H1262">
        <v>30.504000000000001</v>
      </c>
      <c r="I1262" s="5">
        <f t="shared" si="267"/>
        <v>30.504000000000001</v>
      </c>
      <c r="J1262" s="16" t="str">
        <f t="shared" si="272"/>
        <v>Obese</v>
      </c>
      <c r="K1262">
        <v>93.863</v>
      </c>
      <c r="M1262" s="11">
        <f t="shared" si="268"/>
        <v>0.4719105077928607</v>
      </c>
      <c r="N1262" s="5">
        <f t="shared" si="273"/>
        <v>93.863</v>
      </c>
      <c r="O1262">
        <v>221</v>
      </c>
      <c r="P1262">
        <v>32</v>
      </c>
      <c r="Q1262" s="8">
        <f t="shared" si="274"/>
        <v>32</v>
      </c>
      <c r="R1262" s="8">
        <v>159</v>
      </c>
      <c r="S1262" s="8">
        <f t="shared" si="275"/>
        <v>159</v>
      </c>
      <c r="T1262" s="8">
        <f>(Table1[[#This Row],[Total Cholesterol (mg/dL)]]+Table1[[#This Row],[HDL (mg/dL)2]]+Table1[[#This Row],[Estimated LDL (mg/dL)2]])*5</f>
        <v>2060</v>
      </c>
      <c r="U1262" s="8">
        <f>IF(O1262="",Table1[[#This Row],[Estimated LDL (mg/dL)2]]+Table1[[#This Row],[HDL (mg/dL)2]]+(Table1[[#This Row],[Triglycerides]]/5),O1262)</f>
        <v>221</v>
      </c>
      <c r="V1262">
        <v>120</v>
      </c>
      <c r="W1262" s="8">
        <f t="shared" si="276"/>
        <v>120</v>
      </c>
      <c r="X1262" t="str">
        <f t="shared" si="277"/>
        <v>Prediabetes</v>
      </c>
      <c r="Y1262" t="s">
        <v>23</v>
      </c>
      <c r="Z1262" t="s">
        <v>23</v>
      </c>
      <c r="AA1262" t="s">
        <v>24</v>
      </c>
      <c r="AB1262" s="3" t="s">
        <v>1079</v>
      </c>
      <c r="AC1262">
        <v>100</v>
      </c>
      <c r="AD1262" s="3" t="str">
        <f t="shared" si="278"/>
        <v>100</v>
      </c>
      <c r="AE1262">
        <v>75</v>
      </c>
      <c r="AF1262" s="3" t="str">
        <f t="shared" si="279"/>
        <v>75</v>
      </c>
      <c r="AG1262" t="s">
        <v>33</v>
      </c>
      <c r="AH1262" s="3">
        <v>17.521000000000001</v>
      </c>
      <c r="AI1262" s="3">
        <f t="shared" si="280"/>
        <v>17.521000000000001</v>
      </c>
      <c r="AJ1262" t="s">
        <v>30</v>
      </c>
      <c r="AK1262" t="str">
        <f>PROPER(Table1[[#This Row],[CVD Risk Level]])</f>
        <v>High</v>
      </c>
    </row>
    <row r="1263" spans="1:37" x14ac:dyDescent="0.3">
      <c r="A1263" t="s">
        <v>20</v>
      </c>
      <c r="B1263">
        <v>68</v>
      </c>
      <c r="C1263" s="8">
        <f t="shared" si="269"/>
        <v>68</v>
      </c>
      <c r="D1263" s="5">
        <v>63.100999999999999</v>
      </c>
      <c r="E1263" s="8">
        <f t="shared" si="270"/>
        <v>63.100999999999999</v>
      </c>
      <c r="F1263">
        <v>1.66</v>
      </c>
      <c r="G1263" s="3">
        <f t="shared" si="271"/>
        <v>1.66</v>
      </c>
      <c r="H1263">
        <v>35.878</v>
      </c>
      <c r="I1263" s="5">
        <f t="shared" si="267"/>
        <v>35.878</v>
      </c>
      <c r="J1263" s="16" t="str">
        <f t="shared" si="272"/>
        <v>Obese</v>
      </c>
      <c r="L1263">
        <v>0.71699999999999997</v>
      </c>
      <c r="M1263" s="11">
        <f t="shared" si="268"/>
        <v>0.71699999999999997</v>
      </c>
      <c r="N1263" s="5">
        <f t="shared" si="273"/>
        <v>119.02199999999999</v>
      </c>
      <c r="O1263">
        <v>186</v>
      </c>
      <c r="P1263">
        <v>47</v>
      </c>
      <c r="Q1263" s="8">
        <f t="shared" si="274"/>
        <v>47</v>
      </c>
      <c r="R1263" s="8">
        <v>109</v>
      </c>
      <c r="S1263" s="8">
        <f t="shared" si="275"/>
        <v>109</v>
      </c>
      <c r="T1263" s="8">
        <f>(Table1[[#This Row],[Total Cholesterol (mg/dL)]]+Table1[[#This Row],[HDL (mg/dL)2]]+Table1[[#This Row],[Estimated LDL (mg/dL)2]])*5</f>
        <v>1710</v>
      </c>
      <c r="U1263" s="8">
        <f>IF(O1263="",Table1[[#This Row],[Estimated LDL (mg/dL)2]]+Table1[[#This Row],[HDL (mg/dL)2]]+(Table1[[#This Row],[Triglycerides]]/5),O1263)</f>
        <v>186</v>
      </c>
      <c r="V1263">
        <v>158</v>
      </c>
      <c r="W1263" s="8">
        <f t="shared" si="276"/>
        <v>158</v>
      </c>
      <c r="X1263" t="str">
        <f t="shared" si="277"/>
        <v>Diabetes</v>
      </c>
      <c r="Y1263" t="s">
        <v>22</v>
      </c>
      <c r="Z1263" t="s">
        <v>23</v>
      </c>
      <c r="AA1263" t="s">
        <v>28</v>
      </c>
      <c r="AB1263" s="3" t="s">
        <v>1080</v>
      </c>
      <c r="AC1263">
        <v>146</v>
      </c>
      <c r="AD1263" s="3" t="str">
        <f t="shared" si="278"/>
        <v>146</v>
      </c>
      <c r="AE1263">
        <v>69</v>
      </c>
      <c r="AF1263" s="3" t="str">
        <f t="shared" si="279"/>
        <v>69</v>
      </c>
      <c r="AG1263" t="s">
        <v>38</v>
      </c>
      <c r="AH1263" s="3">
        <v>20.196000000000002</v>
      </c>
      <c r="AI1263" s="3">
        <f t="shared" si="280"/>
        <v>20.196000000000002</v>
      </c>
      <c r="AJ1263" t="s">
        <v>26</v>
      </c>
      <c r="AK1263" t="str">
        <f>PROPER(Table1[[#This Row],[CVD Risk Level]])</f>
        <v>Intermediary</v>
      </c>
    </row>
    <row r="1264" spans="1:37" x14ac:dyDescent="0.3">
      <c r="A1264" t="s">
        <v>31</v>
      </c>
      <c r="B1264">
        <v>51</v>
      </c>
      <c r="C1264" s="8">
        <f t="shared" si="269"/>
        <v>51</v>
      </c>
      <c r="D1264" s="5">
        <v>85.79</v>
      </c>
      <c r="E1264" s="8">
        <f t="shared" si="270"/>
        <v>85.79</v>
      </c>
      <c r="G1264" s="3">
        <f t="shared" si="271"/>
        <v>1.9996504005799951</v>
      </c>
      <c r="H1264">
        <v>21.454999999999998</v>
      </c>
      <c r="I1264" s="5">
        <f t="shared" si="267"/>
        <v>21.454999999999998</v>
      </c>
      <c r="J1264" s="16" t="str">
        <f t="shared" si="272"/>
        <v>Normal</v>
      </c>
      <c r="K1264">
        <v>93.064999999999998</v>
      </c>
      <c r="M1264" s="11">
        <f t="shared" si="268"/>
        <v>0.4654063528955194</v>
      </c>
      <c r="N1264" s="5">
        <f t="shared" si="273"/>
        <v>93.064999999999998</v>
      </c>
      <c r="O1264">
        <v>296</v>
      </c>
      <c r="P1264">
        <v>45</v>
      </c>
      <c r="Q1264" s="8">
        <f t="shared" si="274"/>
        <v>45</v>
      </c>
      <c r="R1264" s="8">
        <v>221</v>
      </c>
      <c r="S1264" s="8">
        <f t="shared" si="275"/>
        <v>221</v>
      </c>
      <c r="T1264" s="8">
        <f>(Table1[[#This Row],[Total Cholesterol (mg/dL)]]+Table1[[#This Row],[HDL (mg/dL)2]]+Table1[[#This Row],[Estimated LDL (mg/dL)2]])*5</f>
        <v>2810</v>
      </c>
      <c r="U1264" s="8">
        <f>IF(O1264="",Table1[[#This Row],[Estimated LDL (mg/dL)2]]+Table1[[#This Row],[HDL (mg/dL)2]]+(Table1[[#This Row],[Triglycerides]]/5),O1264)</f>
        <v>296</v>
      </c>
      <c r="V1264">
        <v>75</v>
      </c>
      <c r="W1264" s="8">
        <f t="shared" si="276"/>
        <v>75</v>
      </c>
      <c r="X1264" t="str">
        <f t="shared" si="277"/>
        <v>Normal</v>
      </c>
      <c r="Y1264" t="s">
        <v>22</v>
      </c>
      <c r="Z1264" t="s">
        <v>22</v>
      </c>
      <c r="AA1264" t="s">
        <v>28</v>
      </c>
      <c r="AB1264" s="3" t="s">
        <v>1081</v>
      </c>
      <c r="AC1264">
        <v>144</v>
      </c>
      <c r="AD1264" s="3" t="str">
        <f t="shared" si="278"/>
        <v>144</v>
      </c>
      <c r="AE1264">
        <v>115</v>
      </c>
      <c r="AF1264" s="3" t="str">
        <f t="shared" si="279"/>
        <v>115</v>
      </c>
      <c r="AG1264" t="s">
        <v>38</v>
      </c>
      <c r="AH1264" s="3">
        <v>17.411000000000001</v>
      </c>
      <c r="AI1264" s="3">
        <f t="shared" si="280"/>
        <v>17.411000000000001</v>
      </c>
      <c r="AJ1264" t="s">
        <v>26</v>
      </c>
      <c r="AK1264" t="str">
        <f>PROPER(Table1[[#This Row],[CVD Risk Level]])</f>
        <v>Intermediary</v>
      </c>
    </row>
    <row r="1265" spans="1:37" x14ac:dyDescent="0.3">
      <c r="A1265" t="s">
        <v>20</v>
      </c>
      <c r="B1265">
        <v>46</v>
      </c>
      <c r="C1265" s="8">
        <f t="shared" si="269"/>
        <v>46</v>
      </c>
      <c r="D1265" s="5">
        <v>117.717</v>
      </c>
      <c r="E1265" s="8">
        <f t="shared" si="270"/>
        <v>117.717</v>
      </c>
      <c r="F1265">
        <v>1.633</v>
      </c>
      <c r="G1265" s="3">
        <f t="shared" si="271"/>
        <v>1.633</v>
      </c>
      <c r="H1265">
        <v>24.689</v>
      </c>
      <c r="I1265" s="5">
        <f t="shared" si="267"/>
        <v>24.689</v>
      </c>
      <c r="J1265" s="16" t="str">
        <f t="shared" si="272"/>
        <v>Normal</v>
      </c>
      <c r="K1265">
        <v>119.49299999999999</v>
      </c>
      <c r="L1265">
        <v>0.73199999999999998</v>
      </c>
      <c r="M1265" s="11">
        <f t="shared" si="268"/>
        <v>0.73199999999999998</v>
      </c>
      <c r="N1265" s="5">
        <f t="shared" si="273"/>
        <v>119.49299999999999</v>
      </c>
      <c r="O1265">
        <v>140</v>
      </c>
      <c r="P1265">
        <v>46</v>
      </c>
      <c r="Q1265" s="8">
        <f t="shared" si="274"/>
        <v>46</v>
      </c>
      <c r="R1265" s="8">
        <v>64</v>
      </c>
      <c r="S1265" s="8">
        <f t="shared" si="275"/>
        <v>64</v>
      </c>
      <c r="T1265" s="8">
        <f>(Table1[[#This Row],[Total Cholesterol (mg/dL)]]+Table1[[#This Row],[HDL (mg/dL)2]]+Table1[[#This Row],[Estimated LDL (mg/dL)2]])*5</f>
        <v>1250</v>
      </c>
      <c r="U1265" s="8">
        <f>IF(O1265="",Table1[[#This Row],[Estimated LDL (mg/dL)2]]+Table1[[#This Row],[HDL (mg/dL)2]]+(Table1[[#This Row],[Triglycerides]]/5),O1265)</f>
        <v>140</v>
      </c>
      <c r="V1265">
        <v>156</v>
      </c>
      <c r="W1265" s="8">
        <f t="shared" si="276"/>
        <v>156</v>
      </c>
      <c r="X1265" t="str">
        <f t="shared" si="277"/>
        <v>Diabetes</v>
      </c>
      <c r="Y1265" t="s">
        <v>22</v>
      </c>
      <c r="Z1265" t="s">
        <v>23</v>
      </c>
      <c r="AA1265" t="s">
        <v>24</v>
      </c>
      <c r="AB1265" s="3" t="s">
        <v>1082</v>
      </c>
      <c r="AC1265">
        <v>93</v>
      </c>
      <c r="AD1265" s="3" t="str">
        <f t="shared" si="278"/>
        <v>93</v>
      </c>
      <c r="AE1265">
        <v>105</v>
      </c>
      <c r="AF1265" s="3" t="str">
        <f t="shared" si="279"/>
        <v>105</v>
      </c>
      <c r="AG1265" t="s">
        <v>38</v>
      </c>
      <c r="AH1265" s="3">
        <v>14.388</v>
      </c>
      <c r="AI1265" s="3">
        <f t="shared" si="280"/>
        <v>14.388</v>
      </c>
      <c r="AJ1265" t="s">
        <v>26</v>
      </c>
      <c r="AK1265" t="str">
        <f>PROPER(Table1[[#This Row],[CVD Risk Level]])</f>
        <v>Intermediary</v>
      </c>
    </row>
    <row r="1266" spans="1:37" x14ac:dyDescent="0.3">
      <c r="A1266" t="s">
        <v>31</v>
      </c>
      <c r="B1266">
        <v>46</v>
      </c>
      <c r="C1266" s="8">
        <f t="shared" si="269"/>
        <v>46</v>
      </c>
      <c r="D1266" s="5">
        <v>110.214</v>
      </c>
      <c r="E1266" s="8">
        <f t="shared" si="270"/>
        <v>110.214</v>
      </c>
      <c r="F1266">
        <v>1.784</v>
      </c>
      <c r="G1266" s="3">
        <f t="shared" si="271"/>
        <v>1.784</v>
      </c>
      <c r="H1266">
        <v>36.942999999999998</v>
      </c>
      <c r="I1266" s="5">
        <f t="shared" si="267"/>
        <v>36.942999999999998</v>
      </c>
      <c r="J1266" s="16" t="str">
        <f t="shared" si="272"/>
        <v>Obese</v>
      </c>
      <c r="K1266">
        <v>78.817999999999998</v>
      </c>
      <c r="L1266">
        <v>0.442</v>
      </c>
      <c r="M1266" s="11">
        <f t="shared" si="268"/>
        <v>0.442</v>
      </c>
      <c r="N1266" s="5">
        <f t="shared" si="273"/>
        <v>78.817999999999998</v>
      </c>
      <c r="O1266">
        <v>169</v>
      </c>
      <c r="P1266">
        <v>75</v>
      </c>
      <c r="Q1266" s="8">
        <f t="shared" si="274"/>
        <v>75</v>
      </c>
      <c r="R1266" s="8">
        <v>64</v>
      </c>
      <c r="S1266" s="8">
        <f t="shared" si="275"/>
        <v>64</v>
      </c>
      <c r="T1266" s="8">
        <f>(Table1[[#This Row],[Total Cholesterol (mg/dL)]]+Table1[[#This Row],[HDL (mg/dL)2]]+Table1[[#This Row],[Estimated LDL (mg/dL)2]])*5</f>
        <v>1540</v>
      </c>
      <c r="U1266" s="8">
        <f>IF(O1266="",Table1[[#This Row],[Estimated LDL (mg/dL)2]]+Table1[[#This Row],[HDL (mg/dL)2]]+(Table1[[#This Row],[Triglycerides]]/5),O1266)</f>
        <v>169</v>
      </c>
      <c r="V1266">
        <v>114</v>
      </c>
      <c r="W1266" s="8">
        <f t="shared" si="276"/>
        <v>114</v>
      </c>
      <c r="X1266" t="str">
        <f t="shared" si="277"/>
        <v>Prediabetes</v>
      </c>
      <c r="Y1266" t="s">
        <v>22</v>
      </c>
      <c r="Z1266" t="s">
        <v>22</v>
      </c>
      <c r="AA1266" t="s">
        <v>24</v>
      </c>
      <c r="AB1266" s="3" t="s">
        <v>1083</v>
      </c>
      <c r="AC1266">
        <v>178</v>
      </c>
      <c r="AD1266" s="3" t="str">
        <f t="shared" si="278"/>
        <v>178</v>
      </c>
      <c r="AE1266">
        <v>109</v>
      </c>
      <c r="AF1266" s="3" t="str">
        <f t="shared" si="279"/>
        <v>109</v>
      </c>
      <c r="AG1266" t="s">
        <v>38</v>
      </c>
      <c r="AH1266" s="3">
        <v>19.669</v>
      </c>
      <c r="AI1266" s="3">
        <f t="shared" si="280"/>
        <v>19.669</v>
      </c>
      <c r="AJ1266" t="s">
        <v>52</v>
      </c>
      <c r="AK1266" t="str">
        <f>PROPER(Table1[[#This Row],[CVD Risk Level]])</f>
        <v>Low</v>
      </c>
    </row>
    <row r="1267" spans="1:37" x14ac:dyDescent="0.3">
      <c r="A1267" t="s">
        <v>20</v>
      </c>
      <c r="B1267">
        <v>70</v>
      </c>
      <c r="C1267" s="8">
        <f t="shared" si="269"/>
        <v>70</v>
      </c>
      <c r="D1267" s="5">
        <v>58.35</v>
      </c>
      <c r="E1267" s="8">
        <f t="shared" si="270"/>
        <v>58.35</v>
      </c>
      <c r="F1267">
        <v>1.542</v>
      </c>
      <c r="G1267" s="3">
        <f t="shared" si="271"/>
        <v>1.542</v>
      </c>
      <c r="H1267">
        <v>23.760999999999999</v>
      </c>
      <c r="I1267" s="5">
        <f t="shared" si="267"/>
        <v>23.760999999999999</v>
      </c>
      <c r="J1267" s="16" t="str">
        <f t="shared" si="272"/>
        <v>Normal</v>
      </c>
      <c r="K1267">
        <v>100.617</v>
      </c>
      <c r="M1267" s="11">
        <f t="shared" si="268"/>
        <v>0.65250972762645909</v>
      </c>
      <c r="N1267" s="5">
        <f t="shared" si="273"/>
        <v>100.617</v>
      </c>
      <c r="P1267">
        <v>37</v>
      </c>
      <c r="Q1267" s="8">
        <f t="shared" si="274"/>
        <v>37</v>
      </c>
      <c r="R1267" s="8">
        <v>64</v>
      </c>
      <c r="S1267" s="8">
        <f t="shared" si="275"/>
        <v>64</v>
      </c>
      <c r="T1267" s="8">
        <f>(Table1[[#This Row],[Total Cholesterol (mg/dL)]]+Table1[[#This Row],[HDL (mg/dL)2]]+Table1[[#This Row],[Estimated LDL (mg/dL)2]])*5</f>
        <v>505</v>
      </c>
      <c r="U1267" s="8">
        <f>IF(O1267="",Table1[[#This Row],[Estimated LDL (mg/dL)2]]+Table1[[#This Row],[HDL (mg/dL)2]]+(Table1[[#This Row],[Triglycerides]]/5),O1267)</f>
        <v>202</v>
      </c>
      <c r="V1267">
        <v>119</v>
      </c>
      <c r="W1267" s="8">
        <f t="shared" si="276"/>
        <v>119</v>
      </c>
      <c r="X1267" t="str">
        <f t="shared" si="277"/>
        <v>Prediabetes</v>
      </c>
      <c r="Y1267" t="s">
        <v>23</v>
      </c>
      <c r="Z1267" t="s">
        <v>22</v>
      </c>
      <c r="AA1267" t="s">
        <v>37</v>
      </c>
      <c r="AB1267" s="3" t="s">
        <v>1084</v>
      </c>
      <c r="AC1267">
        <v>95</v>
      </c>
      <c r="AD1267" s="3" t="str">
        <f t="shared" si="278"/>
        <v>95</v>
      </c>
      <c r="AE1267">
        <v>110</v>
      </c>
      <c r="AF1267" s="3" t="str">
        <f t="shared" si="279"/>
        <v>110</v>
      </c>
      <c r="AG1267" t="s">
        <v>38</v>
      </c>
      <c r="AH1267" s="3">
        <v>12.122</v>
      </c>
      <c r="AI1267" s="3">
        <f t="shared" si="280"/>
        <v>12.122</v>
      </c>
      <c r="AJ1267" t="s">
        <v>26</v>
      </c>
      <c r="AK1267" t="str">
        <f>PROPER(Table1[[#This Row],[CVD Risk Level]])</f>
        <v>Intermediary</v>
      </c>
    </row>
    <row r="1268" spans="1:37" x14ac:dyDescent="0.3">
      <c r="A1268" t="s">
        <v>20</v>
      </c>
      <c r="B1268">
        <v>35</v>
      </c>
      <c r="C1268" s="8">
        <f t="shared" si="269"/>
        <v>35</v>
      </c>
      <c r="D1268" s="5">
        <v>64.837000000000003</v>
      </c>
      <c r="E1268" s="8">
        <f t="shared" si="270"/>
        <v>64.837000000000003</v>
      </c>
      <c r="F1268">
        <v>1.958</v>
      </c>
      <c r="G1268" s="3">
        <f t="shared" si="271"/>
        <v>1.958</v>
      </c>
      <c r="H1268">
        <v>33.180999999999997</v>
      </c>
      <c r="I1268" s="5">
        <f t="shared" si="267"/>
        <v>33.180999999999997</v>
      </c>
      <c r="J1268" s="16" t="str">
        <f t="shared" si="272"/>
        <v>Obese</v>
      </c>
      <c r="K1268">
        <v>88.896000000000001</v>
      </c>
      <c r="L1268">
        <v>0.45400000000000001</v>
      </c>
      <c r="M1268" s="11">
        <f t="shared" si="268"/>
        <v>0.45400000000000001</v>
      </c>
      <c r="N1268" s="5">
        <f t="shared" si="273"/>
        <v>88.896000000000001</v>
      </c>
      <c r="O1268">
        <v>152</v>
      </c>
      <c r="P1268">
        <v>59</v>
      </c>
      <c r="Q1268" s="8">
        <f t="shared" si="274"/>
        <v>59</v>
      </c>
      <c r="R1268" s="8">
        <v>63</v>
      </c>
      <c r="S1268" s="8">
        <f t="shared" si="275"/>
        <v>63</v>
      </c>
      <c r="T1268" s="8">
        <f>(Table1[[#This Row],[Total Cholesterol (mg/dL)]]+Table1[[#This Row],[HDL (mg/dL)2]]+Table1[[#This Row],[Estimated LDL (mg/dL)2]])*5</f>
        <v>1370</v>
      </c>
      <c r="U1268" s="8">
        <f>IF(O1268="",Table1[[#This Row],[Estimated LDL (mg/dL)2]]+Table1[[#This Row],[HDL (mg/dL)2]]+(Table1[[#This Row],[Triglycerides]]/5),O1268)</f>
        <v>152</v>
      </c>
      <c r="V1268">
        <v>150</v>
      </c>
      <c r="W1268" s="8">
        <f t="shared" si="276"/>
        <v>150</v>
      </c>
      <c r="X1268" t="str">
        <f t="shared" si="277"/>
        <v>Diabetes</v>
      </c>
      <c r="Y1268" t="s">
        <v>22</v>
      </c>
      <c r="Z1268" t="s">
        <v>22</v>
      </c>
      <c r="AA1268" t="s">
        <v>28</v>
      </c>
      <c r="AB1268" s="3" t="s">
        <v>1085</v>
      </c>
      <c r="AC1268">
        <v>160</v>
      </c>
      <c r="AD1268" s="3" t="str">
        <f t="shared" si="278"/>
        <v>160</v>
      </c>
      <c r="AE1268">
        <v>78</v>
      </c>
      <c r="AF1268" s="3" t="str">
        <f t="shared" si="279"/>
        <v>78</v>
      </c>
      <c r="AG1268" t="s">
        <v>38</v>
      </c>
      <c r="AH1268" s="3">
        <v>17.675999999999998</v>
      </c>
      <c r="AI1268" s="3">
        <f t="shared" si="280"/>
        <v>17.675999999999998</v>
      </c>
      <c r="AJ1268" t="s">
        <v>30</v>
      </c>
      <c r="AK1268" t="str">
        <f>PROPER(Table1[[#This Row],[CVD Risk Level]])</f>
        <v>High</v>
      </c>
    </row>
    <row r="1269" spans="1:37" x14ac:dyDescent="0.3">
      <c r="A1269" t="s">
        <v>20</v>
      </c>
      <c r="B1269">
        <v>68</v>
      </c>
      <c r="C1269" s="8">
        <f t="shared" si="269"/>
        <v>68</v>
      </c>
      <c r="D1269" s="5">
        <v>102.432</v>
      </c>
      <c r="E1269" s="8">
        <f t="shared" si="270"/>
        <v>102.432</v>
      </c>
      <c r="F1269">
        <v>1.849</v>
      </c>
      <c r="G1269" s="3">
        <f t="shared" si="271"/>
        <v>1.849</v>
      </c>
      <c r="H1269">
        <v>34.941000000000003</v>
      </c>
      <c r="I1269" s="5">
        <f t="shared" si="267"/>
        <v>34.941000000000003</v>
      </c>
      <c r="J1269" s="16" t="str">
        <f t="shared" si="272"/>
        <v>Obese</v>
      </c>
      <c r="K1269">
        <v>90.284000000000006</v>
      </c>
      <c r="L1269">
        <v>0.48799999999999999</v>
      </c>
      <c r="M1269" s="11">
        <f t="shared" si="268"/>
        <v>0.48799999999999999</v>
      </c>
      <c r="N1269" s="5">
        <f t="shared" si="273"/>
        <v>90.284000000000006</v>
      </c>
      <c r="O1269">
        <v>202</v>
      </c>
      <c r="P1269">
        <v>52</v>
      </c>
      <c r="Q1269" s="8">
        <f t="shared" si="274"/>
        <v>52</v>
      </c>
      <c r="R1269" s="8">
        <v>120</v>
      </c>
      <c r="S1269" s="8">
        <f t="shared" si="275"/>
        <v>120</v>
      </c>
      <c r="T1269" s="8">
        <f>(Table1[[#This Row],[Total Cholesterol (mg/dL)]]+Table1[[#This Row],[HDL (mg/dL)2]]+Table1[[#This Row],[Estimated LDL (mg/dL)2]])*5</f>
        <v>1870</v>
      </c>
      <c r="U1269" s="8">
        <f>IF(O1269="",Table1[[#This Row],[Estimated LDL (mg/dL)2]]+Table1[[#This Row],[HDL (mg/dL)2]]+(Table1[[#This Row],[Triglycerides]]/5),O1269)</f>
        <v>202</v>
      </c>
      <c r="V1269">
        <v>135</v>
      </c>
      <c r="W1269" s="8">
        <f t="shared" si="276"/>
        <v>135</v>
      </c>
      <c r="X1269" t="str">
        <f t="shared" si="277"/>
        <v>Diabetes</v>
      </c>
      <c r="Y1269" t="s">
        <v>23</v>
      </c>
      <c r="Z1269" t="s">
        <v>22</v>
      </c>
      <c r="AA1269" t="s">
        <v>24</v>
      </c>
      <c r="AB1269" s="3" t="s">
        <v>1086</v>
      </c>
      <c r="AC1269">
        <v>155</v>
      </c>
      <c r="AD1269" s="3" t="str">
        <f t="shared" si="278"/>
        <v>155</v>
      </c>
      <c r="AE1269">
        <v>68</v>
      </c>
      <c r="AF1269" s="3" t="str">
        <f t="shared" si="279"/>
        <v>68</v>
      </c>
      <c r="AG1269" t="s">
        <v>38</v>
      </c>
      <c r="AH1269" s="3">
        <v>18.777999999999999</v>
      </c>
      <c r="AI1269" s="3">
        <f t="shared" si="280"/>
        <v>18.777999999999999</v>
      </c>
      <c r="AJ1269" t="s">
        <v>30</v>
      </c>
      <c r="AK1269" t="str">
        <f>PROPER(Table1[[#This Row],[CVD Risk Level]])</f>
        <v>High</v>
      </c>
    </row>
    <row r="1270" spans="1:37" x14ac:dyDescent="0.3">
      <c r="A1270" t="s">
        <v>31</v>
      </c>
      <c r="B1270">
        <v>47</v>
      </c>
      <c r="C1270" s="8">
        <f t="shared" si="269"/>
        <v>47</v>
      </c>
      <c r="D1270" s="5">
        <v>50.343000000000004</v>
      </c>
      <c r="E1270" s="8">
        <f t="shared" si="270"/>
        <v>50.343000000000004</v>
      </c>
      <c r="G1270" s="3">
        <f t="shared" si="271"/>
        <v>1.1960621359288808</v>
      </c>
      <c r="H1270">
        <v>35.191000000000003</v>
      </c>
      <c r="I1270" s="5">
        <f t="shared" si="267"/>
        <v>35.191000000000003</v>
      </c>
      <c r="J1270" s="16" t="str">
        <f t="shared" si="272"/>
        <v>Obese</v>
      </c>
      <c r="K1270">
        <v>103.605</v>
      </c>
      <c r="L1270">
        <v>0.61299999999999999</v>
      </c>
      <c r="M1270" s="11">
        <f t="shared" si="268"/>
        <v>0.61299999999999999</v>
      </c>
      <c r="N1270" s="5">
        <f t="shared" si="273"/>
        <v>103.605</v>
      </c>
      <c r="O1270">
        <v>205</v>
      </c>
      <c r="P1270">
        <v>42</v>
      </c>
      <c r="Q1270" s="8">
        <f t="shared" si="274"/>
        <v>42</v>
      </c>
      <c r="R1270" s="8">
        <v>133</v>
      </c>
      <c r="S1270" s="8">
        <f t="shared" si="275"/>
        <v>133</v>
      </c>
      <c r="T1270" s="8">
        <f>(Table1[[#This Row],[Total Cholesterol (mg/dL)]]+Table1[[#This Row],[HDL (mg/dL)2]]+Table1[[#This Row],[Estimated LDL (mg/dL)2]])*5</f>
        <v>1900</v>
      </c>
      <c r="U1270" s="8">
        <f>IF(O1270="",Table1[[#This Row],[Estimated LDL (mg/dL)2]]+Table1[[#This Row],[HDL (mg/dL)2]]+(Table1[[#This Row],[Triglycerides]]/5),O1270)</f>
        <v>205</v>
      </c>
      <c r="V1270">
        <v>176</v>
      </c>
      <c r="W1270" s="8">
        <f t="shared" si="276"/>
        <v>176</v>
      </c>
      <c r="X1270" t="str">
        <f t="shared" si="277"/>
        <v>Diabetes</v>
      </c>
      <c r="Y1270" t="s">
        <v>23</v>
      </c>
      <c r="Z1270" t="s">
        <v>22</v>
      </c>
      <c r="AA1270" t="s">
        <v>24</v>
      </c>
      <c r="AB1270" s="3" t="s">
        <v>1087</v>
      </c>
      <c r="AC1270">
        <v>173</v>
      </c>
      <c r="AD1270" s="3" t="str">
        <f t="shared" si="278"/>
        <v>173</v>
      </c>
      <c r="AE1270">
        <v>114</v>
      </c>
      <c r="AF1270" s="3" t="str">
        <f t="shared" si="279"/>
        <v>114</v>
      </c>
      <c r="AG1270" t="s">
        <v>38</v>
      </c>
      <c r="AH1270" s="3">
        <v>19.788</v>
      </c>
      <c r="AI1270" s="3">
        <f t="shared" si="280"/>
        <v>19.788</v>
      </c>
      <c r="AJ1270" t="s">
        <v>30</v>
      </c>
      <c r="AK1270" t="str">
        <f>PROPER(Table1[[#This Row],[CVD Risk Level]])</f>
        <v>High</v>
      </c>
    </row>
    <row r="1271" spans="1:37" x14ac:dyDescent="0.3">
      <c r="A1271" t="s">
        <v>31</v>
      </c>
      <c r="B1271">
        <v>29</v>
      </c>
      <c r="C1271" s="8">
        <f t="shared" si="269"/>
        <v>29</v>
      </c>
      <c r="D1271" s="5">
        <v>80.427999999999997</v>
      </c>
      <c r="E1271" s="8">
        <f t="shared" si="270"/>
        <v>80.427999999999997</v>
      </c>
      <c r="F1271">
        <v>1.865</v>
      </c>
      <c r="G1271" s="3">
        <f t="shared" si="271"/>
        <v>1.865</v>
      </c>
      <c r="H1271">
        <v>38.709000000000003</v>
      </c>
      <c r="I1271" s="5">
        <f t="shared" si="267"/>
        <v>38.709000000000003</v>
      </c>
      <c r="J1271" s="16" t="str">
        <f t="shared" si="272"/>
        <v>Obese</v>
      </c>
      <c r="K1271">
        <v>82.287000000000006</v>
      </c>
      <c r="L1271">
        <v>0.441</v>
      </c>
      <c r="M1271" s="11">
        <f t="shared" si="268"/>
        <v>0.441</v>
      </c>
      <c r="N1271" s="5">
        <f t="shared" si="273"/>
        <v>82.287000000000006</v>
      </c>
      <c r="O1271">
        <v>108</v>
      </c>
      <c r="P1271">
        <v>59</v>
      </c>
      <c r="Q1271" s="8">
        <f t="shared" si="274"/>
        <v>59</v>
      </c>
      <c r="R1271" s="8">
        <v>19</v>
      </c>
      <c r="S1271" s="8">
        <f t="shared" si="275"/>
        <v>19</v>
      </c>
      <c r="T1271" s="8">
        <f>(Table1[[#This Row],[Total Cholesterol (mg/dL)]]+Table1[[#This Row],[HDL (mg/dL)2]]+Table1[[#This Row],[Estimated LDL (mg/dL)2]])*5</f>
        <v>930</v>
      </c>
      <c r="U1271" s="8">
        <f>IF(O1271="",Table1[[#This Row],[Estimated LDL (mg/dL)2]]+Table1[[#This Row],[HDL (mg/dL)2]]+(Table1[[#This Row],[Triglycerides]]/5),O1271)</f>
        <v>108</v>
      </c>
      <c r="V1271">
        <v>121</v>
      </c>
      <c r="W1271" s="8">
        <f t="shared" si="276"/>
        <v>121</v>
      </c>
      <c r="X1271" t="str">
        <f t="shared" si="277"/>
        <v>Prediabetes</v>
      </c>
      <c r="Y1271" t="s">
        <v>23</v>
      </c>
      <c r="Z1271" t="s">
        <v>22</v>
      </c>
      <c r="AA1271" t="s">
        <v>37</v>
      </c>
      <c r="AB1271" s="3" t="s">
        <v>1088</v>
      </c>
      <c r="AC1271">
        <v>151</v>
      </c>
      <c r="AD1271" s="3" t="str">
        <f t="shared" si="278"/>
        <v>151</v>
      </c>
      <c r="AE1271">
        <v>93</v>
      </c>
      <c r="AF1271" s="3" t="str">
        <f t="shared" si="279"/>
        <v>93</v>
      </c>
      <c r="AG1271" t="s">
        <v>38</v>
      </c>
      <c r="AH1271" s="3">
        <v>17.452000000000002</v>
      </c>
      <c r="AI1271" s="3">
        <f t="shared" si="280"/>
        <v>17.452000000000002</v>
      </c>
      <c r="AJ1271" t="s">
        <v>30</v>
      </c>
      <c r="AK1271" t="str">
        <f>PROPER(Table1[[#This Row],[CVD Risk Level]])</f>
        <v>High</v>
      </c>
    </row>
    <row r="1272" spans="1:37" x14ac:dyDescent="0.3">
      <c r="A1272" t="s">
        <v>20</v>
      </c>
      <c r="B1272">
        <v>65</v>
      </c>
      <c r="C1272" s="8">
        <f t="shared" si="269"/>
        <v>65</v>
      </c>
      <c r="D1272" s="5">
        <v>112.07599999999999</v>
      </c>
      <c r="E1272" s="8">
        <f t="shared" si="270"/>
        <v>112.07599999999999</v>
      </c>
      <c r="F1272">
        <v>1.883</v>
      </c>
      <c r="G1272" s="3">
        <f t="shared" si="271"/>
        <v>1.883</v>
      </c>
      <c r="H1272">
        <v>37.783999999999999</v>
      </c>
      <c r="I1272" s="5">
        <f t="shared" si="267"/>
        <v>37.783999999999999</v>
      </c>
      <c r="J1272" s="16" t="str">
        <f t="shared" si="272"/>
        <v>Obese</v>
      </c>
      <c r="K1272">
        <v>83.951999999999998</v>
      </c>
      <c r="L1272">
        <v>0.44600000000000001</v>
      </c>
      <c r="M1272" s="11">
        <f t="shared" si="268"/>
        <v>0.44600000000000001</v>
      </c>
      <c r="N1272" s="5">
        <f t="shared" si="273"/>
        <v>83.951999999999998</v>
      </c>
      <c r="O1272">
        <v>107</v>
      </c>
      <c r="P1272">
        <v>80</v>
      </c>
      <c r="Q1272" s="8">
        <f t="shared" si="274"/>
        <v>80</v>
      </c>
      <c r="R1272" s="8">
        <v>-3</v>
      </c>
      <c r="S1272" s="8">
        <f t="shared" si="275"/>
        <v>109</v>
      </c>
      <c r="T1272" s="8">
        <f>(Table1[[#This Row],[Total Cholesterol (mg/dL)]]+Table1[[#This Row],[HDL (mg/dL)2]]+Table1[[#This Row],[Estimated LDL (mg/dL)2]])*5</f>
        <v>1480</v>
      </c>
      <c r="U1272" s="8">
        <f>IF(O1272="",Table1[[#This Row],[Estimated LDL (mg/dL)2]]+Table1[[#This Row],[HDL (mg/dL)2]]+(Table1[[#This Row],[Triglycerides]]/5),O1272)</f>
        <v>107</v>
      </c>
      <c r="V1272">
        <v>161</v>
      </c>
      <c r="W1272" s="8">
        <f t="shared" si="276"/>
        <v>161</v>
      </c>
      <c r="X1272" t="str">
        <f t="shared" si="277"/>
        <v>Diabetes</v>
      </c>
      <c r="Y1272" t="s">
        <v>23</v>
      </c>
      <c r="Z1272" t="s">
        <v>22</v>
      </c>
      <c r="AA1272" t="s">
        <v>28</v>
      </c>
      <c r="AB1272" s="3" t="s">
        <v>488</v>
      </c>
      <c r="AC1272">
        <v>141</v>
      </c>
      <c r="AD1272" s="3" t="str">
        <f t="shared" si="278"/>
        <v>141</v>
      </c>
      <c r="AE1272">
        <v>81</v>
      </c>
      <c r="AF1272" s="3" t="str">
        <f t="shared" si="279"/>
        <v>81</v>
      </c>
      <c r="AG1272" t="s">
        <v>29</v>
      </c>
      <c r="AH1272" s="3">
        <v>16.747</v>
      </c>
      <c r="AI1272" s="3">
        <f t="shared" si="280"/>
        <v>16.747</v>
      </c>
      <c r="AJ1272" t="s">
        <v>30</v>
      </c>
      <c r="AK1272" t="str">
        <f>PROPER(Table1[[#This Row],[CVD Risk Level]])</f>
        <v>High</v>
      </c>
    </row>
    <row r="1273" spans="1:37" x14ac:dyDescent="0.3">
      <c r="A1273" t="s">
        <v>31</v>
      </c>
      <c r="B1273">
        <v>61</v>
      </c>
      <c r="C1273" s="8">
        <f t="shared" si="269"/>
        <v>61</v>
      </c>
      <c r="D1273" s="5">
        <v>108.642</v>
      </c>
      <c r="E1273" s="8">
        <f t="shared" si="270"/>
        <v>108.642</v>
      </c>
      <c r="F1273">
        <v>1.7549999999999999</v>
      </c>
      <c r="G1273" s="3">
        <f t="shared" si="271"/>
        <v>1.7549999999999999</v>
      </c>
      <c r="H1273">
        <v>39.877000000000002</v>
      </c>
      <c r="I1273" s="5">
        <f t="shared" si="267"/>
        <v>39.877000000000002</v>
      </c>
      <c r="J1273" s="16" t="str">
        <f t="shared" si="272"/>
        <v>Obese</v>
      </c>
      <c r="K1273">
        <v>87.74</v>
      </c>
      <c r="L1273">
        <v>0.5</v>
      </c>
      <c r="M1273" s="11">
        <f t="shared" si="268"/>
        <v>0.5</v>
      </c>
      <c r="N1273" s="5">
        <f t="shared" si="273"/>
        <v>87.74</v>
      </c>
      <c r="O1273">
        <v>179</v>
      </c>
      <c r="P1273">
        <v>75</v>
      </c>
      <c r="Q1273" s="8">
        <f t="shared" si="274"/>
        <v>75</v>
      </c>
      <c r="R1273" s="8">
        <v>74</v>
      </c>
      <c r="S1273" s="8">
        <f t="shared" si="275"/>
        <v>74</v>
      </c>
      <c r="T1273" s="8">
        <f>(Table1[[#This Row],[Total Cholesterol (mg/dL)]]+Table1[[#This Row],[HDL (mg/dL)2]]+Table1[[#This Row],[Estimated LDL (mg/dL)2]])*5</f>
        <v>1640</v>
      </c>
      <c r="U1273" s="8">
        <f>IF(O1273="",Table1[[#This Row],[Estimated LDL (mg/dL)2]]+Table1[[#This Row],[HDL (mg/dL)2]]+(Table1[[#This Row],[Triglycerides]]/5),O1273)</f>
        <v>179</v>
      </c>
      <c r="V1273">
        <v>160</v>
      </c>
      <c r="W1273" s="8">
        <f t="shared" si="276"/>
        <v>160</v>
      </c>
      <c r="X1273" t="str">
        <f t="shared" si="277"/>
        <v>Diabetes</v>
      </c>
      <c r="Y1273" t="s">
        <v>23</v>
      </c>
      <c r="Z1273" t="s">
        <v>22</v>
      </c>
      <c r="AA1273" t="s">
        <v>28</v>
      </c>
      <c r="AB1273" s="3" t="s">
        <v>1089</v>
      </c>
      <c r="AC1273">
        <v>156</v>
      </c>
      <c r="AD1273" s="3" t="str">
        <f t="shared" si="278"/>
        <v>156</v>
      </c>
      <c r="AE1273">
        <v>66</v>
      </c>
      <c r="AF1273" s="3" t="str">
        <f t="shared" si="279"/>
        <v>66</v>
      </c>
      <c r="AG1273" t="s">
        <v>38</v>
      </c>
      <c r="AH1273" s="3">
        <v>19.355</v>
      </c>
      <c r="AI1273" s="3">
        <f t="shared" si="280"/>
        <v>19.355</v>
      </c>
      <c r="AJ1273" t="s">
        <v>30</v>
      </c>
      <c r="AK1273" t="str">
        <f>PROPER(Table1[[#This Row],[CVD Risk Level]])</f>
        <v>High</v>
      </c>
    </row>
    <row r="1274" spans="1:37" x14ac:dyDescent="0.3">
      <c r="A1274" t="s">
        <v>31</v>
      </c>
      <c r="B1274">
        <v>39</v>
      </c>
      <c r="C1274" s="8">
        <f t="shared" si="269"/>
        <v>39</v>
      </c>
      <c r="D1274" s="5">
        <v>86.426000000000002</v>
      </c>
      <c r="E1274" s="8">
        <f t="shared" si="270"/>
        <v>86.426000000000002</v>
      </c>
      <c r="F1274">
        <v>1.8240000000000001</v>
      </c>
      <c r="G1274" s="3">
        <f t="shared" si="271"/>
        <v>1.8240000000000001</v>
      </c>
      <c r="H1274">
        <v>27.754999999999999</v>
      </c>
      <c r="I1274" s="5">
        <f t="shared" si="267"/>
        <v>27.754999999999999</v>
      </c>
      <c r="J1274" s="16" t="str">
        <f t="shared" si="272"/>
        <v>Overweight</v>
      </c>
      <c r="K1274">
        <v>102.672</v>
      </c>
      <c r="L1274">
        <v>0.56299999999999994</v>
      </c>
      <c r="M1274" s="11">
        <f t="shared" si="268"/>
        <v>0.56299999999999994</v>
      </c>
      <c r="N1274" s="5">
        <f t="shared" si="273"/>
        <v>102.672</v>
      </c>
      <c r="O1274">
        <v>267</v>
      </c>
      <c r="Q1274" s="8">
        <f t="shared" si="274"/>
        <v>56.197377501725327</v>
      </c>
      <c r="R1274" s="8">
        <v>172</v>
      </c>
      <c r="S1274" s="8">
        <f>IF(R1274&lt;=0,MEDIAN($R$2:$R$1530),R1274)</f>
        <v>172</v>
      </c>
      <c r="T1274" s="8">
        <f>(Table1[[#This Row],[Total Cholesterol (mg/dL)]]+Table1[[#This Row],[HDL (mg/dL)2]]+Table1[[#This Row],[Estimated LDL (mg/dL)2]])*5</f>
        <v>2475.9868875086268</v>
      </c>
      <c r="U1274" s="8">
        <f>IF(O1274="",Table1[[#This Row],[Estimated LDL (mg/dL)2]]+Table1[[#This Row],[HDL (mg/dL)2]]+(Table1[[#This Row],[Triglycerides]]/5),O1274)</f>
        <v>267</v>
      </c>
      <c r="W1274" s="8">
        <f t="shared" si="276"/>
        <v>117.48563611491107</v>
      </c>
      <c r="X1274" t="str">
        <f t="shared" si="277"/>
        <v>Prediabetes</v>
      </c>
      <c r="Y1274" t="s">
        <v>23</v>
      </c>
      <c r="Z1274" t="s">
        <v>23</v>
      </c>
      <c r="AA1274" t="s">
        <v>28</v>
      </c>
      <c r="AB1274" s="3" t="s">
        <v>764</v>
      </c>
      <c r="AC1274">
        <v>132</v>
      </c>
      <c r="AD1274" s="3" t="str">
        <f t="shared" si="278"/>
        <v>132</v>
      </c>
      <c r="AE1274">
        <v>77</v>
      </c>
      <c r="AF1274" s="3" t="str">
        <f t="shared" si="279"/>
        <v>77</v>
      </c>
      <c r="AG1274" t="s">
        <v>29</v>
      </c>
      <c r="AH1274" s="3">
        <v>19.491</v>
      </c>
      <c r="AI1274" s="3">
        <f t="shared" si="280"/>
        <v>19.491</v>
      </c>
      <c r="AJ1274" t="s">
        <v>30</v>
      </c>
      <c r="AK1274" t="str">
        <f>PROPER(Table1[[#This Row],[CVD Risk Level]])</f>
        <v>High</v>
      </c>
    </row>
    <row r="1275" spans="1:37" x14ac:dyDescent="0.3">
      <c r="A1275" t="s">
        <v>20</v>
      </c>
      <c r="B1275">
        <v>41</v>
      </c>
      <c r="C1275" s="8">
        <f t="shared" si="269"/>
        <v>41</v>
      </c>
      <c r="D1275" s="5">
        <v>98.17</v>
      </c>
      <c r="E1275" s="8">
        <f t="shared" si="270"/>
        <v>98.17</v>
      </c>
      <c r="F1275">
        <v>1.964</v>
      </c>
      <c r="G1275" s="3">
        <f t="shared" si="271"/>
        <v>1.964</v>
      </c>
      <c r="H1275">
        <v>34.151000000000003</v>
      </c>
      <c r="I1275" s="5">
        <f t="shared" si="267"/>
        <v>34.151000000000003</v>
      </c>
      <c r="J1275" s="16" t="str">
        <f t="shared" si="272"/>
        <v>Obese</v>
      </c>
      <c r="K1275">
        <v>86.302999999999997</v>
      </c>
      <c r="L1275">
        <v>0.439</v>
      </c>
      <c r="M1275" s="11">
        <f t="shared" si="268"/>
        <v>0.439</v>
      </c>
      <c r="N1275" s="5">
        <f t="shared" si="273"/>
        <v>86.302999999999997</v>
      </c>
      <c r="O1275">
        <v>227</v>
      </c>
      <c r="P1275">
        <v>89</v>
      </c>
      <c r="Q1275" s="8">
        <f t="shared" si="274"/>
        <v>89</v>
      </c>
      <c r="R1275" s="8">
        <v>108</v>
      </c>
      <c r="S1275" s="8">
        <f t="shared" si="275"/>
        <v>108</v>
      </c>
      <c r="T1275" s="8">
        <f>(Table1[[#This Row],[Total Cholesterol (mg/dL)]]+Table1[[#This Row],[HDL (mg/dL)2]]+Table1[[#This Row],[Estimated LDL (mg/dL)2]])*5</f>
        <v>2120</v>
      </c>
      <c r="U1275" s="8">
        <f>IF(O1275="",Table1[[#This Row],[Estimated LDL (mg/dL)2]]+Table1[[#This Row],[HDL (mg/dL)2]]+(Table1[[#This Row],[Triglycerides]]/5),O1275)</f>
        <v>227</v>
      </c>
      <c r="V1275">
        <v>88</v>
      </c>
      <c r="W1275" s="8">
        <f t="shared" si="276"/>
        <v>88</v>
      </c>
      <c r="X1275" t="str">
        <f t="shared" si="277"/>
        <v>Normal</v>
      </c>
      <c r="Y1275" t="s">
        <v>23</v>
      </c>
      <c r="Z1275" t="s">
        <v>23</v>
      </c>
      <c r="AA1275" t="s">
        <v>28</v>
      </c>
      <c r="AB1275" s="3" t="s">
        <v>1090</v>
      </c>
      <c r="AC1275">
        <v>172</v>
      </c>
      <c r="AD1275" s="3" t="str">
        <f t="shared" si="278"/>
        <v>172</v>
      </c>
      <c r="AE1275">
        <v>68</v>
      </c>
      <c r="AF1275" s="3" t="str">
        <f t="shared" si="279"/>
        <v>68</v>
      </c>
      <c r="AG1275" t="s">
        <v>38</v>
      </c>
      <c r="AH1275" s="3">
        <v>21.97</v>
      </c>
      <c r="AI1275" s="3">
        <f t="shared" si="280"/>
        <v>21.97</v>
      </c>
      <c r="AJ1275" t="s">
        <v>52</v>
      </c>
      <c r="AK1275" t="str">
        <f>PROPER(Table1[[#This Row],[CVD Risk Level]])</f>
        <v>Low</v>
      </c>
    </row>
    <row r="1276" spans="1:37" x14ac:dyDescent="0.3">
      <c r="A1276" t="s">
        <v>20</v>
      </c>
      <c r="B1276">
        <v>26</v>
      </c>
      <c r="C1276" s="8">
        <f t="shared" si="269"/>
        <v>26</v>
      </c>
      <c r="D1276" s="5">
        <v>97.701999999999998</v>
      </c>
      <c r="E1276" s="8">
        <f t="shared" si="270"/>
        <v>97.701999999999998</v>
      </c>
      <c r="F1276">
        <v>1.8009999999999999</v>
      </c>
      <c r="G1276" s="3">
        <f t="shared" si="271"/>
        <v>1.8009999999999999</v>
      </c>
      <c r="H1276">
        <v>32.79</v>
      </c>
      <c r="I1276" s="5">
        <f t="shared" si="267"/>
        <v>32.79</v>
      </c>
      <c r="J1276" s="16" t="str">
        <f t="shared" si="272"/>
        <v>Obese</v>
      </c>
      <c r="K1276">
        <v>108.242</v>
      </c>
      <c r="L1276">
        <v>0.60099999999999998</v>
      </c>
      <c r="M1276" s="11">
        <f t="shared" si="268"/>
        <v>0.60099999999999998</v>
      </c>
      <c r="N1276" s="5">
        <f t="shared" si="273"/>
        <v>108.242</v>
      </c>
      <c r="P1276">
        <v>79</v>
      </c>
      <c r="Q1276" s="8">
        <f t="shared" si="274"/>
        <v>79</v>
      </c>
      <c r="R1276" s="8">
        <v>153</v>
      </c>
      <c r="S1276" s="8">
        <f t="shared" si="275"/>
        <v>153</v>
      </c>
      <c r="T1276" s="8">
        <f>(Table1[[#This Row],[Total Cholesterol (mg/dL)]]+Table1[[#This Row],[HDL (mg/dL)2]]+Table1[[#This Row],[Estimated LDL (mg/dL)2]])*5</f>
        <v>1160</v>
      </c>
      <c r="U1276" s="8">
        <f>IF(O1276="",Table1[[#This Row],[Estimated LDL (mg/dL)2]]+Table1[[#This Row],[HDL (mg/dL)2]]+(Table1[[#This Row],[Triglycerides]]/5),O1276)</f>
        <v>464</v>
      </c>
      <c r="V1276">
        <v>185</v>
      </c>
      <c r="W1276" s="8">
        <f t="shared" si="276"/>
        <v>185</v>
      </c>
      <c r="X1276" t="str">
        <f t="shared" si="277"/>
        <v>Diabetes</v>
      </c>
      <c r="Y1276" t="s">
        <v>22</v>
      </c>
      <c r="Z1276" t="s">
        <v>22</v>
      </c>
      <c r="AA1276" t="s">
        <v>28</v>
      </c>
      <c r="AB1276" s="3" t="s">
        <v>1091</v>
      </c>
      <c r="AC1276">
        <v>108</v>
      </c>
      <c r="AD1276" s="3" t="str">
        <f t="shared" si="278"/>
        <v>108</v>
      </c>
      <c r="AE1276">
        <v>117</v>
      </c>
      <c r="AF1276" s="3" t="str">
        <f t="shared" si="279"/>
        <v>117</v>
      </c>
      <c r="AG1276" t="s">
        <v>38</v>
      </c>
      <c r="AH1276" s="3">
        <v>17.198</v>
      </c>
      <c r="AI1276" s="3">
        <f t="shared" si="280"/>
        <v>17.198</v>
      </c>
      <c r="AJ1276" t="s">
        <v>30</v>
      </c>
      <c r="AK1276" t="str">
        <f>PROPER(Table1[[#This Row],[CVD Risk Level]])</f>
        <v>High</v>
      </c>
    </row>
    <row r="1277" spans="1:37" x14ac:dyDescent="0.3">
      <c r="A1277" t="s">
        <v>20</v>
      </c>
      <c r="B1277">
        <v>26</v>
      </c>
      <c r="C1277" s="8">
        <f t="shared" si="269"/>
        <v>26</v>
      </c>
      <c r="D1277" s="5">
        <v>66.394000000000005</v>
      </c>
      <c r="E1277" s="8">
        <f t="shared" si="270"/>
        <v>66.394000000000005</v>
      </c>
      <c r="F1277">
        <v>1.86</v>
      </c>
      <c r="G1277" s="3">
        <f t="shared" si="271"/>
        <v>1.86</v>
      </c>
      <c r="H1277">
        <v>27.704000000000001</v>
      </c>
      <c r="I1277" s="5">
        <f t="shared" si="267"/>
        <v>27.704000000000001</v>
      </c>
      <c r="J1277" s="16" t="str">
        <f t="shared" si="272"/>
        <v>Overweight</v>
      </c>
      <c r="K1277">
        <v>91.594999999999999</v>
      </c>
      <c r="L1277">
        <v>0.49299999999999999</v>
      </c>
      <c r="M1277" s="11">
        <f t="shared" si="268"/>
        <v>0.49299999999999999</v>
      </c>
      <c r="N1277" s="5">
        <f t="shared" si="273"/>
        <v>91.594999999999999</v>
      </c>
      <c r="O1277">
        <v>106</v>
      </c>
      <c r="P1277">
        <v>78</v>
      </c>
      <c r="Q1277" s="8">
        <f t="shared" si="274"/>
        <v>78</v>
      </c>
      <c r="R1277" s="8">
        <v>-2</v>
      </c>
      <c r="S1277" s="8">
        <f t="shared" si="275"/>
        <v>109</v>
      </c>
      <c r="T1277" s="8">
        <f>(Table1[[#This Row],[Total Cholesterol (mg/dL)]]+Table1[[#This Row],[HDL (mg/dL)2]]+Table1[[#This Row],[Estimated LDL (mg/dL)2]])*5</f>
        <v>1465</v>
      </c>
      <c r="U1277" s="8">
        <f>IF(O1277="",Table1[[#This Row],[Estimated LDL (mg/dL)2]]+Table1[[#This Row],[HDL (mg/dL)2]]+(Table1[[#This Row],[Triglycerides]]/5),O1277)</f>
        <v>106</v>
      </c>
      <c r="V1277">
        <v>103</v>
      </c>
      <c r="W1277" s="8">
        <f t="shared" si="276"/>
        <v>103</v>
      </c>
      <c r="X1277" t="str">
        <f t="shared" si="277"/>
        <v>Prediabetes</v>
      </c>
      <c r="Y1277" t="s">
        <v>22</v>
      </c>
      <c r="Z1277" t="s">
        <v>23</v>
      </c>
      <c r="AA1277" t="s">
        <v>28</v>
      </c>
      <c r="AB1277" s="3" t="s">
        <v>1092</v>
      </c>
      <c r="AC1277">
        <v>165</v>
      </c>
      <c r="AD1277" s="3" t="str">
        <f t="shared" si="278"/>
        <v>165</v>
      </c>
      <c r="AE1277">
        <v>101</v>
      </c>
      <c r="AF1277" s="3" t="str">
        <f t="shared" si="279"/>
        <v>101</v>
      </c>
      <c r="AG1277" t="s">
        <v>38</v>
      </c>
      <c r="AI1277" s="3">
        <f t="shared" si="280"/>
        <v>16.960925291295425</v>
      </c>
      <c r="AJ1277" t="s">
        <v>52</v>
      </c>
      <c r="AK1277" t="str">
        <f>PROPER(Table1[[#This Row],[CVD Risk Level]])</f>
        <v>Low</v>
      </c>
    </row>
    <row r="1278" spans="1:37" x14ac:dyDescent="0.3">
      <c r="A1278" t="s">
        <v>20</v>
      </c>
      <c r="B1278">
        <v>68</v>
      </c>
      <c r="C1278" s="8">
        <f t="shared" si="269"/>
        <v>68</v>
      </c>
      <c r="E1278" s="8">
        <f t="shared" si="270"/>
        <v>117.43859767500001</v>
      </c>
      <c r="F1278">
        <v>1.9950000000000001</v>
      </c>
      <c r="G1278" s="3">
        <f t="shared" si="271"/>
        <v>1.9950000000000001</v>
      </c>
      <c r="H1278">
        <v>29.507000000000001</v>
      </c>
      <c r="I1278" s="5">
        <f t="shared" si="267"/>
        <v>29.507000000000001</v>
      </c>
      <c r="J1278" s="16" t="str">
        <f t="shared" si="272"/>
        <v>Overweight</v>
      </c>
      <c r="K1278">
        <v>103.497</v>
      </c>
      <c r="L1278">
        <v>0.51900000000000002</v>
      </c>
      <c r="M1278" s="11">
        <f t="shared" si="268"/>
        <v>0.51900000000000002</v>
      </c>
      <c r="N1278" s="5">
        <f t="shared" si="273"/>
        <v>103.497</v>
      </c>
      <c r="O1278">
        <v>134</v>
      </c>
      <c r="P1278">
        <v>45</v>
      </c>
      <c r="Q1278" s="8">
        <f t="shared" si="274"/>
        <v>45</v>
      </c>
      <c r="R1278" s="8">
        <v>59</v>
      </c>
      <c r="S1278" s="8">
        <f t="shared" si="275"/>
        <v>59</v>
      </c>
      <c r="T1278" s="8">
        <f>(Table1[[#This Row],[Total Cholesterol (mg/dL)]]+Table1[[#This Row],[HDL (mg/dL)2]]+Table1[[#This Row],[Estimated LDL (mg/dL)2]])*5</f>
        <v>1190</v>
      </c>
      <c r="U1278" s="8">
        <f>IF(O1278="",Table1[[#This Row],[Estimated LDL (mg/dL)2]]+Table1[[#This Row],[HDL (mg/dL)2]]+(Table1[[#This Row],[Triglycerides]]/5),O1278)</f>
        <v>134</v>
      </c>
      <c r="V1278">
        <v>175</v>
      </c>
      <c r="W1278" s="8">
        <f t="shared" si="276"/>
        <v>175</v>
      </c>
      <c r="X1278" t="str">
        <f t="shared" si="277"/>
        <v>Diabetes</v>
      </c>
      <c r="Y1278" t="s">
        <v>23</v>
      </c>
      <c r="Z1278" t="s">
        <v>22</v>
      </c>
      <c r="AA1278" t="s">
        <v>24</v>
      </c>
      <c r="AB1278" s="3" t="s">
        <v>318</v>
      </c>
      <c r="AC1278">
        <v>128</v>
      </c>
      <c r="AD1278" s="3" t="str">
        <f t="shared" si="278"/>
        <v>128</v>
      </c>
      <c r="AE1278">
        <v>88</v>
      </c>
      <c r="AF1278" s="3" t="str">
        <f t="shared" si="279"/>
        <v>88</v>
      </c>
      <c r="AG1278" t="s">
        <v>29</v>
      </c>
      <c r="AH1278" s="3">
        <v>14.981</v>
      </c>
      <c r="AI1278" s="3">
        <f t="shared" si="280"/>
        <v>14.981</v>
      </c>
      <c r="AJ1278" t="s">
        <v>30</v>
      </c>
      <c r="AK1278" t="str">
        <f>PROPER(Table1[[#This Row],[CVD Risk Level]])</f>
        <v>High</v>
      </c>
    </row>
    <row r="1279" spans="1:37" x14ac:dyDescent="0.3">
      <c r="A1279" t="s">
        <v>31</v>
      </c>
      <c r="B1279">
        <v>33</v>
      </c>
      <c r="C1279" s="8">
        <f t="shared" si="269"/>
        <v>33</v>
      </c>
      <c r="D1279" s="5">
        <v>104.748</v>
      </c>
      <c r="E1279" s="8">
        <f t="shared" si="270"/>
        <v>104.748</v>
      </c>
      <c r="F1279">
        <v>1.9830000000000001</v>
      </c>
      <c r="G1279" s="3">
        <f t="shared" si="271"/>
        <v>1.9830000000000001</v>
      </c>
      <c r="H1279">
        <v>18.852</v>
      </c>
      <c r="I1279" s="5">
        <f t="shared" si="267"/>
        <v>18.852</v>
      </c>
      <c r="J1279" s="16" t="str">
        <f t="shared" si="272"/>
        <v>Normal</v>
      </c>
      <c r="K1279">
        <v>104.754</v>
      </c>
      <c r="L1279">
        <v>0.52800000000000002</v>
      </c>
      <c r="M1279" s="11">
        <f t="shared" si="268"/>
        <v>0.52800000000000002</v>
      </c>
      <c r="N1279" s="5">
        <f t="shared" si="273"/>
        <v>104.754</v>
      </c>
      <c r="O1279">
        <v>176</v>
      </c>
      <c r="P1279">
        <v>81</v>
      </c>
      <c r="Q1279" s="8">
        <f t="shared" si="274"/>
        <v>81</v>
      </c>
      <c r="R1279" s="8">
        <v>65</v>
      </c>
      <c r="S1279" s="8">
        <f t="shared" si="275"/>
        <v>65</v>
      </c>
      <c r="T1279" s="8">
        <f>(Table1[[#This Row],[Total Cholesterol (mg/dL)]]+Table1[[#This Row],[HDL (mg/dL)2]]+Table1[[#This Row],[Estimated LDL (mg/dL)2]])*5</f>
        <v>1610</v>
      </c>
      <c r="U1279" s="8">
        <f>IF(O1279="",Table1[[#This Row],[Estimated LDL (mg/dL)2]]+Table1[[#This Row],[HDL (mg/dL)2]]+(Table1[[#This Row],[Triglycerides]]/5),O1279)</f>
        <v>176</v>
      </c>
      <c r="V1279">
        <v>161</v>
      </c>
      <c r="W1279" s="8">
        <f t="shared" si="276"/>
        <v>161</v>
      </c>
      <c r="X1279" t="str">
        <f t="shared" si="277"/>
        <v>Diabetes</v>
      </c>
      <c r="Y1279" t="s">
        <v>22</v>
      </c>
      <c r="Z1279" t="s">
        <v>22</v>
      </c>
      <c r="AA1279" t="s">
        <v>37</v>
      </c>
      <c r="AB1279" s="3" t="s">
        <v>1093</v>
      </c>
      <c r="AC1279">
        <v>178</v>
      </c>
      <c r="AD1279" s="3" t="str">
        <f t="shared" si="278"/>
        <v>178</v>
      </c>
      <c r="AE1279">
        <v>65</v>
      </c>
      <c r="AF1279" s="3" t="str">
        <f t="shared" si="279"/>
        <v>65</v>
      </c>
      <c r="AG1279" t="s">
        <v>38</v>
      </c>
      <c r="AH1279" s="3">
        <v>16.190000000000001</v>
      </c>
      <c r="AI1279" s="3">
        <f t="shared" si="280"/>
        <v>16.190000000000001</v>
      </c>
      <c r="AJ1279" t="s">
        <v>30</v>
      </c>
      <c r="AK1279" t="str">
        <f>PROPER(Table1[[#This Row],[CVD Risk Level]])</f>
        <v>High</v>
      </c>
    </row>
    <row r="1280" spans="1:37" x14ac:dyDescent="0.3">
      <c r="A1280" t="s">
        <v>20</v>
      </c>
      <c r="B1280">
        <v>75</v>
      </c>
      <c r="C1280" s="8">
        <f t="shared" si="269"/>
        <v>75</v>
      </c>
      <c r="D1280" s="5">
        <v>113.605</v>
      </c>
      <c r="E1280" s="8">
        <f t="shared" si="270"/>
        <v>113.605</v>
      </c>
      <c r="F1280">
        <v>1.8640000000000001</v>
      </c>
      <c r="G1280" s="3">
        <f t="shared" si="271"/>
        <v>1.8640000000000001</v>
      </c>
      <c r="H1280">
        <v>22.713999999999999</v>
      </c>
      <c r="I1280" s="5">
        <f t="shared" si="267"/>
        <v>22.713999999999999</v>
      </c>
      <c r="J1280" s="16" t="str">
        <f t="shared" si="272"/>
        <v>Normal</v>
      </c>
      <c r="K1280">
        <v>88.545000000000002</v>
      </c>
      <c r="L1280">
        <v>0.47499999999999998</v>
      </c>
      <c r="M1280" s="11">
        <f t="shared" si="268"/>
        <v>0.47499999999999998</v>
      </c>
      <c r="N1280" s="5">
        <f t="shared" si="273"/>
        <v>88.545000000000002</v>
      </c>
      <c r="O1280">
        <v>151</v>
      </c>
      <c r="P1280">
        <v>63</v>
      </c>
      <c r="Q1280" s="8">
        <f t="shared" si="274"/>
        <v>63</v>
      </c>
      <c r="R1280" s="8">
        <v>58</v>
      </c>
      <c r="S1280" s="8">
        <f t="shared" si="275"/>
        <v>58</v>
      </c>
      <c r="T1280" s="8">
        <f>(Table1[[#This Row],[Total Cholesterol (mg/dL)]]+Table1[[#This Row],[HDL (mg/dL)2]]+Table1[[#This Row],[Estimated LDL (mg/dL)2]])*5</f>
        <v>1360</v>
      </c>
      <c r="U1280" s="8">
        <f>IF(O1280="",Table1[[#This Row],[Estimated LDL (mg/dL)2]]+Table1[[#This Row],[HDL (mg/dL)2]]+(Table1[[#This Row],[Triglycerides]]/5),O1280)</f>
        <v>151</v>
      </c>
      <c r="V1280">
        <v>105</v>
      </c>
      <c r="W1280" s="8">
        <f t="shared" si="276"/>
        <v>105</v>
      </c>
      <c r="X1280" t="str">
        <f t="shared" si="277"/>
        <v>Prediabetes</v>
      </c>
      <c r="Y1280" t="s">
        <v>22</v>
      </c>
      <c r="Z1280" t="s">
        <v>23</v>
      </c>
      <c r="AA1280" t="s">
        <v>24</v>
      </c>
      <c r="AB1280" s="3" t="s">
        <v>1094</v>
      </c>
      <c r="AC1280">
        <v>159</v>
      </c>
      <c r="AD1280" s="3" t="str">
        <f t="shared" si="278"/>
        <v>159</v>
      </c>
      <c r="AE1280">
        <v>100</v>
      </c>
      <c r="AF1280" s="3" t="str">
        <f t="shared" si="279"/>
        <v>100</v>
      </c>
      <c r="AG1280" t="s">
        <v>38</v>
      </c>
      <c r="AH1280" s="3">
        <v>17.513000000000002</v>
      </c>
      <c r="AI1280" s="3">
        <f t="shared" si="280"/>
        <v>17.513000000000002</v>
      </c>
      <c r="AJ1280" t="s">
        <v>52</v>
      </c>
      <c r="AK1280" t="str">
        <f>PROPER(Table1[[#This Row],[CVD Risk Level]])</f>
        <v>Low</v>
      </c>
    </row>
    <row r="1281" spans="1:37" x14ac:dyDescent="0.3">
      <c r="A1281" t="s">
        <v>31</v>
      </c>
      <c r="B1281">
        <v>75</v>
      </c>
      <c r="C1281" s="8">
        <f t="shared" si="269"/>
        <v>75</v>
      </c>
      <c r="E1281" s="8">
        <f t="shared" si="270"/>
        <v>124.36650420300001</v>
      </c>
      <c r="F1281">
        <v>1.9830000000000001</v>
      </c>
      <c r="G1281" s="3">
        <f t="shared" si="271"/>
        <v>1.9830000000000001</v>
      </c>
      <c r="H1281">
        <v>31.626999999999999</v>
      </c>
      <c r="I1281" s="5">
        <f t="shared" si="267"/>
        <v>31.626999999999999</v>
      </c>
      <c r="J1281" s="16" t="str">
        <f t="shared" si="272"/>
        <v>Obese</v>
      </c>
      <c r="L1281">
        <v>0.56299999999999994</v>
      </c>
      <c r="M1281" s="11">
        <f t="shared" si="268"/>
        <v>0.56299999999999994</v>
      </c>
      <c r="N1281" s="5">
        <f t="shared" si="273"/>
        <v>111.6429</v>
      </c>
      <c r="O1281">
        <v>179</v>
      </c>
      <c r="P1281">
        <v>46</v>
      </c>
      <c r="Q1281" s="8">
        <f t="shared" si="274"/>
        <v>46</v>
      </c>
      <c r="R1281" s="8">
        <v>103</v>
      </c>
      <c r="S1281" s="8">
        <f t="shared" si="275"/>
        <v>103</v>
      </c>
      <c r="T1281" s="8">
        <f>(Table1[[#This Row],[Total Cholesterol (mg/dL)]]+Table1[[#This Row],[HDL (mg/dL)2]]+Table1[[#This Row],[Estimated LDL (mg/dL)2]])*5</f>
        <v>1640</v>
      </c>
      <c r="U1281" s="8">
        <f>IF(O1281="",Table1[[#This Row],[Estimated LDL (mg/dL)2]]+Table1[[#This Row],[HDL (mg/dL)2]]+(Table1[[#This Row],[Triglycerides]]/5),O1281)</f>
        <v>179</v>
      </c>
      <c r="V1281">
        <v>138</v>
      </c>
      <c r="W1281" s="8">
        <f t="shared" si="276"/>
        <v>138</v>
      </c>
      <c r="X1281" t="str">
        <f t="shared" si="277"/>
        <v>Diabetes</v>
      </c>
      <c r="Y1281" t="s">
        <v>22</v>
      </c>
      <c r="Z1281" t="s">
        <v>22</v>
      </c>
      <c r="AA1281" t="s">
        <v>28</v>
      </c>
      <c r="AB1281" s="3" t="s">
        <v>1095</v>
      </c>
      <c r="AC1281">
        <v>159</v>
      </c>
      <c r="AD1281" s="3" t="str">
        <f t="shared" si="278"/>
        <v>159</v>
      </c>
      <c r="AE1281">
        <v>101</v>
      </c>
      <c r="AF1281" s="3" t="str">
        <f t="shared" si="279"/>
        <v>101</v>
      </c>
      <c r="AG1281" t="s">
        <v>38</v>
      </c>
      <c r="AH1281" s="3">
        <v>17.855</v>
      </c>
      <c r="AI1281" s="3">
        <f t="shared" si="280"/>
        <v>17.855</v>
      </c>
      <c r="AJ1281" t="s">
        <v>26</v>
      </c>
      <c r="AK1281" t="str">
        <f>PROPER(Table1[[#This Row],[CVD Risk Level]])</f>
        <v>Intermediary</v>
      </c>
    </row>
    <row r="1282" spans="1:37" x14ac:dyDescent="0.3">
      <c r="A1282" t="s">
        <v>31</v>
      </c>
      <c r="B1282">
        <v>63</v>
      </c>
      <c r="C1282" s="8">
        <f t="shared" si="269"/>
        <v>63</v>
      </c>
      <c r="D1282" s="5">
        <v>55.338999999999999</v>
      </c>
      <c r="E1282" s="8">
        <f t="shared" si="270"/>
        <v>55.338999999999999</v>
      </c>
      <c r="G1282" s="3">
        <f t="shared" si="271"/>
        <v>1.4909979074340389</v>
      </c>
      <c r="H1282">
        <v>24.893000000000001</v>
      </c>
      <c r="I1282" s="5">
        <f t="shared" ref="I1282:I1345" si="281" xml:space="preserve"> IF(H1282="",E1282 / (G1282^2),H1282)</f>
        <v>24.893000000000001</v>
      </c>
      <c r="J1282" s="16" t="str">
        <f t="shared" si="272"/>
        <v>Normal</v>
      </c>
      <c r="K1282">
        <v>103.179</v>
      </c>
      <c r="L1282">
        <v>0.59199999999999997</v>
      </c>
      <c r="M1282" s="11">
        <f t="shared" ref="M1282:M1345" si="282">IF(L1282="",K1282/(G1282*100),L1282)</f>
        <v>0.59199999999999997</v>
      </c>
      <c r="N1282" s="5">
        <f t="shared" si="273"/>
        <v>103.179</v>
      </c>
      <c r="O1282">
        <v>252</v>
      </c>
      <c r="P1282">
        <v>42</v>
      </c>
      <c r="Q1282" s="8">
        <f t="shared" si="274"/>
        <v>42</v>
      </c>
      <c r="R1282" s="8">
        <v>180</v>
      </c>
      <c r="S1282" s="8">
        <f t="shared" si="275"/>
        <v>180</v>
      </c>
      <c r="T1282" s="8">
        <f>(Table1[[#This Row],[Total Cholesterol (mg/dL)]]+Table1[[#This Row],[HDL (mg/dL)2]]+Table1[[#This Row],[Estimated LDL (mg/dL)2]])*5</f>
        <v>2370</v>
      </c>
      <c r="U1282" s="8">
        <f>IF(O1282="",Table1[[#This Row],[Estimated LDL (mg/dL)2]]+Table1[[#This Row],[HDL (mg/dL)2]]+(Table1[[#This Row],[Triglycerides]]/5),O1282)</f>
        <v>252</v>
      </c>
      <c r="V1282">
        <v>147</v>
      </c>
      <c r="W1282" s="8">
        <f t="shared" si="276"/>
        <v>147</v>
      </c>
      <c r="X1282" t="str">
        <f t="shared" si="277"/>
        <v>Diabetes</v>
      </c>
      <c r="Y1282" t="s">
        <v>22</v>
      </c>
      <c r="Z1282" t="s">
        <v>22</v>
      </c>
      <c r="AA1282" t="s">
        <v>24</v>
      </c>
      <c r="AB1282" s="3" t="s">
        <v>656</v>
      </c>
      <c r="AC1282">
        <v>101</v>
      </c>
      <c r="AD1282" s="3" t="str">
        <f t="shared" si="278"/>
        <v>101</v>
      </c>
      <c r="AE1282">
        <v>77</v>
      </c>
      <c r="AF1282" s="3" t="str">
        <f t="shared" si="279"/>
        <v>77</v>
      </c>
      <c r="AG1282" t="s">
        <v>33</v>
      </c>
      <c r="AH1282" s="3">
        <v>15.069000000000001</v>
      </c>
      <c r="AI1282" s="3">
        <f t="shared" si="280"/>
        <v>15.069000000000001</v>
      </c>
      <c r="AJ1282" t="s">
        <v>26</v>
      </c>
      <c r="AK1282" t="str">
        <f>PROPER(Table1[[#This Row],[CVD Risk Level]])</f>
        <v>Intermediary</v>
      </c>
    </row>
    <row r="1283" spans="1:37" x14ac:dyDescent="0.3">
      <c r="A1283" t="s">
        <v>20</v>
      </c>
      <c r="B1283">
        <v>38</v>
      </c>
      <c r="C1283" s="8">
        <f t="shared" ref="C1283:C1346" si="283">IF(B1283="",AVERAGE($B$2:$B$1530),B1283)</f>
        <v>38</v>
      </c>
      <c r="D1283" s="5">
        <v>107.316</v>
      </c>
      <c r="E1283" s="8">
        <f t="shared" ref="E1283:E1346" si="284">IF(D1283="", H1283*(F1283^2),D1283)</f>
        <v>107.316</v>
      </c>
      <c r="F1283">
        <v>1.9890000000000001</v>
      </c>
      <c r="G1283" s="3">
        <f t="shared" ref="G1283:G1346" si="285">IF(F1283="", SQRT(E1283 / H1283),F1283)</f>
        <v>1.9890000000000001</v>
      </c>
      <c r="H1283">
        <v>20.888000000000002</v>
      </c>
      <c r="I1283" s="5">
        <f t="shared" si="281"/>
        <v>20.888000000000002</v>
      </c>
      <c r="J1283" s="16" t="str">
        <f t="shared" ref="J1283:J1346" si="286">IF(I1283&lt;18.5,"Underweight",IF(I1283&lt;25,"Normal",IF(I1283&lt;30,"Overweight","Obese")))</f>
        <v>Normal</v>
      </c>
      <c r="K1283">
        <v>113.22</v>
      </c>
      <c r="L1283">
        <v>0.56899999999999995</v>
      </c>
      <c r="M1283" s="11">
        <f t="shared" si="282"/>
        <v>0.56899999999999995</v>
      </c>
      <c r="N1283" s="5">
        <f t="shared" ref="N1283:N1346" si="287">IF(K1283="",M1283*(G1283*100),K1283)</f>
        <v>113.22</v>
      </c>
      <c r="O1283">
        <v>218</v>
      </c>
      <c r="P1283">
        <v>52</v>
      </c>
      <c r="Q1283" s="8">
        <f t="shared" ref="Q1283:Q1346" si="288">IF(P1283="",AVERAGE($P$2:$P$1530),P1283)</f>
        <v>52</v>
      </c>
      <c r="R1283" s="8">
        <v>136</v>
      </c>
      <c r="S1283" s="8">
        <f t="shared" ref="S1283:S1346" si="289">IF(R1283&lt;=0,MEDIAN($R$2:$R$1530),R1283)</f>
        <v>136</v>
      </c>
      <c r="T1283" s="8">
        <f>(Table1[[#This Row],[Total Cholesterol (mg/dL)]]+Table1[[#This Row],[HDL (mg/dL)2]]+Table1[[#This Row],[Estimated LDL (mg/dL)2]])*5</f>
        <v>2030</v>
      </c>
      <c r="U1283" s="8">
        <f>IF(O1283="",Table1[[#This Row],[Estimated LDL (mg/dL)2]]+Table1[[#This Row],[HDL (mg/dL)2]]+(Table1[[#This Row],[Triglycerides]]/5),O1283)</f>
        <v>218</v>
      </c>
      <c r="V1283">
        <v>72</v>
      </c>
      <c r="W1283" s="8">
        <f t="shared" ref="W1283:W1346" si="290">IF(V1283="",AVERAGE($V$2:$V$1530),V1283)</f>
        <v>72</v>
      </c>
      <c r="X1283" t="str">
        <f t="shared" ref="X1283:X1346" si="291">IF(W1283&lt;100,"Normal",IF(W1283&lt;126,"Prediabetes","Diabetes"))</f>
        <v>Normal</v>
      </c>
      <c r="Y1283" t="s">
        <v>22</v>
      </c>
      <c r="Z1283" t="s">
        <v>22</v>
      </c>
      <c r="AA1283" t="s">
        <v>24</v>
      </c>
      <c r="AB1283" s="3" t="s">
        <v>1096</v>
      </c>
      <c r="AC1283">
        <v>103</v>
      </c>
      <c r="AD1283" s="3" t="str">
        <f t="shared" ref="AD1283:AD1346" si="292">LEFT(AB1283,FIND("/",AB1283)-1)</f>
        <v>103</v>
      </c>
      <c r="AE1283">
        <v>71</v>
      </c>
      <c r="AF1283" s="3" t="str">
        <f t="shared" ref="AF1283:AF1346" si="293">RIGHT(AB1283,LEN(AB1283)-FIND("/",AB1283))</f>
        <v>71</v>
      </c>
      <c r="AG1283" t="s">
        <v>33</v>
      </c>
      <c r="AH1283" s="3">
        <v>13.688000000000001</v>
      </c>
      <c r="AI1283" s="3">
        <f t="shared" ref="AI1283:AI1346" si="294">IF(AH1283="",AVERAGE($AH$2:$AH$1530),AH1283)</f>
        <v>13.688000000000001</v>
      </c>
      <c r="AJ1283" t="s">
        <v>30</v>
      </c>
      <c r="AK1283" t="str">
        <f>PROPER(Table1[[#This Row],[CVD Risk Level]])</f>
        <v>High</v>
      </c>
    </row>
    <row r="1284" spans="1:37" x14ac:dyDescent="0.3">
      <c r="A1284" t="s">
        <v>20</v>
      </c>
      <c r="B1284">
        <v>76</v>
      </c>
      <c r="C1284" s="8">
        <f t="shared" si="283"/>
        <v>76</v>
      </c>
      <c r="D1284" s="5">
        <v>119.517</v>
      </c>
      <c r="E1284" s="8">
        <f t="shared" si="284"/>
        <v>119.517</v>
      </c>
      <c r="F1284">
        <v>1.895</v>
      </c>
      <c r="G1284" s="3">
        <f t="shared" si="285"/>
        <v>1.895</v>
      </c>
      <c r="H1284">
        <v>22.664999999999999</v>
      </c>
      <c r="I1284" s="5">
        <f t="shared" si="281"/>
        <v>22.664999999999999</v>
      </c>
      <c r="J1284" s="16" t="str">
        <f t="shared" si="286"/>
        <v>Normal</v>
      </c>
      <c r="K1284">
        <v>104.21</v>
      </c>
      <c r="L1284">
        <v>0.55000000000000004</v>
      </c>
      <c r="M1284" s="11">
        <f t="shared" si="282"/>
        <v>0.55000000000000004</v>
      </c>
      <c r="N1284" s="5">
        <f t="shared" si="287"/>
        <v>104.21</v>
      </c>
      <c r="O1284">
        <v>230</v>
      </c>
      <c r="P1284">
        <v>41</v>
      </c>
      <c r="Q1284" s="8">
        <f t="shared" si="288"/>
        <v>41</v>
      </c>
      <c r="R1284" s="8">
        <v>159</v>
      </c>
      <c r="S1284" s="8">
        <f t="shared" si="289"/>
        <v>159</v>
      </c>
      <c r="T1284" s="8">
        <f>(Table1[[#This Row],[Total Cholesterol (mg/dL)]]+Table1[[#This Row],[HDL (mg/dL)2]]+Table1[[#This Row],[Estimated LDL (mg/dL)2]])*5</f>
        <v>2150</v>
      </c>
      <c r="U1284" s="8">
        <f>IF(O1284="",Table1[[#This Row],[Estimated LDL (mg/dL)2]]+Table1[[#This Row],[HDL (mg/dL)2]]+(Table1[[#This Row],[Triglycerides]]/5),O1284)</f>
        <v>230</v>
      </c>
      <c r="V1284">
        <v>198</v>
      </c>
      <c r="W1284" s="8">
        <f t="shared" si="290"/>
        <v>198</v>
      </c>
      <c r="X1284" t="str">
        <f t="shared" si="291"/>
        <v>Diabetes</v>
      </c>
      <c r="Y1284" t="s">
        <v>22</v>
      </c>
      <c r="Z1284" t="s">
        <v>23</v>
      </c>
      <c r="AA1284" t="s">
        <v>28</v>
      </c>
      <c r="AB1284" s="3" t="s">
        <v>1097</v>
      </c>
      <c r="AC1284">
        <v>157</v>
      </c>
      <c r="AD1284" s="3" t="str">
        <f t="shared" si="292"/>
        <v>157</v>
      </c>
      <c r="AE1284">
        <v>67</v>
      </c>
      <c r="AF1284" s="3" t="str">
        <f t="shared" si="293"/>
        <v>67</v>
      </c>
      <c r="AG1284" t="s">
        <v>38</v>
      </c>
      <c r="AH1284" s="3">
        <v>18.983000000000001</v>
      </c>
      <c r="AI1284" s="3">
        <f t="shared" si="294"/>
        <v>18.983000000000001</v>
      </c>
      <c r="AJ1284" t="s">
        <v>30</v>
      </c>
      <c r="AK1284" t="str">
        <f>PROPER(Table1[[#This Row],[CVD Risk Level]])</f>
        <v>High</v>
      </c>
    </row>
    <row r="1285" spans="1:37" x14ac:dyDescent="0.3">
      <c r="A1285" t="s">
        <v>20</v>
      </c>
      <c r="B1285">
        <v>39</v>
      </c>
      <c r="C1285" s="8">
        <f t="shared" si="283"/>
        <v>39</v>
      </c>
      <c r="D1285" s="5">
        <v>86.203999999999994</v>
      </c>
      <c r="E1285" s="8">
        <f t="shared" si="284"/>
        <v>86.203999999999994</v>
      </c>
      <c r="F1285">
        <v>1.909</v>
      </c>
      <c r="G1285" s="3">
        <f t="shared" si="285"/>
        <v>1.909</v>
      </c>
      <c r="I1285" s="5">
        <f t="shared" si="281"/>
        <v>23.654597436366732</v>
      </c>
      <c r="J1285" s="16" t="str">
        <f t="shared" si="286"/>
        <v>Normal</v>
      </c>
      <c r="K1285">
        <v>112.36</v>
      </c>
      <c r="L1285">
        <v>0.58899999999999997</v>
      </c>
      <c r="M1285" s="11">
        <f t="shared" si="282"/>
        <v>0.58899999999999997</v>
      </c>
      <c r="N1285" s="5">
        <f t="shared" si="287"/>
        <v>112.36</v>
      </c>
      <c r="O1285">
        <v>127</v>
      </c>
      <c r="P1285">
        <v>38</v>
      </c>
      <c r="Q1285" s="8">
        <f t="shared" si="288"/>
        <v>38</v>
      </c>
      <c r="R1285" s="8">
        <v>59</v>
      </c>
      <c r="S1285" s="8">
        <f t="shared" si="289"/>
        <v>59</v>
      </c>
      <c r="T1285" s="8">
        <f>(Table1[[#This Row],[Total Cholesterol (mg/dL)]]+Table1[[#This Row],[HDL (mg/dL)2]]+Table1[[#This Row],[Estimated LDL (mg/dL)2]])*5</f>
        <v>1120</v>
      </c>
      <c r="U1285" s="8">
        <f>IF(O1285="",Table1[[#This Row],[Estimated LDL (mg/dL)2]]+Table1[[#This Row],[HDL (mg/dL)2]]+(Table1[[#This Row],[Triglycerides]]/5),O1285)</f>
        <v>127</v>
      </c>
      <c r="V1285">
        <v>85</v>
      </c>
      <c r="W1285" s="8">
        <f t="shared" si="290"/>
        <v>85</v>
      </c>
      <c r="X1285" t="str">
        <f t="shared" si="291"/>
        <v>Normal</v>
      </c>
      <c r="Y1285" t="s">
        <v>22</v>
      </c>
      <c r="Z1285" t="s">
        <v>22</v>
      </c>
      <c r="AA1285" t="s">
        <v>24</v>
      </c>
      <c r="AB1285" s="3" t="s">
        <v>1098</v>
      </c>
      <c r="AC1285">
        <v>141</v>
      </c>
      <c r="AD1285" s="3" t="str">
        <f t="shared" si="292"/>
        <v>141</v>
      </c>
      <c r="AE1285">
        <v>118</v>
      </c>
      <c r="AF1285" s="3" t="str">
        <f t="shared" si="293"/>
        <v>118</v>
      </c>
      <c r="AG1285" t="s">
        <v>38</v>
      </c>
      <c r="AH1285" s="3">
        <v>16.785</v>
      </c>
      <c r="AI1285" s="3">
        <f t="shared" si="294"/>
        <v>16.785</v>
      </c>
      <c r="AJ1285" t="s">
        <v>30</v>
      </c>
      <c r="AK1285" t="str">
        <f>PROPER(Table1[[#This Row],[CVD Risk Level]])</f>
        <v>High</v>
      </c>
    </row>
    <row r="1286" spans="1:37" x14ac:dyDescent="0.3">
      <c r="A1286" t="s">
        <v>20</v>
      </c>
      <c r="B1286">
        <v>42</v>
      </c>
      <c r="C1286" s="8">
        <f t="shared" si="283"/>
        <v>42</v>
      </c>
      <c r="D1286" s="5">
        <v>101.874</v>
      </c>
      <c r="E1286" s="8">
        <f t="shared" si="284"/>
        <v>101.874</v>
      </c>
      <c r="G1286" s="3">
        <f t="shared" si="285"/>
        <v>2.3461292494563311</v>
      </c>
      <c r="H1286">
        <v>18.507999999999999</v>
      </c>
      <c r="I1286" s="5">
        <f t="shared" si="281"/>
        <v>18.507999999999999</v>
      </c>
      <c r="J1286" s="16" t="str">
        <f t="shared" si="286"/>
        <v>Normal</v>
      </c>
      <c r="K1286">
        <v>93.102999999999994</v>
      </c>
      <c r="L1286">
        <v>0.496</v>
      </c>
      <c r="M1286" s="11">
        <f t="shared" si="282"/>
        <v>0.496</v>
      </c>
      <c r="N1286" s="5">
        <f t="shared" si="287"/>
        <v>93.102999999999994</v>
      </c>
      <c r="O1286">
        <v>138</v>
      </c>
      <c r="P1286">
        <v>51</v>
      </c>
      <c r="Q1286" s="8">
        <f t="shared" si="288"/>
        <v>51</v>
      </c>
      <c r="R1286" s="8">
        <v>57</v>
      </c>
      <c r="S1286" s="8">
        <f t="shared" si="289"/>
        <v>57</v>
      </c>
      <c r="T1286" s="8">
        <f>(Table1[[#This Row],[Total Cholesterol (mg/dL)]]+Table1[[#This Row],[HDL (mg/dL)2]]+Table1[[#This Row],[Estimated LDL (mg/dL)2]])*5</f>
        <v>1230</v>
      </c>
      <c r="U1286" s="8">
        <f>IF(O1286="",Table1[[#This Row],[Estimated LDL (mg/dL)2]]+Table1[[#This Row],[HDL (mg/dL)2]]+(Table1[[#This Row],[Triglycerides]]/5),O1286)</f>
        <v>138</v>
      </c>
      <c r="V1286">
        <v>180</v>
      </c>
      <c r="W1286" s="8">
        <f t="shared" si="290"/>
        <v>180</v>
      </c>
      <c r="X1286" t="str">
        <f t="shared" si="291"/>
        <v>Diabetes</v>
      </c>
      <c r="Y1286" t="s">
        <v>23</v>
      </c>
      <c r="Z1286" t="s">
        <v>23</v>
      </c>
      <c r="AA1286" t="s">
        <v>28</v>
      </c>
      <c r="AB1286" s="3" t="s">
        <v>1099</v>
      </c>
      <c r="AD1286" s="3" t="str">
        <f t="shared" si="292"/>
        <v>94</v>
      </c>
      <c r="AE1286">
        <v>67</v>
      </c>
      <c r="AF1286" s="3" t="str">
        <f t="shared" si="293"/>
        <v>67</v>
      </c>
      <c r="AG1286" t="s">
        <v>33</v>
      </c>
      <c r="AH1286" s="3">
        <v>13.162000000000001</v>
      </c>
      <c r="AI1286" s="3">
        <f t="shared" si="294"/>
        <v>13.162000000000001</v>
      </c>
      <c r="AJ1286" t="s">
        <v>26</v>
      </c>
      <c r="AK1286" t="str">
        <f>PROPER(Table1[[#This Row],[CVD Risk Level]])</f>
        <v>Intermediary</v>
      </c>
    </row>
    <row r="1287" spans="1:37" x14ac:dyDescent="0.3">
      <c r="A1287" t="s">
        <v>20</v>
      </c>
      <c r="B1287">
        <v>26</v>
      </c>
      <c r="C1287" s="8">
        <f t="shared" si="283"/>
        <v>26</v>
      </c>
      <c r="D1287" s="5">
        <v>85.659000000000006</v>
      </c>
      <c r="E1287" s="8">
        <f t="shared" si="284"/>
        <v>85.659000000000006</v>
      </c>
      <c r="F1287">
        <v>1.8029999999999999</v>
      </c>
      <c r="G1287" s="3">
        <f t="shared" si="285"/>
        <v>1.8029999999999999</v>
      </c>
      <c r="H1287">
        <v>32.454000000000001</v>
      </c>
      <c r="I1287" s="5">
        <f t="shared" si="281"/>
        <v>32.454000000000001</v>
      </c>
      <c r="J1287" s="16" t="str">
        <f t="shared" si="286"/>
        <v>Obese</v>
      </c>
      <c r="K1287">
        <v>107.746</v>
      </c>
      <c r="L1287">
        <v>0.59799999999999998</v>
      </c>
      <c r="M1287" s="11">
        <f t="shared" si="282"/>
        <v>0.59799999999999998</v>
      </c>
      <c r="N1287" s="5">
        <f t="shared" si="287"/>
        <v>107.746</v>
      </c>
      <c r="O1287">
        <v>213</v>
      </c>
      <c r="P1287">
        <v>66</v>
      </c>
      <c r="Q1287" s="8">
        <f t="shared" si="288"/>
        <v>66</v>
      </c>
      <c r="R1287" s="8">
        <v>117</v>
      </c>
      <c r="S1287" s="8">
        <f t="shared" si="289"/>
        <v>117</v>
      </c>
      <c r="T1287" s="8">
        <f>(Table1[[#This Row],[Total Cholesterol (mg/dL)]]+Table1[[#This Row],[HDL (mg/dL)2]]+Table1[[#This Row],[Estimated LDL (mg/dL)2]])*5</f>
        <v>1980</v>
      </c>
      <c r="U1287" s="8">
        <f>IF(O1287="",Table1[[#This Row],[Estimated LDL (mg/dL)2]]+Table1[[#This Row],[HDL (mg/dL)2]]+(Table1[[#This Row],[Triglycerides]]/5),O1287)</f>
        <v>213</v>
      </c>
      <c r="V1287">
        <v>133</v>
      </c>
      <c r="W1287" s="8">
        <f t="shared" si="290"/>
        <v>133</v>
      </c>
      <c r="X1287" t="str">
        <f t="shared" si="291"/>
        <v>Diabetes</v>
      </c>
      <c r="Y1287" t="s">
        <v>22</v>
      </c>
      <c r="Z1287" t="s">
        <v>23</v>
      </c>
      <c r="AA1287" t="s">
        <v>24</v>
      </c>
      <c r="AB1287" s="3" t="s">
        <v>1100</v>
      </c>
      <c r="AC1287">
        <v>156</v>
      </c>
      <c r="AD1287" s="3" t="str">
        <f t="shared" si="292"/>
        <v>156</v>
      </c>
      <c r="AE1287">
        <v>118</v>
      </c>
      <c r="AF1287" s="3" t="str">
        <f t="shared" si="293"/>
        <v>118</v>
      </c>
      <c r="AG1287" t="s">
        <v>38</v>
      </c>
      <c r="AH1287" s="3">
        <v>20.550999999999998</v>
      </c>
      <c r="AI1287" s="3">
        <f t="shared" si="294"/>
        <v>20.550999999999998</v>
      </c>
      <c r="AJ1287" t="s">
        <v>26</v>
      </c>
      <c r="AK1287" t="str">
        <f>PROPER(Table1[[#This Row],[CVD Risk Level]])</f>
        <v>Intermediary</v>
      </c>
    </row>
    <row r="1288" spans="1:37" x14ac:dyDescent="0.3">
      <c r="A1288" t="s">
        <v>31</v>
      </c>
      <c r="B1288">
        <v>26</v>
      </c>
      <c r="C1288" s="8">
        <f t="shared" si="283"/>
        <v>26</v>
      </c>
      <c r="D1288" s="5">
        <v>114.55500000000001</v>
      </c>
      <c r="E1288" s="8">
        <f t="shared" si="284"/>
        <v>114.55500000000001</v>
      </c>
      <c r="F1288">
        <v>1.8759999999999999</v>
      </c>
      <c r="G1288" s="3">
        <f t="shared" si="285"/>
        <v>1.8759999999999999</v>
      </c>
      <c r="H1288">
        <v>35.426000000000002</v>
      </c>
      <c r="I1288" s="5">
        <f t="shared" si="281"/>
        <v>35.426000000000002</v>
      </c>
      <c r="J1288" s="16" t="str">
        <f t="shared" si="286"/>
        <v>Obese</v>
      </c>
      <c r="K1288">
        <v>97.783000000000001</v>
      </c>
      <c r="L1288">
        <v>0.52100000000000002</v>
      </c>
      <c r="M1288" s="11">
        <f t="shared" si="282"/>
        <v>0.52100000000000002</v>
      </c>
      <c r="N1288" s="5">
        <f t="shared" si="287"/>
        <v>97.783000000000001</v>
      </c>
      <c r="O1288">
        <v>224</v>
      </c>
      <c r="P1288">
        <v>54</v>
      </c>
      <c r="Q1288" s="8">
        <f t="shared" si="288"/>
        <v>54</v>
      </c>
      <c r="S1288" s="8">
        <f t="shared" si="289"/>
        <v>109</v>
      </c>
      <c r="T1288" s="8">
        <f>(Table1[[#This Row],[Total Cholesterol (mg/dL)]]+Table1[[#This Row],[HDL (mg/dL)2]]+Table1[[#This Row],[Estimated LDL (mg/dL)2]])*5</f>
        <v>1935</v>
      </c>
      <c r="U1288" s="8">
        <f>IF(O1288="",Table1[[#This Row],[Estimated LDL (mg/dL)2]]+Table1[[#This Row],[HDL (mg/dL)2]]+(Table1[[#This Row],[Triglycerides]]/5),O1288)</f>
        <v>224</v>
      </c>
      <c r="V1288">
        <v>125</v>
      </c>
      <c r="W1288" s="8">
        <f t="shared" si="290"/>
        <v>125</v>
      </c>
      <c r="X1288" t="str">
        <f t="shared" si="291"/>
        <v>Prediabetes</v>
      </c>
      <c r="Y1288" t="s">
        <v>22</v>
      </c>
      <c r="Z1288" t="s">
        <v>23</v>
      </c>
      <c r="AA1288" t="s">
        <v>37</v>
      </c>
      <c r="AB1288" s="3" t="s">
        <v>1101</v>
      </c>
      <c r="AC1288">
        <v>101</v>
      </c>
      <c r="AD1288" s="3" t="str">
        <f t="shared" si="292"/>
        <v>101</v>
      </c>
      <c r="AE1288">
        <v>60</v>
      </c>
      <c r="AF1288" s="3" t="str">
        <f t="shared" si="293"/>
        <v>60</v>
      </c>
      <c r="AG1288" t="s">
        <v>33</v>
      </c>
      <c r="AH1288" s="3">
        <v>18.614999999999998</v>
      </c>
      <c r="AI1288" s="3">
        <f t="shared" si="294"/>
        <v>18.614999999999998</v>
      </c>
      <c r="AJ1288" t="s">
        <v>26</v>
      </c>
      <c r="AK1288" t="str">
        <f>PROPER(Table1[[#This Row],[CVD Risk Level]])</f>
        <v>Intermediary</v>
      </c>
    </row>
    <row r="1289" spans="1:37" x14ac:dyDescent="0.3">
      <c r="A1289" t="s">
        <v>20</v>
      </c>
      <c r="B1289">
        <v>57</v>
      </c>
      <c r="C1289" s="8">
        <f t="shared" si="283"/>
        <v>57</v>
      </c>
      <c r="D1289" s="5">
        <v>94.534000000000006</v>
      </c>
      <c r="E1289" s="8">
        <f t="shared" si="284"/>
        <v>94.534000000000006</v>
      </c>
      <c r="F1289">
        <v>1.5129999999999999</v>
      </c>
      <c r="G1289" s="3">
        <f t="shared" si="285"/>
        <v>1.5129999999999999</v>
      </c>
      <c r="H1289">
        <v>25.206</v>
      </c>
      <c r="I1289" s="5">
        <f t="shared" si="281"/>
        <v>25.206</v>
      </c>
      <c r="J1289" s="16" t="str">
        <f t="shared" si="286"/>
        <v>Overweight</v>
      </c>
      <c r="K1289">
        <v>93.727000000000004</v>
      </c>
      <c r="L1289">
        <v>0.61899999999999999</v>
      </c>
      <c r="M1289" s="11">
        <f t="shared" si="282"/>
        <v>0.61899999999999999</v>
      </c>
      <c r="N1289" s="5">
        <f t="shared" si="287"/>
        <v>93.727000000000004</v>
      </c>
      <c r="O1289">
        <v>127</v>
      </c>
      <c r="P1289">
        <v>88</v>
      </c>
      <c r="Q1289" s="8">
        <f t="shared" si="288"/>
        <v>88</v>
      </c>
      <c r="R1289" s="8">
        <v>9</v>
      </c>
      <c r="S1289" s="8">
        <f t="shared" si="289"/>
        <v>9</v>
      </c>
      <c r="T1289" s="8">
        <f>(Table1[[#This Row],[Total Cholesterol (mg/dL)]]+Table1[[#This Row],[HDL (mg/dL)2]]+Table1[[#This Row],[Estimated LDL (mg/dL)2]])*5</f>
        <v>1120</v>
      </c>
      <c r="U1289" s="8">
        <f>IF(O1289="",Table1[[#This Row],[Estimated LDL (mg/dL)2]]+Table1[[#This Row],[HDL (mg/dL)2]]+(Table1[[#This Row],[Triglycerides]]/5),O1289)</f>
        <v>127</v>
      </c>
      <c r="V1289">
        <v>112</v>
      </c>
      <c r="W1289" s="8">
        <f t="shared" si="290"/>
        <v>112</v>
      </c>
      <c r="X1289" t="str">
        <f t="shared" si="291"/>
        <v>Prediabetes</v>
      </c>
      <c r="Y1289" t="s">
        <v>22</v>
      </c>
      <c r="Z1289" t="s">
        <v>22</v>
      </c>
      <c r="AA1289" t="s">
        <v>37</v>
      </c>
      <c r="AB1289" s="3" t="s">
        <v>1102</v>
      </c>
      <c r="AC1289">
        <v>138</v>
      </c>
      <c r="AD1289" s="3" t="str">
        <f t="shared" si="292"/>
        <v>138</v>
      </c>
      <c r="AE1289">
        <v>65</v>
      </c>
      <c r="AF1289" s="3" t="str">
        <f t="shared" si="293"/>
        <v>65</v>
      </c>
      <c r="AG1289" t="s">
        <v>29</v>
      </c>
      <c r="AH1289" s="3">
        <v>14.481</v>
      </c>
      <c r="AI1289" s="3">
        <f t="shared" si="294"/>
        <v>14.481</v>
      </c>
      <c r="AJ1289" t="s">
        <v>26</v>
      </c>
      <c r="AK1289" t="str">
        <f>PROPER(Table1[[#This Row],[CVD Risk Level]])</f>
        <v>Intermediary</v>
      </c>
    </row>
    <row r="1290" spans="1:37" x14ac:dyDescent="0.3">
      <c r="A1290" t="s">
        <v>20</v>
      </c>
      <c r="B1290">
        <v>52</v>
      </c>
      <c r="C1290" s="8">
        <f t="shared" si="283"/>
        <v>52</v>
      </c>
      <c r="D1290" s="5">
        <v>88.475999999999999</v>
      </c>
      <c r="E1290" s="8">
        <f t="shared" si="284"/>
        <v>88.475999999999999</v>
      </c>
      <c r="F1290">
        <v>1.9430000000000001</v>
      </c>
      <c r="G1290" s="3">
        <f t="shared" si="285"/>
        <v>1.9430000000000001</v>
      </c>
      <c r="H1290">
        <v>30.212</v>
      </c>
      <c r="I1290" s="5">
        <f t="shared" si="281"/>
        <v>30.212</v>
      </c>
      <c r="J1290" s="16" t="str">
        <f t="shared" si="286"/>
        <v>Obese</v>
      </c>
      <c r="K1290">
        <v>81.132000000000005</v>
      </c>
      <c r="L1290">
        <v>0.41799999999999998</v>
      </c>
      <c r="M1290" s="11">
        <f t="shared" si="282"/>
        <v>0.41799999999999998</v>
      </c>
      <c r="N1290" s="5">
        <f t="shared" si="287"/>
        <v>81.132000000000005</v>
      </c>
      <c r="O1290">
        <v>257</v>
      </c>
      <c r="P1290">
        <v>58</v>
      </c>
      <c r="Q1290" s="8">
        <f t="shared" si="288"/>
        <v>58</v>
      </c>
      <c r="R1290" s="8">
        <v>169</v>
      </c>
      <c r="S1290" s="8">
        <f t="shared" si="289"/>
        <v>169</v>
      </c>
      <c r="T1290" s="8">
        <f>(Table1[[#This Row],[Total Cholesterol (mg/dL)]]+Table1[[#This Row],[HDL (mg/dL)2]]+Table1[[#This Row],[Estimated LDL (mg/dL)2]])*5</f>
        <v>2420</v>
      </c>
      <c r="U1290" s="8">
        <f>IF(O1290="",Table1[[#This Row],[Estimated LDL (mg/dL)2]]+Table1[[#This Row],[HDL (mg/dL)2]]+(Table1[[#This Row],[Triglycerides]]/5),O1290)</f>
        <v>257</v>
      </c>
      <c r="V1290">
        <v>103</v>
      </c>
      <c r="W1290" s="8">
        <f t="shared" si="290"/>
        <v>103</v>
      </c>
      <c r="X1290" t="str">
        <f t="shared" si="291"/>
        <v>Prediabetes</v>
      </c>
      <c r="Y1290" t="s">
        <v>22</v>
      </c>
      <c r="Z1290" t="s">
        <v>23</v>
      </c>
      <c r="AA1290" t="s">
        <v>37</v>
      </c>
      <c r="AB1290" s="3" t="s">
        <v>70</v>
      </c>
      <c r="AC1290">
        <v>99</v>
      </c>
      <c r="AD1290" s="3" t="str">
        <f t="shared" si="292"/>
        <v>99</v>
      </c>
      <c r="AE1290">
        <v>99</v>
      </c>
      <c r="AF1290" s="3" t="str">
        <f t="shared" si="293"/>
        <v>99</v>
      </c>
      <c r="AG1290" t="s">
        <v>38</v>
      </c>
      <c r="AH1290" s="3">
        <v>18.132000000000001</v>
      </c>
      <c r="AI1290" s="3">
        <f t="shared" si="294"/>
        <v>18.132000000000001</v>
      </c>
      <c r="AJ1290" t="s">
        <v>52</v>
      </c>
      <c r="AK1290" t="str">
        <f>PROPER(Table1[[#This Row],[CVD Risk Level]])</f>
        <v>Low</v>
      </c>
    </row>
    <row r="1291" spans="1:37" x14ac:dyDescent="0.3">
      <c r="A1291" t="s">
        <v>31</v>
      </c>
      <c r="B1291">
        <v>65</v>
      </c>
      <c r="C1291" s="8">
        <f t="shared" si="283"/>
        <v>65</v>
      </c>
      <c r="D1291" s="5">
        <v>73.667000000000002</v>
      </c>
      <c r="E1291" s="8">
        <f t="shared" si="284"/>
        <v>73.667000000000002</v>
      </c>
      <c r="F1291">
        <v>1.946</v>
      </c>
      <c r="G1291" s="3">
        <f t="shared" si="285"/>
        <v>1.946</v>
      </c>
      <c r="H1291">
        <v>29.553999999999998</v>
      </c>
      <c r="I1291" s="5">
        <f t="shared" si="281"/>
        <v>29.553999999999998</v>
      </c>
      <c r="J1291" s="16" t="str">
        <f t="shared" si="286"/>
        <v>Overweight</v>
      </c>
      <c r="K1291">
        <v>100.702</v>
      </c>
      <c r="L1291">
        <v>0.51800000000000002</v>
      </c>
      <c r="M1291" s="11">
        <f t="shared" si="282"/>
        <v>0.51800000000000002</v>
      </c>
      <c r="N1291" s="5">
        <f t="shared" si="287"/>
        <v>100.702</v>
      </c>
      <c r="O1291">
        <v>132</v>
      </c>
      <c r="P1291">
        <v>38</v>
      </c>
      <c r="Q1291" s="8">
        <f t="shared" si="288"/>
        <v>38</v>
      </c>
      <c r="R1291" s="8">
        <v>64</v>
      </c>
      <c r="S1291" s="8">
        <f t="shared" si="289"/>
        <v>64</v>
      </c>
      <c r="T1291" s="8">
        <f>(Table1[[#This Row],[Total Cholesterol (mg/dL)]]+Table1[[#This Row],[HDL (mg/dL)2]]+Table1[[#This Row],[Estimated LDL (mg/dL)2]])*5</f>
        <v>1170</v>
      </c>
      <c r="U1291" s="8">
        <f>IF(O1291="",Table1[[#This Row],[Estimated LDL (mg/dL)2]]+Table1[[#This Row],[HDL (mg/dL)2]]+(Table1[[#This Row],[Triglycerides]]/5),O1291)</f>
        <v>132</v>
      </c>
      <c r="V1291">
        <v>148</v>
      </c>
      <c r="W1291" s="8">
        <f t="shared" si="290"/>
        <v>148</v>
      </c>
      <c r="X1291" t="str">
        <f t="shared" si="291"/>
        <v>Diabetes</v>
      </c>
      <c r="Y1291" t="s">
        <v>23</v>
      </c>
      <c r="Z1291" t="s">
        <v>23</v>
      </c>
      <c r="AA1291" t="s">
        <v>28</v>
      </c>
      <c r="AB1291" s="3" t="s">
        <v>1103</v>
      </c>
      <c r="AC1291">
        <v>136</v>
      </c>
      <c r="AD1291" s="3" t="str">
        <f t="shared" si="292"/>
        <v>136</v>
      </c>
      <c r="AE1291">
        <v>74</v>
      </c>
      <c r="AF1291" s="3" t="str">
        <f t="shared" si="293"/>
        <v>74</v>
      </c>
      <c r="AG1291" t="s">
        <v>29</v>
      </c>
      <c r="AH1291" s="3">
        <v>17.350999999999999</v>
      </c>
      <c r="AI1291" s="3">
        <f t="shared" si="294"/>
        <v>17.350999999999999</v>
      </c>
      <c r="AJ1291" t="s">
        <v>26</v>
      </c>
      <c r="AK1291" t="str">
        <f>PROPER(Table1[[#This Row],[CVD Risk Level]])</f>
        <v>Intermediary</v>
      </c>
    </row>
    <row r="1292" spans="1:37" x14ac:dyDescent="0.3">
      <c r="A1292" t="s">
        <v>31</v>
      </c>
      <c r="B1292">
        <v>58</v>
      </c>
      <c r="C1292" s="8">
        <f t="shared" si="283"/>
        <v>58</v>
      </c>
      <c r="D1292" s="5">
        <v>68.584000000000003</v>
      </c>
      <c r="E1292" s="8">
        <f t="shared" si="284"/>
        <v>68.584000000000003</v>
      </c>
      <c r="F1292">
        <v>1.7849999999999999</v>
      </c>
      <c r="G1292" s="3">
        <f t="shared" si="285"/>
        <v>1.7849999999999999</v>
      </c>
      <c r="H1292">
        <v>23.355</v>
      </c>
      <c r="I1292" s="5">
        <f t="shared" si="281"/>
        <v>23.355</v>
      </c>
      <c r="J1292" s="16" t="str">
        <f t="shared" si="286"/>
        <v>Normal</v>
      </c>
      <c r="K1292">
        <v>88.625</v>
      </c>
      <c r="L1292">
        <v>0.497</v>
      </c>
      <c r="M1292" s="11">
        <f t="shared" si="282"/>
        <v>0.497</v>
      </c>
      <c r="N1292" s="5">
        <f t="shared" si="287"/>
        <v>88.625</v>
      </c>
      <c r="O1292">
        <v>127</v>
      </c>
      <c r="P1292">
        <v>57</v>
      </c>
      <c r="Q1292" s="8">
        <f t="shared" si="288"/>
        <v>57</v>
      </c>
      <c r="R1292" s="8">
        <v>40</v>
      </c>
      <c r="S1292" s="8">
        <f t="shared" si="289"/>
        <v>40</v>
      </c>
      <c r="T1292" s="8">
        <f>(Table1[[#This Row],[Total Cholesterol (mg/dL)]]+Table1[[#This Row],[HDL (mg/dL)2]]+Table1[[#This Row],[Estimated LDL (mg/dL)2]])*5</f>
        <v>1120</v>
      </c>
      <c r="U1292" s="8">
        <f>IF(O1292="",Table1[[#This Row],[Estimated LDL (mg/dL)2]]+Table1[[#This Row],[HDL (mg/dL)2]]+(Table1[[#This Row],[Triglycerides]]/5),O1292)</f>
        <v>127</v>
      </c>
      <c r="V1292">
        <v>113</v>
      </c>
      <c r="W1292" s="8">
        <f t="shared" si="290"/>
        <v>113</v>
      </c>
      <c r="X1292" t="str">
        <f t="shared" si="291"/>
        <v>Prediabetes</v>
      </c>
      <c r="Y1292" t="s">
        <v>23</v>
      </c>
      <c r="Z1292" t="s">
        <v>23</v>
      </c>
      <c r="AA1292" t="s">
        <v>24</v>
      </c>
      <c r="AB1292" s="3" t="s">
        <v>1104</v>
      </c>
      <c r="AC1292">
        <v>143</v>
      </c>
      <c r="AD1292" s="3" t="str">
        <f t="shared" si="292"/>
        <v>143</v>
      </c>
      <c r="AE1292">
        <v>65</v>
      </c>
      <c r="AF1292" s="3" t="str">
        <f t="shared" si="293"/>
        <v>65</v>
      </c>
      <c r="AG1292" t="s">
        <v>38</v>
      </c>
      <c r="AH1292" s="3">
        <v>16.361000000000001</v>
      </c>
      <c r="AI1292" s="3">
        <f t="shared" si="294"/>
        <v>16.361000000000001</v>
      </c>
      <c r="AJ1292" t="s">
        <v>26</v>
      </c>
      <c r="AK1292" t="str">
        <f>PROPER(Table1[[#This Row],[CVD Risk Level]])</f>
        <v>Intermediary</v>
      </c>
    </row>
    <row r="1293" spans="1:37" x14ac:dyDescent="0.3">
      <c r="A1293" t="s">
        <v>31</v>
      </c>
      <c r="C1293" s="8">
        <f t="shared" si="283"/>
        <v>47.025499655410059</v>
      </c>
      <c r="D1293" s="5">
        <v>112.30200000000001</v>
      </c>
      <c r="E1293" s="8">
        <f t="shared" si="284"/>
        <v>112.30200000000001</v>
      </c>
      <c r="F1293">
        <v>1.8220000000000001</v>
      </c>
      <c r="G1293" s="3">
        <f t="shared" si="285"/>
        <v>1.8220000000000001</v>
      </c>
      <c r="H1293">
        <v>26.527999999999999</v>
      </c>
      <c r="I1293" s="5">
        <f t="shared" si="281"/>
        <v>26.527999999999999</v>
      </c>
      <c r="J1293" s="16" t="str">
        <f t="shared" si="286"/>
        <v>Overweight</v>
      </c>
      <c r="K1293">
        <v>79.536000000000001</v>
      </c>
      <c r="L1293">
        <v>0.436</v>
      </c>
      <c r="M1293" s="11">
        <f t="shared" si="282"/>
        <v>0.436</v>
      </c>
      <c r="N1293" s="5">
        <f t="shared" si="287"/>
        <v>79.536000000000001</v>
      </c>
      <c r="P1293">
        <v>75</v>
      </c>
      <c r="Q1293" s="8">
        <f t="shared" si="288"/>
        <v>75</v>
      </c>
      <c r="R1293" s="8">
        <v>187</v>
      </c>
      <c r="S1293" s="8">
        <f t="shared" si="289"/>
        <v>187</v>
      </c>
      <c r="T1293" s="8">
        <f>(Table1[[#This Row],[Total Cholesterol (mg/dL)]]+Table1[[#This Row],[HDL (mg/dL)2]]+Table1[[#This Row],[Estimated LDL (mg/dL)2]])*5</f>
        <v>1310</v>
      </c>
      <c r="U1293" s="8">
        <f>IF(O1293="",Table1[[#This Row],[Estimated LDL (mg/dL)2]]+Table1[[#This Row],[HDL (mg/dL)2]]+(Table1[[#This Row],[Triglycerides]]/5),O1293)</f>
        <v>524</v>
      </c>
      <c r="V1293">
        <v>76</v>
      </c>
      <c r="W1293" s="8">
        <f t="shared" si="290"/>
        <v>76</v>
      </c>
      <c r="X1293" t="str">
        <f t="shared" si="291"/>
        <v>Normal</v>
      </c>
      <c r="Y1293" t="s">
        <v>22</v>
      </c>
      <c r="Z1293" t="s">
        <v>22</v>
      </c>
      <c r="AA1293" t="s">
        <v>37</v>
      </c>
      <c r="AB1293" s="3" t="s">
        <v>1105</v>
      </c>
      <c r="AC1293">
        <v>150</v>
      </c>
      <c r="AD1293" s="3" t="str">
        <f t="shared" si="292"/>
        <v>150</v>
      </c>
      <c r="AE1293">
        <v>100</v>
      </c>
      <c r="AF1293" s="3" t="str">
        <f t="shared" si="293"/>
        <v>100</v>
      </c>
      <c r="AG1293" t="s">
        <v>38</v>
      </c>
      <c r="AH1293" s="3">
        <v>18.646000000000001</v>
      </c>
      <c r="AI1293" s="3">
        <f t="shared" si="294"/>
        <v>18.646000000000001</v>
      </c>
      <c r="AJ1293" t="s">
        <v>52</v>
      </c>
      <c r="AK1293" t="str">
        <f>PROPER(Table1[[#This Row],[CVD Risk Level]])</f>
        <v>Low</v>
      </c>
    </row>
    <row r="1294" spans="1:37" x14ac:dyDescent="0.3">
      <c r="A1294" t="s">
        <v>20</v>
      </c>
      <c r="C1294" s="8">
        <f t="shared" si="283"/>
        <v>47.025499655410059</v>
      </c>
      <c r="D1294" s="5">
        <v>54.496000000000002</v>
      </c>
      <c r="E1294" s="8">
        <f t="shared" si="284"/>
        <v>54.496000000000002</v>
      </c>
      <c r="F1294">
        <v>1.8360000000000001</v>
      </c>
      <c r="G1294" s="3">
        <f t="shared" si="285"/>
        <v>1.8360000000000001</v>
      </c>
      <c r="H1294">
        <v>30.847000000000001</v>
      </c>
      <c r="I1294" s="5">
        <f t="shared" si="281"/>
        <v>30.847000000000001</v>
      </c>
      <c r="J1294" s="16" t="str">
        <f t="shared" si="286"/>
        <v>Obese</v>
      </c>
      <c r="K1294">
        <v>118.374</v>
      </c>
      <c r="L1294">
        <v>0.64500000000000002</v>
      </c>
      <c r="M1294" s="11">
        <f t="shared" si="282"/>
        <v>0.64500000000000002</v>
      </c>
      <c r="N1294" s="5">
        <f t="shared" si="287"/>
        <v>118.374</v>
      </c>
      <c r="O1294">
        <v>185</v>
      </c>
      <c r="P1294">
        <v>79</v>
      </c>
      <c r="Q1294" s="8">
        <f t="shared" si="288"/>
        <v>79</v>
      </c>
      <c r="R1294" s="8">
        <v>76</v>
      </c>
      <c r="S1294" s="8">
        <f t="shared" si="289"/>
        <v>76</v>
      </c>
      <c r="T1294" s="8">
        <f>(Table1[[#This Row],[Total Cholesterol (mg/dL)]]+Table1[[#This Row],[HDL (mg/dL)2]]+Table1[[#This Row],[Estimated LDL (mg/dL)2]])*5</f>
        <v>1700</v>
      </c>
      <c r="U1294" s="8">
        <f>IF(O1294="",Table1[[#This Row],[Estimated LDL (mg/dL)2]]+Table1[[#This Row],[HDL (mg/dL)2]]+(Table1[[#This Row],[Triglycerides]]/5),O1294)</f>
        <v>185</v>
      </c>
      <c r="W1294" s="8">
        <f t="shared" si="290"/>
        <v>117.48563611491107</v>
      </c>
      <c r="X1294" t="str">
        <f t="shared" si="291"/>
        <v>Prediabetes</v>
      </c>
      <c r="Y1294" t="s">
        <v>22</v>
      </c>
      <c r="Z1294" t="s">
        <v>22</v>
      </c>
      <c r="AA1294" t="s">
        <v>37</v>
      </c>
      <c r="AB1294" s="3" t="s">
        <v>787</v>
      </c>
      <c r="AC1294">
        <v>92</v>
      </c>
      <c r="AD1294" s="3" t="str">
        <f t="shared" si="292"/>
        <v>92</v>
      </c>
      <c r="AE1294">
        <v>100</v>
      </c>
      <c r="AF1294" s="3" t="str">
        <f t="shared" si="293"/>
        <v>100</v>
      </c>
      <c r="AG1294" t="s">
        <v>38</v>
      </c>
      <c r="AH1294" s="3">
        <v>14.468999999999999</v>
      </c>
      <c r="AI1294" s="3">
        <f t="shared" si="294"/>
        <v>14.468999999999999</v>
      </c>
      <c r="AJ1294" t="s">
        <v>26</v>
      </c>
      <c r="AK1294" t="str">
        <f>PROPER(Table1[[#This Row],[CVD Risk Level]])</f>
        <v>Intermediary</v>
      </c>
    </row>
    <row r="1295" spans="1:37" x14ac:dyDescent="0.3">
      <c r="A1295" t="s">
        <v>31</v>
      </c>
      <c r="B1295">
        <v>40</v>
      </c>
      <c r="C1295" s="8">
        <f t="shared" si="283"/>
        <v>40</v>
      </c>
      <c r="D1295" s="5">
        <v>63.656999999999996</v>
      </c>
      <c r="E1295" s="8">
        <f t="shared" si="284"/>
        <v>63.656999999999996</v>
      </c>
      <c r="F1295">
        <v>1.9790000000000001</v>
      </c>
      <c r="G1295" s="3">
        <f t="shared" si="285"/>
        <v>1.9790000000000001</v>
      </c>
      <c r="H1295">
        <v>38.796999999999997</v>
      </c>
      <c r="I1295" s="5">
        <f t="shared" si="281"/>
        <v>38.796999999999997</v>
      </c>
      <c r="J1295" s="16" t="str">
        <f t="shared" si="286"/>
        <v>Obese</v>
      </c>
      <c r="K1295">
        <v>105.43300000000001</v>
      </c>
      <c r="L1295">
        <v>0.53300000000000003</v>
      </c>
      <c r="M1295" s="11">
        <f t="shared" si="282"/>
        <v>0.53300000000000003</v>
      </c>
      <c r="N1295" s="5">
        <f t="shared" si="287"/>
        <v>105.43300000000001</v>
      </c>
      <c r="O1295">
        <v>213</v>
      </c>
      <c r="P1295">
        <v>34</v>
      </c>
      <c r="Q1295" s="8">
        <f t="shared" si="288"/>
        <v>34</v>
      </c>
      <c r="R1295" s="8">
        <v>149</v>
      </c>
      <c r="S1295" s="8">
        <f t="shared" si="289"/>
        <v>149</v>
      </c>
      <c r="T1295" s="8">
        <f>(Table1[[#This Row],[Total Cholesterol (mg/dL)]]+Table1[[#This Row],[HDL (mg/dL)2]]+Table1[[#This Row],[Estimated LDL (mg/dL)2]])*5</f>
        <v>1980</v>
      </c>
      <c r="U1295" s="8">
        <f>IF(O1295="",Table1[[#This Row],[Estimated LDL (mg/dL)2]]+Table1[[#This Row],[HDL (mg/dL)2]]+(Table1[[#This Row],[Triglycerides]]/5),O1295)</f>
        <v>213</v>
      </c>
      <c r="V1295">
        <v>138</v>
      </c>
      <c r="W1295" s="8">
        <f t="shared" si="290"/>
        <v>138</v>
      </c>
      <c r="X1295" t="str">
        <f t="shared" si="291"/>
        <v>Diabetes</v>
      </c>
      <c r="Y1295" t="s">
        <v>22</v>
      </c>
      <c r="Z1295" t="s">
        <v>23</v>
      </c>
      <c r="AA1295" t="s">
        <v>37</v>
      </c>
      <c r="AB1295" s="3" t="s">
        <v>1106</v>
      </c>
      <c r="AC1295">
        <v>147</v>
      </c>
      <c r="AD1295" s="3" t="str">
        <f t="shared" si="292"/>
        <v>147</v>
      </c>
      <c r="AE1295">
        <v>90</v>
      </c>
      <c r="AF1295" s="3" t="str">
        <f t="shared" si="293"/>
        <v>90</v>
      </c>
      <c r="AG1295" t="s">
        <v>38</v>
      </c>
      <c r="AI1295" s="3">
        <f t="shared" si="294"/>
        <v>16.960925291295425</v>
      </c>
      <c r="AJ1295" t="s">
        <v>52</v>
      </c>
      <c r="AK1295" t="str">
        <f>PROPER(Table1[[#This Row],[CVD Risk Level]])</f>
        <v>Low</v>
      </c>
    </row>
    <row r="1296" spans="1:37" x14ac:dyDescent="0.3">
      <c r="A1296" t="s">
        <v>20</v>
      </c>
      <c r="B1296">
        <v>30</v>
      </c>
      <c r="C1296" s="8">
        <f t="shared" si="283"/>
        <v>30</v>
      </c>
      <c r="D1296" s="5">
        <v>55.924999999999997</v>
      </c>
      <c r="E1296" s="8">
        <f t="shared" si="284"/>
        <v>55.924999999999997</v>
      </c>
      <c r="F1296">
        <v>1.506</v>
      </c>
      <c r="G1296" s="3">
        <f t="shared" si="285"/>
        <v>1.506</v>
      </c>
      <c r="H1296">
        <v>20.962</v>
      </c>
      <c r="I1296" s="5">
        <f t="shared" si="281"/>
        <v>20.962</v>
      </c>
      <c r="J1296" s="16" t="str">
        <f t="shared" si="286"/>
        <v>Normal</v>
      </c>
      <c r="K1296">
        <v>109.86199999999999</v>
      </c>
      <c r="L1296">
        <v>0.72899999999999998</v>
      </c>
      <c r="M1296" s="11">
        <f t="shared" si="282"/>
        <v>0.72899999999999998</v>
      </c>
      <c r="N1296" s="5">
        <f t="shared" si="287"/>
        <v>109.86199999999999</v>
      </c>
      <c r="O1296">
        <v>117</v>
      </c>
      <c r="P1296">
        <v>44</v>
      </c>
      <c r="Q1296" s="8">
        <f t="shared" si="288"/>
        <v>44</v>
      </c>
      <c r="R1296" s="8">
        <v>43</v>
      </c>
      <c r="S1296" s="8">
        <f t="shared" si="289"/>
        <v>43</v>
      </c>
      <c r="T1296" s="8">
        <f>(Table1[[#This Row],[Total Cholesterol (mg/dL)]]+Table1[[#This Row],[HDL (mg/dL)2]]+Table1[[#This Row],[Estimated LDL (mg/dL)2]])*5</f>
        <v>1020</v>
      </c>
      <c r="U1296" s="8">
        <f>IF(O1296="",Table1[[#This Row],[Estimated LDL (mg/dL)2]]+Table1[[#This Row],[HDL (mg/dL)2]]+(Table1[[#This Row],[Triglycerides]]/5),O1296)</f>
        <v>117</v>
      </c>
      <c r="V1296">
        <v>77</v>
      </c>
      <c r="W1296" s="8">
        <f t="shared" si="290"/>
        <v>77</v>
      </c>
      <c r="X1296" t="str">
        <f t="shared" si="291"/>
        <v>Normal</v>
      </c>
      <c r="Y1296" t="s">
        <v>23</v>
      </c>
      <c r="Z1296" t="s">
        <v>23</v>
      </c>
      <c r="AA1296" t="s">
        <v>28</v>
      </c>
      <c r="AB1296" s="3" t="s">
        <v>1107</v>
      </c>
      <c r="AD1296" s="3" t="str">
        <f t="shared" si="292"/>
        <v>128</v>
      </c>
      <c r="AE1296">
        <v>101</v>
      </c>
      <c r="AF1296" s="3" t="str">
        <f t="shared" si="293"/>
        <v>101</v>
      </c>
      <c r="AG1296" t="s">
        <v>38</v>
      </c>
      <c r="AH1296" s="3">
        <v>14.932</v>
      </c>
      <c r="AI1296" s="3">
        <f t="shared" si="294"/>
        <v>14.932</v>
      </c>
      <c r="AJ1296" t="s">
        <v>26</v>
      </c>
      <c r="AK1296" t="str">
        <f>PROPER(Table1[[#This Row],[CVD Risk Level]])</f>
        <v>Intermediary</v>
      </c>
    </row>
    <row r="1297" spans="1:37" x14ac:dyDescent="0.3">
      <c r="A1297" t="s">
        <v>20</v>
      </c>
      <c r="B1297">
        <v>25</v>
      </c>
      <c r="C1297" s="8">
        <f t="shared" si="283"/>
        <v>25</v>
      </c>
      <c r="D1297" s="5">
        <v>65.882999999999996</v>
      </c>
      <c r="E1297" s="8">
        <f t="shared" si="284"/>
        <v>65.882999999999996</v>
      </c>
      <c r="F1297">
        <v>1.7410000000000001</v>
      </c>
      <c r="G1297" s="3">
        <f t="shared" si="285"/>
        <v>1.7410000000000001</v>
      </c>
      <c r="H1297">
        <v>37.06</v>
      </c>
      <c r="I1297" s="5">
        <f t="shared" si="281"/>
        <v>37.06</v>
      </c>
      <c r="J1297" s="16" t="str">
        <f t="shared" si="286"/>
        <v>Obese</v>
      </c>
      <c r="K1297">
        <v>107.392</v>
      </c>
      <c r="L1297">
        <v>0.61699999999999999</v>
      </c>
      <c r="M1297" s="11">
        <f t="shared" si="282"/>
        <v>0.61699999999999999</v>
      </c>
      <c r="N1297" s="5">
        <f t="shared" si="287"/>
        <v>107.392</v>
      </c>
      <c r="O1297">
        <v>229</v>
      </c>
      <c r="P1297">
        <v>34</v>
      </c>
      <c r="Q1297" s="8">
        <f t="shared" si="288"/>
        <v>34</v>
      </c>
      <c r="R1297" s="8">
        <v>165</v>
      </c>
      <c r="S1297" s="8">
        <f t="shared" si="289"/>
        <v>165</v>
      </c>
      <c r="T1297" s="8">
        <f>(Table1[[#This Row],[Total Cholesterol (mg/dL)]]+Table1[[#This Row],[HDL (mg/dL)2]]+Table1[[#This Row],[Estimated LDL (mg/dL)2]])*5</f>
        <v>2140</v>
      </c>
      <c r="U1297" s="8">
        <f>IF(O1297="",Table1[[#This Row],[Estimated LDL (mg/dL)2]]+Table1[[#This Row],[HDL (mg/dL)2]]+(Table1[[#This Row],[Triglycerides]]/5),O1297)</f>
        <v>229</v>
      </c>
      <c r="V1297">
        <v>89</v>
      </c>
      <c r="W1297" s="8">
        <f t="shared" si="290"/>
        <v>89</v>
      </c>
      <c r="X1297" t="str">
        <f t="shared" si="291"/>
        <v>Normal</v>
      </c>
      <c r="Y1297" t="s">
        <v>23</v>
      </c>
      <c r="Z1297" t="s">
        <v>23</v>
      </c>
      <c r="AA1297" t="s">
        <v>28</v>
      </c>
      <c r="AB1297" s="3" t="s">
        <v>1108</v>
      </c>
      <c r="AC1297">
        <v>163</v>
      </c>
      <c r="AD1297" s="3" t="str">
        <f t="shared" si="292"/>
        <v>163</v>
      </c>
      <c r="AE1297">
        <v>61</v>
      </c>
      <c r="AF1297" s="3" t="str">
        <f t="shared" si="293"/>
        <v>61</v>
      </c>
      <c r="AG1297" t="s">
        <v>38</v>
      </c>
      <c r="AH1297" s="3">
        <v>22.141999999999999</v>
      </c>
      <c r="AI1297" s="3">
        <f t="shared" si="294"/>
        <v>22.141999999999999</v>
      </c>
      <c r="AJ1297" t="s">
        <v>30</v>
      </c>
      <c r="AK1297" t="str">
        <f>PROPER(Table1[[#This Row],[CVD Risk Level]])</f>
        <v>High</v>
      </c>
    </row>
    <row r="1298" spans="1:37" x14ac:dyDescent="0.3">
      <c r="A1298" t="s">
        <v>31</v>
      </c>
      <c r="C1298" s="8">
        <f t="shared" si="283"/>
        <v>47.025499655410059</v>
      </c>
      <c r="D1298" s="5">
        <v>70.34</v>
      </c>
      <c r="E1298" s="8">
        <f t="shared" si="284"/>
        <v>70.34</v>
      </c>
      <c r="F1298">
        <v>1.6990000000000001</v>
      </c>
      <c r="G1298" s="3">
        <f t="shared" si="285"/>
        <v>1.6990000000000001</v>
      </c>
      <c r="H1298">
        <v>35.125999999999998</v>
      </c>
      <c r="I1298" s="5">
        <f t="shared" si="281"/>
        <v>35.125999999999998</v>
      </c>
      <c r="J1298" s="16" t="str">
        <f t="shared" si="286"/>
        <v>Obese</v>
      </c>
      <c r="K1298">
        <v>78.756</v>
      </c>
      <c r="L1298">
        <v>0.46400000000000002</v>
      </c>
      <c r="M1298" s="11">
        <f t="shared" si="282"/>
        <v>0.46400000000000002</v>
      </c>
      <c r="N1298" s="5">
        <f t="shared" si="287"/>
        <v>78.756</v>
      </c>
      <c r="O1298">
        <v>264</v>
      </c>
      <c r="P1298">
        <v>87</v>
      </c>
      <c r="Q1298" s="8">
        <f t="shared" si="288"/>
        <v>87</v>
      </c>
      <c r="R1298" s="8">
        <v>147</v>
      </c>
      <c r="S1298" s="8">
        <f t="shared" si="289"/>
        <v>147</v>
      </c>
      <c r="T1298" s="8">
        <f>(Table1[[#This Row],[Total Cholesterol (mg/dL)]]+Table1[[#This Row],[HDL (mg/dL)2]]+Table1[[#This Row],[Estimated LDL (mg/dL)2]])*5</f>
        <v>2490</v>
      </c>
      <c r="U1298" s="8">
        <f>IF(O1298="",Table1[[#This Row],[Estimated LDL (mg/dL)2]]+Table1[[#This Row],[HDL (mg/dL)2]]+(Table1[[#This Row],[Triglycerides]]/5),O1298)</f>
        <v>264</v>
      </c>
      <c r="V1298">
        <v>159</v>
      </c>
      <c r="W1298" s="8">
        <f t="shared" si="290"/>
        <v>159</v>
      </c>
      <c r="X1298" t="str">
        <f t="shared" si="291"/>
        <v>Diabetes</v>
      </c>
      <c r="Y1298" t="s">
        <v>22</v>
      </c>
      <c r="Z1298" t="s">
        <v>23</v>
      </c>
      <c r="AA1298" t="s">
        <v>24</v>
      </c>
      <c r="AB1298" s="3" t="s">
        <v>1109</v>
      </c>
      <c r="AC1298">
        <v>150</v>
      </c>
      <c r="AD1298" s="3" t="str">
        <f t="shared" si="292"/>
        <v>150</v>
      </c>
      <c r="AE1298">
        <v>108</v>
      </c>
      <c r="AF1298" s="3" t="str">
        <f t="shared" si="293"/>
        <v>108</v>
      </c>
      <c r="AG1298" t="s">
        <v>38</v>
      </c>
      <c r="AH1298" s="3">
        <v>21.805</v>
      </c>
      <c r="AI1298" s="3">
        <f t="shared" si="294"/>
        <v>21.805</v>
      </c>
      <c r="AJ1298" t="s">
        <v>26</v>
      </c>
      <c r="AK1298" t="str">
        <f>PROPER(Table1[[#This Row],[CVD Risk Level]])</f>
        <v>Intermediary</v>
      </c>
    </row>
    <row r="1299" spans="1:37" x14ac:dyDescent="0.3">
      <c r="A1299" t="s">
        <v>20</v>
      </c>
      <c r="B1299">
        <v>25</v>
      </c>
      <c r="C1299" s="8">
        <f t="shared" si="283"/>
        <v>25</v>
      </c>
      <c r="D1299" s="5">
        <v>94.236999999999995</v>
      </c>
      <c r="E1299" s="8">
        <f t="shared" si="284"/>
        <v>94.236999999999995</v>
      </c>
      <c r="F1299">
        <v>1.837</v>
      </c>
      <c r="G1299" s="3">
        <f t="shared" si="285"/>
        <v>1.837</v>
      </c>
      <c r="H1299">
        <v>19.024000000000001</v>
      </c>
      <c r="I1299" s="5">
        <f t="shared" si="281"/>
        <v>19.024000000000001</v>
      </c>
      <c r="J1299" s="16" t="str">
        <f t="shared" si="286"/>
        <v>Normal</v>
      </c>
      <c r="K1299">
        <v>118.386</v>
      </c>
      <c r="L1299">
        <v>0.64500000000000002</v>
      </c>
      <c r="M1299" s="11">
        <f t="shared" si="282"/>
        <v>0.64500000000000002</v>
      </c>
      <c r="N1299" s="5">
        <f t="shared" si="287"/>
        <v>118.386</v>
      </c>
      <c r="O1299">
        <v>290</v>
      </c>
      <c r="P1299">
        <v>66</v>
      </c>
      <c r="Q1299" s="8">
        <f t="shared" si="288"/>
        <v>66</v>
      </c>
      <c r="R1299" s="8">
        <v>194</v>
      </c>
      <c r="S1299" s="8">
        <f t="shared" si="289"/>
        <v>194</v>
      </c>
      <c r="T1299" s="8">
        <f>(Table1[[#This Row],[Total Cholesterol (mg/dL)]]+Table1[[#This Row],[HDL (mg/dL)2]]+Table1[[#This Row],[Estimated LDL (mg/dL)2]])*5</f>
        <v>2750</v>
      </c>
      <c r="U1299" s="8">
        <f>IF(O1299="",Table1[[#This Row],[Estimated LDL (mg/dL)2]]+Table1[[#This Row],[HDL (mg/dL)2]]+(Table1[[#This Row],[Triglycerides]]/5),O1299)</f>
        <v>290</v>
      </c>
      <c r="V1299">
        <v>155</v>
      </c>
      <c r="W1299" s="8">
        <f t="shared" si="290"/>
        <v>155</v>
      </c>
      <c r="X1299" t="str">
        <f t="shared" si="291"/>
        <v>Diabetes</v>
      </c>
      <c r="Y1299" t="s">
        <v>22</v>
      </c>
      <c r="Z1299" t="s">
        <v>22</v>
      </c>
      <c r="AA1299" t="s">
        <v>37</v>
      </c>
      <c r="AB1299" s="3" t="s">
        <v>1110</v>
      </c>
      <c r="AC1299">
        <v>175</v>
      </c>
      <c r="AD1299" s="3" t="str">
        <f t="shared" si="292"/>
        <v>175</v>
      </c>
      <c r="AE1299">
        <v>105</v>
      </c>
      <c r="AF1299" s="3" t="str">
        <f t="shared" si="293"/>
        <v>105</v>
      </c>
      <c r="AG1299" t="s">
        <v>38</v>
      </c>
      <c r="AH1299" s="3">
        <v>18.355</v>
      </c>
      <c r="AI1299" s="3">
        <f t="shared" si="294"/>
        <v>18.355</v>
      </c>
      <c r="AJ1299" t="s">
        <v>26</v>
      </c>
      <c r="AK1299" t="str">
        <f>PROPER(Table1[[#This Row],[CVD Risk Level]])</f>
        <v>Intermediary</v>
      </c>
    </row>
    <row r="1300" spans="1:37" x14ac:dyDescent="0.3">
      <c r="A1300" t="s">
        <v>20</v>
      </c>
      <c r="B1300">
        <v>68</v>
      </c>
      <c r="C1300" s="8">
        <f t="shared" si="283"/>
        <v>68</v>
      </c>
      <c r="D1300" s="5">
        <v>73.73</v>
      </c>
      <c r="E1300" s="8">
        <f t="shared" si="284"/>
        <v>73.73</v>
      </c>
      <c r="F1300">
        <v>1.6910000000000001</v>
      </c>
      <c r="G1300" s="3">
        <f t="shared" si="285"/>
        <v>1.6910000000000001</v>
      </c>
      <c r="H1300">
        <v>22.972000000000001</v>
      </c>
      <c r="I1300" s="5">
        <f t="shared" si="281"/>
        <v>22.972000000000001</v>
      </c>
      <c r="J1300" s="16" t="str">
        <f t="shared" si="286"/>
        <v>Normal</v>
      </c>
      <c r="K1300">
        <v>116.24299999999999</v>
      </c>
      <c r="L1300">
        <v>0.68799999999999994</v>
      </c>
      <c r="M1300" s="11">
        <f t="shared" si="282"/>
        <v>0.68799999999999994</v>
      </c>
      <c r="N1300" s="5">
        <f t="shared" si="287"/>
        <v>116.24299999999999</v>
      </c>
      <c r="O1300">
        <v>285</v>
      </c>
      <c r="P1300">
        <v>76</v>
      </c>
      <c r="Q1300" s="8">
        <f t="shared" si="288"/>
        <v>76</v>
      </c>
      <c r="R1300" s="8">
        <v>179</v>
      </c>
      <c r="S1300" s="8">
        <f t="shared" si="289"/>
        <v>179</v>
      </c>
      <c r="T1300" s="8">
        <f>(Table1[[#This Row],[Total Cholesterol (mg/dL)]]+Table1[[#This Row],[HDL (mg/dL)2]]+Table1[[#This Row],[Estimated LDL (mg/dL)2]])*5</f>
        <v>2700</v>
      </c>
      <c r="U1300" s="8">
        <f>IF(O1300="",Table1[[#This Row],[Estimated LDL (mg/dL)2]]+Table1[[#This Row],[HDL (mg/dL)2]]+(Table1[[#This Row],[Triglycerides]]/5),O1300)</f>
        <v>285</v>
      </c>
      <c r="V1300">
        <v>131</v>
      </c>
      <c r="W1300" s="8">
        <f t="shared" si="290"/>
        <v>131</v>
      </c>
      <c r="X1300" t="str">
        <f t="shared" si="291"/>
        <v>Diabetes</v>
      </c>
      <c r="Y1300" t="s">
        <v>22</v>
      </c>
      <c r="Z1300" t="s">
        <v>22</v>
      </c>
      <c r="AA1300" t="s">
        <v>24</v>
      </c>
      <c r="AB1300" s="3" t="s">
        <v>116</v>
      </c>
      <c r="AC1300">
        <v>114</v>
      </c>
      <c r="AD1300" s="3" t="str">
        <f t="shared" si="292"/>
        <v>114</v>
      </c>
      <c r="AE1300">
        <v>63</v>
      </c>
      <c r="AF1300" s="3" t="str">
        <f t="shared" si="293"/>
        <v>63</v>
      </c>
      <c r="AG1300" t="s">
        <v>33</v>
      </c>
      <c r="AH1300" s="3">
        <v>15.994</v>
      </c>
      <c r="AI1300" s="3">
        <f t="shared" si="294"/>
        <v>15.994</v>
      </c>
      <c r="AJ1300" t="s">
        <v>26</v>
      </c>
      <c r="AK1300" t="str">
        <f>PROPER(Table1[[#This Row],[CVD Risk Level]])</f>
        <v>Intermediary</v>
      </c>
    </row>
    <row r="1301" spans="1:37" x14ac:dyDescent="0.3">
      <c r="A1301" t="s">
        <v>31</v>
      </c>
      <c r="B1301">
        <v>55</v>
      </c>
      <c r="C1301" s="8">
        <f t="shared" si="283"/>
        <v>55</v>
      </c>
      <c r="D1301" s="5">
        <v>85.79</v>
      </c>
      <c r="E1301" s="8">
        <f t="shared" si="284"/>
        <v>85.79</v>
      </c>
      <c r="G1301" s="3">
        <f t="shared" si="285"/>
        <v>1.752788516461917</v>
      </c>
      <c r="H1301">
        <v>27.923999999999999</v>
      </c>
      <c r="I1301" s="5">
        <f t="shared" si="281"/>
        <v>27.923999999999999</v>
      </c>
      <c r="J1301" s="16" t="str">
        <f t="shared" si="286"/>
        <v>Overweight</v>
      </c>
      <c r="K1301">
        <v>88.421000000000006</v>
      </c>
      <c r="L1301">
        <v>0.495</v>
      </c>
      <c r="M1301" s="11">
        <f t="shared" si="282"/>
        <v>0.495</v>
      </c>
      <c r="N1301" s="5">
        <f t="shared" si="287"/>
        <v>88.421000000000006</v>
      </c>
      <c r="P1301">
        <v>63</v>
      </c>
      <c r="Q1301" s="8">
        <f t="shared" si="288"/>
        <v>63</v>
      </c>
      <c r="R1301" s="8">
        <v>157</v>
      </c>
      <c r="S1301" s="8">
        <f t="shared" si="289"/>
        <v>157</v>
      </c>
      <c r="T1301" s="8">
        <f>(Table1[[#This Row],[Total Cholesterol (mg/dL)]]+Table1[[#This Row],[HDL (mg/dL)2]]+Table1[[#This Row],[Estimated LDL (mg/dL)2]])*5</f>
        <v>1100</v>
      </c>
      <c r="U1301" s="8">
        <f>IF(O1301="",Table1[[#This Row],[Estimated LDL (mg/dL)2]]+Table1[[#This Row],[HDL (mg/dL)2]]+(Table1[[#This Row],[Triglycerides]]/5),O1301)</f>
        <v>440</v>
      </c>
      <c r="V1301">
        <v>172</v>
      </c>
      <c r="W1301" s="8">
        <f t="shared" si="290"/>
        <v>172</v>
      </c>
      <c r="X1301" t="str">
        <f t="shared" si="291"/>
        <v>Diabetes</v>
      </c>
      <c r="Y1301" t="s">
        <v>22</v>
      </c>
      <c r="Z1301" t="s">
        <v>23</v>
      </c>
      <c r="AA1301" t="s">
        <v>28</v>
      </c>
      <c r="AB1301" s="3" t="s">
        <v>1111</v>
      </c>
      <c r="AC1301">
        <v>164</v>
      </c>
      <c r="AD1301" s="3" t="str">
        <f t="shared" si="292"/>
        <v>164</v>
      </c>
      <c r="AF1301" s="3" t="str">
        <f t="shared" si="293"/>
        <v>118</v>
      </c>
      <c r="AG1301" t="s">
        <v>38</v>
      </c>
      <c r="AH1301" s="3">
        <v>20.785</v>
      </c>
      <c r="AI1301" s="3">
        <f t="shared" si="294"/>
        <v>20.785</v>
      </c>
      <c r="AJ1301" t="s">
        <v>30</v>
      </c>
      <c r="AK1301" t="str">
        <f>PROPER(Table1[[#This Row],[CVD Risk Level]])</f>
        <v>High</v>
      </c>
    </row>
    <row r="1302" spans="1:37" x14ac:dyDescent="0.3">
      <c r="A1302" t="s">
        <v>31</v>
      </c>
      <c r="B1302">
        <v>76</v>
      </c>
      <c r="C1302" s="8">
        <f t="shared" si="283"/>
        <v>76</v>
      </c>
      <c r="D1302" s="5">
        <v>58.82</v>
      </c>
      <c r="E1302" s="8">
        <f t="shared" si="284"/>
        <v>58.82</v>
      </c>
      <c r="F1302">
        <v>1.92</v>
      </c>
      <c r="G1302" s="3">
        <f t="shared" si="285"/>
        <v>1.92</v>
      </c>
      <c r="H1302">
        <v>21.324000000000002</v>
      </c>
      <c r="I1302" s="5">
        <f t="shared" si="281"/>
        <v>21.324000000000002</v>
      </c>
      <c r="J1302" s="16" t="str">
        <f t="shared" si="286"/>
        <v>Normal</v>
      </c>
      <c r="K1302">
        <v>86.471000000000004</v>
      </c>
      <c r="L1302">
        <v>0.45</v>
      </c>
      <c r="M1302" s="11">
        <f t="shared" si="282"/>
        <v>0.45</v>
      </c>
      <c r="N1302" s="5">
        <f t="shared" si="287"/>
        <v>86.471000000000004</v>
      </c>
      <c r="O1302">
        <v>193</v>
      </c>
      <c r="P1302">
        <v>83</v>
      </c>
      <c r="Q1302" s="8">
        <f t="shared" si="288"/>
        <v>83</v>
      </c>
      <c r="R1302" s="8">
        <v>80</v>
      </c>
      <c r="S1302" s="8">
        <f t="shared" si="289"/>
        <v>80</v>
      </c>
      <c r="T1302" s="8">
        <f>(Table1[[#This Row],[Total Cholesterol (mg/dL)]]+Table1[[#This Row],[HDL (mg/dL)2]]+Table1[[#This Row],[Estimated LDL (mg/dL)2]])*5</f>
        <v>1780</v>
      </c>
      <c r="U1302" s="8">
        <f>IF(O1302="",Table1[[#This Row],[Estimated LDL (mg/dL)2]]+Table1[[#This Row],[HDL (mg/dL)2]]+(Table1[[#This Row],[Triglycerides]]/5),O1302)</f>
        <v>193</v>
      </c>
      <c r="V1302">
        <v>172</v>
      </c>
      <c r="W1302" s="8">
        <f t="shared" si="290"/>
        <v>172</v>
      </c>
      <c r="X1302" t="str">
        <f t="shared" si="291"/>
        <v>Diabetes</v>
      </c>
      <c r="Y1302" t="s">
        <v>22</v>
      </c>
      <c r="Z1302" t="s">
        <v>23</v>
      </c>
      <c r="AA1302" t="s">
        <v>24</v>
      </c>
      <c r="AB1302" s="3" t="s">
        <v>1112</v>
      </c>
      <c r="AC1302">
        <v>94</v>
      </c>
      <c r="AD1302" s="3" t="str">
        <f t="shared" si="292"/>
        <v>94</v>
      </c>
      <c r="AE1302">
        <v>77</v>
      </c>
      <c r="AF1302" s="3" t="str">
        <f t="shared" si="293"/>
        <v>77</v>
      </c>
      <c r="AG1302" t="s">
        <v>33</v>
      </c>
      <c r="AH1302" s="3">
        <v>14.824999999999999</v>
      </c>
      <c r="AI1302" s="3">
        <f t="shared" si="294"/>
        <v>14.824999999999999</v>
      </c>
      <c r="AJ1302" t="s">
        <v>26</v>
      </c>
      <c r="AK1302" t="str">
        <f>PROPER(Table1[[#This Row],[CVD Risk Level]])</f>
        <v>Intermediary</v>
      </c>
    </row>
    <row r="1303" spans="1:37" x14ac:dyDescent="0.3">
      <c r="A1303" t="s">
        <v>20</v>
      </c>
      <c r="B1303">
        <v>28</v>
      </c>
      <c r="C1303" s="8">
        <f t="shared" si="283"/>
        <v>28</v>
      </c>
      <c r="D1303" s="5">
        <v>88.953999999999994</v>
      </c>
      <c r="E1303" s="8">
        <f t="shared" si="284"/>
        <v>88.953999999999994</v>
      </c>
      <c r="F1303">
        <v>1.877</v>
      </c>
      <c r="G1303" s="3">
        <f t="shared" si="285"/>
        <v>1.877</v>
      </c>
      <c r="H1303">
        <v>32.024999999999999</v>
      </c>
      <c r="I1303" s="5">
        <f t="shared" si="281"/>
        <v>32.024999999999999</v>
      </c>
      <c r="J1303" s="16" t="str">
        <f t="shared" si="286"/>
        <v>Obese</v>
      </c>
      <c r="K1303">
        <v>74.763999999999996</v>
      </c>
      <c r="M1303" s="11">
        <f t="shared" si="282"/>
        <v>0.39831646244006391</v>
      </c>
      <c r="N1303" s="5">
        <f t="shared" si="287"/>
        <v>74.763999999999996</v>
      </c>
      <c r="O1303">
        <v>268</v>
      </c>
      <c r="P1303">
        <v>54</v>
      </c>
      <c r="Q1303" s="8">
        <f t="shared" si="288"/>
        <v>54</v>
      </c>
      <c r="R1303" s="8">
        <v>184</v>
      </c>
      <c r="S1303" s="8">
        <f t="shared" si="289"/>
        <v>184</v>
      </c>
      <c r="T1303" s="8">
        <f>(Table1[[#This Row],[Total Cholesterol (mg/dL)]]+Table1[[#This Row],[HDL (mg/dL)2]]+Table1[[#This Row],[Estimated LDL (mg/dL)2]])*5</f>
        <v>2530</v>
      </c>
      <c r="U1303" s="8">
        <f>IF(O1303="",Table1[[#This Row],[Estimated LDL (mg/dL)2]]+Table1[[#This Row],[HDL (mg/dL)2]]+(Table1[[#This Row],[Triglycerides]]/5),O1303)</f>
        <v>268</v>
      </c>
      <c r="V1303">
        <v>96</v>
      </c>
      <c r="W1303" s="8">
        <f t="shared" si="290"/>
        <v>96</v>
      </c>
      <c r="X1303" t="str">
        <f t="shared" si="291"/>
        <v>Normal</v>
      </c>
      <c r="Y1303" t="s">
        <v>22</v>
      </c>
      <c r="Z1303" t="s">
        <v>22</v>
      </c>
      <c r="AA1303" t="s">
        <v>28</v>
      </c>
      <c r="AB1303" s="3" t="s">
        <v>588</v>
      </c>
      <c r="AC1303">
        <v>139</v>
      </c>
      <c r="AD1303" s="3" t="str">
        <f t="shared" si="292"/>
        <v>139</v>
      </c>
      <c r="AF1303" s="3" t="str">
        <f t="shared" si="293"/>
        <v>98</v>
      </c>
      <c r="AG1303" t="s">
        <v>29</v>
      </c>
      <c r="AH1303" s="3">
        <v>18.715</v>
      </c>
      <c r="AI1303" s="3">
        <f t="shared" si="294"/>
        <v>18.715</v>
      </c>
      <c r="AJ1303" t="s">
        <v>30</v>
      </c>
      <c r="AK1303" t="str">
        <f>PROPER(Table1[[#This Row],[CVD Risk Level]])</f>
        <v>High</v>
      </c>
    </row>
    <row r="1304" spans="1:37" x14ac:dyDescent="0.3">
      <c r="A1304" t="s">
        <v>20</v>
      </c>
      <c r="B1304">
        <v>64</v>
      </c>
      <c r="C1304" s="8">
        <f t="shared" si="283"/>
        <v>64</v>
      </c>
      <c r="D1304" s="5">
        <v>87.152000000000001</v>
      </c>
      <c r="E1304" s="8">
        <f t="shared" si="284"/>
        <v>87.152000000000001</v>
      </c>
      <c r="G1304" s="3">
        <f t="shared" si="285"/>
        <v>1.8130819461990877</v>
      </c>
      <c r="H1304">
        <v>26.512</v>
      </c>
      <c r="I1304" s="5">
        <f t="shared" si="281"/>
        <v>26.512</v>
      </c>
      <c r="J1304" s="16" t="str">
        <f t="shared" si="286"/>
        <v>Overweight</v>
      </c>
      <c r="K1304">
        <v>80.593000000000004</v>
      </c>
      <c r="L1304">
        <v>0.45200000000000001</v>
      </c>
      <c r="M1304" s="11">
        <f t="shared" si="282"/>
        <v>0.45200000000000001</v>
      </c>
      <c r="N1304" s="5">
        <f t="shared" si="287"/>
        <v>80.593000000000004</v>
      </c>
      <c r="O1304">
        <v>247</v>
      </c>
      <c r="P1304">
        <v>62</v>
      </c>
      <c r="Q1304" s="8">
        <f t="shared" si="288"/>
        <v>62</v>
      </c>
      <c r="R1304" s="8">
        <v>155</v>
      </c>
      <c r="S1304" s="8">
        <f t="shared" si="289"/>
        <v>155</v>
      </c>
      <c r="T1304" s="8">
        <f>(Table1[[#This Row],[Total Cholesterol (mg/dL)]]+Table1[[#This Row],[HDL (mg/dL)2]]+Table1[[#This Row],[Estimated LDL (mg/dL)2]])*5</f>
        <v>2320</v>
      </c>
      <c r="U1304" s="8">
        <f>IF(O1304="",Table1[[#This Row],[Estimated LDL (mg/dL)2]]+Table1[[#This Row],[HDL (mg/dL)2]]+(Table1[[#This Row],[Triglycerides]]/5),O1304)</f>
        <v>247</v>
      </c>
      <c r="V1304">
        <v>96</v>
      </c>
      <c r="W1304" s="8">
        <f t="shared" si="290"/>
        <v>96</v>
      </c>
      <c r="X1304" t="str">
        <f t="shared" si="291"/>
        <v>Normal</v>
      </c>
      <c r="Y1304" t="s">
        <v>23</v>
      </c>
      <c r="Z1304" t="s">
        <v>23</v>
      </c>
      <c r="AA1304" t="s">
        <v>28</v>
      </c>
      <c r="AB1304" s="3" t="s">
        <v>1113</v>
      </c>
      <c r="AC1304">
        <v>99</v>
      </c>
      <c r="AD1304" s="3" t="str">
        <f t="shared" si="292"/>
        <v>99</v>
      </c>
      <c r="AE1304">
        <v>77</v>
      </c>
      <c r="AF1304" s="3" t="str">
        <f t="shared" si="293"/>
        <v>77</v>
      </c>
      <c r="AG1304" t="s">
        <v>33</v>
      </c>
      <c r="AH1304" s="3">
        <v>17.192</v>
      </c>
      <c r="AI1304" s="3">
        <f t="shared" si="294"/>
        <v>17.192</v>
      </c>
      <c r="AJ1304" t="s">
        <v>26</v>
      </c>
      <c r="AK1304" t="str">
        <f>PROPER(Table1[[#This Row],[CVD Risk Level]])</f>
        <v>Intermediary</v>
      </c>
    </row>
    <row r="1305" spans="1:37" x14ac:dyDescent="0.3">
      <c r="A1305" t="s">
        <v>31</v>
      </c>
      <c r="B1305">
        <v>31</v>
      </c>
      <c r="C1305" s="8">
        <f t="shared" si="283"/>
        <v>31</v>
      </c>
      <c r="E1305" s="8">
        <f t="shared" si="284"/>
        <v>46.650936023999996</v>
      </c>
      <c r="F1305">
        <v>1.5629999999999999</v>
      </c>
      <c r="G1305" s="3">
        <f t="shared" si="285"/>
        <v>1.5629999999999999</v>
      </c>
      <c r="H1305">
        <v>19.096</v>
      </c>
      <c r="I1305" s="5">
        <f t="shared" si="281"/>
        <v>19.096</v>
      </c>
      <c r="J1305" s="16" t="str">
        <f t="shared" si="286"/>
        <v>Normal</v>
      </c>
      <c r="L1305">
        <v>0.60299999999999998</v>
      </c>
      <c r="M1305" s="11">
        <f t="shared" si="282"/>
        <v>0.60299999999999998</v>
      </c>
      <c r="N1305" s="5">
        <f t="shared" si="287"/>
        <v>94.248899999999992</v>
      </c>
      <c r="O1305">
        <v>265</v>
      </c>
      <c r="P1305">
        <v>39</v>
      </c>
      <c r="Q1305" s="8">
        <f t="shared" si="288"/>
        <v>39</v>
      </c>
      <c r="R1305" s="8">
        <v>196</v>
      </c>
      <c r="S1305" s="8">
        <f t="shared" si="289"/>
        <v>196</v>
      </c>
      <c r="T1305" s="8">
        <f>(Table1[[#This Row],[Total Cholesterol (mg/dL)]]+Table1[[#This Row],[HDL (mg/dL)2]]+Table1[[#This Row],[Estimated LDL (mg/dL)2]])*5</f>
        <v>2500</v>
      </c>
      <c r="U1305" s="8">
        <f>IF(O1305="",Table1[[#This Row],[Estimated LDL (mg/dL)2]]+Table1[[#This Row],[HDL (mg/dL)2]]+(Table1[[#This Row],[Triglycerides]]/5),O1305)</f>
        <v>265</v>
      </c>
      <c r="V1305">
        <v>171</v>
      </c>
      <c r="W1305" s="8">
        <f t="shared" si="290"/>
        <v>171</v>
      </c>
      <c r="X1305" t="str">
        <f t="shared" si="291"/>
        <v>Diabetes</v>
      </c>
      <c r="Y1305" t="s">
        <v>23</v>
      </c>
      <c r="Z1305" t="s">
        <v>23</v>
      </c>
      <c r="AA1305" t="s">
        <v>28</v>
      </c>
      <c r="AB1305" s="3" t="s">
        <v>1114</v>
      </c>
      <c r="AC1305">
        <v>126</v>
      </c>
      <c r="AD1305" s="3" t="str">
        <f t="shared" si="292"/>
        <v>126</v>
      </c>
      <c r="AE1305">
        <v>84</v>
      </c>
      <c r="AF1305" s="3" t="str">
        <f t="shared" si="293"/>
        <v>84</v>
      </c>
      <c r="AG1305" t="s">
        <v>29</v>
      </c>
      <c r="AH1305" s="3">
        <v>17.419</v>
      </c>
      <c r="AI1305" s="3">
        <f t="shared" si="294"/>
        <v>17.419</v>
      </c>
      <c r="AJ1305" t="s">
        <v>52</v>
      </c>
      <c r="AK1305" t="str">
        <f>PROPER(Table1[[#This Row],[CVD Risk Level]])</f>
        <v>Low</v>
      </c>
    </row>
    <row r="1306" spans="1:37" x14ac:dyDescent="0.3">
      <c r="A1306" t="s">
        <v>31</v>
      </c>
      <c r="B1306">
        <v>77</v>
      </c>
      <c r="C1306" s="8">
        <f t="shared" si="283"/>
        <v>77</v>
      </c>
      <c r="D1306" s="5">
        <v>71.846999999999994</v>
      </c>
      <c r="E1306" s="8">
        <f t="shared" si="284"/>
        <v>71.846999999999994</v>
      </c>
      <c r="F1306">
        <v>1.9359999999999999</v>
      </c>
      <c r="G1306" s="3">
        <f t="shared" si="285"/>
        <v>1.9359999999999999</v>
      </c>
      <c r="H1306">
        <v>19.053000000000001</v>
      </c>
      <c r="I1306" s="5">
        <f t="shared" si="281"/>
        <v>19.053000000000001</v>
      </c>
      <c r="J1306" s="16" t="str">
        <f t="shared" si="286"/>
        <v>Normal</v>
      </c>
      <c r="K1306">
        <v>117.693</v>
      </c>
      <c r="M1306" s="11">
        <f t="shared" si="282"/>
        <v>0.6079183884297521</v>
      </c>
      <c r="N1306" s="5">
        <f t="shared" si="287"/>
        <v>117.693</v>
      </c>
      <c r="O1306">
        <v>201</v>
      </c>
      <c r="P1306">
        <v>65</v>
      </c>
      <c r="Q1306" s="8">
        <f t="shared" si="288"/>
        <v>65</v>
      </c>
      <c r="R1306" s="8">
        <v>106</v>
      </c>
      <c r="S1306" s="8">
        <f t="shared" si="289"/>
        <v>106</v>
      </c>
      <c r="T1306" s="8">
        <f>(Table1[[#This Row],[Total Cholesterol (mg/dL)]]+Table1[[#This Row],[HDL (mg/dL)2]]+Table1[[#This Row],[Estimated LDL (mg/dL)2]])*5</f>
        <v>1860</v>
      </c>
      <c r="U1306" s="8">
        <f>IF(O1306="",Table1[[#This Row],[Estimated LDL (mg/dL)2]]+Table1[[#This Row],[HDL (mg/dL)2]]+(Table1[[#This Row],[Triglycerides]]/5),O1306)</f>
        <v>201</v>
      </c>
      <c r="V1306">
        <v>142</v>
      </c>
      <c r="W1306" s="8">
        <f t="shared" si="290"/>
        <v>142</v>
      </c>
      <c r="X1306" t="str">
        <f t="shared" si="291"/>
        <v>Diabetes</v>
      </c>
      <c r="Y1306" t="s">
        <v>23</v>
      </c>
      <c r="Z1306" t="s">
        <v>22</v>
      </c>
      <c r="AA1306" t="s">
        <v>24</v>
      </c>
      <c r="AB1306" s="3" t="s">
        <v>1115</v>
      </c>
      <c r="AC1306">
        <v>178</v>
      </c>
      <c r="AD1306" s="3" t="str">
        <f t="shared" si="292"/>
        <v>178</v>
      </c>
      <c r="AE1306">
        <v>63</v>
      </c>
      <c r="AF1306" s="3" t="str">
        <f t="shared" si="293"/>
        <v>63</v>
      </c>
      <c r="AG1306" t="s">
        <v>38</v>
      </c>
      <c r="AH1306" s="3">
        <v>16.731000000000002</v>
      </c>
      <c r="AI1306" s="3">
        <f t="shared" si="294"/>
        <v>16.731000000000002</v>
      </c>
      <c r="AJ1306" t="s">
        <v>52</v>
      </c>
      <c r="AK1306" t="str">
        <f>PROPER(Table1[[#This Row],[CVD Risk Level]])</f>
        <v>Low</v>
      </c>
    </row>
    <row r="1307" spans="1:37" x14ac:dyDescent="0.3">
      <c r="A1307" t="s">
        <v>20</v>
      </c>
      <c r="B1307">
        <v>54</v>
      </c>
      <c r="C1307" s="8">
        <f t="shared" si="283"/>
        <v>54</v>
      </c>
      <c r="D1307" s="5">
        <v>98.480999999999995</v>
      </c>
      <c r="E1307" s="8">
        <f t="shared" si="284"/>
        <v>98.480999999999995</v>
      </c>
      <c r="F1307">
        <v>1.798</v>
      </c>
      <c r="G1307" s="3">
        <f t="shared" si="285"/>
        <v>1.798</v>
      </c>
      <c r="H1307">
        <v>25.846</v>
      </c>
      <c r="I1307" s="5">
        <f t="shared" si="281"/>
        <v>25.846</v>
      </c>
      <c r="J1307" s="16" t="str">
        <f t="shared" si="286"/>
        <v>Overweight</v>
      </c>
      <c r="K1307">
        <v>77.537000000000006</v>
      </c>
      <c r="L1307">
        <v>0.43099999999999999</v>
      </c>
      <c r="M1307" s="11">
        <f t="shared" si="282"/>
        <v>0.43099999999999999</v>
      </c>
      <c r="N1307" s="5">
        <f t="shared" si="287"/>
        <v>77.537000000000006</v>
      </c>
      <c r="O1307">
        <v>126</v>
      </c>
      <c r="P1307">
        <v>81</v>
      </c>
      <c r="Q1307" s="8">
        <f t="shared" si="288"/>
        <v>81</v>
      </c>
      <c r="R1307" s="8">
        <v>15</v>
      </c>
      <c r="S1307" s="8">
        <f t="shared" si="289"/>
        <v>15</v>
      </c>
      <c r="T1307" s="8">
        <f>(Table1[[#This Row],[Total Cholesterol (mg/dL)]]+Table1[[#This Row],[HDL (mg/dL)2]]+Table1[[#This Row],[Estimated LDL (mg/dL)2]])*5</f>
        <v>1110</v>
      </c>
      <c r="U1307" s="8">
        <f>IF(O1307="",Table1[[#This Row],[Estimated LDL (mg/dL)2]]+Table1[[#This Row],[HDL (mg/dL)2]]+(Table1[[#This Row],[Triglycerides]]/5),O1307)</f>
        <v>126</v>
      </c>
      <c r="V1307">
        <v>86</v>
      </c>
      <c r="W1307" s="8">
        <f t="shared" si="290"/>
        <v>86</v>
      </c>
      <c r="X1307" t="str">
        <f t="shared" si="291"/>
        <v>Normal</v>
      </c>
      <c r="Y1307" t="s">
        <v>23</v>
      </c>
      <c r="Z1307" t="s">
        <v>23</v>
      </c>
      <c r="AA1307" t="s">
        <v>24</v>
      </c>
      <c r="AB1307" s="3" t="s">
        <v>590</v>
      </c>
      <c r="AC1307">
        <v>125</v>
      </c>
      <c r="AD1307" s="3" t="str">
        <f t="shared" si="292"/>
        <v>125</v>
      </c>
      <c r="AE1307">
        <v>88</v>
      </c>
      <c r="AF1307" s="3" t="str">
        <f t="shared" si="293"/>
        <v>88</v>
      </c>
      <c r="AG1307" t="s">
        <v>29</v>
      </c>
      <c r="AH1307" s="3">
        <v>15.939</v>
      </c>
      <c r="AI1307" s="3">
        <f t="shared" si="294"/>
        <v>15.939</v>
      </c>
      <c r="AJ1307" t="s">
        <v>52</v>
      </c>
      <c r="AK1307" t="str">
        <f>PROPER(Table1[[#This Row],[CVD Risk Level]])</f>
        <v>Low</v>
      </c>
    </row>
    <row r="1308" spans="1:37" x14ac:dyDescent="0.3">
      <c r="A1308" t="s">
        <v>20</v>
      </c>
      <c r="B1308">
        <v>36</v>
      </c>
      <c r="C1308" s="8">
        <f t="shared" si="283"/>
        <v>36</v>
      </c>
      <c r="D1308" s="5">
        <v>106.83199999999999</v>
      </c>
      <c r="E1308" s="8">
        <f t="shared" si="284"/>
        <v>106.83199999999999</v>
      </c>
      <c r="F1308">
        <v>1.583</v>
      </c>
      <c r="G1308" s="3">
        <f t="shared" si="285"/>
        <v>1.583</v>
      </c>
      <c r="H1308">
        <v>31.925999999999998</v>
      </c>
      <c r="I1308" s="5">
        <f t="shared" si="281"/>
        <v>31.925999999999998</v>
      </c>
      <c r="J1308" s="16" t="str">
        <f t="shared" si="286"/>
        <v>Obese</v>
      </c>
      <c r="K1308">
        <v>111.33199999999999</v>
      </c>
      <c r="L1308">
        <v>0.70299999999999996</v>
      </c>
      <c r="M1308" s="11">
        <f t="shared" si="282"/>
        <v>0.70299999999999996</v>
      </c>
      <c r="N1308" s="5">
        <f t="shared" si="287"/>
        <v>111.33199999999999</v>
      </c>
      <c r="O1308">
        <v>247</v>
      </c>
      <c r="P1308">
        <v>53</v>
      </c>
      <c r="Q1308" s="8">
        <f t="shared" si="288"/>
        <v>53</v>
      </c>
      <c r="R1308" s="8">
        <v>164</v>
      </c>
      <c r="S1308" s="8">
        <f t="shared" si="289"/>
        <v>164</v>
      </c>
      <c r="T1308" s="8">
        <f>(Table1[[#This Row],[Total Cholesterol (mg/dL)]]+Table1[[#This Row],[HDL (mg/dL)2]]+Table1[[#This Row],[Estimated LDL (mg/dL)2]])*5</f>
        <v>2320</v>
      </c>
      <c r="U1308" s="8">
        <f>IF(O1308="",Table1[[#This Row],[Estimated LDL (mg/dL)2]]+Table1[[#This Row],[HDL (mg/dL)2]]+(Table1[[#This Row],[Triglycerides]]/5),O1308)</f>
        <v>247</v>
      </c>
      <c r="V1308">
        <v>129</v>
      </c>
      <c r="W1308" s="8">
        <f t="shared" si="290"/>
        <v>129</v>
      </c>
      <c r="X1308" t="str">
        <f t="shared" si="291"/>
        <v>Diabetes</v>
      </c>
      <c r="Y1308" t="s">
        <v>23</v>
      </c>
      <c r="Z1308" t="s">
        <v>22</v>
      </c>
      <c r="AA1308" t="s">
        <v>24</v>
      </c>
      <c r="AB1308" s="3" t="s">
        <v>1116</v>
      </c>
      <c r="AC1308">
        <v>170</v>
      </c>
      <c r="AD1308" s="3" t="str">
        <f t="shared" si="292"/>
        <v>170</v>
      </c>
      <c r="AE1308">
        <v>116</v>
      </c>
      <c r="AF1308" s="3" t="str">
        <f t="shared" si="293"/>
        <v>116</v>
      </c>
      <c r="AG1308" t="s">
        <v>38</v>
      </c>
      <c r="AI1308" s="3">
        <f t="shared" si="294"/>
        <v>16.960925291295425</v>
      </c>
      <c r="AJ1308" t="s">
        <v>26</v>
      </c>
      <c r="AK1308" t="str">
        <f>PROPER(Table1[[#This Row],[CVD Risk Level]])</f>
        <v>Intermediary</v>
      </c>
    </row>
    <row r="1309" spans="1:37" x14ac:dyDescent="0.3">
      <c r="A1309" t="s">
        <v>20</v>
      </c>
      <c r="B1309">
        <v>27</v>
      </c>
      <c r="C1309" s="8">
        <f t="shared" si="283"/>
        <v>27</v>
      </c>
      <c r="D1309" s="5">
        <v>115.14400000000001</v>
      </c>
      <c r="E1309" s="8">
        <f t="shared" si="284"/>
        <v>115.14400000000001</v>
      </c>
      <c r="F1309">
        <v>1.5269999999999999</v>
      </c>
      <c r="G1309" s="3">
        <f t="shared" si="285"/>
        <v>1.5269999999999999</v>
      </c>
      <c r="H1309">
        <v>24.876999999999999</v>
      </c>
      <c r="I1309" s="5">
        <f t="shared" si="281"/>
        <v>24.876999999999999</v>
      </c>
      <c r="J1309" s="16" t="str">
        <f t="shared" si="286"/>
        <v>Normal</v>
      </c>
      <c r="K1309">
        <v>119.495</v>
      </c>
      <c r="L1309">
        <v>0.78200000000000003</v>
      </c>
      <c r="M1309" s="11">
        <f t="shared" si="282"/>
        <v>0.78200000000000003</v>
      </c>
      <c r="N1309" s="5">
        <f t="shared" si="287"/>
        <v>119.495</v>
      </c>
      <c r="O1309">
        <v>249</v>
      </c>
      <c r="P1309">
        <v>82</v>
      </c>
      <c r="Q1309" s="8">
        <f t="shared" si="288"/>
        <v>82</v>
      </c>
      <c r="R1309" s="8">
        <v>137</v>
      </c>
      <c r="S1309" s="8">
        <f t="shared" si="289"/>
        <v>137</v>
      </c>
      <c r="T1309" s="8">
        <f>(Table1[[#This Row],[Total Cholesterol (mg/dL)]]+Table1[[#This Row],[HDL (mg/dL)2]]+Table1[[#This Row],[Estimated LDL (mg/dL)2]])*5</f>
        <v>2340</v>
      </c>
      <c r="U1309" s="8">
        <f>IF(O1309="",Table1[[#This Row],[Estimated LDL (mg/dL)2]]+Table1[[#This Row],[HDL (mg/dL)2]]+(Table1[[#This Row],[Triglycerides]]/5),O1309)</f>
        <v>249</v>
      </c>
      <c r="V1309">
        <v>177</v>
      </c>
      <c r="W1309" s="8">
        <f t="shared" si="290"/>
        <v>177</v>
      </c>
      <c r="X1309" t="str">
        <f t="shared" si="291"/>
        <v>Diabetes</v>
      </c>
      <c r="Y1309" t="s">
        <v>22</v>
      </c>
      <c r="Z1309" t="s">
        <v>23</v>
      </c>
      <c r="AA1309" t="s">
        <v>24</v>
      </c>
      <c r="AB1309" s="3" t="s">
        <v>1106</v>
      </c>
      <c r="AC1309">
        <v>147</v>
      </c>
      <c r="AD1309" s="3" t="str">
        <f t="shared" si="292"/>
        <v>147</v>
      </c>
      <c r="AE1309">
        <v>90</v>
      </c>
      <c r="AF1309" s="3" t="str">
        <f t="shared" si="293"/>
        <v>90</v>
      </c>
      <c r="AG1309" t="s">
        <v>38</v>
      </c>
      <c r="AH1309" s="3">
        <v>19.305</v>
      </c>
      <c r="AI1309" s="3">
        <f t="shared" si="294"/>
        <v>19.305</v>
      </c>
      <c r="AJ1309" t="s">
        <v>26</v>
      </c>
      <c r="AK1309" t="str">
        <f>PROPER(Table1[[#This Row],[CVD Risk Level]])</f>
        <v>Intermediary</v>
      </c>
    </row>
    <row r="1310" spans="1:37" x14ac:dyDescent="0.3">
      <c r="A1310" t="s">
        <v>20</v>
      </c>
      <c r="B1310">
        <v>79</v>
      </c>
      <c r="C1310" s="8">
        <f t="shared" si="283"/>
        <v>79</v>
      </c>
      <c r="D1310" s="5">
        <v>89.738</v>
      </c>
      <c r="E1310" s="8">
        <f t="shared" si="284"/>
        <v>89.738</v>
      </c>
      <c r="F1310">
        <v>1.8720000000000001</v>
      </c>
      <c r="G1310" s="3">
        <f t="shared" si="285"/>
        <v>1.8720000000000001</v>
      </c>
      <c r="H1310">
        <v>25.768999999999998</v>
      </c>
      <c r="I1310" s="5">
        <f t="shared" si="281"/>
        <v>25.768999999999998</v>
      </c>
      <c r="J1310" s="16" t="str">
        <f t="shared" si="286"/>
        <v>Overweight</v>
      </c>
      <c r="K1310">
        <v>110.836</v>
      </c>
      <c r="L1310">
        <v>0.59199999999999997</v>
      </c>
      <c r="M1310" s="11">
        <f t="shared" si="282"/>
        <v>0.59199999999999997</v>
      </c>
      <c r="N1310" s="5">
        <f t="shared" si="287"/>
        <v>110.836</v>
      </c>
      <c r="O1310">
        <v>216</v>
      </c>
      <c r="P1310">
        <v>63</v>
      </c>
      <c r="Q1310" s="8">
        <f t="shared" si="288"/>
        <v>63</v>
      </c>
      <c r="R1310" s="8">
        <v>123</v>
      </c>
      <c r="S1310" s="8">
        <f t="shared" si="289"/>
        <v>123</v>
      </c>
      <c r="T1310" s="8">
        <f>(Table1[[#This Row],[Total Cholesterol (mg/dL)]]+Table1[[#This Row],[HDL (mg/dL)2]]+Table1[[#This Row],[Estimated LDL (mg/dL)2]])*5</f>
        <v>2010</v>
      </c>
      <c r="U1310" s="8">
        <f>IF(O1310="",Table1[[#This Row],[Estimated LDL (mg/dL)2]]+Table1[[#This Row],[HDL (mg/dL)2]]+(Table1[[#This Row],[Triglycerides]]/5),O1310)</f>
        <v>216</v>
      </c>
      <c r="V1310">
        <v>108</v>
      </c>
      <c r="W1310" s="8">
        <f t="shared" si="290"/>
        <v>108</v>
      </c>
      <c r="X1310" t="str">
        <f t="shared" si="291"/>
        <v>Prediabetes</v>
      </c>
      <c r="Y1310" t="s">
        <v>22</v>
      </c>
      <c r="Z1310" t="s">
        <v>22</v>
      </c>
      <c r="AA1310" t="s">
        <v>37</v>
      </c>
      <c r="AB1310" s="3" t="s">
        <v>1117</v>
      </c>
      <c r="AC1310">
        <v>147</v>
      </c>
      <c r="AD1310" s="3" t="str">
        <f t="shared" si="292"/>
        <v>147</v>
      </c>
      <c r="AE1310">
        <v>108</v>
      </c>
      <c r="AF1310" s="3" t="str">
        <f t="shared" si="293"/>
        <v>108</v>
      </c>
      <c r="AG1310" t="s">
        <v>38</v>
      </c>
      <c r="AH1310" s="3">
        <v>16.824000000000002</v>
      </c>
      <c r="AI1310" s="3">
        <f t="shared" si="294"/>
        <v>16.824000000000002</v>
      </c>
      <c r="AJ1310" t="s">
        <v>52</v>
      </c>
      <c r="AK1310" t="str">
        <f>PROPER(Table1[[#This Row],[CVD Risk Level]])</f>
        <v>Low</v>
      </c>
    </row>
    <row r="1311" spans="1:37" x14ac:dyDescent="0.3">
      <c r="A1311" t="s">
        <v>20</v>
      </c>
      <c r="B1311">
        <v>29</v>
      </c>
      <c r="C1311" s="8">
        <f t="shared" si="283"/>
        <v>29</v>
      </c>
      <c r="D1311" s="5">
        <v>53.847000000000001</v>
      </c>
      <c r="E1311" s="8">
        <f t="shared" si="284"/>
        <v>53.847000000000001</v>
      </c>
      <c r="F1311">
        <v>1.8</v>
      </c>
      <c r="G1311" s="3">
        <f t="shared" si="285"/>
        <v>1.8</v>
      </c>
      <c r="H1311">
        <v>30.696000000000002</v>
      </c>
      <c r="I1311" s="5">
        <f t="shared" si="281"/>
        <v>30.696000000000002</v>
      </c>
      <c r="J1311" s="16" t="str">
        <f t="shared" si="286"/>
        <v>Obese</v>
      </c>
      <c r="K1311">
        <v>103.182</v>
      </c>
      <c r="L1311">
        <v>0.57299999999999995</v>
      </c>
      <c r="M1311" s="11">
        <f t="shared" si="282"/>
        <v>0.57299999999999995</v>
      </c>
      <c r="N1311" s="5">
        <f t="shared" si="287"/>
        <v>103.182</v>
      </c>
      <c r="O1311">
        <v>252</v>
      </c>
      <c r="Q1311" s="8">
        <f t="shared" si="288"/>
        <v>56.197377501725327</v>
      </c>
      <c r="R1311" s="8">
        <v>167</v>
      </c>
      <c r="S1311" s="8">
        <f>IF(R1311&lt;=0,MEDIAN($R$2:$R$1530),R1311)</f>
        <v>167</v>
      </c>
      <c r="T1311" s="8">
        <f>(Table1[[#This Row],[Total Cholesterol (mg/dL)]]+Table1[[#This Row],[HDL (mg/dL)2]]+Table1[[#This Row],[Estimated LDL (mg/dL)2]])*5</f>
        <v>2375.9868875086268</v>
      </c>
      <c r="U1311" s="8">
        <f>IF(O1311="",Table1[[#This Row],[Estimated LDL (mg/dL)2]]+Table1[[#This Row],[HDL (mg/dL)2]]+(Table1[[#This Row],[Triglycerides]]/5),O1311)</f>
        <v>252</v>
      </c>
      <c r="V1311">
        <v>98</v>
      </c>
      <c r="W1311" s="8">
        <f t="shared" si="290"/>
        <v>98</v>
      </c>
      <c r="X1311" t="str">
        <f t="shared" si="291"/>
        <v>Normal</v>
      </c>
      <c r="Y1311" t="s">
        <v>23</v>
      </c>
      <c r="Z1311" t="s">
        <v>23</v>
      </c>
      <c r="AA1311" t="s">
        <v>37</v>
      </c>
      <c r="AB1311" s="3" t="s">
        <v>1118</v>
      </c>
      <c r="AC1311">
        <v>141</v>
      </c>
      <c r="AD1311" s="3" t="str">
        <f t="shared" si="292"/>
        <v>141</v>
      </c>
      <c r="AE1311">
        <v>108</v>
      </c>
      <c r="AF1311" s="3" t="str">
        <f t="shared" si="293"/>
        <v>108</v>
      </c>
      <c r="AG1311" t="s">
        <v>38</v>
      </c>
      <c r="AH1311" s="3">
        <v>20.228999999999999</v>
      </c>
      <c r="AI1311" s="3">
        <f t="shared" si="294"/>
        <v>20.228999999999999</v>
      </c>
      <c r="AJ1311" t="s">
        <v>30</v>
      </c>
      <c r="AK1311" t="str">
        <f>PROPER(Table1[[#This Row],[CVD Risk Level]])</f>
        <v>High</v>
      </c>
    </row>
    <row r="1312" spans="1:37" x14ac:dyDescent="0.3">
      <c r="A1312" t="s">
        <v>20</v>
      </c>
      <c r="B1312">
        <v>71</v>
      </c>
      <c r="C1312" s="8">
        <f t="shared" si="283"/>
        <v>71</v>
      </c>
      <c r="D1312" s="5">
        <v>81.444999999999993</v>
      </c>
      <c r="E1312" s="8">
        <f t="shared" si="284"/>
        <v>81.444999999999993</v>
      </c>
      <c r="F1312">
        <v>1.958</v>
      </c>
      <c r="G1312" s="3">
        <f t="shared" si="285"/>
        <v>1.958</v>
      </c>
      <c r="H1312">
        <v>25.209</v>
      </c>
      <c r="I1312" s="5">
        <f t="shared" si="281"/>
        <v>25.209</v>
      </c>
      <c r="J1312" s="16" t="str">
        <f t="shared" si="286"/>
        <v>Overweight</v>
      </c>
      <c r="K1312">
        <v>87.242000000000004</v>
      </c>
      <c r="L1312">
        <v>0.44600000000000001</v>
      </c>
      <c r="M1312" s="11">
        <f t="shared" si="282"/>
        <v>0.44600000000000001</v>
      </c>
      <c r="N1312" s="5">
        <f t="shared" si="287"/>
        <v>87.242000000000004</v>
      </c>
      <c r="O1312">
        <v>295</v>
      </c>
      <c r="P1312">
        <v>34</v>
      </c>
      <c r="Q1312" s="8">
        <f t="shared" si="288"/>
        <v>34</v>
      </c>
      <c r="S1312" s="8">
        <f t="shared" si="289"/>
        <v>109</v>
      </c>
      <c r="T1312" s="8">
        <f>(Table1[[#This Row],[Total Cholesterol (mg/dL)]]+Table1[[#This Row],[HDL (mg/dL)2]]+Table1[[#This Row],[Estimated LDL (mg/dL)2]])*5</f>
        <v>2190</v>
      </c>
      <c r="U1312" s="8">
        <f>IF(O1312="",Table1[[#This Row],[Estimated LDL (mg/dL)2]]+Table1[[#This Row],[HDL (mg/dL)2]]+(Table1[[#This Row],[Triglycerides]]/5),O1312)</f>
        <v>295</v>
      </c>
      <c r="W1312" s="8">
        <f t="shared" si="290"/>
        <v>117.48563611491107</v>
      </c>
      <c r="X1312" t="str">
        <f t="shared" si="291"/>
        <v>Prediabetes</v>
      </c>
      <c r="Y1312" t="s">
        <v>22</v>
      </c>
      <c r="Z1312" t="s">
        <v>22</v>
      </c>
      <c r="AA1312" t="s">
        <v>37</v>
      </c>
      <c r="AB1312" s="3" t="s">
        <v>408</v>
      </c>
      <c r="AC1312">
        <v>149</v>
      </c>
      <c r="AD1312" s="3" t="str">
        <f t="shared" si="292"/>
        <v>149</v>
      </c>
      <c r="AE1312">
        <v>78</v>
      </c>
      <c r="AF1312" s="3" t="str">
        <f t="shared" si="293"/>
        <v>78</v>
      </c>
      <c r="AG1312" t="s">
        <v>38</v>
      </c>
      <c r="AH1312" s="3">
        <v>18.391999999999999</v>
      </c>
      <c r="AI1312" s="3">
        <f t="shared" si="294"/>
        <v>18.391999999999999</v>
      </c>
      <c r="AJ1312" t="s">
        <v>52</v>
      </c>
      <c r="AK1312" t="str">
        <f>PROPER(Table1[[#This Row],[CVD Risk Level]])</f>
        <v>Low</v>
      </c>
    </row>
    <row r="1313" spans="1:37" x14ac:dyDescent="0.3">
      <c r="A1313" t="s">
        <v>31</v>
      </c>
      <c r="C1313" s="8">
        <f t="shared" si="283"/>
        <v>47.025499655410059</v>
      </c>
      <c r="D1313" s="5">
        <v>83.971000000000004</v>
      </c>
      <c r="E1313" s="8">
        <f t="shared" si="284"/>
        <v>83.971000000000004</v>
      </c>
      <c r="F1313">
        <v>1.925</v>
      </c>
      <c r="G1313" s="3">
        <f t="shared" si="285"/>
        <v>1.925</v>
      </c>
      <c r="H1313">
        <v>27.524999999999999</v>
      </c>
      <c r="I1313" s="5">
        <f t="shared" si="281"/>
        <v>27.524999999999999</v>
      </c>
      <c r="J1313" s="16" t="str">
        <f t="shared" si="286"/>
        <v>Overweight</v>
      </c>
      <c r="K1313">
        <v>91.305000000000007</v>
      </c>
      <c r="L1313">
        <v>0.47399999999999998</v>
      </c>
      <c r="M1313" s="11">
        <f t="shared" si="282"/>
        <v>0.47399999999999998</v>
      </c>
      <c r="N1313" s="5">
        <f t="shared" si="287"/>
        <v>91.305000000000007</v>
      </c>
      <c r="O1313">
        <v>150</v>
      </c>
      <c r="P1313">
        <v>62</v>
      </c>
      <c r="Q1313" s="8">
        <f t="shared" si="288"/>
        <v>62</v>
      </c>
      <c r="R1313" s="8">
        <v>58</v>
      </c>
      <c r="S1313" s="8">
        <f t="shared" si="289"/>
        <v>58</v>
      </c>
      <c r="T1313" s="8">
        <f>(Table1[[#This Row],[Total Cholesterol (mg/dL)]]+Table1[[#This Row],[HDL (mg/dL)2]]+Table1[[#This Row],[Estimated LDL (mg/dL)2]])*5</f>
        <v>1350</v>
      </c>
      <c r="U1313" s="8">
        <f>IF(O1313="",Table1[[#This Row],[Estimated LDL (mg/dL)2]]+Table1[[#This Row],[HDL (mg/dL)2]]+(Table1[[#This Row],[Triglycerides]]/5),O1313)</f>
        <v>150</v>
      </c>
      <c r="V1313">
        <v>173</v>
      </c>
      <c r="W1313" s="8">
        <f t="shared" si="290"/>
        <v>173</v>
      </c>
      <c r="X1313" t="str">
        <f t="shared" si="291"/>
        <v>Diabetes</v>
      </c>
      <c r="Y1313" t="s">
        <v>22</v>
      </c>
      <c r="Z1313" t="s">
        <v>23</v>
      </c>
      <c r="AA1313" t="s">
        <v>28</v>
      </c>
      <c r="AB1313" s="3" t="s">
        <v>612</v>
      </c>
      <c r="AC1313">
        <v>91</v>
      </c>
      <c r="AD1313" s="3" t="str">
        <f t="shared" si="292"/>
        <v>91</v>
      </c>
      <c r="AE1313">
        <v>98</v>
      </c>
      <c r="AF1313" s="3" t="str">
        <f t="shared" si="293"/>
        <v>98</v>
      </c>
      <c r="AG1313" t="s">
        <v>38</v>
      </c>
      <c r="AH1313" s="3">
        <v>15.055</v>
      </c>
      <c r="AI1313" s="3">
        <f t="shared" si="294"/>
        <v>15.055</v>
      </c>
      <c r="AJ1313" t="s">
        <v>30</v>
      </c>
      <c r="AK1313" t="str">
        <f>PROPER(Table1[[#This Row],[CVD Risk Level]])</f>
        <v>High</v>
      </c>
    </row>
    <row r="1314" spans="1:37" x14ac:dyDescent="0.3">
      <c r="A1314" t="s">
        <v>20</v>
      </c>
      <c r="B1314">
        <v>30</v>
      </c>
      <c r="C1314" s="8">
        <f t="shared" si="283"/>
        <v>30</v>
      </c>
      <c r="D1314" s="5">
        <v>115.794</v>
      </c>
      <c r="E1314" s="8">
        <f t="shared" si="284"/>
        <v>115.794</v>
      </c>
      <c r="F1314">
        <v>1.641</v>
      </c>
      <c r="G1314" s="3">
        <f t="shared" si="285"/>
        <v>1.641</v>
      </c>
      <c r="H1314">
        <v>20.564</v>
      </c>
      <c r="I1314" s="5">
        <f t="shared" si="281"/>
        <v>20.564</v>
      </c>
      <c r="J1314" s="16" t="str">
        <f t="shared" si="286"/>
        <v>Normal</v>
      </c>
      <c r="L1314">
        <v>0.63800000000000001</v>
      </c>
      <c r="M1314" s="11">
        <f t="shared" si="282"/>
        <v>0.63800000000000001</v>
      </c>
      <c r="N1314" s="5">
        <f t="shared" si="287"/>
        <v>104.69579999999999</v>
      </c>
      <c r="O1314">
        <v>219</v>
      </c>
      <c r="Q1314" s="8">
        <f t="shared" si="288"/>
        <v>56.197377501725327</v>
      </c>
      <c r="R1314" s="8">
        <v>152</v>
      </c>
      <c r="S1314" s="8">
        <f>IF(R1314&lt;=0,MEDIAN($R$2:$R$1530),R1314)</f>
        <v>152</v>
      </c>
      <c r="T1314" s="8">
        <f>(Table1[[#This Row],[Total Cholesterol (mg/dL)]]+Table1[[#This Row],[HDL (mg/dL)2]]+Table1[[#This Row],[Estimated LDL (mg/dL)2]])*5</f>
        <v>2135.9868875086268</v>
      </c>
      <c r="U1314" s="8">
        <f>IF(O1314="",Table1[[#This Row],[Estimated LDL (mg/dL)2]]+Table1[[#This Row],[HDL (mg/dL)2]]+(Table1[[#This Row],[Triglycerides]]/5),O1314)</f>
        <v>219</v>
      </c>
      <c r="V1314">
        <v>115</v>
      </c>
      <c r="W1314" s="8">
        <f t="shared" si="290"/>
        <v>115</v>
      </c>
      <c r="X1314" t="str">
        <f t="shared" si="291"/>
        <v>Prediabetes</v>
      </c>
      <c r="Y1314" t="s">
        <v>23</v>
      </c>
      <c r="Z1314" t="s">
        <v>22</v>
      </c>
      <c r="AA1314" t="s">
        <v>24</v>
      </c>
      <c r="AB1314" s="3" t="s">
        <v>1119</v>
      </c>
      <c r="AC1314">
        <v>99</v>
      </c>
      <c r="AD1314" s="3" t="str">
        <f t="shared" si="292"/>
        <v>99</v>
      </c>
      <c r="AE1314">
        <v>73</v>
      </c>
      <c r="AF1314" s="3" t="str">
        <f t="shared" si="293"/>
        <v>73</v>
      </c>
      <c r="AG1314" t="s">
        <v>33</v>
      </c>
      <c r="AH1314" s="3">
        <v>13.443</v>
      </c>
      <c r="AI1314" s="3">
        <f t="shared" si="294"/>
        <v>13.443</v>
      </c>
      <c r="AJ1314" t="s">
        <v>26</v>
      </c>
      <c r="AK1314" t="str">
        <f>PROPER(Table1[[#This Row],[CVD Risk Level]])</f>
        <v>Intermediary</v>
      </c>
    </row>
    <row r="1315" spans="1:37" x14ac:dyDescent="0.3">
      <c r="A1315" t="s">
        <v>31</v>
      </c>
      <c r="B1315">
        <v>41</v>
      </c>
      <c r="C1315" s="8">
        <f t="shared" si="283"/>
        <v>41</v>
      </c>
      <c r="D1315" s="5">
        <v>116.024</v>
      </c>
      <c r="E1315" s="8">
        <f t="shared" si="284"/>
        <v>116.024</v>
      </c>
      <c r="F1315">
        <v>1.5389999999999999</v>
      </c>
      <c r="G1315" s="3">
        <f t="shared" si="285"/>
        <v>1.5389999999999999</v>
      </c>
      <c r="H1315">
        <v>23.917000000000002</v>
      </c>
      <c r="I1315" s="5">
        <f t="shared" si="281"/>
        <v>23.917000000000002</v>
      </c>
      <c r="J1315" s="16" t="str">
        <f t="shared" si="286"/>
        <v>Normal</v>
      </c>
      <c r="K1315">
        <v>72.846999999999994</v>
      </c>
      <c r="L1315">
        <v>0.47299999999999998</v>
      </c>
      <c r="M1315" s="11">
        <f t="shared" si="282"/>
        <v>0.47299999999999998</v>
      </c>
      <c r="N1315" s="5">
        <f t="shared" si="287"/>
        <v>72.846999999999994</v>
      </c>
      <c r="O1315">
        <v>208</v>
      </c>
      <c r="P1315">
        <v>69</v>
      </c>
      <c r="Q1315" s="8">
        <f t="shared" si="288"/>
        <v>69</v>
      </c>
      <c r="R1315" s="8">
        <v>109</v>
      </c>
      <c r="S1315" s="8">
        <f t="shared" si="289"/>
        <v>109</v>
      </c>
      <c r="T1315" s="8">
        <f>(Table1[[#This Row],[Total Cholesterol (mg/dL)]]+Table1[[#This Row],[HDL (mg/dL)2]]+Table1[[#This Row],[Estimated LDL (mg/dL)2]])*5</f>
        <v>1930</v>
      </c>
      <c r="U1315" s="8">
        <f>IF(O1315="",Table1[[#This Row],[Estimated LDL (mg/dL)2]]+Table1[[#This Row],[HDL (mg/dL)2]]+(Table1[[#This Row],[Triglycerides]]/5),O1315)</f>
        <v>208</v>
      </c>
      <c r="V1315">
        <v>84</v>
      </c>
      <c r="W1315" s="8">
        <f t="shared" si="290"/>
        <v>84</v>
      </c>
      <c r="X1315" t="str">
        <f t="shared" si="291"/>
        <v>Normal</v>
      </c>
      <c r="Y1315" t="s">
        <v>22</v>
      </c>
      <c r="Z1315" t="s">
        <v>23</v>
      </c>
      <c r="AA1315" t="s">
        <v>37</v>
      </c>
      <c r="AB1315" s="3" t="s">
        <v>1120</v>
      </c>
      <c r="AC1315">
        <v>161</v>
      </c>
      <c r="AD1315" s="3" t="str">
        <f t="shared" si="292"/>
        <v>161</v>
      </c>
      <c r="AE1315">
        <v>92</v>
      </c>
      <c r="AF1315" s="3" t="str">
        <f t="shared" si="293"/>
        <v>92</v>
      </c>
      <c r="AG1315" t="s">
        <v>38</v>
      </c>
      <c r="AH1315" s="3">
        <v>18.992999999999999</v>
      </c>
      <c r="AI1315" s="3">
        <f t="shared" si="294"/>
        <v>18.992999999999999</v>
      </c>
      <c r="AJ1315" t="s">
        <v>26</v>
      </c>
      <c r="AK1315" t="str">
        <f>PROPER(Table1[[#This Row],[CVD Risk Level]])</f>
        <v>Intermediary</v>
      </c>
    </row>
    <row r="1316" spans="1:37" x14ac:dyDescent="0.3">
      <c r="A1316" t="s">
        <v>31</v>
      </c>
      <c r="B1316">
        <v>67</v>
      </c>
      <c r="C1316" s="8">
        <f t="shared" si="283"/>
        <v>67</v>
      </c>
      <c r="E1316" s="8">
        <f t="shared" si="284"/>
        <v>82.055338848000005</v>
      </c>
      <c r="F1316">
        <v>1.722</v>
      </c>
      <c r="G1316" s="3">
        <f t="shared" si="285"/>
        <v>1.722</v>
      </c>
      <c r="H1316">
        <v>27.672000000000001</v>
      </c>
      <c r="I1316" s="5">
        <f t="shared" si="281"/>
        <v>27.672000000000001</v>
      </c>
      <c r="J1316" s="16" t="str">
        <f t="shared" si="286"/>
        <v>Overweight</v>
      </c>
      <c r="K1316">
        <v>85.176000000000002</v>
      </c>
      <c r="L1316">
        <v>0.495</v>
      </c>
      <c r="M1316" s="11">
        <f t="shared" si="282"/>
        <v>0.495</v>
      </c>
      <c r="N1316" s="5">
        <f t="shared" si="287"/>
        <v>85.176000000000002</v>
      </c>
      <c r="O1316">
        <v>232</v>
      </c>
      <c r="P1316">
        <v>34</v>
      </c>
      <c r="Q1316" s="8">
        <f t="shared" si="288"/>
        <v>34</v>
      </c>
      <c r="R1316" s="8">
        <v>168</v>
      </c>
      <c r="S1316" s="8">
        <f t="shared" si="289"/>
        <v>168</v>
      </c>
      <c r="T1316" s="8">
        <f>(Table1[[#This Row],[Total Cholesterol (mg/dL)]]+Table1[[#This Row],[HDL (mg/dL)2]]+Table1[[#This Row],[Estimated LDL (mg/dL)2]])*5</f>
        <v>2170</v>
      </c>
      <c r="U1316" s="8">
        <f>IF(O1316="",Table1[[#This Row],[Estimated LDL (mg/dL)2]]+Table1[[#This Row],[HDL (mg/dL)2]]+(Table1[[#This Row],[Triglycerides]]/5),O1316)</f>
        <v>232</v>
      </c>
      <c r="V1316">
        <v>192</v>
      </c>
      <c r="W1316" s="8">
        <f t="shared" si="290"/>
        <v>192</v>
      </c>
      <c r="X1316" t="str">
        <f t="shared" si="291"/>
        <v>Diabetes</v>
      </c>
      <c r="Y1316" t="s">
        <v>22</v>
      </c>
      <c r="Z1316" t="s">
        <v>22</v>
      </c>
      <c r="AA1316" t="s">
        <v>37</v>
      </c>
      <c r="AB1316" s="3" t="s">
        <v>1121</v>
      </c>
      <c r="AC1316">
        <v>162</v>
      </c>
      <c r="AD1316" s="3" t="str">
        <f t="shared" si="292"/>
        <v>162</v>
      </c>
      <c r="AE1316">
        <v>79</v>
      </c>
      <c r="AF1316" s="3" t="str">
        <f t="shared" si="293"/>
        <v>79</v>
      </c>
      <c r="AG1316" t="s">
        <v>38</v>
      </c>
      <c r="AH1316" s="3">
        <v>18.274000000000001</v>
      </c>
      <c r="AI1316" s="3">
        <f t="shared" si="294"/>
        <v>18.274000000000001</v>
      </c>
      <c r="AJ1316" t="s">
        <v>30</v>
      </c>
      <c r="AK1316" t="str">
        <f>PROPER(Table1[[#This Row],[CVD Risk Level]])</f>
        <v>High</v>
      </c>
    </row>
    <row r="1317" spans="1:37" x14ac:dyDescent="0.3">
      <c r="A1317" t="s">
        <v>20</v>
      </c>
      <c r="B1317">
        <v>60</v>
      </c>
      <c r="C1317" s="8">
        <f t="shared" si="283"/>
        <v>60</v>
      </c>
      <c r="D1317" s="5">
        <v>107.84099999999999</v>
      </c>
      <c r="E1317" s="8">
        <f t="shared" si="284"/>
        <v>107.84099999999999</v>
      </c>
      <c r="F1317">
        <v>1.7030000000000001</v>
      </c>
      <c r="G1317" s="3">
        <f t="shared" si="285"/>
        <v>1.7030000000000001</v>
      </c>
      <c r="H1317">
        <v>37.747</v>
      </c>
      <c r="I1317" s="5">
        <f t="shared" si="281"/>
        <v>37.747</v>
      </c>
      <c r="J1317" s="16" t="str">
        <f t="shared" si="286"/>
        <v>Obese</v>
      </c>
      <c r="K1317">
        <v>88.787000000000006</v>
      </c>
      <c r="L1317">
        <v>0.52100000000000002</v>
      </c>
      <c r="M1317" s="11">
        <f t="shared" si="282"/>
        <v>0.52100000000000002</v>
      </c>
      <c r="N1317" s="5">
        <f t="shared" si="287"/>
        <v>88.787000000000006</v>
      </c>
      <c r="O1317">
        <v>214</v>
      </c>
      <c r="P1317">
        <v>73</v>
      </c>
      <c r="Q1317" s="8">
        <f t="shared" si="288"/>
        <v>73</v>
      </c>
      <c r="R1317" s="8">
        <v>111</v>
      </c>
      <c r="S1317" s="8">
        <f t="shared" si="289"/>
        <v>111</v>
      </c>
      <c r="T1317" s="8">
        <f>(Table1[[#This Row],[Total Cholesterol (mg/dL)]]+Table1[[#This Row],[HDL (mg/dL)2]]+Table1[[#This Row],[Estimated LDL (mg/dL)2]])*5</f>
        <v>1990</v>
      </c>
      <c r="U1317" s="8">
        <f>IF(O1317="",Table1[[#This Row],[Estimated LDL (mg/dL)2]]+Table1[[#This Row],[HDL (mg/dL)2]]+(Table1[[#This Row],[Triglycerides]]/5),O1317)</f>
        <v>214</v>
      </c>
      <c r="V1317">
        <v>118</v>
      </c>
      <c r="W1317" s="8">
        <f t="shared" si="290"/>
        <v>118</v>
      </c>
      <c r="X1317" t="str">
        <f t="shared" si="291"/>
        <v>Prediabetes</v>
      </c>
      <c r="Y1317" t="s">
        <v>23</v>
      </c>
      <c r="Z1317" t="s">
        <v>22</v>
      </c>
      <c r="AA1317" t="s">
        <v>37</v>
      </c>
      <c r="AB1317" s="3" t="s">
        <v>1122</v>
      </c>
      <c r="AC1317">
        <v>132</v>
      </c>
      <c r="AD1317" s="3" t="str">
        <f t="shared" si="292"/>
        <v>132</v>
      </c>
      <c r="AF1317" s="3" t="str">
        <f t="shared" si="293"/>
        <v>63</v>
      </c>
      <c r="AG1317" t="s">
        <v>29</v>
      </c>
      <c r="AI1317" s="3">
        <f t="shared" si="294"/>
        <v>16.960925291295425</v>
      </c>
      <c r="AJ1317" t="s">
        <v>52</v>
      </c>
      <c r="AK1317" t="str">
        <f>PROPER(Table1[[#This Row],[CVD Risk Level]])</f>
        <v>Low</v>
      </c>
    </row>
    <row r="1318" spans="1:37" x14ac:dyDescent="0.3">
      <c r="A1318" t="s">
        <v>31</v>
      </c>
      <c r="B1318">
        <v>63</v>
      </c>
      <c r="C1318" s="8">
        <f t="shared" si="283"/>
        <v>63</v>
      </c>
      <c r="D1318" s="5">
        <v>96.870999999999995</v>
      </c>
      <c r="E1318" s="8">
        <f t="shared" si="284"/>
        <v>96.870999999999995</v>
      </c>
      <c r="F1318">
        <v>1.673</v>
      </c>
      <c r="G1318" s="3">
        <f t="shared" si="285"/>
        <v>1.673</v>
      </c>
      <c r="H1318">
        <v>31.201000000000001</v>
      </c>
      <c r="I1318" s="5">
        <f t="shared" si="281"/>
        <v>31.201000000000001</v>
      </c>
      <c r="J1318" s="16" t="str">
        <f t="shared" si="286"/>
        <v>Obese</v>
      </c>
      <c r="K1318">
        <v>103.46299999999999</v>
      </c>
      <c r="L1318">
        <v>0.61799999999999999</v>
      </c>
      <c r="M1318" s="11">
        <f t="shared" si="282"/>
        <v>0.61799999999999999</v>
      </c>
      <c r="N1318" s="5">
        <f t="shared" si="287"/>
        <v>103.46299999999999</v>
      </c>
      <c r="O1318">
        <v>289</v>
      </c>
      <c r="P1318">
        <v>62</v>
      </c>
      <c r="Q1318" s="8">
        <f t="shared" si="288"/>
        <v>62</v>
      </c>
      <c r="R1318" s="8">
        <v>197</v>
      </c>
      <c r="S1318" s="8">
        <f t="shared" si="289"/>
        <v>197</v>
      </c>
      <c r="T1318" s="8">
        <f>(Table1[[#This Row],[Total Cholesterol (mg/dL)]]+Table1[[#This Row],[HDL (mg/dL)2]]+Table1[[#This Row],[Estimated LDL (mg/dL)2]])*5</f>
        <v>2740</v>
      </c>
      <c r="U1318" s="8">
        <f>IF(O1318="",Table1[[#This Row],[Estimated LDL (mg/dL)2]]+Table1[[#This Row],[HDL (mg/dL)2]]+(Table1[[#This Row],[Triglycerides]]/5),O1318)</f>
        <v>289</v>
      </c>
      <c r="W1318" s="8">
        <f t="shared" si="290"/>
        <v>117.48563611491107</v>
      </c>
      <c r="X1318" t="str">
        <f t="shared" si="291"/>
        <v>Prediabetes</v>
      </c>
      <c r="Y1318" t="s">
        <v>22</v>
      </c>
      <c r="Z1318" t="s">
        <v>22</v>
      </c>
      <c r="AA1318" t="s">
        <v>24</v>
      </c>
      <c r="AB1318" s="3" t="s">
        <v>1123</v>
      </c>
      <c r="AC1318">
        <v>107</v>
      </c>
      <c r="AD1318" s="3" t="str">
        <f t="shared" si="292"/>
        <v>107</v>
      </c>
      <c r="AE1318">
        <v>65</v>
      </c>
      <c r="AF1318" s="3" t="str">
        <f t="shared" si="293"/>
        <v>65</v>
      </c>
      <c r="AG1318" t="s">
        <v>33</v>
      </c>
      <c r="AH1318" s="3">
        <v>17.37</v>
      </c>
      <c r="AI1318" s="3">
        <f t="shared" si="294"/>
        <v>17.37</v>
      </c>
      <c r="AJ1318" t="s">
        <v>26</v>
      </c>
      <c r="AK1318" t="str">
        <f>PROPER(Table1[[#This Row],[CVD Risk Level]])</f>
        <v>Intermediary</v>
      </c>
    </row>
    <row r="1319" spans="1:37" x14ac:dyDescent="0.3">
      <c r="A1319" t="s">
        <v>31</v>
      </c>
      <c r="B1319">
        <v>64</v>
      </c>
      <c r="C1319" s="8">
        <f t="shared" si="283"/>
        <v>64</v>
      </c>
      <c r="D1319" s="5">
        <v>109.962</v>
      </c>
      <c r="E1319" s="8">
        <f t="shared" si="284"/>
        <v>109.962</v>
      </c>
      <c r="F1319">
        <v>1.865</v>
      </c>
      <c r="G1319" s="3">
        <f t="shared" si="285"/>
        <v>1.865</v>
      </c>
      <c r="H1319">
        <v>31.501999999999999</v>
      </c>
      <c r="I1319" s="5">
        <f t="shared" si="281"/>
        <v>31.501999999999999</v>
      </c>
      <c r="J1319" s="16" t="str">
        <f t="shared" si="286"/>
        <v>Obese</v>
      </c>
      <c r="K1319">
        <v>83.17</v>
      </c>
      <c r="L1319">
        <v>0.44600000000000001</v>
      </c>
      <c r="M1319" s="11">
        <f t="shared" si="282"/>
        <v>0.44600000000000001</v>
      </c>
      <c r="N1319" s="5">
        <f t="shared" si="287"/>
        <v>83.17</v>
      </c>
      <c r="O1319">
        <v>160</v>
      </c>
      <c r="P1319">
        <v>75</v>
      </c>
      <c r="Q1319" s="8">
        <f t="shared" si="288"/>
        <v>75</v>
      </c>
      <c r="R1319" s="8">
        <v>55</v>
      </c>
      <c r="S1319" s="8">
        <f t="shared" si="289"/>
        <v>55</v>
      </c>
      <c r="T1319" s="8">
        <f>(Table1[[#This Row],[Total Cholesterol (mg/dL)]]+Table1[[#This Row],[HDL (mg/dL)2]]+Table1[[#This Row],[Estimated LDL (mg/dL)2]])*5</f>
        <v>1450</v>
      </c>
      <c r="U1319" s="8">
        <f>IF(O1319="",Table1[[#This Row],[Estimated LDL (mg/dL)2]]+Table1[[#This Row],[HDL (mg/dL)2]]+(Table1[[#This Row],[Triglycerides]]/5),O1319)</f>
        <v>160</v>
      </c>
      <c r="V1319">
        <v>134</v>
      </c>
      <c r="W1319" s="8">
        <f t="shared" si="290"/>
        <v>134</v>
      </c>
      <c r="X1319" t="str">
        <f t="shared" si="291"/>
        <v>Diabetes</v>
      </c>
      <c r="Y1319" t="s">
        <v>23</v>
      </c>
      <c r="Z1319" t="s">
        <v>22</v>
      </c>
      <c r="AA1319" t="s">
        <v>37</v>
      </c>
      <c r="AB1319" s="3" t="s">
        <v>1124</v>
      </c>
      <c r="AC1319">
        <v>163</v>
      </c>
      <c r="AD1319" s="3" t="str">
        <f t="shared" si="292"/>
        <v>163</v>
      </c>
      <c r="AE1319">
        <v>78</v>
      </c>
      <c r="AF1319" s="3" t="str">
        <f t="shared" si="293"/>
        <v>78</v>
      </c>
      <c r="AG1319" t="s">
        <v>38</v>
      </c>
      <c r="AH1319" s="3">
        <v>17.649999999999999</v>
      </c>
      <c r="AI1319" s="3">
        <f t="shared" si="294"/>
        <v>17.649999999999999</v>
      </c>
      <c r="AJ1319" t="s">
        <v>30</v>
      </c>
      <c r="AK1319" t="str">
        <f>PROPER(Table1[[#This Row],[CVD Risk Level]])</f>
        <v>High</v>
      </c>
    </row>
    <row r="1320" spans="1:37" x14ac:dyDescent="0.3">
      <c r="A1320" t="s">
        <v>20</v>
      </c>
      <c r="C1320" s="8">
        <f t="shared" si="283"/>
        <v>47.025499655410059</v>
      </c>
      <c r="D1320" s="5">
        <v>112.52</v>
      </c>
      <c r="E1320" s="8">
        <f t="shared" si="284"/>
        <v>112.52</v>
      </c>
      <c r="F1320">
        <v>1.52</v>
      </c>
      <c r="G1320" s="3">
        <f t="shared" si="285"/>
        <v>1.52</v>
      </c>
      <c r="H1320">
        <v>21.988</v>
      </c>
      <c r="I1320" s="5">
        <f t="shared" si="281"/>
        <v>21.988</v>
      </c>
      <c r="J1320" s="16" t="str">
        <f t="shared" si="286"/>
        <v>Normal</v>
      </c>
      <c r="K1320">
        <v>106.12</v>
      </c>
      <c r="L1320">
        <v>0.69799999999999995</v>
      </c>
      <c r="M1320" s="11">
        <f t="shared" si="282"/>
        <v>0.69799999999999995</v>
      </c>
      <c r="N1320" s="5">
        <f t="shared" si="287"/>
        <v>106.12</v>
      </c>
      <c r="O1320">
        <v>228</v>
      </c>
      <c r="P1320">
        <v>40</v>
      </c>
      <c r="Q1320" s="8">
        <f t="shared" si="288"/>
        <v>40</v>
      </c>
      <c r="R1320" s="8">
        <v>158</v>
      </c>
      <c r="S1320" s="8">
        <f t="shared" si="289"/>
        <v>158</v>
      </c>
      <c r="T1320" s="8">
        <f>(Table1[[#This Row],[Total Cholesterol (mg/dL)]]+Table1[[#This Row],[HDL (mg/dL)2]]+Table1[[#This Row],[Estimated LDL (mg/dL)2]])*5</f>
        <v>2130</v>
      </c>
      <c r="U1320" s="8">
        <f>IF(O1320="",Table1[[#This Row],[Estimated LDL (mg/dL)2]]+Table1[[#This Row],[HDL (mg/dL)2]]+(Table1[[#This Row],[Triglycerides]]/5),O1320)</f>
        <v>228</v>
      </c>
      <c r="V1320">
        <v>91</v>
      </c>
      <c r="W1320" s="8">
        <f t="shared" si="290"/>
        <v>91</v>
      </c>
      <c r="X1320" t="str">
        <f t="shared" si="291"/>
        <v>Normal</v>
      </c>
      <c r="Y1320" t="s">
        <v>22</v>
      </c>
      <c r="Z1320" t="s">
        <v>23</v>
      </c>
      <c r="AA1320" t="s">
        <v>24</v>
      </c>
      <c r="AB1320" s="3" t="s">
        <v>1125</v>
      </c>
      <c r="AC1320">
        <v>117</v>
      </c>
      <c r="AD1320" s="3" t="str">
        <f t="shared" si="292"/>
        <v>117</v>
      </c>
      <c r="AE1320">
        <v>96</v>
      </c>
      <c r="AF1320" s="3" t="str">
        <f t="shared" si="293"/>
        <v>96</v>
      </c>
      <c r="AG1320" t="s">
        <v>38</v>
      </c>
      <c r="AH1320" s="3">
        <v>16.808</v>
      </c>
      <c r="AI1320" s="3">
        <f t="shared" si="294"/>
        <v>16.808</v>
      </c>
      <c r="AJ1320" t="s">
        <v>52</v>
      </c>
      <c r="AK1320" t="str">
        <f>PROPER(Table1[[#This Row],[CVD Risk Level]])</f>
        <v>Low</v>
      </c>
    </row>
    <row r="1321" spans="1:37" x14ac:dyDescent="0.3">
      <c r="A1321" t="s">
        <v>31</v>
      </c>
      <c r="B1321">
        <v>49</v>
      </c>
      <c r="C1321" s="8">
        <f t="shared" si="283"/>
        <v>49</v>
      </c>
      <c r="D1321" s="5">
        <v>66.072999999999993</v>
      </c>
      <c r="E1321" s="8">
        <f t="shared" si="284"/>
        <v>66.072999999999993</v>
      </c>
      <c r="F1321">
        <v>1.94</v>
      </c>
      <c r="G1321" s="3">
        <f t="shared" si="285"/>
        <v>1.94</v>
      </c>
      <c r="H1321">
        <v>32.301000000000002</v>
      </c>
      <c r="I1321" s="5">
        <f t="shared" si="281"/>
        <v>32.301000000000002</v>
      </c>
      <c r="J1321" s="16" t="str">
        <f t="shared" si="286"/>
        <v>Obese</v>
      </c>
      <c r="K1321">
        <v>90.433000000000007</v>
      </c>
      <c r="L1321">
        <v>0.46600000000000003</v>
      </c>
      <c r="M1321" s="11">
        <f t="shared" si="282"/>
        <v>0.46600000000000003</v>
      </c>
      <c r="N1321" s="5">
        <f t="shared" si="287"/>
        <v>90.433000000000007</v>
      </c>
      <c r="O1321">
        <v>240</v>
      </c>
      <c r="P1321">
        <v>37</v>
      </c>
      <c r="Q1321" s="8">
        <f t="shared" si="288"/>
        <v>37</v>
      </c>
      <c r="R1321" s="8">
        <v>173</v>
      </c>
      <c r="S1321" s="8">
        <f t="shared" si="289"/>
        <v>173</v>
      </c>
      <c r="T1321" s="8">
        <f>(Table1[[#This Row],[Total Cholesterol (mg/dL)]]+Table1[[#This Row],[HDL (mg/dL)2]]+Table1[[#This Row],[Estimated LDL (mg/dL)2]])*5</f>
        <v>2250</v>
      </c>
      <c r="U1321" s="8">
        <f>IF(O1321="",Table1[[#This Row],[Estimated LDL (mg/dL)2]]+Table1[[#This Row],[HDL (mg/dL)2]]+(Table1[[#This Row],[Triglycerides]]/5),O1321)</f>
        <v>240</v>
      </c>
      <c r="V1321">
        <v>157</v>
      </c>
      <c r="W1321" s="8">
        <f t="shared" si="290"/>
        <v>157</v>
      </c>
      <c r="X1321" t="str">
        <f t="shared" si="291"/>
        <v>Diabetes</v>
      </c>
      <c r="Y1321" t="s">
        <v>22</v>
      </c>
      <c r="Z1321" t="s">
        <v>23</v>
      </c>
      <c r="AA1321" t="s">
        <v>37</v>
      </c>
      <c r="AB1321" s="3" t="s">
        <v>790</v>
      </c>
      <c r="AC1321">
        <v>122</v>
      </c>
      <c r="AD1321" s="3" t="str">
        <f t="shared" si="292"/>
        <v>122</v>
      </c>
      <c r="AE1321">
        <v>97</v>
      </c>
      <c r="AF1321" s="3" t="str">
        <f t="shared" si="293"/>
        <v>97</v>
      </c>
      <c r="AG1321" t="s">
        <v>38</v>
      </c>
      <c r="AH1321" s="3">
        <v>19.36</v>
      </c>
      <c r="AI1321" s="3">
        <f t="shared" si="294"/>
        <v>19.36</v>
      </c>
      <c r="AJ1321" t="s">
        <v>30</v>
      </c>
      <c r="AK1321" t="str">
        <f>PROPER(Table1[[#This Row],[CVD Risk Level]])</f>
        <v>High</v>
      </c>
    </row>
    <row r="1322" spans="1:37" x14ac:dyDescent="0.3">
      <c r="A1322" t="s">
        <v>20</v>
      </c>
      <c r="B1322">
        <v>66</v>
      </c>
      <c r="C1322" s="8">
        <f t="shared" si="283"/>
        <v>66</v>
      </c>
      <c r="D1322" s="5">
        <v>56.363</v>
      </c>
      <c r="E1322" s="8">
        <f t="shared" si="284"/>
        <v>56.363</v>
      </c>
      <c r="F1322">
        <v>1.6659999999999999</v>
      </c>
      <c r="G1322" s="3">
        <f t="shared" si="285"/>
        <v>1.6659999999999999</v>
      </c>
      <c r="H1322">
        <v>27.126999999999999</v>
      </c>
      <c r="I1322" s="5">
        <f t="shared" si="281"/>
        <v>27.126999999999999</v>
      </c>
      <c r="J1322" s="16" t="str">
        <f t="shared" si="286"/>
        <v>Overweight</v>
      </c>
      <c r="K1322">
        <v>75.180999999999997</v>
      </c>
      <c r="L1322">
        <v>0.45100000000000001</v>
      </c>
      <c r="M1322" s="11">
        <f t="shared" si="282"/>
        <v>0.45100000000000001</v>
      </c>
      <c r="N1322" s="5">
        <f t="shared" si="287"/>
        <v>75.180999999999997</v>
      </c>
      <c r="O1322">
        <v>179</v>
      </c>
      <c r="P1322">
        <v>34</v>
      </c>
      <c r="Q1322" s="8">
        <f t="shared" si="288"/>
        <v>34</v>
      </c>
      <c r="R1322" s="8">
        <v>115</v>
      </c>
      <c r="S1322" s="8">
        <f t="shared" si="289"/>
        <v>115</v>
      </c>
      <c r="T1322" s="8">
        <f>(Table1[[#This Row],[Total Cholesterol (mg/dL)]]+Table1[[#This Row],[HDL (mg/dL)2]]+Table1[[#This Row],[Estimated LDL (mg/dL)2]])*5</f>
        <v>1640</v>
      </c>
      <c r="U1322" s="8">
        <f>IF(O1322="",Table1[[#This Row],[Estimated LDL (mg/dL)2]]+Table1[[#This Row],[HDL (mg/dL)2]]+(Table1[[#This Row],[Triglycerides]]/5),O1322)</f>
        <v>179</v>
      </c>
      <c r="V1322">
        <v>148</v>
      </c>
      <c r="W1322" s="8">
        <f t="shared" si="290"/>
        <v>148</v>
      </c>
      <c r="X1322" t="str">
        <f t="shared" si="291"/>
        <v>Diabetes</v>
      </c>
      <c r="Y1322" t="s">
        <v>22</v>
      </c>
      <c r="Z1322" t="s">
        <v>22</v>
      </c>
      <c r="AA1322" t="s">
        <v>24</v>
      </c>
      <c r="AB1322" s="3" t="s">
        <v>1126</v>
      </c>
      <c r="AC1322">
        <v>101</v>
      </c>
      <c r="AD1322" s="3" t="str">
        <f t="shared" si="292"/>
        <v>101</v>
      </c>
      <c r="AE1322">
        <v>91</v>
      </c>
      <c r="AF1322" s="3" t="str">
        <f t="shared" si="293"/>
        <v>91</v>
      </c>
      <c r="AG1322" t="s">
        <v>38</v>
      </c>
      <c r="AH1322" s="3">
        <v>14.055</v>
      </c>
      <c r="AI1322" s="3">
        <f t="shared" si="294"/>
        <v>14.055</v>
      </c>
      <c r="AJ1322" t="s">
        <v>26</v>
      </c>
      <c r="AK1322" t="str">
        <f>PROPER(Table1[[#This Row],[CVD Risk Level]])</f>
        <v>Intermediary</v>
      </c>
    </row>
    <row r="1323" spans="1:37" x14ac:dyDescent="0.3">
      <c r="A1323" t="s">
        <v>20</v>
      </c>
      <c r="B1323">
        <v>31</v>
      </c>
      <c r="C1323" s="8">
        <f t="shared" si="283"/>
        <v>31</v>
      </c>
      <c r="D1323" s="5">
        <v>61.393000000000001</v>
      </c>
      <c r="E1323" s="8">
        <f t="shared" si="284"/>
        <v>61.393000000000001</v>
      </c>
      <c r="F1323">
        <v>1.63</v>
      </c>
      <c r="G1323" s="3">
        <f t="shared" si="285"/>
        <v>1.63</v>
      </c>
      <c r="H1323">
        <v>22.696000000000002</v>
      </c>
      <c r="I1323" s="5">
        <f t="shared" si="281"/>
        <v>22.696000000000002</v>
      </c>
      <c r="J1323" s="16" t="str">
        <f t="shared" si="286"/>
        <v>Normal</v>
      </c>
      <c r="K1323">
        <v>111.024</v>
      </c>
      <c r="L1323">
        <v>0.68100000000000005</v>
      </c>
      <c r="M1323" s="11">
        <f t="shared" si="282"/>
        <v>0.68100000000000005</v>
      </c>
      <c r="N1323" s="5">
        <f t="shared" si="287"/>
        <v>111.024</v>
      </c>
      <c r="O1323">
        <v>164</v>
      </c>
      <c r="P1323">
        <v>85</v>
      </c>
      <c r="Q1323" s="8">
        <f t="shared" si="288"/>
        <v>85</v>
      </c>
      <c r="R1323" s="8">
        <v>49</v>
      </c>
      <c r="S1323" s="8">
        <f t="shared" si="289"/>
        <v>49</v>
      </c>
      <c r="T1323" s="8">
        <f>(Table1[[#This Row],[Total Cholesterol (mg/dL)]]+Table1[[#This Row],[HDL (mg/dL)2]]+Table1[[#This Row],[Estimated LDL (mg/dL)2]])*5</f>
        <v>1490</v>
      </c>
      <c r="U1323" s="8">
        <f>IF(O1323="",Table1[[#This Row],[Estimated LDL (mg/dL)2]]+Table1[[#This Row],[HDL (mg/dL)2]]+(Table1[[#This Row],[Triglycerides]]/5),O1323)</f>
        <v>164</v>
      </c>
      <c r="V1323">
        <v>195</v>
      </c>
      <c r="W1323" s="8">
        <f t="shared" si="290"/>
        <v>195</v>
      </c>
      <c r="X1323" t="str">
        <f t="shared" si="291"/>
        <v>Diabetes</v>
      </c>
      <c r="Y1323" t="s">
        <v>23</v>
      </c>
      <c r="Z1323" t="s">
        <v>22</v>
      </c>
      <c r="AA1323" t="s">
        <v>37</v>
      </c>
      <c r="AB1323" s="3" t="s">
        <v>1127</v>
      </c>
      <c r="AC1323">
        <v>154</v>
      </c>
      <c r="AD1323" s="3" t="str">
        <f t="shared" si="292"/>
        <v>154</v>
      </c>
      <c r="AE1323">
        <v>112</v>
      </c>
      <c r="AF1323" s="3" t="str">
        <f t="shared" si="293"/>
        <v>112</v>
      </c>
      <c r="AG1323" t="s">
        <v>38</v>
      </c>
      <c r="AH1323" s="3">
        <v>15.519</v>
      </c>
      <c r="AI1323" s="3">
        <f t="shared" si="294"/>
        <v>15.519</v>
      </c>
      <c r="AJ1323" t="s">
        <v>30</v>
      </c>
      <c r="AK1323" t="str">
        <f>PROPER(Table1[[#This Row],[CVD Risk Level]])</f>
        <v>High</v>
      </c>
    </row>
    <row r="1324" spans="1:37" x14ac:dyDescent="0.3">
      <c r="A1324" t="s">
        <v>20</v>
      </c>
      <c r="B1324">
        <v>64</v>
      </c>
      <c r="C1324" s="8">
        <f t="shared" si="283"/>
        <v>64</v>
      </c>
      <c r="D1324" s="5">
        <v>62.584000000000003</v>
      </c>
      <c r="E1324" s="8">
        <f t="shared" si="284"/>
        <v>62.584000000000003</v>
      </c>
      <c r="F1324">
        <v>1.627</v>
      </c>
      <c r="G1324" s="3">
        <f t="shared" si="285"/>
        <v>1.627</v>
      </c>
      <c r="H1324">
        <v>38.851999999999997</v>
      </c>
      <c r="I1324" s="5">
        <f t="shared" si="281"/>
        <v>38.851999999999997</v>
      </c>
      <c r="J1324" s="16" t="str">
        <f t="shared" si="286"/>
        <v>Obese</v>
      </c>
      <c r="K1324">
        <v>92.159000000000006</v>
      </c>
      <c r="L1324">
        <v>0.56699999999999995</v>
      </c>
      <c r="M1324" s="11">
        <f t="shared" si="282"/>
        <v>0.56699999999999995</v>
      </c>
      <c r="N1324" s="5">
        <f t="shared" si="287"/>
        <v>92.159000000000006</v>
      </c>
      <c r="O1324">
        <v>241</v>
      </c>
      <c r="P1324">
        <v>58</v>
      </c>
      <c r="Q1324" s="8">
        <f t="shared" si="288"/>
        <v>58</v>
      </c>
      <c r="R1324" s="8">
        <v>153</v>
      </c>
      <c r="S1324" s="8">
        <f t="shared" si="289"/>
        <v>153</v>
      </c>
      <c r="T1324" s="8">
        <f>(Table1[[#This Row],[Total Cholesterol (mg/dL)]]+Table1[[#This Row],[HDL (mg/dL)2]]+Table1[[#This Row],[Estimated LDL (mg/dL)2]])*5</f>
        <v>2260</v>
      </c>
      <c r="U1324" s="8">
        <f>IF(O1324="",Table1[[#This Row],[Estimated LDL (mg/dL)2]]+Table1[[#This Row],[HDL (mg/dL)2]]+(Table1[[#This Row],[Triglycerides]]/5),O1324)</f>
        <v>241</v>
      </c>
      <c r="V1324">
        <v>166</v>
      </c>
      <c r="W1324" s="8">
        <f t="shared" si="290"/>
        <v>166</v>
      </c>
      <c r="X1324" t="str">
        <f t="shared" si="291"/>
        <v>Diabetes</v>
      </c>
      <c r="Y1324" t="s">
        <v>23</v>
      </c>
      <c r="Z1324" t="s">
        <v>23</v>
      </c>
      <c r="AA1324" t="s">
        <v>28</v>
      </c>
      <c r="AB1324" s="3" t="s">
        <v>1128</v>
      </c>
      <c r="AC1324">
        <v>143</v>
      </c>
      <c r="AD1324" s="3" t="str">
        <f t="shared" si="292"/>
        <v>143</v>
      </c>
      <c r="AE1324">
        <v>84</v>
      </c>
      <c r="AF1324" s="3" t="str">
        <f t="shared" si="293"/>
        <v>84</v>
      </c>
      <c r="AG1324" t="s">
        <v>29</v>
      </c>
      <c r="AH1324" s="3">
        <v>21.74</v>
      </c>
      <c r="AI1324" s="3">
        <f t="shared" si="294"/>
        <v>21.74</v>
      </c>
      <c r="AJ1324" t="s">
        <v>30</v>
      </c>
      <c r="AK1324" t="str">
        <f>PROPER(Table1[[#This Row],[CVD Risk Level]])</f>
        <v>High</v>
      </c>
    </row>
    <row r="1325" spans="1:37" x14ac:dyDescent="0.3">
      <c r="A1325" t="s">
        <v>31</v>
      </c>
      <c r="B1325">
        <v>45</v>
      </c>
      <c r="C1325" s="8">
        <f t="shared" si="283"/>
        <v>45</v>
      </c>
      <c r="D1325" s="5">
        <v>119.054</v>
      </c>
      <c r="E1325" s="8">
        <f t="shared" si="284"/>
        <v>119.054</v>
      </c>
      <c r="F1325">
        <v>1.5309999999999999</v>
      </c>
      <c r="G1325" s="3">
        <f t="shared" si="285"/>
        <v>1.5309999999999999</v>
      </c>
      <c r="H1325">
        <v>25.117000000000001</v>
      </c>
      <c r="I1325" s="5">
        <f t="shared" si="281"/>
        <v>25.117000000000001</v>
      </c>
      <c r="J1325" s="16" t="str">
        <f t="shared" si="286"/>
        <v>Overweight</v>
      </c>
      <c r="K1325">
        <v>98.700999999999993</v>
      </c>
      <c r="L1325">
        <v>0.64500000000000002</v>
      </c>
      <c r="M1325" s="11">
        <f t="shared" si="282"/>
        <v>0.64500000000000002</v>
      </c>
      <c r="N1325" s="5">
        <f t="shared" si="287"/>
        <v>98.700999999999993</v>
      </c>
      <c r="O1325">
        <v>225</v>
      </c>
      <c r="P1325">
        <v>53</v>
      </c>
      <c r="Q1325" s="8">
        <f t="shared" si="288"/>
        <v>53</v>
      </c>
      <c r="R1325" s="8">
        <v>142</v>
      </c>
      <c r="S1325" s="8">
        <f t="shared" si="289"/>
        <v>142</v>
      </c>
      <c r="T1325" s="8">
        <f>(Table1[[#This Row],[Total Cholesterol (mg/dL)]]+Table1[[#This Row],[HDL (mg/dL)2]]+Table1[[#This Row],[Estimated LDL (mg/dL)2]])*5</f>
        <v>2100</v>
      </c>
      <c r="U1325" s="8">
        <f>IF(O1325="",Table1[[#This Row],[Estimated LDL (mg/dL)2]]+Table1[[#This Row],[HDL (mg/dL)2]]+(Table1[[#This Row],[Triglycerides]]/5),O1325)</f>
        <v>225</v>
      </c>
      <c r="V1325">
        <v>126</v>
      </c>
      <c r="W1325" s="8">
        <f t="shared" si="290"/>
        <v>126</v>
      </c>
      <c r="X1325" t="str">
        <f t="shared" si="291"/>
        <v>Diabetes</v>
      </c>
      <c r="Y1325" t="s">
        <v>23</v>
      </c>
      <c r="Z1325" t="s">
        <v>23</v>
      </c>
      <c r="AA1325" t="s">
        <v>37</v>
      </c>
      <c r="AB1325" s="3" t="s">
        <v>44</v>
      </c>
      <c r="AD1325" s="3" t="str">
        <f t="shared" si="292"/>
        <v>134</v>
      </c>
      <c r="AE1325">
        <v>91</v>
      </c>
      <c r="AF1325" s="3" t="str">
        <f t="shared" si="293"/>
        <v>91</v>
      </c>
      <c r="AG1325" t="s">
        <v>29</v>
      </c>
      <c r="AH1325" s="3">
        <v>18.222999999999999</v>
      </c>
      <c r="AI1325" s="3">
        <f t="shared" si="294"/>
        <v>18.222999999999999</v>
      </c>
      <c r="AJ1325" t="s">
        <v>52</v>
      </c>
      <c r="AK1325" t="str">
        <f>PROPER(Table1[[#This Row],[CVD Risk Level]])</f>
        <v>Low</v>
      </c>
    </row>
    <row r="1326" spans="1:37" x14ac:dyDescent="0.3">
      <c r="A1326" t="s">
        <v>31</v>
      </c>
      <c r="B1326">
        <v>61</v>
      </c>
      <c r="C1326" s="8">
        <f t="shared" si="283"/>
        <v>61</v>
      </c>
      <c r="D1326" s="5">
        <v>108.191</v>
      </c>
      <c r="E1326" s="8">
        <f t="shared" si="284"/>
        <v>108.191</v>
      </c>
      <c r="F1326">
        <v>1.8129999999999999</v>
      </c>
      <c r="G1326" s="3">
        <f t="shared" si="285"/>
        <v>1.8129999999999999</v>
      </c>
      <c r="H1326">
        <v>37.866</v>
      </c>
      <c r="I1326" s="5">
        <f t="shared" si="281"/>
        <v>37.866</v>
      </c>
      <c r="J1326" s="16" t="str">
        <f t="shared" si="286"/>
        <v>Obese</v>
      </c>
      <c r="K1326">
        <v>112.492</v>
      </c>
      <c r="L1326">
        <v>0.621</v>
      </c>
      <c r="M1326" s="11">
        <f t="shared" si="282"/>
        <v>0.621</v>
      </c>
      <c r="N1326" s="5">
        <f t="shared" si="287"/>
        <v>112.492</v>
      </c>
      <c r="O1326">
        <v>182</v>
      </c>
      <c r="P1326">
        <v>71</v>
      </c>
      <c r="Q1326" s="8">
        <f t="shared" si="288"/>
        <v>71</v>
      </c>
      <c r="R1326" s="8">
        <v>81</v>
      </c>
      <c r="S1326" s="8">
        <f>IF(R1326&lt;=0,MEDIAN($R$2:$R$1530),R1326)</f>
        <v>81</v>
      </c>
      <c r="T1326" s="8">
        <f>(Table1[[#This Row],[Total Cholesterol (mg/dL)]]+Table1[[#This Row],[HDL (mg/dL)2]]+Table1[[#This Row],[Estimated LDL (mg/dL)2]])*5</f>
        <v>1670</v>
      </c>
      <c r="U1326" s="8">
        <f>IF(O1326="",Table1[[#This Row],[Estimated LDL (mg/dL)2]]+Table1[[#This Row],[HDL (mg/dL)2]]+(Table1[[#This Row],[Triglycerides]]/5),O1326)</f>
        <v>182</v>
      </c>
      <c r="V1326">
        <v>72</v>
      </c>
      <c r="W1326" s="8">
        <f t="shared" si="290"/>
        <v>72</v>
      </c>
      <c r="X1326" t="str">
        <f t="shared" si="291"/>
        <v>Normal</v>
      </c>
      <c r="Y1326" t="s">
        <v>23</v>
      </c>
      <c r="Z1326" t="s">
        <v>22</v>
      </c>
      <c r="AA1326" t="s">
        <v>37</v>
      </c>
      <c r="AB1326" s="3" t="s">
        <v>1129</v>
      </c>
      <c r="AC1326">
        <v>173</v>
      </c>
      <c r="AD1326" s="3" t="str">
        <f t="shared" si="292"/>
        <v>173</v>
      </c>
      <c r="AE1326">
        <v>68</v>
      </c>
      <c r="AF1326" s="3" t="str">
        <f t="shared" si="293"/>
        <v>68</v>
      </c>
      <c r="AG1326" t="s">
        <v>38</v>
      </c>
      <c r="AH1326" s="3">
        <v>19.863</v>
      </c>
      <c r="AI1326" s="3">
        <f t="shared" si="294"/>
        <v>19.863</v>
      </c>
      <c r="AJ1326" t="s">
        <v>30</v>
      </c>
      <c r="AK1326" t="str">
        <f>PROPER(Table1[[#This Row],[CVD Risk Level]])</f>
        <v>High</v>
      </c>
    </row>
    <row r="1327" spans="1:37" x14ac:dyDescent="0.3">
      <c r="A1327" t="s">
        <v>20</v>
      </c>
      <c r="B1327">
        <v>59</v>
      </c>
      <c r="C1327" s="8">
        <f t="shared" si="283"/>
        <v>59</v>
      </c>
      <c r="D1327" s="5">
        <v>101.614</v>
      </c>
      <c r="E1327" s="8">
        <f t="shared" si="284"/>
        <v>101.614</v>
      </c>
      <c r="F1327">
        <v>1.5760000000000001</v>
      </c>
      <c r="G1327" s="3">
        <f t="shared" si="285"/>
        <v>1.5760000000000001</v>
      </c>
      <c r="H1327">
        <v>34.651000000000003</v>
      </c>
      <c r="I1327" s="5">
        <f t="shared" si="281"/>
        <v>34.651000000000003</v>
      </c>
      <c r="J1327" s="16" t="str">
        <f t="shared" si="286"/>
        <v>Obese</v>
      </c>
      <c r="K1327">
        <v>95.959000000000003</v>
      </c>
      <c r="L1327">
        <v>0.60899999999999999</v>
      </c>
      <c r="M1327" s="11">
        <f t="shared" si="282"/>
        <v>0.60899999999999999</v>
      </c>
      <c r="N1327" s="5">
        <f t="shared" si="287"/>
        <v>95.959000000000003</v>
      </c>
      <c r="O1327">
        <v>164</v>
      </c>
      <c r="P1327">
        <v>54</v>
      </c>
      <c r="Q1327" s="8">
        <f t="shared" si="288"/>
        <v>54</v>
      </c>
      <c r="R1327" s="8">
        <v>80</v>
      </c>
      <c r="S1327" s="8">
        <f t="shared" si="289"/>
        <v>80</v>
      </c>
      <c r="T1327" s="8">
        <f>(Table1[[#This Row],[Total Cholesterol (mg/dL)]]+Table1[[#This Row],[HDL (mg/dL)2]]+Table1[[#This Row],[Estimated LDL (mg/dL)2]])*5</f>
        <v>1490</v>
      </c>
      <c r="U1327" s="8">
        <f>IF(O1327="",Table1[[#This Row],[Estimated LDL (mg/dL)2]]+Table1[[#This Row],[HDL (mg/dL)2]]+(Table1[[#This Row],[Triglycerides]]/5),O1327)</f>
        <v>164</v>
      </c>
      <c r="V1327">
        <v>165</v>
      </c>
      <c r="W1327" s="8">
        <f t="shared" si="290"/>
        <v>165</v>
      </c>
      <c r="X1327" t="str">
        <f t="shared" si="291"/>
        <v>Diabetes</v>
      </c>
      <c r="Y1327" t="s">
        <v>22</v>
      </c>
      <c r="Z1327" t="s">
        <v>23</v>
      </c>
      <c r="AA1327" t="s">
        <v>28</v>
      </c>
      <c r="AB1327" s="3" t="s">
        <v>1130</v>
      </c>
      <c r="AC1327">
        <v>178</v>
      </c>
      <c r="AD1327" s="3" t="str">
        <f t="shared" si="292"/>
        <v>178</v>
      </c>
      <c r="AE1327">
        <v>108</v>
      </c>
      <c r="AF1327" s="3" t="str">
        <f t="shared" si="293"/>
        <v>108</v>
      </c>
      <c r="AG1327" t="s">
        <v>38</v>
      </c>
      <c r="AH1327" s="3">
        <v>21.11</v>
      </c>
      <c r="AI1327" s="3">
        <f t="shared" si="294"/>
        <v>21.11</v>
      </c>
      <c r="AJ1327" t="s">
        <v>52</v>
      </c>
      <c r="AK1327" t="str">
        <f>PROPER(Table1[[#This Row],[CVD Risk Level]])</f>
        <v>Low</v>
      </c>
    </row>
    <row r="1328" spans="1:37" x14ac:dyDescent="0.3">
      <c r="A1328" t="s">
        <v>20</v>
      </c>
      <c r="B1328">
        <v>59</v>
      </c>
      <c r="C1328" s="8">
        <f t="shared" si="283"/>
        <v>59</v>
      </c>
      <c r="D1328" s="5">
        <v>94.435000000000002</v>
      </c>
      <c r="E1328" s="8">
        <f t="shared" si="284"/>
        <v>94.435000000000002</v>
      </c>
      <c r="F1328">
        <v>1.75</v>
      </c>
      <c r="G1328" s="3">
        <f t="shared" si="285"/>
        <v>1.75</v>
      </c>
      <c r="I1328" s="5">
        <f t="shared" si="281"/>
        <v>30.835918367346938</v>
      </c>
      <c r="J1328" s="16" t="str">
        <f t="shared" si="286"/>
        <v>Obese</v>
      </c>
      <c r="K1328">
        <v>98.32</v>
      </c>
      <c r="L1328">
        <v>0.58899999999999997</v>
      </c>
      <c r="M1328" s="11">
        <f t="shared" si="282"/>
        <v>0.58899999999999997</v>
      </c>
      <c r="N1328" s="5">
        <f t="shared" si="287"/>
        <v>98.32</v>
      </c>
      <c r="O1328">
        <v>292</v>
      </c>
      <c r="P1328">
        <v>37</v>
      </c>
      <c r="Q1328" s="8">
        <f t="shared" si="288"/>
        <v>37</v>
      </c>
      <c r="R1328" s="8">
        <v>225</v>
      </c>
      <c r="S1328" s="8">
        <f t="shared" si="289"/>
        <v>225</v>
      </c>
      <c r="T1328" s="8">
        <f>(Table1[[#This Row],[Total Cholesterol (mg/dL)]]+Table1[[#This Row],[HDL (mg/dL)2]]+Table1[[#This Row],[Estimated LDL (mg/dL)2]])*5</f>
        <v>2770</v>
      </c>
      <c r="U1328" s="8">
        <f>IF(O1328="",Table1[[#This Row],[Estimated LDL (mg/dL)2]]+Table1[[#This Row],[HDL (mg/dL)2]]+(Table1[[#This Row],[Triglycerides]]/5),O1328)</f>
        <v>292</v>
      </c>
      <c r="W1328" s="8">
        <f t="shared" si="290"/>
        <v>117.48563611491107</v>
      </c>
      <c r="X1328" t="str">
        <f t="shared" si="291"/>
        <v>Prediabetes</v>
      </c>
      <c r="Y1328" t="s">
        <v>22</v>
      </c>
      <c r="Z1328" t="s">
        <v>22</v>
      </c>
      <c r="AA1328" t="s">
        <v>28</v>
      </c>
      <c r="AB1328" s="3" t="s">
        <v>1131</v>
      </c>
      <c r="AD1328" s="3" t="str">
        <f t="shared" si="292"/>
        <v>99</v>
      </c>
      <c r="AE1328">
        <v>64</v>
      </c>
      <c r="AF1328" s="3" t="str">
        <f t="shared" si="293"/>
        <v>64</v>
      </c>
      <c r="AG1328" t="s">
        <v>33</v>
      </c>
      <c r="AH1328" s="3">
        <v>16.779</v>
      </c>
      <c r="AI1328" s="3">
        <f t="shared" si="294"/>
        <v>16.779</v>
      </c>
      <c r="AJ1328" t="s">
        <v>30</v>
      </c>
      <c r="AK1328" t="str">
        <f>PROPER(Table1[[#This Row],[CVD Risk Level]])</f>
        <v>High</v>
      </c>
    </row>
    <row r="1329" spans="1:37" x14ac:dyDescent="0.3">
      <c r="A1329" t="s">
        <v>20</v>
      </c>
      <c r="B1329">
        <v>73</v>
      </c>
      <c r="C1329" s="8">
        <f t="shared" si="283"/>
        <v>73</v>
      </c>
      <c r="D1329" s="5">
        <v>56.05</v>
      </c>
      <c r="E1329" s="8">
        <f t="shared" si="284"/>
        <v>56.05</v>
      </c>
      <c r="F1329">
        <v>1.704</v>
      </c>
      <c r="G1329" s="3">
        <f t="shared" si="285"/>
        <v>1.704</v>
      </c>
      <c r="H1329">
        <v>35.158999999999999</v>
      </c>
      <c r="I1329" s="5">
        <f t="shared" si="281"/>
        <v>35.158999999999999</v>
      </c>
      <c r="J1329" s="16" t="str">
        <f t="shared" si="286"/>
        <v>Obese</v>
      </c>
      <c r="K1329">
        <v>97.144999999999996</v>
      </c>
      <c r="L1329">
        <v>0.56999999999999995</v>
      </c>
      <c r="M1329" s="11">
        <f t="shared" si="282"/>
        <v>0.56999999999999995</v>
      </c>
      <c r="N1329" s="5">
        <f t="shared" si="287"/>
        <v>97.144999999999996</v>
      </c>
      <c r="O1329">
        <v>206</v>
      </c>
      <c r="P1329">
        <v>31</v>
      </c>
      <c r="Q1329" s="8">
        <f t="shared" si="288"/>
        <v>31</v>
      </c>
      <c r="R1329" s="8">
        <v>145</v>
      </c>
      <c r="S1329" s="8">
        <f t="shared" si="289"/>
        <v>145</v>
      </c>
      <c r="T1329" s="8">
        <f>(Table1[[#This Row],[Total Cholesterol (mg/dL)]]+Table1[[#This Row],[HDL (mg/dL)2]]+Table1[[#This Row],[Estimated LDL (mg/dL)2]])*5</f>
        <v>1910</v>
      </c>
      <c r="U1329" s="8">
        <f>IF(O1329="",Table1[[#This Row],[Estimated LDL (mg/dL)2]]+Table1[[#This Row],[HDL (mg/dL)2]]+(Table1[[#This Row],[Triglycerides]]/5),O1329)</f>
        <v>206</v>
      </c>
      <c r="V1329">
        <v>80</v>
      </c>
      <c r="W1329" s="8">
        <f t="shared" si="290"/>
        <v>80</v>
      </c>
      <c r="X1329" t="str">
        <f t="shared" si="291"/>
        <v>Normal</v>
      </c>
      <c r="Y1329" t="s">
        <v>23</v>
      </c>
      <c r="Z1329" t="s">
        <v>22</v>
      </c>
      <c r="AA1329" t="s">
        <v>24</v>
      </c>
      <c r="AB1329" s="3" t="s">
        <v>1132</v>
      </c>
      <c r="AC1329">
        <v>134</v>
      </c>
      <c r="AD1329" s="3" t="str">
        <f t="shared" si="292"/>
        <v>134</v>
      </c>
      <c r="AE1329">
        <v>76</v>
      </c>
      <c r="AF1329" s="3" t="str">
        <f t="shared" si="293"/>
        <v>76</v>
      </c>
      <c r="AG1329" t="s">
        <v>29</v>
      </c>
      <c r="AH1329" s="3">
        <v>17.852</v>
      </c>
      <c r="AI1329" s="3">
        <f t="shared" si="294"/>
        <v>17.852</v>
      </c>
      <c r="AJ1329" t="s">
        <v>26</v>
      </c>
      <c r="AK1329" t="str">
        <f>PROPER(Table1[[#This Row],[CVD Risk Level]])</f>
        <v>Intermediary</v>
      </c>
    </row>
    <row r="1330" spans="1:37" x14ac:dyDescent="0.3">
      <c r="A1330" t="s">
        <v>20</v>
      </c>
      <c r="C1330" s="8">
        <f t="shared" si="283"/>
        <v>47.025499655410059</v>
      </c>
      <c r="D1330" s="5">
        <v>72.75</v>
      </c>
      <c r="E1330" s="8">
        <f t="shared" si="284"/>
        <v>72.75</v>
      </c>
      <c r="F1330">
        <v>1.861</v>
      </c>
      <c r="G1330" s="3">
        <f t="shared" si="285"/>
        <v>1.861</v>
      </c>
      <c r="H1330">
        <v>18.565000000000001</v>
      </c>
      <c r="I1330" s="5">
        <f t="shared" si="281"/>
        <v>18.565000000000001</v>
      </c>
      <c r="J1330" s="16" t="str">
        <f t="shared" si="286"/>
        <v>Normal</v>
      </c>
      <c r="K1330">
        <v>75.935000000000002</v>
      </c>
      <c r="L1330">
        <v>0.40799999999999997</v>
      </c>
      <c r="M1330" s="11">
        <f t="shared" si="282"/>
        <v>0.40799999999999997</v>
      </c>
      <c r="N1330" s="5">
        <f t="shared" si="287"/>
        <v>75.935000000000002</v>
      </c>
      <c r="O1330">
        <v>106</v>
      </c>
      <c r="P1330">
        <v>74</v>
      </c>
      <c r="Q1330" s="8">
        <f t="shared" si="288"/>
        <v>74</v>
      </c>
      <c r="R1330" s="8">
        <v>2</v>
      </c>
      <c r="S1330" s="8">
        <f t="shared" si="289"/>
        <v>2</v>
      </c>
      <c r="T1330" s="8">
        <f>(Table1[[#This Row],[Total Cholesterol (mg/dL)]]+Table1[[#This Row],[HDL (mg/dL)2]]+Table1[[#This Row],[Estimated LDL (mg/dL)2]])*5</f>
        <v>910</v>
      </c>
      <c r="U1330" s="8">
        <f>IF(O1330="",Table1[[#This Row],[Estimated LDL (mg/dL)2]]+Table1[[#This Row],[HDL (mg/dL)2]]+(Table1[[#This Row],[Triglycerides]]/5),O1330)</f>
        <v>106</v>
      </c>
      <c r="V1330">
        <v>121</v>
      </c>
      <c r="W1330" s="8">
        <f t="shared" si="290"/>
        <v>121</v>
      </c>
      <c r="X1330" t="str">
        <f t="shared" si="291"/>
        <v>Prediabetes</v>
      </c>
      <c r="Y1330" t="s">
        <v>23</v>
      </c>
      <c r="Z1330" t="s">
        <v>22</v>
      </c>
      <c r="AA1330" t="s">
        <v>24</v>
      </c>
      <c r="AB1330" s="3" t="s">
        <v>1133</v>
      </c>
      <c r="AC1330">
        <v>130</v>
      </c>
      <c r="AD1330" s="3" t="str">
        <f t="shared" si="292"/>
        <v>130</v>
      </c>
      <c r="AE1330">
        <v>78</v>
      </c>
      <c r="AF1330" s="3" t="str">
        <f t="shared" si="293"/>
        <v>78</v>
      </c>
      <c r="AG1330" t="s">
        <v>29</v>
      </c>
      <c r="AH1330" s="3">
        <v>12.333</v>
      </c>
      <c r="AI1330" s="3">
        <f t="shared" si="294"/>
        <v>12.333</v>
      </c>
      <c r="AJ1330" t="s">
        <v>52</v>
      </c>
      <c r="AK1330" t="str">
        <f>PROPER(Table1[[#This Row],[CVD Risk Level]])</f>
        <v>Low</v>
      </c>
    </row>
    <row r="1331" spans="1:37" x14ac:dyDescent="0.3">
      <c r="A1331" t="s">
        <v>31</v>
      </c>
      <c r="B1331">
        <v>56</v>
      </c>
      <c r="C1331" s="8">
        <f t="shared" si="283"/>
        <v>56</v>
      </c>
      <c r="D1331" s="5">
        <v>87.994</v>
      </c>
      <c r="E1331" s="8">
        <f t="shared" si="284"/>
        <v>87.994</v>
      </c>
      <c r="F1331">
        <v>1.583</v>
      </c>
      <c r="G1331" s="3">
        <f t="shared" si="285"/>
        <v>1.583</v>
      </c>
      <c r="H1331">
        <v>18.669</v>
      </c>
      <c r="I1331" s="5">
        <f t="shared" si="281"/>
        <v>18.669</v>
      </c>
      <c r="J1331" s="16" t="str">
        <f t="shared" si="286"/>
        <v>Normal</v>
      </c>
      <c r="K1331">
        <v>116.67100000000001</v>
      </c>
      <c r="L1331">
        <v>0.73699999999999999</v>
      </c>
      <c r="M1331" s="11">
        <f t="shared" si="282"/>
        <v>0.73699999999999999</v>
      </c>
      <c r="N1331" s="5">
        <f t="shared" si="287"/>
        <v>116.67100000000001</v>
      </c>
      <c r="O1331">
        <v>280</v>
      </c>
      <c r="P1331">
        <v>46</v>
      </c>
      <c r="Q1331" s="8">
        <f t="shared" si="288"/>
        <v>46</v>
      </c>
      <c r="R1331" s="8">
        <v>204</v>
      </c>
      <c r="S1331" s="8">
        <f t="shared" si="289"/>
        <v>204</v>
      </c>
      <c r="T1331" s="8">
        <f>(Table1[[#This Row],[Total Cholesterol (mg/dL)]]+Table1[[#This Row],[HDL (mg/dL)2]]+Table1[[#This Row],[Estimated LDL (mg/dL)2]])*5</f>
        <v>2650</v>
      </c>
      <c r="U1331" s="8">
        <f>IF(O1331="",Table1[[#This Row],[Estimated LDL (mg/dL)2]]+Table1[[#This Row],[HDL (mg/dL)2]]+(Table1[[#This Row],[Triglycerides]]/5),O1331)</f>
        <v>280</v>
      </c>
      <c r="W1331" s="8">
        <f t="shared" si="290"/>
        <v>117.48563611491107</v>
      </c>
      <c r="X1331" t="str">
        <f t="shared" si="291"/>
        <v>Prediabetes</v>
      </c>
      <c r="Y1331" t="s">
        <v>23</v>
      </c>
      <c r="Z1331" t="s">
        <v>23</v>
      </c>
      <c r="AA1331" t="s">
        <v>37</v>
      </c>
      <c r="AB1331" s="3" t="s">
        <v>1134</v>
      </c>
      <c r="AC1331">
        <v>159</v>
      </c>
      <c r="AD1331" s="3" t="str">
        <f t="shared" si="292"/>
        <v>159</v>
      </c>
      <c r="AE1331">
        <v>60</v>
      </c>
      <c r="AF1331" s="3" t="str">
        <f t="shared" si="293"/>
        <v>60</v>
      </c>
      <c r="AG1331" t="s">
        <v>38</v>
      </c>
      <c r="AH1331" s="3">
        <v>19.283999999999999</v>
      </c>
      <c r="AI1331" s="3">
        <f t="shared" si="294"/>
        <v>19.283999999999999</v>
      </c>
      <c r="AJ1331" t="s">
        <v>52</v>
      </c>
      <c r="AK1331" t="str">
        <f>PROPER(Table1[[#This Row],[CVD Risk Level]])</f>
        <v>Low</v>
      </c>
    </row>
    <row r="1332" spans="1:37" x14ac:dyDescent="0.3">
      <c r="A1332" t="s">
        <v>20</v>
      </c>
      <c r="B1332">
        <v>35</v>
      </c>
      <c r="C1332" s="8">
        <f t="shared" si="283"/>
        <v>35</v>
      </c>
      <c r="D1332" s="5">
        <v>92.004999999999995</v>
      </c>
      <c r="E1332" s="8">
        <f t="shared" si="284"/>
        <v>92.004999999999995</v>
      </c>
      <c r="F1332">
        <v>1.726</v>
      </c>
      <c r="G1332" s="3">
        <f t="shared" si="285"/>
        <v>1.726</v>
      </c>
      <c r="I1332" s="5">
        <f t="shared" si="281"/>
        <v>30.883737105062103</v>
      </c>
      <c r="J1332" s="16" t="str">
        <f t="shared" si="286"/>
        <v>Obese</v>
      </c>
      <c r="K1332">
        <v>98.691999999999993</v>
      </c>
      <c r="L1332">
        <v>0.57199999999999995</v>
      </c>
      <c r="M1332" s="11">
        <f t="shared" si="282"/>
        <v>0.57199999999999995</v>
      </c>
      <c r="N1332" s="5">
        <f t="shared" si="287"/>
        <v>98.691999999999993</v>
      </c>
      <c r="O1332">
        <v>156</v>
      </c>
      <c r="P1332">
        <v>80</v>
      </c>
      <c r="Q1332" s="8">
        <f t="shared" si="288"/>
        <v>80</v>
      </c>
      <c r="R1332" s="8">
        <v>46</v>
      </c>
      <c r="S1332" s="8">
        <f t="shared" si="289"/>
        <v>46</v>
      </c>
      <c r="T1332" s="8">
        <f>(Table1[[#This Row],[Total Cholesterol (mg/dL)]]+Table1[[#This Row],[HDL (mg/dL)2]]+Table1[[#This Row],[Estimated LDL (mg/dL)2]])*5</f>
        <v>1410</v>
      </c>
      <c r="U1332" s="8">
        <f>IF(O1332="",Table1[[#This Row],[Estimated LDL (mg/dL)2]]+Table1[[#This Row],[HDL (mg/dL)2]]+(Table1[[#This Row],[Triglycerides]]/5),O1332)</f>
        <v>156</v>
      </c>
      <c r="V1332">
        <v>80</v>
      </c>
      <c r="W1332" s="8">
        <f t="shared" si="290"/>
        <v>80</v>
      </c>
      <c r="X1332" t="str">
        <f t="shared" si="291"/>
        <v>Normal</v>
      </c>
      <c r="Y1332" t="s">
        <v>22</v>
      </c>
      <c r="Z1332" t="s">
        <v>23</v>
      </c>
      <c r="AA1332" t="s">
        <v>28</v>
      </c>
      <c r="AB1332" s="3" t="s">
        <v>1135</v>
      </c>
      <c r="AC1332">
        <v>95</v>
      </c>
      <c r="AD1332" s="3" t="str">
        <f t="shared" si="292"/>
        <v>95</v>
      </c>
      <c r="AE1332">
        <v>111</v>
      </c>
      <c r="AF1332" s="3" t="str">
        <f t="shared" si="293"/>
        <v>111</v>
      </c>
      <c r="AG1332" t="s">
        <v>38</v>
      </c>
      <c r="AH1332" s="3">
        <v>14.316000000000001</v>
      </c>
      <c r="AI1332" s="3">
        <f t="shared" si="294"/>
        <v>14.316000000000001</v>
      </c>
      <c r="AJ1332" t="s">
        <v>52</v>
      </c>
      <c r="AK1332" t="str">
        <f>PROPER(Table1[[#This Row],[CVD Risk Level]])</f>
        <v>Low</v>
      </c>
    </row>
    <row r="1333" spans="1:37" x14ac:dyDescent="0.3">
      <c r="A1333" t="s">
        <v>20</v>
      </c>
      <c r="B1333">
        <v>35</v>
      </c>
      <c r="C1333" s="8">
        <f t="shared" si="283"/>
        <v>35</v>
      </c>
      <c r="D1333" s="5">
        <v>66.656999999999996</v>
      </c>
      <c r="E1333" s="8">
        <f t="shared" si="284"/>
        <v>66.656999999999996</v>
      </c>
      <c r="F1333">
        <v>1.9359999999999999</v>
      </c>
      <c r="G1333" s="3">
        <f t="shared" si="285"/>
        <v>1.9359999999999999</v>
      </c>
      <c r="H1333">
        <v>31.658000000000001</v>
      </c>
      <c r="I1333" s="5">
        <f t="shared" si="281"/>
        <v>31.658000000000001</v>
      </c>
      <c r="J1333" s="16" t="str">
        <f t="shared" si="286"/>
        <v>Obese</v>
      </c>
      <c r="K1333">
        <v>77.477000000000004</v>
      </c>
      <c r="L1333">
        <v>0.4</v>
      </c>
      <c r="M1333" s="11">
        <f t="shared" si="282"/>
        <v>0.4</v>
      </c>
      <c r="N1333" s="5">
        <f t="shared" si="287"/>
        <v>77.477000000000004</v>
      </c>
      <c r="O1333">
        <v>251</v>
      </c>
      <c r="P1333">
        <v>48</v>
      </c>
      <c r="Q1333" s="8">
        <f t="shared" si="288"/>
        <v>48</v>
      </c>
      <c r="R1333" s="8">
        <v>173</v>
      </c>
      <c r="S1333" s="8">
        <f t="shared" si="289"/>
        <v>173</v>
      </c>
      <c r="T1333" s="8">
        <f>(Table1[[#This Row],[Total Cholesterol (mg/dL)]]+Table1[[#This Row],[HDL (mg/dL)2]]+Table1[[#This Row],[Estimated LDL (mg/dL)2]])*5</f>
        <v>2360</v>
      </c>
      <c r="U1333" s="8">
        <f>IF(O1333="",Table1[[#This Row],[Estimated LDL (mg/dL)2]]+Table1[[#This Row],[HDL (mg/dL)2]]+(Table1[[#This Row],[Triglycerides]]/5),O1333)</f>
        <v>251</v>
      </c>
      <c r="V1333">
        <v>144</v>
      </c>
      <c r="W1333" s="8">
        <f t="shared" si="290"/>
        <v>144</v>
      </c>
      <c r="X1333" t="str">
        <f t="shared" si="291"/>
        <v>Diabetes</v>
      </c>
      <c r="Y1333" t="s">
        <v>22</v>
      </c>
      <c r="Z1333" t="s">
        <v>22</v>
      </c>
      <c r="AA1333" t="s">
        <v>37</v>
      </c>
      <c r="AB1333" s="3" t="s">
        <v>1136</v>
      </c>
      <c r="AC1333">
        <v>148</v>
      </c>
      <c r="AD1333" s="3" t="str">
        <f t="shared" si="292"/>
        <v>148</v>
      </c>
      <c r="AE1333">
        <v>93</v>
      </c>
      <c r="AF1333" s="3" t="str">
        <f t="shared" si="293"/>
        <v>93</v>
      </c>
      <c r="AG1333" t="s">
        <v>38</v>
      </c>
      <c r="AH1333" s="3">
        <v>18.751999999999999</v>
      </c>
      <c r="AI1333" s="3">
        <f t="shared" si="294"/>
        <v>18.751999999999999</v>
      </c>
      <c r="AJ1333" t="s">
        <v>30</v>
      </c>
      <c r="AK1333" t="str">
        <f>PROPER(Table1[[#This Row],[CVD Risk Level]])</f>
        <v>High</v>
      </c>
    </row>
    <row r="1334" spans="1:37" x14ac:dyDescent="0.3">
      <c r="A1334" t="s">
        <v>20</v>
      </c>
      <c r="B1334">
        <v>72</v>
      </c>
      <c r="C1334" s="8">
        <f t="shared" si="283"/>
        <v>72</v>
      </c>
      <c r="D1334" s="5">
        <v>113.375</v>
      </c>
      <c r="E1334" s="8">
        <f t="shared" si="284"/>
        <v>113.375</v>
      </c>
      <c r="F1334">
        <v>1.8420000000000001</v>
      </c>
      <c r="G1334" s="3">
        <f t="shared" si="285"/>
        <v>1.8420000000000001</v>
      </c>
      <c r="H1334">
        <v>28.870999999999999</v>
      </c>
      <c r="I1334" s="5">
        <f t="shared" si="281"/>
        <v>28.870999999999999</v>
      </c>
      <c r="J1334" s="16" t="str">
        <f t="shared" si="286"/>
        <v>Overweight</v>
      </c>
      <c r="K1334">
        <v>81.93</v>
      </c>
      <c r="L1334">
        <v>0.44500000000000001</v>
      </c>
      <c r="M1334" s="11">
        <f t="shared" si="282"/>
        <v>0.44500000000000001</v>
      </c>
      <c r="N1334" s="5">
        <f t="shared" si="287"/>
        <v>81.93</v>
      </c>
      <c r="O1334">
        <v>255</v>
      </c>
      <c r="P1334">
        <v>76</v>
      </c>
      <c r="Q1334" s="8">
        <f t="shared" si="288"/>
        <v>76</v>
      </c>
      <c r="R1334" s="8">
        <v>149</v>
      </c>
      <c r="S1334" s="8">
        <f t="shared" si="289"/>
        <v>149</v>
      </c>
      <c r="T1334" s="8">
        <f>(Table1[[#This Row],[Total Cholesterol (mg/dL)]]+Table1[[#This Row],[HDL (mg/dL)2]]+Table1[[#This Row],[Estimated LDL (mg/dL)2]])*5</f>
        <v>2400</v>
      </c>
      <c r="U1334" s="8">
        <f>IF(O1334="",Table1[[#This Row],[Estimated LDL (mg/dL)2]]+Table1[[#This Row],[HDL (mg/dL)2]]+(Table1[[#This Row],[Triglycerides]]/5),O1334)</f>
        <v>255</v>
      </c>
      <c r="V1334">
        <v>94</v>
      </c>
      <c r="W1334" s="8">
        <f t="shared" si="290"/>
        <v>94</v>
      </c>
      <c r="X1334" t="str">
        <f t="shared" si="291"/>
        <v>Normal</v>
      </c>
      <c r="Y1334" t="s">
        <v>23</v>
      </c>
      <c r="Z1334" t="s">
        <v>22</v>
      </c>
      <c r="AA1334" t="s">
        <v>24</v>
      </c>
      <c r="AB1334" s="3" t="s">
        <v>1137</v>
      </c>
      <c r="AC1334">
        <v>177</v>
      </c>
      <c r="AD1334" s="3" t="str">
        <f t="shared" si="292"/>
        <v>177</v>
      </c>
      <c r="AE1334">
        <v>67</v>
      </c>
      <c r="AF1334" s="3" t="str">
        <f t="shared" si="293"/>
        <v>67</v>
      </c>
      <c r="AG1334" t="s">
        <v>38</v>
      </c>
      <c r="AH1334" s="3">
        <v>19.724</v>
      </c>
      <c r="AI1334" s="3">
        <f t="shared" si="294"/>
        <v>19.724</v>
      </c>
      <c r="AJ1334" t="s">
        <v>30</v>
      </c>
      <c r="AK1334" t="str">
        <f>PROPER(Table1[[#This Row],[CVD Risk Level]])</f>
        <v>High</v>
      </c>
    </row>
    <row r="1335" spans="1:37" x14ac:dyDescent="0.3">
      <c r="A1335" t="s">
        <v>20</v>
      </c>
      <c r="B1335">
        <v>72</v>
      </c>
      <c r="C1335" s="8">
        <f t="shared" si="283"/>
        <v>72</v>
      </c>
      <c r="D1335" s="5">
        <v>114.687</v>
      </c>
      <c r="E1335" s="8">
        <f t="shared" si="284"/>
        <v>114.687</v>
      </c>
      <c r="F1335">
        <v>1.611</v>
      </c>
      <c r="G1335" s="3">
        <f t="shared" si="285"/>
        <v>1.611</v>
      </c>
      <c r="H1335">
        <v>39.601999999999997</v>
      </c>
      <c r="I1335" s="5">
        <f t="shared" si="281"/>
        <v>39.601999999999997</v>
      </c>
      <c r="J1335" s="16" t="str">
        <f t="shared" si="286"/>
        <v>Obese</v>
      </c>
      <c r="K1335">
        <v>73.828999999999994</v>
      </c>
      <c r="L1335">
        <v>0.45800000000000002</v>
      </c>
      <c r="M1335" s="11">
        <f t="shared" si="282"/>
        <v>0.45800000000000002</v>
      </c>
      <c r="N1335" s="5">
        <f t="shared" si="287"/>
        <v>73.828999999999994</v>
      </c>
      <c r="O1335">
        <v>137</v>
      </c>
      <c r="P1335">
        <v>48</v>
      </c>
      <c r="Q1335" s="8">
        <f t="shared" si="288"/>
        <v>48</v>
      </c>
      <c r="R1335" s="8">
        <v>59</v>
      </c>
      <c r="S1335" s="8">
        <f t="shared" si="289"/>
        <v>59</v>
      </c>
      <c r="T1335" s="8">
        <f>(Table1[[#This Row],[Total Cholesterol (mg/dL)]]+Table1[[#This Row],[HDL (mg/dL)2]]+Table1[[#This Row],[Estimated LDL (mg/dL)2]])*5</f>
        <v>1220</v>
      </c>
      <c r="U1335" s="8">
        <f>IF(O1335="",Table1[[#This Row],[Estimated LDL (mg/dL)2]]+Table1[[#This Row],[HDL (mg/dL)2]]+(Table1[[#This Row],[Triglycerides]]/5),O1335)</f>
        <v>137</v>
      </c>
      <c r="V1335">
        <v>123</v>
      </c>
      <c r="W1335" s="8">
        <f t="shared" si="290"/>
        <v>123</v>
      </c>
      <c r="X1335" t="str">
        <f t="shared" si="291"/>
        <v>Prediabetes</v>
      </c>
      <c r="Y1335" t="s">
        <v>23</v>
      </c>
      <c r="Z1335" t="s">
        <v>22</v>
      </c>
      <c r="AA1335" t="s">
        <v>24</v>
      </c>
      <c r="AB1335" s="3" t="s">
        <v>1138</v>
      </c>
      <c r="AC1335">
        <v>143</v>
      </c>
      <c r="AD1335" s="3" t="str">
        <f t="shared" si="292"/>
        <v>143</v>
      </c>
      <c r="AE1335">
        <v>62</v>
      </c>
      <c r="AF1335" s="3" t="str">
        <f t="shared" si="293"/>
        <v>62</v>
      </c>
      <c r="AG1335" t="s">
        <v>38</v>
      </c>
      <c r="AH1335" s="3">
        <v>17.809999999999999</v>
      </c>
      <c r="AI1335" s="3">
        <f t="shared" si="294"/>
        <v>17.809999999999999</v>
      </c>
      <c r="AJ1335" t="s">
        <v>30</v>
      </c>
      <c r="AK1335" t="str">
        <f>PROPER(Table1[[#This Row],[CVD Risk Level]])</f>
        <v>High</v>
      </c>
    </row>
    <row r="1336" spans="1:37" x14ac:dyDescent="0.3">
      <c r="A1336" t="s">
        <v>31</v>
      </c>
      <c r="B1336">
        <v>25</v>
      </c>
      <c r="C1336" s="8">
        <f t="shared" si="283"/>
        <v>25</v>
      </c>
      <c r="D1336" s="5">
        <v>59.59</v>
      </c>
      <c r="E1336" s="8">
        <f t="shared" si="284"/>
        <v>59.59</v>
      </c>
      <c r="F1336">
        <v>1.5780000000000001</v>
      </c>
      <c r="G1336" s="3">
        <f t="shared" si="285"/>
        <v>1.5780000000000001</v>
      </c>
      <c r="H1336">
        <v>25.876999999999999</v>
      </c>
      <c r="I1336" s="5">
        <f t="shared" si="281"/>
        <v>25.876999999999999</v>
      </c>
      <c r="J1336" s="16" t="str">
        <f t="shared" si="286"/>
        <v>Overweight</v>
      </c>
      <c r="K1336">
        <v>90.146000000000001</v>
      </c>
      <c r="L1336">
        <v>0.57099999999999995</v>
      </c>
      <c r="M1336" s="11">
        <f t="shared" si="282"/>
        <v>0.57099999999999995</v>
      </c>
      <c r="N1336" s="5">
        <f t="shared" si="287"/>
        <v>90.146000000000001</v>
      </c>
      <c r="O1336">
        <v>239</v>
      </c>
      <c r="P1336">
        <v>78</v>
      </c>
      <c r="Q1336" s="8">
        <f t="shared" si="288"/>
        <v>78</v>
      </c>
      <c r="R1336" s="8">
        <v>131</v>
      </c>
      <c r="S1336" s="8">
        <f t="shared" si="289"/>
        <v>131</v>
      </c>
      <c r="T1336" s="8">
        <f>(Table1[[#This Row],[Total Cholesterol (mg/dL)]]+Table1[[#This Row],[HDL (mg/dL)2]]+Table1[[#This Row],[Estimated LDL (mg/dL)2]])*5</f>
        <v>2240</v>
      </c>
      <c r="U1336" s="8">
        <f>IF(O1336="",Table1[[#This Row],[Estimated LDL (mg/dL)2]]+Table1[[#This Row],[HDL (mg/dL)2]]+(Table1[[#This Row],[Triglycerides]]/5),O1336)</f>
        <v>239</v>
      </c>
      <c r="V1336">
        <v>70</v>
      </c>
      <c r="W1336" s="8">
        <f t="shared" si="290"/>
        <v>70</v>
      </c>
      <c r="X1336" t="str">
        <f t="shared" si="291"/>
        <v>Normal</v>
      </c>
      <c r="Y1336" t="s">
        <v>22</v>
      </c>
      <c r="Z1336" t="s">
        <v>22</v>
      </c>
      <c r="AA1336" t="s">
        <v>37</v>
      </c>
      <c r="AB1336" s="3" t="s">
        <v>1139</v>
      </c>
      <c r="AC1336">
        <v>93</v>
      </c>
      <c r="AD1336" s="3" t="str">
        <f t="shared" si="292"/>
        <v>93</v>
      </c>
      <c r="AE1336">
        <v>79</v>
      </c>
      <c r="AF1336" s="3" t="str">
        <f t="shared" si="293"/>
        <v>79</v>
      </c>
      <c r="AG1336" t="s">
        <v>33</v>
      </c>
      <c r="AH1336" s="3">
        <v>14.605</v>
      </c>
      <c r="AI1336" s="3">
        <f t="shared" si="294"/>
        <v>14.605</v>
      </c>
      <c r="AJ1336" t="s">
        <v>52</v>
      </c>
      <c r="AK1336" t="str">
        <f>PROPER(Table1[[#This Row],[CVD Risk Level]])</f>
        <v>Low</v>
      </c>
    </row>
    <row r="1337" spans="1:37" x14ac:dyDescent="0.3">
      <c r="A1337" t="s">
        <v>20</v>
      </c>
      <c r="B1337">
        <v>79</v>
      </c>
      <c r="C1337" s="8">
        <f t="shared" si="283"/>
        <v>79</v>
      </c>
      <c r="D1337" s="5">
        <v>118.551</v>
      </c>
      <c r="E1337" s="8">
        <f t="shared" si="284"/>
        <v>118.551</v>
      </c>
      <c r="F1337">
        <v>1.8740000000000001</v>
      </c>
      <c r="G1337" s="3">
        <f t="shared" si="285"/>
        <v>1.8740000000000001</v>
      </c>
      <c r="H1337">
        <v>34.009</v>
      </c>
      <c r="I1337" s="5">
        <f t="shared" si="281"/>
        <v>34.009</v>
      </c>
      <c r="J1337" s="16" t="str">
        <f t="shared" si="286"/>
        <v>Obese</v>
      </c>
      <c r="K1337">
        <v>95.67</v>
      </c>
      <c r="L1337">
        <v>0.51</v>
      </c>
      <c r="M1337" s="11">
        <f t="shared" si="282"/>
        <v>0.51</v>
      </c>
      <c r="N1337" s="5">
        <f t="shared" si="287"/>
        <v>95.67</v>
      </c>
      <c r="O1337">
        <v>116</v>
      </c>
      <c r="Q1337" s="8">
        <f t="shared" si="288"/>
        <v>56.197377501725327</v>
      </c>
      <c r="R1337" s="8">
        <v>37</v>
      </c>
      <c r="S1337" s="8">
        <f>IF(R1337&lt;=0,MEDIAN($R$2:$R$1530),R1337)</f>
        <v>37</v>
      </c>
      <c r="T1337" s="8">
        <f>(Table1[[#This Row],[Total Cholesterol (mg/dL)]]+Table1[[#This Row],[HDL (mg/dL)2]]+Table1[[#This Row],[Estimated LDL (mg/dL)2]])*5</f>
        <v>1045.9868875086268</v>
      </c>
      <c r="U1337" s="8">
        <f>IF(O1337="",Table1[[#This Row],[Estimated LDL (mg/dL)2]]+Table1[[#This Row],[HDL (mg/dL)2]]+(Table1[[#This Row],[Triglycerides]]/5),O1337)</f>
        <v>116</v>
      </c>
      <c r="V1337">
        <v>138</v>
      </c>
      <c r="W1337" s="8">
        <f t="shared" si="290"/>
        <v>138</v>
      </c>
      <c r="X1337" t="str">
        <f t="shared" si="291"/>
        <v>Diabetes</v>
      </c>
      <c r="Y1337" t="s">
        <v>23</v>
      </c>
      <c r="Z1337" t="s">
        <v>23</v>
      </c>
      <c r="AA1337" t="s">
        <v>24</v>
      </c>
      <c r="AB1337" s="3" t="s">
        <v>1140</v>
      </c>
      <c r="AC1337">
        <v>133</v>
      </c>
      <c r="AD1337" s="3" t="str">
        <f t="shared" si="292"/>
        <v>133</v>
      </c>
      <c r="AF1337" s="3" t="str">
        <f t="shared" si="293"/>
        <v>110</v>
      </c>
      <c r="AG1337" t="s">
        <v>29</v>
      </c>
      <c r="AH1337" s="3">
        <v>17.771999999999998</v>
      </c>
      <c r="AI1337" s="3">
        <f t="shared" si="294"/>
        <v>17.771999999999998</v>
      </c>
      <c r="AJ1337" t="s">
        <v>52</v>
      </c>
      <c r="AK1337" t="str">
        <f>PROPER(Table1[[#This Row],[CVD Risk Level]])</f>
        <v>Low</v>
      </c>
    </row>
    <row r="1338" spans="1:37" x14ac:dyDescent="0.3">
      <c r="A1338" t="s">
        <v>20</v>
      </c>
      <c r="B1338">
        <v>59</v>
      </c>
      <c r="C1338" s="8">
        <f t="shared" si="283"/>
        <v>59</v>
      </c>
      <c r="D1338" s="5">
        <v>113.852</v>
      </c>
      <c r="E1338" s="8">
        <f t="shared" si="284"/>
        <v>113.852</v>
      </c>
      <c r="F1338">
        <v>1.8979999999999999</v>
      </c>
      <c r="G1338" s="3">
        <f t="shared" si="285"/>
        <v>1.8979999999999999</v>
      </c>
      <c r="H1338">
        <v>27.341999999999999</v>
      </c>
      <c r="I1338" s="5">
        <f t="shared" si="281"/>
        <v>27.341999999999999</v>
      </c>
      <c r="J1338" s="16" t="str">
        <f t="shared" si="286"/>
        <v>Overweight</v>
      </c>
      <c r="K1338">
        <v>98.588999999999999</v>
      </c>
      <c r="L1338">
        <v>0.51900000000000002</v>
      </c>
      <c r="M1338" s="11">
        <f t="shared" si="282"/>
        <v>0.51900000000000002</v>
      </c>
      <c r="N1338" s="5">
        <f t="shared" si="287"/>
        <v>98.588999999999999</v>
      </c>
      <c r="O1338">
        <v>228</v>
      </c>
      <c r="P1338">
        <v>83</v>
      </c>
      <c r="Q1338" s="8">
        <f t="shared" si="288"/>
        <v>83</v>
      </c>
      <c r="R1338" s="8">
        <v>115</v>
      </c>
      <c r="S1338" s="8">
        <f t="shared" si="289"/>
        <v>115</v>
      </c>
      <c r="T1338" s="8">
        <f>(Table1[[#This Row],[Total Cholesterol (mg/dL)]]+Table1[[#This Row],[HDL (mg/dL)2]]+Table1[[#This Row],[Estimated LDL (mg/dL)2]])*5</f>
        <v>2130</v>
      </c>
      <c r="U1338" s="8">
        <f>IF(O1338="",Table1[[#This Row],[Estimated LDL (mg/dL)2]]+Table1[[#This Row],[HDL (mg/dL)2]]+(Table1[[#This Row],[Triglycerides]]/5),O1338)</f>
        <v>228</v>
      </c>
      <c r="V1338">
        <v>189</v>
      </c>
      <c r="W1338" s="8">
        <f t="shared" si="290"/>
        <v>189</v>
      </c>
      <c r="X1338" t="str">
        <f t="shared" si="291"/>
        <v>Diabetes</v>
      </c>
      <c r="Y1338" t="s">
        <v>23</v>
      </c>
      <c r="Z1338" t="s">
        <v>23</v>
      </c>
      <c r="AA1338" t="s">
        <v>28</v>
      </c>
      <c r="AB1338" s="3" t="s">
        <v>1141</v>
      </c>
      <c r="AC1338">
        <v>139</v>
      </c>
      <c r="AD1338" s="3" t="str">
        <f t="shared" si="292"/>
        <v>139</v>
      </c>
      <c r="AE1338">
        <v>72</v>
      </c>
      <c r="AF1338" s="3" t="str">
        <f t="shared" si="293"/>
        <v>72</v>
      </c>
      <c r="AG1338" t="s">
        <v>29</v>
      </c>
      <c r="AH1338" s="3">
        <v>18.978000000000002</v>
      </c>
      <c r="AI1338" s="3">
        <f t="shared" si="294"/>
        <v>18.978000000000002</v>
      </c>
      <c r="AJ1338" t="s">
        <v>52</v>
      </c>
      <c r="AK1338" t="str">
        <f>PROPER(Table1[[#This Row],[CVD Risk Level]])</f>
        <v>Low</v>
      </c>
    </row>
    <row r="1339" spans="1:37" x14ac:dyDescent="0.3">
      <c r="A1339" t="s">
        <v>20</v>
      </c>
      <c r="B1339">
        <v>39</v>
      </c>
      <c r="C1339" s="8">
        <f t="shared" si="283"/>
        <v>39</v>
      </c>
      <c r="D1339" s="5">
        <v>80.778000000000006</v>
      </c>
      <c r="E1339" s="8">
        <f t="shared" si="284"/>
        <v>80.778000000000006</v>
      </c>
      <c r="F1339">
        <v>1.514</v>
      </c>
      <c r="G1339" s="3">
        <f t="shared" si="285"/>
        <v>1.514</v>
      </c>
      <c r="H1339">
        <v>39.4</v>
      </c>
      <c r="I1339" s="5">
        <f t="shared" si="281"/>
        <v>39.4</v>
      </c>
      <c r="J1339" s="16" t="str">
        <f t="shared" si="286"/>
        <v>Obese</v>
      </c>
      <c r="K1339">
        <v>83.332999999999998</v>
      </c>
      <c r="L1339">
        <v>0.55100000000000005</v>
      </c>
      <c r="M1339" s="11">
        <f t="shared" si="282"/>
        <v>0.55100000000000005</v>
      </c>
      <c r="N1339" s="5">
        <f t="shared" si="287"/>
        <v>83.332999999999998</v>
      </c>
      <c r="O1339">
        <v>202</v>
      </c>
      <c r="P1339">
        <v>48</v>
      </c>
      <c r="Q1339" s="8">
        <f t="shared" si="288"/>
        <v>48</v>
      </c>
      <c r="R1339" s="8">
        <v>124</v>
      </c>
      <c r="S1339" s="8">
        <f t="shared" si="289"/>
        <v>124</v>
      </c>
      <c r="T1339" s="8">
        <f>(Table1[[#This Row],[Total Cholesterol (mg/dL)]]+Table1[[#This Row],[HDL (mg/dL)2]]+Table1[[#This Row],[Estimated LDL (mg/dL)2]])*5</f>
        <v>1870</v>
      </c>
      <c r="U1339" s="8">
        <f>IF(O1339="",Table1[[#This Row],[Estimated LDL (mg/dL)2]]+Table1[[#This Row],[HDL (mg/dL)2]]+(Table1[[#This Row],[Triglycerides]]/5),O1339)</f>
        <v>202</v>
      </c>
      <c r="V1339">
        <v>119</v>
      </c>
      <c r="W1339" s="8">
        <f t="shared" si="290"/>
        <v>119</v>
      </c>
      <c r="X1339" t="str">
        <f t="shared" si="291"/>
        <v>Prediabetes</v>
      </c>
      <c r="Y1339" t="s">
        <v>23</v>
      </c>
      <c r="Z1339" t="s">
        <v>23</v>
      </c>
      <c r="AA1339" t="s">
        <v>24</v>
      </c>
      <c r="AB1339" s="3" t="s">
        <v>1142</v>
      </c>
      <c r="AC1339">
        <v>147</v>
      </c>
      <c r="AD1339" s="3" t="str">
        <f t="shared" si="292"/>
        <v>147</v>
      </c>
      <c r="AE1339">
        <v>107</v>
      </c>
      <c r="AF1339" s="3" t="str">
        <f t="shared" si="293"/>
        <v>107</v>
      </c>
      <c r="AG1339" t="s">
        <v>38</v>
      </c>
      <c r="AH1339" s="3">
        <v>21.27</v>
      </c>
      <c r="AI1339" s="3">
        <f t="shared" si="294"/>
        <v>21.27</v>
      </c>
      <c r="AJ1339" t="s">
        <v>30</v>
      </c>
      <c r="AK1339" t="str">
        <f>PROPER(Table1[[#This Row],[CVD Risk Level]])</f>
        <v>High</v>
      </c>
    </row>
    <row r="1340" spans="1:37" x14ac:dyDescent="0.3">
      <c r="A1340" t="s">
        <v>20</v>
      </c>
      <c r="B1340">
        <v>70</v>
      </c>
      <c r="C1340" s="8">
        <f t="shared" si="283"/>
        <v>70</v>
      </c>
      <c r="D1340" s="5">
        <v>80.209999999999994</v>
      </c>
      <c r="E1340" s="8">
        <f t="shared" si="284"/>
        <v>80.209999999999994</v>
      </c>
      <c r="F1340">
        <v>1.5169999999999999</v>
      </c>
      <c r="G1340" s="3">
        <f t="shared" si="285"/>
        <v>1.5169999999999999</v>
      </c>
      <c r="H1340">
        <v>39.329000000000001</v>
      </c>
      <c r="I1340" s="5">
        <f t="shared" si="281"/>
        <v>39.329000000000001</v>
      </c>
      <c r="J1340" s="16" t="str">
        <f t="shared" si="286"/>
        <v>Obese</v>
      </c>
      <c r="K1340">
        <v>84.858999999999995</v>
      </c>
      <c r="L1340">
        <v>0.55900000000000005</v>
      </c>
      <c r="M1340" s="11">
        <f t="shared" si="282"/>
        <v>0.55900000000000005</v>
      </c>
      <c r="N1340" s="5">
        <f t="shared" si="287"/>
        <v>84.858999999999995</v>
      </c>
      <c r="O1340">
        <v>132</v>
      </c>
      <c r="Q1340" s="8">
        <f t="shared" si="288"/>
        <v>56.197377501725327</v>
      </c>
      <c r="R1340" s="8">
        <v>62</v>
      </c>
      <c r="S1340" s="8">
        <f>IF(R1340&lt;=0,MEDIAN($R$2:$R$1530),R1340)</f>
        <v>62</v>
      </c>
      <c r="T1340" s="8">
        <f>(Table1[[#This Row],[Total Cholesterol (mg/dL)]]+Table1[[#This Row],[HDL (mg/dL)2]]+Table1[[#This Row],[Estimated LDL (mg/dL)2]])*5</f>
        <v>1250.9868875086268</v>
      </c>
      <c r="U1340" s="8">
        <f>IF(O1340="",Table1[[#This Row],[Estimated LDL (mg/dL)2]]+Table1[[#This Row],[HDL (mg/dL)2]]+(Table1[[#This Row],[Triglycerides]]/5),O1340)</f>
        <v>132</v>
      </c>
      <c r="V1340">
        <v>194</v>
      </c>
      <c r="W1340" s="8">
        <f t="shared" si="290"/>
        <v>194</v>
      </c>
      <c r="X1340" t="str">
        <f t="shared" si="291"/>
        <v>Diabetes</v>
      </c>
      <c r="Y1340" t="s">
        <v>22</v>
      </c>
      <c r="Z1340" t="s">
        <v>23</v>
      </c>
      <c r="AA1340" t="s">
        <v>28</v>
      </c>
      <c r="AB1340" s="3" t="s">
        <v>1143</v>
      </c>
      <c r="AC1340">
        <v>90</v>
      </c>
      <c r="AD1340" s="3" t="str">
        <f t="shared" si="292"/>
        <v>90</v>
      </c>
      <c r="AE1340">
        <v>109</v>
      </c>
      <c r="AF1340" s="3" t="str">
        <f t="shared" si="293"/>
        <v>109</v>
      </c>
      <c r="AG1340" t="s">
        <v>38</v>
      </c>
      <c r="AH1340" s="3">
        <v>17.006</v>
      </c>
      <c r="AI1340" s="3">
        <f t="shared" si="294"/>
        <v>17.006</v>
      </c>
      <c r="AJ1340" t="s">
        <v>30</v>
      </c>
      <c r="AK1340" t="str">
        <f>PROPER(Table1[[#This Row],[CVD Risk Level]])</f>
        <v>High</v>
      </c>
    </row>
    <row r="1341" spans="1:37" x14ac:dyDescent="0.3">
      <c r="A1341" t="s">
        <v>20</v>
      </c>
      <c r="B1341">
        <v>29</v>
      </c>
      <c r="C1341" s="8">
        <f t="shared" si="283"/>
        <v>29</v>
      </c>
      <c r="D1341" s="5">
        <v>99.355000000000004</v>
      </c>
      <c r="E1341" s="8">
        <f t="shared" si="284"/>
        <v>99.355000000000004</v>
      </c>
      <c r="G1341" s="3">
        <f t="shared" si="285"/>
        <v>1.6043369500510924</v>
      </c>
      <c r="H1341">
        <v>38.600999999999999</v>
      </c>
      <c r="I1341" s="5">
        <f t="shared" si="281"/>
        <v>38.600999999999999</v>
      </c>
      <c r="J1341" s="16" t="str">
        <f t="shared" si="286"/>
        <v>Obese</v>
      </c>
      <c r="K1341">
        <v>106.727</v>
      </c>
      <c r="L1341">
        <v>0.58899999999999997</v>
      </c>
      <c r="M1341" s="11">
        <f t="shared" si="282"/>
        <v>0.58899999999999997</v>
      </c>
      <c r="N1341" s="5">
        <f t="shared" si="287"/>
        <v>106.727</v>
      </c>
      <c r="O1341">
        <v>261</v>
      </c>
      <c r="P1341">
        <v>43</v>
      </c>
      <c r="Q1341" s="8">
        <f t="shared" si="288"/>
        <v>43</v>
      </c>
      <c r="R1341" s="8">
        <v>188</v>
      </c>
      <c r="S1341" s="8">
        <f t="shared" si="289"/>
        <v>188</v>
      </c>
      <c r="T1341" s="8">
        <f>(Table1[[#This Row],[Total Cholesterol (mg/dL)]]+Table1[[#This Row],[HDL (mg/dL)2]]+Table1[[#This Row],[Estimated LDL (mg/dL)2]])*5</f>
        <v>2460</v>
      </c>
      <c r="U1341" s="8">
        <f>IF(O1341="",Table1[[#This Row],[Estimated LDL (mg/dL)2]]+Table1[[#This Row],[HDL (mg/dL)2]]+(Table1[[#This Row],[Triglycerides]]/5),O1341)</f>
        <v>261</v>
      </c>
      <c r="V1341">
        <v>169</v>
      </c>
      <c r="W1341" s="8">
        <f t="shared" si="290"/>
        <v>169</v>
      </c>
      <c r="X1341" t="str">
        <f t="shared" si="291"/>
        <v>Diabetes</v>
      </c>
      <c r="Y1341" t="s">
        <v>23</v>
      </c>
      <c r="Z1341" t="s">
        <v>22</v>
      </c>
      <c r="AA1341" t="s">
        <v>37</v>
      </c>
      <c r="AB1341" s="3" t="s">
        <v>1144</v>
      </c>
      <c r="AC1341">
        <v>169</v>
      </c>
      <c r="AD1341" s="3" t="str">
        <f t="shared" si="292"/>
        <v>169</v>
      </c>
      <c r="AE1341">
        <v>119</v>
      </c>
      <c r="AF1341" s="3" t="str">
        <f t="shared" si="293"/>
        <v>119</v>
      </c>
      <c r="AG1341" t="s">
        <v>38</v>
      </c>
      <c r="AH1341" s="3">
        <v>21.39</v>
      </c>
      <c r="AI1341" s="3">
        <f t="shared" si="294"/>
        <v>21.39</v>
      </c>
      <c r="AJ1341" t="s">
        <v>30</v>
      </c>
      <c r="AK1341" t="str">
        <f>PROPER(Table1[[#This Row],[CVD Risk Level]])</f>
        <v>High</v>
      </c>
    </row>
    <row r="1342" spans="1:37" x14ac:dyDescent="0.3">
      <c r="A1342" t="s">
        <v>20</v>
      </c>
      <c r="B1342">
        <v>39</v>
      </c>
      <c r="C1342" s="8">
        <f t="shared" si="283"/>
        <v>39</v>
      </c>
      <c r="D1342" s="5">
        <v>64.724000000000004</v>
      </c>
      <c r="E1342" s="8">
        <f t="shared" si="284"/>
        <v>64.724000000000004</v>
      </c>
      <c r="F1342">
        <v>1.8440000000000001</v>
      </c>
      <c r="G1342" s="3">
        <f t="shared" si="285"/>
        <v>1.8440000000000001</v>
      </c>
      <c r="H1342">
        <v>25.879000000000001</v>
      </c>
      <c r="I1342" s="5">
        <f t="shared" si="281"/>
        <v>25.879000000000001</v>
      </c>
      <c r="J1342" s="16" t="str">
        <f t="shared" si="286"/>
        <v>Overweight</v>
      </c>
      <c r="K1342">
        <v>87.762</v>
      </c>
      <c r="L1342">
        <v>0.47599999999999998</v>
      </c>
      <c r="M1342" s="11">
        <f t="shared" si="282"/>
        <v>0.47599999999999998</v>
      </c>
      <c r="N1342" s="5">
        <f t="shared" si="287"/>
        <v>87.762</v>
      </c>
      <c r="O1342">
        <v>108</v>
      </c>
      <c r="P1342">
        <v>50</v>
      </c>
      <c r="Q1342" s="8">
        <f t="shared" si="288"/>
        <v>50</v>
      </c>
      <c r="R1342" s="8">
        <v>28</v>
      </c>
      <c r="S1342" s="8">
        <f t="shared" si="289"/>
        <v>28</v>
      </c>
      <c r="T1342" s="8">
        <f>(Table1[[#This Row],[Total Cholesterol (mg/dL)]]+Table1[[#This Row],[HDL (mg/dL)2]]+Table1[[#This Row],[Estimated LDL (mg/dL)2]])*5</f>
        <v>930</v>
      </c>
      <c r="U1342" s="8">
        <f>IF(O1342="",Table1[[#This Row],[Estimated LDL (mg/dL)2]]+Table1[[#This Row],[HDL (mg/dL)2]]+(Table1[[#This Row],[Triglycerides]]/5),O1342)</f>
        <v>108</v>
      </c>
      <c r="V1342">
        <v>92</v>
      </c>
      <c r="W1342" s="8">
        <f t="shared" si="290"/>
        <v>92</v>
      </c>
      <c r="X1342" t="str">
        <f t="shared" si="291"/>
        <v>Normal</v>
      </c>
      <c r="Y1342" t="s">
        <v>23</v>
      </c>
      <c r="Z1342" t="s">
        <v>22</v>
      </c>
      <c r="AA1342" t="s">
        <v>37</v>
      </c>
      <c r="AB1342" s="3" t="s">
        <v>1145</v>
      </c>
      <c r="AC1342">
        <v>149</v>
      </c>
      <c r="AD1342" s="3" t="str">
        <f t="shared" si="292"/>
        <v>149</v>
      </c>
      <c r="AE1342">
        <v>82</v>
      </c>
      <c r="AF1342" s="3" t="str">
        <f t="shared" si="293"/>
        <v>82</v>
      </c>
      <c r="AG1342" t="s">
        <v>29</v>
      </c>
      <c r="AH1342" s="3">
        <v>14.786</v>
      </c>
      <c r="AI1342" s="3">
        <f t="shared" si="294"/>
        <v>14.786</v>
      </c>
      <c r="AJ1342" t="s">
        <v>30</v>
      </c>
      <c r="AK1342" t="str">
        <f>PROPER(Table1[[#This Row],[CVD Risk Level]])</f>
        <v>High</v>
      </c>
    </row>
    <row r="1343" spans="1:37" x14ac:dyDescent="0.3">
      <c r="A1343" t="s">
        <v>31</v>
      </c>
      <c r="B1343">
        <v>26</v>
      </c>
      <c r="C1343" s="8">
        <f t="shared" si="283"/>
        <v>26</v>
      </c>
      <c r="D1343" s="5">
        <v>61.716999999999999</v>
      </c>
      <c r="E1343" s="8">
        <f t="shared" si="284"/>
        <v>61.716999999999999</v>
      </c>
      <c r="F1343">
        <v>1.7010000000000001</v>
      </c>
      <c r="G1343" s="3">
        <f t="shared" si="285"/>
        <v>1.7010000000000001</v>
      </c>
      <c r="H1343">
        <v>26.474</v>
      </c>
      <c r="I1343" s="5">
        <f t="shared" si="281"/>
        <v>26.474</v>
      </c>
      <c r="J1343" s="16" t="str">
        <f t="shared" si="286"/>
        <v>Overweight</v>
      </c>
      <c r="K1343">
        <v>102.253</v>
      </c>
      <c r="L1343">
        <v>0.60099999999999998</v>
      </c>
      <c r="M1343" s="11">
        <f t="shared" si="282"/>
        <v>0.60099999999999998</v>
      </c>
      <c r="N1343" s="5">
        <f t="shared" si="287"/>
        <v>102.253</v>
      </c>
      <c r="O1343">
        <v>284</v>
      </c>
      <c r="P1343">
        <v>82</v>
      </c>
      <c r="Q1343" s="8">
        <f t="shared" si="288"/>
        <v>82</v>
      </c>
      <c r="S1343" s="8">
        <f t="shared" si="289"/>
        <v>109</v>
      </c>
      <c r="T1343" s="8">
        <f>(Table1[[#This Row],[Total Cholesterol (mg/dL)]]+Table1[[#This Row],[HDL (mg/dL)2]]+Table1[[#This Row],[Estimated LDL (mg/dL)2]])*5</f>
        <v>2375</v>
      </c>
      <c r="U1343" s="8">
        <f>IF(O1343="",Table1[[#This Row],[Estimated LDL (mg/dL)2]]+Table1[[#This Row],[HDL (mg/dL)2]]+(Table1[[#This Row],[Triglycerides]]/5),O1343)</f>
        <v>284</v>
      </c>
      <c r="V1343">
        <v>95</v>
      </c>
      <c r="W1343" s="8">
        <f t="shared" si="290"/>
        <v>95</v>
      </c>
      <c r="X1343" t="str">
        <f t="shared" si="291"/>
        <v>Normal</v>
      </c>
      <c r="Y1343" t="s">
        <v>22</v>
      </c>
      <c r="Z1343" t="s">
        <v>23</v>
      </c>
      <c r="AA1343" t="s">
        <v>37</v>
      </c>
      <c r="AB1343" s="3" t="s">
        <v>1139</v>
      </c>
      <c r="AC1343">
        <v>93</v>
      </c>
      <c r="AD1343" s="3" t="str">
        <f t="shared" si="292"/>
        <v>93</v>
      </c>
      <c r="AE1343">
        <v>79</v>
      </c>
      <c r="AF1343" s="3" t="str">
        <f t="shared" si="293"/>
        <v>79</v>
      </c>
      <c r="AG1343" t="s">
        <v>33</v>
      </c>
      <c r="AH1343" s="3">
        <v>17.625</v>
      </c>
      <c r="AI1343" s="3">
        <f t="shared" si="294"/>
        <v>17.625</v>
      </c>
      <c r="AJ1343" t="s">
        <v>52</v>
      </c>
      <c r="AK1343" t="str">
        <f>PROPER(Table1[[#This Row],[CVD Risk Level]])</f>
        <v>Low</v>
      </c>
    </row>
    <row r="1344" spans="1:37" x14ac:dyDescent="0.3">
      <c r="A1344" t="s">
        <v>20</v>
      </c>
      <c r="B1344">
        <v>41</v>
      </c>
      <c r="C1344" s="8">
        <f t="shared" si="283"/>
        <v>41</v>
      </c>
      <c r="D1344" s="5">
        <v>110.67100000000001</v>
      </c>
      <c r="E1344" s="8">
        <f t="shared" si="284"/>
        <v>110.67100000000001</v>
      </c>
      <c r="F1344">
        <v>1.853</v>
      </c>
      <c r="G1344" s="3">
        <f t="shared" si="285"/>
        <v>1.853</v>
      </c>
      <c r="H1344">
        <v>33.140999999999998</v>
      </c>
      <c r="I1344" s="5">
        <f t="shared" si="281"/>
        <v>33.140999999999998</v>
      </c>
      <c r="J1344" s="16" t="str">
        <f t="shared" si="286"/>
        <v>Obese</v>
      </c>
      <c r="K1344">
        <v>113.437</v>
      </c>
      <c r="L1344">
        <v>0.61199999999999999</v>
      </c>
      <c r="M1344" s="11">
        <f t="shared" si="282"/>
        <v>0.61199999999999999</v>
      </c>
      <c r="N1344" s="5">
        <f t="shared" si="287"/>
        <v>113.437</v>
      </c>
      <c r="O1344">
        <v>136</v>
      </c>
      <c r="P1344">
        <v>62</v>
      </c>
      <c r="Q1344" s="8">
        <f t="shared" si="288"/>
        <v>62</v>
      </c>
      <c r="R1344" s="8">
        <v>44</v>
      </c>
      <c r="S1344" s="8">
        <f t="shared" si="289"/>
        <v>44</v>
      </c>
      <c r="T1344" s="8">
        <f>(Table1[[#This Row],[Total Cholesterol (mg/dL)]]+Table1[[#This Row],[HDL (mg/dL)2]]+Table1[[#This Row],[Estimated LDL (mg/dL)2]])*5</f>
        <v>1210</v>
      </c>
      <c r="U1344" s="8">
        <f>IF(O1344="",Table1[[#This Row],[Estimated LDL (mg/dL)2]]+Table1[[#This Row],[HDL (mg/dL)2]]+(Table1[[#This Row],[Triglycerides]]/5),O1344)</f>
        <v>136</v>
      </c>
      <c r="V1344">
        <v>181</v>
      </c>
      <c r="W1344" s="8">
        <f t="shared" si="290"/>
        <v>181</v>
      </c>
      <c r="X1344" t="str">
        <f t="shared" si="291"/>
        <v>Diabetes</v>
      </c>
      <c r="Y1344" t="s">
        <v>22</v>
      </c>
      <c r="Z1344" t="s">
        <v>22</v>
      </c>
      <c r="AA1344" t="s">
        <v>24</v>
      </c>
      <c r="AB1344" s="3" t="s">
        <v>86</v>
      </c>
      <c r="AC1344">
        <v>102</v>
      </c>
      <c r="AD1344" s="3" t="str">
        <f t="shared" si="292"/>
        <v>102</v>
      </c>
      <c r="AE1344">
        <v>71</v>
      </c>
      <c r="AF1344" s="3" t="str">
        <f t="shared" si="293"/>
        <v>71</v>
      </c>
      <c r="AG1344" t="s">
        <v>33</v>
      </c>
      <c r="AH1344" s="3">
        <v>14.448</v>
      </c>
      <c r="AI1344" s="3">
        <f t="shared" si="294"/>
        <v>14.448</v>
      </c>
      <c r="AJ1344" t="s">
        <v>26</v>
      </c>
      <c r="AK1344" t="str">
        <f>PROPER(Table1[[#This Row],[CVD Risk Level]])</f>
        <v>Intermediary</v>
      </c>
    </row>
    <row r="1345" spans="1:37" x14ac:dyDescent="0.3">
      <c r="A1345" t="s">
        <v>20</v>
      </c>
      <c r="B1345">
        <v>63</v>
      </c>
      <c r="C1345" s="8">
        <f t="shared" si="283"/>
        <v>63</v>
      </c>
      <c r="D1345" s="5">
        <v>102.85899999999999</v>
      </c>
      <c r="E1345" s="8">
        <f t="shared" si="284"/>
        <v>102.85899999999999</v>
      </c>
      <c r="F1345">
        <v>1.593</v>
      </c>
      <c r="G1345" s="3">
        <f t="shared" si="285"/>
        <v>1.593</v>
      </c>
      <c r="H1345">
        <v>38.125</v>
      </c>
      <c r="I1345" s="5">
        <f t="shared" si="281"/>
        <v>38.125</v>
      </c>
      <c r="J1345" s="16" t="str">
        <f t="shared" si="286"/>
        <v>Obese</v>
      </c>
      <c r="K1345">
        <v>73.057000000000002</v>
      </c>
      <c r="L1345">
        <v>0.45900000000000002</v>
      </c>
      <c r="M1345" s="11">
        <f t="shared" si="282"/>
        <v>0.45900000000000002</v>
      </c>
      <c r="N1345" s="5">
        <f t="shared" si="287"/>
        <v>73.057000000000002</v>
      </c>
      <c r="O1345">
        <v>126</v>
      </c>
      <c r="P1345">
        <v>33</v>
      </c>
      <c r="Q1345" s="8">
        <f t="shared" si="288"/>
        <v>33</v>
      </c>
      <c r="R1345" s="8">
        <v>63</v>
      </c>
      <c r="S1345" s="8">
        <f t="shared" si="289"/>
        <v>63</v>
      </c>
      <c r="T1345" s="8">
        <f>(Table1[[#This Row],[Total Cholesterol (mg/dL)]]+Table1[[#This Row],[HDL (mg/dL)2]]+Table1[[#This Row],[Estimated LDL (mg/dL)2]])*5</f>
        <v>1110</v>
      </c>
      <c r="U1345" s="8">
        <f>IF(O1345="",Table1[[#This Row],[Estimated LDL (mg/dL)2]]+Table1[[#This Row],[HDL (mg/dL)2]]+(Table1[[#This Row],[Triglycerides]]/5),O1345)</f>
        <v>126</v>
      </c>
      <c r="V1345">
        <v>102</v>
      </c>
      <c r="W1345" s="8">
        <f t="shared" si="290"/>
        <v>102</v>
      </c>
      <c r="X1345" t="str">
        <f t="shared" si="291"/>
        <v>Prediabetes</v>
      </c>
      <c r="Y1345" t="s">
        <v>23</v>
      </c>
      <c r="Z1345" t="s">
        <v>22</v>
      </c>
      <c r="AA1345" t="s">
        <v>28</v>
      </c>
      <c r="AB1345" s="3" t="s">
        <v>1146</v>
      </c>
      <c r="AC1345">
        <v>125</v>
      </c>
      <c r="AD1345" s="3" t="str">
        <f t="shared" si="292"/>
        <v>125</v>
      </c>
      <c r="AE1345">
        <v>94</v>
      </c>
      <c r="AF1345" s="3" t="str">
        <f t="shared" si="293"/>
        <v>94</v>
      </c>
      <c r="AG1345" t="s">
        <v>38</v>
      </c>
      <c r="AH1345" s="3">
        <v>16.395</v>
      </c>
      <c r="AI1345" s="3">
        <f t="shared" si="294"/>
        <v>16.395</v>
      </c>
      <c r="AJ1345" t="s">
        <v>30</v>
      </c>
      <c r="AK1345" t="str">
        <f>PROPER(Table1[[#This Row],[CVD Risk Level]])</f>
        <v>High</v>
      </c>
    </row>
    <row r="1346" spans="1:37" x14ac:dyDescent="0.3">
      <c r="A1346" t="s">
        <v>31</v>
      </c>
      <c r="C1346" s="8">
        <f t="shared" si="283"/>
        <v>47.025499655410059</v>
      </c>
      <c r="D1346" s="5">
        <v>61.262</v>
      </c>
      <c r="E1346" s="8">
        <f t="shared" si="284"/>
        <v>61.262</v>
      </c>
      <c r="F1346">
        <v>1.712</v>
      </c>
      <c r="G1346" s="3">
        <f t="shared" si="285"/>
        <v>1.712</v>
      </c>
      <c r="H1346">
        <v>23.332999999999998</v>
      </c>
      <c r="I1346" s="5">
        <f t="shared" ref="I1346:I1409" si="295" xml:space="preserve"> IF(H1346="",E1346 / (G1346^2),H1346)</f>
        <v>23.332999999999998</v>
      </c>
      <c r="J1346" s="16" t="str">
        <f t="shared" si="286"/>
        <v>Normal</v>
      </c>
      <c r="K1346">
        <v>98.600999999999999</v>
      </c>
      <c r="L1346">
        <v>0.57599999999999996</v>
      </c>
      <c r="M1346" s="11">
        <f t="shared" ref="M1346:M1409" si="296">IF(L1346="",K1346/(G1346*100),L1346)</f>
        <v>0.57599999999999996</v>
      </c>
      <c r="N1346" s="5">
        <f t="shared" si="287"/>
        <v>98.600999999999999</v>
      </c>
      <c r="O1346">
        <v>103</v>
      </c>
      <c r="P1346">
        <v>83</v>
      </c>
      <c r="Q1346" s="8">
        <f t="shared" si="288"/>
        <v>83</v>
      </c>
      <c r="R1346" s="8">
        <v>-10</v>
      </c>
      <c r="S1346" s="8">
        <f t="shared" si="289"/>
        <v>109</v>
      </c>
      <c r="T1346" s="8">
        <f>(Table1[[#This Row],[Total Cholesterol (mg/dL)]]+Table1[[#This Row],[HDL (mg/dL)2]]+Table1[[#This Row],[Estimated LDL (mg/dL)2]])*5</f>
        <v>1475</v>
      </c>
      <c r="U1346" s="8">
        <f>IF(O1346="",Table1[[#This Row],[Estimated LDL (mg/dL)2]]+Table1[[#This Row],[HDL (mg/dL)2]]+(Table1[[#This Row],[Triglycerides]]/5),O1346)</f>
        <v>103</v>
      </c>
      <c r="V1346">
        <v>127</v>
      </c>
      <c r="W1346" s="8">
        <f t="shared" si="290"/>
        <v>127</v>
      </c>
      <c r="X1346" t="str">
        <f t="shared" si="291"/>
        <v>Diabetes</v>
      </c>
      <c r="Y1346" t="s">
        <v>22</v>
      </c>
      <c r="Z1346" t="s">
        <v>23</v>
      </c>
      <c r="AA1346" t="s">
        <v>37</v>
      </c>
      <c r="AB1346" s="3" t="s">
        <v>1147</v>
      </c>
      <c r="AC1346">
        <v>129</v>
      </c>
      <c r="AD1346" s="3" t="str">
        <f t="shared" si="292"/>
        <v>129</v>
      </c>
      <c r="AE1346">
        <v>85</v>
      </c>
      <c r="AF1346" s="3" t="str">
        <f t="shared" si="293"/>
        <v>85</v>
      </c>
      <c r="AG1346" t="s">
        <v>29</v>
      </c>
      <c r="AH1346" s="3">
        <v>15.177</v>
      </c>
      <c r="AI1346" s="3">
        <f t="shared" si="294"/>
        <v>15.177</v>
      </c>
      <c r="AJ1346" t="s">
        <v>30</v>
      </c>
      <c r="AK1346" t="str">
        <f>PROPER(Table1[[#This Row],[CVD Risk Level]])</f>
        <v>High</v>
      </c>
    </row>
    <row r="1347" spans="1:37" x14ac:dyDescent="0.3">
      <c r="A1347" t="s">
        <v>31</v>
      </c>
      <c r="B1347">
        <v>66</v>
      </c>
      <c r="C1347" s="8">
        <f t="shared" ref="C1347:C1410" si="297">IF(B1347="",AVERAGE($B$2:$B$1530),B1347)</f>
        <v>66</v>
      </c>
      <c r="D1347" s="5">
        <v>97.128</v>
      </c>
      <c r="E1347" s="8">
        <f t="shared" ref="E1347:E1410" si="298">IF(D1347="", H1347*(F1347^2),D1347)</f>
        <v>97.128</v>
      </c>
      <c r="F1347">
        <v>1.6619999999999999</v>
      </c>
      <c r="G1347" s="3">
        <f t="shared" ref="G1347:G1410" si="299">IF(F1347="", SQRT(E1347 / H1347),F1347)</f>
        <v>1.6619999999999999</v>
      </c>
      <c r="H1347">
        <v>20.533000000000001</v>
      </c>
      <c r="I1347" s="5">
        <f t="shared" si="295"/>
        <v>20.533000000000001</v>
      </c>
      <c r="J1347" s="16" t="str">
        <f t="shared" ref="J1347:J1410" si="300">IF(I1347&lt;18.5,"Underweight",IF(I1347&lt;25,"Normal",IF(I1347&lt;30,"Overweight","Obese")))</f>
        <v>Normal</v>
      </c>
      <c r="K1347">
        <v>99.930999999999997</v>
      </c>
      <c r="L1347">
        <v>0.60099999999999998</v>
      </c>
      <c r="M1347" s="11">
        <f t="shared" si="296"/>
        <v>0.60099999999999998</v>
      </c>
      <c r="N1347" s="5">
        <f t="shared" ref="N1347:N1410" si="301">IF(K1347="",M1347*(G1347*100),K1347)</f>
        <v>99.930999999999997</v>
      </c>
      <c r="O1347">
        <v>260</v>
      </c>
      <c r="P1347">
        <v>60</v>
      </c>
      <c r="Q1347" s="8">
        <f t="shared" ref="Q1347:Q1410" si="302">IF(P1347="",AVERAGE($P$2:$P$1530),P1347)</f>
        <v>60</v>
      </c>
      <c r="R1347" s="8">
        <v>170</v>
      </c>
      <c r="S1347" s="8">
        <f t="shared" ref="S1347:S1410" si="303">IF(R1347&lt;=0,MEDIAN($R$2:$R$1530),R1347)</f>
        <v>170</v>
      </c>
      <c r="T1347" s="8">
        <f>(Table1[[#This Row],[Total Cholesterol (mg/dL)]]+Table1[[#This Row],[HDL (mg/dL)2]]+Table1[[#This Row],[Estimated LDL (mg/dL)2]])*5</f>
        <v>2450</v>
      </c>
      <c r="U1347" s="8">
        <f>IF(O1347="",Table1[[#This Row],[Estimated LDL (mg/dL)2]]+Table1[[#This Row],[HDL (mg/dL)2]]+(Table1[[#This Row],[Triglycerides]]/5),O1347)</f>
        <v>260</v>
      </c>
      <c r="V1347">
        <v>105</v>
      </c>
      <c r="W1347" s="8">
        <f t="shared" ref="W1347:W1410" si="304">IF(V1347="",AVERAGE($V$2:$V$1530),V1347)</f>
        <v>105</v>
      </c>
      <c r="X1347" t="str">
        <f t="shared" ref="X1347:X1410" si="305">IF(W1347&lt;100,"Normal",IF(W1347&lt;126,"Prediabetes","Diabetes"))</f>
        <v>Prediabetes</v>
      </c>
      <c r="Y1347" t="s">
        <v>22</v>
      </c>
      <c r="Z1347" t="s">
        <v>22</v>
      </c>
      <c r="AA1347" t="s">
        <v>24</v>
      </c>
      <c r="AB1347" s="3" t="s">
        <v>1148</v>
      </c>
      <c r="AC1347">
        <v>143</v>
      </c>
      <c r="AD1347" s="3" t="str">
        <f t="shared" ref="AD1347:AD1410" si="306">LEFT(AB1347,FIND("/",AB1347)-1)</f>
        <v>143</v>
      </c>
      <c r="AE1347">
        <v>91</v>
      </c>
      <c r="AF1347" s="3" t="str">
        <f t="shared" ref="AF1347:AF1410" si="307">RIGHT(AB1347,LEN(AB1347)-FIND("/",AB1347))</f>
        <v>91</v>
      </c>
      <c r="AG1347" t="s">
        <v>38</v>
      </c>
      <c r="AH1347" s="3">
        <v>16.457000000000001</v>
      </c>
      <c r="AI1347" s="3">
        <f t="shared" ref="AI1347:AI1410" si="308">IF(AH1347="",AVERAGE($AH$2:$AH$1530),AH1347)</f>
        <v>16.457000000000001</v>
      </c>
      <c r="AJ1347" t="s">
        <v>52</v>
      </c>
      <c r="AK1347" t="str">
        <f>PROPER(Table1[[#This Row],[CVD Risk Level]])</f>
        <v>Low</v>
      </c>
    </row>
    <row r="1348" spans="1:37" x14ac:dyDescent="0.3">
      <c r="A1348" t="s">
        <v>20</v>
      </c>
      <c r="B1348">
        <v>26</v>
      </c>
      <c r="C1348" s="8">
        <f t="shared" si="297"/>
        <v>26</v>
      </c>
      <c r="D1348" s="5">
        <v>75.631</v>
      </c>
      <c r="E1348" s="8">
        <f t="shared" si="298"/>
        <v>75.631</v>
      </c>
      <c r="F1348">
        <v>1.7749999999999999</v>
      </c>
      <c r="G1348" s="3">
        <f t="shared" si="299"/>
        <v>1.7749999999999999</v>
      </c>
      <c r="H1348">
        <v>31.672000000000001</v>
      </c>
      <c r="I1348" s="5">
        <f t="shared" si="295"/>
        <v>31.672000000000001</v>
      </c>
      <c r="J1348" s="16" t="str">
        <f t="shared" si="300"/>
        <v>Obese</v>
      </c>
      <c r="K1348">
        <v>113.36199999999999</v>
      </c>
      <c r="L1348">
        <v>0.63900000000000001</v>
      </c>
      <c r="M1348" s="11">
        <f t="shared" si="296"/>
        <v>0.63900000000000001</v>
      </c>
      <c r="N1348" s="5">
        <f t="shared" si="301"/>
        <v>113.36199999999999</v>
      </c>
      <c r="O1348">
        <v>278</v>
      </c>
      <c r="P1348">
        <v>89</v>
      </c>
      <c r="Q1348" s="8">
        <f t="shared" si="302"/>
        <v>89</v>
      </c>
      <c r="R1348" s="8">
        <v>159</v>
      </c>
      <c r="S1348" s="8">
        <f t="shared" si="303"/>
        <v>159</v>
      </c>
      <c r="T1348" s="8">
        <f>(Table1[[#This Row],[Total Cholesterol (mg/dL)]]+Table1[[#This Row],[HDL (mg/dL)2]]+Table1[[#This Row],[Estimated LDL (mg/dL)2]])*5</f>
        <v>2630</v>
      </c>
      <c r="U1348" s="8">
        <f>IF(O1348="",Table1[[#This Row],[Estimated LDL (mg/dL)2]]+Table1[[#This Row],[HDL (mg/dL)2]]+(Table1[[#This Row],[Triglycerides]]/5),O1348)</f>
        <v>278</v>
      </c>
      <c r="V1348">
        <v>191</v>
      </c>
      <c r="W1348" s="8">
        <f t="shared" si="304"/>
        <v>191</v>
      </c>
      <c r="X1348" t="str">
        <f t="shared" si="305"/>
        <v>Diabetes</v>
      </c>
      <c r="Y1348" t="s">
        <v>23</v>
      </c>
      <c r="Z1348" t="s">
        <v>23</v>
      </c>
      <c r="AA1348" t="s">
        <v>28</v>
      </c>
      <c r="AB1348" s="3" t="s">
        <v>1149</v>
      </c>
      <c r="AC1348">
        <v>104</v>
      </c>
      <c r="AD1348" s="3" t="str">
        <f t="shared" si="306"/>
        <v>104</v>
      </c>
      <c r="AE1348">
        <v>113</v>
      </c>
      <c r="AF1348" s="3" t="str">
        <f t="shared" si="307"/>
        <v>113</v>
      </c>
      <c r="AG1348" t="s">
        <v>38</v>
      </c>
      <c r="AH1348" s="3">
        <v>19.094000000000001</v>
      </c>
      <c r="AI1348" s="3">
        <f t="shared" si="308"/>
        <v>19.094000000000001</v>
      </c>
      <c r="AJ1348" t="s">
        <v>52</v>
      </c>
      <c r="AK1348" t="str">
        <f>PROPER(Table1[[#This Row],[CVD Risk Level]])</f>
        <v>Low</v>
      </c>
    </row>
    <row r="1349" spans="1:37" x14ac:dyDescent="0.3">
      <c r="A1349" t="s">
        <v>20</v>
      </c>
      <c r="B1349">
        <v>58</v>
      </c>
      <c r="C1349" s="8">
        <f t="shared" si="297"/>
        <v>58</v>
      </c>
      <c r="D1349" s="5">
        <v>76.506</v>
      </c>
      <c r="E1349" s="8">
        <f t="shared" si="298"/>
        <v>76.506</v>
      </c>
      <c r="F1349">
        <v>1.5129999999999999</v>
      </c>
      <c r="G1349" s="3">
        <f t="shared" si="299"/>
        <v>1.5129999999999999</v>
      </c>
      <c r="H1349">
        <v>24.196999999999999</v>
      </c>
      <c r="I1349" s="5">
        <f t="shared" si="295"/>
        <v>24.196999999999999</v>
      </c>
      <c r="J1349" s="16" t="str">
        <f t="shared" si="300"/>
        <v>Normal</v>
      </c>
      <c r="K1349">
        <v>118.583</v>
      </c>
      <c r="L1349">
        <v>0.78400000000000003</v>
      </c>
      <c r="M1349" s="11">
        <f t="shared" si="296"/>
        <v>0.78400000000000003</v>
      </c>
      <c r="N1349" s="5">
        <f t="shared" si="301"/>
        <v>118.583</v>
      </c>
      <c r="P1349">
        <v>63</v>
      </c>
      <c r="Q1349" s="8">
        <f t="shared" si="302"/>
        <v>63</v>
      </c>
      <c r="R1349" s="8">
        <v>41</v>
      </c>
      <c r="S1349" s="8">
        <f t="shared" si="303"/>
        <v>41</v>
      </c>
      <c r="T1349" s="8">
        <f>(Table1[[#This Row],[Total Cholesterol (mg/dL)]]+Table1[[#This Row],[HDL (mg/dL)2]]+Table1[[#This Row],[Estimated LDL (mg/dL)2]])*5</f>
        <v>520</v>
      </c>
      <c r="U1349" s="8">
        <f>IF(O1349="",Table1[[#This Row],[Estimated LDL (mg/dL)2]]+Table1[[#This Row],[HDL (mg/dL)2]]+(Table1[[#This Row],[Triglycerides]]/5),O1349)</f>
        <v>208</v>
      </c>
      <c r="V1349">
        <v>120</v>
      </c>
      <c r="W1349" s="8">
        <f t="shared" si="304"/>
        <v>120</v>
      </c>
      <c r="X1349" t="str">
        <f t="shared" si="305"/>
        <v>Prediabetes</v>
      </c>
      <c r="Y1349" t="s">
        <v>23</v>
      </c>
      <c r="Z1349" t="s">
        <v>22</v>
      </c>
      <c r="AA1349" t="s">
        <v>37</v>
      </c>
      <c r="AB1349" s="3" t="s">
        <v>1150</v>
      </c>
      <c r="AC1349">
        <v>115</v>
      </c>
      <c r="AD1349" s="3" t="str">
        <f t="shared" si="306"/>
        <v>115</v>
      </c>
      <c r="AF1349" s="3" t="str">
        <f t="shared" si="307"/>
        <v>105</v>
      </c>
      <c r="AG1349" t="s">
        <v>38</v>
      </c>
      <c r="AH1349" s="3">
        <v>13.269</v>
      </c>
      <c r="AI1349" s="3">
        <f t="shared" si="308"/>
        <v>13.269</v>
      </c>
      <c r="AJ1349" t="s">
        <v>26</v>
      </c>
      <c r="AK1349" t="str">
        <f>PROPER(Table1[[#This Row],[CVD Risk Level]])</f>
        <v>Intermediary</v>
      </c>
    </row>
    <row r="1350" spans="1:37" x14ac:dyDescent="0.3">
      <c r="A1350" t="s">
        <v>20</v>
      </c>
      <c r="B1350">
        <v>57</v>
      </c>
      <c r="C1350" s="8">
        <f t="shared" si="297"/>
        <v>57</v>
      </c>
      <c r="D1350" s="5">
        <v>92.923000000000002</v>
      </c>
      <c r="E1350" s="8">
        <f t="shared" si="298"/>
        <v>92.923000000000002</v>
      </c>
      <c r="F1350">
        <v>1.8420000000000001</v>
      </c>
      <c r="G1350" s="3">
        <f t="shared" si="299"/>
        <v>1.8420000000000001</v>
      </c>
      <c r="H1350">
        <v>33.116</v>
      </c>
      <c r="I1350" s="5">
        <f t="shared" si="295"/>
        <v>33.116</v>
      </c>
      <c r="J1350" s="16" t="str">
        <f t="shared" si="300"/>
        <v>Obese</v>
      </c>
      <c r="K1350">
        <v>106.315</v>
      </c>
      <c r="L1350">
        <v>0.57699999999999996</v>
      </c>
      <c r="M1350" s="11">
        <f t="shared" si="296"/>
        <v>0.57699999999999996</v>
      </c>
      <c r="N1350" s="5">
        <f t="shared" si="301"/>
        <v>106.315</v>
      </c>
      <c r="O1350">
        <v>158</v>
      </c>
      <c r="P1350">
        <v>71</v>
      </c>
      <c r="Q1350" s="8">
        <f t="shared" si="302"/>
        <v>71</v>
      </c>
      <c r="R1350" s="8">
        <v>57</v>
      </c>
      <c r="S1350" s="8">
        <f>IF(R1350&lt;=0,MEDIAN($R$2:$R$1530),R1350)</f>
        <v>57</v>
      </c>
      <c r="T1350" s="8">
        <f>(Table1[[#This Row],[Total Cholesterol (mg/dL)]]+Table1[[#This Row],[HDL (mg/dL)2]]+Table1[[#This Row],[Estimated LDL (mg/dL)2]])*5</f>
        <v>1430</v>
      </c>
      <c r="U1350" s="8">
        <f>IF(O1350="",Table1[[#This Row],[Estimated LDL (mg/dL)2]]+Table1[[#This Row],[HDL (mg/dL)2]]+(Table1[[#This Row],[Triglycerides]]/5),O1350)</f>
        <v>158</v>
      </c>
      <c r="V1350">
        <v>76</v>
      </c>
      <c r="W1350" s="8">
        <f t="shared" si="304"/>
        <v>76</v>
      </c>
      <c r="X1350" t="str">
        <f t="shared" si="305"/>
        <v>Normal</v>
      </c>
      <c r="Y1350" t="s">
        <v>22</v>
      </c>
      <c r="Z1350" t="s">
        <v>23</v>
      </c>
      <c r="AA1350" t="s">
        <v>28</v>
      </c>
      <c r="AB1350" s="3" t="s">
        <v>1126</v>
      </c>
      <c r="AC1350">
        <v>101</v>
      </c>
      <c r="AD1350" s="3" t="str">
        <f t="shared" si="306"/>
        <v>101</v>
      </c>
      <c r="AE1350">
        <v>91</v>
      </c>
      <c r="AF1350" s="3" t="str">
        <f t="shared" si="307"/>
        <v>91</v>
      </c>
      <c r="AG1350" t="s">
        <v>38</v>
      </c>
      <c r="AH1350" s="3">
        <v>16.832999999999998</v>
      </c>
      <c r="AI1350" s="3">
        <f t="shared" si="308"/>
        <v>16.832999999999998</v>
      </c>
      <c r="AJ1350" t="s">
        <v>26</v>
      </c>
      <c r="AK1350" t="str">
        <f>PROPER(Table1[[#This Row],[CVD Risk Level]])</f>
        <v>Intermediary</v>
      </c>
    </row>
    <row r="1351" spans="1:37" x14ac:dyDescent="0.3">
      <c r="A1351" t="s">
        <v>20</v>
      </c>
      <c r="B1351">
        <v>72</v>
      </c>
      <c r="C1351" s="8">
        <f t="shared" si="297"/>
        <v>72</v>
      </c>
      <c r="D1351" s="5">
        <v>97.58</v>
      </c>
      <c r="E1351" s="8">
        <f t="shared" si="298"/>
        <v>97.58</v>
      </c>
      <c r="F1351">
        <v>1.5049999999999999</v>
      </c>
      <c r="G1351" s="3">
        <f t="shared" si="299"/>
        <v>1.5049999999999999</v>
      </c>
      <c r="H1351">
        <v>24.2</v>
      </c>
      <c r="I1351" s="5">
        <f t="shared" si="295"/>
        <v>24.2</v>
      </c>
      <c r="J1351" s="16" t="str">
        <f t="shared" si="300"/>
        <v>Normal</v>
      </c>
      <c r="K1351">
        <v>95.757999999999996</v>
      </c>
      <c r="L1351">
        <v>0.63600000000000001</v>
      </c>
      <c r="M1351" s="11">
        <f t="shared" si="296"/>
        <v>0.63600000000000001</v>
      </c>
      <c r="N1351" s="5">
        <f t="shared" si="301"/>
        <v>95.757999999999996</v>
      </c>
      <c r="O1351">
        <v>245</v>
      </c>
      <c r="P1351">
        <v>58</v>
      </c>
      <c r="Q1351" s="8">
        <f t="shared" si="302"/>
        <v>58</v>
      </c>
      <c r="R1351" s="8">
        <v>157</v>
      </c>
      <c r="S1351" s="8">
        <f t="shared" si="303"/>
        <v>157</v>
      </c>
      <c r="T1351" s="8">
        <f>(Table1[[#This Row],[Total Cholesterol (mg/dL)]]+Table1[[#This Row],[HDL (mg/dL)2]]+Table1[[#This Row],[Estimated LDL (mg/dL)2]])*5</f>
        <v>2300</v>
      </c>
      <c r="U1351" s="8">
        <f>IF(O1351="",Table1[[#This Row],[Estimated LDL (mg/dL)2]]+Table1[[#This Row],[HDL (mg/dL)2]]+(Table1[[#This Row],[Triglycerides]]/5),O1351)</f>
        <v>245</v>
      </c>
      <c r="V1351">
        <v>194</v>
      </c>
      <c r="W1351" s="8">
        <f t="shared" si="304"/>
        <v>194</v>
      </c>
      <c r="X1351" t="str">
        <f t="shared" si="305"/>
        <v>Diabetes</v>
      </c>
      <c r="Y1351" t="s">
        <v>23</v>
      </c>
      <c r="Z1351" t="s">
        <v>22</v>
      </c>
      <c r="AA1351" t="s">
        <v>28</v>
      </c>
      <c r="AB1351" s="3" t="s">
        <v>981</v>
      </c>
      <c r="AC1351">
        <v>162</v>
      </c>
      <c r="AD1351" s="3" t="str">
        <f t="shared" si="306"/>
        <v>162</v>
      </c>
      <c r="AF1351" s="3" t="str">
        <f t="shared" si="307"/>
        <v>106</v>
      </c>
      <c r="AG1351" t="s">
        <v>38</v>
      </c>
      <c r="AH1351" s="3">
        <v>17.84</v>
      </c>
      <c r="AI1351" s="3">
        <f t="shared" si="308"/>
        <v>17.84</v>
      </c>
      <c r="AJ1351" t="s">
        <v>26</v>
      </c>
      <c r="AK1351" t="str">
        <f>PROPER(Table1[[#This Row],[CVD Risk Level]])</f>
        <v>Intermediary</v>
      </c>
    </row>
    <row r="1352" spans="1:37" x14ac:dyDescent="0.3">
      <c r="A1352" t="s">
        <v>31</v>
      </c>
      <c r="B1352">
        <v>71</v>
      </c>
      <c r="C1352" s="8">
        <f t="shared" si="297"/>
        <v>71</v>
      </c>
      <c r="D1352" s="5">
        <v>73.605999999999995</v>
      </c>
      <c r="E1352" s="8">
        <f t="shared" si="298"/>
        <v>73.605999999999995</v>
      </c>
      <c r="F1352">
        <v>1.72</v>
      </c>
      <c r="G1352" s="3">
        <f t="shared" si="299"/>
        <v>1.72</v>
      </c>
      <c r="H1352">
        <v>31.202999999999999</v>
      </c>
      <c r="I1352" s="5">
        <f t="shared" si="295"/>
        <v>31.202999999999999</v>
      </c>
      <c r="J1352" s="16" t="str">
        <f t="shared" si="300"/>
        <v>Obese</v>
      </c>
      <c r="K1352">
        <v>91.233999999999995</v>
      </c>
      <c r="L1352">
        <v>0.53</v>
      </c>
      <c r="M1352" s="11">
        <f t="shared" si="296"/>
        <v>0.53</v>
      </c>
      <c r="N1352" s="5">
        <f t="shared" si="301"/>
        <v>91.233999999999995</v>
      </c>
      <c r="O1352">
        <v>235</v>
      </c>
      <c r="P1352">
        <v>32</v>
      </c>
      <c r="Q1352" s="8">
        <f t="shared" si="302"/>
        <v>32</v>
      </c>
      <c r="R1352" s="8">
        <v>173</v>
      </c>
      <c r="S1352" s="8">
        <f t="shared" si="303"/>
        <v>173</v>
      </c>
      <c r="T1352" s="8">
        <f>(Table1[[#This Row],[Total Cholesterol (mg/dL)]]+Table1[[#This Row],[HDL (mg/dL)2]]+Table1[[#This Row],[Estimated LDL (mg/dL)2]])*5</f>
        <v>2200</v>
      </c>
      <c r="U1352" s="8">
        <f>IF(O1352="",Table1[[#This Row],[Estimated LDL (mg/dL)2]]+Table1[[#This Row],[HDL (mg/dL)2]]+(Table1[[#This Row],[Triglycerides]]/5),O1352)</f>
        <v>235</v>
      </c>
      <c r="V1352">
        <v>174</v>
      </c>
      <c r="W1352" s="8">
        <f t="shared" si="304"/>
        <v>174</v>
      </c>
      <c r="X1352" t="str">
        <f t="shared" si="305"/>
        <v>Diabetes</v>
      </c>
      <c r="Y1352" t="s">
        <v>22</v>
      </c>
      <c r="Z1352" t="s">
        <v>23</v>
      </c>
      <c r="AA1352" t="s">
        <v>37</v>
      </c>
      <c r="AB1352" s="3" t="s">
        <v>1151</v>
      </c>
      <c r="AC1352">
        <v>105</v>
      </c>
      <c r="AD1352" s="3" t="str">
        <f t="shared" si="306"/>
        <v>105</v>
      </c>
      <c r="AE1352">
        <v>107</v>
      </c>
      <c r="AF1352" s="3" t="str">
        <f t="shared" si="307"/>
        <v>107</v>
      </c>
      <c r="AG1352" t="s">
        <v>38</v>
      </c>
      <c r="AH1352" s="3">
        <v>18.190999999999999</v>
      </c>
      <c r="AI1352" s="3">
        <f t="shared" si="308"/>
        <v>18.190999999999999</v>
      </c>
      <c r="AJ1352" t="s">
        <v>30</v>
      </c>
      <c r="AK1352" t="str">
        <f>PROPER(Table1[[#This Row],[CVD Risk Level]])</f>
        <v>High</v>
      </c>
    </row>
    <row r="1353" spans="1:37" x14ac:dyDescent="0.3">
      <c r="A1353" t="s">
        <v>31</v>
      </c>
      <c r="B1353">
        <v>68</v>
      </c>
      <c r="C1353" s="8">
        <f t="shared" si="297"/>
        <v>68</v>
      </c>
      <c r="E1353" s="8">
        <f t="shared" si="298"/>
        <v>70.148039273999998</v>
      </c>
      <c r="F1353">
        <v>1.851</v>
      </c>
      <c r="G1353" s="3">
        <f t="shared" si="299"/>
        <v>1.851</v>
      </c>
      <c r="H1353">
        <v>20.474</v>
      </c>
      <c r="I1353" s="5">
        <f t="shared" si="295"/>
        <v>20.474</v>
      </c>
      <c r="J1353" s="16" t="str">
        <f t="shared" si="300"/>
        <v>Normal</v>
      </c>
      <c r="K1353">
        <v>97.393000000000001</v>
      </c>
      <c r="L1353">
        <v>0.52600000000000002</v>
      </c>
      <c r="M1353" s="11">
        <f t="shared" si="296"/>
        <v>0.52600000000000002</v>
      </c>
      <c r="N1353" s="5">
        <f t="shared" si="301"/>
        <v>97.393000000000001</v>
      </c>
      <c r="O1353">
        <v>279</v>
      </c>
      <c r="P1353">
        <v>47</v>
      </c>
      <c r="Q1353" s="8">
        <f t="shared" si="302"/>
        <v>47</v>
      </c>
      <c r="S1353" s="8">
        <f t="shared" si="303"/>
        <v>109</v>
      </c>
      <c r="T1353" s="8">
        <f>(Table1[[#This Row],[Total Cholesterol (mg/dL)]]+Table1[[#This Row],[HDL (mg/dL)2]]+Table1[[#This Row],[Estimated LDL (mg/dL)2]])*5</f>
        <v>2175</v>
      </c>
      <c r="U1353" s="8">
        <f>IF(O1353="",Table1[[#This Row],[Estimated LDL (mg/dL)2]]+Table1[[#This Row],[HDL (mg/dL)2]]+(Table1[[#This Row],[Triglycerides]]/5),O1353)</f>
        <v>279</v>
      </c>
      <c r="V1353">
        <v>88</v>
      </c>
      <c r="W1353" s="8">
        <f t="shared" si="304"/>
        <v>88</v>
      </c>
      <c r="X1353" t="str">
        <f t="shared" si="305"/>
        <v>Normal</v>
      </c>
      <c r="Y1353" t="s">
        <v>23</v>
      </c>
      <c r="Z1353" t="s">
        <v>22</v>
      </c>
      <c r="AA1353" t="s">
        <v>28</v>
      </c>
      <c r="AB1353" s="3" t="s">
        <v>1152</v>
      </c>
      <c r="AC1353">
        <v>160</v>
      </c>
      <c r="AD1353" s="3" t="str">
        <f t="shared" si="306"/>
        <v>160</v>
      </c>
      <c r="AE1353">
        <v>99</v>
      </c>
      <c r="AF1353" s="3" t="str">
        <f t="shared" si="307"/>
        <v>99</v>
      </c>
      <c r="AG1353" t="s">
        <v>38</v>
      </c>
      <c r="AH1353" s="3">
        <v>17.675000000000001</v>
      </c>
      <c r="AI1353" s="3">
        <f t="shared" si="308"/>
        <v>17.675000000000001</v>
      </c>
      <c r="AJ1353" t="s">
        <v>26</v>
      </c>
      <c r="AK1353" t="str">
        <f>PROPER(Table1[[#This Row],[CVD Risk Level]])</f>
        <v>Intermediary</v>
      </c>
    </row>
    <row r="1354" spans="1:37" x14ac:dyDescent="0.3">
      <c r="A1354" t="s">
        <v>31</v>
      </c>
      <c r="C1354" s="8">
        <f t="shared" si="297"/>
        <v>47.025499655410059</v>
      </c>
      <c r="D1354" s="5">
        <v>69.944999999999993</v>
      </c>
      <c r="E1354" s="8">
        <f t="shared" si="298"/>
        <v>69.944999999999993</v>
      </c>
      <c r="F1354">
        <v>1.6479999999999999</v>
      </c>
      <c r="G1354" s="3">
        <f t="shared" si="299"/>
        <v>1.6479999999999999</v>
      </c>
      <c r="H1354">
        <v>38.807000000000002</v>
      </c>
      <c r="I1354" s="5">
        <f t="shared" si="295"/>
        <v>38.807000000000002</v>
      </c>
      <c r="J1354" s="16" t="str">
        <f t="shared" si="300"/>
        <v>Obese</v>
      </c>
      <c r="K1354">
        <v>79.69</v>
      </c>
      <c r="L1354">
        <v>0.48399999999999999</v>
      </c>
      <c r="M1354" s="11">
        <f t="shared" si="296"/>
        <v>0.48399999999999999</v>
      </c>
      <c r="N1354" s="5">
        <f t="shared" si="301"/>
        <v>79.69</v>
      </c>
      <c r="O1354">
        <v>123</v>
      </c>
      <c r="P1354">
        <v>42</v>
      </c>
      <c r="Q1354" s="8">
        <f t="shared" si="302"/>
        <v>42</v>
      </c>
      <c r="R1354" s="8">
        <v>51</v>
      </c>
      <c r="S1354" s="8">
        <f t="shared" si="303"/>
        <v>51</v>
      </c>
      <c r="T1354" s="8">
        <f>(Table1[[#This Row],[Total Cholesterol (mg/dL)]]+Table1[[#This Row],[HDL (mg/dL)2]]+Table1[[#This Row],[Estimated LDL (mg/dL)2]])*5</f>
        <v>1080</v>
      </c>
      <c r="U1354" s="8">
        <f>IF(O1354="",Table1[[#This Row],[Estimated LDL (mg/dL)2]]+Table1[[#This Row],[HDL (mg/dL)2]]+(Table1[[#This Row],[Triglycerides]]/5),O1354)</f>
        <v>123</v>
      </c>
      <c r="V1354">
        <v>92</v>
      </c>
      <c r="W1354" s="8">
        <f t="shared" si="304"/>
        <v>92</v>
      </c>
      <c r="X1354" t="str">
        <f t="shared" si="305"/>
        <v>Normal</v>
      </c>
      <c r="Y1354" t="s">
        <v>23</v>
      </c>
      <c r="Z1354" t="s">
        <v>23</v>
      </c>
      <c r="AA1354" t="s">
        <v>24</v>
      </c>
      <c r="AB1354" s="3" t="s">
        <v>388</v>
      </c>
      <c r="AC1354">
        <v>139</v>
      </c>
      <c r="AD1354" s="3" t="str">
        <f t="shared" si="306"/>
        <v>139</v>
      </c>
      <c r="AE1354">
        <v>79</v>
      </c>
      <c r="AF1354" s="3" t="str">
        <f t="shared" si="307"/>
        <v>79</v>
      </c>
      <c r="AG1354" t="s">
        <v>29</v>
      </c>
      <c r="AH1354" s="3">
        <v>19.170999999999999</v>
      </c>
      <c r="AI1354" s="3">
        <f t="shared" si="308"/>
        <v>19.170999999999999</v>
      </c>
      <c r="AJ1354" t="s">
        <v>30</v>
      </c>
      <c r="AK1354" t="str">
        <f>PROPER(Table1[[#This Row],[CVD Risk Level]])</f>
        <v>High</v>
      </c>
    </row>
    <row r="1355" spans="1:37" x14ac:dyDescent="0.3">
      <c r="A1355" t="s">
        <v>20</v>
      </c>
      <c r="B1355">
        <v>60</v>
      </c>
      <c r="C1355" s="8">
        <f t="shared" si="297"/>
        <v>60</v>
      </c>
      <c r="D1355" s="5">
        <v>55.317999999999998</v>
      </c>
      <c r="E1355" s="8">
        <f t="shared" si="298"/>
        <v>55.317999999999998</v>
      </c>
      <c r="F1355">
        <v>1.99</v>
      </c>
      <c r="G1355" s="3">
        <f t="shared" si="299"/>
        <v>1.99</v>
      </c>
      <c r="H1355">
        <v>27.309000000000001</v>
      </c>
      <c r="I1355" s="5">
        <f t="shared" si="295"/>
        <v>27.309000000000001</v>
      </c>
      <c r="J1355" s="16" t="str">
        <f t="shared" si="300"/>
        <v>Overweight</v>
      </c>
      <c r="K1355">
        <v>75.926000000000002</v>
      </c>
      <c r="L1355">
        <v>0.38200000000000001</v>
      </c>
      <c r="M1355" s="11">
        <f t="shared" si="296"/>
        <v>0.38200000000000001</v>
      </c>
      <c r="N1355" s="5">
        <f t="shared" si="301"/>
        <v>75.926000000000002</v>
      </c>
      <c r="O1355">
        <v>243</v>
      </c>
      <c r="P1355">
        <v>63</v>
      </c>
      <c r="Q1355" s="8">
        <f t="shared" si="302"/>
        <v>63</v>
      </c>
      <c r="R1355" s="8">
        <v>150</v>
      </c>
      <c r="S1355" s="8">
        <f t="shared" si="303"/>
        <v>150</v>
      </c>
      <c r="T1355" s="8">
        <f>(Table1[[#This Row],[Total Cholesterol (mg/dL)]]+Table1[[#This Row],[HDL (mg/dL)2]]+Table1[[#This Row],[Estimated LDL (mg/dL)2]])*5</f>
        <v>2280</v>
      </c>
      <c r="U1355" s="8">
        <f>IF(O1355="",Table1[[#This Row],[Estimated LDL (mg/dL)2]]+Table1[[#This Row],[HDL (mg/dL)2]]+(Table1[[#This Row],[Triglycerides]]/5),O1355)</f>
        <v>243</v>
      </c>
      <c r="V1355">
        <v>143</v>
      </c>
      <c r="W1355" s="8">
        <f t="shared" si="304"/>
        <v>143</v>
      </c>
      <c r="X1355" t="str">
        <f t="shared" si="305"/>
        <v>Diabetes</v>
      </c>
      <c r="Y1355" t="s">
        <v>22</v>
      </c>
      <c r="Z1355" t="s">
        <v>23</v>
      </c>
      <c r="AA1355" t="s">
        <v>24</v>
      </c>
      <c r="AB1355" s="3" t="s">
        <v>1153</v>
      </c>
      <c r="AC1355">
        <v>170</v>
      </c>
      <c r="AD1355" s="3" t="str">
        <f t="shared" si="306"/>
        <v>170</v>
      </c>
      <c r="AE1355">
        <v>100</v>
      </c>
      <c r="AF1355" s="3" t="str">
        <f t="shared" si="307"/>
        <v>100</v>
      </c>
      <c r="AG1355" t="s">
        <v>38</v>
      </c>
      <c r="AH1355" s="3">
        <v>20.821999999999999</v>
      </c>
      <c r="AI1355" s="3">
        <f t="shared" si="308"/>
        <v>20.821999999999999</v>
      </c>
      <c r="AJ1355" t="s">
        <v>30</v>
      </c>
      <c r="AK1355" t="str">
        <f>PROPER(Table1[[#This Row],[CVD Risk Level]])</f>
        <v>High</v>
      </c>
    </row>
    <row r="1356" spans="1:37" x14ac:dyDescent="0.3">
      <c r="A1356" t="s">
        <v>20</v>
      </c>
      <c r="B1356">
        <v>26</v>
      </c>
      <c r="C1356" s="8">
        <f t="shared" si="297"/>
        <v>26</v>
      </c>
      <c r="D1356" s="5">
        <v>100.47499999999999</v>
      </c>
      <c r="E1356" s="8">
        <f t="shared" si="298"/>
        <v>100.47499999999999</v>
      </c>
      <c r="F1356">
        <v>1.881</v>
      </c>
      <c r="G1356" s="3">
        <f t="shared" si="299"/>
        <v>1.881</v>
      </c>
      <c r="H1356">
        <v>23.193999999999999</v>
      </c>
      <c r="I1356" s="5">
        <f t="shared" si="295"/>
        <v>23.193999999999999</v>
      </c>
      <c r="J1356" s="16" t="str">
        <f t="shared" si="300"/>
        <v>Normal</v>
      </c>
      <c r="K1356">
        <v>113.065</v>
      </c>
      <c r="L1356">
        <v>0.60099999999999998</v>
      </c>
      <c r="M1356" s="11">
        <f t="shared" si="296"/>
        <v>0.60099999999999998</v>
      </c>
      <c r="N1356" s="5">
        <f t="shared" si="301"/>
        <v>113.065</v>
      </c>
      <c r="P1356">
        <v>68</v>
      </c>
      <c r="Q1356" s="8">
        <f t="shared" si="302"/>
        <v>68</v>
      </c>
      <c r="R1356" s="8">
        <v>141</v>
      </c>
      <c r="S1356" s="8">
        <f t="shared" si="303"/>
        <v>141</v>
      </c>
      <c r="T1356" s="8">
        <f>(Table1[[#This Row],[Total Cholesterol (mg/dL)]]+Table1[[#This Row],[HDL (mg/dL)2]]+Table1[[#This Row],[Estimated LDL (mg/dL)2]])*5</f>
        <v>1045</v>
      </c>
      <c r="U1356" s="8">
        <f>IF(O1356="",Table1[[#This Row],[Estimated LDL (mg/dL)2]]+Table1[[#This Row],[HDL (mg/dL)2]]+(Table1[[#This Row],[Triglycerides]]/5),O1356)</f>
        <v>418</v>
      </c>
      <c r="V1356">
        <v>92</v>
      </c>
      <c r="W1356" s="8">
        <f t="shared" si="304"/>
        <v>92</v>
      </c>
      <c r="X1356" t="str">
        <f t="shared" si="305"/>
        <v>Normal</v>
      </c>
      <c r="Y1356" t="s">
        <v>22</v>
      </c>
      <c r="Z1356" t="s">
        <v>23</v>
      </c>
      <c r="AA1356" t="s">
        <v>28</v>
      </c>
      <c r="AB1356" s="3" t="s">
        <v>1154</v>
      </c>
      <c r="AD1356" s="3" t="str">
        <f t="shared" si="306"/>
        <v>112</v>
      </c>
      <c r="AE1356">
        <v>92</v>
      </c>
      <c r="AF1356" s="3" t="str">
        <f t="shared" si="307"/>
        <v>92</v>
      </c>
      <c r="AG1356" t="s">
        <v>38</v>
      </c>
      <c r="AH1356" s="3">
        <v>17.018999999999998</v>
      </c>
      <c r="AI1356" s="3">
        <f t="shared" si="308"/>
        <v>17.018999999999998</v>
      </c>
      <c r="AJ1356" t="s">
        <v>52</v>
      </c>
      <c r="AK1356" t="str">
        <f>PROPER(Table1[[#This Row],[CVD Risk Level]])</f>
        <v>Low</v>
      </c>
    </row>
    <row r="1357" spans="1:37" x14ac:dyDescent="0.3">
      <c r="A1357" t="s">
        <v>31</v>
      </c>
      <c r="B1357">
        <v>42</v>
      </c>
      <c r="C1357" s="8">
        <f t="shared" si="297"/>
        <v>42</v>
      </c>
      <c r="D1357" s="5">
        <v>87.025000000000006</v>
      </c>
      <c r="E1357" s="8">
        <f t="shared" si="298"/>
        <v>87.025000000000006</v>
      </c>
      <c r="F1357">
        <v>1.9550000000000001</v>
      </c>
      <c r="G1357" s="3">
        <f t="shared" si="299"/>
        <v>1.9550000000000001</v>
      </c>
      <c r="H1357">
        <v>27.308</v>
      </c>
      <c r="I1357" s="5">
        <f t="shared" si="295"/>
        <v>27.308</v>
      </c>
      <c r="J1357" s="16" t="str">
        <f t="shared" si="300"/>
        <v>Overweight</v>
      </c>
      <c r="K1357">
        <v>86.331000000000003</v>
      </c>
      <c r="L1357">
        <v>0.441</v>
      </c>
      <c r="M1357" s="11">
        <f t="shared" si="296"/>
        <v>0.441</v>
      </c>
      <c r="N1357" s="5">
        <f t="shared" si="301"/>
        <v>86.331000000000003</v>
      </c>
      <c r="O1357">
        <v>251</v>
      </c>
      <c r="P1357">
        <v>61</v>
      </c>
      <c r="Q1357" s="8">
        <f t="shared" si="302"/>
        <v>61</v>
      </c>
      <c r="R1357" s="8">
        <v>160</v>
      </c>
      <c r="S1357" s="8">
        <f t="shared" si="303"/>
        <v>160</v>
      </c>
      <c r="T1357" s="8">
        <f>(Table1[[#This Row],[Total Cholesterol (mg/dL)]]+Table1[[#This Row],[HDL (mg/dL)2]]+Table1[[#This Row],[Estimated LDL (mg/dL)2]])*5</f>
        <v>2360</v>
      </c>
      <c r="U1357" s="8">
        <f>IF(O1357="",Table1[[#This Row],[Estimated LDL (mg/dL)2]]+Table1[[#This Row],[HDL (mg/dL)2]]+(Table1[[#This Row],[Triglycerides]]/5),O1357)</f>
        <v>251</v>
      </c>
      <c r="V1357">
        <v>177</v>
      </c>
      <c r="W1357" s="8">
        <f t="shared" si="304"/>
        <v>177</v>
      </c>
      <c r="X1357" t="str">
        <f t="shared" si="305"/>
        <v>Diabetes</v>
      </c>
      <c r="Y1357" t="s">
        <v>22</v>
      </c>
      <c r="Z1357" t="s">
        <v>22</v>
      </c>
      <c r="AA1357" t="s">
        <v>28</v>
      </c>
      <c r="AB1357" s="3" t="s">
        <v>779</v>
      </c>
      <c r="AC1357">
        <v>104</v>
      </c>
      <c r="AD1357" s="3" t="str">
        <f t="shared" si="306"/>
        <v>104</v>
      </c>
      <c r="AE1357">
        <v>95</v>
      </c>
      <c r="AF1357" s="3" t="str">
        <f t="shared" si="307"/>
        <v>95</v>
      </c>
      <c r="AG1357" t="s">
        <v>38</v>
      </c>
      <c r="AH1357" s="3">
        <v>15.682</v>
      </c>
      <c r="AI1357" s="3">
        <f t="shared" si="308"/>
        <v>15.682</v>
      </c>
      <c r="AJ1357" t="s">
        <v>26</v>
      </c>
      <c r="AK1357" t="str">
        <f>PROPER(Table1[[#This Row],[CVD Risk Level]])</f>
        <v>Intermediary</v>
      </c>
    </row>
    <row r="1358" spans="1:37" x14ac:dyDescent="0.3">
      <c r="A1358" t="s">
        <v>31</v>
      </c>
      <c r="B1358">
        <v>30</v>
      </c>
      <c r="C1358" s="8">
        <f t="shared" si="297"/>
        <v>30</v>
      </c>
      <c r="D1358" s="5">
        <v>89.924000000000007</v>
      </c>
      <c r="E1358" s="8">
        <f t="shared" si="298"/>
        <v>89.924000000000007</v>
      </c>
      <c r="F1358">
        <v>1.5029999999999999</v>
      </c>
      <c r="G1358" s="3">
        <f t="shared" si="299"/>
        <v>1.5029999999999999</v>
      </c>
      <c r="H1358">
        <v>35.781999999999996</v>
      </c>
      <c r="I1358" s="5">
        <f t="shared" si="295"/>
        <v>35.781999999999996</v>
      </c>
      <c r="J1358" s="16" t="str">
        <f t="shared" si="300"/>
        <v>Obese</v>
      </c>
      <c r="K1358">
        <v>77.900000000000006</v>
      </c>
      <c r="L1358">
        <v>0.51800000000000002</v>
      </c>
      <c r="M1358" s="11">
        <f t="shared" si="296"/>
        <v>0.51800000000000002</v>
      </c>
      <c r="N1358" s="5">
        <f t="shared" si="301"/>
        <v>77.900000000000006</v>
      </c>
      <c r="O1358">
        <v>193</v>
      </c>
      <c r="P1358">
        <v>64</v>
      </c>
      <c r="Q1358" s="8">
        <f t="shared" si="302"/>
        <v>64</v>
      </c>
      <c r="R1358" s="8">
        <v>99</v>
      </c>
      <c r="S1358" s="8">
        <f t="shared" si="303"/>
        <v>99</v>
      </c>
      <c r="T1358" s="8">
        <f>(Table1[[#This Row],[Total Cholesterol (mg/dL)]]+Table1[[#This Row],[HDL (mg/dL)2]]+Table1[[#This Row],[Estimated LDL (mg/dL)2]])*5</f>
        <v>1780</v>
      </c>
      <c r="U1358" s="8">
        <f>IF(O1358="",Table1[[#This Row],[Estimated LDL (mg/dL)2]]+Table1[[#This Row],[HDL (mg/dL)2]]+(Table1[[#This Row],[Triglycerides]]/5),O1358)</f>
        <v>193</v>
      </c>
      <c r="V1358">
        <v>129</v>
      </c>
      <c r="W1358" s="8">
        <f t="shared" si="304"/>
        <v>129</v>
      </c>
      <c r="X1358" t="str">
        <f t="shared" si="305"/>
        <v>Diabetes</v>
      </c>
      <c r="Y1358" t="s">
        <v>23</v>
      </c>
      <c r="Z1358" t="s">
        <v>22</v>
      </c>
      <c r="AA1358" t="s">
        <v>28</v>
      </c>
      <c r="AB1358" s="3" t="s">
        <v>464</v>
      </c>
      <c r="AC1358">
        <v>92</v>
      </c>
      <c r="AD1358" s="3" t="str">
        <f t="shared" si="306"/>
        <v>92</v>
      </c>
      <c r="AE1358">
        <v>66</v>
      </c>
      <c r="AF1358" s="3" t="str">
        <f t="shared" si="307"/>
        <v>66</v>
      </c>
      <c r="AG1358" t="s">
        <v>33</v>
      </c>
      <c r="AH1358" s="3">
        <v>15.616</v>
      </c>
      <c r="AI1358" s="3">
        <f t="shared" si="308"/>
        <v>15.616</v>
      </c>
      <c r="AJ1358" t="s">
        <v>52</v>
      </c>
      <c r="AK1358" t="str">
        <f>PROPER(Table1[[#This Row],[CVD Risk Level]])</f>
        <v>Low</v>
      </c>
    </row>
    <row r="1359" spans="1:37" x14ac:dyDescent="0.3">
      <c r="A1359" t="s">
        <v>31</v>
      </c>
      <c r="B1359">
        <v>54</v>
      </c>
      <c r="C1359" s="8">
        <f t="shared" si="297"/>
        <v>54</v>
      </c>
      <c r="D1359" s="5">
        <v>55.92</v>
      </c>
      <c r="E1359" s="8">
        <f t="shared" si="298"/>
        <v>55.92</v>
      </c>
      <c r="F1359">
        <v>1.7330000000000001</v>
      </c>
      <c r="G1359" s="3">
        <f t="shared" si="299"/>
        <v>1.7330000000000001</v>
      </c>
      <c r="H1359">
        <v>19.805</v>
      </c>
      <c r="I1359" s="5">
        <f t="shared" si="295"/>
        <v>19.805</v>
      </c>
      <c r="J1359" s="16" t="str">
        <f t="shared" si="300"/>
        <v>Normal</v>
      </c>
      <c r="K1359">
        <v>106.169</v>
      </c>
      <c r="L1359">
        <v>0.61299999999999999</v>
      </c>
      <c r="M1359" s="11">
        <f t="shared" si="296"/>
        <v>0.61299999999999999</v>
      </c>
      <c r="N1359" s="5">
        <f t="shared" si="301"/>
        <v>106.169</v>
      </c>
      <c r="O1359">
        <v>170</v>
      </c>
      <c r="P1359">
        <v>44</v>
      </c>
      <c r="Q1359" s="8">
        <f t="shared" si="302"/>
        <v>44</v>
      </c>
      <c r="R1359" s="8">
        <v>96</v>
      </c>
      <c r="S1359" s="8">
        <f t="shared" si="303"/>
        <v>96</v>
      </c>
      <c r="T1359" s="8">
        <f>(Table1[[#This Row],[Total Cholesterol (mg/dL)]]+Table1[[#This Row],[HDL (mg/dL)2]]+Table1[[#This Row],[Estimated LDL (mg/dL)2]])*5</f>
        <v>1550</v>
      </c>
      <c r="U1359" s="8">
        <f>IF(O1359="",Table1[[#This Row],[Estimated LDL (mg/dL)2]]+Table1[[#This Row],[HDL (mg/dL)2]]+(Table1[[#This Row],[Triglycerides]]/5),O1359)</f>
        <v>170</v>
      </c>
      <c r="V1359">
        <v>190</v>
      </c>
      <c r="W1359" s="8">
        <f t="shared" si="304"/>
        <v>190</v>
      </c>
      <c r="X1359" t="str">
        <f t="shared" si="305"/>
        <v>Diabetes</v>
      </c>
      <c r="Y1359" t="s">
        <v>22</v>
      </c>
      <c r="Z1359" t="s">
        <v>22</v>
      </c>
      <c r="AA1359" t="s">
        <v>37</v>
      </c>
      <c r="AB1359" s="3" t="s">
        <v>1155</v>
      </c>
      <c r="AC1359">
        <v>159</v>
      </c>
      <c r="AD1359" s="3" t="str">
        <f t="shared" si="306"/>
        <v>159</v>
      </c>
      <c r="AE1359">
        <v>75</v>
      </c>
      <c r="AF1359" s="3" t="str">
        <f t="shared" si="307"/>
        <v>75</v>
      </c>
      <c r="AG1359" t="s">
        <v>38</v>
      </c>
      <c r="AH1359" s="3">
        <v>15.311</v>
      </c>
      <c r="AI1359" s="3">
        <f t="shared" si="308"/>
        <v>15.311</v>
      </c>
      <c r="AJ1359" t="s">
        <v>30</v>
      </c>
      <c r="AK1359" t="str">
        <f>PROPER(Table1[[#This Row],[CVD Risk Level]])</f>
        <v>High</v>
      </c>
    </row>
    <row r="1360" spans="1:37" x14ac:dyDescent="0.3">
      <c r="A1360" t="s">
        <v>31</v>
      </c>
      <c r="B1360">
        <v>63</v>
      </c>
      <c r="C1360" s="8">
        <f t="shared" si="297"/>
        <v>63</v>
      </c>
      <c r="D1360" s="5">
        <v>56.610999999999997</v>
      </c>
      <c r="E1360" s="8">
        <f t="shared" si="298"/>
        <v>56.610999999999997</v>
      </c>
      <c r="G1360" s="3">
        <f t="shared" si="299"/>
        <v>1.6969094041642285</v>
      </c>
      <c r="H1360">
        <v>19.66</v>
      </c>
      <c r="I1360" s="5">
        <f t="shared" si="295"/>
        <v>19.66</v>
      </c>
      <c r="J1360" s="16" t="str">
        <f t="shared" si="300"/>
        <v>Normal</v>
      </c>
      <c r="K1360">
        <v>113.152</v>
      </c>
      <c r="L1360">
        <v>0.7</v>
      </c>
      <c r="M1360" s="11">
        <f t="shared" si="296"/>
        <v>0.7</v>
      </c>
      <c r="N1360" s="5">
        <f t="shared" si="301"/>
        <v>113.152</v>
      </c>
      <c r="O1360">
        <v>202</v>
      </c>
      <c r="P1360">
        <v>46</v>
      </c>
      <c r="Q1360" s="8">
        <f t="shared" si="302"/>
        <v>46</v>
      </c>
      <c r="R1360" s="8">
        <v>126</v>
      </c>
      <c r="S1360" s="8">
        <f t="shared" si="303"/>
        <v>126</v>
      </c>
      <c r="T1360" s="8">
        <f>(Table1[[#This Row],[Total Cholesterol (mg/dL)]]+Table1[[#This Row],[HDL (mg/dL)2]]+Table1[[#This Row],[Estimated LDL (mg/dL)2]])*5</f>
        <v>1870</v>
      </c>
      <c r="U1360" s="8">
        <f>IF(O1360="",Table1[[#This Row],[Estimated LDL (mg/dL)2]]+Table1[[#This Row],[HDL (mg/dL)2]]+(Table1[[#This Row],[Triglycerides]]/5),O1360)</f>
        <v>202</v>
      </c>
      <c r="V1360">
        <v>175</v>
      </c>
      <c r="W1360" s="8">
        <f t="shared" si="304"/>
        <v>175</v>
      </c>
      <c r="X1360" t="str">
        <f t="shared" si="305"/>
        <v>Diabetes</v>
      </c>
      <c r="Y1360" t="s">
        <v>22</v>
      </c>
      <c r="Z1360" t="s">
        <v>22</v>
      </c>
      <c r="AA1360" t="s">
        <v>28</v>
      </c>
      <c r="AB1360" s="3" t="s">
        <v>1156</v>
      </c>
      <c r="AC1360">
        <v>115</v>
      </c>
      <c r="AD1360" s="3" t="str">
        <f t="shared" si="306"/>
        <v>115</v>
      </c>
      <c r="AE1360">
        <v>70</v>
      </c>
      <c r="AF1360" s="3" t="str">
        <f t="shared" si="307"/>
        <v>70</v>
      </c>
      <c r="AG1360" t="s">
        <v>33</v>
      </c>
      <c r="AH1360" s="3">
        <v>13.722</v>
      </c>
      <c r="AI1360" s="3">
        <f t="shared" si="308"/>
        <v>13.722</v>
      </c>
      <c r="AJ1360" t="s">
        <v>52</v>
      </c>
      <c r="AK1360" t="str">
        <f>PROPER(Table1[[#This Row],[CVD Risk Level]])</f>
        <v>Low</v>
      </c>
    </row>
    <row r="1361" spans="1:37" x14ac:dyDescent="0.3">
      <c r="A1361" t="s">
        <v>31</v>
      </c>
      <c r="B1361">
        <v>60</v>
      </c>
      <c r="C1361" s="8">
        <f t="shared" si="297"/>
        <v>60</v>
      </c>
      <c r="D1361" s="5">
        <v>81.135999999999996</v>
      </c>
      <c r="E1361" s="8">
        <f t="shared" si="298"/>
        <v>81.135999999999996</v>
      </c>
      <c r="F1361">
        <v>1.67</v>
      </c>
      <c r="G1361" s="3">
        <f t="shared" si="299"/>
        <v>1.67</v>
      </c>
      <c r="H1361">
        <v>34.347000000000001</v>
      </c>
      <c r="I1361" s="5">
        <f t="shared" si="295"/>
        <v>34.347000000000001</v>
      </c>
      <c r="J1361" s="16" t="str">
        <f t="shared" si="300"/>
        <v>Obese</v>
      </c>
      <c r="K1361">
        <v>104.875</v>
      </c>
      <c r="L1361">
        <v>0.628</v>
      </c>
      <c r="M1361" s="11">
        <f t="shared" si="296"/>
        <v>0.628</v>
      </c>
      <c r="N1361" s="5">
        <f t="shared" si="301"/>
        <v>104.875</v>
      </c>
      <c r="O1361">
        <v>246</v>
      </c>
      <c r="P1361">
        <v>49</v>
      </c>
      <c r="Q1361" s="8">
        <f t="shared" si="302"/>
        <v>49</v>
      </c>
      <c r="R1361" s="8">
        <v>167</v>
      </c>
      <c r="S1361" s="8">
        <f t="shared" si="303"/>
        <v>167</v>
      </c>
      <c r="T1361" s="8">
        <f>(Table1[[#This Row],[Total Cholesterol (mg/dL)]]+Table1[[#This Row],[HDL (mg/dL)2]]+Table1[[#This Row],[Estimated LDL (mg/dL)2]])*5</f>
        <v>2310</v>
      </c>
      <c r="U1361" s="8">
        <f>IF(O1361="",Table1[[#This Row],[Estimated LDL (mg/dL)2]]+Table1[[#This Row],[HDL (mg/dL)2]]+(Table1[[#This Row],[Triglycerides]]/5),O1361)</f>
        <v>246</v>
      </c>
      <c r="V1361">
        <v>144</v>
      </c>
      <c r="W1361" s="8">
        <f t="shared" si="304"/>
        <v>144</v>
      </c>
      <c r="X1361" t="str">
        <f t="shared" si="305"/>
        <v>Diabetes</v>
      </c>
      <c r="Y1361" t="s">
        <v>23</v>
      </c>
      <c r="Z1361" t="s">
        <v>23</v>
      </c>
      <c r="AA1361" t="s">
        <v>24</v>
      </c>
      <c r="AB1361" s="3" t="s">
        <v>1157</v>
      </c>
      <c r="AC1361">
        <v>166</v>
      </c>
      <c r="AD1361" s="3" t="str">
        <f t="shared" si="306"/>
        <v>166</v>
      </c>
      <c r="AE1361">
        <v>80</v>
      </c>
      <c r="AF1361" s="3" t="str">
        <f t="shared" si="307"/>
        <v>80</v>
      </c>
      <c r="AG1361" t="s">
        <v>29</v>
      </c>
      <c r="AH1361" s="3">
        <v>22.088999999999999</v>
      </c>
      <c r="AI1361" s="3">
        <f t="shared" si="308"/>
        <v>22.088999999999999</v>
      </c>
      <c r="AJ1361" t="s">
        <v>30</v>
      </c>
      <c r="AK1361" t="str">
        <f>PROPER(Table1[[#This Row],[CVD Risk Level]])</f>
        <v>High</v>
      </c>
    </row>
    <row r="1362" spans="1:37" x14ac:dyDescent="0.3">
      <c r="A1362" t="s">
        <v>20</v>
      </c>
      <c r="B1362">
        <v>46</v>
      </c>
      <c r="C1362" s="8">
        <f t="shared" si="297"/>
        <v>46</v>
      </c>
      <c r="D1362" s="5">
        <v>63.779000000000003</v>
      </c>
      <c r="E1362" s="8">
        <f t="shared" si="298"/>
        <v>63.779000000000003</v>
      </c>
      <c r="F1362">
        <v>1.502</v>
      </c>
      <c r="G1362" s="3">
        <f t="shared" si="299"/>
        <v>1.502</v>
      </c>
      <c r="H1362">
        <v>34.183999999999997</v>
      </c>
      <c r="I1362" s="5">
        <f t="shared" si="295"/>
        <v>34.183999999999997</v>
      </c>
      <c r="J1362" s="16" t="str">
        <f t="shared" si="300"/>
        <v>Obese</v>
      </c>
      <c r="K1362">
        <v>113.836</v>
      </c>
      <c r="L1362">
        <v>0.75800000000000001</v>
      </c>
      <c r="M1362" s="11">
        <f t="shared" si="296"/>
        <v>0.75800000000000001</v>
      </c>
      <c r="N1362" s="5">
        <f t="shared" si="301"/>
        <v>113.836</v>
      </c>
      <c r="O1362">
        <v>241</v>
      </c>
      <c r="P1362">
        <v>33</v>
      </c>
      <c r="Q1362" s="8">
        <f t="shared" si="302"/>
        <v>33</v>
      </c>
      <c r="S1362" s="8">
        <f t="shared" si="303"/>
        <v>109</v>
      </c>
      <c r="T1362" s="8">
        <f>(Table1[[#This Row],[Total Cholesterol (mg/dL)]]+Table1[[#This Row],[HDL (mg/dL)2]]+Table1[[#This Row],[Estimated LDL (mg/dL)2]])*5</f>
        <v>1915</v>
      </c>
      <c r="U1362" s="8">
        <f>IF(O1362="",Table1[[#This Row],[Estimated LDL (mg/dL)2]]+Table1[[#This Row],[HDL (mg/dL)2]]+(Table1[[#This Row],[Triglycerides]]/5),O1362)</f>
        <v>241</v>
      </c>
      <c r="V1362">
        <v>71</v>
      </c>
      <c r="W1362" s="8">
        <f t="shared" si="304"/>
        <v>71</v>
      </c>
      <c r="X1362" t="str">
        <f t="shared" si="305"/>
        <v>Normal</v>
      </c>
      <c r="Y1362" t="s">
        <v>23</v>
      </c>
      <c r="Z1362" t="s">
        <v>23</v>
      </c>
      <c r="AA1362" t="s">
        <v>37</v>
      </c>
      <c r="AB1362" s="3" t="s">
        <v>1158</v>
      </c>
      <c r="AC1362">
        <v>173</v>
      </c>
      <c r="AD1362" s="3" t="str">
        <f t="shared" si="306"/>
        <v>173</v>
      </c>
      <c r="AE1362">
        <v>73</v>
      </c>
      <c r="AF1362" s="3" t="str">
        <f t="shared" si="307"/>
        <v>73</v>
      </c>
      <c r="AG1362" t="s">
        <v>38</v>
      </c>
      <c r="AH1362" s="3">
        <v>22.306999999999999</v>
      </c>
      <c r="AI1362" s="3">
        <f t="shared" si="308"/>
        <v>22.306999999999999</v>
      </c>
      <c r="AJ1362" t="s">
        <v>30</v>
      </c>
      <c r="AK1362" t="str">
        <f>PROPER(Table1[[#This Row],[CVD Risk Level]])</f>
        <v>High</v>
      </c>
    </row>
    <row r="1363" spans="1:37" x14ac:dyDescent="0.3">
      <c r="A1363" t="s">
        <v>31</v>
      </c>
      <c r="B1363">
        <v>33</v>
      </c>
      <c r="C1363" s="8">
        <f t="shared" si="297"/>
        <v>33</v>
      </c>
      <c r="D1363" s="5">
        <v>78.203999999999994</v>
      </c>
      <c r="E1363" s="8">
        <f t="shared" si="298"/>
        <v>78.203999999999994</v>
      </c>
      <c r="F1363">
        <v>1.5940000000000001</v>
      </c>
      <c r="G1363" s="3">
        <f t="shared" si="299"/>
        <v>1.5940000000000001</v>
      </c>
      <c r="H1363">
        <v>37.316000000000003</v>
      </c>
      <c r="I1363" s="5">
        <f t="shared" si="295"/>
        <v>37.316000000000003</v>
      </c>
      <c r="J1363" s="16" t="str">
        <f t="shared" si="300"/>
        <v>Obese</v>
      </c>
      <c r="K1363">
        <v>85.284000000000006</v>
      </c>
      <c r="L1363">
        <v>0.53500000000000003</v>
      </c>
      <c r="M1363" s="11">
        <f t="shared" si="296"/>
        <v>0.53500000000000003</v>
      </c>
      <c r="N1363" s="5">
        <f t="shared" si="301"/>
        <v>85.284000000000006</v>
      </c>
      <c r="O1363">
        <v>273</v>
      </c>
      <c r="P1363">
        <v>35</v>
      </c>
      <c r="Q1363" s="8">
        <f t="shared" si="302"/>
        <v>35</v>
      </c>
      <c r="R1363" s="8">
        <v>208</v>
      </c>
      <c r="S1363" s="8">
        <f t="shared" si="303"/>
        <v>208</v>
      </c>
      <c r="T1363" s="8">
        <f>(Table1[[#This Row],[Total Cholesterol (mg/dL)]]+Table1[[#This Row],[HDL (mg/dL)2]]+Table1[[#This Row],[Estimated LDL (mg/dL)2]])*5</f>
        <v>2580</v>
      </c>
      <c r="U1363" s="8">
        <f>IF(O1363="",Table1[[#This Row],[Estimated LDL (mg/dL)2]]+Table1[[#This Row],[HDL (mg/dL)2]]+(Table1[[#This Row],[Triglycerides]]/5),O1363)</f>
        <v>273</v>
      </c>
      <c r="V1363">
        <v>114</v>
      </c>
      <c r="W1363" s="8">
        <f t="shared" si="304"/>
        <v>114</v>
      </c>
      <c r="X1363" t="str">
        <f t="shared" si="305"/>
        <v>Prediabetes</v>
      </c>
      <c r="Y1363" t="s">
        <v>23</v>
      </c>
      <c r="Z1363" t="s">
        <v>22</v>
      </c>
      <c r="AA1363" t="s">
        <v>37</v>
      </c>
      <c r="AB1363" s="3" t="s">
        <v>1159</v>
      </c>
      <c r="AC1363">
        <v>101</v>
      </c>
      <c r="AD1363" s="3" t="str">
        <f t="shared" si="306"/>
        <v>101</v>
      </c>
      <c r="AE1363">
        <v>83</v>
      </c>
      <c r="AF1363" s="3" t="str">
        <f t="shared" si="307"/>
        <v>83</v>
      </c>
      <c r="AG1363" t="s">
        <v>29</v>
      </c>
      <c r="AH1363" s="3">
        <v>17.972999999999999</v>
      </c>
      <c r="AI1363" s="3">
        <f t="shared" si="308"/>
        <v>17.972999999999999</v>
      </c>
      <c r="AJ1363" t="s">
        <v>52</v>
      </c>
      <c r="AK1363" t="str">
        <f>PROPER(Table1[[#This Row],[CVD Risk Level]])</f>
        <v>Low</v>
      </c>
    </row>
    <row r="1364" spans="1:37" x14ac:dyDescent="0.3">
      <c r="A1364" t="s">
        <v>20</v>
      </c>
      <c r="B1364">
        <v>39</v>
      </c>
      <c r="C1364" s="8">
        <f t="shared" si="297"/>
        <v>39</v>
      </c>
      <c r="D1364" s="5">
        <v>83.658000000000001</v>
      </c>
      <c r="E1364" s="8">
        <f t="shared" si="298"/>
        <v>83.658000000000001</v>
      </c>
      <c r="G1364" s="3">
        <f t="shared" si="299"/>
        <v>1.5035289641605387</v>
      </c>
      <c r="H1364">
        <v>37.006999999999998</v>
      </c>
      <c r="I1364" s="5">
        <f t="shared" si="295"/>
        <v>37.006999999999998</v>
      </c>
      <c r="J1364" s="16" t="str">
        <f t="shared" si="300"/>
        <v>Obese</v>
      </c>
      <c r="K1364">
        <v>75.284999999999997</v>
      </c>
      <c r="L1364">
        <v>0.47399999999999998</v>
      </c>
      <c r="M1364" s="11">
        <f t="shared" si="296"/>
        <v>0.47399999999999998</v>
      </c>
      <c r="N1364" s="5">
        <f t="shared" si="301"/>
        <v>75.284999999999997</v>
      </c>
      <c r="O1364">
        <v>110</v>
      </c>
      <c r="P1364">
        <v>83</v>
      </c>
      <c r="Q1364" s="8">
        <f t="shared" si="302"/>
        <v>83</v>
      </c>
      <c r="R1364" s="8">
        <v>-3</v>
      </c>
      <c r="S1364" s="8">
        <f t="shared" si="303"/>
        <v>109</v>
      </c>
      <c r="T1364" s="8">
        <f>(Table1[[#This Row],[Total Cholesterol (mg/dL)]]+Table1[[#This Row],[HDL (mg/dL)2]]+Table1[[#This Row],[Estimated LDL (mg/dL)2]])*5</f>
        <v>1510</v>
      </c>
      <c r="U1364" s="8">
        <f>IF(O1364="",Table1[[#This Row],[Estimated LDL (mg/dL)2]]+Table1[[#This Row],[HDL (mg/dL)2]]+(Table1[[#This Row],[Triglycerides]]/5),O1364)</f>
        <v>110</v>
      </c>
      <c r="V1364">
        <v>117</v>
      </c>
      <c r="W1364" s="8">
        <f t="shared" si="304"/>
        <v>117</v>
      </c>
      <c r="X1364" t="str">
        <f t="shared" si="305"/>
        <v>Prediabetes</v>
      </c>
      <c r="Y1364" t="s">
        <v>22</v>
      </c>
      <c r="Z1364" t="s">
        <v>22</v>
      </c>
      <c r="AA1364" t="s">
        <v>28</v>
      </c>
      <c r="AB1364" s="3" t="s">
        <v>1160</v>
      </c>
      <c r="AC1364">
        <v>147</v>
      </c>
      <c r="AD1364" s="3" t="str">
        <f t="shared" si="306"/>
        <v>147</v>
      </c>
      <c r="AE1364">
        <v>110</v>
      </c>
      <c r="AF1364" s="3" t="str">
        <f t="shared" si="307"/>
        <v>110</v>
      </c>
      <c r="AG1364" t="s">
        <v>38</v>
      </c>
      <c r="AH1364" s="3">
        <v>16.951000000000001</v>
      </c>
      <c r="AI1364" s="3">
        <f t="shared" si="308"/>
        <v>16.951000000000001</v>
      </c>
      <c r="AJ1364" t="s">
        <v>26</v>
      </c>
      <c r="AK1364" t="str">
        <f>PROPER(Table1[[#This Row],[CVD Risk Level]])</f>
        <v>Intermediary</v>
      </c>
    </row>
    <row r="1365" spans="1:37" x14ac:dyDescent="0.3">
      <c r="A1365" t="s">
        <v>31</v>
      </c>
      <c r="C1365" s="8">
        <f t="shared" si="297"/>
        <v>47.025499655410059</v>
      </c>
      <c r="D1365" s="5">
        <v>107.13500000000001</v>
      </c>
      <c r="E1365" s="8">
        <f t="shared" si="298"/>
        <v>107.13500000000001</v>
      </c>
      <c r="F1365">
        <v>1.7210000000000001</v>
      </c>
      <c r="G1365" s="3">
        <f t="shared" si="299"/>
        <v>1.7210000000000001</v>
      </c>
      <c r="H1365">
        <v>25.052</v>
      </c>
      <c r="I1365" s="5">
        <f t="shared" si="295"/>
        <v>25.052</v>
      </c>
      <c r="J1365" s="16" t="str">
        <f t="shared" si="300"/>
        <v>Overweight</v>
      </c>
      <c r="K1365">
        <v>95.3</v>
      </c>
      <c r="L1365">
        <v>0.55400000000000005</v>
      </c>
      <c r="M1365" s="11">
        <f t="shared" si="296"/>
        <v>0.55400000000000005</v>
      </c>
      <c r="N1365" s="5">
        <f t="shared" si="301"/>
        <v>95.3</v>
      </c>
      <c r="O1365">
        <v>235</v>
      </c>
      <c r="P1365">
        <v>74</v>
      </c>
      <c r="Q1365" s="8">
        <f t="shared" si="302"/>
        <v>74</v>
      </c>
      <c r="R1365" s="8">
        <v>131</v>
      </c>
      <c r="S1365" s="8">
        <f t="shared" si="303"/>
        <v>131</v>
      </c>
      <c r="T1365" s="8">
        <f>(Table1[[#This Row],[Total Cholesterol (mg/dL)]]+Table1[[#This Row],[HDL (mg/dL)2]]+Table1[[#This Row],[Estimated LDL (mg/dL)2]])*5</f>
        <v>2200</v>
      </c>
      <c r="U1365" s="8">
        <f>IF(O1365="",Table1[[#This Row],[Estimated LDL (mg/dL)2]]+Table1[[#This Row],[HDL (mg/dL)2]]+(Table1[[#This Row],[Triglycerides]]/5),O1365)</f>
        <v>235</v>
      </c>
      <c r="V1365">
        <v>77</v>
      </c>
      <c r="W1365" s="8">
        <f t="shared" si="304"/>
        <v>77</v>
      </c>
      <c r="X1365" t="str">
        <f t="shared" si="305"/>
        <v>Normal</v>
      </c>
      <c r="Y1365" t="s">
        <v>22</v>
      </c>
      <c r="Z1365" t="s">
        <v>23</v>
      </c>
      <c r="AA1365" t="s">
        <v>37</v>
      </c>
      <c r="AB1365" s="3" t="s">
        <v>1161</v>
      </c>
      <c r="AD1365" s="3" t="str">
        <f t="shared" si="306"/>
        <v>114</v>
      </c>
      <c r="AE1365">
        <v>97</v>
      </c>
      <c r="AF1365" s="3" t="str">
        <f t="shared" si="307"/>
        <v>97</v>
      </c>
      <c r="AG1365" t="s">
        <v>38</v>
      </c>
      <c r="AH1365" s="3">
        <v>17.41</v>
      </c>
      <c r="AI1365" s="3">
        <f t="shared" si="308"/>
        <v>17.41</v>
      </c>
      <c r="AJ1365" t="s">
        <v>26</v>
      </c>
      <c r="AK1365" t="str">
        <f>PROPER(Table1[[#This Row],[CVD Risk Level]])</f>
        <v>Intermediary</v>
      </c>
    </row>
    <row r="1366" spans="1:37" x14ac:dyDescent="0.3">
      <c r="A1366" t="s">
        <v>20</v>
      </c>
      <c r="B1366">
        <v>46</v>
      </c>
      <c r="C1366" s="8">
        <f t="shared" si="297"/>
        <v>46</v>
      </c>
      <c r="D1366" s="5">
        <v>118.98</v>
      </c>
      <c r="E1366" s="8">
        <f t="shared" si="298"/>
        <v>118.98</v>
      </c>
      <c r="F1366">
        <v>1.82</v>
      </c>
      <c r="G1366" s="3">
        <f t="shared" si="299"/>
        <v>1.82</v>
      </c>
      <c r="H1366">
        <v>34.694000000000003</v>
      </c>
      <c r="I1366" s="5">
        <f t="shared" si="295"/>
        <v>34.694000000000003</v>
      </c>
      <c r="J1366" s="16" t="str">
        <f t="shared" si="300"/>
        <v>Obese</v>
      </c>
      <c r="K1366">
        <v>104.985</v>
      </c>
      <c r="L1366">
        <v>0.57699999999999996</v>
      </c>
      <c r="M1366" s="11">
        <f t="shared" si="296"/>
        <v>0.57699999999999996</v>
      </c>
      <c r="N1366" s="5">
        <f t="shared" si="301"/>
        <v>104.985</v>
      </c>
      <c r="O1366">
        <v>100</v>
      </c>
      <c r="P1366">
        <v>34</v>
      </c>
      <c r="Q1366" s="8">
        <f t="shared" si="302"/>
        <v>34</v>
      </c>
      <c r="R1366" s="8">
        <v>36</v>
      </c>
      <c r="S1366" s="8">
        <f t="shared" si="303"/>
        <v>36</v>
      </c>
      <c r="T1366" s="8">
        <f>(Table1[[#This Row],[Total Cholesterol (mg/dL)]]+Table1[[#This Row],[HDL (mg/dL)2]]+Table1[[#This Row],[Estimated LDL (mg/dL)2]])*5</f>
        <v>850</v>
      </c>
      <c r="U1366" s="8">
        <f>IF(O1366="",Table1[[#This Row],[Estimated LDL (mg/dL)2]]+Table1[[#This Row],[HDL (mg/dL)2]]+(Table1[[#This Row],[Triglycerides]]/5),O1366)</f>
        <v>100</v>
      </c>
      <c r="V1366">
        <v>80</v>
      </c>
      <c r="W1366" s="8">
        <f t="shared" si="304"/>
        <v>80</v>
      </c>
      <c r="X1366" t="str">
        <f t="shared" si="305"/>
        <v>Normal</v>
      </c>
      <c r="Y1366" t="s">
        <v>23</v>
      </c>
      <c r="Z1366" t="s">
        <v>22</v>
      </c>
      <c r="AA1366" t="s">
        <v>24</v>
      </c>
      <c r="AB1366" s="3" t="s">
        <v>1162</v>
      </c>
      <c r="AC1366">
        <v>156</v>
      </c>
      <c r="AD1366" s="3" t="str">
        <f t="shared" si="306"/>
        <v>156</v>
      </c>
      <c r="AE1366">
        <v>99</v>
      </c>
      <c r="AF1366" s="3" t="str">
        <f t="shared" si="307"/>
        <v>99</v>
      </c>
      <c r="AG1366" t="s">
        <v>38</v>
      </c>
      <c r="AH1366" s="3">
        <v>16.739000000000001</v>
      </c>
      <c r="AI1366" s="3">
        <f t="shared" si="308"/>
        <v>16.739000000000001</v>
      </c>
      <c r="AJ1366" t="s">
        <v>52</v>
      </c>
      <c r="AK1366" t="str">
        <f>PROPER(Table1[[#This Row],[CVD Risk Level]])</f>
        <v>Low</v>
      </c>
    </row>
    <row r="1367" spans="1:37" x14ac:dyDescent="0.3">
      <c r="A1367" t="s">
        <v>20</v>
      </c>
      <c r="B1367">
        <v>54</v>
      </c>
      <c r="C1367" s="8">
        <f t="shared" si="297"/>
        <v>54</v>
      </c>
      <c r="E1367" s="8">
        <f t="shared" si="298"/>
        <v>53.967175200000007</v>
      </c>
      <c r="F1367">
        <v>1.58</v>
      </c>
      <c r="G1367" s="3">
        <f t="shared" si="299"/>
        <v>1.58</v>
      </c>
      <c r="H1367">
        <v>21.617999999999999</v>
      </c>
      <c r="I1367" s="5">
        <f t="shared" si="295"/>
        <v>21.617999999999999</v>
      </c>
      <c r="J1367" s="16" t="str">
        <f t="shared" si="300"/>
        <v>Normal</v>
      </c>
      <c r="K1367">
        <v>104.07599999999999</v>
      </c>
      <c r="L1367">
        <v>0.65900000000000003</v>
      </c>
      <c r="M1367" s="11">
        <f t="shared" si="296"/>
        <v>0.65900000000000003</v>
      </c>
      <c r="N1367" s="5">
        <f t="shared" si="301"/>
        <v>104.07599999999999</v>
      </c>
      <c r="O1367">
        <v>117</v>
      </c>
      <c r="P1367">
        <v>51</v>
      </c>
      <c r="Q1367" s="8">
        <f t="shared" si="302"/>
        <v>51</v>
      </c>
      <c r="R1367" s="8">
        <v>36</v>
      </c>
      <c r="S1367" s="8">
        <f t="shared" si="303"/>
        <v>36</v>
      </c>
      <c r="T1367" s="8">
        <f>(Table1[[#This Row],[Total Cholesterol (mg/dL)]]+Table1[[#This Row],[HDL (mg/dL)2]]+Table1[[#This Row],[Estimated LDL (mg/dL)2]])*5</f>
        <v>1020</v>
      </c>
      <c r="U1367" s="8">
        <f>IF(O1367="",Table1[[#This Row],[Estimated LDL (mg/dL)2]]+Table1[[#This Row],[HDL (mg/dL)2]]+(Table1[[#This Row],[Triglycerides]]/5),O1367)</f>
        <v>117</v>
      </c>
      <c r="V1367">
        <v>97</v>
      </c>
      <c r="W1367" s="8">
        <f t="shared" si="304"/>
        <v>97</v>
      </c>
      <c r="X1367" t="str">
        <f t="shared" si="305"/>
        <v>Normal</v>
      </c>
      <c r="Y1367" t="s">
        <v>23</v>
      </c>
      <c r="Z1367" t="s">
        <v>22</v>
      </c>
      <c r="AA1367" t="s">
        <v>37</v>
      </c>
      <c r="AB1367" s="3" t="s">
        <v>1163</v>
      </c>
      <c r="AC1367">
        <v>122</v>
      </c>
      <c r="AD1367" s="3" t="str">
        <f t="shared" si="306"/>
        <v>122</v>
      </c>
      <c r="AE1367">
        <v>115</v>
      </c>
      <c r="AF1367" s="3" t="str">
        <f t="shared" si="307"/>
        <v>115</v>
      </c>
      <c r="AG1367" t="s">
        <v>38</v>
      </c>
      <c r="AH1367" s="3">
        <v>12.763999999999999</v>
      </c>
      <c r="AI1367" s="3">
        <f t="shared" si="308"/>
        <v>12.763999999999999</v>
      </c>
      <c r="AJ1367" t="s">
        <v>26</v>
      </c>
      <c r="AK1367" t="str">
        <f>PROPER(Table1[[#This Row],[CVD Risk Level]])</f>
        <v>Intermediary</v>
      </c>
    </row>
    <row r="1368" spans="1:37" x14ac:dyDescent="0.3">
      <c r="A1368" t="s">
        <v>31</v>
      </c>
      <c r="B1368">
        <v>27</v>
      </c>
      <c r="C1368" s="8">
        <f t="shared" si="297"/>
        <v>27</v>
      </c>
      <c r="D1368" s="5">
        <v>84.010999999999996</v>
      </c>
      <c r="E1368" s="8">
        <f t="shared" si="298"/>
        <v>84.010999999999996</v>
      </c>
      <c r="F1368">
        <v>1.74</v>
      </c>
      <c r="G1368" s="3">
        <f t="shared" si="299"/>
        <v>1.74</v>
      </c>
      <c r="H1368">
        <v>26.893999999999998</v>
      </c>
      <c r="I1368" s="5">
        <f t="shared" si="295"/>
        <v>26.893999999999998</v>
      </c>
      <c r="J1368" s="16" t="str">
        <f t="shared" si="300"/>
        <v>Overweight</v>
      </c>
      <c r="K1368">
        <v>78.637</v>
      </c>
      <c r="L1368">
        <v>0.45200000000000001</v>
      </c>
      <c r="M1368" s="11">
        <f t="shared" si="296"/>
        <v>0.45200000000000001</v>
      </c>
      <c r="N1368" s="5">
        <f t="shared" si="301"/>
        <v>78.637</v>
      </c>
      <c r="O1368">
        <v>152</v>
      </c>
      <c r="P1368">
        <v>37</v>
      </c>
      <c r="Q1368" s="8">
        <f t="shared" si="302"/>
        <v>37</v>
      </c>
      <c r="R1368" s="8">
        <v>85</v>
      </c>
      <c r="S1368" s="8">
        <f t="shared" si="303"/>
        <v>85</v>
      </c>
      <c r="T1368" s="8">
        <f>(Table1[[#This Row],[Total Cholesterol (mg/dL)]]+Table1[[#This Row],[HDL (mg/dL)2]]+Table1[[#This Row],[Estimated LDL (mg/dL)2]])*5</f>
        <v>1370</v>
      </c>
      <c r="U1368" s="8">
        <f>IF(O1368="",Table1[[#This Row],[Estimated LDL (mg/dL)2]]+Table1[[#This Row],[HDL (mg/dL)2]]+(Table1[[#This Row],[Triglycerides]]/5),O1368)</f>
        <v>152</v>
      </c>
      <c r="V1368">
        <v>133</v>
      </c>
      <c r="W1368" s="8">
        <f t="shared" si="304"/>
        <v>133</v>
      </c>
      <c r="X1368" t="str">
        <f t="shared" si="305"/>
        <v>Diabetes</v>
      </c>
      <c r="Y1368" t="s">
        <v>22</v>
      </c>
      <c r="Z1368" t="s">
        <v>23</v>
      </c>
      <c r="AA1368" t="s">
        <v>37</v>
      </c>
      <c r="AB1368" s="3" t="s">
        <v>1164</v>
      </c>
      <c r="AC1368">
        <v>97</v>
      </c>
      <c r="AD1368" s="3" t="str">
        <f t="shared" si="306"/>
        <v>97</v>
      </c>
      <c r="AE1368">
        <v>113</v>
      </c>
      <c r="AF1368" s="3" t="str">
        <f t="shared" si="307"/>
        <v>113</v>
      </c>
      <c r="AG1368" t="s">
        <v>38</v>
      </c>
      <c r="AH1368" s="3">
        <v>15.269</v>
      </c>
      <c r="AI1368" s="3">
        <f t="shared" si="308"/>
        <v>15.269</v>
      </c>
      <c r="AJ1368" t="s">
        <v>26</v>
      </c>
      <c r="AK1368" t="str">
        <f>PROPER(Table1[[#This Row],[CVD Risk Level]])</f>
        <v>Intermediary</v>
      </c>
    </row>
    <row r="1369" spans="1:37" x14ac:dyDescent="0.3">
      <c r="A1369" t="s">
        <v>31</v>
      </c>
      <c r="B1369">
        <v>31</v>
      </c>
      <c r="C1369" s="8">
        <f t="shared" si="297"/>
        <v>31</v>
      </c>
      <c r="E1369" s="8">
        <f t="shared" si="298"/>
        <v>123.021964111</v>
      </c>
      <c r="F1369">
        <v>1.7769999999999999</v>
      </c>
      <c r="G1369" s="3">
        <f t="shared" si="299"/>
        <v>1.7769999999999999</v>
      </c>
      <c r="H1369">
        <v>38.959000000000003</v>
      </c>
      <c r="I1369" s="5">
        <f t="shared" si="295"/>
        <v>38.959000000000003</v>
      </c>
      <c r="J1369" s="16" t="str">
        <f t="shared" si="300"/>
        <v>Obese</v>
      </c>
      <c r="K1369">
        <v>98.105000000000004</v>
      </c>
      <c r="L1369">
        <v>0.55200000000000005</v>
      </c>
      <c r="M1369" s="11">
        <f t="shared" si="296"/>
        <v>0.55200000000000005</v>
      </c>
      <c r="N1369" s="5">
        <f t="shared" si="301"/>
        <v>98.105000000000004</v>
      </c>
      <c r="O1369">
        <v>134</v>
      </c>
      <c r="Q1369" s="8">
        <f t="shared" si="302"/>
        <v>56.197377501725327</v>
      </c>
      <c r="R1369" s="8">
        <v>23</v>
      </c>
      <c r="S1369" s="8">
        <f>IF(R1369&lt;=0,MEDIAN($R$2:$R$1530),R1369)</f>
        <v>23</v>
      </c>
      <c r="T1369" s="8">
        <f>(Table1[[#This Row],[Total Cholesterol (mg/dL)]]+Table1[[#This Row],[HDL (mg/dL)2]]+Table1[[#This Row],[Estimated LDL (mg/dL)2]])*5</f>
        <v>1065.9868875086268</v>
      </c>
      <c r="U1369" s="8">
        <f>IF(O1369="",Table1[[#This Row],[Estimated LDL (mg/dL)2]]+Table1[[#This Row],[HDL (mg/dL)2]]+(Table1[[#This Row],[Triglycerides]]/5),O1369)</f>
        <v>134</v>
      </c>
      <c r="V1369">
        <v>177</v>
      </c>
      <c r="W1369" s="8">
        <f t="shared" si="304"/>
        <v>177</v>
      </c>
      <c r="X1369" t="str">
        <f t="shared" si="305"/>
        <v>Diabetes</v>
      </c>
      <c r="Y1369" t="s">
        <v>22</v>
      </c>
      <c r="Z1369" t="s">
        <v>22</v>
      </c>
      <c r="AA1369" t="s">
        <v>28</v>
      </c>
      <c r="AB1369" s="3" t="s">
        <v>1165</v>
      </c>
      <c r="AC1369">
        <v>91</v>
      </c>
      <c r="AD1369" s="3" t="str">
        <f t="shared" si="306"/>
        <v>91</v>
      </c>
      <c r="AE1369">
        <v>107</v>
      </c>
      <c r="AF1369" s="3" t="str">
        <f t="shared" si="307"/>
        <v>107</v>
      </c>
      <c r="AG1369" t="s">
        <v>38</v>
      </c>
      <c r="AH1369" s="3">
        <v>15.022</v>
      </c>
      <c r="AI1369" s="3">
        <f t="shared" si="308"/>
        <v>15.022</v>
      </c>
      <c r="AJ1369" t="s">
        <v>26</v>
      </c>
      <c r="AK1369" t="str">
        <f>PROPER(Table1[[#This Row],[CVD Risk Level]])</f>
        <v>Intermediary</v>
      </c>
    </row>
    <row r="1370" spans="1:37" x14ac:dyDescent="0.3">
      <c r="A1370" t="s">
        <v>20</v>
      </c>
      <c r="B1370">
        <v>46</v>
      </c>
      <c r="C1370" s="8">
        <f t="shared" si="297"/>
        <v>46</v>
      </c>
      <c r="D1370" s="5">
        <v>61.011000000000003</v>
      </c>
      <c r="E1370" s="8">
        <f t="shared" si="298"/>
        <v>61.011000000000003</v>
      </c>
      <c r="F1370">
        <v>1.613</v>
      </c>
      <c r="G1370" s="3">
        <f t="shared" si="299"/>
        <v>1.613</v>
      </c>
      <c r="H1370">
        <v>21.335999999999999</v>
      </c>
      <c r="I1370" s="5">
        <f t="shared" si="295"/>
        <v>21.335999999999999</v>
      </c>
      <c r="J1370" s="16" t="str">
        <f t="shared" si="300"/>
        <v>Normal</v>
      </c>
      <c r="K1370">
        <v>83.373000000000005</v>
      </c>
      <c r="L1370">
        <v>0.51700000000000002</v>
      </c>
      <c r="M1370" s="11">
        <f t="shared" si="296"/>
        <v>0.51700000000000002</v>
      </c>
      <c r="N1370" s="5">
        <f t="shared" si="301"/>
        <v>83.373000000000005</v>
      </c>
      <c r="O1370">
        <v>147</v>
      </c>
      <c r="P1370">
        <v>46</v>
      </c>
      <c r="Q1370" s="8">
        <f t="shared" si="302"/>
        <v>46</v>
      </c>
      <c r="R1370" s="8">
        <v>71</v>
      </c>
      <c r="S1370" s="8">
        <f t="shared" si="303"/>
        <v>71</v>
      </c>
      <c r="T1370" s="8">
        <f>(Table1[[#This Row],[Total Cholesterol (mg/dL)]]+Table1[[#This Row],[HDL (mg/dL)2]]+Table1[[#This Row],[Estimated LDL (mg/dL)2]])*5</f>
        <v>1320</v>
      </c>
      <c r="U1370" s="8">
        <f>IF(O1370="",Table1[[#This Row],[Estimated LDL (mg/dL)2]]+Table1[[#This Row],[HDL (mg/dL)2]]+(Table1[[#This Row],[Triglycerides]]/5),O1370)</f>
        <v>147</v>
      </c>
      <c r="V1370">
        <v>127</v>
      </c>
      <c r="W1370" s="8">
        <f t="shared" si="304"/>
        <v>127</v>
      </c>
      <c r="X1370" t="str">
        <f t="shared" si="305"/>
        <v>Diabetes</v>
      </c>
      <c r="Y1370" t="s">
        <v>22</v>
      </c>
      <c r="Z1370" t="s">
        <v>23</v>
      </c>
      <c r="AA1370" t="s">
        <v>28</v>
      </c>
      <c r="AB1370" s="3" t="s">
        <v>1166</v>
      </c>
      <c r="AC1370">
        <v>176</v>
      </c>
      <c r="AD1370" s="3" t="str">
        <f t="shared" si="306"/>
        <v>176</v>
      </c>
      <c r="AE1370">
        <v>100</v>
      </c>
      <c r="AF1370" s="3" t="str">
        <f t="shared" si="307"/>
        <v>100</v>
      </c>
      <c r="AG1370" t="s">
        <v>38</v>
      </c>
      <c r="AH1370" s="3">
        <v>18.007000000000001</v>
      </c>
      <c r="AI1370" s="3">
        <f t="shared" si="308"/>
        <v>18.007000000000001</v>
      </c>
      <c r="AJ1370" t="s">
        <v>26</v>
      </c>
      <c r="AK1370" t="str">
        <f>PROPER(Table1[[#This Row],[CVD Risk Level]])</f>
        <v>Intermediary</v>
      </c>
    </row>
    <row r="1371" spans="1:37" x14ac:dyDescent="0.3">
      <c r="A1371" t="s">
        <v>20</v>
      </c>
      <c r="B1371">
        <v>70</v>
      </c>
      <c r="C1371" s="8">
        <f t="shared" si="297"/>
        <v>70</v>
      </c>
      <c r="E1371" s="8">
        <f t="shared" si="298"/>
        <v>98.961079531999985</v>
      </c>
      <c r="F1371">
        <v>1.8939999999999999</v>
      </c>
      <c r="G1371" s="3">
        <f t="shared" si="299"/>
        <v>1.8939999999999999</v>
      </c>
      <c r="H1371">
        <v>27.587</v>
      </c>
      <c r="I1371" s="5">
        <f t="shared" si="295"/>
        <v>27.587</v>
      </c>
      <c r="J1371" s="16" t="str">
        <f t="shared" si="300"/>
        <v>Overweight</v>
      </c>
      <c r="K1371">
        <v>93.554000000000002</v>
      </c>
      <c r="L1371">
        <v>0.49399999999999999</v>
      </c>
      <c r="M1371" s="11">
        <f t="shared" si="296"/>
        <v>0.49399999999999999</v>
      </c>
      <c r="N1371" s="5">
        <f t="shared" si="301"/>
        <v>93.554000000000002</v>
      </c>
      <c r="O1371">
        <v>179</v>
      </c>
      <c r="P1371">
        <v>40</v>
      </c>
      <c r="Q1371" s="8">
        <f t="shared" si="302"/>
        <v>40</v>
      </c>
      <c r="R1371" s="8">
        <v>109</v>
      </c>
      <c r="S1371" s="8">
        <f t="shared" si="303"/>
        <v>109</v>
      </c>
      <c r="T1371" s="8">
        <f>(Table1[[#This Row],[Total Cholesterol (mg/dL)]]+Table1[[#This Row],[HDL (mg/dL)2]]+Table1[[#This Row],[Estimated LDL (mg/dL)2]])*5</f>
        <v>1640</v>
      </c>
      <c r="U1371" s="8">
        <f>IF(O1371="",Table1[[#This Row],[Estimated LDL (mg/dL)2]]+Table1[[#This Row],[HDL (mg/dL)2]]+(Table1[[#This Row],[Triglycerides]]/5),O1371)</f>
        <v>179</v>
      </c>
      <c r="V1371">
        <v>70</v>
      </c>
      <c r="W1371" s="8">
        <f t="shared" si="304"/>
        <v>70</v>
      </c>
      <c r="X1371" t="str">
        <f t="shared" si="305"/>
        <v>Normal</v>
      </c>
      <c r="Y1371" t="s">
        <v>22</v>
      </c>
      <c r="Z1371" t="s">
        <v>22</v>
      </c>
      <c r="AA1371" t="s">
        <v>28</v>
      </c>
      <c r="AB1371" s="3" t="s">
        <v>1167</v>
      </c>
      <c r="AC1371">
        <v>127</v>
      </c>
      <c r="AD1371" s="3" t="str">
        <f t="shared" si="306"/>
        <v>127</v>
      </c>
      <c r="AE1371">
        <v>66</v>
      </c>
      <c r="AF1371" s="3" t="str">
        <f t="shared" si="307"/>
        <v>66</v>
      </c>
      <c r="AG1371" t="s">
        <v>25</v>
      </c>
      <c r="AH1371" s="3">
        <v>15.446999999999999</v>
      </c>
      <c r="AI1371" s="3">
        <f t="shared" si="308"/>
        <v>15.446999999999999</v>
      </c>
      <c r="AJ1371" t="s">
        <v>52</v>
      </c>
      <c r="AK1371" t="str">
        <f>PROPER(Table1[[#This Row],[CVD Risk Level]])</f>
        <v>Low</v>
      </c>
    </row>
    <row r="1372" spans="1:37" x14ac:dyDescent="0.3">
      <c r="A1372" t="s">
        <v>20</v>
      </c>
      <c r="B1372">
        <v>69</v>
      </c>
      <c r="C1372" s="8">
        <f t="shared" si="297"/>
        <v>69</v>
      </c>
      <c r="D1372" s="5">
        <v>108.428</v>
      </c>
      <c r="E1372" s="8">
        <f t="shared" si="298"/>
        <v>108.428</v>
      </c>
      <c r="F1372">
        <v>1.579</v>
      </c>
      <c r="G1372" s="3">
        <f t="shared" si="299"/>
        <v>1.579</v>
      </c>
      <c r="H1372">
        <v>30.689</v>
      </c>
      <c r="I1372" s="5">
        <f t="shared" si="295"/>
        <v>30.689</v>
      </c>
      <c r="J1372" s="16" t="str">
        <f t="shared" si="300"/>
        <v>Obese</v>
      </c>
      <c r="K1372">
        <v>75.798000000000002</v>
      </c>
      <c r="L1372">
        <v>0.48</v>
      </c>
      <c r="M1372" s="11">
        <f t="shared" si="296"/>
        <v>0.48</v>
      </c>
      <c r="N1372" s="5">
        <f t="shared" si="301"/>
        <v>75.798000000000002</v>
      </c>
      <c r="O1372">
        <v>159</v>
      </c>
      <c r="P1372">
        <v>89</v>
      </c>
      <c r="Q1372" s="8">
        <f t="shared" si="302"/>
        <v>89</v>
      </c>
      <c r="R1372" s="8">
        <v>40</v>
      </c>
      <c r="S1372" s="8">
        <f t="shared" si="303"/>
        <v>40</v>
      </c>
      <c r="T1372" s="8">
        <f>(Table1[[#This Row],[Total Cholesterol (mg/dL)]]+Table1[[#This Row],[HDL (mg/dL)2]]+Table1[[#This Row],[Estimated LDL (mg/dL)2]])*5</f>
        <v>1440</v>
      </c>
      <c r="U1372" s="8">
        <f>IF(O1372="",Table1[[#This Row],[Estimated LDL (mg/dL)2]]+Table1[[#This Row],[HDL (mg/dL)2]]+(Table1[[#This Row],[Triglycerides]]/5),O1372)</f>
        <v>159</v>
      </c>
      <c r="V1372">
        <v>137</v>
      </c>
      <c r="W1372" s="8">
        <f t="shared" si="304"/>
        <v>137</v>
      </c>
      <c r="X1372" t="str">
        <f t="shared" si="305"/>
        <v>Diabetes</v>
      </c>
      <c r="Y1372" t="s">
        <v>22</v>
      </c>
      <c r="Z1372" t="s">
        <v>23</v>
      </c>
      <c r="AA1372" t="s">
        <v>37</v>
      </c>
      <c r="AB1372" s="3" t="s">
        <v>1168</v>
      </c>
      <c r="AC1372">
        <v>122</v>
      </c>
      <c r="AD1372" s="3" t="str">
        <f t="shared" si="306"/>
        <v>122</v>
      </c>
      <c r="AE1372">
        <v>112</v>
      </c>
      <c r="AF1372" s="3" t="str">
        <f t="shared" si="307"/>
        <v>112</v>
      </c>
      <c r="AG1372" t="s">
        <v>38</v>
      </c>
      <c r="AH1372" s="3">
        <v>17.417999999999999</v>
      </c>
      <c r="AI1372" s="3">
        <f t="shared" si="308"/>
        <v>17.417999999999999</v>
      </c>
      <c r="AJ1372" t="s">
        <v>30</v>
      </c>
      <c r="AK1372" t="str">
        <f>PROPER(Table1[[#This Row],[CVD Risk Level]])</f>
        <v>High</v>
      </c>
    </row>
    <row r="1373" spans="1:37" x14ac:dyDescent="0.3">
      <c r="A1373" t="s">
        <v>20</v>
      </c>
      <c r="B1373">
        <v>54</v>
      </c>
      <c r="C1373" s="8">
        <f t="shared" si="297"/>
        <v>54</v>
      </c>
      <c r="D1373" s="5">
        <v>119.571</v>
      </c>
      <c r="E1373" s="8">
        <f t="shared" si="298"/>
        <v>119.571</v>
      </c>
      <c r="F1373">
        <v>1.764</v>
      </c>
      <c r="G1373" s="3">
        <f t="shared" si="299"/>
        <v>1.764</v>
      </c>
      <c r="H1373">
        <v>29.949000000000002</v>
      </c>
      <c r="I1373" s="5">
        <f t="shared" si="295"/>
        <v>29.949000000000002</v>
      </c>
      <c r="J1373" s="16" t="str">
        <f t="shared" si="300"/>
        <v>Overweight</v>
      </c>
      <c r="K1373">
        <v>97.328999999999994</v>
      </c>
      <c r="L1373">
        <v>0.55200000000000005</v>
      </c>
      <c r="M1373" s="11">
        <f t="shared" si="296"/>
        <v>0.55200000000000005</v>
      </c>
      <c r="N1373" s="5">
        <f t="shared" si="301"/>
        <v>97.328999999999994</v>
      </c>
      <c r="O1373">
        <v>244</v>
      </c>
      <c r="P1373">
        <v>46</v>
      </c>
      <c r="Q1373" s="8">
        <f t="shared" si="302"/>
        <v>46</v>
      </c>
      <c r="R1373" s="8">
        <v>168</v>
      </c>
      <c r="S1373" s="8">
        <f t="shared" si="303"/>
        <v>168</v>
      </c>
      <c r="T1373" s="8">
        <f>(Table1[[#This Row],[Total Cholesterol (mg/dL)]]+Table1[[#This Row],[HDL (mg/dL)2]]+Table1[[#This Row],[Estimated LDL (mg/dL)2]])*5</f>
        <v>2290</v>
      </c>
      <c r="U1373" s="8">
        <f>IF(O1373="",Table1[[#This Row],[Estimated LDL (mg/dL)2]]+Table1[[#This Row],[HDL (mg/dL)2]]+(Table1[[#This Row],[Triglycerides]]/5),O1373)</f>
        <v>244</v>
      </c>
      <c r="V1373">
        <v>155</v>
      </c>
      <c r="W1373" s="8">
        <f t="shared" si="304"/>
        <v>155</v>
      </c>
      <c r="X1373" t="str">
        <f t="shared" si="305"/>
        <v>Diabetes</v>
      </c>
      <c r="Y1373" t="s">
        <v>23</v>
      </c>
      <c r="Z1373" t="s">
        <v>23</v>
      </c>
      <c r="AA1373" t="s">
        <v>37</v>
      </c>
      <c r="AB1373" s="3" t="s">
        <v>1169</v>
      </c>
      <c r="AC1373">
        <v>161</v>
      </c>
      <c r="AD1373" s="3" t="str">
        <f t="shared" si="306"/>
        <v>161</v>
      </c>
      <c r="AE1373">
        <v>85</v>
      </c>
      <c r="AF1373" s="3" t="str">
        <f t="shared" si="307"/>
        <v>85</v>
      </c>
      <c r="AG1373" t="s">
        <v>29</v>
      </c>
      <c r="AH1373" s="3">
        <v>20.92</v>
      </c>
      <c r="AI1373" s="3">
        <f t="shared" si="308"/>
        <v>20.92</v>
      </c>
      <c r="AJ1373" t="s">
        <v>26</v>
      </c>
      <c r="AK1373" t="str">
        <f>PROPER(Table1[[#This Row],[CVD Risk Level]])</f>
        <v>Intermediary</v>
      </c>
    </row>
    <row r="1374" spans="1:37" x14ac:dyDescent="0.3">
      <c r="A1374" t="s">
        <v>31</v>
      </c>
      <c r="B1374">
        <v>52</v>
      </c>
      <c r="C1374" s="8">
        <f t="shared" si="297"/>
        <v>52</v>
      </c>
      <c r="D1374" s="5">
        <v>101.49299999999999</v>
      </c>
      <c r="E1374" s="8">
        <f t="shared" si="298"/>
        <v>101.49299999999999</v>
      </c>
      <c r="F1374">
        <v>1.8340000000000001</v>
      </c>
      <c r="G1374" s="3">
        <f t="shared" si="299"/>
        <v>1.8340000000000001</v>
      </c>
      <c r="H1374">
        <v>30.829000000000001</v>
      </c>
      <c r="I1374" s="5">
        <f t="shared" si="295"/>
        <v>30.829000000000001</v>
      </c>
      <c r="J1374" s="16" t="str">
        <f t="shared" si="300"/>
        <v>Obese</v>
      </c>
      <c r="K1374">
        <v>119.43600000000001</v>
      </c>
      <c r="L1374">
        <v>0.65100000000000002</v>
      </c>
      <c r="M1374" s="11">
        <f t="shared" si="296"/>
        <v>0.65100000000000002</v>
      </c>
      <c r="N1374" s="5">
        <f t="shared" si="301"/>
        <v>119.43600000000001</v>
      </c>
      <c r="O1374">
        <v>261</v>
      </c>
      <c r="P1374">
        <v>84</v>
      </c>
      <c r="Q1374" s="8">
        <f t="shared" si="302"/>
        <v>84</v>
      </c>
      <c r="R1374" s="8">
        <v>147</v>
      </c>
      <c r="S1374" s="8">
        <f t="shared" si="303"/>
        <v>147</v>
      </c>
      <c r="T1374" s="8">
        <f>(Table1[[#This Row],[Total Cholesterol (mg/dL)]]+Table1[[#This Row],[HDL (mg/dL)2]]+Table1[[#This Row],[Estimated LDL (mg/dL)2]])*5</f>
        <v>2460</v>
      </c>
      <c r="U1374" s="8">
        <f>IF(O1374="",Table1[[#This Row],[Estimated LDL (mg/dL)2]]+Table1[[#This Row],[HDL (mg/dL)2]]+(Table1[[#This Row],[Triglycerides]]/5),O1374)</f>
        <v>261</v>
      </c>
      <c r="V1374">
        <v>151</v>
      </c>
      <c r="W1374" s="8">
        <f t="shared" si="304"/>
        <v>151</v>
      </c>
      <c r="X1374" t="str">
        <f t="shared" si="305"/>
        <v>Diabetes</v>
      </c>
      <c r="Y1374" t="s">
        <v>23</v>
      </c>
      <c r="Z1374" t="s">
        <v>23</v>
      </c>
      <c r="AA1374" t="s">
        <v>37</v>
      </c>
      <c r="AB1374" s="3" t="s">
        <v>1170</v>
      </c>
      <c r="AC1374">
        <v>101</v>
      </c>
      <c r="AD1374" s="3" t="str">
        <f t="shared" si="306"/>
        <v>101</v>
      </c>
      <c r="AE1374">
        <v>63</v>
      </c>
      <c r="AF1374" s="3" t="str">
        <f t="shared" si="307"/>
        <v>63</v>
      </c>
      <c r="AG1374" t="s">
        <v>33</v>
      </c>
      <c r="AH1374" s="3">
        <v>18.436</v>
      </c>
      <c r="AI1374" s="3">
        <f t="shared" si="308"/>
        <v>18.436</v>
      </c>
      <c r="AJ1374" t="s">
        <v>30</v>
      </c>
      <c r="AK1374" t="str">
        <f>PROPER(Table1[[#This Row],[CVD Risk Level]])</f>
        <v>High</v>
      </c>
    </row>
    <row r="1375" spans="1:37" x14ac:dyDescent="0.3">
      <c r="A1375" t="s">
        <v>20</v>
      </c>
      <c r="B1375">
        <v>56</v>
      </c>
      <c r="C1375" s="8">
        <f t="shared" si="297"/>
        <v>56</v>
      </c>
      <c r="D1375" s="5">
        <v>85.436000000000007</v>
      </c>
      <c r="E1375" s="8">
        <f t="shared" si="298"/>
        <v>85.436000000000007</v>
      </c>
      <c r="F1375">
        <v>1.8089999999999999</v>
      </c>
      <c r="G1375" s="3">
        <f t="shared" si="299"/>
        <v>1.8089999999999999</v>
      </c>
      <c r="H1375">
        <v>29.928000000000001</v>
      </c>
      <c r="I1375" s="5">
        <f t="shared" si="295"/>
        <v>29.928000000000001</v>
      </c>
      <c r="J1375" s="16" t="str">
        <f t="shared" si="300"/>
        <v>Overweight</v>
      </c>
      <c r="K1375">
        <v>72.209999999999994</v>
      </c>
      <c r="L1375">
        <v>0.39900000000000002</v>
      </c>
      <c r="M1375" s="11">
        <f t="shared" si="296"/>
        <v>0.39900000000000002</v>
      </c>
      <c r="N1375" s="5">
        <f t="shared" si="301"/>
        <v>72.209999999999994</v>
      </c>
      <c r="O1375">
        <v>105</v>
      </c>
      <c r="P1375">
        <v>49</v>
      </c>
      <c r="Q1375" s="8">
        <f t="shared" si="302"/>
        <v>49</v>
      </c>
      <c r="R1375" s="8">
        <v>26</v>
      </c>
      <c r="S1375" s="8">
        <f t="shared" si="303"/>
        <v>26</v>
      </c>
      <c r="T1375" s="8">
        <f>(Table1[[#This Row],[Total Cholesterol (mg/dL)]]+Table1[[#This Row],[HDL (mg/dL)2]]+Table1[[#This Row],[Estimated LDL (mg/dL)2]])*5</f>
        <v>900</v>
      </c>
      <c r="U1375" s="8">
        <f>IF(O1375="",Table1[[#This Row],[Estimated LDL (mg/dL)2]]+Table1[[#This Row],[HDL (mg/dL)2]]+(Table1[[#This Row],[Triglycerides]]/5),O1375)</f>
        <v>105</v>
      </c>
      <c r="V1375">
        <v>93</v>
      </c>
      <c r="W1375" s="8">
        <f t="shared" si="304"/>
        <v>93</v>
      </c>
      <c r="X1375" t="str">
        <f t="shared" si="305"/>
        <v>Normal</v>
      </c>
      <c r="Y1375" t="s">
        <v>23</v>
      </c>
      <c r="Z1375" t="s">
        <v>23</v>
      </c>
      <c r="AA1375" t="s">
        <v>37</v>
      </c>
      <c r="AB1375" s="3" t="s">
        <v>1171</v>
      </c>
      <c r="AC1375">
        <v>124</v>
      </c>
      <c r="AD1375" s="3" t="str">
        <f t="shared" si="306"/>
        <v>124</v>
      </c>
      <c r="AE1375">
        <v>60</v>
      </c>
      <c r="AF1375" s="3" t="str">
        <f t="shared" si="307"/>
        <v>60</v>
      </c>
      <c r="AG1375" t="s">
        <v>25</v>
      </c>
      <c r="AH1375" s="3">
        <v>16.286000000000001</v>
      </c>
      <c r="AI1375" s="3">
        <f t="shared" si="308"/>
        <v>16.286000000000001</v>
      </c>
      <c r="AJ1375" t="s">
        <v>52</v>
      </c>
      <c r="AK1375" t="str">
        <f>PROPER(Table1[[#This Row],[CVD Risk Level]])</f>
        <v>Low</v>
      </c>
    </row>
    <row r="1376" spans="1:37" x14ac:dyDescent="0.3">
      <c r="A1376" t="s">
        <v>31</v>
      </c>
      <c r="B1376">
        <v>75</v>
      </c>
      <c r="C1376" s="8">
        <f t="shared" si="297"/>
        <v>75</v>
      </c>
      <c r="D1376" s="5">
        <v>71.018000000000001</v>
      </c>
      <c r="E1376" s="8">
        <f t="shared" si="298"/>
        <v>71.018000000000001</v>
      </c>
      <c r="F1376">
        <v>1.8660000000000001</v>
      </c>
      <c r="G1376" s="3">
        <f t="shared" si="299"/>
        <v>1.8660000000000001</v>
      </c>
      <c r="H1376">
        <v>29.228999999999999</v>
      </c>
      <c r="I1376" s="5">
        <f t="shared" si="295"/>
        <v>29.228999999999999</v>
      </c>
      <c r="J1376" s="16" t="str">
        <f t="shared" si="300"/>
        <v>Overweight</v>
      </c>
      <c r="K1376">
        <v>81.180999999999997</v>
      </c>
      <c r="L1376">
        <v>0.435</v>
      </c>
      <c r="M1376" s="11">
        <f t="shared" si="296"/>
        <v>0.435</v>
      </c>
      <c r="N1376" s="5">
        <f t="shared" si="301"/>
        <v>81.180999999999997</v>
      </c>
      <c r="O1376">
        <v>281</v>
      </c>
      <c r="P1376">
        <v>58</v>
      </c>
      <c r="Q1376" s="8">
        <f t="shared" si="302"/>
        <v>58</v>
      </c>
      <c r="R1376" s="8">
        <v>193</v>
      </c>
      <c r="S1376" s="8">
        <f t="shared" si="303"/>
        <v>193</v>
      </c>
      <c r="T1376" s="8">
        <f>(Table1[[#This Row],[Total Cholesterol (mg/dL)]]+Table1[[#This Row],[HDL (mg/dL)2]]+Table1[[#This Row],[Estimated LDL (mg/dL)2]])*5</f>
        <v>2660</v>
      </c>
      <c r="U1376" s="8">
        <f>IF(O1376="",Table1[[#This Row],[Estimated LDL (mg/dL)2]]+Table1[[#This Row],[HDL (mg/dL)2]]+(Table1[[#This Row],[Triglycerides]]/5),O1376)</f>
        <v>281</v>
      </c>
      <c r="V1376">
        <v>111</v>
      </c>
      <c r="W1376" s="8">
        <f t="shared" si="304"/>
        <v>111</v>
      </c>
      <c r="X1376" t="str">
        <f t="shared" si="305"/>
        <v>Prediabetes</v>
      </c>
      <c r="Y1376" t="s">
        <v>22</v>
      </c>
      <c r="Z1376" t="s">
        <v>22</v>
      </c>
      <c r="AA1376" t="s">
        <v>24</v>
      </c>
      <c r="AB1376" s="3" t="s">
        <v>1172</v>
      </c>
      <c r="AC1376">
        <v>119</v>
      </c>
      <c r="AD1376" s="3" t="str">
        <f t="shared" si="306"/>
        <v>119</v>
      </c>
      <c r="AE1376">
        <v>86</v>
      </c>
      <c r="AF1376" s="3" t="str">
        <f t="shared" si="307"/>
        <v>86</v>
      </c>
      <c r="AG1376" t="s">
        <v>29</v>
      </c>
      <c r="AH1376" s="3">
        <v>17.416</v>
      </c>
      <c r="AI1376" s="3">
        <f t="shared" si="308"/>
        <v>17.416</v>
      </c>
      <c r="AJ1376" t="s">
        <v>30</v>
      </c>
      <c r="AK1376" t="str">
        <f>PROPER(Table1[[#This Row],[CVD Risk Level]])</f>
        <v>High</v>
      </c>
    </row>
    <row r="1377" spans="1:37" x14ac:dyDescent="0.3">
      <c r="A1377" t="s">
        <v>31</v>
      </c>
      <c r="B1377">
        <v>76</v>
      </c>
      <c r="C1377" s="8">
        <f t="shared" si="297"/>
        <v>76</v>
      </c>
      <c r="D1377" s="5">
        <v>88.176000000000002</v>
      </c>
      <c r="E1377" s="8">
        <f t="shared" si="298"/>
        <v>88.176000000000002</v>
      </c>
      <c r="F1377">
        <v>1.73</v>
      </c>
      <c r="G1377" s="3">
        <f t="shared" si="299"/>
        <v>1.73</v>
      </c>
      <c r="H1377">
        <v>32.064</v>
      </c>
      <c r="I1377" s="5">
        <f t="shared" si="295"/>
        <v>32.064</v>
      </c>
      <c r="J1377" s="16" t="str">
        <f t="shared" si="300"/>
        <v>Obese</v>
      </c>
      <c r="K1377">
        <v>108.771</v>
      </c>
      <c r="L1377">
        <v>0.629</v>
      </c>
      <c r="M1377" s="11">
        <f t="shared" si="296"/>
        <v>0.629</v>
      </c>
      <c r="N1377" s="5">
        <f t="shared" si="301"/>
        <v>108.771</v>
      </c>
      <c r="O1377">
        <v>253</v>
      </c>
      <c r="P1377">
        <v>79</v>
      </c>
      <c r="Q1377" s="8">
        <f t="shared" si="302"/>
        <v>79</v>
      </c>
      <c r="R1377" s="8">
        <v>144</v>
      </c>
      <c r="S1377" s="8">
        <f t="shared" si="303"/>
        <v>144</v>
      </c>
      <c r="T1377" s="8">
        <f>(Table1[[#This Row],[Total Cholesterol (mg/dL)]]+Table1[[#This Row],[HDL (mg/dL)2]]+Table1[[#This Row],[Estimated LDL (mg/dL)2]])*5</f>
        <v>2380</v>
      </c>
      <c r="U1377" s="8">
        <f>IF(O1377="",Table1[[#This Row],[Estimated LDL (mg/dL)2]]+Table1[[#This Row],[HDL (mg/dL)2]]+(Table1[[#This Row],[Triglycerides]]/5),O1377)</f>
        <v>253</v>
      </c>
      <c r="V1377">
        <v>168</v>
      </c>
      <c r="W1377" s="8">
        <f t="shared" si="304"/>
        <v>168</v>
      </c>
      <c r="X1377" t="str">
        <f t="shared" si="305"/>
        <v>Diabetes</v>
      </c>
      <c r="Y1377" t="s">
        <v>23</v>
      </c>
      <c r="Z1377" t="s">
        <v>23</v>
      </c>
      <c r="AA1377" t="s">
        <v>24</v>
      </c>
      <c r="AB1377" s="3" t="s">
        <v>1041</v>
      </c>
      <c r="AC1377">
        <v>157</v>
      </c>
      <c r="AD1377" s="3" t="str">
        <f t="shared" si="306"/>
        <v>157</v>
      </c>
      <c r="AE1377">
        <v>65</v>
      </c>
      <c r="AF1377" s="3" t="str">
        <f t="shared" si="307"/>
        <v>65</v>
      </c>
      <c r="AG1377" t="s">
        <v>38</v>
      </c>
      <c r="AH1377" s="3">
        <v>21.323</v>
      </c>
      <c r="AI1377" s="3">
        <f t="shared" si="308"/>
        <v>21.323</v>
      </c>
      <c r="AJ1377" t="s">
        <v>26</v>
      </c>
      <c r="AK1377" t="str">
        <f>PROPER(Table1[[#This Row],[CVD Risk Level]])</f>
        <v>Intermediary</v>
      </c>
    </row>
    <row r="1378" spans="1:37" x14ac:dyDescent="0.3">
      <c r="A1378" t="s">
        <v>20</v>
      </c>
      <c r="B1378">
        <v>25</v>
      </c>
      <c r="C1378" s="8">
        <f t="shared" si="297"/>
        <v>25</v>
      </c>
      <c r="D1378" s="5">
        <v>89.625</v>
      </c>
      <c r="E1378" s="8">
        <f t="shared" si="298"/>
        <v>89.625</v>
      </c>
      <c r="F1378">
        <v>1.6180000000000001</v>
      </c>
      <c r="G1378" s="3">
        <f t="shared" si="299"/>
        <v>1.6180000000000001</v>
      </c>
      <c r="H1378">
        <v>39.646000000000001</v>
      </c>
      <c r="I1378" s="5">
        <f t="shared" si="295"/>
        <v>39.646000000000001</v>
      </c>
      <c r="J1378" s="16" t="str">
        <f t="shared" si="300"/>
        <v>Obese</v>
      </c>
      <c r="K1378">
        <v>112.02500000000001</v>
      </c>
      <c r="L1378">
        <v>0.69199999999999995</v>
      </c>
      <c r="M1378" s="11">
        <f t="shared" si="296"/>
        <v>0.69199999999999995</v>
      </c>
      <c r="N1378" s="5">
        <f t="shared" si="301"/>
        <v>112.02500000000001</v>
      </c>
      <c r="O1378">
        <v>137</v>
      </c>
      <c r="P1378">
        <v>52</v>
      </c>
      <c r="Q1378" s="8">
        <f t="shared" si="302"/>
        <v>52</v>
      </c>
      <c r="R1378" s="8">
        <v>55</v>
      </c>
      <c r="S1378" s="8">
        <f t="shared" si="303"/>
        <v>55</v>
      </c>
      <c r="T1378" s="8">
        <f>(Table1[[#This Row],[Total Cholesterol (mg/dL)]]+Table1[[#This Row],[HDL (mg/dL)2]]+Table1[[#This Row],[Estimated LDL (mg/dL)2]])*5</f>
        <v>1220</v>
      </c>
      <c r="U1378" s="8">
        <f>IF(O1378="",Table1[[#This Row],[Estimated LDL (mg/dL)2]]+Table1[[#This Row],[HDL (mg/dL)2]]+(Table1[[#This Row],[Triglycerides]]/5),O1378)</f>
        <v>137</v>
      </c>
      <c r="V1378">
        <v>77</v>
      </c>
      <c r="W1378" s="8">
        <f t="shared" si="304"/>
        <v>77</v>
      </c>
      <c r="X1378" t="str">
        <f t="shared" si="305"/>
        <v>Normal</v>
      </c>
      <c r="Y1378" t="s">
        <v>23</v>
      </c>
      <c r="Z1378" t="s">
        <v>23</v>
      </c>
      <c r="AA1378" t="s">
        <v>28</v>
      </c>
      <c r="AB1378" s="3" t="s">
        <v>1173</v>
      </c>
      <c r="AC1378">
        <v>166</v>
      </c>
      <c r="AD1378" s="3" t="str">
        <f t="shared" si="306"/>
        <v>166</v>
      </c>
      <c r="AE1378">
        <v>96</v>
      </c>
      <c r="AF1378" s="3" t="str">
        <f t="shared" si="307"/>
        <v>96</v>
      </c>
      <c r="AG1378" t="s">
        <v>38</v>
      </c>
      <c r="AH1378" s="3">
        <v>20.969000000000001</v>
      </c>
      <c r="AI1378" s="3">
        <f t="shared" si="308"/>
        <v>20.969000000000001</v>
      </c>
      <c r="AJ1378" t="s">
        <v>52</v>
      </c>
      <c r="AK1378" t="str">
        <f>PROPER(Table1[[#This Row],[CVD Risk Level]])</f>
        <v>Low</v>
      </c>
    </row>
    <row r="1379" spans="1:37" x14ac:dyDescent="0.3">
      <c r="A1379" t="s">
        <v>20</v>
      </c>
      <c r="B1379">
        <v>49</v>
      </c>
      <c r="C1379" s="8">
        <f t="shared" si="297"/>
        <v>49</v>
      </c>
      <c r="D1379" s="5">
        <v>72.513999999999996</v>
      </c>
      <c r="E1379" s="8">
        <f t="shared" si="298"/>
        <v>72.513999999999996</v>
      </c>
      <c r="F1379">
        <v>1.8089999999999999</v>
      </c>
      <c r="G1379" s="3">
        <f t="shared" si="299"/>
        <v>1.8089999999999999</v>
      </c>
      <c r="H1379">
        <v>25.928000000000001</v>
      </c>
      <c r="I1379" s="5">
        <f t="shared" si="295"/>
        <v>25.928000000000001</v>
      </c>
      <c r="J1379" s="16" t="str">
        <f t="shared" si="300"/>
        <v>Overweight</v>
      </c>
      <c r="K1379">
        <v>90.137</v>
      </c>
      <c r="L1379">
        <v>0.498</v>
      </c>
      <c r="M1379" s="11">
        <f t="shared" si="296"/>
        <v>0.498</v>
      </c>
      <c r="N1379" s="5">
        <f t="shared" si="301"/>
        <v>90.137</v>
      </c>
      <c r="O1379">
        <v>251</v>
      </c>
      <c r="P1379">
        <v>88</v>
      </c>
      <c r="Q1379" s="8">
        <f t="shared" si="302"/>
        <v>88</v>
      </c>
      <c r="R1379" s="8">
        <v>133</v>
      </c>
      <c r="S1379" s="8">
        <f t="shared" si="303"/>
        <v>133</v>
      </c>
      <c r="T1379" s="8">
        <f>(Table1[[#This Row],[Total Cholesterol (mg/dL)]]+Table1[[#This Row],[HDL (mg/dL)2]]+Table1[[#This Row],[Estimated LDL (mg/dL)2]])*5</f>
        <v>2360</v>
      </c>
      <c r="U1379" s="8">
        <f>IF(O1379="",Table1[[#This Row],[Estimated LDL (mg/dL)2]]+Table1[[#This Row],[HDL (mg/dL)2]]+(Table1[[#This Row],[Triglycerides]]/5),O1379)</f>
        <v>251</v>
      </c>
      <c r="V1379">
        <v>125</v>
      </c>
      <c r="W1379" s="8">
        <f t="shared" si="304"/>
        <v>125</v>
      </c>
      <c r="X1379" t="str">
        <f t="shared" si="305"/>
        <v>Prediabetes</v>
      </c>
      <c r="Y1379" t="s">
        <v>23</v>
      </c>
      <c r="Z1379" t="s">
        <v>23</v>
      </c>
      <c r="AA1379" t="s">
        <v>28</v>
      </c>
      <c r="AB1379" s="3" t="s">
        <v>1174</v>
      </c>
      <c r="AC1379">
        <v>176</v>
      </c>
      <c r="AD1379" s="3" t="str">
        <f t="shared" si="306"/>
        <v>176</v>
      </c>
      <c r="AE1379">
        <v>92</v>
      </c>
      <c r="AF1379" s="3" t="str">
        <f t="shared" si="307"/>
        <v>92</v>
      </c>
      <c r="AG1379" t="s">
        <v>38</v>
      </c>
      <c r="AH1379" s="3">
        <v>21.006</v>
      </c>
      <c r="AI1379" s="3">
        <f t="shared" si="308"/>
        <v>21.006</v>
      </c>
      <c r="AJ1379" t="s">
        <v>26</v>
      </c>
      <c r="AK1379" t="str">
        <f>PROPER(Table1[[#This Row],[CVD Risk Level]])</f>
        <v>Intermediary</v>
      </c>
    </row>
    <row r="1380" spans="1:37" x14ac:dyDescent="0.3">
      <c r="A1380" t="s">
        <v>31</v>
      </c>
      <c r="B1380">
        <v>63</v>
      </c>
      <c r="C1380" s="8">
        <f t="shared" si="297"/>
        <v>63</v>
      </c>
      <c r="D1380" s="5">
        <v>59.067999999999998</v>
      </c>
      <c r="E1380" s="8">
        <f t="shared" si="298"/>
        <v>59.067999999999998</v>
      </c>
      <c r="F1380">
        <v>1.556</v>
      </c>
      <c r="G1380" s="3">
        <f t="shared" si="299"/>
        <v>1.556</v>
      </c>
      <c r="H1380">
        <v>29.125</v>
      </c>
      <c r="I1380" s="5">
        <f t="shared" si="295"/>
        <v>29.125</v>
      </c>
      <c r="J1380" s="16" t="str">
        <f t="shared" si="300"/>
        <v>Overweight</v>
      </c>
      <c r="K1380">
        <v>71.025999999999996</v>
      </c>
      <c r="L1380">
        <v>0.45600000000000002</v>
      </c>
      <c r="M1380" s="11">
        <f t="shared" si="296"/>
        <v>0.45600000000000002</v>
      </c>
      <c r="N1380" s="5">
        <f t="shared" si="301"/>
        <v>71.025999999999996</v>
      </c>
      <c r="O1380">
        <v>238</v>
      </c>
      <c r="Q1380" s="8">
        <f t="shared" si="302"/>
        <v>56.197377501725327</v>
      </c>
      <c r="S1380" s="8">
        <f>IF(R1380&lt;=0,MEDIAN($R$2:$R$1530),R1380)</f>
        <v>109</v>
      </c>
      <c r="T1380" s="8">
        <f>(Table1[[#This Row],[Total Cholesterol (mg/dL)]]+Table1[[#This Row],[HDL (mg/dL)2]]+Table1[[#This Row],[Estimated LDL (mg/dL)2]])*5</f>
        <v>2015.9868875086268</v>
      </c>
      <c r="U1380" s="8">
        <f>IF(O1380="",Table1[[#This Row],[Estimated LDL (mg/dL)2]]+Table1[[#This Row],[HDL (mg/dL)2]]+(Table1[[#This Row],[Triglycerides]]/5),O1380)</f>
        <v>238</v>
      </c>
      <c r="V1380">
        <v>119</v>
      </c>
      <c r="W1380" s="8">
        <f t="shared" si="304"/>
        <v>119</v>
      </c>
      <c r="X1380" t="str">
        <f t="shared" si="305"/>
        <v>Prediabetes</v>
      </c>
      <c r="Y1380" t="s">
        <v>23</v>
      </c>
      <c r="Z1380" t="s">
        <v>22</v>
      </c>
      <c r="AA1380" t="s">
        <v>28</v>
      </c>
      <c r="AB1380" s="3" t="s">
        <v>1175</v>
      </c>
      <c r="AC1380">
        <v>162</v>
      </c>
      <c r="AD1380" s="3" t="str">
        <f t="shared" si="306"/>
        <v>162</v>
      </c>
      <c r="AE1380">
        <v>80</v>
      </c>
      <c r="AF1380" s="3" t="str">
        <f t="shared" si="307"/>
        <v>80</v>
      </c>
      <c r="AG1380" t="s">
        <v>29</v>
      </c>
      <c r="AH1380" s="3">
        <v>18.684999999999999</v>
      </c>
      <c r="AI1380" s="3">
        <f t="shared" si="308"/>
        <v>18.684999999999999</v>
      </c>
      <c r="AJ1380" t="s">
        <v>52</v>
      </c>
      <c r="AK1380" t="str">
        <f>PROPER(Table1[[#This Row],[CVD Risk Level]])</f>
        <v>Low</v>
      </c>
    </row>
    <row r="1381" spans="1:37" x14ac:dyDescent="0.3">
      <c r="A1381" t="s">
        <v>20</v>
      </c>
      <c r="B1381">
        <v>26</v>
      </c>
      <c r="C1381" s="8">
        <f t="shared" si="297"/>
        <v>26</v>
      </c>
      <c r="D1381" s="5">
        <v>83.855999999999995</v>
      </c>
      <c r="E1381" s="8">
        <f t="shared" si="298"/>
        <v>83.855999999999995</v>
      </c>
      <c r="F1381">
        <v>1.95</v>
      </c>
      <c r="G1381" s="3">
        <f t="shared" si="299"/>
        <v>1.95</v>
      </c>
      <c r="H1381">
        <v>36.851999999999997</v>
      </c>
      <c r="I1381" s="5">
        <f t="shared" si="295"/>
        <v>36.851999999999997</v>
      </c>
      <c r="J1381" s="16" t="str">
        <f t="shared" si="300"/>
        <v>Obese</v>
      </c>
      <c r="K1381">
        <v>77.156999999999996</v>
      </c>
      <c r="L1381">
        <v>0.39600000000000002</v>
      </c>
      <c r="M1381" s="11">
        <f t="shared" si="296"/>
        <v>0.39600000000000002</v>
      </c>
      <c r="N1381" s="5">
        <f t="shared" si="301"/>
        <v>77.156999999999996</v>
      </c>
      <c r="O1381">
        <v>140</v>
      </c>
      <c r="P1381">
        <v>32</v>
      </c>
      <c r="Q1381" s="8">
        <f t="shared" si="302"/>
        <v>32</v>
      </c>
      <c r="R1381" s="8">
        <v>78</v>
      </c>
      <c r="S1381" s="8">
        <f t="shared" si="303"/>
        <v>78</v>
      </c>
      <c r="T1381" s="8">
        <f>(Table1[[#This Row],[Total Cholesterol (mg/dL)]]+Table1[[#This Row],[HDL (mg/dL)2]]+Table1[[#This Row],[Estimated LDL (mg/dL)2]])*5</f>
        <v>1250</v>
      </c>
      <c r="U1381" s="8">
        <f>IF(O1381="",Table1[[#This Row],[Estimated LDL (mg/dL)2]]+Table1[[#This Row],[HDL (mg/dL)2]]+(Table1[[#This Row],[Triglycerides]]/5),O1381)</f>
        <v>140</v>
      </c>
      <c r="V1381">
        <v>174</v>
      </c>
      <c r="W1381" s="8">
        <f t="shared" si="304"/>
        <v>174</v>
      </c>
      <c r="X1381" t="str">
        <f t="shared" si="305"/>
        <v>Diabetes</v>
      </c>
      <c r="Y1381" t="s">
        <v>23</v>
      </c>
      <c r="Z1381" t="s">
        <v>23</v>
      </c>
      <c r="AA1381" t="s">
        <v>24</v>
      </c>
      <c r="AB1381" s="3" t="s">
        <v>1176</v>
      </c>
      <c r="AC1381">
        <v>96</v>
      </c>
      <c r="AD1381" s="3" t="str">
        <f t="shared" si="306"/>
        <v>96</v>
      </c>
      <c r="AE1381">
        <v>68</v>
      </c>
      <c r="AF1381" s="3" t="str">
        <f t="shared" si="307"/>
        <v>68</v>
      </c>
      <c r="AG1381" t="s">
        <v>33</v>
      </c>
      <c r="AH1381" s="3">
        <v>16.97</v>
      </c>
      <c r="AI1381" s="3">
        <f t="shared" si="308"/>
        <v>16.97</v>
      </c>
      <c r="AJ1381" t="s">
        <v>30</v>
      </c>
      <c r="AK1381" t="str">
        <f>PROPER(Table1[[#This Row],[CVD Risk Level]])</f>
        <v>High</v>
      </c>
    </row>
    <row r="1382" spans="1:37" x14ac:dyDescent="0.3">
      <c r="A1382" t="s">
        <v>31</v>
      </c>
      <c r="B1382">
        <v>28</v>
      </c>
      <c r="C1382" s="8">
        <f t="shared" si="297"/>
        <v>28</v>
      </c>
      <c r="D1382" s="5">
        <v>88.733999999999995</v>
      </c>
      <c r="E1382" s="8">
        <f t="shared" si="298"/>
        <v>88.733999999999995</v>
      </c>
      <c r="F1382">
        <v>1.863</v>
      </c>
      <c r="G1382" s="3">
        <f t="shared" si="299"/>
        <v>1.863</v>
      </c>
      <c r="H1382">
        <v>22.917999999999999</v>
      </c>
      <c r="I1382" s="5">
        <f t="shared" si="295"/>
        <v>22.917999999999999</v>
      </c>
      <c r="J1382" s="16" t="str">
        <f t="shared" si="300"/>
        <v>Normal</v>
      </c>
      <c r="K1382">
        <v>75.188000000000002</v>
      </c>
      <c r="L1382">
        <v>0.40400000000000003</v>
      </c>
      <c r="M1382" s="11">
        <f t="shared" si="296"/>
        <v>0.40400000000000003</v>
      </c>
      <c r="N1382" s="5">
        <f t="shared" si="301"/>
        <v>75.188000000000002</v>
      </c>
      <c r="O1382">
        <v>120</v>
      </c>
      <c r="P1382">
        <v>62</v>
      </c>
      <c r="Q1382" s="8">
        <f t="shared" si="302"/>
        <v>62</v>
      </c>
      <c r="R1382" s="8">
        <v>28</v>
      </c>
      <c r="S1382" s="8">
        <f t="shared" si="303"/>
        <v>28</v>
      </c>
      <c r="T1382" s="8">
        <f>(Table1[[#This Row],[Total Cholesterol (mg/dL)]]+Table1[[#This Row],[HDL (mg/dL)2]]+Table1[[#This Row],[Estimated LDL (mg/dL)2]])*5</f>
        <v>1050</v>
      </c>
      <c r="U1382" s="8">
        <f>IF(O1382="",Table1[[#This Row],[Estimated LDL (mg/dL)2]]+Table1[[#This Row],[HDL (mg/dL)2]]+(Table1[[#This Row],[Triglycerides]]/5),O1382)</f>
        <v>120</v>
      </c>
      <c r="V1382">
        <v>141</v>
      </c>
      <c r="W1382" s="8">
        <f t="shared" si="304"/>
        <v>141</v>
      </c>
      <c r="X1382" t="str">
        <f t="shared" si="305"/>
        <v>Diabetes</v>
      </c>
      <c r="Y1382" t="s">
        <v>23</v>
      </c>
      <c r="Z1382" t="s">
        <v>23</v>
      </c>
      <c r="AA1382" t="s">
        <v>28</v>
      </c>
      <c r="AB1382" s="3" t="s">
        <v>1177</v>
      </c>
      <c r="AC1382">
        <v>148</v>
      </c>
      <c r="AD1382" s="3" t="str">
        <f t="shared" si="306"/>
        <v>148</v>
      </c>
      <c r="AE1382">
        <v>84</v>
      </c>
      <c r="AF1382" s="3" t="str">
        <f t="shared" si="307"/>
        <v>84</v>
      </c>
      <c r="AG1382" t="s">
        <v>29</v>
      </c>
      <c r="AH1382" s="3">
        <v>16.384</v>
      </c>
      <c r="AI1382" s="3">
        <f t="shared" si="308"/>
        <v>16.384</v>
      </c>
      <c r="AJ1382" t="s">
        <v>52</v>
      </c>
      <c r="AK1382" t="str">
        <f>PROPER(Table1[[#This Row],[CVD Risk Level]])</f>
        <v>Low</v>
      </c>
    </row>
    <row r="1383" spans="1:37" x14ac:dyDescent="0.3">
      <c r="A1383" t="s">
        <v>20</v>
      </c>
      <c r="B1383">
        <v>52</v>
      </c>
      <c r="C1383" s="8">
        <f t="shared" si="297"/>
        <v>52</v>
      </c>
      <c r="D1383" s="5">
        <v>99.356999999999999</v>
      </c>
      <c r="E1383" s="8">
        <f t="shared" si="298"/>
        <v>99.356999999999999</v>
      </c>
      <c r="F1383">
        <v>1.8979999999999999</v>
      </c>
      <c r="G1383" s="3">
        <f t="shared" si="299"/>
        <v>1.8979999999999999</v>
      </c>
      <c r="H1383">
        <v>31.597000000000001</v>
      </c>
      <c r="I1383" s="5">
        <f t="shared" si="295"/>
        <v>31.597000000000001</v>
      </c>
      <c r="J1383" s="16" t="str">
        <f t="shared" si="300"/>
        <v>Obese</v>
      </c>
      <c r="K1383">
        <v>92.525999999999996</v>
      </c>
      <c r="L1383">
        <v>0.48799999999999999</v>
      </c>
      <c r="M1383" s="11">
        <f t="shared" si="296"/>
        <v>0.48799999999999999</v>
      </c>
      <c r="N1383" s="5">
        <f t="shared" si="301"/>
        <v>92.525999999999996</v>
      </c>
      <c r="O1383">
        <v>240</v>
      </c>
      <c r="P1383">
        <v>49</v>
      </c>
      <c r="Q1383" s="8">
        <f t="shared" si="302"/>
        <v>49</v>
      </c>
      <c r="R1383" s="8">
        <v>161</v>
      </c>
      <c r="S1383" s="8">
        <f t="shared" si="303"/>
        <v>161</v>
      </c>
      <c r="T1383" s="8">
        <f>(Table1[[#This Row],[Total Cholesterol (mg/dL)]]+Table1[[#This Row],[HDL (mg/dL)2]]+Table1[[#This Row],[Estimated LDL (mg/dL)2]])*5</f>
        <v>2250</v>
      </c>
      <c r="U1383" s="8">
        <f>IF(O1383="",Table1[[#This Row],[Estimated LDL (mg/dL)2]]+Table1[[#This Row],[HDL (mg/dL)2]]+(Table1[[#This Row],[Triglycerides]]/5),O1383)</f>
        <v>240</v>
      </c>
      <c r="V1383">
        <v>164</v>
      </c>
      <c r="W1383" s="8">
        <f t="shared" si="304"/>
        <v>164</v>
      </c>
      <c r="X1383" t="str">
        <f t="shared" si="305"/>
        <v>Diabetes</v>
      </c>
      <c r="Y1383" t="s">
        <v>23</v>
      </c>
      <c r="Z1383" t="s">
        <v>22</v>
      </c>
      <c r="AA1383" t="s">
        <v>28</v>
      </c>
      <c r="AB1383" s="3" t="s">
        <v>1178</v>
      </c>
      <c r="AC1383">
        <v>142</v>
      </c>
      <c r="AD1383" s="3" t="str">
        <f t="shared" si="306"/>
        <v>142</v>
      </c>
      <c r="AE1383">
        <v>95</v>
      </c>
      <c r="AF1383" s="3" t="str">
        <f t="shared" si="307"/>
        <v>95</v>
      </c>
      <c r="AG1383" t="s">
        <v>38</v>
      </c>
      <c r="AH1383" s="3">
        <v>18.219000000000001</v>
      </c>
      <c r="AI1383" s="3">
        <f t="shared" si="308"/>
        <v>18.219000000000001</v>
      </c>
      <c r="AJ1383" t="s">
        <v>52</v>
      </c>
      <c r="AK1383" t="str">
        <f>PROPER(Table1[[#This Row],[CVD Risk Level]])</f>
        <v>Low</v>
      </c>
    </row>
    <row r="1384" spans="1:37" x14ac:dyDescent="0.3">
      <c r="A1384" t="s">
        <v>31</v>
      </c>
      <c r="B1384">
        <v>64</v>
      </c>
      <c r="C1384" s="8">
        <f t="shared" si="297"/>
        <v>64</v>
      </c>
      <c r="D1384" s="5">
        <v>100.94</v>
      </c>
      <c r="E1384" s="8">
        <f t="shared" si="298"/>
        <v>100.94</v>
      </c>
      <c r="F1384">
        <v>1.7509999999999999</v>
      </c>
      <c r="G1384" s="3">
        <f t="shared" si="299"/>
        <v>1.7509999999999999</v>
      </c>
      <c r="H1384">
        <v>22.696999999999999</v>
      </c>
      <c r="I1384" s="5">
        <f t="shared" si="295"/>
        <v>22.696999999999999</v>
      </c>
      <c r="J1384" s="16" t="str">
        <f t="shared" si="300"/>
        <v>Normal</v>
      </c>
      <c r="K1384">
        <v>71.652000000000001</v>
      </c>
      <c r="M1384" s="11">
        <f t="shared" si="296"/>
        <v>0.40920616790405484</v>
      </c>
      <c r="N1384" s="5">
        <f t="shared" si="301"/>
        <v>71.652000000000001</v>
      </c>
      <c r="O1384">
        <v>128</v>
      </c>
      <c r="P1384">
        <v>81</v>
      </c>
      <c r="Q1384" s="8">
        <f t="shared" si="302"/>
        <v>81</v>
      </c>
      <c r="R1384" s="8">
        <v>17</v>
      </c>
      <c r="S1384" s="8">
        <f t="shared" si="303"/>
        <v>17</v>
      </c>
      <c r="T1384" s="8">
        <f>(Table1[[#This Row],[Total Cholesterol (mg/dL)]]+Table1[[#This Row],[HDL (mg/dL)2]]+Table1[[#This Row],[Estimated LDL (mg/dL)2]])*5</f>
        <v>1130</v>
      </c>
      <c r="U1384" s="8">
        <f>IF(O1384="",Table1[[#This Row],[Estimated LDL (mg/dL)2]]+Table1[[#This Row],[HDL (mg/dL)2]]+(Table1[[#This Row],[Triglycerides]]/5),O1384)</f>
        <v>128</v>
      </c>
      <c r="V1384">
        <v>103</v>
      </c>
      <c r="W1384" s="8">
        <f t="shared" si="304"/>
        <v>103</v>
      </c>
      <c r="X1384" t="str">
        <f t="shared" si="305"/>
        <v>Prediabetes</v>
      </c>
      <c r="Y1384" t="s">
        <v>23</v>
      </c>
      <c r="Z1384" t="s">
        <v>23</v>
      </c>
      <c r="AA1384" t="s">
        <v>28</v>
      </c>
      <c r="AB1384" s="3" t="s">
        <v>1179</v>
      </c>
      <c r="AC1384">
        <v>115</v>
      </c>
      <c r="AD1384" s="3" t="str">
        <f t="shared" si="306"/>
        <v>115</v>
      </c>
      <c r="AE1384">
        <v>113</v>
      </c>
      <c r="AF1384" s="3" t="str">
        <f t="shared" si="307"/>
        <v>113</v>
      </c>
      <c r="AG1384" t="s">
        <v>38</v>
      </c>
      <c r="AH1384" s="3">
        <v>14.849</v>
      </c>
      <c r="AI1384" s="3">
        <f t="shared" si="308"/>
        <v>14.849</v>
      </c>
      <c r="AJ1384" t="s">
        <v>26</v>
      </c>
      <c r="AK1384" t="str">
        <f>PROPER(Table1[[#This Row],[CVD Risk Level]])</f>
        <v>Intermediary</v>
      </c>
    </row>
    <row r="1385" spans="1:37" x14ac:dyDescent="0.3">
      <c r="A1385" t="s">
        <v>31</v>
      </c>
      <c r="B1385">
        <v>31</v>
      </c>
      <c r="C1385" s="8">
        <f t="shared" si="297"/>
        <v>31</v>
      </c>
      <c r="D1385" s="5">
        <v>61.213000000000001</v>
      </c>
      <c r="E1385" s="8">
        <f t="shared" si="298"/>
        <v>61.213000000000001</v>
      </c>
      <c r="F1385">
        <v>1.829</v>
      </c>
      <c r="G1385" s="3">
        <f t="shared" si="299"/>
        <v>1.829</v>
      </c>
      <c r="H1385">
        <v>19.643999999999998</v>
      </c>
      <c r="I1385" s="5">
        <f t="shared" si="295"/>
        <v>19.643999999999998</v>
      </c>
      <c r="J1385" s="16" t="str">
        <f t="shared" si="300"/>
        <v>Normal</v>
      </c>
      <c r="K1385">
        <v>84.102000000000004</v>
      </c>
      <c r="L1385">
        <v>0.46</v>
      </c>
      <c r="M1385" s="11">
        <f t="shared" si="296"/>
        <v>0.46</v>
      </c>
      <c r="N1385" s="5">
        <f t="shared" si="301"/>
        <v>84.102000000000004</v>
      </c>
      <c r="O1385">
        <v>145</v>
      </c>
      <c r="P1385">
        <v>70</v>
      </c>
      <c r="Q1385" s="8">
        <f t="shared" si="302"/>
        <v>70</v>
      </c>
      <c r="R1385" s="8">
        <v>45</v>
      </c>
      <c r="S1385" s="8">
        <f t="shared" si="303"/>
        <v>45</v>
      </c>
      <c r="T1385" s="8">
        <f>(Table1[[#This Row],[Total Cholesterol (mg/dL)]]+Table1[[#This Row],[HDL (mg/dL)2]]+Table1[[#This Row],[Estimated LDL (mg/dL)2]])*5</f>
        <v>1300</v>
      </c>
      <c r="U1385" s="8">
        <f>IF(O1385="",Table1[[#This Row],[Estimated LDL (mg/dL)2]]+Table1[[#This Row],[HDL (mg/dL)2]]+(Table1[[#This Row],[Triglycerides]]/5),O1385)</f>
        <v>145</v>
      </c>
      <c r="V1385">
        <v>168</v>
      </c>
      <c r="W1385" s="8">
        <f t="shared" si="304"/>
        <v>168</v>
      </c>
      <c r="X1385" t="str">
        <f t="shared" si="305"/>
        <v>Diabetes</v>
      </c>
      <c r="Y1385" t="s">
        <v>22</v>
      </c>
      <c r="Z1385" t="s">
        <v>22</v>
      </c>
      <c r="AA1385" t="s">
        <v>28</v>
      </c>
      <c r="AB1385" s="3" t="s">
        <v>384</v>
      </c>
      <c r="AC1385">
        <v>108</v>
      </c>
      <c r="AD1385" s="3" t="str">
        <f t="shared" si="306"/>
        <v>108</v>
      </c>
      <c r="AE1385">
        <v>61</v>
      </c>
      <c r="AF1385" s="3" t="str">
        <f t="shared" si="307"/>
        <v>61</v>
      </c>
      <c r="AG1385" t="s">
        <v>33</v>
      </c>
      <c r="AH1385" s="3">
        <v>12.228999999999999</v>
      </c>
      <c r="AI1385" s="3">
        <f t="shared" si="308"/>
        <v>12.228999999999999</v>
      </c>
      <c r="AJ1385" t="s">
        <v>26</v>
      </c>
      <c r="AK1385" t="str">
        <f>PROPER(Table1[[#This Row],[CVD Risk Level]])</f>
        <v>Intermediary</v>
      </c>
    </row>
    <row r="1386" spans="1:37" x14ac:dyDescent="0.3">
      <c r="A1386" t="s">
        <v>31</v>
      </c>
      <c r="B1386">
        <v>62</v>
      </c>
      <c r="C1386" s="8">
        <f t="shared" si="297"/>
        <v>62</v>
      </c>
      <c r="D1386" s="5">
        <v>76.988</v>
      </c>
      <c r="E1386" s="8">
        <f t="shared" si="298"/>
        <v>76.988</v>
      </c>
      <c r="F1386">
        <v>1.792</v>
      </c>
      <c r="G1386" s="3">
        <f t="shared" si="299"/>
        <v>1.792</v>
      </c>
      <c r="H1386">
        <v>21.911999999999999</v>
      </c>
      <c r="I1386" s="5">
        <f t="shared" si="295"/>
        <v>21.911999999999999</v>
      </c>
      <c r="J1386" s="16" t="str">
        <f t="shared" si="300"/>
        <v>Normal</v>
      </c>
      <c r="K1386">
        <v>116.937</v>
      </c>
      <c r="L1386">
        <v>0.65300000000000002</v>
      </c>
      <c r="M1386" s="11">
        <f t="shared" si="296"/>
        <v>0.65300000000000002</v>
      </c>
      <c r="N1386" s="5">
        <f t="shared" si="301"/>
        <v>116.937</v>
      </c>
      <c r="O1386">
        <v>218</v>
      </c>
      <c r="P1386">
        <v>71</v>
      </c>
      <c r="Q1386" s="8">
        <f t="shared" si="302"/>
        <v>71</v>
      </c>
      <c r="R1386" s="8">
        <v>117</v>
      </c>
      <c r="S1386" s="8">
        <f>IF(R1386&lt;=0,MEDIAN($R$2:$R$1530),R1386)</f>
        <v>117</v>
      </c>
      <c r="T1386" s="8">
        <f>(Table1[[#This Row],[Total Cholesterol (mg/dL)]]+Table1[[#This Row],[HDL (mg/dL)2]]+Table1[[#This Row],[Estimated LDL (mg/dL)2]])*5</f>
        <v>2030</v>
      </c>
      <c r="U1386" s="8">
        <f>IF(O1386="",Table1[[#This Row],[Estimated LDL (mg/dL)2]]+Table1[[#This Row],[HDL (mg/dL)2]]+(Table1[[#This Row],[Triglycerides]]/5),O1386)</f>
        <v>218</v>
      </c>
      <c r="V1386">
        <v>88</v>
      </c>
      <c r="W1386" s="8">
        <f t="shared" si="304"/>
        <v>88</v>
      </c>
      <c r="X1386" t="str">
        <f t="shared" si="305"/>
        <v>Normal</v>
      </c>
      <c r="Y1386" t="s">
        <v>22</v>
      </c>
      <c r="Z1386" t="s">
        <v>22</v>
      </c>
      <c r="AA1386" t="s">
        <v>24</v>
      </c>
      <c r="AB1386" s="3" t="s">
        <v>1180</v>
      </c>
      <c r="AC1386">
        <v>103</v>
      </c>
      <c r="AD1386" s="3" t="str">
        <f t="shared" si="306"/>
        <v>103</v>
      </c>
      <c r="AE1386">
        <v>93</v>
      </c>
      <c r="AF1386" s="3" t="str">
        <f t="shared" si="307"/>
        <v>93</v>
      </c>
      <c r="AG1386" t="s">
        <v>38</v>
      </c>
      <c r="AH1386" s="3">
        <v>13.891999999999999</v>
      </c>
      <c r="AI1386" s="3">
        <f t="shared" si="308"/>
        <v>13.891999999999999</v>
      </c>
      <c r="AJ1386" t="s">
        <v>52</v>
      </c>
      <c r="AK1386" t="str">
        <f>PROPER(Table1[[#This Row],[CVD Risk Level]])</f>
        <v>Low</v>
      </c>
    </row>
    <row r="1387" spans="1:37" x14ac:dyDescent="0.3">
      <c r="A1387" t="s">
        <v>20</v>
      </c>
      <c r="B1387">
        <v>64</v>
      </c>
      <c r="C1387" s="8">
        <f t="shared" si="297"/>
        <v>64</v>
      </c>
      <c r="D1387" s="5">
        <v>57.871000000000002</v>
      </c>
      <c r="E1387" s="8">
        <f t="shared" si="298"/>
        <v>57.871000000000002</v>
      </c>
      <c r="F1387">
        <v>1.752</v>
      </c>
      <c r="G1387" s="3">
        <f t="shared" si="299"/>
        <v>1.752</v>
      </c>
      <c r="H1387">
        <v>18.510000000000002</v>
      </c>
      <c r="I1387" s="5">
        <f t="shared" si="295"/>
        <v>18.510000000000002</v>
      </c>
      <c r="J1387" s="16" t="str">
        <f t="shared" si="300"/>
        <v>Normal</v>
      </c>
      <c r="K1387">
        <v>108.94199999999999</v>
      </c>
      <c r="L1387">
        <v>0.622</v>
      </c>
      <c r="M1387" s="11">
        <f t="shared" si="296"/>
        <v>0.622</v>
      </c>
      <c r="N1387" s="5">
        <f t="shared" si="301"/>
        <v>108.94199999999999</v>
      </c>
      <c r="O1387">
        <v>213</v>
      </c>
      <c r="P1387">
        <v>58</v>
      </c>
      <c r="Q1387" s="8">
        <f t="shared" si="302"/>
        <v>58</v>
      </c>
      <c r="R1387" s="8">
        <v>125</v>
      </c>
      <c r="S1387" s="8">
        <f t="shared" si="303"/>
        <v>125</v>
      </c>
      <c r="T1387" s="8">
        <f>(Table1[[#This Row],[Total Cholesterol (mg/dL)]]+Table1[[#This Row],[HDL (mg/dL)2]]+Table1[[#This Row],[Estimated LDL (mg/dL)2]])*5</f>
        <v>1980</v>
      </c>
      <c r="U1387" s="8">
        <f>IF(O1387="",Table1[[#This Row],[Estimated LDL (mg/dL)2]]+Table1[[#This Row],[HDL (mg/dL)2]]+(Table1[[#This Row],[Triglycerides]]/5),O1387)</f>
        <v>213</v>
      </c>
      <c r="V1387">
        <v>84</v>
      </c>
      <c r="W1387" s="8">
        <f t="shared" si="304"/>
        <v>84</v>
      </c>
      <c r="X1387" t="str">
        <f t="shared" si="305"/>
        <v>Normal</v>
      </c>
      <c r="Y1387" t="s">
        <v>23</v>
      </c>
      <c r="Z1387" t="s">
        <v>23</v>
      </c>
      <c r="AA1387" t="s">
        <v>37</v>
      </c>
      <c r="AB1387" s="3" t="s">
        <v>1181</v>
      </c>
      <c r="AC1387">
        <v>175</v>
      </c>
      <c r="AD1387" s="3" t="str">
        <f t="shared" si="306"/>
        <v>175</v>
      </c>
      <c r="AE1387">
        <v>69</v>
      </c>
      <c r="AF1387" s="3" t="str">
        <f t="shared" si="307"/>
        <v>69</v>
      </c>
      <c r="AG1387" t="s">
        <v>38</v>
      </c>
      <c r="AI1387" s="3">
        <f t="shared" si="308"/>
        <v>16.960925291295425</v>
      </c>
      <c r="AJ1387" t="s">
        <v>52</v>
      </c>
      <c r="AK1387" t="str">
        <f>PROPER(Table1[[#This Row],[CVD Risk Level]])</f>
        <v>Low</v>
      </c>
    </row>
    <row r="1388" spans="1:37" x14ac:dyDescent="0.3">
      <c r="A1388" t="s">
        <v>31</v>
      </c>
      <c r="B1388">
        <v>27</v>
      </c>
      <c r="C1388" s="8">
        <f t="shared" si="297"/>
        <v>27</v>
      </c>
      <c r="D1388" s="5">
        <v>116.52500000000001</v>
      </c>
      <c r="E1388" s="8">
        <f t="shared" si="298"/>
        <v>116.52500000000001</v>
      </c>
      <c r="F1388">
        <v>1.9379999999999999</v>
      </c>
      <c r="G1388" s="3">
        <f t="shared" si="299"/>
        <v>1.9379999999999999</v>
      </c>
      <c r="H1388">
        <v>33.296999999999997</v>
      </c>
      <c r="I1388" s="5">
        <f t="shared" si="295"/>
        <v>33.296999999999997</v>
      </c>
      <c r="J1388" s="16" t="str">
        <f t="shared" si="300"/>
        <v>Obese</v>
      </c>
      <c r="K1388">
        <v>117.983</v>
      </c>
      <c r="L1388">
        <v>0.60899999999999999</v>
      </c>
      <c r="M1388" s="11">
        <f t="shared" si="296"/>
        <v>0.60899999999999999</v>
      </c>
      <c r="N1388" s="5">
        <f t="shared" si="301"/>
        <v>117.983</v>
      </c>
      <c r="O1388">
        <v>133</v>
      </c>
      <c r="Q1388" s="8">
        <f t="shared" si="302"/>
        <v>56.197377501725327</v>
      </c>
      <c r="R1388" s="8">
        <v>17</v>
      </c>
      <c r="S1388" s="8">
        <f>IF(R1388&lt;=0,MEDIAN($R$2:$R$1530),R1388)</f>
        <v>17</v>
      </c>
      <c r="T1388" s="8">
        <f>(Table1[[#This Row],[Total Cholesterol (mg/dL)]]+Table1[[#This Row],[HDL (mg/dL)2]]+Table1[[#This Row],[Estimated LDL (mg/dL)2]])*5</f>
        <v>1030.9868875086268</v>
      </c>
      <c r="U1388" s="8">
        <f>IF(O1388="",Table1[[#This Row],[Estimated LDL (mg/dL)2]]+Table1[[#This Row],[HDL (mg/dL)2]]+(Table1[[#This Row],[Triglycerides]]/5),O1388)</f>
        <v>133</v>
      </c>
      <c r="W1388" s="8">
        <f t="shared" si="304"/>
        <v>117.48563611491107</v>
      </c>
      <c r="X1388" t="str">
        <f t="shared" si="305"/>
        <v>Prediabetes</v>
      </c>
      <c r="Y1388" t="s">
        <v>23</v>
      </c>
      <c r="Z1388" t="s">
        <v>22</v>
      </c>
      <c r="AA1388" t="s">
        <v>37</v>
      </c>
      <c r="AB1388" s="3" t="s">
        <v>1182</v>
      </c>
      <c r="AC1388">
        <v>107</v>
      </c>
      <c r="AD1388" s="3" t="str">
        <f t="shared" si="306"/>
        <v>107</v>
      </c>
      <c r="AF1388" s="3" t="str">
        <f t="shared" si="307"/>
        <v>92</v>
      </c>
      <c r="AG1388" t="s">
        <v>38</v>
      </c>
      <c r="AH1388" s="3">
        <v>14.669</v>
      </c>
      <c r="AI1388" s="3">
        <f t="shared" si="308"/>
        <v>14.669</v>
      </c>
      <c r="AJ1388" t="s">
        <v>26</v>
      </c>
      <c r="AK1388" t="str">
        <f>PROPER(Table1[[#This Row],[CVD Risk Level]])</f>
        <v>Intermediary</v>
      </c>
    </row>
    <row r="1389" spans="1:37" x14ac:dyDescent="0.3">
      <c r="A1389" t="s">
        <v>20</v>
      </c>
      <c r="B1389">
        <v>49</v>
      </c>
      <c r="C1389" s="8">
        <f t="shared" si="297"/>
        <v>49</v>
      </c>
      <c r="D1389" s="5">
        <v>117.84699999999999</v>
      </c>
      <c r="E1389" s="8">
        <f t="shared" si="298"/>
        <v>117.84699999999999</v>
      </c>
      <c r="F1389">
        <v>1.68</v>
      </c>
      <c r="G1389" s="3">
        <f t="shared" si="299"/>
        <v>1.68</v>
      </c>
      <c r="H1389">
        <v>36.276000000000003</v>
      </c>
      <c r="I1389" s="5">
        <f t="shared" si="295"/>
        <v>36.276000000000003</v>
      </c>
      <c r="J1389" s="16" t="str">
        <f t="shared" si="300"/>
        <v>Obese</v>
      </c>
      <c r="K1389">
        <v>81.599000000000004</v>
      </c>
      <c r="L1389">
        <v>0.48599999999999999</v>
      </c>
      <c r="M1389" s="11">
        <f t="shared" si="296"/>
        <v>0.48599999999999999</v>
      </c>
      <c r="N1389" s="5">
        <f t="shared" si="301"/>
        <v>81.599000000000004</v>
      </c>
      <c r="O1389">
        <v>254</v>
      </c>
      <c r="P1389">
        <v>66</v>
      </c>
      <c r="Q1389" s="8">
        <f t="shared" si="302"/>
        <v>66</v>
      </c>
      <c r="R1389" s="8">
        <v>158</v>
      </c>
      <c r="S1389" s="8">
        <f t="shared" si="303"/>
        <v>158</v>
      </c>
      <c r="T1389" s="8">
        <f>(Table1[[#This Row],[Total Cholesterol (mg/dL)]]+Table1[[#This Row],[HDL (mg/dL)2]]+Table1[[#This Row],[Estimated LDL (mg/dL)2]])*5</f>
        <v>2390</v>
      </c>
      <c r="U1389" s="8">
        <f>IF(O1389="",Table1[[#This Row],[Estimated LDL (mg/dL)2]]+Table1[[#This Row],[HDL (mg/dL)2]]+(Table1[[#This Row],[Triglycerides]]/5),O1389)</f>
        <v>254</v>
      </c>
      <c r="V1389">
        <v>131</v>
      </c>
      <c r="W1389" s="8">
        <f t="shared" si="304"/>
        <v>131</v>
      </c>
      <c r="X1389" t="str">
        <f t="shared" si="305"/>
        <v>Diabetes</v>
      </c>
      <c r="Y1389" t="s">
        <v>23</v>
      </c>
      <c r="Z1389" t="s">
        <v>23</v>
      </c>
      <c r="AA1389" t="s">
        <v>37</v>
      </c>
      <c r="AB1389" s="3" t="s">
        <v>1183</v>
      </c>
      <c r="AC1389">
        <v>118</v>
      </c>
      <c r="AD1389" s="3" t="str">
        <f t="shared" si="306"/>
        <v>118</v>
      </c>
      <c r="AE1389">
        <v>119</v>
      </c>
      <c r="AF1389" s="3" t="str">
        <f t="shared" si="307"/>
        <v>119</v>
      </c>
      <c r="AG1389" t="s">
        <v>38</v>
      </c>
      <c r="AH1389" s="3">
        <v>20.234999999999999</v>
      </c>
      <c r="AI1389" s="3">
        <f t="shared" si="308"/>
        <v>20.234999999999999</v>
      </c>
      <c r="AJ1389" t="s">
        <v>52</v>
      </c>
      <c r="AK1389" t="str">
        <f>PROPER(Table1[[#This Row],[CVD Risk Level]])</f>
        <v>Low</v>
      </c>
    </row>
    <row r="1390" spans="1:37" x14ac:dyDescent="0.3">
      <c r="A1390" t="s">
        <v>31</v>
      </c>
      <c r="B1390">
        <v>56</v>
      </c>
      <c r="C1390" s="8">
        <f t="shared" si="297"/>
        <v>56</v>
      </c>
      <c r="D1390" s="5">
        <v>80.566999999999993</v>
      </c>
      <c r="E1390" s="8">
        <f t="shared" si="298"/>
        <v>80.566999999999993</v>
      </c>
      <c r="F1390">
        <v>1.597</v>
      </c>
      <c r="G1390" s="3">
        <f t="shared" si="299"/>
        <v>1.597</v>
      </c>
      <c r="H1390">
        <v>22.382999999999999</v>
      </c>
      <c r="I1390" s="5">
        <f t="shared" si="295"/>
        <v>22.382999999999999</v>
      </c>
      <c r="J1390" s="16" t="str">
        <f t="shared" si="300"/>
        <v>Normal</v>
      </c>
      <c r="K1390">
        <v>86.290999999999997</v>
      </c>
      <c r="L1390">
        <v>0.54</v>
      </c>
      <c r="M1390" s="11">
        <f t="shared" si="296"/>
        <v>0.54</v>
      </c>
      <c r="N1390" s="5">
        <f t="shared" si="301"/>
        <v>86.290999999999997</v>
      </c>
      <c r="O1390">
        <v>249</v>
      </c>
      <c r="P1390">
        <v>63</v>
      </c>
      <c r="Q1390" s="8">
        <f t="shared" si="302"/>
        <v>63</v>
      </c>
      <c r="R1390" s="8">
        <v>156</v>
      </c>
      <c r="S1390" s="8">
        <f t="shared" si="303"/>
        <v>156</v>
      </c>
      <c r="T1390" s="8">
        <f>(Table1[[#This Row],[Total Cholesterol (mg/dL)]]+Table1[[#This Row],[HDL (mg/dL)2]]+Table1[[#This Row],[Estimated LDL (mg/dL)2]])*5</f>
        <v>2340</v>
      </c>
      <c r="U1390" s="8">
        <f>IF(O1390="",Table1[[#This Row],[Estimated LDL (mg/dL)2]]+Table1[[#This Row],[HDL (mg/dL)2]]+(Table1[[#This Row],[Triglycerides]]/5),O1390)</f>
        <v>249</v>
      </c>
      <c r="V1390">
        <v>186</v>
      </c>
      <c r="W1390" s="8">
        <f t="shared" si="304"/>
        <v>186</v>
      </c>
      <c r="X1390" t="str">
        <f t="shared" si="305"/>
        <v>Diabetes</v>
      </c>
      <c r="Y1390" t="s">
        <v>23</v>
      </c>
      <c r="Z1390" t="s">
        <v>22</v>
      </c>
      <c r="AA1390" t="s">
        <v>24</v>
      </c>
      <c r="AB1390" s="3" t="s">
        <v>1184</v>
      </c>
      <c r="AC1390">
        <v>108</v>
      </c>
      <c r="AD1390" s="3" t="str">
        <f t="shared" si="306"/>
        <v>108</v>
      </c>
      <c r="AE1390">
        <v>101</v>
      </c>
      <c r="AF1390" s="3" t="str">
        <f t="shared" si="307"/>
        <v>101</v>
      </c>
      <c r="AG1390" t="s">
        <v>38</v>
      </c>
      <c r="AH1390" s="3">
        <v>14.856999999999999</v>
      </c>
      <c r="AI1390" s="3">
        <f t="shared" si="308"/>
        <v>14.856999999999999</v>
      </c>
      <c r="AJ1390" t="s">
        <v>26</v>
      </c>
      <c r="AK1390" t="str">
        <f>PROPER(Table1[[#This Row],[CVD Risk Level]])</f>
        <v>Intermediary</v>
      </c>
    </row>
    <row r="1391" spans="1:37" x14ac:dyDescent="0.3">
      <c r="A1391" t="s">
        <v>31</v>
      </c>
      <c r="B1391">
        <v>60</v>
      </c>
      <c r="C1391" s="8">
        <f t="shared" si="297"/>
        <v>60</v>
      </c>
      <c r="D1391" s="5">
        <v>67.97</v>
      </c>
      <c r="E1391" s="8">
        <f t="shared" si="298"/>
        <v>67.97</v>
      </c>
      <c r="F1391">
        <v>1.841</v>
      </c>
      <c r="G1391" s="3">
        <f t="shared" si="299"/>
        <v>1.841</v>
      </c>
      <c r="H1391">
        <v>34.814999999999998</v>
      </c>
      <c r="I1391" s="5">
        <f t="shared" si="295"/>
        <v>34.814999999999998</v>
      </c>
      <c r="J1391" s="16" t="str">
        <f t="shared" si="300"/>
        <v>Obese</v>
      </c>
      <c r="K1391">
        <v>112.65900000000001</v>
      </c>
      <c r="L1391">
        <v>0.61199999999999999</v>
      </c>
      <c r="M1391" s="11">
        <f t="shared" si="296"/>
        <v>0.61199999999999999</v>
      </c>
      <c r="N1391" s="5">
        <f t="shared" si="301"/>
        <v>112.65900000000001</v>
      </c>
      <c r="O1391">
        <v>262</v>
      </c>
      <c r="P1391">
        <v>80</v>
      </c>
      <c r="Q1391" s="8">
        <f t="shared" si="302"/>
        <v>80</v>
      </c>
      <c r="R1391" s="8">
        <v>152</v>
      </c>
      <c r="S1391" s="8">
        <f t="shared" si="303"/>
        <v>152</v>
      </c>
      <c r="T1391" s="8">
        <f>(Table1[[#This Row],[Total Cholesterol (mg/dL)]]+Table1[[#This Row],[HDL (mg/dL)2]]+Table1[[#This Row],[Estimated LDL (mg/dL)2]])*5</f>
        <v>2470</v>
      </c>
      <c r="U1391" s="8">
        <f>IF(O1391="",Table1[[#This Row],[Estimated LDL (mg/dL)2]]+Table1[[#This Row],[HDL (mg/dL)2]]+(Table1[[#This Row],[Triglycerides]]/5),O1391)</f>
        <v>262</v>
      </c>
      <c r="V1391">
        <v>198</v>
      </c>
      <c r="W1391" s="8">
        <f t="shared" si="304"/>
        <v>198</v>
      </c>
      <c r="X1391" t="str">
        <f t="shared" si="305"/>
        <v>Diabetes</v>
      </c>
      <c r="Y1391" t="s">
        <v>22</v>
      </c>
      <c r="Z1391" t="s">
        <v>23</v>
      </c>
      <c r="AA1391" t="s">
        <v>24</v>
      </c>
      <c r="AB1391" s="3" t="s">
        <v>1185</v>
      </c>
      <c r="AD1391" s="3" t="str">
        <f t="shared" si="306"/>
        <v>153</v>
      </c>
      <c r="AE1391">
        <v>103</v>
      </c>
      <c r="AF1391" s="3" t="str">
        <f t="shared" si="307"/>
        <v>103</v>
      </c>
      <c r="AG1391" t="s">
        <v>38</v>
      </c>
      <c r="AH1391" s="3">
        <v>21.853000000000002</v>
      </c>
      <c r="AI1391" s="3">
        <f t="shared" si="308"/>
        <v>21.853000000000002</v>
      </c>
      <c r="AJ1391" t="s">
        <v>30</v>
      </c>
      <c r="AK1391" t="str">
        <f>PROPER(Table1[[#This Row],[CVD Risk Level]])</f>
        <v>High</v>
      </c>
    </row>
    <row r="1392" spans="1:37" x14ac:dyDescent="0.3">
      <c r="A1392" t="s">
        <v>20</v>
      </c>
      <c r="B1392">
        <v>25</v>
      </c>
      <c r="C1392" s="8">
        <f t="shared" si="297"/>
        <v>25</v>
      </c>
      <c r="D1392" s="5">
        <v>65.816000000000003</v>
      </c>
      <c r="E1392" s="8">
        <f t="shared" si="298"/>
        <v>65.816000000000003</v>
      </c>
      <c r="F1392">
        <v>1.8939999999999999</v>
      </c>
      <c r="G1392" s="3">
        <f t="shared" si="299"/>
        <v>1.8939999999999999</v>
      </c>
      <c r="H1392">
        <v>24.122</v>
      </c>
      <c r="I1392" s="5">
        <f t="shared" si="295"/>
        <v>24.122</v>
      </c>
      <c r="J1392" s="16" t="str">
        <f t="shared" si="300"/>
        <v>Normal</v>
      </c>
      <c r="K1392">
        <v>112.145</v>
      </c>
      <c r="M1392" s="11">
        <f t="shared" si="296"/>
        <v>0.59210665258711725</v>
      </c>
      <c r="N1392" s="5">
        <f t="shared" si="301"/>
        <v>112.145</v>
      </c>
      <c r="O1392">
        <v>245</v>
      </c>
      <c r="P1392">
        <v>55</v>
      </c>
      <c r="Q1392" s="8">
        <f t="shared" si="302"/>
        <v>55</v>
      </c>
      <c r="R1392" s="8">
        <v>160</v>
      </c>
      <c r="S1392" s="8">
        <f t="shared" si="303"/>
        <v>160</v>
      </c>
      <c r="T1392" s="8">
        <f>(Table1[[#This Row],[Total Cholesterol (mg/dL)]]+Table1[[#This Row],[HDL (mg/dL)2]]+Table1[[#This Row],[Estimated LDL (mg/dL)2]])*5</f>
        <v>2300</v>
      </c>
      <c r="U1392" s="8">
        <f>IF(O1392="",Table1[[#This Row],[Estimated LDL (mg/dL)2]]+Table1[[#This Row],[HDL (mg/dL)2]]+(Table1[[#This Row],[Triglycerides]]/5),O1392)</f>
        <v>245</v>
      </c>
      <c r="V1392">
        <v>88</v>
      </c>
      <c r="W1392" s="8">
        <f t="shared" si="304"/>
        <v>88</v>
      </c>
      <c r="X1392" t="str">
        <f t="shared" si="305"/>
        <v>Normal</v>
      </c>
      <c r="Y1392" t="s">
        <v>23</v>
      </c>
      <c r="Z1392" t="s">
        <v>22</v>
      </c>
      <c r="AA1392" t="s">
        <v>24</v>
      </c>
      <c r="AB1392" s="3" t="s">
        <v>71</v>
      </c>
      <c r="AC1392">
        <v>144</v>
      </c>
      <c r="AD1392" s="3" t="str">
        <f t="shared" si="306"/>
        <v>144</v>
      </c>
      <c r="AE1392">
        <v>73</v>
      </c>
      <c r="AF1392" s="3" t="str">
        <f t="shared" si="307"/>
        <v>73</v>
      </c>
      <c r="AG1392" t="s">
        <v>38</v>
      </c>
      <c r="AH1392" s="3">
        <v>16.923999999999999</v>
      </c>
      <c r="AI1392" s="3">
        <f t="shared" si="308"/>
        <v>16.923999999999999</v>
      </c>
      <c r="AJ1392" t="s">
        <v>52</v>
      </c>
      <c r="AK1392" t="str">
        <f>PROPER(Table1[[#This Row],[CVD Risk Level]])</f>
        <v>Low</v>
      </c>
    </row>
    <row r="1393" spans="1:37" x14ac:dyDescent="0.3">
      <c r="A1393" t="s">
        <v>20</v>
      </c>
      <c r="B1393">
        <v>36</v>
      </c>
      <c r="C1393" s="8">
        <f t="shared" si="297"/>
        <v>36</v>
      </c>
      <c r="E1393" s="8">
        <f t="shared" si="298"/>
        <v>85.825916801999981</v>
      </c>
      <c r="F1393">
        <v>1.7969999999999999</v>
      </c>
      <c r="G1393" s="3">
        <f t="shared" si="299"/>
        <v>1.7969999999999999</v>
      </c>
      <c r="H1393">
        <v>26.577999999999999</v>
      </c>
      <c r="I1393" s="5">
        <f t="shared" si="295"/>
        <v>26.577999999999999</v>
      </c>
      <c r="J1393" s="16" t="str">
        <f t="shared" si="300"/>
        <v>Overweight</v>
      </c>
      <c r="K1393">
        <v>104.59</v>
      </c>
      <c r="L1393">
        <v>0.58199999999999996</v>
      </c>
      <c r="M1393" s="11">
        <f t="shared" si="296"/>
        <v>0.58199999999999996</v>
      </c>
      <c r="N1393" s="5">
        <f t="shared" si="301"/>
        <v>104.59</v>
      </c>
      <c r="O1393">
        <v>145</v>
      </c>
      <c r="P1393">
        <v>51</v>
      </c>
      <c r="Q1393" s="8">
        <f t="shared" si="302"/>
        <v>51</v>
      </c>
      <c r="R1393" s="8">
        <v>64</v>
      </c>
      <c r="S1393" s="8">
        <f t="shared" si="303"/>
        <v>64</v>
      </c>
      <c r="T1393" s="8">
        <f>(Table1[[#This Row],[Total Cholesterol (mg/dL)]]+Table1[[#This Row],[HDL (mg/dL)2]]+Table1[[#This Row],[Estimated LDL (mg/dL)2]])*5</f>
        <v>1300</v>
      </c>
      <c r="U1393" s="8">
        <f>IF(O1393="",Table1[[#This Row],[Estimated LDL (mg/dL)2]]+Table1[[#This Row],[HDL (mg/dL)2]]+(Table1[[#This Row],[Triglycerides]]/5),O1393)</f>
        <v>145</v>
      </c>
      <c r="V1393">
        <v>89</v>
      </c>
      <c r="W1393" s="8">
        <f t="shared" si="304"/>
        <v>89</v>
      </c>
      <c r="X1393" t="str">
        <f t="shared" si="305"/>
        <v>Normal</v>
      </c>
      <c r="Y1393" t="s">
        <v>23</v>
      </c>
      <c r="Z1393" t="s">
        <v>22</v>
      </c>
      <c r="AA1393" t="s">
        <v>37</v>
      </c>
      <c r="AB1393" s="3" t="s">
        <v>1186</v>
      </c>
      <c r="AC1393">
        <v>116</v>
      </c>
      <c r="AD1393" s="3" t="str">
        <f t="shared" si="306"/>
        <v>116</v>
      </c>
      <c r="AE1393">
        <v>68</v>
      </c>
      <c r="AF1393" s="3" t="str">
        <f t="shared" si="307"/>
        <v>68</v>
      </c>
      <c r="AG1393" t="s">
        <v>33</v>
      </c>
      <c r="AH1393" s="3">
        <v>14.016</v>
      </c>
      <c r="AI1393" s="3">
        <f t="shared" si="308"/>
        <v>14.016</v>
      </c>
      <c r="AJ1393" t="s">
        <v>52</v>
      </c>
      <c r="AK1393" t="str">
        <f>PROPER(Table1[[#This Row],[CVD Risk Level]])</f>
        <v>Low</v>
      </c>
    </row>
    <row r="1394" spans="1:37" x14ac:dyDescent="0.3">
      <c r="A1394" t="s">
        <v>20</v>
      </c>
      <c r="B1394">
        <v>26</v>
      </c>
      <c r="C1394" s="8">
        <f t="shared" si="297"/>
        <v>26</v>
      </c>
      <c r="D1394" s="5">
        <v>57.25</v>
      </c>
      <c r="E1394" s="8">
        <f t="shared" si="298"/>
        <v>57.25</v>
      </c>
      <c r="F1394">
        <v>1.859</v>
      </c>
      <c r="G1394" s="3">
        <f t="shared" si="299"/>
        <v>1.859</v>
      </c>
      <c r="H1394">
        <v>29.971</v>
      </c>
      <c r="I1394" s="5">
        <f t="shared" si="295"/>
        <v>29.971</v>
      </c>
      <c r="J1394" s="16" t="str">
        <f t="shared" si="300"/>
        <v>Overweight</v>
      </c>
      <c r="K1394">
        <v>81.215000000000003</v>
      </c>
      <c r="L1394">
        <v>0.437</v>
      </c>
      <c r="M1394" s="11">
        <f t="shared" si="296"/>
        <v>0.437</v>
      </c>
      <c r="N1394" s="5">
        <f t="shared" si="301"/>
        <v>81.215000000000003</v>
      </c>
      <c r="O1394">
        <v>147</v>
      </c>
      <c r="Q1394" s="8">
        <f t="shared" si="302"/>
        <v>56.197377501725327</v>
      </c>
      <c r="R1394" s="8">
        <v>60</v>
      </c>
      <c r="S1394" s="8">
        <f>IF(R1394&lt;=0,MEDIAN($R$2:$R$1530),R1394)</f>
        <v>60</v>
      </c>
      <c r="T1394" s="8">
        <f>(Table1[[#This Row],[Total Cholesterol (mg/dL)]]+Table1[[#This Row],[HDL (mg/dL)2]]+Table1[[#This Row],[Estimated LDL (mg/dL)2]])*5</f>
        <v>1315.9868875086268</v>
      </c>
      <c r="U1394" s="8">
        <f>IF(O1394="",Table1[[#This Row],[Estimated LDL (mg/dL)2]]+Table1[[#This Row],[HDL (mg/dL)2]]+(Table1[[#This Row],[Triglycerides]]/5),O1394)</f>
        <v>147</v>
      </c>
      <c r="W1394" s="8">
        <f t="shared" si="304"/>
        <v>117.48563611491107</v>
      </c>
      <c r="X1394" t="str">
        <f t="shared" si="305"/>
        <v>Prediabetes</v>
      </c>
      <c r="Y1394" t="s">
        <v>23</v>
      </c>
      <c r="Z1394" t="s">
        <v>23</v>
      </c>
      <c r="AA1394" t="s">
        <v>28</v>
      </c>
      <c r="AB1394" s="3" t="s">
        <v>347</v>
      </c>
      <c r="AC1394">
        <v>111</v>
      </c>
      <c r="AD1394" s="3" t="str">
        <f t="shared" si="306"/>
        <v>111</v>
      </c>
      <c r="AE1394">
        <v>76</v>
      </c>
      <c r="AF1394" s="3" t="str">
        <f t="shared" si="307"/>
        <v>76</v>
      </c>
      <c r="AG1394" t="s">
        <v>33</v>
      </c>
      <c r="AH1394" s="3">
        <v>16.484000000000002</v>
      </c>
      <c r="AI1394" s="3">
        <f t="shared" si="308"/>
        <v>16.484000000000002</v>
      </c>
      <c r="AJ1394" t="s">
        <v>30</v>
      </c>
      <c r="AK1394" t="str">
        <f>PROPER(Table1[[#This Row],[CVD Risk Level]])</f>
        <v>High</v>
      </c>
    </row>
    <row r="1395" spans="1:37" x14ac:dyDescent="0.3">
      <c r="A1395" t="s">
        <v>31</v>
      </c>
      <c r="B1395">
        <v>78</v>
      </c>
      <c r="C1395" s="8">
        <f t="shared" si="297"/>
        <v>78</v>
      </c>
      <c r="D1395" s="5">
        <v>118.83</v>
      </c>
      <c r="E1395" s="8">
        <f t="shared" si="298"/>
        <v>118.83</v>
      </c>
      <c r="F1395">
        <v>1.827</v>
      </c>
      <c r="G1395" s="3">
        <f t="shared" si="299"/>
        <v>1.827</v>
      </c>
      <c r="H1395">
        <v>34.781999999999996</v>
      </c>
      <c r="I1395" s="5">
        <f t="shared" si="295"/>
        <v>34.781999999999996</v>
      </c>
      <c r="J1395" s="16" t="str">
        <f t="shared" si="300"/>
        <v>Obese</v>
      </c>
      <c r="K1395">
        <v>113.748</v>
      </c>
      <c r="L1395">
        <v>0.623</v>
      </c>
      <c r="M1395" s="11">
        <f t="shared" si="296"/>
        <v>0.623</v>
      </c>
      <c r="N1395" s="5">
        <f t="shared" si="301"/>
        <v>113.748</v>
      </c>
      <c r="O1395">
        <v>217</v>
      </c>
      <c r="P1395">
        <v>65</v>
      </c>
      <c r="Q1395" s="8">
        <f t="shared" si="302"/>
        <v>65</v>
      </c>
      <c r="R1395" s="8">
        <v>122</v>
      </c>
      <c r="S1395" s="8">
        <f t="shared" si="303"/>
        <v>122</v>
      </c>
      <c r="T1395" s="8">
        <f>(Table1[[#This Row],[Total Cholesterol (mg/dL)]]+Table1[[#This Row],[HDL (mg/dL)2]]+Table1[[#This Row],[Estimated LDL (mg/dL)2]])*5</f>
        <v>2020</v>
      </c>
      <c r="U1395" s="8">
        <f>IF(O1395="",Table1[[#This Row],[Estimated LDL (mg/dL)2]]+Table1[[#This Row],[HDL (mg/dL)2]]+(Table1[[#This Row],[Triglycerides]]/5),O1395)</f>
        <v>217</v>
      </c>
      <c r="W1395" s="8">
        <f t="shared" si="304"/>
        <v>117.48563611491107</v>
      </c>
      <c r="X1395" t="str">
        <f t="shared" si="305"/>
        <v>Prediabetes</v>
      </c>
      <c r="Y1395" t="s">
        <v>22</v>
      </c>
      <c r="Z1395" t="s">
        <v>22</v>
      </c>
      <c r="AA1395" t="s">
        <v>37</v>
      </c>
      <c r="AB1395" s="3" t="s">
        <v>1187</v>
      </c>
      <c r="AC1395">
        <v>160</v>
      </c>
      <c r="AD1395" s="3" t="str">
        <f t="shared" si="306"/>
        <v>160</v>
      </c>
      <c r="AE1395">
        <v>82</v>
      </c>
      <c r="AF1395" s="3" t="str">
        <f t="shared" si="307"/>
        <v>82</v>
      </c>
      <c r="AG1395" t="s">
        <v>29</v>
      </c>
      <c r="AH1395" s="3">
        <v>19.295999999999999</v>
      </c>
      <c r="AI1395" s="3">
        <f t="shared" si="308"/>
        <v>19.295999999999999</v>
      </c>
      <c r="AJ1395" t="s">
        <v>26</v>
      </c>
      <c r="AK1395" t="str">
        <f>PROPER(Table1[[#This Row],[CVD Risk Level]])</f>
        <v>Intermediary</v>
      </c>
    </row>
    <row r="1396" spans="1:37" x14ac:dyDescent="0.3">
      <c r="A1396" t="s">
        <v>20</v>
      </c>
      <c r="B1396">
        <v>41</v>
      </c>
      <c r="C1396" s="8">
        <f t="shared" si="297"/>
        <v>41</v>
      </c>
      <c r="D1396" s="5">
        <v>108.949</v>
      </c>
      <c r="E1396" s="8">
        <f t="shared" si="298"/>
        <v>108.949</v>
      </c>
      <c r="F1396">
        <v>1.5169999999999999</v>
      </c>
      <c r="G1396" s="3">
        <f t="shared" si="299"/>
        <v>1.5169999999999999</v>
      </c>
      <c r="H1396">
        <v>30.24</v>
      </c>
      <c r="I1396" s="5">
        <f t="shared" si="295"/>
        <v>30.24</v>
      </c>
      <c r="J1396" s="16" t="str">
        <f t="shared" si="300"/>
        <v>Obese</v>
      </c>
      <c r="K1396">
        <v>101.419</v>
      </c>
      <c r="L1396">
        <v>0.66900000000000004</v>
      </c>
      <c r="M1396" s="11">
        <f t="shared" si="296"/>
        <v>0.66900000000000004</v>
      </c>
      <c r="N1396" s="5">
        <f t="shared" si="301"/>
        <v>101.419</v>
      </c>
      <c r="O1396">
        <v>220</v>
      </c>
      <c r="P1396">
        <v>38</v>
      </c>
      <c r="Q1396" s="8">
        <f t="shared" si="302"/>
        <v>38</v>
      </c>
      <c r="S1396" s="8">
        <f t="shared" si="303"/>
        <v>109</v>
      </c>
      <c r="T1396" s="8">
        <f>(Table1[[#This Row],[Total Cholesterol (mg/dL)]]+Table1[[#This Row],[HDL (mg/dL)2]]+Table1[[#This Row],[Estimated LDL (mg/dL)2]])*5</f>
        <v>1835</v>
      </c>
      <c r="U1396" s="8">
        <f>IF(O1396="",Table1[[#This Row],[Estimated LDL (mg/dL)2]]+Table1[[#This Row],[HDL (mg/dL)2]]+(Table1[[#This Row],[Triglycerides]]/5),O1396)</f>
        <v>220</v>
      </c>
      <c r="V1396">
        <v>120</v>
      </c>
      <c r="W1396" s="8">
        <f t="shared" si="304"/>
        <v>120</v>
      </c>
      <c r="X1396" t="str">
        <f t="shared" si="305"/>
        <v>Prediabetes</v>
      </c>
      <c r="Y1396" t="s">
        <v>23</v>
      </c>
      <c r="Z1396" t="s">
        <v>22</v>
      </c>
      <c r="AA1396" t="s">
        <v>28</v>
      </c>
      <c r="AB1396" s="3" t="s">
        <v>317</v>
      </c>
      <c r="AC1396">
        <v>129</v>
      </c>
      <c r="AD1396" s="3" t="str">
        <f t="shared" si="306"/>
        <v>129</v>
      </c>
      <c r="AE1396">
        <v>63</v>
      </c>
      <c r="AF1396" s="3" t="str">
        <f t="shared" si="307"/>
        <v>63</v>
      </c>
      <c r="AG1396" t="s">
        <v>25</v>
      </c>
      <c r="AH1396" s="3">
        <v>16.898</v>
      </c>
      <c r="AI1396" s="3">
        <f t="shared" si="308"/>
        <v>16.898</v>
      </c>
      <c r="AJ1396" t="s">
        <v>26</v>
      </c>
      <c r="AK1396" t="str">
        <f>PROPER(Table1[[#This Row],[CVD Risk Level]])</f>
        <v>Intermediary</v>
      </c>
    </row>
    <row r="1397" spans="1:37" x14ac:dyDescent="0.3">
      <c r="A1397" t="s">
        <v>31</v>
      </c>
      <c r="B1397">
        <v>60</v>
      </c>
      <c r="C1397" s="8">
        <f t="shared" si="297"/>
        <v>60</v>
      </c>
      <c r="D1397" s="5">
        <v>102.474</v>
      </c>
      <c r="E1397" s="8">
        <f t="shared" si="298"/>
        <v>102.474</v>
      </c>
      <c r="F1397">
        <v>1.94</v>
      </c>
      <c r="G1397" s="3">
        <f t="shared" si="299"/>
        <v>1.94</v>
      </c>
      <c r="H1397">
        <v>26.036000000000001</v>
      </c>
      <c r="I1397" s="5">
        <f t="shared" si="295"/>
        <v>26.036000000000001</v>
      </c>
      <c r="J1397" s="16" t="str">
        <f t="shared" si="300"/>
        <v>Overweight</v>
      </c>
      <c r="K1397">
        <v>76.486999999999995</v>
      </c>
      <c r="L1397">
        <v>0.39400000000000002</v>
      </c>
      <c r="M1397" s="11">
        <f t="shared" si="296"/>
        <v>0.39400000000000002</v>
      </c>
      <c r="N1397" s="5">
        <f t="shared" si="301"/>
        <v>76.486999999999995</v>
      </c>
      <c r="O1397">
        <v>148</v>
      </c>
      <c r="P1397">
        <v>48</v>
      </c>
      <c r="Q1397" s="8">
        <f t="shared" si="302"/>
        <v>48</v>
      </c>
      <c r="R1397" s="8">
        <v>70</v>
      </c>
      <c r="S1397" s="8">
        <f t="shared" si="303"/>
        <v>70</v>
      </c>
      <c r="T1397" s="8">
        <f>(Table1[[#This Row],[Total Cholesterol (mg/dL)]]+Table1[[#This Row],[HDL (mg/dL)2]]+Table1[[#This Row],[Estimated LDL (mg/dL)2]])*5</f>
        <v>1330</v>
      </c>
      <c r="U1397" s="8">
        <f>IF(O1397="",Table1[[#This Row],[Estimated LDL (mg/dL)2]]+Table1[[#This Row],[HDL (mg/dL)2]]+(Table1[[#This Row],[Triglycerides]]/5),O1397)</f>
        <v>148</v>
      </c>
      <c r="W1397" s="8">
        <f t="shared" si="304"/>
        <v>117.48563611491107</v>
      </c>
      <c r="X1397" t="str">
        <f t="shared" si="305"/>
        <v>Prediabetes</v>
      </c>
      <c r="Y1397" t="s">
        <v>23</v>
      </c>
      <c r="Z1397" t="s">
        <v>22</v>
      </c>
      <c r="AA1397" t="s">
        <v>37</v>
      </c>
      <c r="AB1397" s="3" t="s">
        <v>1188</v>
      </c>
      <c r="AC1397">
        <v>162</v>
      </c>
      <c r="AD1397" s="3" t="str">
        <f t="shared" si="306"/>
        <v>162</v>
      </c>
      <c r="AE1397">
        <v>110</v>
      </c>
      <c r="AF1397" s="3" t="str">
        <f t="shared" si="307"/>
        <v>110</v>
      </c>
      <c r="AG1397" t="s">
        <v>38</v>
      </c>
      <c r="AH1397" s="3">
        <v>16.266999999999999</v>
      </c>
      <c r="AI1397" s="3">
        <f t="shared" si="308"/>
        <v>16.266999999999999</v>
      </c>
      <c r="AJ1397" t="s">
        <v>26</v>
      </c>
      <c r="AK1397" t="str">
        <f>PROPER(Table1[[#This Row],[CVD Risk Level]])</f>
        <v>Intermediary</v>
      </c>
    </row>
    <row r="1398" spans="1:37" x14ac:dyDescent="0.3">
      <c r="A1398" t="s">
        <v>31</v>
      </c>
      <c r="B1398">
        <v>52</v>
      </c>
      <c r="C1398" s="8">
        <f t="shared" si="297"/>
        <v>52</v>
      </c>
      <c r="D1398" s="5">
        <v>102.224</v>
      </c>
      <c r="E1398" s="8">
        <f t="shared" si="298"/>
        <v>102.224</v>
      </c>
      <c r="F1398">
        <v>1.81</v>
      </c>
      <c r="G1398" s="3">
        <f t="shared" si="299"/>
        <v>1.81</v>
      </c>
      <c r="H1398">
        <v>27.765999999999998</v>
      </c>
      <c r="I1398" s="5">
        <f t="shared" si="295"/>
        <v>27.765999999999998</v>
      </c>
      <c r="J1398" s="16" t="str">
        <f t="shared" si="300"/>
        <v>Overweight</v>
      </c>
      <c r="K1398">
        <v>83.057000000000002</v>
      </c>
      <c r="L1398">
        <v>0.45900000000000002</v>
      </c>
      <c r="M1398" s="11">
        <f t="shared" si="296"/>
        <v>0.45900000000000002</v>
      </c>
      <c r="N1398" s="5">
        <f t="shared" si="301"/>
        <v>83.057000000000002</v>
      </c>
      <c r="O1398">
        <v>286</v>
      </c>
      <c r="P1398">
        <v>72</v>
      </c>
      <c r="Q1398" s="8">
        <f t="shared" si="302"/>
        <v>72</v>
      </c>
      <c r="R1398" s="8">
        <v>184</v>
      </c>
      <c r="S1398" s="8">
        <f>IF(R1398&lt;=0,MEDIAN($R$2:$R$1530),R1398)</f>
        <v>184</v>
      </c>
      <c r="T1398" s="8">
        <f>(Table1[[#This Row],[Total Cholesterol (mg/dL)]]+Table1[[#This Row],[HDL (mg/dL)2]]+Table1[[#This Row],[Estimated LDL (mg/dL)2]])*5</f>
        <v>2710</v>
      </c>
      <c r="U1398" s="8">
        <f>IF(O1398="",Table1[[#This Row],[Estimated LDL (mg/dL)2]]+Table1[[#This Row],[HDL (mg/dL)2]]+(Table1[[#This Row],[Triglycerides]]/5),O1398)</f>
        <v>286</v>
      </c>
      <c r="V1398">
        <v>150</v>
      </c>
      <c r="W1398" s="8">
        <f t="shared" si="304"/>
        <v>150</v>
      </c>
      <c r="X1398" t="str">
        <f t="shared" si="305"/>
        <v>Diabetes</v>
      </c>
      <c r="Y1398" t="s">
        <v>22</v>
      </c>
      <c r="Z1398" t="s">
        <v>23</v>
      </c>
      <c r="AA1398" t="s">
        <v>24</v>
      </c>
      <c r="AB1398" s="3" t="s">
        <v>1189</v>
      </c>
      <c r="AC1398">
        <v>97</v>
      </c>
      <c r="AD1398" s="3" t="str">
        <f t="shared" si="306"/>
        <v>97</v>
      </c>
      <c r="AE1398">
        <v>92</v>
      </c>
      <c r="AF1398" s="3" t="str">
        <f t="shared" si="307"/>
        <v>92</v>
      </c>
      <c r="AG1398" t="s">
        <v>38</v>
      </c>
      <c r="AH1398" s="3">
        <v>18.123000000000001</v>
      </c>
      <c r="AI1398" s="3">
        <f t="shared" si="308"/>
        <v>18.123000000000001</v>
      </c>
      <c r="AJ1398" t="s">
        <v>52</v>
      </c>
      <c r="AK1398" t="str">
        <f>PROPER(Table1[[#This Row],[CVD Risk Level]])</f>
        <v>Low</v>
      </c>
    </row>
    <row r="1399" spans="1:37" x14ac:dyDescent="0.3">
      <c r="A1399" t="s">
        <v>31</v>
      </c>
      <c r="B1399">
        <v>38</v>
      </c>
      <c r="C1399" s="8">
        <f t="shared" si="297"/>
        <v>38</v>
      </c>
      <c r="D1399" s="5">
        <v>116.742</v>
      </c>
      <c r="E1399" s="8">
        <f t="shared" si="298"/>
        <v>116.742</v>
      </c>
      <c r="F1399">
        <v>1.6970000000000001</v>
      </c>
      <c r="G1399" s="3">
        <f t="shared" si="299"/>
        <v>1.6970000000000001</v>
      </c>
      <c r="H1399">
        <v>34.604999999999997</v>
      </c>
      <c r="I1399" s="5">
        <f t="shared" si="295"/>
        <v>34.604999999999997</v>
      </c>
      <c r="J1399" s="16" t="str">
        <f t="shared" si="300"/>
        <v>Obese</v>
      </c>
      <c r="K1399">
        <v>118.754</v>
      </c>
      <c r="M1399" s="11">
        <f t="shared" si="296"/>
        <v>0.69978786093105472</v>
      </c>
      <c r="N1399" s="5">
        <f t="shared" si="301"/>
        <v>118.754</v>
      </c>
      <c r="O1399">
        <v>279</v>
      </c>
      <c r="P1399">
        <v>56</v>
      </c>
      <c r="Q1399" s="8">
        <f t="shared" si="302"/>
        <v>56</v>
      </c>
      <c r="R1399" s="8">
        <v>193</v>
      </c>
      <c r="S1399" s="8">
        <f t="shared" si="303"/>
        <v>193</v>
      </c>
      <c r="T1399" s="8">
        <f>(Table1[[#This Row],[Total Cholesterol (mg/dL)]]+Table1[[#This Row],[HDL (mg/dL)2]]+Table1[[#This Row],[Estimated LDL (mg/dL)2]])*5</f>
        <v>2640</v>
      </c>
      <c r="U1399" s="8">
        <f>IF(O1399="",Table1[[#This Row],[Estimated LDL (mg/dL)2]]+Table1[[#This Row],[HDL (mg/dL)2]]+(Table1[[#This Row],[Triglycerides]]/5),O1399)</f>
        <v>279</v>
      </c>
      <c r="W1399" s="8">
        <f t="shared" si="304"/>
        <v>117.48563611491107</v>
      </c>
      <c r="X1399" t="str">
        <f t="shared" si="305"/>
        <v>Prediabetes</v>
      </c>
      <c r="Y1399" t="s">
        <v>23</v>
      </c>
      <c r="Z1399" t="s">
        <v>23</v>
      </c>
      <c r="AA1399" t="s">
        <v>37</v>
      </c>
      <c r="AB1399" s="3" t="s">
        <v>1190</v>
      </c>
      <c r="AC1399">
        <v>177</v>
      </c>
      <c r="AD1399" s="3" t="str">
        <f t="shared" si="306"/>
        <v>177</v>
      </c>
      <c r="AE1399">
        <v>76</v>
      </c>
      <c r="AF1399" s="3" t="str">
        <f t="shared" si="307"/>
        <v>76</v>
      </c>
      <c r="AG1399" t="s">
        <v>38</v>
      </c>
      <c r="AH1399" s="3">
        <v>23.350999999999999</v>
      </c>
      <c r="AI1399" s="3">
        <f t="shared" si="308"/>
        <v>23.350999999999999</v>
      </c>
      <c r="AJ1399" t="s">
        <v>30</v>
      </c>
      <c r="AK1399" t="str">
        <f>PROPER(Table1[[#This Row],[CVD Risk Level]])</f>
        <v>High</v>
      </c>
    </row>
    <row r="1400" spans="1:37" x14ac:dyDescent="0.3">
      <c r="A1400" t="s">
        <v>20</v>
      </c>
      <c r="B1400">
        <v>27</v>
      </c>
      <c r="C1400" s="8">
        <f t="shared" si="297"/>
        <v>27</v>
      </c>
      <c r="D1400" s="5">
        <v>69.138999999999996</v>
      </c>
      <c r="E1400" s="8">
        <f t="shared" si="298"/>
        <v>69.138999999999996</v>
      </c>
      <c r="F1400">
        <v>1.734</v>
      </c>
      <c r="G1400" s="3">
        <f t="shared" si="299"/>
        <v>1.734</v>
      </c>
      <c r="H1400">
        <v>21.824999999999999</v>
      </c>
      <c r="I1400" s="5">
        <f t="shared" si="295"/>
        <v>21.824999999999999</v>
      </c>
      <c r="J1400" s="16" t="str">
        <f t="shared" si="300"/>
        <v>Normal</v>
      </c>
      <c r="K1400">
        <v>95.866</v>
      </c>
      <c r="L1400">
        <v>0.55300000000000005</v>
      </c>
      <c r="M1400" s="11">
        <f t="shared" si="296"/>
        <v>0.55300000000000005</v>
      </c>
      <c r="N1400" s="5">
        <f t="shared" si="301"/>
        <v>95.866</v>
      </c>
      <c r="O1400">
        <v>176</v>
      </c>
      <c r="P1400">
        <v>84</v>
      </c>
      <c r="Q1400" s="8">
        <f t="shared" si="302"/>
        <v>84</v>
      </c>
      <c r="R1400" s="8">
        <v>62</v>
      </c>
      <c r="S1400" s="8">
        <f t="shared" si="303"/>
        <v>62</v>
      </c>
      <c r="T1400" s="8">
        <f>(Table1[[#This Row],[Total Cholesterol (mg/dL)]]+Table1[[#This Row],[HDL (mg/dL)2]]+Table1[[#This Row],[Estimated LDL (mg/dL)2]])*5</f>
        <v>1610</v>
      </c>
      <c r="U1400" s="8">
        <f>IF(O1400="",Table1[[#This Row],[Estimated LDL (mg/dL)2]]+Table1[[#This Row],[HDL (mg/dL)2]]+(Table1[[#This Row],[Triglycerides]]/5),O1400)</f>
        <v>176</v>
      </c>
      <c r="V1400">
        <v>87</v>
      </c>
      <c r="W1400" s="8">
        <f t="shared" si="304"/>
        <v>87</v>
      </c>
      <c r="X1400" t="str">
        <f t="shared" si="305"/>
        <v>Normal</v>
      </c>
      <c r="Y1400" t="s">
        <v>22</v>
      </c>
      <c r="Z1400" t="s">
        <v>23</v>
      </c>
      <c r="AA1400" t="s">
        <v>37</v>
      </c>
      <c r="AB1400" s="3" t="s">
        <v>1191</v>
      </c>
      <c r="AC1400">
        <v>139</v>
      </c>
      <c r="AD1400" s="3" t="str">
        <f t="shared" si="306"/>
        <v>139</v>
      </c>
      <c r="AE1400">
        <v>113</v>
      </c>
      <c r="AF1400" s="3" t="str">
        <f t="shared" si="307"/>
        <v>113</v>
      </c>
      <c r="AG1400" t="s">
        <v>29</v>
      </c>
      <c r="AH1400" s="3">
        <v>16.835000000000001</v>
      </c>
      <c r="AI1400" s="3">
        <f t="shared" si="308"/>
        <v>16.835000000000001</v>
      </c>
      <c r="AJ1400" t="s">
        <v>30</v>
      </c>
      <c r="AK1400" t="str">
        <f>PROPER(Table1[[#This Row],[CVD Risk Level]])</f>
        <v>High</v>
      </c>
    </row>
    <row r="1401" spans="1:37" x14ac:dyDescent="0.3">
      <c r="A1401" t="s">
        <v>20</v>
      </c>
      <c r="B1401">
        <v>40</v>
      </c>
      <c r="C1401" s="8">
        <f t="shared" si="297"/>
        <v>40</v>
      </c>
      <c r="D1401" s="5">
        <v>99.555000000000007</v>
      </c>
      <c r="E1401" s="8">
        <f t="shared" si="298"/>
        <v>99.555000000000007</v>
      </c>
      <c r="F1401">
        <v>1.5740000000000001</v>
      </c>
      <c r="G1401" s="3">
        <f t="shared" si="299"/>
        <v>1.5740000000000001</v>
      </c>
      <c r="H1401">
        <v>39.323</v>
      </c>
      <c r="I1401" s="5">
        <f t="shared" si="295"/>
        <v>39.323</v>
      </c>
      <c r="J1401" s="16" t="str">
        <f t="shared" si="300"/>
        <v>Obese</v>
      </c>
      <c r="K1401">
        <v>88.724999999999994</v>
      </c>
      <c r="L1401">
        <v>0.56399999999999995</v>
      </c>
      <c r="M1401" s="11">
        <f t="shared" si="296"/>
        <v>0.56399999999999995</v>
      </c>
      <c r="N1401" s="5">
        <f t="shared" si="301"/>
        <v>88.724999999999994</v>
      </c>
      <c r="O1401">
        <v>268</v>
      </c>
      <c r="P1401">
        <v>48</v>
      </c>
      <c r="Q1401" s="8">
        <f t="shared" si="302"/>
        <v>48</v>
      </c>
      <c r="R1401" s="8">
        <v>190</v>
      </c>
      <c r="S1401" s="8">
        <f t="shared" si="303"/>
        <v>190</v>
      </c>
      <c r="T1401" s="8">
        <f>(Table1[[#This Row],[Total Cholesterol (mg/dL)]]+Table1[[#This Row],[HDL (mg/dL)2]]+Table1[[#This Row],[Estimated LDL (mg/dL)2]])*5</f>
        <v>2530</v>
      </c>
      <c r="U1401" s="8">
        <f>IF(O1401="",Table1[[#This Row],[Estimated LDL (mg/dL)2]]+Table1[[#This Row],[HDL (mg/dL)2]]+(Table1[[#This Row],[Triglycerides]]/5),O1401)</f>
        <v>268</v>
      </c>
      <c r="V1401">
        <v>115</v>
      </c>
      <c r="W1401" s="8">
        <f t="shared" si="304"/>
        <v>115</v>
      </c>
      <c r="X1401" t="str">
        <f t="shared" si="305"/>
        <v>Prediabetes</v>
      </c>
      <c r="Y1401" t="s">
        <v>22</v>
      </c>
      <c r="Z1401" t="s">
        <v>23</v>
      </c>
      <c r="AA1401" t="s">
        <v>24</v>
      </c>
      <c r="AB1401" s="3" t="s">
        <v>1192</v>
      </c>
      <c r="AC1401">
        <v>115</v>
      </c>
      <c r="AD1401" s="3" t="str">
        <f t="shared" si="306"/>
        <v>115</v>
      </c>
      <c r="AE1401">
        <v>114</v>
      </c>
      <c r="AF1401" s="3" t="str">
        <f t="shared" si="307"/>
        <v>114</v>
      </c>
      <c r="AG1401" t="s">
        <v>38</v>
      </c>
      <c r="AH1401" s="3">
        <v>20.975000000000001</v>
      </c>
      <c r="AI1401" s="3">
        <f t="shared" si="308"/>
        <v>20.975000000000001</v>
      </c>
      <c r="AJ1401" t="s">
        <v>52</v>
      </c>
      <c r="AK1401" t="str">
        <f>PROPER(Table1[[#This Row],[CVD Risk Level]])</f>
        <v>Low</v>
      </c>
    </row>
    <row r="1402" spans="1:37" x14ac:dyDescent="0.3">
      <c r="A1402" t="s">
        <v>31</v>
      </c>
      <c r="C1402" s="8">
        <f t="shared" si="297"/>
        <v>47.025499655410059</v>
      </c>
      <c r="D1402" s="5">
        <v>75.358000000000004</v>
      </c>
      <c r="E1402" s="8">
        <f t="shared" si="298"/>
        <v>75.358000000000004</v>
      </c>
      <c r="F1402">
        <v>1.9039999999999999</v>
      </c>
      <c r="G1402" s="3">
        <f t="shared" si="299"/>
        <v>1.9039999999999999</v>
      </c>
      <c r="H1402">
        <v>32.084000000000003</v>
      </c>
      <c r="I1402" s="5">
        <f t="shared" si="295"/>
        <v>32.084000000000003</v>
      </c>
      <c r="J1402" s="16" t="str">
        <f t="shared" si="300"/>
        <v>Obese</v>
      </c>
      <c r="K1402">
        <v>91.513000000000005</v>
      </c>
      <c r="L1402">
        <v>0.48099999999999998</v>
      </c>
      <c r="M1402" s="11">
        <f t="shared" si="296"/>
        <v>0.48099999999999998</v>
      </c>
      <c r="N1402" s="5">
        <f t="shared" si="301"/>
        <v>91.513000000000005</v>
      </c>
      <c r="O1402">
        <v>234</v>
      </c>
      <c r="P1402">
        <v>84</v>
      </c>
      <c r="Q1402" s="8">
        <f t="shared" si="302"/>
        <v>84</v>
      </c>
      <c r="R1402" s="8">
        <v>120</v>
      </c>
      <c r="S1402" s="8">
        <f t="shared" si="303"/>
        <v>120</v>
      </c>
      <c r="T1402" s="8">
        <f>(Table1[[#This Row],[Total Cholesterol (mg/dL)]]+Table1[[#This Row],[HDL (mg/dL)2]]+Table1[[#This Row],[Estimated LDL (mg/dL)2]])*5</f>
        <v>2190</v>
      </c>
      <c r="U1402" s="8">
        <f>IF(O1402="",Table1[[#This Row],[Estimated LDL (mg/dL)2]]+Table1[[#This Row],[HDL (mg/dL)2]]+(Table1[[#This Row],[Triglycerides]]/5),O1402)</f>
        <v>234</v>
      </c>
      <c r="V1402">
        <v>141</v>
      </c>
      <c r="W1402" s="8">
        <f t="shared" si="304"/>
        <v>141</v>
      </c>
      <c r="X1402" t="str">
        <f t="shared" si="305"/>
        <v>Diabetes</v>
      </c>
      <c r="Y1402" t="s">
        <v>23</v>
      </c>
      <c r="Z1402" t="s">
        <v>22</v>
      </c>
      <c r="AA1402" t="s">
        <v>37</v>
      </c>
      <c r="AB1402" s="3" t="s">
        <v>1193</v>
      </c>
      <c r="AC1402">
        <v>145</v>
      </c>
      <c r="AD1402" s="3" t="str">
        <f t="shared" si="306"/>
        <v>145</v>
      </c>
      <c r="AE1402">
        <v>68</v>
      </c>
      <c r="AF1402" s="3" t="str">
        <f t="shared" si="307"/>
        <v>68</v>
      </c>
      <c r="AG1402" t="s">
        <v>38</v>
      </c>
      <c r="AH1402" s="3">
        <v>18.347000000000001</v>
      </c>
      <c r="AI1402" s="3">
        <f t="shared" si="308"/>
        <v>18.347000000000001</v>
      </c>
      <c r="AJ1402" t="s">
        <v>26</v>
      </c>
      <c r="AK1402" t="str">
        <f>PROPER(Table1[[#This Row],[CVD Risk Level]])</f>
        <v>Intermediary</v>
      </c>
    </row>
    <row r="1403" spans="1:37" x14ac:dyDescent="0.3">
      <c r="A1403" t="s">
        <v>31</v>
      </c>
      <c r="B1403">
        <v>68</v>
      </c>
      <c r="C1403" s="8">
        <f t="shared" si="297"/>
        <v>68</v>
      </c>
      <c r="D1403" s="5">
        <v>107.491</v>
      </c>
      <c r="E1403" s="8">
        <f t="shared" si="298"/>
        <v>107.491</v>
      </c>
      <c r="F1403">
        <v>1.976</v>
      </c>
      <c r="G1403" s="3">
        <f t="shared" si="299"/>
        <v>1.976</v>
      </c>
      <c r="H1403">
        <v>29.614000000000001</v>
      </c>
      <c r="I1403" s="5">
        <f t="shared" si="295"/>
        <v>29.614000000000001</v>
      </c>
      <c r="J1403" s="16" t="str">
        <f t="shared" si="300"/>
        <v>Overweight</v>
      </c>
      <c r="K1403">
        <v>93.15</v>
      </c>
      <c r="L1403">
        <v>0.47099999999999997</v>
      </c>
      <c r="M1403" s="11">
        <f t="shared" si="296"/>
        <v>0.47099999999999997</v>
      </c>
      <c r="N1403" s="5">
        <f t="shared" si="301"/>
        <v>93.15</v>
      </c>
      <c r="O1403">
        <v>206</v>
      </c>
      <c r="P1403">
        <v>86</v>
      </c>
      <c r="Q1403" s="8">
        <f t="shared" si="302"/>
        <v>86</v>
      </c>
      <c r="R1403" s="8">
        <v>90</v>
      </c>
      <c r="S1403" s="8">
        <f t="shared" si="303"/>
        <v>90</v>
      </c>
      <c r="T1403" s="8">
        <f>(Table1[[#This Row],[Total Cholesterol (mg/dL)]]+Table1[[#This Row],[HDL (mg/dL)2]]+Table1[[#This Row],[Estimated LDL (mg/dL)2]])*5</f>
        <v>1910</v>
      </c>
      <c r="U1403" s="8">
        <f>IF(O1403="",Table1[[#This Row],[Estimated LDL (mg/dL)2]]+Table1[[#This Row],[HDL (mg/dL)2]]+(Table1[[#This Row],[Triglycerides]]/5),O1403)</f>
        <v>206</v>
      </c>
      <c r="V1403">
        <v>165</v>
      </c>
      <c r="W1403" s="8">
        <f t="shared" si="304"/>
        <v>165</v>
      </c>
      <c r="X1403" t="str">
        <f t="shared" si="305"/>
        <v>Diabetes</v>
      </c>
      <c r="Y1403" t="s">
        <v>23</v>
      </c>
      <c r="Z1403" t="s">
        <v>22</v>
      </c>
      <c r="AA1403" t="s">
        <v>24</v>
      </c>
      <c r="AB1403" s="3" t="s">
        <v>1194</v>
      </c>
      <c r="AC1403">
        <v>136</v>
      </c>
      <c r="AD1403" s="3" t="str">
        <f t="shared" si="306"/>
        <v>136</v>
      </c>
      <c r="AE1403">
        <v>115</v>
      </c>
      <c r="AF1403" s="3" t="str">
        <f t="shared" si="307"/>
        <v>115</v>
      </c>
      <c r="AG1403" t="s">
        <v>29</v>
      </c>
      <c r="AH1403" s="3">
        <v>16.843</v>
      </c>
      <c r="AI1403" s="3">
        <f t="shared" si="308"/>
        <v>16.843</v>
      </c>
      <c r="AJ1403" t="s">
        <v>52</v>
      </c>
      <c r="AK1403" t="str">
        <f>PROPER(Table1[[#This Row],[CVD Risk Level]])</f>
        <v>Low</v>
      </c>
    </row>
    <row r="1404" spans="1:37" x14ac:dyDescent="0.3">
      <c r="A1404" t="s">
        <v>20</v>
      </c>
      <c r="B1404">
        <v>30</v>
      </c>
      <c r="C1404" s="8">
        <f t="shared" si="297"/>
        <v>30</v>
      </c>
      <c r="D1404" s="5">
        <v>71.926000000000002</v>
      </c>
      <c r="E1404" s="8">
        <f t="shared" si="298"/>
        <v>71.926000000000002</v>
      </c>
      <c r="F1404">
        <v>1.831</v>
      </c>
      <c r="G1404" s="3">
        <f t="shared" si="299"/>
        <v>1.831</v>
      </c>
      <c r="H1404">
        <v>38.911999999999999</v>
      </c>
      <c r="I1404" s="5">
        <f t="shared" si="295"/>
        <v>38.911999999999999</v>
      </c>
      <c r="J1404" s="16" t="str">
        <f t="shared" si="300"/>
        <v>Obese</v>
      </c>
      <c r="K1404">
        <v>88.626999999999995</v>
      </c>
      <c r="L1404">
        <v>0.48399999999999999</v>
      </c>
      <c r="M1404" s="11">
        <f t="shared" si="296"/>
        <v>0.48399999999999999</v>
      </c>
      <c r="N1404" s="5">
        <f t="shared" si="301"/>
        <v>88.626999999999995</v>
      </c>
      <c r="O1404">
        <v>218</v>
      </c>
      <c r="P1404">
        <v>64</v>
      </c>
      <c r="Q1404" s="8">
        <f t="shared" si="302"/>
        <v>64</v>
      </c>
      <c r="R1404" s="8">
        <v>124</v>
      </c>
      <c r="S1404" s="8">
        <f t="shared" si="303"/>
        <v>124</v>
      </c>
      <c r="T1404" s="8">
        <f>(Table1[[#This Row],[Total Cholesterol (mg/dL)]]+Table1[[#This Row],[HDL (mg/dL)2]]+Table1[[#This Row],[Estimated LDL (mg/dL)2]])*5</f>
        <v>2030</v>
      </c>
      <c r="U1404" s="8">
        <f>IF(O1404="",Table1[[#This Row],[Estimated LDL (mg/dL)2]]+Table1[[#This Row],[HDL (mg/dL)2]]+(Table1[[#This Row],[Triglycerides]]/5),O1404)</f>
        <v>218</v>
      </c>
      <c r="V1404">
        <v>83</v>
      </c>
      <c r="W1404" s="8">
        <f t="shared" si="304"/>
        <v>83</v>
      </c>
      <c r="X1404" t="str">
        <f t="shared" si="305"/>
        <v>Normal</v>
      </c>
      <c r="Y1404" t="s">
        <v>23</v>
      </c>
      <c r="Z1404" t="s">
        <v>23</v>
      </c>
      <c r="AA1404" t="s">
        <v>28</v>
      </c>
      <c r="AB1404" s="3" t="s">
        <v>1195</v>
      </c>
      <c r="AC1404">
        <v>134</v>
      </c>
      <c r="AD1404" s="3" t="str">
        <f t="shared" si="306"/>
        <v>134</v>
      </c>
      <c r="AE1404">
        <v>98</v>
      </c>
      <c r="AF1404" s="3" t="str">
        <f t="shared" si="307"/>
        <v>98</v>
      </c>
      <c r="AG1404" t="s">
        <v>29</v>
      </c>
      <c r="AH1404" s="3">
        <v>20.841999999999999</v>
      </c>
      <c r="AI1404" s="3">
        <f t="shared" si="308"/>
        <v>20.841999999999999</v>
      </c>
      <c r="AJ1404" t="s">
        <v>26</v>
      </c>
      <c r="AK1404" t="str">
        <f>PROPER(Table1[[#This Row],[CVD Risk Level]])</f>
        <v>Intermediary</v>
      </c>
    </row>
    <row r="1405" spans="1:37" x14ac:dyDescent="0.3">
      <c r="A1405" t="s">
        <v>20</v>
      </c>
      <c r="B1405">
        <v>59</v>
      </c>
      <c r="C1405" s="8">
        <f t="shared" si="297"/>
        <v>59</v>
      </c>
      <c r="D1405" s="5">
        <v>59.642000000000003</v>
      </c>
      <c r="E1405" s="8">
        <f t="shared" si="298"/>
        <v>59.642000000000003</v>
      </c>
      <c r="F1405">
        <v>1.6539999999999999</v>
      </c>
      <c r="G1405" s="3">
        <f t="shared" si="299"/>
        <v>1.6539999999999999</v>
      </c>
      <c r="I1405" s="5">
        <f t="shared" si="295"/>
        <v>21.801239602356389</v>
      </c>
      <c r="J1405" s="16" t="str">
        <f t="shared" si="300"/>
        <v>Normal</v>
      </c>
      <c r="K1405">
        <v>89.134</v>
      </c>
      <c r="L1405">
        <v>0.53900000000000003</v>
      </c>
      <c r="M1405" s="11">
        <f t="shared" si="296"/>
        <v>0.53900000000000003</v>
      </c>
      <c r="N1405" s="5">
        <f t="shared" si="301"/>
        <v>89.134</v>
      </c>
      <c r="O1405">
        <v>191</v>
      </c>
      <c r="P1405">
        <v>35</v>
      </c>
      <c r="Q1405" s="8">
        <f t="shared" si="302"/>
        <v>35</v>
      </c>
      <c r="R1405" s="8">
        <v>126</v>
      </c>
      <c r="S1405" s="8">
        <f t="shared" si="303"/>
        <v>126</v>
      </c>
      <c r="T1405" s="8">
        <f>(Table1[[#This Row],[Total Cholesterol (mg/dL)]]+Table1[[#This Row],[HDL (mg/dL)2]]+Table1[[#This Row],[Estimated LDL (mg/dL)2]])*5</f>
        <v>1760</v>
      </c>
      <c r="U1405" s="8">
        <f>IF(O1405="",Table1[[#This Row],[Estimated LDL (mg/dL)2]]+Table1[[#This Row],[HDL (mg/dL)2]]+(Table1[[#This Row],[Triglycerides]]/5),O1405)</f>
        <v>191</v>
      </c>
      <c r="V1405">
        <v>112</v>
      </c>
      <c r="W1405" s="8">
        <f t="shared" si="304"/>
        <v>112</v>
      </c>
      <c r="X1405" t="str">
        <f t="shared" si="305"/>
        <v>Prediabetes</v>
      </c>
      <c r="Y1405" t="s">
        <v>22</v>
      </c>
      <c r="Z1405" t="s">
        <v>23</v>
      </c>
      <c r="AA1405" t="s">
        <v>24</v>
      </c>
      <c r="AB1405" s="3" t="s">
        <v>1196</v>
      </c>
      <c r="AC1405">
        <v>110</v>
      </c>
      <c r="AD1405" s="3" t="str">
        <f t="shared" si="306"/>
        <v>110</v>
      </c>
      <c r="AE1405">
        <v>116</v>
      </c>
      <c r="AF1405" s="3" t="str">
        <f t="shared" si="307"/>
        <v>116</v>
      </c>
      <c r="AG1405" t="s">
        <v>38</v>
      </c>
      <c r="AH1405" s="3">
        <v>17.045999999999999</v>
      </c>
      <c r="AI1405" s="3">
        <f t="shared" si="308"/>
        <v>17.045999999999999</v>
      </c>
      <c r="AJ1405" t="s">
        <v>30</v>
      </c>
      <c r="AK1405" t="str">
        <f>PROPER(Table1[[#This Row],[CVD Risk Level]])</f>
        <v>High</v>
      </c>
    </row>
    <row r="1406" spans="1:37" x14ac:dyDescent="0.3">
      <c r="A1406" t="s">
        <v>31</v>
      </c>
      <c r="B1406">
        <v>40</v>
      </c>
      <c r="C1406" s="8">
        <f t="shared" si="297"/>
        <v>40</v>
      </c>
      <c r="D1406" s="5">
        <v>71.555999999999997</v>
      </c>
      <c r="E1406" s="8">
        <f t="shared" si="298"/>
        <v>71.555999999999997</v>
      </c>
      <c r="F1406">
        <v>1.7050000000000001</v>
      </c>
      <c r="G1406" s="3">
        <f t="shared" si="299"/>
        <v>1.7050000000000001</v>
      </c>
      <c r="H1406">
        <v>38.381</v>
      </c>
      <c r="I1406" s="5">
        <f t="shared" si="295"/>
        <v>38.381</v>
      </c>
      <c r="J1406" s="16" t="str">
        <f t="shared" si="300"/>
        <v>Obese</v>
      </c>
      <c r="K1406">
        <v>73.153999999999996</v>
      </c>
      <c r="L1406">
        <v>0.42899999999999999</v>
      </c>
      <c r="M1406" s="11">
        <f t="shared" si="296"/>
        <v>0.42899999999999999</v>
      </c>
      <c r="N1406" s="5">
        <f t="shared" si="301"/>
        <v>73.153999999999996</v>
      </c>
      <c r="O1406">
        <v>246</v>
      </c>
      <c r="P1406">
        <v>56</v>
      </c>
      <c r="Q1406" s="8">
        <f t="shared" si="302"/>
        <v>56</v>
      </c>
      <c r="R1406" s="8">
        <v>160</v>
      </c>
      <c r="S1406" s="8">
        <f t="shared" si="303"/>
        <v>160</v>
      </c>
      <c r="T1406" s="8">
        <f>(Table1[[#This Row],[Total Cholesterol (mg/dL)]]+Table1[[#This Row],[HDL (mg/dL)2]]+Table1[[#This Row],[Estimated LDL (mg/dL)2]])*5</f>
        <v>2310</v>
      </c>
      <c r="U1406" s="8">
        <f>IF(O1406="",Table1[[#This Row],[Estimated LDL (mg/dL)2]]+Table1[[#This Row],[HDL (mg/dL)2]]+(Table1[[#This Row],[Triglycerides]]/5),O1406)</f>
        <v>246</v>
      </c>
      <c r="V1406">
        <v>88</v>
      </c>
      <c r="W1406" s="8">
        <f t="shared" si="304"/>
        <v>88</v>
      </c>
      <c r="X1406" t="str">
        <f t="shared" si="305"/>
        <v>Normal</v>
      </c>
      <c r="Y1406" t="s">
        <v>22</v>
      </c>
      <c r="Z1406" t="s">
        <v>22</v>
      </c>
      <c r="AA1406" t="s">
        <v>24</v>
      </c>
      <c r="AB1406" s="3" t="s">
        <v>1197</v>
      </c>
      <c r="AC1406">
        <v>125</v>
      </c>
      <c r="AD1406" s="3" t="str">
        <f t="shared" si="306"/>
        <v>125</v>
      </c>
      <c r="AE1406">
        <v>112</v>
      </c>
      <c r="AF1406" s="3" t="str">
        <f t="shared" si="307"/>
        <v>112</v>
      </c>
      <c r="AG1406" t="s">
        <v>38</v>
      </c>
      <c r="AH1406" s="3">
        <v>18.846</v>
      </c>
      <c r="AI1406" s="3">
        <f t="shared" si="308"/>
        <v>18.846</v>
      </c>
      <c r="AJ1406" t="s">
        <v>26</v>
      </c>
      <c r="AK1406" t="str">
        <f>PROPER(Table1[[#This Row],[CVD Risk Level]])</f>
        <v>Intermediary</v>
      </c>
    </row>
    <row r="1407" spans="1:37" x14ac:dyDescent="0.3">
      <c r="A1407" t="s">
        <v>31</v>
      </c>
      <c r="B1407">
        <v>55</v>
      </c>
      <c r="C1407" s="8">
        <f t="shared" si="297"/>
        <v>55</v>
      </c>
      <c r="D1407" s="5">
        <v>88.834000000000003</v>
      </c>
      <c r="E1407" s="8">
        <f t="shared" si="298"/>
        <v>88.834000000000003</v>
      </c>
      <c r="F1407">
        <v>1.665</v>
      </c>
      <c r="G1407" s="3">
        <f t="shared" si="299"/>
        <v>1.665</v>
      </c>
      <c r="H1407">
        <v>27.856000000000002</v>
      </c>
      <c r="I1407" s="5">
        <f t="shared" si="295"/>
        <v>27.856000000000002</v>
      </c>
      <c r="J1407" s="16" t="str">
        <f t="shared" si="300"/>
        <v>Overweight</v>
      </c>
      <c r="K1407">
        <v>91.37</v>
      </c>
      <c r="M1407" s="11">
        <f t="shared" si="296"/>
        <v>0.54876876876876879</v>
      </c>
      <c r="N1407" s="5">
        <f t="shared" si="301"/>
        <v>91.37</v>
      </c>
      <c r="O1407">
        <v>106</v>
      </c>
      <c r="Q1407" s="8">
        <f t="shared" si="302"/>
        <v>56.197377501725327</v>
      </c>
      <c r="R1407" s="8">
        <v>39</v>
      </c>
      <c r="S1407" s="8">
        <f>IF(R1407&lt;=0,MEDIAN($R$2:$R$1530),R1407)</f>
        <v>39</v>
      </c>
      <c r="T1407" s="8">
        <f>(Table1[[#This Row],[Total Cholesterol (mg/dL)]]+Table1[[#This Row],[HDL (mg/dL)2]]+Table1[[#This Row],[Estimated LDL (mg/dL)2]])*5</f>
        <v>1005.9868875086266</v>
      </c>
      <c r="U1407" s="8">
        <f>IF(O1407="",Table1[[#This Row],[Estimated LDL (mg/dL)2]]+Table1[[#This Row],[HDL (mg/dL)2]]+(Table1[[#This Row],[Triglycerides]]/5),O1407)</f>
        <v>106</v>
      </c>
      <c r="V1407">
        <v>87</v>
      </c>
      <c r="W1407" s="8">
        <f t="shared" si="304"/>
        <v>87</v>
      </c>
      <c r="X1407" t="str">
        <f t="shared" si="305"/>
        <v>Normal</v>
      </c>
      <c r="Y1407" t="s">
        <v>23</v>
      </c>
      <c r="Z1407" t="s">
        <v>22</v>
      </c>
      <c r="AA1407" t="s">
        <v>24</v>
      </c>
      <c r="AB1407" s="3" t="s">
        <v>1198</v>
      </c>
      <c r="AC1407">
        <v>120</v>
      </c>
      <c r="AD1407" s="3" t="str">
        <f t="shared" si="306"/>
        <v>120</v>
      </c>
      <c r="AE1407">
        <v>75</v>
      </c>
      <c r="AF1407" s="3" t="str">
        <f t="shared" si="307"/>
        <v>75</v>
      </c>
      <c r="AG1407" t="s">
        <v>25</v>
      </c>
      <c r="AH1407" s="3">
        <v>13.691000000000001</v>
      </c>
      <c r="AI1407" s="3">
        <f t="shared" si="308"/>
        <v>13.691000000000001</v>
      </c>
      <c r="AJ1407" t="s">
        <v>26</v>
      </c>
      <c r="AK1407" t="str">
        <f>PROPER(Table1[[#This Row],[CVD Risk Level]])</f>
        <v>Intermediary</v>
      </c>
    </row>
    <row r="1408" spans="1:37" x14ac:dyDescent="0.3">
      <c r="A1408" t="s">
        <v>31</v>
      </c>
      <c r="C1408" s="8">
        <f t="shared" si="297"/>
        <v>47.025499655410059</v>
      </c>
      <c r="D1408" s="5">
        <v>74.671000000000006</v>
      </c>
      <c r="E1408" s="8">
        <f t="shared" si="298"/>
        <v>74.671000000000006</v>
      </c>
      <c r="F1408">
        <v>1.982</v>
      </c>
      <c r="G1408" s="3">
        <f t="shared" si="299"/>
        <v>1.982</v>
      </c>
      <c r="H1408">
        <v>26.564</v>
      </c>
      <c r="I1408" s="5">
        <f t="shared" si="295"/>
        <v>26.564</v>
      </c>
      <c r="J1408" s="16" t="str">
        <f t="shared" si="300"/>
        <v>Overweight</v>
      </c>
      <c r="K1408">
        <v>102.538</v>
      </c>
      <c r="L1408">
        <v>0.51700000000000002</v>
      </c>
      <c r="M1408" s="11">
        <f t="shared" si="296"/>
        <v>0.51700000000000002</v>
      </c>
      <c r="N1408" s="5">
        <f t="shared" si="301"/>
        <v>102.538</v>
      </c>
      <c r="O1408">
        <v>160</v>
      </c>
      <c r="P1408">
        <v>88</v>
      </c>
      <c r="Q1408" s="8">
        <f t="shared" si="302"/>
        <v>88</v>
      </c>
      <c r="R1408" s="8">
        <v>42</v>
      </c>
      <c r="S1408" s="8">
        <f t="shared" si="303"/>
        <v>42</v>
      </c>
      <c r="T1408" s="8">
        <f>(Table1[[#This Row],[Total Cholesterol (mg/dL)]]+Table1[[#This Row],[HDL (mg/dL)2]]+Table1[[#This Row],[Estimated LDL (mg/dL)2]])*5</f>
        <v>1450</v>
      </c>
      <c r="U1408" s="8">
        <f>IF(O1408="",Table1[[#This Row],[Estimated LDL (mg/dL)2]]+Table1[[#This Row],[HDL (mg/dL)2]]+(Table1[[#This Row],[Triglycerides]]/5),O1408)</f>
        <v>160</v>
      </c>
      <c r="V1408">
        <v>126</v>
      </c>
      <c r="W1408" s="8">
        <f t="shared" si="304"/>
        <v>126</v>
      </c>
      <c r="X1408" t="str">
        <f t="shared" si="305"/>
        <v>Diabetes</v>
      </c>
      <c r="Y1408" t="s">
        <v>22</v>
      </c>
      <c r="Z1408" t="s">
        <v>22</v>
      </c>
      <c r="AA1408" t="s">
        <v>28</v>
      </c>
      <c r="AB1408" s="3" t="s">
        <v>491</v>
      </c>
      <c r="AC1408">
        <v>135</v>
      </c>
      <c r="AD1408" s="3" t="str">
        <f t="shared" si="306"/>
        <v>135</v>
      </c>
      <c r="AE1408">
        <v>87</v>
      </c>
      <c r="AF1408" s="3" t="str">
        <f t="shared" si="307"/>
        <v>87</v>
      </c>
      <c r="AG1408" t="s">
        <v>29</v>
      </c>
      <c r="AH1408" s="3">
        <v>15.263</v>
      </c>
      <c r="AI1408" s="3">
        <f t="shared" si="308"/>
        <v>15.263</v>
      </c>
      <c r="AJ1408" t="s">
        <v>52</v>
      </c>
      <c r="AK1408" t="str">
        <f>PROPER(Table1[[#This Row],[CVD Risk Level]])</f>
        <v>Low</v>
      </c>
    </row>
    <row r="1409" spans="1:37" x14ac:dyDescent="0.3">
      <c r="A1409" t="s">
        <v>20</v>
      </c>
      <c r="B1409">
        <v>67</v>
      </c>
      <c r="C1409" s="8">
        <f t="shared" si="297"/>
        <v>67</v>
      </c>
      <c r="D1409" s="5">
        <v>99.519000000000005</v>
      </c>
      <c r="E1409" s="8">
        <f t="shared" si="298"/>
        <v>99.519000000000005</v>
      </c>
      <c r="F1409">
        <v>1.609</v>
      </c>
      <c r="G1409" s="3">
        <f t="shared" si="299"/>
        <v>1.609</v>
      </c>
      <c r="H1409">
        <v>22.722000000000001</v>
      </c>
      <c r="I1409" s="5">
        <f t="shared" si="295"/>
        <v>22.722000000000001</v>
      </c>
      <c r="J1409" s="16" t="str">
        <f t="shared" si="300"/>
        <v>Normal</v>
      </c>
      <c r="K1409">
        <v>111.179</v>
      </c>
      <c r="L1409">
        <v>0.69099999999999995</v>
      </c>
      <c r="M1409" s="11">
        <f t="shared" si="296"/>
        <v>0.69099999999999995</v>
      </c>
      <c r="N1409" s="5">
        <f t="shared" si="301"/>
        <v>111.179</v>
      </c>
      <c r="O1409">
        <v>235</v>
      </c>
      <c r="P1409">
        <v>54</v>
      </c>
      <c r="Q1409" s="8">
        <f t="shared" si="302"/>
        <v>54</v>
      </c>
      <c r="R1409" s="8">
        <v>151</v>
      </c>
      <c r="S1409" s="8">
        <f t="shared" si="303"/>
        <v>151</v>
      </c>
      <c r="T1409" s="8">
        <f>(Table1[[#This Row],[Total Cholesterol (mg/dL)]]+Table1[[#This Row],[HDL (mg/dL)2]]+Table1[[#This Row],[Estimated LDL (mg/dL)2]])*5</f>
        <v>2200</v>
      </c>
      <c r="U1409" s="8">
        <f>IF(O1409="",Table1[[#This Row],[Estimated LDL (mg/dL)2]]+Table1[[#This Row],[HDL (mg/dL)2]]+(Table1[[#This Row],[Triglycerides]]/5),O1409)</f>
        <v>235</v>
      </c>
      <c r="V1409">
        <v>85</v>
      </c>
      <c r="W1409" s="8">
        <f t="shared" si="304"/>
        <v>85</v>
      </c>
      <c r="X1409" t="str">
        <f t="shared" si="305"/>
        <v>Normal</v>
      </c>
      <c r="Y1409" t="s">
        <v>23</v>
      </c>
      <c r="Z1409" t="s">
        <v>22</v>
      </c>
      <c r="AA1409" t="s">
        <v>24</v>
      </c>
      <c r="AB1409" s="3" t="s">
        <v>1199</v>
      </c>
      <c r="AC1409">
        <v>178</v>
      </c>
      <c r="AD1409" s="3" t="str">
        <f t="shared" si="306"/>
        <v>178</v>
      </c>
      <c r="AE1409">
        <v>100</v>
      </c>
      <c r="AF1409" s="3" t="str">
        <f t="shared" si="307"/>
        <v>100</v>
      </c>
      <c r="AG1409" t="s">
        <v>38</v>
      </c>
      <c r="AH1409" s="3">
        <v>18.143999999999998</v>
      </c>
      <c r="AI1409" s="3">
        <f t="shared" si="308"/>
        <v>18.143999999999998</v>
      </c>
      <c r="AJ1409" t="s">
        <v>52</v>
      </c>
      <c r="AK1409" t="str">
        <f>PROPER(Table1[[#This Row],[CVD Risk Level]])</f>
        <v>Low</v>
      </c>
    </row>
    <row r="1410" spans="1:37" x14ac:dyDescent="0.3">
      <c r="A1410" t="s">
        <v>20</v>
      </c>
      <c r="B1410">
        <v>67</v>
      </c>
      <c r="C1410" s="8">
        <f t="shared" si="297"/>
        <v>67</v>
      </c>
      <c r="D1410" s="5">
        <v>70.894999999999996</v>
      </c>
      <c r="E1410" s="8">
        <f t="shared" si="298"/>
        <v>70.894999999999996</v>
      </c>
      <c r="F1410">
        <v>1.6759999999999999</v>
      </c>
      <c r="G1410" s="3">
        <f t="shared" si="299"/>
        <v>1.6759999999999999</v>
      </c>
      <c r="H1410">
        <v>28.332000000000001</v>
      </c>
      <c r="I1410" s="5">
        <f t="shared" ref="I1410:I1473" si="309" xml:space="preserve"> IF(H1410="",E1410 / (G1410^2),H1410)</f>
        <v>28.332000000000001</v>
      </c>
      <c r="J1410" s="16" t="str">
        <f t="shared" si="300"/>
        <v>Overweight</v>
      </c>
      <c r="K1410">
        <v>114.88500000000001</v>
      </c>
      <c r="L1410">
        <v>0.68500000000000005</v>
      </c>
      <c r="M1410" s="11">
        <f t="shared" ref="M1410:M1473" si="310">IF(L1410="",K1410/(G1410*100),L1410)</f>
        <v>0.68500000000000005</v>
      </c>
      <c r="N1410" s="5">
        <f t="shared" si="301"/>
        <v>114.88500000000001</v>
      </c>
      <c r="O1410">
        <v>165</v>
      </c>
      <c r="P1410">
        <v>88</v>
      </c>
      <c r="Q1410" s="8">
        <f t="shared" si="302"/>
        <v>88</v>
      </c>
      <c r="R1410" s="8">
        <v>47</v>
      </c>
      <c r="S1410" s="8">
        <f t="shared" si="303"/>
        <v>47</v>
      </c>
      <c r="T1410" s="8">
        <f>(Table1[[#This Row],[Total Cholesterol (mg/dL)]]+Table1[[#This Row],[HDL (mg/dL)2]]+Table1[[#This Row],[Estimated LDL (mg/dL)2]])*5</f>
        <v>1500</v>
      </c>
      <c r="U1410" s="8">
        <f>IF(O1410="",Table1[[#This Row],[Estimated LDL (mg/dL)2]]+Table1[[#This Row],[HDL (mg/dL)2]]+(Table1[[#This Row],[Triglycerides]]/5),O1410)</f>
        <v>165</v>
      </c>
      <c r="V1410">
        <v>198</v>
      </c>
      <c r="W1410" s="8">
        <f t="shared" si="304"/>
        <v>198</v>
      </c>
      <c r="X1410" t="str">
        <f t="shared" si="305"/>
        <v>Diabetes</v>
      </c>
      <c r="Y1410" t="s">
        <v>22</v>
      </c>
      <c r="Z1410" t="s">
        <v>22</v>
      </c>
      <c r="AA1410" t="s">
        <v>37</v>
      </c>
      <c r="AB1410" s="3" t="s">
        <v>1200</v>
      </c>
      <c r="AC1410">
        <v>176</v>
      </c>
      <c r="AD1410" s="3" t="str">
        <f t="shared" si="306"/>
        <v>176</v>
      </c>
      <c r="AE1410">
        <v>103</v>
      </c>
      <c r="AF1410" s="3" t="str">
        <f t="shared" si="307"/>
        <v>103</v>
      </c>
      <c r="AG1410" t="s">
        <v>38</v>
      </c>
      <c r="AH1410" s="3">
        <v>17.765999999999998</v>
      </c>
      <c r="AI1410" s="3">
        <f t="shared" si="308"/>
        <v>17.765999999999998</v>
      </c>
      <c r="AJ1410" t="s">
        <v>30</v>
      </c>
      <c r="AK1410" t="str">
        <f>PROPER(Table1[[#This Row],[CVD Risk Level]])</f>
        <v>High</v>
      </c>
    </row>
    <row r="1411" spans="1:37" x14ac:dyDescent="0.3">
      <c r="A1411" t="s">
        <v>20</v>
      </c>
      <c r="C1411" s="8">
        <f t="shared" ref="C1411:C1474" si="311">IF(B1411="",AVERAGE($B$2:$B$1530),B1411)</f>
        <v>47.025499655410059</v>
      </c>
      <c r="D1411" s="5">
        <v>92.667000000000002</v>
      </c>
      <c r="E1411" s="8">
        <f t="shared" ref="E1411:E1474" si="312">IF(D1411="", H1411*(F1411^2),D1411)</f>
        <v>92.667000000000002</v>
      </c>
      <c r="F1411">
        <v>1.7210000000000001</v>
      </c>
      <c r="G1411" s="3">
        <f t="shared" ref="G1411:G1474" si="313">IF(F1411="", SQRT(E1411 / H1411),F1411)</f>
        <v>1.7210000000000001</v>
      </c>
      <c r="H1411">
        <v>24.405000000000001</v>
      </c>
      <c r="I1411" s="5">
        <f t="shared" si="309"/>
        <v>24.405000000000001</v>
      </c>
      <c r="J1411" s="16" t="str">
        <f t="shared" ref="J1411:J1474" si="314">IF(I1411&lt;18.5,"Underweight",IF(I1411&lt;25,"Normal",IF(I1411&lt;30,"Overweight","Obese")))</f>
        <v>Normal</v>
      </c>
      <c r="K1411">
        <v>95.191999999999993</v>
      </c>
      <c r="L1411">
        <v>0.55300000000000005</v>
      </c>
      <c r="M1411" s="11">
        <f t="shared" si="310"/>
        <v>0.55300000000000005</v>
      </c>
      <c r="N1411" s="5">
        <f t="shared" ref="N1411:N1474" si="315">IF(K1411="",M1411*(G1411*100),K1411)</f>
        <v>95.191999999999993</v>
      </c>
      <c r="O1411">
        <v>133</v>
      </c>
      <c r="P1411">
        <v>84</v>
      </c>
      <c r="Q1411" s="8">
        <f t="shared" ref="Q1411:Q1474" si="316">IF(P1411="",AVERAGE($P$2:$P$1530),P1411)</f>
        <v>84</v>
      </c>
      <c r="R1411" s="8">
        <v>19</v>
      </c>
      <c r="S1411" s="8">
        <f t="shared" ref="S1411:S1474" si="317">IF(R1411&lt;=0,MEDIAN($R$2:$R$1530),R1411)</f>
        <v>19</v>
      </c>
      <c r="T1411" s="8">
        <f>(Table1[[#This Row],[Total Cholesterol (mg/dL)]]+Table1[[#This Row],[HDL (mg/dL)2]]+Table1[[#This Row],[Estimated LDL (mg/dL)2]])*5</f>
        <v>1180</v>
      </c>
      <c r="U1411" s="8">
        <f>IF(O1411="",Table1[[#This Row],[Estimated LDL (mg/dL)2]]+Table1[[#This Row],[HDL (mg/dL)2]]+(Table1[[#This Row],[Triglycerides]]/5),O1411)</f>
        <v>133</v>
      </c>
      <c r="V1411">
        <v>111</v>
      </c>
      <c r="W1411" s="8">
        <f t="shared" ref="W1411:W1474" si="318">IF(V1411="",AVERAGE($V$2:$V$1530),V1411)</f>
        <v>111</v>
      </c>
      <c r="X1411" t="str">
        <f t="shared" ref="X1411:X1474" si="319">IF(W1411&lt;100,"Normal",IF(W1411&lt;126,"Prediabetes","Diabetes"))</f>
        <v>Prediabetes</v>
      </c>
      <c r="Y1411" t="s">
        <v>23</v>
      </c>
      <c r="Z1411" t="s">
        <v>22</v>
      </c>
      <c r="AA1411" t="s">
        <v>24</v>
      </c>
      <c r="AB1411" s="3" t="s">
        <v>1201</v>
      </c>
      <c r="AC1411">
        <v>137</v>
      </c>
      <c r="AD1411" s="3" t="str">
        <f t="shared" ref="AD1411:AD1474" si="320">LEFT(AB1411,FIND("/",AB1411)-1)</f>
        <v>137</v>
      </c>
      <c r="AE1411">
        <v>84</v>
      </c>
      <c r="AF1411" s="3" t="str">
        <f t="shared" ref="AF1411:AF1474" si="321">RIGHT(AB1411,LEN(AB1411)-FIND("/",AB1411))</f>
        <v>84</v>
      </c>
      <c r="AG1411" t="s">
        <v>29</v>
      </c>
      <c r="AI1411" s="3">
        <f t="shared" ref="AI1411:AI1474" si="322">IF(AH1411="",AVERAGE($AH$2:$AH$1530),AH1411)</f>
        <v>16.960925291295425</v>
      </c>
      <c r="AJ1411" t="s">
        <v>30</v>
      </c>
      <c r="AK1411" t="str">
        <f>PROPER(Table1[[#This Row],[CVD Risk Level]])</f>
        <v>High</v>
      </c>
    </row>
    <row r="1412" spans="1:37" x14ac:dyDescent="0.3">
      <c r="A1412" t="s">
        <v>31</v>
      </c>
      <c r="B1412">
        <v>75</v>
      </c>
      <c r="C1412" s="8">
        <f t="shared" si="311"/>
        <v>75</v>
      </c>
      <c r="D1412" s="5">
        <v>107.53400000000001</v>
      </c>
      <c r="E1412" s="8">
        <f t="shared" si="312"/>
        <v>107.53400000000001</v>
      </c>
      <c r="F1412">
        <v>1.65</v>
      </c>
      <c r="G1412" s="3">
        <f t="shared" si="313"/>
        <v>1.65</v>
      </c>
      <c r="H1412">
        <v>31.065999999999999</v>
      </c>
      <c r="I1412" s="5">
        <f t="shared" si="309"/>
        <v>31.065999999999999</v>
      </c>
      <c r="J1412" s="16" t="str">
        <f t="shared" si="314"/>
        <v>Obese</v>
      </c>
      <c r="K1412">
        <v>89.564999999999998</v>
      </c>
      <c r="L1412">
        <v>0.54300000000000004</v>
      </c>
      <c r="M1412" s="11">
        <f t="shared" si="310"/>
        <v>0.54300000000000004</v>
      </c>
      <c r="N1412" s="5">
        <f t="shared" si="315"/>
        <v>89.564999999999998</v>
      </c>
      <c r="O1412">
        <v>118</v>
      </c>
      <c r="P1412">
        <v>50</v>
      </c>
      <c r="Q1412" s="8">
        <f t="shared" si="316"/>
        <v>50</v>
      </c>
      <c r="R1412" s="8">
        <v>38</v>
      </c>
      <c r="S1412" s="8">
        <f t="shared" si="317"/>
        <v>38</v>
      </c>
      <c r="T1412" s="8">
        <f>(Table1[[#This Row],[Total Cholesterol (mg/dL)]]+Table1[[#This Row],[HDL (mg/dL)2]]+Table1[[#This Row],[Estimated LDL (mg/dL)2]])*5</f>
        <v>1030</v>
      </c>
      <c r="U1412" s="8">
        <f>IF(O1412="",Table1[[#This Row],[Estimated LDL (mg/dL)2]]+Table1[[#This Row],[HDL (mg/dL)2]]+(Table1[[#This Row],[Triglycerides]]/5),O1412)</f>
        <v>118</v>
      </c>
      <c r="V1412">
        <v>131</v>
      </c>
      <c r="W1412" s="8">
        <f t="shared" si="318"/>
        <v>131</v>
      </c>
      <c r="X1412" t="str">
        <f t="shared" si="319"/>
        <v>Diabetes</v>
      </c>
      <c r="Y1412" t="s">
        <v>23</v>
      </c>
      <c r="Z1412" t="s">
        <v>22</v>
      </c>
      <c r="AA1412" t="s">
        <v>37</v>
      </c>
      <c r="AB1412" s="3" t="s">
        <v>1086</v>
      </c>
      <c r="AC1412">
        <v>155</v>
      </c>
      <c r="AD1412" s="3" t="str">
        <f t="shared" si="320"/>
        <v>155</v>
      </c>
      <c r="AE1412">
        <v>68</v>
      </c>
      <c r="AF1412" s="3" t="str">
        <f t="shared" si="321"/>
        <v>68</v>
      </c>
      <c r="AG1412" t="s">
        <v>38</v>
      </c>
      <c r="AH1412" s="3">
        <v>16.323</v>
      </c>
      <c r="AI1412" s="3">
        <f t="shared" si="322"/>
        <v>16.323</v>
      </c>
      <c r="AJ1412" t="s">
        <v>26</v>
      </c>
      <c r="AK1412" t="str">
        <f>PROPER(Table1[[#This Row],[CVD Risk Level]])</f>
        <v>Intermediary</v>
      </c>
    </row>
    <row r="1413" spans="1:37" x14ac:dyDescent="0.3">
      <c r="A1413" t="s">
        <v>20</v>
      </c>
      <c r="B1413">
        <v>44</v>
      </c>
      <c r="C1413" s="8">
        <f t="shared" si="311"/>
        <v>44</v>
      </c>
      <c r="D1413" s="5">
        <v>112.97799999999999</v>
      </c>
      <c r="E1413" s="8">
        <f t="shared" si="312"/>
        <v>112.97799999999999</v>
      </c>
      <c r="F1413">
        <v>1.5069999999999999</v>
      </c>
      <c r="G1413" s="3">
        <f t="shared" si="313"/>
        <v>1.5069999999999999</v>
      </c>
      <c r="H1413">
        <v>36.380000000000003</v>
      </c>
      <c r="I1413" s="5">
        <f t="shared" si="309"/>
        <v>36.380000000000003</v>
      </c>
      <c r="J1413" s="16" t="str">
        <f t="shared" si="314"/>
        <v>Obese</v>
      </c>
      <c r="K1413">
        <v>118.586</v>
      </c>
      <c r="L1413">
        <v>0.78700000000000003</v>
      </c>
      <c r="M1413" s="11">
        <f t="shared" si="310"/>
        <v>0.78700000000000003</v>
      </c>
      <c r="N1413" s="5">
        <f t="shared" si="315"/>
        <v>118.586</v>
      </c>
      <c r="O1413">
        <v>168</v>
      </c>
      <c r="P1413">
        <v>61</v>
      </c>
      <c r="Q1413" s="8">
        <f t="shared" si="316"/>
        <v>61</v>
      </c>
      <c r="R1413" s="8">
        <v>77</v>
      </c>
      <c r="S1413" s="8">
        <f t="shared" si="317"/>
        <v>77</v>
      </c>
      <c r="T1413" s="8">
        <f>(Table1[[#This Row],[Total Cholesterol (mg/dL)]]+Table1[[#This Row],[HDL (mg/dL)2]]+Table1[[#This Row],[Estimated LDL (mg/dL)2]])*5</f>
        <v>1530</v>
      </c>
      <c r="U1413" s="8">
        <f>IF(O1413="",Table1[[#This Row],[Estimated LDL (mg/dL)2]]+Table1[[#This Row],[HDL (mg/dL)2]]+(Table1[[#This Row],[Triglycerides]]/5),O1413)</f>
        <v>168</v>
      </c>
      <c r="V1413">
        <v>170</v>
      </c>
      <c r="W1413" s="8">
        <f t="shared" si="318"/>
        <v>170</v>
      </c>
      <c r="X1413" t="str">
        <f t="shared" si="319"/>
        <v>Diabetes</v>
      </c>
      <c r="Y1413" t="s">
        <v>22</v>
      </c>
      <c r="Z1413" t="s">
        <v>22</v>
      </c>
      <c r="AA1413" t="s">
        <v>37</v>
      </c>
      <c r="AB1413" s="3" t="s">
        <v>1202</v>
      </c>
      <c r="AC1413">
        <v>142</v>
      </c>
      <c r="AD1413" s="3" t="str">
        <f t="shared" si="320"/>
        <v>142</v>
      </c>
      <c r="AE1413">
        <v>101</v>
      </c>
      <c r="AF1413" s="3" t="str">
        <f t="shared" si="321"/>
        <v>101</v>
      </c>
      <c r="AG1413" t="s">
        <v>38</v>
      </c>
      <c r="AH1413" s="3">
        <v>17.736000000000001</v>
      </c>
      <c r="AI1413" s="3">
        <f t="shared" si="322"/>
        <v>17.736000000000001</v>
      </c>
      <c r="AJ1413" t="s">
        <v>30</v>
      </c>
      <c r="AK1413" t="str">
        <f>PROPER(Table1[[#This Row],[CVD Risk Level]])</f>
        <v>High</v>
      </c>
    </row>
    <row r="1414" spans="1:37" x14ac:dyDescent="0.3">
      <c r="A1414" t="s">
        <v>20</v>
      </c>
      <c r="B1414">
        <v>62</v>
      </c>
      <c r="C1414" s="8">
        <f t="shared" si="311"/>
        <v>62</v>
      </c>
      <c r="D1414" s="5">
        <v>112.81399999999999</v>
      </c>
      <c r="E1414" s="8">
        <f t="shared" si="312"/>
        <v>112.81399999999999</v>
      </c>
      <c r="F1414">
        <v>1.7270000000000001</v>
      </c>
      <c r="G1414" s="3">
        <f t="shared" si="313"/>
        <v>1.7270000000000001</v>
      </c>
      <c r="H1414">
        <v>35.835000000000001</v>
      </c>
      <c r="I1414" s="5">
        <f t="shared" si="309"/>
        <v>35.835000000000001</v>
      </c>
      <c r="J1414" s="16" t="str">
        <f t="shared" si="314"/>
        <v>Obese</v>
      </c>
      <c r="K1414">
        <v>70.332999999999998</v>
      </c>
      <c r="L1414">
        <v>0.40699999999999997</v>
      </c>
      <c r="M1414" s="11">
        <f t="shared" si="310"/>
        <v>0.40699999999999997</v>
      </c>
      <c r="N1414" s="5">
        <f t="shared" si="315"/>
        <v>70.332999999999998</v>
      </c>
      <c r="O1414">
        <v>225</v>
      </c>
      <c r="P1414">
        <v>87</v>
      </c>
      <c r="Q1414" s="8">
        <f t="shared" si="316"/>
        <v>87</v>
      </c>
      <c r="R1414" s="8">
        <v>108</v>
      </c>
      <c r="S1414" s="8">
        <f t="shared" si="317"/>
        <v>108</v>
      </c>
      <c r="T1414" s="8">
        <f>(Table1[[#This Row],[Total Cholesterol (mg/dL)]]+Table1[[#This Row],[HDL (mg/dL)2]]+Table1[[#This Row],[Estimated LDL (mg/dL)2]])*5</f>
        <v>2100</v>
      </c>
      <c r="U1414" s="8">
        <f>IF(O1414="",Table1[[#This Row],[Estimated LDL (mg/dL)2]]+Table1[[#This Row],[HDL (mg/dL)2]]+(Table1[[#This Row],[Triglycerides]]/5),O1414)</f>
        <v>225</v>
      </c>
      <c r="W1414" s="8">
        <f t="shared" si="318"/>
        <v>117.48563611491107</v>
      </c>
      <c r="X1414" t="str">
        <f t="shared" si="319"/>
        <v>Prediabetes</v>
      </c>
      <c r="Y1414" t="s">
        <v>22</v>
      </c>
      <c r="Z1414" t="s">
        <v>22</v>
      </c>
      <c r="AA1414" t="s">
        <v>24</v>
      </c>
      <c r="AB1414" s="3" t="s">
        <v>1203</v>
      </c>
      <c r="AC1414">
        <v>178</v>
      </c>
      <c r="AD1414" s="3" t="str">
        <f t="shared" si="320"/>
        <v>178</v>
      </c>
      <c r="AE1414">
        <v>73</v>
      </c>
      <c r="AF1414" s="3" t="str">
        <f t="shared" si="321"/>
        <v>73</v>
      </c>
      <c r="AG1414" t="s">
        <v>38</v>
      </c>
      <c r="AH1414" s="3">
        <v>20.567</v>
      </c>
      <c r="AI1414" s="3">
        <f t="shared" si="322"/>
        <v>20.567</v>
      </c>
      <c r="AJ1414" t="s">
        <v>30</v>
      </c>
      <c r="AK1414" t="str">
        <f>PROPER(Table1[[#This Row],[CVD Risk Level]])</f>
        <v>High</v>
      </c>
    </row>
    <row r="1415" spans="1:37" x14ac:dyDescent="0.3">
      <c r="A1415" t="s">
        <v>20</v>
      </c>
      <c r="B1415">
        <v>45</v>
      </c>
      <c r="C1415" s="8">
        <f t="shared" si="311"/>
        <v>45</v>
      </c>
      <c r="E1415" s="8">
        <f t="shared" si="312"/>
        <v>103.49983564800003</v>
      </c>
      <c r="F1415">
        <v>1.6160000000000001</v>
      </c>
      <c r="G1415" s="3">
        <f t="shared" si="313"/>
        <v>1.6160000000000001</v>
      </c>
      <c r="H1415">
        <v>39.633000000000003</v>
      </c>
      <c r="I1415" s="5">
        <f t="shared" si="309"/>
        <v>39.633000000000003</v>
      </c>
      <c r="J1415" s="16" t="str">
        <f t="shared" si="314"/>
        <v>Obese</v>
      </c>
      <c r="K1415">
        <v>109.352</v>
      </c>
      <c r="L1415">
        <v>0.67700000000000005</v>
      </c>
      <c r="M1415" s="11">
        <f t="shared" si="310"/>
        <v>0.67700000000000005</v>
      </c>
      <c r="N1415" s="5">
        <f t="shared" si="315"/>
        <v>109.352</v>
      </c>
      <c r="O1415">
        <v>256</v>
      </c>
      <c r="P1415">
        <v>75</v>
      </c>
      <c r="Q1415" s="8">
        <f t="shared" si="316"/>
        <v>75</v>
      </c>
      <c r="R1415" s="8">
        <v>151</v>
      </c>
      <c r="S1415" s="8">
        <f t="shared" si="317"/>
        <v>151</v>
      </c>
      <c r="T1415" s="8">
        <f>(Table1[[#This Row],[Total Cholesterol (mg/dL)]]+Table1[[#This Row],[HDL (mg/dL)2]]+Table1[[#This Row],[Estimated LDL (mg/dL)2]])*5</f>
        <v>2410</v>
      </c>
      <c r="U1415" s="8">
        <f>IF(O1415="",Table1[[#This Row],[Estimated LDL (mg/dL)2]]+Table1[[#This Row],[HDL (mg/dL)2]]+(Table1[[#This Row],[Triglycerides]]/5),O1415)</f>
        <v>256</v>
      </c>
      <c r="V1415">
        <v>160</v>
      </c>
      <c r="W1415" s="8">
        <f t="shared" si="318"/>
        <v>160</v>
      </c>
      <c r="X1415" t="str">
        <f t="shared" si="319"/>
        <v>Diabetes</v>
      </c>
      <c r="Y1415" t="s">
        <v>22</v>
      </c>
      <c r="Z1415" t="s">
        <v>23</v>
      </c>
      <c r="AA1415" t="s">
        <v>28</v>
      </c>
      <c r="AB1415" s="3" t="s">
        <v>987</v>
      </c>
      <c r="AC1415">
        <v>175</v>
      </c>
      <c r="AD1415" s="3" t="str">
        <f t="shared" si="320"/>
        <v>175</v>
      </c>
      <c r="AE1415">
        <v>98</v>
      </c>
      <c r="AF1415" s="3" t="str">
        <f t="shared" si="321"/>
        <v>98</v>
      </c>
      <c r="AG1415" t="s">
        <v>38</v>
      </c>
      <c r="AH1415" s="3">
        <v>23.797000000000001</v>
      </c>
      <c r="AI1415" s="3">
        <f t="shared" si="322"/>
        <v>23.797000000000001</v>
      </c>
      <c r="AJ1415" t="s">
        <v>52</v>
      </c>
      <c r="AK1415" t="str">
        <f>PROPER(Table1[[#This Row],[CVD Risk Level]])</f>
        <v>Low</v>
      </c>
    </row>
    <row r="1416" spans="1:37" x14ac:dyDescent="0.3">
      <c r="A1416" t="s">
        <v>31</v>
      </c>
      <c r="B1416">
        <v>50</v>
      </c>
      <c r="C1416" s="8">
        <f t="shared" si="311"/>
        <v>50</v>
      </c>
      <c r="D1416" s="5">
        <v>71.126999999999995</v>
      </c>
      <c r="E1416" s="8">
        <f t="shared" si="312"/>
        <v>71.126999999999995</v>
      </c>
      <c r="F1416">
        <v>1.754</v>
      </c>
      <c r="G1416" s="3">
        <f t="shared" si="313"/>
        <v>1.754</v>
      </c>
      <c r="H1416">
        <v>31.042000000000002</v>
      </c>
      <c r="I1416" s="5">
        <f t="shared" si="309"/>
        <v>31.042000000000002</v>
      </c>
      <c r="J1416" s="16" t="str">
        <f t="shared" si="314"/>
        <v>Obese</v>
      </c>
      <c r="K1416">
        <v>112.11199999999999</v>
      </c>
      <c r="L1416">
        <v>0.63900000000000001</v>
      </c>
      <c r="M1416" s="11">
        <f t="shared" si="310"/>
        <v>0.63900000000000001</v>
      </c>
      <c r="N1416" s="5">
        <f t="shared" si="315"/>
        <v>112.11199999999999</v>
      </c>
      <c r="O1416">
        <v>170</v>
      </c>
      <c r="P1416">
        <v>89</v>
      </c>
      <c r="Q1416" s="8">
        <f t="shared" si="316"/>
        <v>89</v>
      </c>
      <c r="R1416" s="8">
        <v>51</v>
      </c>
      <c r="S1416" s="8">
        <f t="shared" si="317"/>
        <v>51</v>
      </c>
      <c r="T1416" s="8">
        <f>(Table1[[#This Row],[Total Cholesterol (mg/dL)]]+Table1[[#This Row],[HDL (mg/dL)2]]+Table1[[#This Row],[Estimated LDL (mg/dL)2]])*5</f>
        <v>1550</v>
      </c>
      <c r="U1416" s="8">
        <f>IF(O1416="",Table1[[#This Row],[Estimated LDL (mg/dL)2]]+Table1[[#This Row],[HDL (mg/dL)2]]+(Table1[[#This Row],[Triglycerides]]/5),O1416)</f>
        <v>170</v>
      </c>
      <c r="V1416">
        <v>175</v>
      </c>
      <c r="W1416" s="8">
        <f t="shared" si="318"/>
        <v>175</v>
      </c>
      <c r="X1416" t="str">
        <f t="shared" si="319"/>
        <v>Diabetes</v>
      </c>
      <c r="Y1416" t="s">
        <v>23</v>
      </c>
      <c r="Z1416" t="s">
        <v>22</v>
      </c>
      <c r="AA1416" t="s">
        <v>24</v>
      </c>
      <c r="AB1416" s="3" t="s">
        <v>1204</v>
      </c>
      <c r="AC1416">
        <v>154</v>
      </c>
      <c r="AD1416" s="3" t="str">
        <f t="shared" si="320"/>
        <v>154</v>
      </c>
      <c r="AE1416">
        <v>99</v>
      </c>
      <c r="AF1416" s="3" t="str">
        <f t="shared" si="321"/>
        <v>99</v>
      </c>
      <c r="AG1416" t="s">
        <v>38</v>
      </c>
      <c r="AH1416" s="3">
        <v>17.308</v>
      </c>
      <c r="AI1416" s="3">
        <f t="shared" si="322"/>
        <v>17.308</v>
      </c>
      <c r="AJ1416" t="s">
        <v>52</v>
      </c>
      <c r="AK1416" t="str">
        <f>PROPER(Table1[[#This Row],[CVD Risk Level]])</f>
        <v>Low</v>
      </c>
    </row>
    <row r="1417" spans="1:37" x14ac:dyDescent="0.3">
      <c r="A1417" t="s">
        <v>31</v>
      </c>
      <c r="B1417">
        <v>43</v>
      </c>
      <c r="C1417" s="8">
        <f t="shared" si="311"/>
        <v>43</v>
      </c>
      <c r="D1417" s="5">
        <v>107.21899999999999</v>
      </c>
      <c r="E1417" s="8">
        <f t="shared" si="312"/>
        <v>107.21899999999999</v>
      </c>
      <c r="F1417">
        <v>1.5760000000000001</v>
      </c>
      <c r="G1417" s="3">
        <f t="shared" si="313"/>
        <v>1.5760000000000001</v>
      </c>
      <c r="H1417">
        <v>22.565000000000001</v>
      </c>
      <c r="I1417" s="5">
        <f t="shared" si="309"/>
        <v>22.565000000000001</v>
      </c>
      <c r="J1417" s="16" t="str">
        <f t="shared" si="314"/>
        <v>Normal</v>
      </c>
      <c r="K1417">
        <v>107.586</v>
      </c>
      <c r="L1417">
        <v>0.68300000000000005</v>
      </c>
      <c r="M1417" s="11">
        <f t="shared" si="310"/>
        <v>0.68300000000000005</v>
      </c>
      <c r="N1417" s="5">
        <f t="shared" si="315"/>
        <v>107.586</v>
      </c>
      <c r="O1417">
        <v>210</v>
      </c>
      <c r="P1417">
        <v>70</v>
      </c>
      <c r="Q1417" s="8">
        <f t="shared" si="316"/>
        <v>70</v>
      </c>
      <c r="R1417" s="8">
        <v>110</v>
      </c>
      <c r="S1417" s="8">
        <f t="shared" si="317"/>
        <v>110</v>
      </c>
      <c r="T1417" s="8">
        <f>(Table1[[#This Row],[Total Cholesterol (mg/dL)]]+Table1[[#This Row],[HDL (mg/dL)2]]+Table1[[#This Row],[Estimated LDL (mg/dL)2]])*5</f>
        <v>1950</v>
      </c>
      <c r="U1417" s="8">
        <f>IF(O1417="",Table1[[#This Row],[Estimated LDL (mg/dL)2]]+Table1[[#This Row],[HDL (mg/dL)2]]+(Table1[[#This Row],[Triglycerides]]/5),O1417)</f>
        <v>210</v>
      </c>
      <c r="V1417">
        <v>81</v>
      </c>
      <c r="W1417" s="8">
        <f t="shared" si="318"/>
        <v>81</v>
      </c>
      <c r="X1417" t="str">
        <f t="shared" si="319"/>
        <v>Normal</v>
      </c>
      <c r="Y1417" t="s">
        <v>23</v>
      </c>
      <c r="Z1417" t="s">
        <v>22</v>
      </c>
      <c r="AA1417" t="s">
        <v>28</v>
      </c>
      <c r="AB1417" s="3" t="s">
        <v>448</v>
      </c>
      <c r="AC1417">
        <v>112</v>
      </c>
      <c r="AD1417" s="3" t="str">
        <f t="shared" si="320"/>
        <v>112</v>
      </c>
      <c r="AE1417">
        <v>71</v>
      </c>
      <c r="AF1417" s="3" t="str">
        <f t="shared" si="321"/>
        <v>71</v>
      </c>
      <c r="AG1417" t="s">
        <v>33</v>
      </c>
      <c r="AH1417" s="3">
        <v>14.313000000000001</v>
      </c>
      <c r="AI1417" s="3">
        <f t="shared" si="322"/>
        <v>14.313000000000001</v>
      </c>
      <c r="AJ1417" t="s">
        <v>52</v>
      </c>
      <c r="AK1417" t="str">
        <f>PROPER(Table1[[#This Row],[CVD Risk Level]])</f>
        <v>Low</v>
      </c>
    </row>
    <row r="1418" spans="1:37" x14ac:dyDescent="0.3">
      <c r="A1418" t="s">
        <v>31</v>
      </c>
      <c r="B1418">
        <v>47</v>
      </c>
      <c r="C1418" s="8">
        <f t="shared" si="311"/>
        <v>47</v>
      </c>
      <c r="D1418" s="5">
        <v>62.204000000000001</v>
      </c>
      <c r="E1418" s="8">
        <f t="shared" si="312"/>
        <v>62.204000000000001</v>
      </c>
      <c r="F1418">
        <v>1.887</v>
      </c>
      <c r="G1418" s="3">
        <f t="shared" si="313"/>
        <v>1.887</v>
      </c>
      <c r="H1418">
        <v>38.322000000000003</v>
      </c>
      <c r="I1418" s="5">
        <f t="shared" si="309"/>
        <v>38.322000000000003</v>
      </c>
      <c r="J1418" s="16" t="str">
        <f t="shared" si="314"/>
        <v>Obese</v>
      </c>
      <c r="K1418">
        <v>108.822</v>
      </c>
      <c r="L1418">
        <v>0.57699999999999996</v>
      </c>
      <c r="M1418" s="11">
        <f t="shared" si="310"/>
        <v>0.57699999999999996</v>
      </c>
      <c r="N1418" s="5">
        <f t="shared" si="315"/>
        <v>108.822</v>
      </c>
      <c r="O1418">
        <v>164</v>
      </c>
      <c r="P1418">
        <v>76</v>
      </c>
      <c r="Q1418" s="8">
        <f t="shared" si="316"/>
        <v>76</v>
      </c>
      <c r="R1418" s="8">
        <v>58</v>
      </c>
      <c r="S1418" s="8">
        <f t="shared" si="317"/>
        <v>58</v>
      </c>
      <c r="T1418" s="8">
        <f>(Table1[[#This Row],[Total Cholesterol (mg/dL)]]+Table1[[#This Row],[HDL (mg/dL)2]]+Table1[[#This Row],[Estimated LDL (mg/dL)2]])*5</f>
        <v>1490</v>
      </c>
      <c r="U1418" s="8">
        <f>IF(O1418="",Table1[[#This Row],[Estimated LDL (mg/dL)2]]+Table1[[#This Row],[HDL (mg/dL)2]]+(Table1[[#This Row],[Triglycerides]]/5),O1418)</f>
        <v>164</v>
      </c>
      <c r="V1418">
        <v>148</v>
      </c>
      <c r="W1418" s="8">
        <f t="shared" si="318"/>
        <v>148</v>
      </c>
      <c r="X1418" t="str">
        <f t="shared" si="319"/>
        <v>Diabetes</v>
      </c>
      <c r="Y1418" t="s">
        <v>22</v>
      </c>
      <c r="Z1418" t="s">
        <v>22</v>
      </c>
      <c r="AA1418" t="s">
        <v>24</v>
      </c>
      <c r="AB1418" s="3" t="s">
        <v>459</v>
      </c>
      <c r="AC1418">
        <v>113</v>
      </c>
      <c r="AD1418" s="3" t="str">
        <f t="shared" si="320"/>
        <v>113</v>
      </c>
      <c r="AE1418">
        <v>79</v>
      </c>
      <c r="AF1418" s="3" t="str">
        <f t="shared" si="321"/>
        <v>79</v>
      </c>
      <c r="AG1418" t="s">
        <v>33</v>
      </c>
      <c r="AH1418" s="3">
        <v>16.594000000000001</v>
      </c>
      <c r="AI1418" s="3">
        <f t="shared" si="322"/>
        <v>16.594000000000001</v>
      </c>
      <c r="AJ1418" t="s">
        <v>26</v>
      </c>
      <c r="AK1418" t="str">
        <f>PROPER(Table1[[#This Row],[CVD Risk Level]])</f>
        <v>Intermediary</v>
      </c>
    </row>
    <row r="1419" spans="1:37" x14ac:dyDescent="0.3">
      <c r="A1419" t="s">
        <v>31</v>
      </c>
      <c r="B1419">
        <v>57</v>
      </c>
      <c r="C1419" s="8">
        <f t="shared" si="311"/>
        <v>57</v>
      </c>
      <c r="D1419" s="5">
        <v>116.77200000000001</v>
      </c>
      <c r="E1419" s="8">
        <f t="shared" si="312"/>
        <v>116.77200000000001</v>
      </c>
      <c r="F1419">
        <v>1.569</v>
      </c>
      <c r="G1419" s="3">
        <f t="shared" si="313"/>
        <v>1.569</v>
      </c>
      <c r="H1419">
        <v>34.125999999999998</v>
      </c>
      <c r="I1419" s="5">
        <f t="shared" si="309"/>
        <v>34.125999999999998</v>
      </c>
      <c r="J1419" s="16" t="str">
        <f t="shared" si="314"/>
        <v>Obese</v>
      </c>
      <c r="K1419">
        <v>90.736999999999995</v>
      </c>
      <c r="L1419">
        <v>0.57799999999999996</v>
      </c>
      <c r="M1419" s="11">
        <f t="shared" si="310"/>
        <v>0.57799999999999996</v>
      </c>
      <c r="N1419" s="5">
        <f t="shared" si="315"/>
        <v>90.736999999999995</v>
      </c>
      <c r="O1419">
        <v>254</v>
      </c>
      <c r="P1419">
        <v>60</v>
      </c>
      <c r="Q1419" s="8">
        <f t="shared" si="316"/>
        <v>60</v>
      </c>
      <c r="R1419" s="8">
        <v>164</v>
      </c>
      <c r="S1419" s="8">
        <f t="shared" si="317"/>
        <v>164</v>
      </c>
      <c r="T1419" s="8">
        <f>(Table1[[#This Row],[Total Cholesterol (mg/dL)]]+Table1[[#This Row],[HDL (mg/dL)2]]+Table1[[#This Row],[Estimated LDL (mg/dL)2]])*5</f>
        <v>2390</v>
      </c>
      <c r="U1419" s="8">
        <f>IF(O1419="",Table1[[#This Row],[Estimated LDL (mg/dL)2]]+Table1[[#This Row],[HDL (mg/dL)2]]+(Table1[[#This Row],[Triglycerides]]/5),O1419)</f>
        <v>254</v>
      </c>
      <c r="V1419">
        <v>177</v>
      </c>
      <c r="W1419" s="8">
        <f t="shared" si="318"/>
        <v>177</v>
      </c>
      <c r="X1419" t="str">
        <f t="shared" si="319"/>
        <v>Diabetes</v>
      </c>
      <c r="Y1419" t="s">
        <v>22</v>
      </c>
      <c r="Z1419" t="s">
        <v>22</v>
      </c>
      <c r="AA1419" t="s">
        <v>24</v>
      </c>
      <c r="AB1419" s="3" t="s">
        <v>984</v>
      </c>
      <c r="AC1419">
        <v>117</v>
      </c>
      <c r="AD1419" s="3" t="str">
        <f t="shared" si="320"/>
        <v>117</v>
      </c>
      <c r="AE1419">
        <v>116</v>
      </c>
      <c r="AF1419" s="3" t="str">
        <f t="shared" si="321"/>
        <v>116</v>
      </c>
      <c r="AG1419" t="s">
        <v>38</v>
      </c>
      <c r="AH1419" s="3">
        <v>17.754999999999999</v>
      </c>
      <c r="AI1419" s="3">
        <f t="shared" si="322"/>
        <v>17.754999999999999</v>
      </c>
      <c r="AJ1419" t="s">
        <v>30</v>
      </c>
      <c r="AK1419" t="str">
        <f>PROPER(Table1[[#This Row],[CVD Risk Level]])</f>
        <v>High</v>
      </c>
    </row>
    <row r="1420" spans="1:37" x14ac:dyDescent="0.3">
      <c r="A1420" t="s">
        <v>20</v>
      </c>
      <c r="C1420" s="8">
        <f t="shared" si="311"/>
        <v>47.025499655410059</v>
      </c>
      <c r="D1420" s="5">
        <v>80.421000000000006</v>
      </c>
      <c r="E1420" s="8">
        <f t="shared" si="312"/>
        <v>80.421000000000006</v>
      </c>
      <c r="F1420">
        <v>1.53</v>
      </c>
      <c r="G1420" s="3">
        <f t="shared" si="313"/>
        <v>1.53</v>
      </c>
      <c r="H1420">
        <v>26.79</v>
      </c>
      <c r="I1420" s="5">
        <f t="shared" si="309"/>
        <v>26.79</v>
      </c>
      <c r="J1420" s="16" t="str">
        <f t="shared" si="314"/>
        <v>Overweight</v>
      </c>
      <c r="K1420">
        <v>73.218000000000004</v>
      </c>
      <c r="L1420">
        <v>0.47899999999999998</v>
      </c>
      <c r="M1420" s="11">
        <f t="shared" si="310"/>
        <v>0.47899999999999998</v>
      </c>
      <c r="N1420" s="5">
        <f t="shared" si="315"/>
        <v>73.218000000000004</v>
      </c>
      <c r="O1420">
        <v>239</v>
      </c>
      <c r="P1420">
        <v>73</v>
      </c>
      <c r="Q1420" s="8">
        <f t="shared" si="316"/>
        <v>73</v>
      </c>
      <c r="R1420" s="8">
        <v>136</v>
      </c>
      <c r="S1420" s="8">
        <f t="shared" si="317"/>
        <v>136</v>
      </c>
      <c r="T1420" s="8">
        <f>(Table1[[#This Row],[Total Cholesterol (mg/dL)]]+Table1[[#This Row],[HDL (mg/dL)2]]+Table1[[#This Row],[Estimated LDL (mg/dL)2]])*5</f>
        <v>2240</v>
      </c>
      <c r="U1420" s="8">
        <f>IF(O1420="",Table1[[#This Row],[Estimated LDL (mg/dL)2]]+Table1[[#This Row],[HDL (mg/dL)2]]+(Table1[[#This Row],[Triglycerides]]/5),O1420)</f>
        <v>239</v>
      </c>
      <c r="V1420">
        <v>96</v>
      </c>
      <c r="W1420" s="8">
        <f t="shared" si="318"/>
        <v>96</v>
      </c>
      <c r="X1420" t="str">
        <f t="shared" si="319"/>
        <v>Normal</v>
      </c>
      <c r="Y1420" t="s">
        <v>23</v>
      </c>
      <c r="Z1420" t="s">
        <v>23</v>
      </c>
      <c r="AA1420" t="s">
        <v>28</v>
      </c>
      <c r="AB1420" s="3" t="s">
        <v>607</v>
      </c>
      <c r="AC1420">
        <v>113</v>
      </c>
      <c r="AD1420" s="3" t="str">
        <f t="shared" si="320"/>
        <v>113</v>
      </c>
      <c r="AE1420">
        <v>77</v>
      </c>
      <c r="AF1420" s="3" t="str">
        <f t="shared" si="321"/>
        <v>77</v>
      </c>
      <c r="AG1420" t="s">
        <v>33</v>
      </c>
      <c r="AH1420" s="3">
        <v>17.788</v>
      </c>
      <c r="AI1420" s="3">
        <f t="shared" si="322"/>
        <v>17.788</v>
      </c>
      <c r="AJ1420" t="s">
        <v>52</v>
      </c>
      <c r="AK1420" t="str">
        <f>PROPER(Table1[[#This Row],[CVD Risk Level]])</f>
        <v>Low</v>
      </c>
    </row>
    <row r="1421" spans="1:37" x14ac:dyDescent="0.3">
      <c r="A1421" t="s">
        <v>20</v>
      </c>
      <c r="B1421">
        <v>30</v>
      </c>
      <c r="C1421" s="8">
        <f t="shared" si="311"/>
        <v>30</v>
      </c>
      <c r="D1421" s="5">
        <v>60.472000000000001</v>
      </c>
      <c r="E1421" s="8">
        <f t="shared" si="312"/>
        <v>60.472000000000001</v>
      </c>
      <c r="F1421">
        <v>1.601</v>
      </c>
      <c r="G1421" s="3">
        <f t="shared" si="313"/>
        <v>1.601</v>
      </c>
      <c r="H1421">
        <v>31.989000000000001</v>
      </c>
      <c r="I1421" s="5">
        <f t="shared" si="309"/>
        <v>31.989000000000001</v>
      </c>
      <c r="J1421" s="16" t="str">
        <f t="shared" si="314"/>
        <v>Obese</v>
      </c>
      <c r="K1421">
        <v>93.816999999999993</v>
      </c>
      <c r="L1421">
        <v>0.58599999999999997</v>
      </c>
      <c r="M1421" s="11">
        <f t="shared" si="310"/>
        <v>0.58599999999999997</v>
      </c>
      <c r="N1421" s="5">
        <f t="shared" si="315"/>
        <v>93.816999999999993</v>
      </c>
      <c r="O1421">
        <v>293</v>
      </c>
      <c r="P1421">
        <v>88</v>
      </c>
      <c r="Q1421" s="8">
        <f t="shared" si="316"/>
        <v>88</v>
      </c>
      <c r="R1421" s="8">
        <v>175</v>
      </c>
      <c r="S1421" s="8">
        <f t="shared" si="317"/>
        <v>175</v>
      </c>
      <c r="T1421" s="8">
        <f>(Table1[[#This Row],[Total Cholesterol (mg/dL)]]+Table1[[#This Row],[HDL (mg/dL)2]]+Table1[[#This Row],[Estimated LDL (mg/dL)2]])*5</f>
        <v>2780</v>
      </c>
      <c r="U1421" s="8">
        <f>IF(O1421="",Table1[[#This Row],[Estimated LDL (mg/dL)2]]+Table1[[#This Row],[HDL (mg/dL)2]]+(Table1[[#This Row],[Triglycerides]]/5),O1421)</f>
        <v>293</v>
      </c>
      <c r="V1421">
        <v>104</v>
      </c>
      <c r="W1421" s="8">
        <f t="shared" si="318"/>
        <v>104</v>
      </c>
      <c r="X1421" t="str">
        <f t="shared" si="319"/>
        <v>Prediabetes</v>
      </c>
      <c r="Y1421" t="s">
        <v>23</v>
      </c>
      <c r="Z1421" t="s">
        <v>23</v>
      </c>
      <c r="AA1421" t="s">
        <v>28</v>
      </c>
      <c r="AB1421" s="3" t="s">
        <v>1205</v>
      </c>
      <c r="AC1421">
        <v>151</v>
      </c>
      <c r="AD1421" s="3" t="str">
        <f t="shared" si="320"/>
        <v>151</v>
      </c>
      <c r="AE1421">
        <v>101</v>
      </c>
      <c r="AF1421" s="3" t="str">
        <f t="shared" si="321"/>
        <v>101</v>
      </c>
      <c r="AG1421" t="s">
        <v>38</v>
      </c>
      <c r="AH1421" s="3">
        <v>21.808</v>
      </c>
      <c r="AI1421" s="3">
        <f t="shared" si="322"/>
        <v>21.808</v>
      </c>
      <c r="AJ1421" t="s">
        <v>30</v>
      </c>
      <c r="AK1421" t="str">
        <f>PROPER(Table1[[#This Row],[CVD Risk Level]])</f>
        <v>High</v>
      </c>
    </row>
    <row r="1422" spans="1:37" x14ac:dyDescent="0.3">
      <c r="A1422" t="s">
        <v>31</v>
      </c>
      <c r="B1422">
        <v>79</v>
      </c>
      <c r="C1422" s="8">
        <f t="shared" si="311"/>
        <v>79</v>
      </c>
      <c r="D1422" s="5">
        <v>118.544</v>
      </c>
      <c r="E1422" s="8">
        <f t="shared" si="312"/>
        <v>118.544</v>
      </c>
      <c r="F1422">
        <v>1.591</v>
      </c>
      <c r="G1422" s="3">
        <f t="shared" si="313"/>
        <v>1.591</v>
      </c>
      <c r="H1422">
        <v>27.881</v>
      </c>
      <c r="I1422" s="5">
        <f t="shared" si="309"/>
        <v>27.881</v>
      </c>
      <c r="J1422" s="16" t="str">
        <f t="shared" si="314"/>
        <v>Overweight</v>
      </c>
      <c r="K1422">
        <v>91.388000000000005</v>
      </c>
      <c r="L1422">
        <v>0.57399999999999995</v>
      </c>
      <c r="M1422" s="11">
        <f t="shared" si="310"/>
        <v>0.57399999999999995</v>
      </c>
      <c r="N1422" s="5">
        <f t="shared" si="315"/>
        <v>91.388000000000005</v>
      </c>
      <c r="O1422">
        <v>215</v>
      </c>
      <c r="P1422">
        <v>36</v>
      </c>
      <c r="Q1422" s="8">
        <f t="shared" si="316"/>
        <v>36</v>
      </c>
      <c r="R1422" s="8">
        <v>149</v>
      </c>
      <c r="S1422" s="8">
        <f t="shared" si="317"/>
        <v>149</v>
      </c>
      <c r="T1422" s="8">
        <f>(Table1[[#This Row],[Total Cholesterol (mg/dL)]]+Table1[[#This Row],[HDL (mg/dL)2]]+Table1[[#This Row],[Estimated LDL (mg/dL)2]])*5</f>
        <v>2000</v>
      </c>
      <c r="U1422" s="8">
        <f>IF(O1422="",Table1[[#This Row],[Estimated LDL (mg/dL)2]]+Table1[[#This Row],[HDL (mg/dL)2]]+(Table1[[#This Row],[Triglycerides]]/5),O1422)</f>
        <v>215</v>
      </c>
      <c r="V1422">
        <v>115</v>
      </c>
      <c r="W1422" s="8">
        <f t="shared" si="318"/>
        <v>115</v>
      </c>
      <c r="X1422" t="str">
        <f t="shared" si="319"/>
        <v>Prediabetes</v>
      </c>
      <c r="Y1422" t="s">
        <v>23</v>
      </c>
      <c r="Z1422" t="s">
        <v>23</v>
      </c>
      <c r="AA1422" t="s">
        <v>37</v>
      </c>
      <c r="AB1422" s="3" t="s">
        <v>1206</v>
      </c>
      <c r="AC1422">
        <v>179</v>
      </c>
      <c r="AD1422" s="3" t="str">
        <f t="shared" si="320"/>
        <v>179</v>
      </c>
      <c r="AE1422">
        <v>74</v>
      </c>
      <c r="AF1422" s="3" t="str">
        <f t="shared" si="321"/>
        <v>74</v>
      </c>
      <c r="AG1422" t="s">
        <v>38</v>
      </c>
      <c r="AH1422" s="3">
        <v>20.826000000000001</v>
      </c>
      <c r="AI1422" s="3">
        <f t="shared" si="322"/>
        <v>20.826000000000001</v>
      </c>
      <c r="AJ1422" t="s">
        <v>52</v>
      </c>
      <c r="AK1422" t="str">
        <f>PROPER(Table1[[#This Row],[CVD Risk Level]])</f>
        <v>Low</v>
      </c>
    </row>
    <row r="1423" spans="1:37" x14ac:dyDescent="0.3">
      <c r="A1423" t="s">
        <v>31</v>
      </c>
      <c r="B1423">
        <v>55</v>
      </c>
      <c r="C1423" s="8">
        <f t="shared" si="311"/>
        <v>55</v>
      </c>
      <c r="D1423" s="5">
        <v>60.109000000000002</v>
      </c>
      <c r="E1423" s="8">
        <f t="shared" si="312"/>
        <v>60.109000000000002</v>
      </c>
      <c r="F1423">
        <v>1.9330000000000001</v>
      </c>
      <c r="G1423" s="3">
        <f t="shared" si="313"/>
        <v>1.9330000000000001</v>
      </c>
      <c r="H1423">
        <v>26.309000000000001</v>
      </c>
      <c r="I1423" s="5">
        <f t="shared" si="309"/>
        <v>26.309000000000001</v>
      </c>
      <c r="J1423" s="16" t="str">
        <f t="shared" si="314"/>
        <v>Overweight</v>
      </c>
      <c r="K1423">
        <v>72.233999999999995</v>
      </c>
      <c r="M1423" s="11">
        <f t="shared" si="310"/>
        <v>0.3736885669943093</v>
      </c>
      <c r="N1423" s="5">
        <f t="shared" si="315"/>
        <v>72.233999999999995</v>
      </c>
      <c r="O1423">
        <v>110</v>
      </c>
      <c r="P1423">
        <v>72</v>
      </c>
      <c r="Q1423" s="8">
        <f t="shared" si="316"/>
        <v>72</v>
      </c>
      <c r="R1423" s="8">
        <v>8</v>
      </c>
      <c r="S1423" s="8">
        <f>IF(R1423&lt;=0,MEDIAN($R$2:$R$1530),R1423)</f>
        <v>8</v>
      </c>
      <c r="T1423" s="8">
        <f>(Table1[[#This Row],[Total Cholesterol (mg/dL)]]+Table1[[#This Row],[HDL (mg/dL)2]]+Table1[[#This Row],[Estimated LDL (mg/dL)2]])*5</f>
        <v>950</v>
      </c>
      <c r="U1423" s="8">
        <f>IF(O1423="",Table1[[#This Row],[Estimated LDL (mg/dL)2]]+Table1[[#This Row],[HDL (mg/dL)2]]+(Table1[[#This Row],[Triglycerides]]/5),O1423)</f>
        <v>110</v>
      </c>
      <c r="V1423">
        <v>150</v>
      </c>
      <c r="W1423" s="8">
        <f t="shared" si="318"/>
        <v>150</v>
      </c>
      <c r="X1423" t="str">
        <f t="shared" si="319"/>
        <v>Diabetes</v>
      </c>
      <c r="Y1423" t="s">
        <v>23</v>
      </c>
      <c r="Z1423" t="s">
        <v>22</v>
      </c>
      <c r="AA1423" t="s">
        <v>37</v>
      </c>
      <c r="AB1423" s="3" t="s">
        <v>1207</v>
      </c>
      <c r="AC1423">
        <v>177</v>
      </c>
      <c r="AD1423" s="3" t="str">
        <f t="shared" si="320"/>
        <v>177</v>
      </c>
      <c r="AE1423">
        <v>107</v>
      </c>
      <c r="AF1423" s="3" t="str">
        <f t="shared" si="321"/>
        <v>107</v>
      </c>
      <c r="AG1423" t="s">
        <v>38</v>
      </c>
      <c r="AH1423" s="3">
        <v>16.312000000000001</v>
      </c>
      <c r="AI1423" s="3">
        <f t="shared" si="322"/>
        <v>16.312000000000001</v>
      </c>
      <c r="AJ1423" t="s">
        <v>26</v>
      </c>
      <c r="AK1423" t="str">
        <f>PROPER(Table1[[#This Row],[CVD Risk Level]])</f>
        <v>Intermediary</v>
      </c>
    </row>
    <row r="1424" spans="1:37" x14ac:dyDescent="0.3">
      <c r="A1424" t="s">
        <v>31</v>
      </c>
      <c r="B1424">
        <v>28</v>
      </c>
      <c r="C1424" s="8">
        <f t="shared" si="311"/>
        <v>28</v>
      </c>
      <c r="D1424" s="5">
        <v>60.411000000000001</v>
      </c>
      <c r="E1424" s="8">
        <f t="shared" si="312"/>
        <v>60.411000000000001</v>
      </c>
      <c r="F1424">
        <v>1.762</v>
      </c>
      <c r="G1424" s="3">
        <f t="shared" si="313"/>
        <v>1.762</v>
      </c>
      <c r="H1424">
        <v>19.332999999999998</v>
      </c>
      <c r="I1424" s="5">
        <f t="shared" si="309"/>
        <v>19.332999999999998</v>
      </c>
      <c r="J1424" s="16" t="str">
        <f t="shared" si="314"/>
        <v>Normal</v>
      </c>
      <c r="K1424">
        <v>77.022000000000006</v>
      </c>
      <c r="L1424">
        <v>0.437</v>
      </c>
      <c r="M1424" s="11">
        <f t="shared" si="310"/>
        <v>0.437</v>
      </c>
      <c r="N1424" s="5">
        <f t="shared" si="315"/>
        <v>77.022000000000006</v>
      </c>
      <c r="O1424">
        <v>132</v>
      </c>
      <c r="P1424">
        <v>55</v>
      </c>
      <c r="Q1424" s="8">
        <f t="shared" si="316"/>
        <v>55</v>
      </c>
      <c r="R1424" s="8">
        <v>47</v>
      </c>
      <c r="S1424" s="8">
        <f t="shared" si="317"/>
        <v>47</v>
      </c>
      <c r="T1424" s="8">
        <f>(Table1[[#This Row],[Total Cholesterol (mg/dL)]]+Table1[[#This Row],[HDL (mg/dL)2]]+Table1[[#This Row],[Estimated LDL (mg/dL)2]])*5</f>
        <v>1170</v>
      </c>
      <c r="U1424" s="8">
        <f>IF(O1424="",Table1[[#This Row],[Estimated LDL (mg/dL)2]]+Table1[[#This Row],[HDL (mg/dL)2]]+(Table1[[#This Row],[Triglycerides]]/5),O1424)</f>
        <v>132</v>
      </c>
      <c r="V1424">
        <v>168</v>
      </c>
      <c r="W1424" s="8">
        <f t="shared" si="318"/>
        <v>168</v>
      </c>
      <c r="X1424" t="str">
        <f t="shared" si="319"/>
        <v>Diabetes</v>
      </c>
      <c r="Y1424" t="s">
        <v>23</v>
      </c>
      <c r="Z1424" t="s">
        <v>22</v>
      </c>
      <c r="AA1424" t="s">
        <v>24</v>
      </c>
      <c r="AB1424" s="3" t="s">
        <v>1208</v>
      </c>
      <c r="AC1424">
        <v>128</v>
      </c>
      <c r="AD1424" s="3" t="str">
        <f t="shared" si="320"/>
        <v>128</v>
      </c>
      <c r="AE1424">
        <v>110</v>
      </c>
      <c r="AF1424" s="3" t="str">
        <f t="shared" si="321"/>
        <v>110</v>
      </c>
      <c r="AG1424" t="s">
        <v>38</v>
      </c>
      <c r="AH1424" s="3">
        <v>12.907</v>
      </c>
      <c r="AI1424" s="3">
        <f t="shared" si="322"/>
        <v>12.907</v>
      </c>
      <c r="AJ1424" t="s">
        <v>30</v>
      </c>
      <c r="AK1424" t="str">
        <f>PROPER(Table1[[#This Row],[CVD Risk Level]])</f>
        <v>High</v>
      </c>
    </row>
    <row r="1425" spans="1:37" x14ac:dyDescent="0.3">
      <c r="A1425" t="s">
        <v>20</v>
      </c>
      <c r="B1425">
        <v>75</v>
      </c>
      <c r="C1425" s="8">
        <f t="shared" si="311"/>
        <v>75</v>
      </c>
      <c r="D1425" s="5">
        <v>73.453000000000003</v>
      </c>
      <c r="E1425" s="8">
        <f t="shared" si="312"/>
        <v>73.453000000000003</v>
      </c>
      <c r="F1425">
        <v>1.8959999999999999</v>
      </c>
      <c r="G1425" s="3">
        <f t="shared" si="313"/>
        <v>1.8959999999999999</v>
      </c>
      <c r="H1425">
        <v>23.978999999999999</v>
      </c>
      <c r="I1425" s="5">
        <f t="shared" si="309"/>
        <v>23.978999999999999</v>
      </c>
      <c r="J1425" s="16" t="str">
        <f t="shared" si="314"/>
        <v>Normal</v>
      </c>
      <c r="K1425">
        <v>93.376999999999995</v>
      </c>
      <c r="L1425">
        <v>0.49299999999999999</v>
      </c>
      <c r="M1425" s="11">
        <f t="shared" si="310"/>
        <v>0.49299999999999999</v>
      </c>
      <c r="N1425" s="5">
        <f t="shared" si="315"/>
        <v>93.376999999999995</v>
      </c>
      <c r="O1425">
        <v>275</v>
      </c>
      <c r="Q1425" s="8">
        <f t="shared" si="316"/>
        <v>56.197377501725327</v>
      </c>
      <c r="R1425" s="8">
        <v>208</v>
      </c>
      <c r="S1425" s="8">
        <f>IF(R1425&lt;=0,MEDIAN($R$2:$R$1530),R1425)</f>
        <v>208</v>
      </c>
      <c r="T1425" s="8">
        <f>(Table1[[#This Row],[Total Cholesterol (mg/dL)]]+Table1[[#This Row],[HDL (mg/dL)2]]+Table1[[#This Row],[Estimated LDL (mg/dL)2]])*5</f>
        <v>2695.9868875086268</v>
      </c>
      <c r="U1425" s="8">
        <f>IF(O1425="",Table1[[#This Row],[Estimated LDL (mg/dL)2]]+Table1[[#This Row],[HDL (mg/dL)2]]+(Table1[[#This Row],[Triglycerides]]/5),O1425)</f>
        <v>275</v>
      </c>
      <c r="V1425">
        <v>74</v>
      </c>
      <c r="W1425" s="8">
        <f t="shared" si="318"/>
        <v>74</v>
      </c>
      <c r="X1425" t="str">
        <f t="shared" si="319"/>
        <v>Normal</v>
      </c>
      <c r="Y1425" t="s">
        <v>22</v>
      </c>
      <c r="Z1425" t="s">
        <v>22</v>
      </c>
      <c r="AA1425" t="s">
        <v>37</v>
      </c>
      <c r="AB1425" s="3" t="s">
        <v>1209</v>
      </c>
      <c r="AC1425">
        <v>166</v>
      </c>
      <c r="AD1425" s="3" t="str">
        <f t="shared" si="320"/>
        <v>166</v>
      </c>
      <c r="AE1425">
        <v>111</v>
      </c>
      <c r="AF1425" s="3" t="str">
        <f t="shared" si="321"/>
        <v>111</v>
      </c>
      <c r="AG1425" t="s">
        <v>38</v>
      </c>
      <c r="AH1425" s="3">
        <v>18.596</v>
      </c>
      <c r="AI1425" s="3">
        <f t="shared" si="322"/>
        <v>18.596</v>
      </c>
      <c r="AJ1425" t="s">
        <v>30</v>
      </c>
      <c r="AK1425" t="str">
        <f>PROPER(Table1[[#This Row],[CVD Risk Level]])</f>
        <v>High</v>
      </c>
    </row>
    <row r="1426" spans="1:37" x14ac:dyDescent="0.3">
      <c r="A1426" t="s">
        <v>20</v>
      </c>
      <c r="B1426">
        <v>26</v>
      </c>
      <c r="C1426" s="8">
        <f t="shared" si="311"/>
        <v>26</v>
      </c>
      <c r="D1426" s="5">
        <v>50.716999999999999</v>
      </c>
      <c r="E1426" s="8">
        <f t="shared" si="312"/>
        <v>50.716999999999999</v>
      </c>
      <c r="F1426">
        <v>1.8360000000000001</v>
      </c>
      <c r="G1426" s="3">
        <f t="shared" si="313"/>
        <v>1.8360000000000001</v>
      </c>
      <c r="H1426">
        <v>35.741999999999997</v>
      </c>
      <c r="I1426" s="5">
        <f t="shared" si="309"/>
        <v>35.741999999999997</v>
      </c>
      <c r="J1426" s="16" t="str">
        <f t="shared" si="314"/>
        <v>Obese</v>
      </c>
      <c r="L1426">
        <v>0.64600000000000002</v>
      </c>
      <c r="M1426" s="11">
        <f t="shared" si="310"/>
        <v>0.64600000000000002</v>
      </c>
      <c r="N1426" s="5">
        <f t="shared" si="315"/>
        <v>118.6056</v>
      </c>
      <c r="O1426">
        <v>260</v>
      </c>
      <c r="P1426">
        <v>82</v>
      </c>
      <c r="Q1426" s="8">
        <f t="shared" si="316"/>
        <v>82</v>
      </c>
      <c r="R1426" s="8">
        <v>148</v>
      </c>
      <c r="S1426" s="8">
        <f t="shared" si="317"/>
        <v>148</v>
      </c>
      <c r="T1426" s="8">
        <f>(Table1[[#This Row],[Total Cholesterol (mg/dL)]]+Table1[[#This Row],[HDL (mg/dL)2]]+Table1[[#This Row],[Estimated LDL (mg/dL)2]])*5</f>
        <v>2450</v>
      </c>
      <c r="U1426" s="8">
        <f>IF(O1426="",Table1[[#This Row],[Estimated LDL (mg/dL)2]]+Table1[[#This Row],[HDL (mg/dL)2]]+(Table1[[#This Row],[Triglycerides]]/5),O1426)</f>
        <v>260</v>
      </c>
      <c r="V1426">
        <v>124</v>
      </c>
      <c r="W1426" s="8">
        <f t="shared" si="318"/>
        <v>124</v>
      </c>
      <c r="X1426" t="str">
        <f t="shared" si="319"/>
        <v>Prediabetes</v>
      </c>
      <c r="Y1426" t="s">
        <v>23</v>
      </c>
      <c r="Z1426" t="s">
        <v>22</v>
      </c>
      <c r="AA1426" t="s">
        <v>28</v>
      </c>
      <c r="AB1426" s="3" t="s">
        <v>1210</v>
      </c>
      <c r="AC1426">
        <v>159</v>
      </c>
      <c r="AD1426" s="3" t="str">
        <f t="shared" si="320"/>
        <v>159</v>
      </c>
      <c r="AE1426">
        <v>81</v>
      </c>
      <c r="AF1426" s="3" t="str">
        <f t="shared" si="321"/>
        <v>81</v>
      </c>
      <c r="AG1426" t="s">
        <v>29</v>
      </c>
      <c r="AH1426" s="3">
        <v>20.297999999999998</v>
      </c>
      <c r="AI1426" s="3">
        <f t="shared" si="322"/>
        <v>20.297999999999998</v>
      </c>
      <c r="AJ1426" t="s">
        <v>30</v>
      </c>
      <c r="AK1426" t="str">
        <f>PROPER(Table1[[#This Row],[CVD Risk Level]])</f>
        <v>High</v>
      </c>
    </row>
    <row r="1427" spans="1:37" x14ac:dyDescent="0.3">
      <c r="A1427" t="s">
        <v>20</v>
      </c>
      <c r="B1427">
        <v>47</v>
      </c>
      <c r="C1427" s="8">
        <f t="shared" si="311"/>
        <v>47</v>
      </c>
      <c r="D1427" s="5">
        <v>115.197</v>
      </c>
      <c r="E1427" s="8">
        <f t="shared" si="312"/>
        <v>115.197</v>
      </c>
      <c r="G1427" s="3">
        <f t="shared" si="313"/>
        <v>2.4803974052934108</v>
      </c>
      <c r="H1427">
        <v>18.724</v>
      </c>
      <c r="I1427" s="5">
        <f t="shared" si="309"/>
        <v>18.724</v>
      </c>
      <c r="J1427" s="16" t="str">
        <f t="shared" si="314"/>
        <v>Normal</v>
      </c>
      <c r="K1427">
        <v>116.8</v>
      </c>
      <c r="L1427">
        <v>0.63500000000000001</v>
      </c>
      <c r="M1427" s="11">
        <f t="shared" si="310"/>
        <v>0.63500000000000001</v>
      </c>
      <c r="N1427" s="5">
        <f t="shared" si="315"/>
        <v>116.8</v>
      </c>
      <c r="O1427">
        <v>203</v>
      </c>
      <c r="P1427">
        <v>45</v>
      </c>
      <c r="Q1427" s="8">
        <f t="shared" si="316"/>
        <v>45</v>
      </c>
      <c r="R1427" s="8">
        <v>128</v>
      </c>
      <c r="S1427" s="8">
        <f t="shared" si="317"/>
        <v>128</v>
      </c>
      <c r="T1427" s="8">
        <f>(Table1[[#This Row],[Total Cholesterol (mg/dL)]]+Table1[[#This Row],[HDL (mg/dL)2]]+Table1[[#This Row],[Estimated LDL (mg/dL)2]])*5</f>
        <v>1880</v>
      </c>
      <c r="U1427" s="8">
        <f>IF(O1427="",Table1[[#This Row],[Estimated LDL (mg/dL)2]]+Table1[[#This Row],[HDL (mg/dL)2]]+(Table1[[#This Row],[Triglycerides]]/5),O1427)</f>
        <v>203</v>
      </c>
      <c r="V1427">
        <v>123</v>
      </c>
      <c r="W1427" s="8">
        <f t="shared" si="318"/>
        <v>123</v>
      </c>
      <c r="X1427" t="str">
        <f t="shared" si="319"/>
        <v>Prediabetes</v>
      </c>
      <c r="Y1427" t="s">
        <v>22</v>
      </c>
      <c r="Z1427" t="s">
        <v>23</v>
      </c>
      <c r="AA1427" t="s">
        <v>37</v>
      </c>
      <c r="AB1427" s="3" t="s">
        <v>538</v>
      </c>
      <c r="AC1427">
        <v>102</v>
      </c>
      <c r="AD1427" s="3" t="str">
        <f t="shared" si="320"/>
        <v>102</v>
      </c>
      <c r="AF1427" s="3" t="str">
        <f t="shared" si="321"/>
        <v>84</v>
      </c>
      <c r="AG1427" t="s">
        <v>29</v>
      </c>
      <c r="AH1427" s="3">
        <v>14.904999999999999</v>
      </c>
      <c r="AI1427" s="3">
        <f t="shared" si="322"/>
        <v>14.904999999999999</v>
      </c>
      <c r="AJ1427" t="s">
        <v>52</v>
      </c>
      <c r="AK1427" t="str">
        <f>PROPER(Table1[[#This Row],[CVD Risk Level]])</f>
        <v>Low</v>
      </c>
    </row>
    <row r="1428" spans="1:37" x14ac:dyDescent="0.3">
      <c r="A1428" t="s">
        <v>20</v>
      </c>
      <c r="B1428">
        <v>62</v>
      </c>
      <c r="C1428" s="8">
        <f t="shared" si="311"/>
        <v>62</v>
      </c>
      <c r="D1428" s="5">
        <v>103.37</v>
      </c>
      <c r="E1428" s="8">
        <f t="shared" si="312"/>
        <v>103.37</v>
      </c>
      <c r="F1428">
        <v>1.571</v>
      </c>
      <c r="G1428" s="3">
        <f t="shared" si="313"/>
        <v>1.571</v>
      </c>
      <c r="H1428">
        <v>37.728000000000002</v>
      </c>
      <c r="I1428" s="5">
        <f t="shared" si="309"/>
        <v>37.728000000000002</v>
      </c>
      <c r="J1428" s="16" t="str">
        <f t="shared" si="314"/>
        <v>Obese</v>
      </c>
      <c r="K1428">
        <v>94.123999999999995</v>
      </c>
      <c r="L1428">
        <v>0.59899999999999998</v>
      </c>
      <c r="M1428" s="11">
        <f t="shared" si="310"/>
        <v>0.59899999999999998</v>
      </c>
      <c r="N1428" s="5">
        <f t="shared" si="315"/>
        <v>94.123999999999995</v>
      </c>
      <c r="O1428">
        <v>273</v>
      </c>
      <c r="P1428">
        <v>38</v>
      </c>
      <c r="Q1428" s="8">
        <f t="shared" si="316"/>
        <v>38</v>
      </c>
      <c r="R1428" s="8">
        <v>205</v>
      </c>
      <c r="S1428" s="8">
        <f t="shared" si="317"/>
        <v>205</v>
      </c>
      <c r="T1428" s="8">
        <f>(Table1[[#This Row],[Total Cholesterol (mg/dL)]]+Table1[[#This Row],[HDL (mg/dL)2]]+Table1[[#This Row],[Estimated LDL (mg/dL)2]])*5</f>
        <v>2580</v>
      </c>
      <c r="U1428" s="8">
        <f>IF(O1428="",Table1[[#This Row],[Estimated LDL (mg/dL)2]]+Table1[[#This Row],[HDL (mg/dL)2]]+(Table1[[#This Row],[Triglycerides]]/5),O1428)</f>
        <v>273</v>
      </c>
      <c r="V1428">
        <v>177</v>
      </c>
      <c r="W1428" s="8">
        <f t="shared" si="318"/>
        <v>177</v>
      </c>
      <c r="X1428" t="str">
        <f t="shared" si="319"/>
        <v>Diabetes</v>
      </c>
      <c r="Y1428" t="s">
        <v>23</v>
      </c>
      <c r="Z1428" t="s">
        <v>23</v>
      </c>
      <c r="AA1428" t="s">
        <v>37</v>
      </c>
      <c r="AB1428" s="3" t="s">
        <v>1211</v>
      </c>
      <c r="AC1428">
        <v>134</v>
      </c>
      <c r="AD1428" s="3" t="str">
        <f t="shared" si="320"/>
        <v>134</v>
      </c>
      <c r="AE1428">
        <v>110</v>
      </c>
      <c r="AF1428" s="3" t="str">
        <f t="shared" si="321"/>
        <v>110</v>
      </c>
      <c r="AG1428" t="s">
        <v>29</v>
      </c>
      <c r="AH1428" s="3">
        <v>21.706</v>
      </c>
      <c r="AI1428" s="3">
        <f t="shared" si="322"/>
        <v>21.706</v>
      </c>
      <c r="AJ1428" t="s">
        <v>52</v>
      </c>
      <c r="AK1428" t="str">
        <f>PROPER(Table1[[#This Row],[CVD Risk Level]])</f>
        <v>Low</v>
      </c>
    </row>
    <row r="1429" spans="1:37" x14ac:dyDescent="0.3">
      <c r="A1429" t="s">
        <v>31</v>
      </c>
      <c r="B1429">
        <v>64</v>
      </c>
      <c r="C1429" s="8">
        <f t="shared" si="311"/>
        <v>64</v>
      </c>
      <c r="E1429" s="8">
        <f t="shared" si="312"/>
        <v>74.294953002</v>
      </c>
      <c r="F1429">
        <v>1.899</v>
      </c>
      <c r="G1429" s="3">
        <f t="shared" si="313"/>
        <v>1.899</v>
      </c>
      <c r="H1429">
        <v>20.602</v>
      </c>
      <c r="I1429" s="5">
        <f t="shared" si="309"/>
        <v>20.602</v>
      </c>
      <c r="J1429" s="16" t="str">
        <f t="shared" si="314"/>
        <v>Normal</v>
      </c>
      <c r="K1429">
        <v>80.350999999999999</v>
      </c>
      <c r="L1429">
        <v>0.42299999999999999</v>
      </c>
      <c r="M1429" s="11">
        <f t="shared" si="310"/>
        <v>0.42299999999999999</v>
      </c>
      <c r="N1429" s="5">
        <f t="shared" si="315"/>
        <v>80.350999999999999</v>
      </c>
      <c r="O1429">
        <v>296</v>
      </c>
      <c r="P1429">
        <v>83</v>
      </c>
      <c r="Q1429" s="8">
        <f t="shared" si="316"/>
        <v>83</v>
      </c>
      <c r="R1429" s="8">
        <v>183</v>
      </c>
      <c r="S1429" s="8">
        <f t="shared" si="317"/>
        <v>183</v>
      </c>
      <c r="T1429" s="8">
        <f>(Table1[[#This Row],[Total Cholesterol (mg/dL)]]+Table1[[#This Row],[HDL (mg/dL)2]]+Table1[[#This Row],[Estimated LDL (mg/dL)2]])*5</f>
        <v>2810</v>
      </c>
      <c r="U1429" s="8">
        <f>IF(O1429="",Table1[[#This Row],[Estimated LDL (mg/dL)2]]+Table1[[#This Row],[HDL (mg/dL)2]]+(Table1[[#This Row],[Triglycerides]]/5),O1429)</f>
        <v>296</v>
      </c>
      <c r="V1429">
        <v>139</v>
      </c>
      <c r="W1429" s="8">
        <f t="shared" si="318"/>
        <v>139</v>
      </c>
      <c r="X1429" t="str">
        <f t="shared" si="319"/>
        <v>Diabetes</v>
      </c>
      <c r="Y1429" t="s">
        <v>23</v>
      </c>
      <c r="Z1429" t="s">
        <v>22</v>
      </c>
      <c r="AA1429" t="s">
        <v>37</v>
      </c>
      <c r="AB1429" s="3" t="s">
        <v>1212</v>
      </c>
      <c r="AC1429">
        <v>144</v>
      </c>
      <c r="AD1429" s="3" t="str">
        <f t="shared" si="320"/>
        <v>144</v>
      </c>
      <c r="AE1429">
        <v>77</v>
      </c>
      <c r="AF1429" s="3" t="str">
        <f t="shared" si="321"/>
        <v>77</v>
      </c>
      <c r="AG1429" t="s">
        <v>38</v>
      </c>
      <c r="AH1429" s="3">
        <v>17.239999999999998</v>
      </c>
      <c r="AI1429" s="3">
        <f t="shared" si="322"/>
        <v>17.239999999999998</v>
      </c>
      <c r="AJ1429" t="s">
        <v>26</v>
      </c>
      <c r="AK1429" t="str">
        <f>PROPER(Table1[[#This Row],[CVD Risk Level]])</f>
        <v>Intermediary</v>
      </c>
    </row>
    <row r="1430" spans="1:37" x14ac:dyDescent="0.3">
      <c r="A1430" t="s">
        <v>31</v>
      </c>
      <c r="B1430">
        <v>50</v>
      </c>
      <c r="C1430" s="8">
        <f t="shared" si="311"/>
        <v>50</v>
      </c>
      <c r="D1430" s="5">
        <v>50.427999999999997</v>
      </c>
      <c r="E1430" s="8">
        <f t="shared" si="312"/>
        <v>50.427999999999997</v>
      </c>
      <c r="F1430">
        <v>1.7629999999999999</v>
      </c>
      <c r="G1430" s="3">
        <f t="shared" si="313"/>
        <v>1.7629999999999999</v>
      </c>
      <c r="H1430">
        <v>36.606999999999999</v>
      </c>
      <c r="I1430" s="5">
        <f t="shared" si="309"/>
        <v>36.606999999999999</v>
      </c>
      <c r="J1430" s="16" t="str">
        <f t="shared" si="314"/>
        <v>Obese</v>
      </c>
      <c r="K1430">
        <v>74.566999999999993</v>
      </c>
      <c r="L1430">
        <v>0.42299999999999999</v>
      </c>
      <c r="M1430" s="11">
        <f t="shared" si="310"/>
        <v>0.42299999999999999</v>
      </c>
      <c r="N1430" s="5">
        <f t="shared" si="315"/>
        <v>74.566999999999993</v>
      </c>
      <c r="O1430">
        <v>255</v>
      </c>
      <c r="P1430">
        <v>35</v>
      </c>
      <c r="Q1430" s="8">
        <f t="shared" si="316"/>
        <v>35</v>
      </c>
      <c r="R1430" s="8">
        <v>190</v>
      </c>
      <c r="S1430" s="8">
        <f t="shared" si="317"/>
        <v>190</v>
      </c>
      <c r="T1430" s="8">
        <f>(Table1[[#This Row],[Total Cholesterol (mg/dL)]]+Table1[[#This Row],[HDL (mg/dL)2]]+Table1[[#This Row],[Estimated LDL (mg/dL)2]])*5</f>
        <v>2400</v>
      </c>
      <c r="U1430" s="8">
        <f>IF(O1430="",Table1[[#This Row],[Estimated LDL (mg/dL)2]]+Table1[[#This Row],[HDL (mg/dL)2]]+(Table1[[#This Row],[Triglycerides]]/5),O1430)</f>
        <v>255</v>
      </c>
      <c r="V1430">
        <v>107</v>
      </c>
      <c r="W1430" s="8">
        <f t="shared" si="318"/>
        <v>107</v>
      </c>
      <c r="X1430" t="str">
        <f t="shared" si="319"/>
        <v>Prediabetes</v>
      </c>
      <c r="Y1430" t="s">
        <v>22</v>
      </c>
      <c r="Z1430" t="s">
        <v>22</v>
      </c>
      <c r="AA1430" t="s">
        <v>37</v>
      </c>
      <c r="AB1430" s="3" t="s">
        <v>1213</v>
      </c>
      <c r="AC1430">
        <v>172</v>
      </c>
      <c r="AD1430" s="3" t="str">
        <f t="shared" si="320"/>
        <v>172</v>
      </c>
      <c r="AE1430">
        <v>111</v>
      </c>
      <c r="AF1430" s="3" t="str">
        <f t="shared" si="321"/>
        <v>111</v>
      </c>
      <c r="AG1430" t="s">
        <v>38</v>
      </c>
      <c r="AH1430" s="3">
        <v>21.021000000000001</v>
      </c>
      <c r="AI1430" s="3">
        <f t="shared" si="322"/>
        <v>21.021000000000001</v>
      </c>
      <c r="AJ1430" t="s">
        <v>52</v>
      </c>
      <c r="AK1430" t="str">
        <f>PROPER(Table1[[#This Row],[CVD Risk Level]])</f>
        <v>Low</v>
      </c>
    </row>
    <row r="1431" spans="1:37" x14ac:dyDescent="0.3">
      <c r="A1431" t="s">
        <v>31</v>
      </c>
      <c r="B1431">
        <v>67</v>
      </c>
      <c r="C1431" s="8">
        <f t="shared" si="311"/>
        <v>67</v>
      </c>
      <c r="D1431" s="5">
        <v>70.423000000000002</v>
      </c>
      <c r="E1431" s="8">
        <f t="shared" si="312"/>
        <v>70.423000000000002</v>
      </c>
      <c r="F1431">
        <v>1.7829999999999999</v>
      </c>
      <c r="G1431" s="3">
        <f t="shared" si="313"/>
        <v>1.7829999999999999</v>
      </c>
      <c r="H1431">
        <v>19.995000000000001</v>
      </c>
      <c r="I1431" s="5">
        <f t="shared" si="309"/>
        <v>19.995000000000001</v>
      </c>
      <c r="J1431" s="16" t="str">
        <f t="shared" si="314"/>
        <v>Normal</v>
      </c>
      <c r="K1431">
        <v>95.591999999999999</v>
      </c>
      <c r="L1431">
        <v>0.53600000000000003</v>
      </c>
      <c r="M1431" s="11">
        <f t="shared" si="310"/>
        <v>0.53600000000000003</v>
      </c>
      <c r="N1431" s="5">
        <f t="shared" si="315"/>
        <v>95.591999999999999</v>
      </c>
      <c r="O1431">
        <v>226</v>
      </c>
      <c r="P1431">
        <v>72</v>
      </c>
      <c r="Q1431" s="8">
        <f t="shared" si="316"/>
        <v>72</v>
      </c>
      <c r="R1431" s="8">
        <v>124</v>
      </c>
      <c r="S1431" s="8">
        <f>IF(R1431&lt;=0,MEDIAN($R$2:$R$1530),R1431)</f>
        <v>124</v>
      </c>
      <c r="T1431" s="8">
        <f>(Table1[[#This Row],[Total Cholesterol (mg/dL)]]+Table1[[#This Row],[HDL (mg/dL)2]]+Table1[[#This Row],[Estimated LDL (mg/dL)2]])*5</f>
        <v>2110</v>
      </c>
      <c r="U1431" s="8">
        <f>IF(O1431="",Table1[[#This Row],[Estimated LDL (mg/dL)2]]+Table1[[#This Row],[HDL (mg/dL)2]]+(Table1[[#This Row],[Triglycerides]]/5),O1431)</f>
        <v>226</v>
      </c>
      <c r="V1431">
        <v>136</v>
      </c>
      <c r="W1431" s="8">
        <f t="shared" si="318"/>
        <v>136</v>
      </c>
      <c r="X1431" t="str">
        <f t="shared" si="319"/>
        <v>Diabetes</v>
      </c>
      <c r="Y1431" t="s">
        <v>23</v>
      </c>
      <c r="Z1431" t="s">
        <v>23</v>
      </c>
      <c r="AA1431" t="s">
        <v>37</v>
      </c>
      <c r="AB1431" s="3" t="s">
        <v>1214</v>
      </c>
      <c r="AC1431">
        <v>175</v>
      </c>
      <c r="AD1431" s="3" t="str">
        <f t="shared" si="320"/>
        <v>175</v>
      </c>
      <c r="AE1431">
        <v>107</v>
      </c>
      <c r="AF1431" s="3" t="str">
        <f t="shared" si="321"/>
        <v>107</v>
      </c>
      <c r="AG1431" t="s">
        <v>38</v>
      </c>
      <c r="AH1431" s="3">
        <v>19.268999999999998</v>
      </c>
      <c r="AI1431" s="3">
        <f t="shared" si="322"/>
        <v>19.268999999999998</v>
      </c>
      <c r="AJ1431" t="s">
        <v>52</v>
      </c>
      <c r="AK1431" t="str">
        <f>PROPER(Table1[[#This Row],[CVD Risk Level]])</f>
        <v>Low</v>
      </c>
    </row>
    <row r="1432" spans="1:37" x14ac:dyDescent="0.3">
      <c r="A1432" t="s">
        <v>31</v>
      </c>
      <c r="B1432">
        <v>57</v>
      </c>
      <c r="C1432" s="8">
        <f t="shared" si="311"/>
        <v>57</v>
      </c>
      <c r="D1432" s="5">
        <v>51.844999999999999</v>
      </c>
      <c r="E1432" s="8">
        <f t="shared" si="312"/>
        <v>51.844999999999999</v>
      </c>
      <c r="F1432">
        <v>1.7549999999999999</v>
      </c>
      <c r="G1432" s="3">
        <f t="shared" si="313"/>
        <v>1.7549999999999999</v>
      </c>
      <c r="H1432">
        <v>23.094000000000001</v>
      </c>
      <c r="I1432" s="5">
        <f t="shared" si="309"/>
        <v>23.094000000000001</v>
      </c>
      <c r="J1432" s="16" t="str">
        <f t="shared" si="314"/>
        <v>Normal</v>
      </c>
      <c r="K1432">
        <v>112.218</v>
      </c>
      <c r="L1432">
        <v>0.63900000000000001</v>
      </c>
      <c r="M1432" s="11">
        <f t="shared" si="310"/>
        <v>0.63900000000000001</v>
      </c>
      <c r="N1432" s="5">
        <f t="shared" si="315"/>
        <v>112.218</v>
      </c>
      <c r="O1432">
        <v>211</v>
      </c>
      <c r="P1432">
        <v>30</v>
      </c>
      <c r="Q1432" s="8">
        <f t="shared" si="316"/>
        <v>30</v>
      </c>
      <c r="R1432" s="8">
        <v>151</v>
      </c>
      <c r="S1432" s="8">
        <f t="shared" si="317"/>
        <v>151</v>
      </c>
      <c r="T1432" s="8">
        <f>(Table1[[#This Row],[Total Cholesterol (mg/dL)]]+Table1[[#This Row],[HDL (mg/dL)2]]+Table1[[#This Row],[Estimated LDL (mg/dL)2]])*5</f>
        <v>1960</v>
      </c>
      <c r="U1432" s="8">
        <f>IF(O1432="",Table1[[#This Row],[Estimated LDL (mg/dL)2]]+Table1[[#This Row],[HDL (mg/dL)2]]+(Table1[[#This Row],[Triglycerides]]/5),O1432)</f>
        <v>211</v>
      </c>
      <c r="V1432">
        <v>79</v>
      </c>
      <c r="W1432" s="8">
        <f t="shared" si="318"/>
        <v>79</v>
      </c>
      <c r="X1432" t="str">
        <f t="shared" si="319"/>
        <v>Normal</v>
      </c>
      <c r="Y1432" t="s">
        <v>23</v>
      </c>
      <c r="Z1432" t="s">
        <v>23</v>
      </c>
      <c r="AA1432" t="s">
        <v>28</v>
      </c>
      <c r="AB1432" s="3" t="s">
        <v>1215</v>
      </c>
      <c r="AC1432">
        <v>164</v>
      </c>
      <c r="AD1432" s="3" t="str">
        <f t="shared" si="320"/>
        <v>164</v>
      </c>
      <c r="AE1432">
        <v>78</v>
      </c>
      <c r="AF1432" s="3" t="str">
        <f t="shared" si="321"/>
        <v>78</v>
      </c>
      <c r="AG1432" t="s">
        <v>38</v>
      </c>
      <c r="AH1432" s="3">
        <v>19.039000000000001</v>
      </c>
      <c r="AI1432" s="3">
        <f t="shared" si="322"/>
        <v>19.039000000000001</v>
      </c>
      <c r="AJ1432" t="s">
        <v>26</v>
      </c>
      <c r="AK1432" t="str">
        <f>PROPER(Table1[[#This Row],[CVD Risk Level]])</f>
        <v>Intermediary</v>
      </c>
    </row>
    <row r="1433" spans="1:37" x14ac:dyDescent="0.3">
      <c r="A1433" t="s">
        <v>31</v>
      </c>
      <c r="B1433">
        <v>77</v>
      </c>
      <c r="C1433" s="8">
        <f t="shared" si="311"/>
        <v>77</v>
      </c>
      <c r="D1433" s="5">
        <v>79.807000000000002</v>
      </c>
      <c r="E1433" s="8">
        <f t="shared" si="312"/>
        <v>79.807000000000002</v>
      </c>
      <c r="F1433">
        <v>1.5449999999999999</v>
      </c>
      <c r="G1433" s="3">
        <f t="shared" si="313"/>
        <v>1.5449999999999999</v>
      </c>
      <c r="H1433">
        <v>38.128</v>
      </c>
      <c r="I1433" s="5">
        <f t="shared" si="309"/>
        <v>38.128</v>
      </c>
      <c r="J1433" s="16" t="str">
        <f t="shared" si="314"/>
        <v>Obese</v>
      </c>
      <c r="L1433">
        <v>0.47199999999999998</v>
      </c>
      <c r="M1433" s="11">
        <f t="shared" si="310"/>
        <v>0.47199999999999998</v>
      </c>
      <c r="N1433" s="5">
        <f t="shared" si="315"/>
        <v>72.923999999999992</v>
      </c>
      <c r="O1433">
        <v>201</v>
      </c>
      <c r="P1433">
        <v>44</v>
      </c>
      <c r="Q1433" s="8">
        <f t="shared" si="316"/>
        <v>44</v>
      </c>
      <c r="R1433" s="8">
        <v>127</v>
      </c>
      <c r="S1433" s="8">
        <f t="shared" si="317"/>
        <v>127</v>
      </c>
      <c r="T1433" s="8">
        <f>(Table1[[#This Row],[Total Cholesterol (mg/dL)]]+Table1[[#This Row],[HDL (mg/dL)2]]+Table1[[#This Row],[Estimated LDL (mg/dL)2]])*5</f>
        <v>1860</v>
      </c>
      <c r="U1433" s="8">
        <f>IF(O1433="",Table1[[#This Row],[Estimated LDL (mg/dL)2]]+Table1[[#This Row],[HDL (mg/dL)2]]+(Table1[[#This Row],[Triglycerides]]/5),O1433)</f>
        <v>201</v>
      </c>
      <c r="V1433">
        <v>147</v>
      </c>
      <c r="W1433" s="8">
        <f t="shared" si="318"/>
        <v>147</v>
      </c>
      <c r="X1433" t="str">
        <f t="shared" si="319"/>
        <v>Diabetes</v>
      </c>
      <c r="Y1433" t="s">
        <v>22</v>
      </c>
      <c r="Z1433" t="s">
        <v>23</v>
      </c>
      <c r="AA1433" t="s">
        <v>28</v>
      </c>
      <c r="AB1433" s="3" t="s">
        <v>152</v>
      </c>
      <c r="AC1433">
        <v>128</v>
      </c>
      <c r="AD1433" s="3" t="str">
        <f t="shared" si="320"/>
        <v>128</v>
      </c>
      <c r="AE1433">
        <v>91</v>
      </c>
      <c r="AF1433" s="3" t="str">
        <f t="shared" si="321"/>
        <v>91</v>
      </c>
      <c r="AG1433" t="s">
        <v>38</v>
      </c>
      <c r="AI1433" s="3">
        <f t="shared" si="322"/>
        <v>16.960925291295425</v>
      </c>
      <c r="AJ1433" t="s">
        <v>52</v>
      </c>
      <c r="AK1433" t="str">
        <f>PROPER(Table1[[#This Row],[CVD Risk Level]])</f>
        <v>Low</v>
      </c>
    </row>
    <row r="1434" spans="1:37" x14ac:dyDescent="0.3">
      <c r="A1434" t="s">
        <v>31</v>
      </c>
      <c r="B1434">
        <v>69</v>
      </c>
      <c r="C1434" s="8">
        <f t="shared" si="311"/>
        <v>69</v>
      </c>
      <c r="D1434" s="5">
        <v>59.683999999999997</v>
      </c>
      <c r="E1434" s="8">
        <f t="shared" si="312"/>
        <v>59.683999999999997</v>
      </c>
      <c r="F1434">
        <v>1.94</v>
      </c>
      <c r="G1434" s="3">
        <f t="shared" si="313"/>
        <v>1.94</v>
      </c>
      <c r="H1434">
        <v>23.914000000000001</v>
      </c>
      <c r="I1434" s="5">
        <f t="shared" si="309"/>
        <v>23.914000000000001</v>
      </c>
      <c r="J1434" s="16" t="str">
        <f t="shared" si="314"/>
        <v>Normal</v>
      </c>
      <c r="K1434">
        <v>117.986</v>
      </c>
      <c r="L1434">
        <v>0.60799999999999998</v>
      </c>
      <c r="M1434" s="11">
        <f t="shared" si="310"/>
        <v>0.60799999999999998</v>
      </c>
      <c r="N1434" s="5">
        <f t="shared" si="315"/>
        <v>117.986</v>
      </c>
      <c r="O1434">
        <v>206</v>
      </c>
      <c r="P1434">
        <v>42</v>
      </c>
      <c r="Q1434" s="8">
        <f t="shared" si="316"/>
        <v>42</v>
      </c>
      <c r="R1434" s="8">
        <v>134</v>
      </c>
      <c r="S1434" s="8">
        <f t="shared" si="317"/>
        <v>134</v>
      </c>
      <c r="T1434" s="8">
        <f>(Table1[[#This Row],[Total Cholesterol (mg/dL)]]+Table1[[#This Row],[HDL (mg/dL)2]]+Table1[[#This Row],[Estimated LDL (mg/dL)2]])*5</f>
        <v>1910</v>
      </c>
      <c r="U1434" s="8">
        <f>IF(O1434="",Table1[[#This Row],[Estimated LDL (mg/dL)2]]+Table1[[#This Row],[HDL (mg/dL)2]]+(Table1[[#This Row],[Triglycerides]]/5),O1434)</f>
        <v>206</v>
      </c>
      <c r="V1434">
        <v>140</v>
      </c>
      <c r="W1434" s="8">
        <f t="shared" si="318"/>
        <v>140</v>
      </c>
      <c r="X1434" t="str">
        <f t="shared" si="319"/>
        <v>Diabetes</v>
      </c>
      <c r="Y1434" t="s">
        <v>23</v>
      </c>
      <c r="Z1434" t="s">
        <v>23</v>
      </c>
      <c r="AA1434" t="s">
        <v>28</v>
      </c>
      <c r="AB1434" s="3" t="s">
        <v>1216</v>
      </c>
      <c r="AC1434">
        <v>106</v>
      </c>
      <c r="AD1434" s="3" t="str">
        <f t="shared" si="320"/>
        <v>106</v>
      </c>
      <c r="AE1434">
        <v>115</v>
      </c>
      <c r="AF1434" s="3" t="str">
        <f t="shared" si="321"/>
        <v>115</v>
      </c>
      <c r="AG1434" t="s">
        <v>38</v>
      </c>
      <c r="AH1434" s="3">
        <v>16.202999999999999</v>
      </c>
      <c r="AI1434" s="3">
        <f t="shared" si="322"/>
        <v>16.202999999999999</v>
      </c>
      <c r="AJ1434" t="s">
        <v>30</v>
      </c>
      <c r="AK1434" t="str">
        <f>PROPER(Table1[[#This Row],[CVD Risk Level]])</f>
        <v>High</v>
      </c>
    </row>
    <row r="1435" spans="1:37" x14ac:dyDescent="0.3">
      <c r="A1435" t="s">
        <v>31</v>
      </c>
      <c r="C1435" s="8">
        <f t="shared" si="311"/>
        <v>47.025499655410059</v>
      </c>
      <c r="D1435" s="5">
        <v>69.769000000000005</v>
      </c>
      <c r="E1435" s="8">
        <f t="shared" si="312"/>
        <v>69.769000000000005</v>
      </c>
      <c r="F1435">
        <v>1.696</v>
      </c>
      <c r="G1435" s="3">
        <f t="shared" si="313"/>
        <v>1.696</v>
      </c>
      <c r="H1435">
        <v>22.06</v>
      </c>
      <c r="I1435" s="5">
        <f t="shared" si="309"/>
        <v>22.06</v>
      </c>
      <c r="J1435" s="16" t="str">
        <f t="shared" si="314"/>
        <v>Normal</v>
      </c>
      <c r="K1435">
        <v>74.183999999999997</v>
      </c>
      <c r="L1435">
        <v>0.438</v>
      </c>
      <c r="M1435" s="11">
        <f t="shared" si="310"/>
        <v>0.438</v>
      </c>
      <c r="N1435" s="5">
        <f t="shared" si="315"/>
        <v>74.183999999999997</v>
      </c>
      <c r="O1435">
        <v>197</v>
      </c>
      <c r="P1435">
        <v>65</v>
      </c>
      <c r="Q1435" s="8">
        <f t="shared" si="316"/>
        <v>65</v>
      </c>
      <c r="S1435" s="8">
        <f t="shared" si="317"/>
        <v>109</v>
      </c>
      <c r="T1435" s="8">
        <f>(Table1[[#This Row],[Total Cholesterol (mg/dL)]]+Table1[[#This Row],[HDL (mg/dL)2]]+Table1[[#This Row],[Estimated LDL (mg/dL)2]])*5</f>
        <v>1855</v>
      </c>
      <c r="U1435" s="8">
        <f>IF(O1435="",Table1[[#This Row],[Estimated LDL (mg/dL)2]]+Table1[[#This Row],[HDL (mg/dL)2]]+(Table1[[#This Row],[Triglycerides]]/5),O1435)</f>
        <v>197</v>
      </c>
      <c r="V1435">
        <v>151</v>
      </c>
      <c r="W1435" s="8">
        <f t="shared" si="318"/>
        <v>151</v>
      </c>
      <c r="X1435" t="str">
        <f t="shared" si="319"/>
        <v>Diabetes</v>
      </c>
      <c r="Y1435" t="s">
        <v>23</v>
      </c>
      <c r="Z1435" t="s">
        <v>22</v>
      </c>
      <c r="AA1435" t="s">
        <v>24</v>
      </c>
      <c r="AB1435" s="3" t="s">
        <v>1217</v>
      </c>
      <c r="AC1435">
        <v>120</v>
      </c>
      <c r="AD1435" s="3" t="str">
        <f t="shared" si="320"/>
        <v>120</v>
      </c>
      <c r="AE1435">
        <v>76</v>
      </c>
      <c r="AF1435" s="3" t="str">
        <f t="shared" si="321"/>
        <v>76</v>
      </c>
      <c r="AG1435" t="s">
        <v>25</v>
      </c>
      <c r="AH1435" s="3">
        <v>14.352</v>
      </c>
      <c r="AI1435" s="3">
        <f t="shared" si="322"/>
        <v>14.352</v>
      </c>
      <c r="AJ1435" t="s">
        <v>26</v>
      </c>
      <c r="AK1435" t="str">
        <f>PROPER(Table1[[#This Row],[CVD Risk Level]])</f>
        <v>Intermediary</v>
      </c>
    </row>
    <row r="1436" spans="1:37" x14ac:dyDescent="0.3">
      <c r="A1436" t="s">
        <v>31</v>
      </c>
      <c r="B1436">
        <v>51</v>
      </c>
      <c r="C1436" s="8">
        <f t="shared" si="311"/>
        <v>51</v>
      </c>
      <c r="E1436" s="8">
        <f t="shared" si="312"/>
        <v>96.491560473000007</v>
      </c>
      <c r="F1436">
        <v>1.917</v>
      </c>
      <c r="G1436" s="3">
        <f t="shared" si="313"/>
        <v>1.917</v>
      </c>
      <c r="H1436">
        <v>26.257000000000001</v>
      </c>
      <c r="I1436" s="5">
        <f t="shared" si="309"/>
        <v>26.257000000000001</v>
      </c>
      <c r="J1436" s="16" t="str">
        <f t="shared" si="314"/>
        <v>Overweight</v>
      </c>
      <c r="K1436">
        <v>99.63</v>
      </c>
      <c r="L1436">
        <v>0.52</v>
      </c>
      <c r="M1436" s="11">
        <f t="shared" si="310"/>
        <v>0.52</v>
      </c>
      <c r="N1436" s="5">
        <f t="shared" si="315"/>
        <v>99.63</v>
      </c>
      <c r="O1436">
        <v>157</v>
      </c>
      <c r="P1436">
        <v>62</v>
      </c>
      <c r="Q1436" s="8">
        <f t="shared" si="316"/>
        <v>62</v>
      </c>
      <c r="R1436" s="8">
        <v>65</v>
      </c>
      <c r="S1436" s="8">
        <f t="shared" si="317"/>
        <v>65</v>
      </c>
      <c r="T1436" s="8">
        <f>(Table1[[#This Row],[Total Cholesterol (mg/dL)]]+Table1[[#This Row],[HDL (mg/dL)2]]+Table1[[#This Row],[Estimated LDL (mg/dL)2]])*5</f>
        <v>1420</v>
      </c>
      <c r="U1436" s="8">
        <f>IF(O1436="",Table1[[#This Row],[Estimated LDL (mg/dL)2]]+Table1[[#This Row],[HDL (mg/dL)2]]+(Table1[[#This Row],[Triglycerides]]/5),O1436)</f>
        <v>157</v>
      </c>
      <c r="V1436">
        <v>168</v>
      </c>
      <c r="W1436" s="8">
        <f t="shared" si="318"/>
        <v>168</v>
      </c>
      <c r="X1436" t="str">
        <f t="shared" si="319"/>
        <v>Diabetes</v>
      </c>
      <c r="Y1436" t="s">
        <v>22</v>
      </c>
      <c r="Z1436" t="s">
        <v>23</v>
      </c>
      <c r="AA1436" t="s">
        <v>24</v>
      </c>
      <c r="AB1436" s="3" t="s">
        <v>1218</v>
      </c>
      <c r="AC1436">
        <v>173</v>
      </c>
      <c r="AD1436" s="3" t="str">
        <f t="shared" si="320"/>
        <v>173</v>
      </c>
      <c r="AE1436">
        <v>70</v>
      </c>
      <c r="AF1436" s="3" t="str">
        <f t="shared" si="321"/>
        <v>70</v>
      </c>
      <c r="AG1436" t="s">
        <v>38</v>
      </c>
      <c r="AH1436" s="3">
        <v>19.041</v>
      </c>
      <c r="AI1436" s="3">
        <f t="shared" si="322"/>
        <v>19.041</v>
      </c>
      <c r="AJ1436" t="s">
        <v>26</v>
      </c>
      <c r="AK1436" t="str">
        <f>PROPER(Table1[[#This Row],[CVD Risk Level]])</f>
        <v>Intermediary</v>
      </c>
    </row>
    <row r="1437" spans="1:37" x14ac:dyDescent="0.3">
      <c r="A1437" t="s">
        <v>20</v>
      </c>
      <c r="B1437">
        <v>31</v>
      </c>
      <c r="C1437" s="8">
        <f t="shared" si="311"/>
        <v>31</v>
      </c>
      <c r="D1437" s="5">
        <v>95.747</v>
      </c>
      <c r="E1437" s="8">
        <f t="shared" si="312"/>
        <v>95.747</v>
      </c>
      <c r="F1437">
        <v>1.758</v>
      </c>
      <c r="G1437" s="3">
        <f t="shared" si="313"/>
        <v>1.758</v>
      </c>
      <c r="H1437">
        <v>26.721</v>
      </c>
      <c r="I1437" s="5">
        <f t="shared" si="309"/>
        <v>26.721</v>
      </c>
      <c r="J1437" s="16" t="str">
        <f t="shared" si="314"/>
        <v>Overweight</v>
      </c>
      <c r="K1437">
        <v>74.381</v>
      </c>
      <c r="L1437">
        <v>0.42299999999999999</v>
      </c>
      <c r="M1437" s="11">
        <f t="shared" si="310"/>
        <v>0.42299999999999999</v>
      </c>
      <c r="N1437" s="5">
        <f t="shared" si="315"/>
        <v>74.381</v>
      </c>
      <c r="O1437">
        <v>161</v>
      </c>
      <c r="P1437">
        <v>74</v>
      </c>
      <c r="Q1437" s="8">
        <f t="shared" si="316"/>
        <v>74</v>
      </c>
      <c r="R1437" s="8">
        <v>57</v>
      </c>
      <c r="S1437" s="8">
        <f t="shared" si="317"/>
        <v>57</v>
      </c>
      <c r="T1437" s="8">
        <f>(Table1[[#This Row],[Total Cholesterol (mg/dL)]]+Table1[[#This Row],[HDL (mg/dL)2]]+Table1[[#This Row],[Estimated LDL (mg/dL)2]])*5</f>
        <v>1460</v>
      </c>
      <c r="U1437" s="8">
        <f>IF(O1437="",Table1[[#This Row],[Estimated LDL (mg/dL)2]]+Table1[[#This Row],[HDL (mg/dL)2]]+(Table1[[#This Row],[Triglycerides]]/5),O1437)</f>
        <v>161</v>
      </c>
      <c r="V1437">
        <v>187</v>
      </c>
      <c r="W1437" s="8">
        <f t="shared" si="318"/>
        <v>187</v>
      </c>
      <c r="X1437" t="str">
        <f t="shared" si="319"/>
        <v>Diabetes</v>
      </c>
      <c r="Y1437" t="s">
        <v>23</v>
      </c>
      <c r="Z1437" t="s">
        <v>23</v>
      </c>
      <c r="AA1437" t="s">
        <v>28</v>
      </c>
      <c r="AB1437" s="3" t="s">
        <v>1219</v>
      </c>
      <c r="AC1437">
        <v>121</v>
      </c>
      <c r="AD1437" s="3" t="str">
        <f t="shared" si="320"/>
        <v>121</v>
      </c>
      <c r="AE1437">
        <v>96</v>
      </c>
      <c r="AF1437" s="3" t="str">
        <f t="shared" si="321"/>
        <v>96</v>
      </c>
      <c r="AG1437" t="s">
        <v>38</v>
      </c>
      <c r="AH1437" s="3">
        <v>16.614000000000001</v>
      </c>
      <c r="AI1437" s="3">
        <f t="shared" si="322"/>
        <v>16.614000000000001</v>
      </c>
      <c r="AJ1437" t="s">
        <v>26</v>
      </c>
      <c r="AK1437" t="str">
        <f>PROPER(Table1[[#This Row],[CVD Risk Level]])</f>
        <v>Intermediary</v>
      </c>
    </row>
    <row r="1438" spans="1:37" x14ac:dyDescent="0.3">
      <c r="A1438" t="s">
        <v>31</v>
      </c>
      <c r="B1438">
        <v>62</v>
      </c>
      <c r="C1438" s="8">
        <f t="shared" si="311"/>
        <v>62</v>
      </c>
      <c r="D1438" s="5">
        <v>89.04</v>
      </c>
      <c r="E1438" s="8">
        <f t="shared" si="312"/>
        <v>89.04</v>
      </c>
      <c r="F1438">
        <v>1.57</v>
      </c>
      <c r="G1438" s="3">
        <f t="shared" si="313"/>
        <v>1.57</v>
      </c>
      <c r="H1438">
        <v>37.698999999999998</v>
      </c>
      <c r="I1438" s="5">
        <f t="shared" si="309"/>
        <v>37.698999999999998</v>
      </c>
      <c r="J1438" s="16" t="str">
        <f t="shared" si="314"/>
        <v>Obese</v>
      </c>
      <c r="K1438">
        <v>72.102000000000004</v>
      </c>
      <c r="L1438">
        <v>0.45900000000000002</v>
      </c>
      <c r="M1438" s="11">
        <f t="shared" si="310"/>
        <v>0.45900000000000002</v>
      </c>
      <c r="N1438" s="5">
        <f t="shared" si="315"/>
        <v>72.102000000000004</v>
      </c>
      <c r="O1438">
        <v>214</v>
      </c>
      <c r="P1438">
        <v>81</v>
      </c>
      <c r="Q1438" s="8">
        <f t="shared" si="316"/>
        <v>81</v>
      </c>
      <c r="S1438" s="8">
        <f t="shared" si="317"/>
        <v>109</v>
      </c>
      <c r="T1438" s="8">
        <f>(Table1[[#This Row],[Total Cholesterol (mg/dL)]]+Table1[[#This Row],[HDL (mg/dL)2]]+Table1[[#This Row],[Estimated LDL (mg/dL)2]])*5</f>
        <v>2020</v>
      </c>
      <c r="U1438" s="8">
        <f>IF(O1438="",Table1[[#This Row],[Estimated LDL (mg/dL)2]]+Table1[[#This Row],[HDL (mg/dL)2]]+(Table1[[#This Row],[Triglycerides]]/5),O1438)</f>
        <v>214</v>
      </c>
      <c r="V1438">
        <v>73</v>
      </c>
      <c r="W1438" s="8">
        <f t="shared" si="318"/>
        <v>73</v>
      </c>
      <c r="X1438" t="str">
        <f t="shared" si="319"/>
        <v>Normal</v>
      </c>
      <c r="Y1438" t="s">
        <v>23</v>
      </c>
      <c r="Z1438" t="s">
        <v>23</v>
      </c>
      <c r="AA1438" t="s">
        <v>28</v>
      </c>
      <c r="AB1438" s="3" t="s">
        <v>1220</v>
      </c>
      <c r="AC1438">
        <v>124</v>
      </c>
      <c r="AD1438" s="3" t="str">
        <f t="shared" si="320"/>
        <v>124</v>
      </c>
      <c r="AE1438">
        <v>102</v>
      </c>
      <c r="AF1438" s="3" t="str">
        <f t="shared" si="321"/>
        <v>102</v>
      </c>
      <c r="AG1438" t="s">
        <v>38</v>
      </c>
      <c r="AH1438" s="3">
        <v>20.02</v>
      </c>
      <c r="AI1438" s="3">
        <f t="shared" si="322"/>
        <v>20.02</v>
      </c>
      <c r="AJ1438" t="s">
        <v>30</v>
      </c>
      <c r="AK1438" t="str">
        <f>PROPER(Table1[[#This Row],[CVD Risk Level]])</f>
        <v>High</v>
      </c>
    </row>
    <row r="1439" spans="1:37" x14ac:dyDescent="0.3">
      <c r="A1439" t="s">
        <v>31</v>
      </c>
      <c r="B1439">
        <v>62</v>
      </c>
      <c r="C1439" s="8">
        <f t="shared" si="311"/>
        <v>62</v>
      </c>
      <c r="D1439" s="5">
        <v>71.14</v>
      </c>
      <c r="E1439" s="8">
        <f t="shared" si="312"/>
        <v>71.14</v>
      </c>
      <c r="F1439">
        <v>1.9650000000000001</v>
      </c>
      <c r="G1439" s="3">
        <f t="shared" si="313"/>
        <v>1.9650000000000001</v>
      </c>
      <c r="H1439">
        <v>36.601999999999997</v>
      </c>
      <c r="I1439" s="5">
        <f t="shared" si="309"/>
        <v>36.601999999999997</v>
      </c>
      <c r="J1439" s="16" t="str">
        <f t="shared" si="314"/>
        <v>Obese</v>
      </c>
      <c r="K1439">
        <v>107.11</v>
      </c>
      <c r="L1439">
        <v>0.54500000000000004</v>
      </c>
      <c r="M1439" s="11">
        <f t="shared" si="310"/>
        <v>0.54500000000000004</v>
      </c>
      <c r="N1439" s="5">
        <f t="shared" si="315"/>
        <v>107.11</v>
      </c>
      <c r="O1439">
        <v>209</v>
      </c>
      <c r="P1439">
        <v>39</v>
      </c>
      <c r="Q1439" s="8">
        <f t="shared" si="316"/>
        <v>39</v>
      </c>
      <c r="R1439" s="8">
        <v>140</v>
      </c>
      <c r="S1439" s="8">
        <f t="shared" si="317"/>
        <v>140</v>
      </c>
      <c r="T1439" s="8">
        <f>(Table1[[#This Row],[Total Cholesterol (mg/dL)]]+Table1[[#This Row],[HDL (mg/dL)2]]+Table1[[#This Row],[Estimated LDL (mg/dL)2]])*5</f>
        <v>1940</v>
      </c>
      <c r="U1439" s="8">
        <f>IF(O1439="",Table1[[#This Row],[Estimated LDL (mg/dL)2]]+Table1[[#This Row],[HDL (mg/dL)2]]+(Table1[[#This Row],[Triglycerides]]/5),O1439)</f>
        <v>209</v>
      </c>
      <c r="V1439">
        <v>113</v>
      </c>
      <c r="W1439" s="8">
        <f t="shared" si="318"/>
        <v>113</v>
      </c>
      <c r="X1439" t="str">
        <f t="shared" si="319"/>
        <v>Prediabetes</v>
      </c>
      <c r="Y1439" t="s">
        <v>22</v>
      </c>
      <c r="Z1439" t="s">
        <v>22</v>
      </c>
      <c r="AA1439" t="s">
        <v>28</v>
      </c>
      <c r="AB1439" s="3" t="s">
        <v>1221</v>
      </c>
      <c r="AC1439">
        <v>178</v>
      </c>
      <c r="AD1439" s="3" t="str">
        <f t="shared" si="320"/>
        <v>178</v>
      </c>
      <c r="AE1439">
        <v>81</v>
      </c>
      <c r="AF1439" s="3" t="str">
        <f t="shared" si="321"/>
        <v>81</v>
      </c>
      <c r="AG1439" t="s">
        <v>29</v>
      </c>
      <c r="AH1439" s="3">
        <v>20.399999999999999</v>
      </c>
      <c r="AI1439" s="3">
        <f t="shared" si="322"/>
        <v>20.399999999999999</v>
      </c>
      <c r="AJ1439" t="s">
        <v>26</v>
      </c>
      <c r="AK1439" t="str">
        <f>PROPER(Table1[[#This Row],[CVD Risk Level]])</f>
        <v>Intermediary</v>
      </c>
    </row>
    <row r="1440" spans="1:37" x14ac:dyDescent="0.3">
      <c r="A1440" t="s">
        <v>31</v>
      </c>
      <c r="B1440">
        <v>55</v>
      </c>
      <c r="C1440" s="8">
        <f t="shared" si="311"/>
        <v>55</v>
      </c>
      <c r="D1440" s="5">
        <v>73.143000000000001</v>
      </c>
      <c r="E1440" s="8">
        <f t="shared" si="312"/>
        <v>73.143000000000001</v>
      </c>
      <c r="F1440">
        <v>1.9259999999999999</v>
      </c>
      <c r="G1440" s="3">
        <f t="shared" si="313"/>
        <v>1.9259999999999999</v>
      </c>
      <c r="H1440">
        <v>23.826000000000001</v>
      </c>
      <c r="I1440" s="5">
        <f t="shared" si="309"/>
        <v>23.826000000000001</v>
      </c>
      <c r="J1440" s="16" t="str">
        <f t="shared" si="314"/>
        <v>Normal</v>
      </c>
      <c r="K1440">
        <v>105.997</v>
      </c>
      <c r="L1440">
        <v>0.55000000000000004</v>
      </c>
      <c r="M1440" s="11">
        <f t="shared" si="310"/>
        <v>0.55000000000000004</v>
      </c>
      <c r="N1440" s="5">
        <f t="shared" si="315"/>
        <v>105.997</v>
      </c>
      <c r="O1440">
        <v>298</v>
      </c>
      <c r="P1440">
        <v>65</v>
      </c>
      <c r="Q1440" s="8">
        <f t="shared" si="316"/>
        <v>65</v>
      </c>
      <c r="R1440" s="8">
        <v>203</v>
      </c>
      <c r="S1440" s="8">
        <f t="shared" si="317"/>
        <v>203</v>
      </c>
      <c r="T1440" s="8">
        <f>(Table1[[#This Row],[Total Cholesterol (mg/dL)]]+Table1[[#This Row],[HDL (mg/dL)2]]+Table1[[#This Row],[Estimated LDL (mg/dL)2]])*5</f>
        <v>2830</v>
      </c>
      <c r="U1440" s="8">
        <f>IF(O1440="",Table1[[#This Row],[Estimated LDL (mg/dL)2]]+Table1[[#This Row],[HDL (mg/dL)2]]+(Table1[[#This Row],[Triglycerides]]/5),O1440)</f>
        <v>298</v>
      </c>
      <c r="V1440">
        <v>133</v>
      </c>
      <c r="W1440" s="8">
        <f t="shared" si="318"/>
        <v>133</v>
      </c>
      <c r="X1440" t="str">
        <f t="shared" si="319"/>
        <v>Diabetes</v>
      </c>
      <c r="Y1440" t="s">
        <v>22</v>
      </c>
      <c r="Z1440" t="s">
        <v>23</v>
      </c>
      <c r="AA1440" t="s">
        <v>28</v>
      </c>
      <c r="AB1440" s="3" t="s">
        <v>49</v>
      </c>
      <c r="AC1440">
        <v>138</v>
      </c>
      <c r="AD1440" s="3" t="str">
        <f t="shared" si="320"/>
        <v>138</v>
      </c>
      <c r="AF1440" s="3" t="str">
        <f t="shared" si="321"/>
        <v>99</v>
      </c>
      <c r="AG1440" t="s">
        <v>29</v>
      </c>
      <c r="AH1440" s="3">
        <v>19.625</v>
      </c>
      <c r="AI1440" s="3">
        <f t="shared" si="322"/>
        <v>19.625</v>
      </c>
      <c r="AJ1440" t="s">
        <v>52</v>
      </c>
      <c r="AK1440" t="str">
        <f>PROPER(Table1[[#This Row],[CVD Risk Level]])</f>
        <v>Low</v>
      </c>
    </row>
    <row r="1441" spans="1:37" x14ac:dyDescent="0.3">
      <c r="A1441" t="s">
        <v>31</v>
      </c>
      <c r="B1441">
        <v>47</v>
      </c>
      <c r="C1441" s="8">
        <f t="shared" si="311"/>
        <v>47</v>
      </c>
      <c r="D1441" s="5">
        <v>110.756</v>
      </c>
      <c r="E1441" s="8">
        <f t="shared" si="312"/>
        <v>110.756</v>
      </c>
      <c r="F1441">
        <v>1.7230000000000001</v>
      </c>
      <c r="G1441" s="3">
        <f t="shared" si="313"/>
        <v>1.7230000000000001</v>
      </c>
      <c r="H1441">
        <v>34.107999999999997</v>
      </c>
      <c r="I1441" s="5">
        <f t="shared" si="309"/>
        <v>34.107999999999997</v>
      </c>
      <c r="J1441" s="16" t="str">
        <f t="shared" si="314"/>
        <v>Obese</v>
      </c>
      <c r="K1441">
        <v>97.134</v>
      </c>
      <c r="L1441">
        <v>0.56399999999999995</v>
      </c>
      <c r="M1441" s="11">
        <f t="shared" si="310"/>
        <v>0.56399999999999995</v>
      </c>
      <c r="N1441" s="5">
        <f t="shared" si="315"/>
        <v>97.134</v>
      </c>
      <c r="O1441">
        <v>192</v>
      </c>
      <c r="P1441">
        <v>87</v>
      </c>
      <c r="Q1441" s="8">
        <f t="shared" si="316"/>
        <v>87</v>
      </c>
      <c r="R1441" s="8">
        <v>75</v>
      </c>
      <c r="S1441" s="8">
        <f t="shared" si="317"/>
        <v>75</v>
      </c>
      <c r="T1441" s="8">
        <f>(Table1[[#This Row],[Total Cholesterol (mg/dL)]]+Table1[[#This Row],[HDL (mg/dL)2]]+Table1[[#This Row],[Estimated LDL (mg/dL)2]])*5</f>
        <v>1770</v>
      </c>
      <c r="U1441" s="8">
        <f>IF(O1441="",Table1[[#This Row],[Estimated LDL (mg/dL)2]]+Table1[[#This Row],[HDL (mg/dL)2]]+(Table1[[#This Row],[Triglycerides]]/5),O1441)</f>
        <v>192</v>
      </c>
      <c r="V1441">
        <v>133</v>
      </c>
      <c r="W1441" s="8">
        <f t="shared" si="318"/>
        <v>133</v>
      </c>
      <c r="X1441" t="str">
        <f t="shared" si="319"/>
        <v>Diabetes</v>
      </c>
      <c r="Y1441" t="s">
        <v>22</v>
      </c>
      <c r="Z1441" t="s">
        <v>23</v>
      </c>
      <c r="AA1441" t="s">
        <v>28</v>
      </c>
      <c r="AB1441" s="3" t="s">
        <v>1127</v>
      </c>
      <c r="AC1441">
        <v>154</v>
      </c>
      <c r="AD1441" s="3" t="str">
        <f t="shared" si="320"/>
        <v>154</v>
      </c>
      <c r="AE1441">
        <v>112</v>
      </c>
      <c r="AF1441" s="3" t="str">
        <f t="shared" si="321"/>
        <v>112</v>
      </c>
      <c r="AG1441" t="s">
        <v>38</v>
      </c>
      <c r="AH1441" s="3">
        <v>20.361999999999998</v>
      </c>
      <c r="AI1441" s="3">
        <f t="shared" si="322"/>
        <v>20.361999999999998</v>
      </c>
      <c r="AJ1441" t="s">
        <v>52</v>
      </c>
      <c r="AK1441" t="str">
        <f>PROPER(Table1[[#This Row],[CVD Risk Level]])</f>
        <v>Low</v>
      </c>
    </row>
    <row r="1442" spans="1:37" x14ac:dyDescent="0.3">
      <c r="A1442" t="s">
        <v>31</v>
      </c>
      <c r="B1442">
        <v>26</v>
      </c>
      <c r="C1442" s="8">
        <f t="shared" si="311"/>
        <v>26</v>
      </c>
      <c r="D1442" s="5">
        <v>66.629000000000005</v>
      </c>
      <c r="E1442" s="8">
        <f t="shared" si="312"/>
        <v>66.629000000000005</v>
      </c>
      <c r="F1442">
        <v>1.8420000000000001</v>
      </c>
      <c r="G1442" s="3">
        <f t="shared" si="313"/>
        <v>1.8420000000000001</v>
      </c>
      <c r="H1442">
        <v>37.856999999999999</v>
      </c>
      <c r="I1442" s="5">
        <f t="shared" si="309"/>
        <v>37.856999999999999</v>
      </c>
      <c r="J1442" s="16" t="str">
        <f t="shared" si="314"/>
        <v>Obese</v>
      </c>
      <c r="K1442">
        <v>112.39100000000001</v>
      </c>
      <c r="M1442" s="11">
        <f t="shared" si="310"/>
        <v>0.61015743756786101</v>
      </c>
      <c r="N1442" s="5">
        <f t="shared" si="315"/>
        <v>112.39100000000001</v>
      </c>
      <c r="O1442">
        <v>154</v>
      </c>
      <c r="P1442">
        <v>35</v>
      </c>
      <c r="Q1442" s="8">
        <f t="shared" si="316"/>
        <v>35</v>
      </c>
      <c r="R1442" s="8">
        <v>89</v>
      </c>
      <c r="S1442" s="8">
        <f t="shared" si="317"/>
        <v>89</v>
      </c>
      <c r="T1442" s="8">
        <f>(Table1[[#This Row],[Total Cholesterol (mg/dL)]]+Table1[[#This Row],[HDL (mg/dL)2]]+Table1[[#This Row],[Estimated LDL (mg/dL)2]])*5</f>
        <v>1390</v>
      </c>
      <c r="U1442" s="8">
        <f>IF(O1442="",Table1[[#This Row],[Estimated LDL (mg/dL)2]]+Table1[[#This Row],[HDL (mg/dL)2]]+(Table1[[#This Row],[Triglycerides]]/5),O1442)</f>
        <v>154</v>
      </c>
      <c r="V1442">
        <v>113</v>
      </c>
      <c r="W1442" s="8">
        <f t="shared" si="318"/>
        <v>113</v>
      </c>
      <c r="X1442" t="str">
        <f t="shared" si="319"/>
        <v>Prediabetes</v>
      </c>
      <c r="Y1442" t="s">
        <v>22</v>
      </c>
      <c r="Z1442" t="s">
        <v>23</v>
      </c>
      <c r="AA1442" t="s">
        <v>24</v>
      </c>
      <c r="AB1442" s="3" t="s">
        <v>1222</v>
      </c>
      <c r="AC1442">
        <v>108</v>
      </c>
      <c r="AD1442" s="3" t="str">
        <f t="shared" si="320"/>
        <v>108</v>
      </c>
      <c r="AE1442">
        <v>88</v>
      </c>
      <c r="AF1442" s="3" t="str">
        <f t="shared" si="321"/>
        <v>88</v>
      </c>
      <c r="AG1442" t="s">
        <v>29</v>
      </c>
      <c r="AH1442" s="3">
        <v>18.050999999999998</v>
      </c>
      <c r="AI1442" s="3">
        <f t="shared" si="322"/>
        <v>18.050999999999998</v>
      </c>
      <c r="AJ1442" t="s">
        <v>30</v>
      </c>
      <c r="AK1442" t="str">
        <f>PROPER(Table1[[#This Row],[CVD Risk Level]])</f>
        <v>High</v>
      </c>
    </row>
    <row r="1443" spans="1:37" x14ac:dyDescent="0.3">
      <c r="A1443" t="s">
        <v>31</v>
      </c>
      <c r="B1443">
        <v>46</v>
      </c>
      <c r="C1443" s="8">
        <f t="shared" si="311"/>
        <v>46</v>
      </c>
      <c r="D1443" s="5">
        <v>107.048</v>
      </c>
      <c r="E1443" s="8">
        <f t="shared" si="312"/>
        <v>107.048</v>
      </c>
      <c r="F1443">
        <v>1.595</v>
      </c>
      <c r="G1443" s="3">
        <f t="shared" si="313"/>
        <v>1.595</v>
      </c>
      <c r="H1443">
        <v>22.024999999999999</v>
      </c>
      <c r="I1443" s="5">
        <f t="shared" si="309"/>
        <v>22.024999999999999</v>
      </c>
      <c r="J1443" s="16" t="str">
        <f t="shared" si="314"/>
        <v>Normal</v>
      </c>
      <c r="K1443">
        <v>81.302999999999997</v>
      </c>
      <c r="L1443">
        <v>0.51</v>
      </c>
      <c r="M1443" s="11">
        <f t="shared" si="310"/>
        <v>0.51</v>
      </c>
      <c r="N1443" s="5">
        <f t="shared" si="315"/>
        <v>81.302999999999997</v>
      </c>
      <c r="O1443">
        <v>173</v>
      </c>
      <c r="Q1443" s="8">
        <f t="shared" si="316"/>
        <v>56.197377501725327</v>
      </c>
      <c r="R1443" s="8">
        <v>109</v>
      </c>
      <c r="S1443" s="8">
        <f t="shared" si="317"/>
        <v>109</v>
      </c>
      <c r="T1443" s="8">
        <f>(Table1[[#This Row],[Total Cholesterol (mg/dL)]]+Table1[[#This Row],[HDL (mg/dL)2]]+Table1[[#This Row],[Estimated LDL (mg/dL)2]])*5</f>
        <v>1690.9868875086268</v>
      </c>
      <c r="U1443" s="8">
        <f>IF(O1443="",Table1[[#This Row],[Estimated LDL (mg/dL)2]]+Table1[[#This Row],[HDL (mg/dL)2]]+(Table1[[#This Row],[Triglycerides]]/5),O1443)</f>
        <v>173</v>
      </c>
      <c r="V1443">
        <v>181</v>
      </c>
      <c r="W1443" s="8">
        <f t="shared" si="318"/>
        <v>181</v>
      </c>
      <c r="X1443" t="str">
        <f t="shared" si="319"/>
        <v>Diabetes</v>
      </c>
      <c r="Y1443" t="s">
        <v>22</v>
      </c>
      <c r="Z1443" t="s">
        <v>23</v>
      </c>
      <c r="AA1443" t="s">
        <v>28</v>
      </c>
      <c r="AB1443" s="3" t="s">
        <v>1223</v>
      </c>
      <c r="AC1443">
        <v>178</v>
      </c>
      <c r="AD1443" s="3" t="str">
        <f t="shared" si="320"/>
        <v>178</v>
      </c>
      <c r="AE1443">
        <v>77</v>
      </c>
      <c r="AF1443" s="3" t="str">
        <f t="shared" si="321"/>
        <v>77</v>
      </c>
      <c r="AG1443" t="s">
        <v>38</v>
      </c>
      <c r="AH1443" s="3">
        <v>18.765000000000001</v>
      </c>
      <c r="AI1443" s="3">
        <f t="shared" si="322"/>
        <v>18.765000000000001</v>
      </c>
      <c r="AJ1443" t="s">
        <v>52</v>
      </c>
      <c r="AK1443" t="str">
        <f>PROPER(Table1[[#This Row],[CVD Risk Level]])</f>
        <v>Low</v>
      </c>
    </row>
    <row r="1444" spans="1:37" x14ac:dyDescent="0.3">
      <c r="A1444" t="s">
        <v>20</v>
      </c>
      <c r="B1444">
        <v>67</v>
      </c>
      <c r="C1444" s="8">
        <f t="shared" si="311"/>
        <v>67</v>
      </c>
      <c r="D1444" s="5">
        <v>69.983999999999995</v>
      </c>
      <c r="E1444" s="8">
        <f t="shared" si="312"/>
        <v>69.983999999999995</v>
      </c>
      <c r="F1444">
        <v>1.6719999999999999</v>
      </c>
      <c r="G1444" s="3">
        <f t="shared" si="313"/>
        <v>1.6719999999999999</v>
      </c>
      <c r="H1444">
        <v>25.939</v>
      </c>
      <c r="I1444" s="5">
        <f t="shared" si="309"/>
        <v>25.939</v>
      </c>
      <c r="J1444" s="16" t="str">
        <f t="shared" si="314"/>
        <v>Overweight</v>
      </c>
      <c r="K1444">
        <v>91.655000000000001</v>
      </c>
      <c r="L1444">
        <v>0.54800000000000004</v>
      </c>
      <c r="M1444" s="11">
        <f t="shared" si="310"/>
        <v>0.54800000000000004</v>
      </c>
      <c r="N1444" s="5">
        <f t="shared" si="315"/>
        <v>91.655000000000001</v>
      </c>
      <c r="O1444">
        <v>136</v>
      </c>
      <c r="P1444">
        <v>71</v>
      </c>
      <c r="Q1444" s="8">
        <f t="shared" si="316"/>
        <v>71</v>
      </c>
      <c r="R1444" s="8">
        <v>35</v>
      </c>
      <c r="S1444" s="8">
        <f t="shared" si="317"/>
        <v>35</v>
      </c>
      <c r="T1444" s="8">
        <f>(Table1[[#This Row],[Total Cholesterol (mg/dL)]]+Table1[[#This Row],[HDL (mg/dL)2]]+Table1[[#This Row],[Estimated LDL (mg/dL)2]])*5</f>
        <v>1210</v>
      </c>
      <c r="U1444" s="8">
        <f>IF(O1444="",Table1[[#This Row],[Estimated LDL (mg/dL)2]]+Table1[[#This Row],[HDL (mg/dL)2]]+(Table1[[#This Row],[Triglycerides]]/5),O1444)</f>
        <v>136</v>
      </c>
      <c r="V1444">
        <v>127</v>
      </c>
      <c r="W1444" s="8">
        <f t="shared" si="318"/>
        <v>127</v>
      </c>
      <c r="X1444" t="str">
        <f t="shared" si="319"/>
        <v>Diabetes</v>
      </c>
      <c r="Y1444" t="s">
        <v>23</v>
      </c>
      <c r="Z1444" t="s">
        <v>23</v>
      </c>
      <c r="AA1444" t="s">
        <v>24</v>
      </c>
      <c r="AB1444" s="3" t="s">
        <v>911</v>
      </c>
      <c r="AC1444">
        <v>129</v>
      </c>
      <c r="AD1444" s="3" t="str">
        <f t="shared" si="320"/>
        <v>129</v>
      </c>
      <c r="AE1444">
        <v>113</v>
      </c>
      <c r="AF1444" s="3" t="str">
        <f t="shared" si="321"/>
        <v>113</v>
      </c>
      <c r="AG1444" t="s">
        <v>38</v>
      </c>
      <c r="AH1444" s="3">
        <v>16.358000000000001</v>
      </c>
      <c r="AI1444" s="3">
        <f t="shared" si="322"/>
        <v>16.358000000000001</v>
      </c>
      <c r="AJ1444" t="s">
        <v>30</v>
      </c>
      <c r="AK1444" t="str">
        <f>PROPER(Table1[[#This Row],[CVD Risk Level]])</f>
        <v>High</v>
      </c>
    </row>
    <row r="1445" spans="1:37" x14ac:dyDescent="0.3">
      <c r="A1445" t="s">
        <v>31</v>
      </c>
      <c r="B1445">
        <v>49</v>
      </c>
      <c r="C1445" s="8">
        <f t="shared" si="311"/>
        <v>49</v>
      </c>
      <c r="D1445" s="5">
        <v>62.814</v>
      </c>
      <c r="E1445" s="8">
        <f t="shared" si="312"/>
        <v>62.814</v>
      </c>
      <c r="F1445">
        <v>1.8360000000000001</v>
      </c>
      <c r="G1445" s="3">
        <f t="shared" si="313"/>
        <v>1.8360000000000001</v>
      </c>
      <c r="H1445">
        <v>23.748999999999999</v>
      </c>
      <c r="I1445" s="5">
        <f t="shared" si="309"/>
        <v>23.748999999999999</v>
      </c>
      <c r="J1445" s="16" t="str">
        <f t="shared" si="314"/>
        <v>Normal</v>
      </c>
      <c r="K1445">
        <v>98.415000000000006</v>
      </c>
      <c r="L1445">
        <v>0.53600000000000003</v>
      </c>
      <c r="M1445" s="11">
        <f t="shared" si="310"/>
        <v>0.53600000000000003</v>
      </c>
      <c r="N1445" s="5">
        <f t="shared" si="315"/>
        <v>98.415000000000006</v>
      </c>
      <c r="O1445">
        <v>254</v>
      </c>
      <c r="P1445">
        <v>44</v>
      </c>
      <c r="Q1445" s="8">
        <f t="shared" si="316"/>
        <v>44</v>
      </c>
      <c r="R1445" s="8">
        <v>180</v>
      </c>
      <c r="S1445" s="8">
        <f t="shared" si="317"/>
        <v>180</v>
      </c>
      <c r="T1445" s="8">
        <f>(Table1[[#This Row],[Total Cholesterol (mg/dL)]]+Table1[[#This Row],[HDL (mg/dL)2]]+Table1[[#This Row],[Estimated LDL (mg/dL)2]])*5</f>
        <v>2390</v>
      </c>
      <c r="U1445" s="8">
        <f>IF(O1445="",Table1[[#This Row],[Estimated LDL (mg/dL)2]]+Table1[[#This Row],[HDL (mg/dL)2]]+(Table1[[#This Row],[Triglycerides]]/5),O1445)</f>
        <v>254</v>
      </c>
      <c r="V1445">
        <v>143</v>
      </c>
      <c r="W1445" s="8">
        <f t="shared" si="318"/>
        <v>143</v>
      </c>
      <c r="X1445" t="str">
        <f t="shared" si="319"/>
        <v>Diabetes</v>
      </c>
      <c r="Y1445" t="s">
        <v>23</v>
      </c>
      <c r="Z1445" t="s">
        <v>23</v>
      </c>
      <c r="AA1445" t="s">
        <v>24</v>
      </c>
      <c r="AB1445" s="3" t="s">
        <v>693</v>
      </c>
      <c r="AC1445">
        <v>150</v>
      </c>
      <c r="AD1445" s="3" t="str">
        <f t="shared" si="320"/>
        <v>150</v>
      </c>
      <c r="AE1445">
        <v>81</v>
      </c>
      <c r="AF1445" s="3" t="str">
        <f t="shared" si="321"/>
        <v>81</v>
      </c>
      <c r="AG1445" t="s">
        <v>29</v>
      </c>
      <c r="AH1445" s="3">
        <v>19.329999999999998</v>
      </c>
      <c r="AI1445" s="3">
        <f t="shared" si="322"/>
        <v>19.329999999999998</v>
      </c>
      <c r="AJ1445" t="s">
        <v>30</v>
      </c>
      <c r="AK1445" t="str">
        <f>PROPER(Table1[[#This Row],[CVD Risk Level]])</f>
        <v>High</v>
      </c>
    </row>
    <row r="1446" spans="1:37" x14ac:dyDescent="0.3">
      <c r="A1446" t="s">
        <v>20</v>
      </c>
      <c r="B1446">
        <v>67</v>
      </c>
      <c r="C1446" s="8">
        <f t="shared" si="311"/>
        <v>67</v>
      </c>
      <c r="D1446" s="5">
        <v>75.801000000000002</v>
      </c>
      <c r="E1446" s="8">
        <f t="shared" si="312"/>
        <v>75.801000000000002</v>
      </c>
      <c r="F1446">
        <v>1.988</v>
      </c>
      <c r="G1446" s="3">
        <f t="shared" si="313"/>
        <v>1.988</v>
      </c>
      <c r="H1446">
        <v>26.556000000000001</v>
      </c>
      <c r="I1446" s="5">
        <f t="shared" si="309"/>
        <v>26.556000000000001</v>
      </c>
      <c r="J1446" s="16" t="str">
        <f t="shared" si="314"/>
        <v>Overweight</v>
      </c>
      <c r="K1446">
        <v>102.511</v>
      </c>
      <c r="L1446">
        <v>0.51600000000000001</v>
      </c>
      <c r="M1446" s="11">
        <f t="shared" si="310"/>
        <v>0.51600000000000001</v>
      </c>
      <c r="N1446" s="5">
        <f t="shared" si="315"/>
        <v>102.511</v>
      </c>
      <c r="O1446">
        <v>108</v>
      </c>
      <c r="P1446">
        <v>72</v>
      </c>
      <c r="Q1446" s="8">
        <f t="shared" si="316"/>
        <v>72</v>
      </c>
      <c r="R1446" s="8">
        <v>6</v>
      </c>
      <c r="S1446" s="8">
        <f>IF(R1446&lt;=0,MEDIAN($R$2:$R$1530),R1446)</f>
        <v>6</v>
      </c>
      <c r="T1446" s="8">
        <f>(Table1[[#This Row],[Total Cholesterol (mg/dL)]]+Table1[[#This Row],[HDL (mg/dL)2]]+Table1[[#This Row],[Estimated LDL (mg/dL)2]])*5</f>
        <v>930</v>
      </c>
      <c r="U1446" s="8">
        <f>IF(O1446="",Table1[[#This Row],[Estimated LDL (mg/dL)2]]+Table1[[#This Row],[HDL (mg/dL)2]]+(Table1[[#This Row],[Triglycerides]]/5),O1446)</f>
        <v>108</v>
      </c>
      <c r="V1446">
        <v>184</v>
      </c>
      <c r="W1446" s="8">
        <f t="shared" si="318"/>
        <v>184</v>
      </c>
      <c r="X1446" t="str">
        <f t="shared" si="319"/>
        <v>Diabetes</v>
      </c>
      <c r="Y1446" t="s">
        <v>22</v>
      </c>
      <c r="Z1446" t="s">
        <v>22</v>
      </c>
      <c r="AA1446" t="s">
        <v>28</v>
      </c>
      <c r="AB1446" s="3" t="s">
        <v>1224</v>
      </c>
      <c r="AC1446">
        <v>147</v>
      </c>
      <c r="AD1446" s="3" t="str">
        <f t="shared" si="320"/>
        <v>147</v>
      </c>
      <c r="AE1446">
        <v>116</v>
      </c>
      <c r="AF1446" s="3" t="str">
        <f t="shared" si="321"/>
        <v>116</v>
      </c>
      <c r="AG1446" t="s">
        <v>38</v>
      </c>
      <c r="AH1446" s="3">
        <v>14.821</v>
      </c>
      <c r="AI1446" s="3">
        <f t="shared" si="322"/>
        <v>14.821</v>
      </c>
      <c r="AJ1446" t="s">
        <v>26</v>
      </c>
      <c r="AK1446" t="str">
        <f>PROPER(Table1[[#This Row],[CVD Risk Level]])</f>
        <v>Intermediary</v>
      </c>
    </row>
    <row r="1447" spans="1:37" x14ac:dyDescent="0.3">
      <c r="A1447" t="s">
        <v>31</v>
      </c>
      <c r="B1447">
        <v>49</v>
      </c>
      <c r="C1447" s="8">
        <f t="shared" si="311"/>
        <v>49</v>
      </c>
      <c r="D1447" s="5">
        <v>93.019000000000005</v>
      </c>
      <c r="E1447" s="8">
        <f t="shared" si="312"/>
        <v>93.019000000000005</v>
      </c>
      <c r="F1447">
        <v>1.6459999999999999</v>
      </c>
      <c r="G1447" s="3">
        <f t="shared" si="313"/>
        <v>1.6459999999999999</v>
      </c>
      <c r="H1447">
        <v>31.42</v>
      </c>
      <c r="I1447" s="5">
        <f t="shared" si="309"/>
        <v>31.42</v>
      </c>
      <c r="J1447" s="16" t="str">
        <f t="shared" si="314"/>
        <v>Obese</v>
      </c>
      <c r="K1447">
        <v>91.486999999999995</v>
      </c>
      <c r="L1447">
        <v>0.55600000000000005</v>
      </c>
      <c r="M1447" s="11">
        <f t="shared" si="310"/>
        <v>0.55600000000000005</v>
      </c>
      <c r="N1447" s="5">
        <f t="shared" si="315"/>
        <v>91.486999999999995</v>
      </c>
      <c r="O1447">
        <v>238</v>
      </c>
      <c r="P1447">
        <v>59</v>
      </c>
      <c r="Q1447" s="8">
        <f t="shared" si="316"/>
        <v>59</v>
      </c>
      <c r="R1447" s="8">
        <v>149</v>
      </c>
      <c r="S1447" s="8">
        <f t="shared" si="317"/>
        <v>149</v>
      </c>
      <c r="T1447" s="8">
        <f>(Table1[[#This Row],[Total Cholesterol (mg/dL)]]+Table1[[#This Row],[HDL (mg/dL)2]]+Table1[[#This Row],[Estimated LDL (mg/dL)2]])*5</f>
        <v>2230</v>
      </c>
      <c r="U1447" s="8">
        <f>IF(O1447="",Table1[[#This Row],[Estimated LDL (mg/dL)2]]+Table1[[#This Row],[HDL (mg/dL)2]]+(Table1[[#This Row],[Triglycerides]]/5),O1447)</f>
        <v>238</v>
      </c>
      <c r="V1447">
        <v>126</v>
      </c>
      <c r="W1447" s="8">
        <f t="shared" si="318"/>
        <v>126</v>
      </c>
      <c r="X1447" t="str">
        <f t="shared" si="319"/>
        <v>Diabetes</v>
      </c>
      <c r="Y1447" t="s">
        <v>23</v>
      </c>
      <c r="Z1447" t="s">
        <v>22</v>
      </c>
      <c r="AA1447" t="s">
        <v>37</v>
      </c>
      <c r="AB1447" s="3" t="s">
        <v>1225</v>
      </c>
      <c r="AC1447">
        <v>105</v>
      </c>
      <c r="AD1447" s="3" t="str">
        <f t="shared" si="320"/>
        <v>105</v>
      </c>
      <c r="AE1447">
        <v>104</v>
      </c>
      <c r="AF1447" s="3" t="str">
        <f t="shared" si="321"/>
        <v>104</v>
      </c>
      <c r="AG1447" t="s">
        <v>38</v>
      </c>
      <c r="AH1447" s="3">
        <v>16.294</v>
      </c>
      <c r="AI1447" s="3">
        <f t="shared" si="322"/>
        <v>16.294</v>
      </c>
      <c r="AJ1447" t="s">
        <v>30</v>
      </c>
      <c r="AK1447" t="str">
        <f>PROPER(Table1[[#This Row],[CVD Risk Level]])</f>
        <v>High</v>
      </c>
    </row>
    <row r="1448" spans="1:37" x14ac:dyDescent="0.3">
      <c r="A1448" t="s">
        <v>20</v>
      </c>
      <c r="B1448">
        <v>75</v>
      </c>
      <c r="C1448" s="8">
        <f t="shared" si="311"/>
        <v>75</v>
      </c>
      <c r="D1448" s="5">
        <v>55.365000000000002</v>
      </c>
      <c r="E1448" s="8">
        <f t="shared" si="312"/>
        <v>55.365000000000002</v>
      </c>
      <c r="F1448">
        <v>1.5369999999999999</v>
      </c>
      <c r="G1448" s="3">
        <f t="shared" si="313"/>
        <v>1.5369999999999999</v>
      </c>
      <c r="H1448">
        <v>36.322000000000003</v>
      </c>
      <c r="I1448" s="5">
        <f t="shared" si="309"/>
        <v>36.322000000000003</v>
      </c>
      <c r="J1448" s="16" t="str">
        <f t="shared" si="314"/>
        <v>Obese</v>
      </c>
      <c r="K1448">
        <v>116.04900000000001</v>
      </c>
      <c r="L1448">
        <v>0.755</v>
      </c>
      <c r="M1448" s="11">
        <f t="shared" si="310"/>
        <v>0.755</v>
      </c>
      <c r="N1448" s="5">
        <f t="shared" si="315"/>
        <v>116.04900000000001</v>
      </c>
      <c r="O1448">
        <v>286</v>
      </c>
      <c r="P1448">
        <v>78</v>
      </c>
      <c r="Q1448" s="8">
        <f t="shared" si="316"/>
        <v>78</v>
      </c>
      <c r="R1448" s="8">
        <v>178</v>
      </c>
      <c r="S1448" s="8">
        <f t="shared" si="317"/>
        <v>178</v>
      </c>
      <c r="T1448" s="8">
        <f>(Table1[[#This Row],[Total Cholesterol (mg/dL)]]+Table1[[#This Row],[HDL (mg/dL)2]]+Table1[[#This Row],[Estimated LDL (mg/dL)2]])*5</f>
        <v>2710</v>
      </c>
      <c r="U1448" s="8">
        <f>IF(O1448="",Table1[[#This Row],[Estimated LDL (mg/dL)2]]+Table1[[#This Row],[HDL (mg/dL)2]]+(Table1[[#This Row],[Triglycerides]]/5),O1448)</f>
        <v>286</v>
      </c>
      <c r="V1448">
        <v>125</v>
      </c>
      <c r="W1448" s="8">
        <f t="shared" si="318"/>
        <v>125</v>
      </c>
      <c r="X1448" t="str">
        <f t="shared" si="319"/>
        <v>Prediabetes</v>
      </c>
      <c r="Y1448" t="s">
        <v>22</v>
      </c>
      <c r="Z1448" t="s">
        <v>22</v>
      </c>
      <c r="AA1448" t="s">
        <v>28</v>
      </c>
      <c r="AB1448" s="3" t="s">
        <v>1226</v>
      </c>
      <c r="AC1448">
        <v>139</v>
      </c>
      <c r="AD1448" s="3" t="str">
        <f t="shared" si="320"/>
        <v>139</v>
      </c>
      <c r="AE1448">
        <v>90</v>
      </c>
      <c r="AF1448" s="3" t="str">
        <f t="shared" si="321"/>
        <v>90</v>
      </c>
      <c r="AG1448" t="s">
        <v>29</v>
      </c>
      <c r="AH1448" s="3">
        <v>19.934000000000001</v>
      </c>
      <c r="AI1448" s="3">
        <f t="shared" si="322"/>
        <v>19.934000000000001</v>
      </c>
      <c r="AJ1448" t="s">
        <v>30</v>
      </c>
      <c r="AK1448" t="str">
        <f>PROPER(Table1[[#This Row],[CVD Risk Level]])</f>
        <v>High</v>
      </c>
    </row>
    <row r="1449" spans="1:37" x14ac:dyDescent="0.3">
      <c r="A1449" t="s">
        <v>20</v>
      </c>
      <c r="B1449">
        <v>58</v>
      </c>
      <c r="C1449" s="8">
        <f t="shared" si="311"/>
        <v>58</v>
      </c>
      <c r="D1449" s="5">
        <v>94.09</v>
      </c>
      <c r="E1449" s="8">
        <f t="shared" si="312"/>
        <v>94.09</v>
      </c>
      <c r="F1449">
        <v>1.6679999999999999</v>
      </c>
      <c r="G1449" s="3">
        <f t="shared" si="313"/>
        <v>1.6679999999999999</v>
      </c>
      <c r="H1449">
        <v>35.261000000000003</v>
      </c>
      <c r="I1449" s="5">
        <f t="shared" si="309"/>
        <v>35.261000000000003</v>
      </c>
      <c r="J1449" s="16" t="str">
        <f t="shared" si="314"/>
        <v>Obese</v>
      </c>
      <c r="K1449">
        <v>119.874</v>
      </c>
      <c r="L1449">
        <v>0.71799999999999997</v>
      </c>
      <c r="M1449" s="11">
        <f t="shared" si="310"/>
        <v>0.71799999999999997</v>
      </c>
      <c r="N1449" s="5">
        <f t="shared" si="315"/>
        <v>119.874</v>
      </c>
      <c r="O1449">
        <v>294</v>
      </c>
      <c r="P1449">
        <v>39</v>
      </c>
      <c r="Q1449" s="8">
        <f t="shared" si="316"/>
        <v>39</v>
      </c>
      <c r="R1449" s="8">
        <v>225</v>
      </c>
      <c r="S1449" s="8">
        <f t="shared" si="317"/>
        <v>225</v>
      </c>
      <c r="T1449" s="8">
        <f>(Table1[[#This Row],[Total Cholesterol (mg/dL)]]+Table1[[#This Row],[HDL (mg/dL)2]]+Table1[[#This Row],[Estimated LDL (mg/dL)2]])*5</f>
        <v>2790</v>
      </c>
      <c r="U1449" s="8">
        <f>IF(O1449="",Table1[[#This Row],[Estimated LDL (mg/dL)2]]+Table1[[#This Row],[HDL (mg/dL)2]]+(Table1[[#This Row],[Triglycerides]]/5),O1449)</f>
        <v>294</v>
      </c>
      <c r="V1449">
        <v>94</v>
      </c>
      <c r="W1449" s="8">
        <f t="shared" si="318"/>
        <v>94</v>
      </c>
      <c r="X1449" t="str">
        <f t="shared" si="319"/>
        <v>Normal</v>
      </c>
      <c r="Y1449" t="s">
        <v>22</v>
      </c>
      <c r="Z1449" t="s">
        <v>23</v>
      </c>
      <c r="AA1449" t="s">
        <v>24</v>
      </c>
      <c r="AB1449" s="3" t="s">
        <v>1227</v>
      </c>
      <c r="AC1449">
        <v>172</v>
      </c>
      <c r="AD1449" s="3" t="str">
        <f t="shared" si="320"/>
        <v>172</v>
      </c>
      <c r="AE1449">
        <v>63</v>
      </c>
      <c r="AF1449" s="3" t="str">
        <f t="shared" si="321"/>
        <v>63</v>
      </c>
      <c r="AG1449" t="s">
        <v>38</v>
      </c>
      <c r="AH1449" s="3">
        <v>23.532</v>
      </c>
      <c r="AI1449" s="3">
        <f t="shared" si="322"/>
        <v>23.532</v>
      </c>
      <c r="AJ1449" t="s">
        <v>30</v>
      </c>
      <c r="AK1449" t="str">
        <f>PROPER(Table1[[#This Row],[CVD Risk Level]])</f>
        <v>High</v>
      </c>
    </row>
    <row r="1450" spans="1:37" x14ac:dyDescent="0.3">
      <c r="A1450" t="s">
        <v>20</v>
      </c>
      <c r="B1450">
        <v>37</v>
      </c>
      <c r="C1450" s="8">
        <f t="shared" si="311"/>
        <v>37</v>
      </c>
      <c r="D1450" s="5">
        <v>76.597999999999999</v>
      </c>
      <c r="E1450" s="8">
        <f t="shared" si="312"/>
        <v>76.597999999999999</v>
      </c>
      <c r="F1450">
        <v>1.891</v>
      </c>
      <c r="G1450" s="3">
        <f t="shared" si="313"/>
        <v>1.891</v>
      </c>
      <c r="H1450">
        <v>27.643000000000001</v>
      </c>
      <c r="I1450" s="5">
        <f t="shared" si="309"/>
        <v>27.643000000000001</v>
      </c>
      <c r="J1450" s="16" t="str">
        <f t="shared" si="314"/>
        <v>Overweight</v>
      </c>
      <c r="K1450">
        <v>103.955</v>
      </c>
      <c r="L1450">
        <v>0.55000000000000004</v>
      </c>
      <c r="M1450" s="11">
        <f t="shared" si="310"/>
        <v>0.55000000000000004</v>
      </c>
      <c r="N1450" s="5">
        <f t="shared" si="315"/>
        <v>103.955</v>
      </c>
      <c r="O1450">
        <v>231</v>
      </c>
      <c r="P1450">
        <v>53</v>
      </c>
      <c r="Q1450" s="8">
        <f t="shared" si="316"/>
        <v>53</v>
      </c>
      <c r="R1450" s="8">
        <v>148</v>
      </c>
      <c r="S1450" s="8">
        <f t="shared" si="317"/>
        <v>148</v>
      </c>
      <c r="T1450" s="8">
        <f>(Table1[[#This Row],[Total Cholesterol (mg/dL)]]+Table1[[#This Row],[HDL (mg/dL)2]]+Table1[[#This Row],[Estimated LDL (mg/dL)2]])*5</f>
        <v>2160</v>
      </c>
      <c r="U1450" s="8">
        <f>IF(O1450="",Table1[[#This Row],[Estimated LDL (mg/dL)2]]+Table1[[#This Row],[HDL (mg/dL)2]]+(Table1[[#This Row],[Triglycerides]]/5),O1450)</f>
        <v>231</v>
      </c>
      <c r="V1450">
        <v>138</v>
      </c>
      <c r="W1450" s="8">
        <f t="shared" si="318"/>
        <v>138</v>
      </c>
      <c r="X1450" t="str">
        <f t="shared" si="319"/>
        <v>Diabetes</v>
      </c>
      <c r="Y1450" t="s">
        <v>22</v>
      </c>
      <c r="Z1450" t="s">
        <v>22</v>
      </c>
      <c r="AA1450" t="s">
        <v>24</v>
      </c>
      <c r="AB1450" s="3" t="s">
        <v>1228</v>
      </c>
      <c r="AC1450">
        <v>91</v>
      </c>
      <c r="AD1450" s="3" t="str">
        <f t="shared" si="320"/>
        <v>91</v>
      </c>
      <c r="AE1450">
        <v>108</v>
      </c>
      <c r="AF1450" s="3" t="str">
        <f t="shared" si="321"/>
        <v>108</v>
      </c>
      <c r="AG1450" t="s">
        <v>38</v>
      </c>
      <c r="AH1450" s="3">
        <v>14.699</v>
      </c>
      <c r="AI1450" s="3">
        <f t="shared" si="322"/>
        <v>14.699</v>
      </c>
      <c r="AJ1450" t="s">
        <v>30</v>
      </c>
      <c r="AK1450" t="str">
        <f>PROPER(Table1[[#This Row],[CVD Risk Level]])</f>
        <v>High</v>
      </c>
    </row>
    <row r="1451" spans="1:37" x14ac:dyDescent="0.3">
      <c r="A1451" t="s">
        <v>31</v>
      </c>
      <c r="B1451">
        <v>71</v>
      </c>
      <c r="C1451" s="8">
        <f t="shared" si="311"/>
        <v>71</v>
      </c>
      <c r="E1451" s="8">
        <f t="shared" si="312"/>
        <v>77.877215324999995</v>
      </c>
      <c r="F1451">
        <v>1.911</v>
      </c>
      <c r="G1451" s="3">
        <f t="shared" si="313"/>
        <v>1.911</v>
      </c>
      <c r="H1451">
        <v>21.324999999999999</v>
      </c>
      <c r="I1451" s="5">
        <f t="shared" si="309"/>
        <v>21.324999999999999</v>
      </c>
      <c r="J1451" s="16" t="str">
        <f t="shared" si="314"/>
        <v>Normal</v>
      </c>
      <c r="K1451">
        <v>114.265</v>
      </c>
      <c r="L1451">
        <v>0.59799999999999998</v>
      </c>
      <c r="M1451" s="11">
        <f t="shared" si="310"/>
        <v>0.59799999999999998</v>
      </c>
      <c r="N1451" s="5">
        <f t="shared" si="315"/>
        <v>114.265</v>
      </c>
      <c r="O1451">
        <v>160</v>
      </c>
      <c r="P1451">
        <v>76</v>
      </c>
      <c r="Q1451" s="8">
        <f t="shared" si="316"/>
        <v>76</v>
      </c>
      <c r="R1451" s="8">
        <v>54</v>
      </c>
      <c r="S1451" s="8">
        <f t="shared" si="317"/>
        <v>54</v>
      </c>
      <c r="T1451" s="8">
        <f>(Table1[[#This Row],[Total Cholesterol (mg/dL)]]+Table1[[#This Row],[HDL (mg/dL)2]]+Table1[[#This Row],[Estimated LDL (mg/dL)2]])*5</f>
        <v>1450</v>
      </c>
      <c r="U1451" s="8">
        <f>IF(O1451="",Table1[[#This Row],[Estimated LDL (mg/dL)2]]+Table1[[#This Row],[HDL (mg/dL)2]]+(Table1[[#This Row],[Triglycerides]]/5),O1451)</f>
        <v>160</v>
      </c>
      <c r="W1451" s="8">
        <f t="shared" si="318"/>
        <v>117.48563611491107</v>
      </c>
      <c r="X1451" t="str">
        <f t="shared" si="319"/>
        <v>Prediabetes</v>
      </c>
      <c r="Y1451" t="s">
        <v>23</v>
      </c>
      <c r="Z1451" t="s">
        <v>23</v>
      </c>
      <c r="AA1451" t="s">
        <v>28</v>
      </c>
      <c r="AB1451" s="3" t="s">
        <v>785</v>
      </c>
      <c r="AC1451">
        <v>140</v>
      </c>
      <c r="AD1451" s="3" t="str">
        <f t="shared" si="320"/>
        <v>140</v>
      </c>
      <c r="AE1451">
        <v>67</v>
      </c>
      <c r="AF1451" s="3" t="str">
        <f t="shared" si="321"/>
        <v>67</v>
      </c>
      <c r="AG1451" t="s">
        <v>38</v>
      </c>
      <c r="AH1451" s="3">
        <v>16.465</v>
      </c>
      <c r="AI1451" s="3">
        <f t="shared" si="322"/>
        <v>16.465</v>
      </c>
      <c r="AJ1451" t="s">
        <v>26</v>
      </c>
      <c r="AK1451" t="str">
        <f>PROPER(Table1[[#This Row],[CVD Risk Level]])</f>
        <v>Intermediary</v>
      </c>
    </row>
    <row r="1452" spans="1:37" x14ac:dyDescent="0.3">
      <c r="A1452" t="s">
        <v>31</v>
      </c>
      <c r="B1452">
        <v>41</v>
      </c>
      <c r="C1452" s="8">
        <f t="shared" si="311"/>
        <v>41</v>
      </c>
      <c r="D1452" s="5">
        <v>112.22</v>
      </c>
      <c r="E1452" s="8">
        <f t="shared" si="312"/>
        <v>112.22</v>
      </c>
      <c r="F1452">
        <v>1.968</v>
      </c>
      <c r="G1452" s="3">
        <f t="shared" si="313"/>
        <v>1.968</v>
      </c>
      <c r="H1452">
        <v>27.899000000000001</v>
      </c>
      <c r="I1452" s="5">
        <f t="shared" si="309"/>
        <v>27.899000000000001</v>
      </c>
      <c r="J1452" s="16" t="str">
        <f t="shared" si="314"/>
        <v>Overweight</v>
      </c>
      <c r="K1452">
        <v>108.46899999999999</v>
      </c>
      <c r="L1452">
        <v>0.55100000000000005</v>
      </c>
      <c r="M1452" s="11">
        <f t="shared" si="310"/>
        <v>0.55100000000000005</v>
      </c>
      <c r="N1452" s="5">
        <f t="shared" si="315"/>
        <v>108.46899999999999</v>
      </c>
      <c r="O1452">
        <v>203</v>
      </c>
      <c r="P1452">
        <v>80</v>
      </c>
      <c r="Q1452" s="8">
        <f t="shared" si="316"/>
        <v>80</v>
      </c>
      <c r="R1452" s="8">
        <v>93</v>
      </c>
      <c r="S1452" s="8">
        <f t="shared" si="317"/>
        <v>93</v>
      </c>
      <c r="T1452" s="8">
        <f>(Table1[[#This Row],[Total Cholesterol (mg/dL)]]+Table1[[#This Row],[HDL (mg/dL)2]]+Table1[[#This Row],[Estimated LDL (mg/dL)2]])*5</f>
        <v>1880</v>
      </c>
      <c r="U1452" s="8">
        <f>IF(O1452="",Table1[[#This Row],[Estimated LDL (mg/dL)2]]+Table1[[#This Row],[HDL (mg/dL)2]]+(Table1[[#This Row],[Triglycerides]]/5),O1452)</f>
        <v>203</v>
      </c>
      <c r="V1452">
        <v>165</v>
      </c>
      <c r="W1452" s="8">
        <f t="shared" si="318"/>
        <v>165</v>
      </c>
      <c r="X1452" t="str">
        <f t="shared" si="319"/>
        <v>Diabetes</v>
      </c>
      <c r="Y1452" t="s">
        <v>23</v>
      </c>
      <c r="Z1452" t="s">
        <v>22</v>
      </c>
      <c r="AA1452" t="s">
        <v>37</v>
      </c>
      <c r="AB1452" s="3" t="s">
        <v>169</v>
      </c>
      <c r="AC1452">
        <v>126</v>
      </c>
      <c r="AD1452" s="3" t="str">
        <f t="shared" si="320"/>
        <v>126</v>
      </c>
      <c r="AE1452">
        <v>64</v>
      </c>
      <c r="AF1452" s="3" t="str">
        <f t="shared" si="321"/>
        <v>64</v>
      </c>
      <c r="AG1452" t="s">
        <v>25</v>
      </c>
      <c r="AI1452" s="3">
        <f t="shared" si="322"/>
        <v>16.960925291295425</v>
      </c>
      <c r="AJ1452" t="s">
        <v>30</v>
      </c>
      <c r="AK1452" t="str">
        <f>PROPER(Table1[[#This Row],[CVD Risk Level]])</f>
        <v>High</v>
      </c>
    </row>
    <row r="1453" spans="1:37" x14ac:dyDescent="0.3">
      <c r="A1453" t="s">
        <v>20</v>
      </c>
      <c r="B1453">
        <v>67</v>
      </c>
      <c r="C1453" s="8">
        <f t="shared" si="311"/>
        <v>67</v>
      </c>
      <c r="D1453" s="5">
        <v>96.234999999999999</v>
      </c>
      <c r="E1453" s="8">
        <f t="shared" si="312"/>
        <v>96.234999999999999</v>
      </c>
      <c r="F1453">
        <v>1.661</v>
      </c>
      <c r="G1453" s="3">
        <f t="shared" si="313"/>
        <v>1.661</v>
      </c>
      <c r="H1453">
        <v>28.343</v>
      </c>
      <c r="I1453" s="5">
        <f t="shared" si="309"/>
        <v>28.343</v>
      </c>
      <c r="J1453" s="16" t="str">
        <f t="shared" si="314"/>
        <v>Overweight</v>
      </c>
      <c r="K1453">
        <v>118.402</v>
      </c>
      <c r="L1453">
        <v>0.71299999999999997</v>
      </c>
      <c r="M1453" s="11">
        <f t="shared" si="310"/>
        <v>0.71299999999999997</v>
      </c>
      <c r="N1453" s="5">
        <f t="shared" si="315"/>
        <v>118.402</v>
      </c>
      <c r="O1453">
        <v>179</v>
      </c>
      <c r="P1453">
        <v>46</v>
      </c>
      <c r="Q1453" s="8">
        <f t="shared" si="316"/>
        <v>46</v>
      </c>
      <c r="R1453" s="8">
        <v>103</v>
      </c>
      <c r="S1453" s="8">
        <f t="shared" si="317"/>
        <v>103</v>
      </c>
      <c r="T1453" s="8">
        <f>(Table1[[#This Row],[Total Cholesterol (mg/dL)]]+Table1[[#This Row],[HDL (mg/dL)2]]+Table1[[#This Row],[Estimated LDL (mg/dL)2]])*5</f>
        <v>1640</v>
      </c>
      <c r="U1453" s="8">
        <f>IF(O1453="",Table1[[#This Row],[Estimated LDL (mg/dL)2]]+Table1[[#This Row],[HDL (mg/dL)2]]+(Table1[[#This Row],[Triglycerides]]/5),O1453)</f>
        <v>179</v>
      </c>
      <c r="V1453">
        <v>112</v>
      </c>
      <c r="W1453" s="8">
        <f t="shared" si="318"/>
        <v>112</v>
      </c>
      <c r="X1453" t="str">
        <f t="shared" si="319"/>
        <v>Prediabetes</v>
      </c>
      <c r="Y1453" t="s">
        <v>23</v>
      </c>
      <c r="Z1453" t="s">
        <v>22</v>
      </c>
      <c r="AA1453" t="s">
        <v>37</v>
      </c>
      <c r="AB1453" s="3" t="s">
        <v>1229</v>
      </c>
      <c r="AC1453">
        <v>92</v>
      </c>
      <c r="AD1453" s="3" t="str">
        <f t="shared" si="320"/>
        <v>92</v>
      </c>
      <c r="AE1453">
        <v>107</v>
      </c>
      <c r="AF1453" s="3" t="str">
        <f t="shared" si="321"/>
        <v>107</v>
      </c>
      <c r="AG1453" t="s">
        <v>38</v>
      </c>
      <c r="AH1453" s="3">
        <v>13.849</v>
      </c>
      <c r="AI1453" s="3">
        <f t="shared" si="322"/>
        <v>13.849</v>
      </c>
      <c r="AJ1453" t="s">
        <v>30</v>
      </c>
      <c r="AK1453" t="str">
        <f>PROPER(Table1[[#This Row],[CVD Risk Level]])</f>
        <v>High</v>
      </c>
    </row>
    <row r="1454" spans="1:37" x14ac:dyDescent="0.3">
      <c r="A1454" t="s">
        <v>20</v>
      </c>
      <c r="B1454">
        <v>44</v>
      </c>
      <c r="C1454" s="8">
        <f t="shared" si="311"/>
        <v>44</v>
      </c>
      <c r="D1454" s="5">
        <v>56.978000000000002</v>
      </c>
      <c r="E1454" s="8">
        <f t="shared" si="312"/>
        <v>56.978000000000002</v>
      </c>
      <c r="F1454">
        <v>1.629</v>
      </c>
      <c r="G1454" s="3">
        <f t="shared" si="313"/>
        <v>1.629</v>
      </c>
      <c r="H1454">
        <v>29.390999999999998</v>
      </c>
      <c r="I1454" s="5">
        <f t="shared" si="309"/>
        <v>29.390999999999998</v>
      </c>
      <c r="J1454" s="16" t="str">
        <f t="shared" si="314"/>
        <v>Overweight</v>
      </c>
      <c r="K1454">
        <v>96.63</v>
      </c>
      <c r="L1454">
        <v>0.59299999999999997</v>
      </c>
      <c r="M1454" s="11">
        <f t="shared" si="310"/>
        <v>0.59299999999999997</v>
      </c>
      <c r="N1454" s="5">
        <f t="shared" si="315"/>
        <v>96.63</v>
      </c>
      <c r="O1454">
        <v>178</v>
      </c>
      <c r="Q1454" s="8">
        <f t="shared" si="316"/>
        <v>56.197377501725327</v>
      </c>
      <c r="R1454" s="8">
        <v>103</v>
      </c>
      <c r="S1454" s="8">
        <f>IF(R1454&lt;=0,MEDIAN($R$2:$R$1530),R1454)</f>
        <v>103</v>
      </c>
      <c r="T1454" s="8">
        <f>(Table1[[#This Row],[Total Cholesterol (mg/dL)]]+Table1[[#This Row],[HDL (mg/dL)2]]+Table1[[#This Row],[Estimated LDL (mg/dL)2]])*5</f>
        <v>1685.9868875086268</v>
      </c>
      <c r="U1454" s="8">
        <f>IF(O1454="",Table1[[#This Row],[Estimated LDL (mg/dL)2]]+Table1[[#This Row],[HDL (mg/dL)2]]+(Table1[[#This Row],[Triglycerides]]/5),O1454)</f>
        <v>178</v>
      </c>
      <c r="V1454">
        <v>167</v>
      </c>
      <c r="W1454" s="8">
        <f t="shared" si="318"/>
        <v>167</v>
      </c>
      <c r="X1454" t="str">
        <f t="shared" si="319"/>
        <v>Diabetes</v>
      </c>
      <c r="Y1454" t="s">
        <v>22</v>
      </c>
      <c r="Z1454" t="s">
        <v>23</v>
      </c>
      <c r="AA1454" t="s">
        <v>28</v>
      </c>
      <c r="AB1454" s="3" t="s">
        <v>1230</v>
      </c>
      <c r="AC1454">
        <v>148</v>
      </c>
      <c r="AD1454" s="3" t="str">
        <f t="shared" si="320"/>
        <v>148</v>
      </c>
      <c r="AE1454">
        <v>71</v>
      </c>
      <c r="AF1454" s="3" t="str">
        <f t="shared" si="321"/>
        <v>71</v>
      </c>
      <c r="AG1454" t="s">
        <v>38</v>
      </c>
      <c r="AH1454" s="3">
        <v>18.838000000000001</v>
      </c>
      <c r="AI1454" s="3">
        <f t="shared" si="322"/>
        <v>18.838000000000001</v>
      </c>
      <c r="AJ1454" t="s">
        <v>30</v>
      </c>
      <c r="AK1454" t="str">
        <f>PROPER(Table1[[#This Row],[CVD Risk Level]])</f>
        <v>High</v>
      </c>
    </row>
    <row r="1455" spans="1:37" x14ac:dyDescent="0.3">
      <c r="A1455" t="s">
        <v>20</v>
      </c>
      <c r="B1455">
        <v>73</v>
      </c>
      <c r="C1455" s="8">
        <f t="shared" si="311"/>
        <v>73</v>
      </c>
      <c r="D1455" s="5">
        <v>66.073999999999998</v>
      </c>
      <c r="E1455" s="8">
        <f t="shared" si="312"/>
        <v>66.073999999999998</v>
      </c>
      <c r="G1455" s="3">
        <f t="shared" si="313"/>
        <v>1.5511618873938009</v>
      </c>
      <c r="H1455">
        <v>27.460999999999999</v>
      </c>
      <c r="I1455" s="5">
        <f t="shared" si="309"/>
        <v>27.460999999999999</v>
      </c>
      <c r="J1455" s="16" t="str">
        <f t="shared" si="314"/>
        <v>Overweight</v>
      </c>
      <c r="K1455">
        <v>76.599000000000004</v>
      </c>
      <c r="L1455">
        <v>0.39100000000000001</v>
      </c>
      <c r="M1455" s="11">
        <f t="shared" si="310"/>
        <v>0.39100000000000001</v>
      </c>
      <c r="N1455" s="5">
        <f t="shared" si="315"/>
        <v>76.599000000000004</v>
      </c>
      <c r="O1455">
        <v>197</v>
      </c>
      <c r="P1455">
        <v>55</v>
      </c>
      <c r="Q1455" s="8">
        <f t="shared" si="316"/>
        <v>55</v>
      </c>
      <c r="R1455" s="8">
        <v>112</v>
      </c>
      <c r="S1455" s="8">
        <f t="shared" si="317"/>
        <v>112</v>
      </c>
      <c r="T1455" s="8">
        <f>(Table1[[#This Row],[Total Cholesterol (mg/dL)]]+Table1[[#This Row],[HDL (mg/dL)2]]+Table1[[#This Row],[Estimated LDL (mg/dL)2]])*5</f>
        <v>1820</v>
      </c>
      <c r="U1455" s="8">
        <f>IF(O1455="",Table1[[#This Row],[Estimated LDL (mg/dL)2]]+Table1[[#This Row],[HDL (mg/dL)2]]+(Table1[[#This Row],[Triglycerides]]/5),O1455)</f>
        <v>197</v>
      </c>
      <c r="V1455">
        <v>131</v>
      </c>
      <c r="W1455" s="8">
        <f t="shared" si="318"/>
        <v>131</v>
      </c>
      <c r="X1455" t="str">
        <f t="shared" si="319"/>
        <v>Diabetes</v>
      </c>
      <c r="Y1455" t="s">
        <v>22</v>
      </c>
      <c r="Z1455" t="s">
        <v>22</v>
      </c>
      <c r="AA1455" t="s">
        <v>24</v>
      </c>
      <c r="AB1455" s="3" t="s">
        <v>1231</v>
      </c>
      <c r="AC1455">
        <v>112</v>
      </c>
      <c r="AD1455" s="3" t="str">
        <f t="shared" si="320"/>
        <v>112</v>
      </c>
      <c r="AE1455">
        <v>106</v>
      </c>
      <c r="AF1455" s="3" t="str">
        <f t="shared" si="321"/>
        <v>106</v>
      </c>
      <c r="AG1455" t="s">
        <v>38</v>
      </c>
      <c r="AI1455" s="3">
        <f t="shared" si="322"/>
        <v>16.960925291295425</v>
      </c>
      <c r="AJ1455" t="s">
        <v>26</v>
      </c>
      <c r="AK1455" t="str">
        <f>PROPER(Table1[[#This Row],[CVD Risk Level]])</f>
        <v>Intermediary</v>
      </c>
    </row>
    <row r="1456" spans="1:37" x14ac:dyDescent="0.3">
      <c r="A1456" t="s">
        <v>31</v>
      </c>
      <c r="B1456">
        <v>39</v>
      </c>
      <c r="C1456" s="8">
        <f t="shared" si="311"/>
        <v>39</v>
      </c>
      <c r="D1456" s="5">
        <v>52.640999999999998</v>
      </c>
      <c r="E1456" s="8">
        <f t="shared" si="312"/>
        <v>52.640999999999998</v>
      </c>
      <c r="F1456">
        <v>1.8979999999999999</v>
      </c>
      <c r="G1456" s="3">
        <f t="shared" si="313"/>
        <v>1.8979999999999999</v>
      </c>
      <c r="H1456">
        <v>33.1</v>
      </c>
      <c r="I1456" s="5">
        <f t="shared" si="309"/>
        <v>33.1</v>
      </c>
      <c r="J1456" s="16" t="str">
        <f t="shared" si="314"/>
        <v>Obese</v>
      </c>
      <c r="K1456">
        <v>73.69</v>
      </c>
      <c r="L1456">
        <v>0.38800000000000001</v>
      </c>
      <c r="M1456" s="11">
        <f t="shared" si="310"/>
        <v>0.38800000000000001</v>
      </c>
      <c r="N1456" s="5">
        <f t="shared" si="315"/>
        <v>73.69</v>
      </c>
      <c r="O1456">
        <v>228</v>
      </c>
      <c r="P1456">
        <v>38</v>
      </c>
      <c r="Q1456" s="8">
        <f t="shared" si="316"/>
        <v>38</v>
      </c>
      <c r="R1456" s="8">
        <v>160</v>
      </c>
      <c r="S1456" s="8">
        <f t="shared" si="317"/>
        <v>160</v>
      </c>
      <c r="T1456" s="8">
        <f>(Table1[[#This Row],[Total Cholesterol (mg/dL)]]+Table1[[#This Row],[HDL (mg/dL)2]]+Table1[[#This Row],[Estimated LDL (mg/dL)2]])*5</f>
        <v>2130</v>
      </c>
      <c r="U1456" s="8">
        <f>IF(O1456="",Table1[[#This Row],[Estimated LDL (mg/dL)2]]+Table1[[#This Row],[HDL (mg/dL)2]]+(Table1[[#This Row],[Triglycerides]]/5),O1456)</f>
        <v>228</v>
      </c>
      <c r="V1456">
        <v>112</v>
      </c>
      <c r="W1456" s="8">
        <f t="shared" si="318"/>
        <v>112</v>
      </c>
      <c r="X1456" t="str">
        <f t="shared" si="319"/>
        <v>Prediabetes</v>
      </c>
      <c r="Y1456" t="s">
        <v>23</v>
      </c>
      <c r="Z1456" t="s">
        <v>23</v>
      </c>
      <c r="AA1456" t="s">
        <v>37</v>
      </c>
      <c r="AB1456" s="3" t="s">
        <v>1232</v>
      </c>
      <c r="AC1456">
        <v>120</v>
      </c>
      <c r="AD1456" s="3" t="str">
        <f t="shared" si="320"/>
        <v>120</v>
      </c>
      <c r="AF1456" s="3" t="str">
        <f t="shared" si="321"/>
        <v>78</v>
      </c>
      <c r="AG1456" t="s">
        <v>25</v>
      </c>
      <c r="AH1456" s="3">
        <v>19.18</v>
      </c>
      <c r="AI1456" s="3">
        <f t="shared" si="322"/>
        <v>19.18</v>
      </c>
      <c r="AJ1456" t="s">
        <v>26</v>
      </c>
      <c r="AK1456" t="str">
        <f>PROPER(Table1[[#This Row],[CVD Risk Level]])</f>
        <v>Intermediary</v>
      </c>
    </row>
    <row r="1457" spans="1:37" x14ac:dyDescent="0.3">
      <c r="A1457" t="s">
        <v>31</v>
      </c>
      <c r="B1457">
        <v>29</v>
      </c>
      <c r="C1457" s="8">
        <f t="shared" si="311"/>
        <v>29</v>
      </c>
      <c r="D1457" s="5">
        <v>88.179000000000002</v>
      </c>
      <c r="E1457" s="8">
        <f t="shared" si="312"/>
        <v>88.179000000000002</v>
      </c>
      <c r="F1457">
        <v>1.802</v>
      </c>
      <c r="G1457" s="3">
        <f t="shared" si="313"/>
        <v>1.802</v>
      </c>
      <c r="H1457">
        <v>28.2</v>
      </c>
      <c r="I1457" s="5">
        <f t="shared" si="309"/>
        <v>28.2</v>
      </c>
      <c r="J1457" s="16" t="str">
        <f t="shared" si="314"/>
        <v>Overweight</v>
      </c>
      <c r="K1457">
        <v>96.090999999999994</v>
      </c>
      <c r="L1457">
        <v>0.53300000000000003</v>
      </c>
      <c r="M1457" s="11">
        <f t="shared" si="310"/>
        <v>0.53300000000000003</v>
      </c>
      <c r="N1457" s="5">
        <f t="shared" si="315"/>
        <v>96.090999999999994</v>
      </c>
      <c r="O1457">
        <v>171</v>
      </c>
      <c r="P1457">
        <v>56</v>
      </c>
      <c r="Q1457" s="8">
        <f t="shared" si="316"/>
        <v>56</v>
      </c>
      <c r="R1457" s="8">
        <v>85</v>
      </c>
      <c r="S1457" s="8">
        <f t="shared" si="317"/>
        <v>85</v>
      </c>
      <c r="T1457" s="8">
        <f>(Table1[[#This Row],[Total Cholesterol (mg/dL)]]+Table1[[#This Row],[HDL (mg/dL)2]]+Table1[[#This Row],[Estimated LDL (mg/dL)2]])*5</f>
        <v>1560</v>
      </c>
      <c r="U1457" s="8">
        <f>IF(O1457="",Table1[[#This Row],[Estimated LDL (mg/dL)2]]+Table1[[#This Row],[HDL (mg/dL)2]]+(Table1[[#This Row],[Triglycerides]]/5),O1457)</f>
        <v>171</v>
      </c>
      <c r="V1457">
        <v>144</v>
      </c>
      <c r="W1457" s="8">
        <f t="shared" si="318"/>
        <v>144</v>
      </c>
      <c r="X1457" t="str">
        <f t="shared" si="319"/>
        <v>Diabetes</v>
      </c>
      <c r="Y1457" t="s">
        <v>23</v>
      </c>
      <c r="Z1457" t="s">
        <v>22</v>
      </c>
      <c r="AA1457" t="s">
        <v>24</v>
      </c>
      <c r="AB1457" s="3" t="s">
        <v>1233</v>
      </c>
      <c r="AC1457">
        <v>165</v>
      </c>
      <c r="AD1457" s="3" t="str">
        <f t="shared" si="320"/>
        <v>165</v>
      </c>
      <c r="AE1457">
        <v>72</v>
      </c>
      <c r="AF1457" s="3" t="str">
        <f t="shared" si="321"/>
        <v>72</v>
      </c>
      <c r="AG1457" t="s">
        <v>38</v>
      </c>
      <c r="AH1457" s="3">
        <v>17.309999999999999</v>
      </c>
      <c r="AI1457" s="3">
        <f t="shared" si="322"/>
        <v>17.309999999999999</v>
      </c>
      <c r="AJ1457" t="s">
        <v>26</v>
      </c>
      <c r="AK1457" t="str">
        <f>PROPER(Table1[[#This Row],[CVD Risk Level]])</f>
        <v>Intermediary</v>
      </c>
    </row>
    <row r="1458" spans="1:37" x14ac:dyDescent="0.3">
      <c r="A1458" t="s">
        <v>31</v>
      </c>
      <c r="B1458">
        <v>55</v>
      </c>
      <c r="C1458" s="8">
        <f t="shared" si="311"/>
        <v>55</v>
      </c>
      <c r="D1458" s="5">
        <v>74.451999999999998</v>
      </c>
      <c r="E1458" s="8">
        <f t="shared" si="312"/>
        <v>74.451999999999998</v>
      </c>
      <c r="F1458">
        <v>1.643</v>
      </c>
      <c r="G1458" s="3">
        <f t="shared" si="313"/>
        <v>1.643</v>
      </c>
      <c r="H1458">
        <v>37.512</v>
      </c>
      <c r="I1458" s="5">
        <f t="shared" si="309"/>
        <v>37.512</v>
      </c>
      <c r="J1458" s="16" t="str">
        <f t="shared" si="314"/>
        <v>Obese</v>
      </c>
      <c r="K1458">
        <v>79.587999999999994</v>
      </c>
      <c r="L1458">
        <v>0.48399999999999999</v>
      </c>
      <c r="M1458" s="11">
        <f t="shared" si="310"/>
        <v>0.48399999999999999</v>
      </c>
      <c r="N1458" s="5">
        <f t="shared" si="315"/>
        <v>79.587999999999994</v>
      </c>
      <c r="O1458">
        <v>160</v>
      </c>
      <c r="P1458">
        <v>48</v>
      </c>
      <c r="Q1458" s="8">
        <f t="shared" si="316"/>
        <v>48</v>
      </c>
      <c r="R1458" s="8">
        <v>82</v>
      </c>
      <c r="S1458" s="8">
        <f t="shared" si="317"/>
        <v>82</v>
      </c>
      <c r="T1458" s="8">
        <f>(Table1[[#This Row],[Total Cholesterol (mg/dL)]]+Table1[[#This Row],[HDL (mg/dL)2]]+Table1[[#This Row],[Estimated LDL (mg/dL)2]])*5</f>
        <v>1450</v>
      </c>
      <c r="U1458" s="8">
        <f>IF(O1458="",Table1[[#This Row],[Estimated LDL (mg/dL)2]]+Table1[[#This Row],[HDL (mg/dL)2]]+(Table1[[#This Row],[Triglycerides]]/5),O1458)</f>
        <v>160</v>
      </c>
      <c r="V1458">
        <v>161</v>
      </c>
      <c r="W1458" s="8">
        <f t="shared" si="318"/>
        <v>161</v>
      </c>
      <c r="X1458" t="str">
        <f t="shared" si="319"/>
        <v>Diabetes</v>
      </c>
      <c r="Y1458" t="s">
        <v>23</v>
      </c>
      <c r="Z1458" t="s">
        <v>22</v>
      </c>
      <c r="AA1458" t="s">
        <v>37</v>
      </c>
      <c r="AB1458" s="3" t="s">
        <v>1234</v>
      </c>
      <c r="AC1458">
        <v>102</v>
      </c>
      <c r="AD1458" s="3" t="str">
        <f t="shared" si="320"/>
        <v>102</v>
      </c>
      <c r="AE1458">
        <v>90</v>
      </c>
      <c r="AF1458" s="3" t="str">
        <f t="shared" si="321"/>
        <v>90</v>
      </c>
      <c r="AG1458" t="s">
        <v>38</v>
      </c>
      <c r="AI1458" s="3">
        <f t="shared" si="322"/>
        <v>16.960925291295425</v>
      </c>
      <c r="AJ1458" t="s">
        <v>52</v>
      </c>
      <c r="AK1458" t="str">
        <f>PROPER(Table1[[#This Row],[CVD Risk Level]])</f>
        <v>Low</v>
      </c>
    </row>
    <row r="1459" spans="1:37" x14ac:dyDescent="0.3">
      <c r="A1459" t="s">
        <v>31</v>
      </c>
      <c r="B1459">
        <v>46</v>
      </c>
      <c r="C1459" s="8">
        <f t="shared" si="311"/>
        <v>46</v>
      </c>
      <c r="D1459" s="5">
        <v>61.985999999999997</v>
      </c>
      <c r="E1459" s="8">
        <f t="shared" si="312"/>
        <v>61.985999999999997</v>
      </c>
      <c r="F1459">
        <v>1.841</v>
      </c>
      <c r="G1459" s="3">
        <f t="shared" si="313"/>
        <v>1.841</v>
      </c>
      <c r="I1459" s="5">
        <f t="shared" si="309"/>
        <v>18.288834711550916</v>
      </c>
      <c r="J1459" s="16" t="str">
        <f t="shared" si="314"/>
        <v>Underweight</v>
      </c>
      <c r="K1459">
        <v>118.99</v>
      </c>
      <c r="L1459">
        <v>0.64600000000000002</v>
      </c>
      <c r="M1459" s="11">
        <f t="shared" si="310"/>
        <v>0.64600000000000002</v>
      </c>
      <c r="N1459" s="5">
        <f t="shared" si="315"/>
        <v>118.99</v>
      </c>
      <c r="P1459">
        <v>61</v>
      </c>
      <c r="Q1459" s="8">
        <f t="shared" si="316"/>
        <v>61</v>
      </c>
      <c r="R1459" s="8">
        <v>31</v>
      </c>
      <c r="S1459" s="8">
        <f t="shared" si="317"/>
        <v>31</v>
      </c>
      <c r="T1459" s="8">
        <f>(Table1[[#This Row],[Total Cholesterol (mg/dL)]]+Table1[[#This Row],[HDL (mg/dL)2]]+Table1[[#This Row],[Estimated LDL (mg/dL)2]])*5</f>
        <v>460</v>
      </c>
      <c r="U1459" s="8">
        <f>IF(O1459="",Table1[[#This Row],[Estimated LDL (mg/dL)2]]+Table1[[#This Row],[HDL (mg/dL)2]]+(Table1[[#This Row],[Triglycerides]]/5),O1459)</f>
        <v>184</v>
      </c>
      <c r="V1459">
        <v>155</v>
      </c>
      <c r="W1459" s="8">
        <f t="shared" si="318"/>
        <v>155</v>
      </c>
      <c r="X1459" t="str">
        <f t="shared" si="319"/>
        <v>Diabetes</v>
      </c>
      <c r="Y1459" t="s">
        <v>23</v>
      </c>
      <c r="Z1459" t="s">
        <v>22</v>
      </c>
      <c r="AA1459" t="s">
        <v>24</v>
      </c>
      <c r="AB1459" s="3" t="s">
        <v>1235</v>
      </c>
      <c r="AC1459">
        <v>169</v>
      </c>
      <c r="AD1459" s="3" t="str">
        <f t="shared" si="320"/>
        <v>169</v>
      </c>
      <c r="AE1459">
        <v>87</v>
      </c>
      <c r="AF1459" s="3" t="str">
        <f t="shared" si="321"/>
        <v>87</v>
      </c>
      <c r="AG1459" t="s">
        <v>29</v>
      </c>
      <c r="AH1459" s="3">
        <v>16.75</v>
      </c>
      <c r="AI1459" s="3">
        <f t="shared" si="322"/>
        <v>16.75</v>
      </c>
      <c r="AJ1459" t="s">
        <v>30</v>
      </c>
      <c r="AK1459" t="str">
        <f>PROPER(Table1[[#This Row],[CVD Risk Level]])</f>
        <v>High</v>
      </c>
    </row>
    <row r="1460" spans="1:37" x14ac:dyDescent="0.3">
      <c r="A1460" t="s">
        <v>20</v>
      </c>
      <c r="B1460">
        <v>46</v>
      </c>
      <c r="C1460" s="8">
        <f t="shared" si="311"/>
        <v>46</v>
      </c>
      <c r="D1460" s="5">
        <v>98.034999999999997</v>
      </c>
      <c r="E1460" s="8">
        <f t="shared" si="312"/>
        <v>98.034999999999997</v>
      </c>
      <c r="F1460">
        <v>1.86</v>
      </c>
      <c r="G1460" s="3">
        <f t="shared" si="313"/>
        <v>1.86</v>
      </c>
      <c r="H1460">
        <v>24.27</v>
      </c>
      <c r="I1460" s="5">
        <f t="shared" si="309"/>
        <v>24.27</v>
      </c>
      <c r="J1460" s="16" t="str">
        <f t="shared" si="314"/>
        <v>Normal</v>
      </c>
      <c r="K1460">
        <v>89.5</v>
      </c>
      <c r="L1460">
        <v>0.48099999999999998</v>
      </c>
      <c r="M1460" s="11">
        <f t="shared" si="310"/>
        <v>0.48099999999999998</v>
      </c>
      <c r="N1460" s="5">
        <f t="shared" si="315"/>
        <v>89.5</v>
      </c>
      <c r="O1460">
        <v>150</v>
      </c>
      <c r="Q1460" s="8">
        <f t="shared" si="316"/>
        <v>56.197377501725327</v>
      </c>
      <c r="R1460" s="8">
        <v>77</v>
      </c>
      <c r="S1460" s="8">
        <f>IF(R1460&lt;=0,MEDIAN($R$2:$R$1530),R1460)</f>
        <v>77</v>
      </c>
      <c r="T1460" s="8">
        <f>(Table1[[#This Row],[Total Cholesterol (mg/dL)]]+Table1[[#This Row],[HDL (mg/dL)2]]+Table1[[#This Row],[Estimated LDL (mg/dL)2]])*5</f>
        <v>1415.9868875086268</v>
      </c>
      <c r="U1460" s="8">
        <f>IF(O1460="",Table1[[#This Row],[Estimated LDL (mg/dL)2]]+Table1[[#This Row],[HDL (mg/dL)2]]+(Table1[[#This Row],[Triglycerides]]/5),O1460)</f>
        <v>150</v>
      </c>
      <c r="V1460">
        <v>174</v>
      </c>
      <c r="W1460" s="8">
        <f t="shared" si="318"/>
        <v>174</v>
      </c>
      <c r="X1460" t="str">
        <f t="shared" si="319"/>
        <v>Diabetes</v>
      </c>
      <c r="Y1460" t="s">
        <v>22</v>
      </c>
      <c r="Z1460" t="s">
        <v>22</v>
      </c>
      <c r="AA1460" t="s">
        <v>28</v>
      </c>
      <c r="AB1460" s="3" t="s">
        <v>1236</v>
      </c>
      <c r="AC1460">
        <v>117</v>
      </c>
      <c r="AD1460" s="3" t="str">
        <f t="shared" si="320"/>
        <v>117</v>
      </c>
      <c r="AE1460">
        <v>77</v>
      </c>
      <c r="AF1460" s="3" t="str">
        <f t="shared" si="321"/>
        <v>77</v>
      </c>
      <c r="AG1460" t="s">
        <v>33</v>
      </c>
      <c r="AH1460" s="3">
        <v>13.704000000000001</v>
      </c>
      <c r="AI1460" s="3">
        <f t="shared" si="322"/>
        <v>13.704000000000001</v>
      </c>
      <c r="AJ1460" t="s">
        <v>30</v>
      </c>
      <c r="AK1460" t="str">
        <f>PROPER(Table1[[#This Row],[CVD Risk Level]])</f>
        <v>High</v>
      </c>
    </row>
    <row r="1461" spans="1:37" x14ac:dyDescent="0.3">
      <c r="A1461" t="s">
        <v>20</v>
      </c>
      <c r="B1461">
        <v>76</v>
      </c>
      <c r="C1461" s="8">
        <f t="shared" si="311"/>
        <v>76</v>
      </c>
      <c r="D1461" s="5">
        <v>114.22799999999999</v>
      </c>
      <c r="E1461" s="8">
        <f t="shared" si="312"/>
        <v>114.22799999999999</v>
      </c>
      <c r="F1461">
        <v>1.6180000000000001</v>
      </c>
      <c r="G1461" s="3">
        <f t="shared" si="313"/>
        <v>1.6180000000000001</v>
      </c>
      <c r="I1461" s="5">
        <f t="shared" si="309"/>
        <v>43.633046643065263</v>
      </c>
      <c r="J1461" s="16" t="str">
        <f t="shared" si="314"/>
        <v>Obese</v>
      </c>
      <c r="K1461">
        <v>77.89</v>
      </c>
      <c r="L1461">
        <v>0.48199999999999998</v>
      </c>
      <c r="M1461" s="11">
        <f t="shared" si="310"/>
        <v>0.48199999999999998</v>
      </c>
      <c r="N1461" s="5">
        <f t="shared" si="315"/>
        <v>77.89</v>
      </c>
      <c r="O1461">
        <v>137</v>
      </c>
      <c r="P1461">
        <v>70</v>
      </c>
      <c r="Q1461" s="8">
        <f t="shared" si="316"/>
        <v>70</v>
      </c>
      <c r="R1461" s="8">
        <v>37</v>
      </c>
      <c r="S1461" s="8">
        <f t="shared" si="317"/>
        <v>37</v>
      </c>
      <c r="T1461" s="8">
        <f>(Table1[[#This Row],[Total Cholesterol (mg/dL)]]+Table1[[#This Row],[HDL (mg/dL)2]]+Table1[[#This Row],[Estimated LDL (mg/dL)2]])*5</f>
        <v>1220</v>
      </c>
      <c r="U1461" s="8">
        <f>IF(O1461="",Table1[[#This Row],[Estimated LDL (mg/dL)2]]+Table1[[#This Row],[HDL (mg/dL)2]]+(Table1[[#This Row],[Triglycerides]]/5),O1461)</f>
        <v>137</v>
      </c>
      <c r="V1461">
        <v>90</v>
      </c>
      <c r="W1461" s="8">
        <f t="shared" si="318"/>
        <v>90</v>
      </c>
      <c r="X1461" t="str">
        <f t="shared" si="319"/>
        <v>Normal</v>
      </c>
      <c r="Y1461" t="s">
        <v>22</v>
      </c>
      <c r="Z1461" t="s">
        <v>23</v>
      </c>
      <c r="AA1461" t="s">
        <v>37</v>
      </c>
      <c r="AB1461" s="3" t="s">
        <v>1237</v>
      </c>
      <c r="AC1461">
        <v>163</v>
      </c>
      <c r="AD1461" s="3" t="str">
        <f t="shared" si="320"/>
        <v>163</v>
      </c>
      <c r="AE1461">
        <v>82</v>
      </c>
      <c r="AF1461" s="3" t="str">
        <f t="shared" si="321"/>
        <v>82</v>
      </c>
      <c r="AG1461" t="s">
        <v>29</v>
      </c>
      <c r="AH1461" s="3">
        <v>19.716000000000001</v>
      </c>
      <c r="AI1461" s="3">
        <f t="shared" si="322"/>
        <v>19.716000000000001</v>
      </c>
      <c r="AJ1461" t="s">
        <v>30</v>
      </c>
      <c r="AK1461" t="str">
        <f>PROPER(Table1[[#This Row],[CVD Risk Level]])</f>
        <v>High</v>
      </c>
    </row>
    <row r="1462" spans="1:37" x14ac:dyDescent="0.3">
      <c r="A1462" t="s">
        <v>20</v>
      </c>
      <c r="B1462">
        <v>75</v>
      </c>
      <c r="C1462" s="8">
        <f t="shared" si="311"/>
        <v>75</v>
      </c>
      <c r="D1462" s="5">
        <v>103.54300000000001</v>
      </c>
      <c r="E1462" s="8">
        <f t="shared" si="312"/>
        <v>103.54300000000001</v>
      </c>
      <c r="F1462">
        <v>1.8520000000000001</v>
      </c>
      <c r="G1462" s="3">
        <f t="shared" si="313"/>
        <v>1.8520000000000001</v>
      </c>
      <c r="H1462">
        <v>29.792999999999999</v>
      </c>
      <c r="I1462" s="5">
        <f t="shared" si="309"/>
        <v>29.792999999999999</v>
      </c>
      <c r="J1462" s="16" t="str">
        <f t="shared" si="314"/>
        <v>Overweight</v>
      </c>
      <c r="K1462">
        <v>110.663</v>
      </c>
      <c r="L1462">
        <v>0.59699999999999998</v>
      </c>
      <c r="M1462" s="11">
        <f t="shared" si="310"/>
        <v>0.59699999999999998</v>
      </c>
      <c r="N1462" s="5">
        <f t="shared" si="315"/>
        <v>110.663</v>
      </c>
      <c r="O1462">
        <v>249</v>
      </c>
      <c r="P1462">
        <v>49</v>
      </c>
      <c r="Q1462" s="8">
        <f t="shared" si="316"/>
        <v>49</v>
      </c>
      <c r="R1462" s="8">
        <v>170</v>
      </c>
      <c r="S1462" s="8">
        <f t="shared" si="317"/>
        <v>170</v>
      </c>
      <c r="T1462" s="8">
        <f>(Table1[[#This Row],[Total Cholesterol (mg/dL)]]+Table1[[#This Row],[HDL (mg/dL)2]]+Table1[[#This Row],[Estimated LDL (mg/dL)2]])*5</f>
        <v>2340</v>
      </c>
      <c r="U1462" s="8">
        <f>IF(O1462="",Table1[[#This Row],[Estimated LDL (mg/dL)2]]+Table1[[#This Row],[HDL (mg/dL)2]]+(Table1[[#This Row],[Triglycerides]]/5),O1462)</f>
        <v>249</v>
      </c>
      <c r="V1462">
        <v>191</v>
      </c>
      <c r="W1462" s="8">
        <f t="shared" si="318"/>
        <v>191</v>
      </c>
      <c r="X1462" t="str">
        <f t="shared" si="319"/>
        <v>Diabetes</v>
      </c>
      <c r="Y1462" t="s">
        <v>23</v>
      </c>
      <c r="Z1462" t="s">
        <v>23</v>
      </c>
      <c r="AA1462" t="s">
        <v>28</v>
      </c>
      <c r="AB1462" s="3" t="s">
        <v>1238</v>
      </c>
      <c r="AC1462">
        <v>96</v>
      </c>
      <c r="AD1462" s="3" t="str">
        <f t="shared" si="320"/>
        <v>96</v>
      </c>
      <c r="AE1462">
        <v>89</v>
      </c>
      <c r="AF1462" s="3" t="str">
        <f t="shared" si="321"/>
        <v>89</v>
      </c>
      <c r="AG1462" t="s">
        <v>29</v>
      </c>
      <c r="AH1462" s="3">
        <v>17.739000000000001</v>
      </c>
      <c r="AI1462" s="3">
        <f t="shared" si="322"/>
        <v>17.739000000000001</v>
      </c>
      <c r="AJ1462" t="s">
        <v>52</v>
      </c>
      <c r="AK1462" t="str">
        <f>PROPER(Table1[[#This Row],[CVD Risk Level]])</f>
        <v>Low</v>
      </c>
    </row>
    <row r="1463" spans="1:37" x14ac:dyDescent="0.3">
      <c r="A1463" t="s">
        <v>20</v>
      </c>
      <c r="B1463">
        <v>41</v>
      </c>
      <c r="C1463" s="8">
        <f t="shared" si="311"/>
        <v>41</v>
      </c>
      <c r="D1463" s="5">
        <v>114.34699999999999</v>
      </c>
      <c r="E1463" s="8">
        <f t="shared" si="312"/>
        <v>114.34699999999999</v>
      </c>
      <c r="F1463">
        <v>1.8720000000000001</v>
      </c>
      <c r="G1463" s="3">
        <f t="shared" si="313"/>
        <v>1.8720000000000001</v>
      </c>
      <c r="H1463">
        <v>27.49</v>
      </c>
      <c r="I1463" s="5">
        <f t="shared" si="309"/>
        <v>27.49</v>
      </c>
      <c r="J1463" s="16" t="str">
        <f t="shared" si="314"/>
        <v>Overweight</v>
      </c>
      <c r="K1463">
        <v>103.441</v>
      </c>
      <c r="L1463">
        <v>0.55200000000000005</v>
      </c>
      <c r="M1463" s="11">
        <f t="shared" si="310"/>
        <v>0.55200000000000005</v>
      </c>
      <c r="N1463" s="5">
        <f t="shared" si="315"/>
        <v>103.441</v>
      </c>
      <c r="O1463">
        <v>299</v>
      </c>
      <c r="P1463">
        <v>42</v>
      </c>
      <c r="Q1463" s="8">
        <f t="shared" si="316"/>
        <v>42</v>
      </c>
      <c r="R1463" s="8">
        <v>227</v>
      </c>
      <c r="S1463" s="8">
        <f t="shared" si="317"/>
        <v>227</v>
      </c>
      <c r="T1463" s="8">
        <f>(Table1[[#This Row],[Total Cholesterol (mg/dL)]]+Table1[[#This Row],[HDL (mg/dL)2]]+Table1[[#This Row],[Estimated LDL (mg/dL)2]])*5</f>
        <v>2840</v>
      </c>
      <c r="U1463" s="8">
        <f>IF(O1463="",Table1[[#This Row],[Estimated LDL (mg/dL)2]]+Table1[[#This Row],[HDL (mg/dL)2]]+(Table1[[#This Row],[Triglycerides]]/5),O1463)</f>
        <v>299</v>
      </c>
      <c r="V1463">
        <v>134</v>
      </c>
      <c r="W1463" s="8">
        <f t="shared" si="318"/>
        <v>134</v>
      </c>
      <c r="X1463" t="str">
        <f t="shared" si="319"/>
        <v>Diabetes</v>
      </c>
      <c r="Y1463" t="s">
        <v>22</v>
      </c>
      <c r="Z1463" t="s">
        <v>23</v>
      </c>
      <c r="AA1463" t="s">
        <v>28</v>
      </c>
      <c r="AB1463" s="3" t="s">
        <v>1239</v>
      </c>
      <c r="AC1463">
        <v>107</v>
      </c>
      <c r="AD1463" s="3" t="str">
        <f t="shared" si="320"/>
        <v>107</v>
      </c>
      <c r="AE1463">
        <v>91</v>
      </c>
      <c r="AF1463" s="3" t="str">
        <f t="shared" si="321"/>
        <v>91</v>
      </c>
      <c r="AG1463" t="s">
        <v>38</v>
      </c>
      <c r="AH1463" s="3">
        <v>18.827999999999999</v>
      </c>
      <c r="AI1463" s="3">
        <f t="shared" si="322"/>
        <v>18.827999999999999</v>
      </c>
      <c r="AJ1463" t="s">
        <v>26</v>
      </c>
      <c r="AK1463" t="str">
        <f>PROPER(Table1[[#This Row],[CVD Risk Level]])</f>
        <v>Intermediary</v>
      </c>
    </row>
    <row r="1464" spans="1:37" x14ac:dyDescent="0.3">
      <c r="A1464" t="s">
        <v>31</v>
      </c>
      <c r="B1464">
        <v>69</v>
      </c>
      <c r="C1464" s="8">
        <f t="shared" si="311"/>
        <v>69</v>
      </c>
      <c r="D1464" s="5">
        <v>85.474000000000004</v>
      </c>
      <c r="E1464" s="8">
        <f t="shared" si="312"/>
        <v>85.474000000000004</v>
      </c>
      <c r="F1464">
        <v>1.879</v>
      </c>
      <c r="G1464" s="3">
        <f t="shared" si="313"/>
        <v>1.879</v>
      </c>
      <c r="H1464">
        <v>36.134999999999998</v>
      </c>
      <c r="I1464" s="5">
        <f t="shared" si="309"/>
        <v>36.134999999999998</v>
      </c>
      <c r="J1464" s="16" t="str">
        <f t="shared" si="314"/>
        <v>Obese</v>
      </c>
      <c r="K1464">
        <v>101.905</v>
      </c>
      <c r="L1464">
        <v>0.54200000000000004</v>
      </c>
      <c r="M1464" s="11">
        <f t="shared" si="310"/>
        <v>0.54200000000000004</v>
      </c>
      <c r="N1464" s="5">
        <f t="shared" si="315"/>
        <v>101.905</v>
      </c>
      <c r="O1464">
        <v>205</v>
      </c>
      <c r="P1464">
        <v>89</v>
      </c>
      <c r="Q1464" s="8">
        <f t="shared" si="316"/>
        <v>89</v>
      </c>
      <c r="R1464" s="8">
        <v>86</v>
      </c>
      <c r="S1464" s="8">
        <f t="shared" si="317"/>
        <v>86</v>
      </c>
      <c r="T1464" s="8">
        <f>(Table1[[#This Row],[Total Cholesterol (mg/dL)]]+Table1[[#This Row],[HDL (mg/dL)2]]+Table1[[#This Row],[Estimated LDL (mg/dL)2]])*5</f>
        <v>1900</v>
      </c>
      <c r="U1464" s="8">
        <f>IF(O1464="",Table1[[#This Row],[Estimated LDL (mg/dL)2]]+Table1[[#This Row],[HDL (mg/dL)2]]+(Table1[[#This Row],[Triglycerides]]/5),O1464)</f>
        <v>205</v>
      </c>
      <c r="V1464">
        <v>171</v>
      </c>
      <c r="W1464" s="8">
        <f t="shared" si="318"/>
        <v>171</v>
      </c>
      <c r="X1464" t="str">
        <f t="shared" si="319"/>
        <v>Diabetes</v>
      </c>
      <c r="Y1464" t="s">
        <v>23</v>
      </c>
      <c r="Z1464" t="s">
        <v>23</v>
      </c>
      <c r="AA1464" t="s">
        <v>24</v>
      </c>
      <c r="AB1464" s="3" t="s">
        <v>1240</v>
      </c>
      <c r="AC1464">
        <v>131</v>
      </c>
      <c r="AD1464" s="3" t="str">
        <f t="shared" si="320"/>
        <v>131</v>
      </c>
      <c r="AE1464">
        <v>98</v>
      </c>
      <c r="AF1464" s="3" t="str">
        <f t="shared" si="321"/>
        <v>98</v>
      </c>
      <c r="AG1464" t="s">
        <v>29</v>
      </c>
      <c r="AH1464" s="3">
        <v>19.876999999999999</v>
      </c>
      <c r="AI1464" s="3">
        <f t="shared" si="322"/>
        <v>19.876999999999999</v>
      </c>
      <c r="AJ1464" t="s">
        <v>52</v>
      </c>
      <c r="AK1464" t="str">
        <f>PROPER(Table1[[#This Row],[CVD Risk Level]])</f>
        <v>Low</v>
      </c>
    </row>
    <row r="1465" spans="1:37" x14ac:dyDescent="0.3">
      <c r="A1465" t="s">
        <v>20</v>
      </c>
      <c r="B1465">
        <v>62</v>
      </c>
      <c r="C1465" s="8">
        <f t="shared" si="311"/>
        <v>62</v>
      </c>
      <c r="D1465" s="5">
        <v>66.498000000000005</v>
      </c>
      <c r="E1465" s="8">
        <f t="shared" si="312"/>
        <v>66.498000000000005</v>
      </c>
      <c r="F1465">
        <v>1.6439999999999999</v>
      </c>
      <c r="G1465" s="3">
        <f t="shared" si="313"/>
        <v>1.6439999999999999</v>
      </c>
      <c r="H1465">
        <v>33.527999999999999</v>
      </c>
      <c r="I1465" s="5">
        <f t="shared" si="309"/>
        <v>33.527999999999999</v>
      </c>
      <c r="J1465" s="16" t="str">
        <f t="shared" si="314"/>
        <v>Obese</v>
      </c>
      <c r="K1465">
        <v>116.551</v>
      </c>
      <c r="L1465">
        <v>0.70899999999999996</v>
      </c>
      <c r="M1465" s="11">
        <f t="shared" si="310"/>
        <v>0.70899999999999996</v>
      </c>
      <c r="N1465" s="5">
        <f t="shared" si="315"/>
        <v>116.551</v>
      </c>
      <c r="P1465">
        <v>53</v>
      </c>
      <c r="Q1465" s="8">
        <f t="shared" si="316"/>
        <v>53</v>
      </c>
      <c r="R1465" s="8">
        <v>134</v>
      </c>
      <c r="S1465" s="8">
        <f t="shared" si="317"/>
        <v>134</v>
      </c>
      <c r="T1465" s="8">
        <f>(Table1[[#This Row],[Total Cholesterol (mg/dL)]]+Table1[[#This Row],[HDL (mg/dL)2]]+Table1[[#This Row],[Estimated LDL (mg/dL)2]])*5</f>
        <v>935</v>
      </c>
      <c r="U1465" s="8">
        <f>IF(O1465="",Table1[[#This Row],[Estimated LDL (mg/dL)2]]+Table1[[#This Row],[HDL (mg/dL)2]]+(Table1[[#This Row],[Triglycerides]]/5),O1465)</f>
        <v>374</v>
      </c>
      <c r="V1465">
        <v>193</v>
      </c>
      <c r="W1465" s="8">
        <f t="shared" si="318"/>
        <v>193</v>
      </c>
      <c r="X1465" t="str">
        <f t="shared" si="319"/>
        <v>Diabetes</v>
      </c>
      <c r="Y1465" t="s">
        <v>23</v>
      </c>
      <c r="Z1465" t="s">
        <v>22</v>
      </c>
      <c r="AA1465" t="s">
        <v>37</v>
      </c>
      <c r="AB1465" s="3" t="s">
        <v>1241</v>
      </c>
      <c r="AC1465">
        <v>179</v>
      </c>
      <c r="AD1465" s="3" t="str">
        <f t="shared" si="320"/>
        <v>179</v>
      </c>
      <c r="AE1465">
        <v>91</v>
      </c>
      <c r="AF1465" s="3" t="str">
        <f t="shared" si="321"/>
        <v>91</v>
      </c>
      <c r="AG1465" t="s">
        <v>38</v>
      </c>
      <c r="AH1465" s="3">
        <v>19.995999999999999</v>
      </c>
      <c r="AI1465" s="3">
        <f t="shared" si="322"/>
        <v>19.995999999999999</v>
      </c>
      <c r="AJ1465" t="s">
        <v>52</v>
      </c>
      <c r="AK1465" t="str">
        <f>PROPER(Table1[[#This Row],[CVD Risk Level]])</f>
        <v>Low</v>
      </c>
    </row>
    <row r="1466" spans="1:37" x14ac:dyDescent="0.3">
      <c r="A1466" t="s">
        <v>31</v>
      </c>
      <c r="C1466" s="8">
        <f t="shared" si="311"/>
        <v>47.025499655410059</v>
      </c>
      <c r="D1466" s="5">
        <v>104.80200000000001</v>
      </c>
      <c r="E1466" s="8">
        <f t="shared" si="312"/>
        <v>104.80200000000001</v>
      </c>
      <c r="F1466">
        <v>1.927</v>
      </c>
      <c r="G1466" s="3">
        <f t="shared" si="313"/>
        <v>1.927</v>
      </c>
      <c r="H1466">
        <v>36.368000000000002</v>
      </c>
      <c r="I1466" s="5">
        <f t="shared" si="309"/>
        <v>36.368000000000002</v>
      </c>
      <c r="J1466" s="16" t="str">
        <f t="shared" si="314"/>
        <v>Obese</v>
      </c>
      <c r="K1466">
        <v>70.411000000000001</v>
      </c>
      <c r="L1466">
        <v>0.36499999999999999</v>
      </c>
      <c r="M1466" s="11">
        <f t="shared" si="310"/>
        <v>0.36499999999999999</v>
      </c>
      <c r="N1466" s="5">
        <f t="shared" si="315"/>
        <v>70.411000000000001</v>
      </c>
      <c r="O1466">
        <v>104</v>
      </c>
      <c r="P1466">
        <v>31</v>
      </c>
      <c r="Q1466" s="8">
        <f t="shared" si="316"/>
        <v>31</v>
      </c>
      <c r="R1466" s="8">
        <v>43</v>
      </c>
      <c r="S1466" s="8">
        <f t="shared" si="317"/>
        <v>43</v>
      </c>
      <c r="T1466" s="8">
        <f>(Table1[[#This Row],[Total Cholesterol (mg/dL)]]+Table1[[#This Row],[HDL (mg/dL)2]]+Table1[[#This Row],[Estimated LDL (mg/dL)2]])*5</f>
        <v>890</v>
      </c>
      <c r="U1466" s="8">
        <f>IF(O1466="",Table1[[#This Row],[Estimated LDL (mg/dL)2]]+Table1[[#This Row],[HDL (mg/dL)2]]+(Table1[[#This Row],[Triglycerides]]/5),O1466)</f>
        <v>104</v>
      </c>
      <c r="V1466">
        <v>78</v>
      </c>
      <c r="W1466" s="8">
        <f t="shared" si="318"/>
        <v>78</v>
      </c>
      <c r="X1466" t="str">
        <f t="shared" si="319"/>
        <v>Normal</v>
      </c>
      <c r="Y1466" t="s">
        <v>22</v>
      </c>
      <c r="Z1466" t="s">
        <v>23</v>
      </c>
      <c r="AA1466" t="s">
        <v>24</v>
      </c>
      <c r="AB1466" s="3" t="s">
        <v>1242</v>
      </c>
      <c r="AC1466">
        <v>90</v>
      </c>
      <c r="AD1466" s="3" t="str">
        <f t="shared" si="320"/>
        <v>90</v>
      </c>
      <c r="AE1466">
        <v>111</v>
      </c>
      <c r="AF1466" s="3" t="str">
        <f t="shared" si="321"/>
        <v>111</v>
      </c>
      <c r="AG1466" t="s">
        <v>38</v>
      </c>
      <c r="AH1466" s="3">
        <v>15.853999999999999</v>
      </c>
      <c r="AI1466" s="3">
        <f t="shared" si="322"/>
        <v>15.853999999999999</v>
      </c>
      <c r="AJ1466" t="s">
        <v>30</v>
      </c>
      <c r="AK1466" t="str">
        <f>PROPER(Table1[[#This Row],[CVD Risk Level]])</f>
        <v>High</v>
      </c>
    </row>
    <row r="1467" spans="1:37" x14ac:dyDescent="0.3">
      <c r="A1467" t="s">
        <v>31</v>
      </c>
      <c r="B1467">
        <v>35</v>
      </c>
      <c r="C1467" s="8">
        <f t="shared" si="311"/>
        <v>35</v>
      </c>
      <c r="D1467" s="5">
        <v>117.825</v>
      </c>
      <c r="E1467" s="8">
        <f t="shared" si="312"/>
        <v>117.825</v>
      </c>
      <c r="F1467">
        <v>1.5509999999999999</v>
      </c>
      <c r="G1467" s="3">
        <f t="shared" si="313"/>
        <v>1.5509999999999999</v>
      </c>
      <c r="H1467">
        <v>21.128</v>
      </c>
      <c r="I1467" s="5">
        <f t="shared" si="309"/>
        <v>21.128</v>
      </c>
      <c r="J1467" s="16" t="str">
        <f t="shared" si="314"/>
        <v>Normal</v>
      </c>
      <c r="K1467">
        <v>74.558999999999997</v>
      </c>
      <c r="L1467">
        <v>0.48099999999999998</v>
      </c>
      <c r="M1467" s="11">
        <f t="shared" si="310"/>
        <v>0.48099999999999998</v>
      </c>
      <c r="N1467" s="5">
        <f t="shared" si="315"/>
        <v>74.558999999999997</v>
      </c>
      <c r="O1467">
        <v>288</v>
      </c>
      <c r="P1467">
        <v>49</v>
      </c>
      <c r="Q1467" s="8">
        <f t="shared" si="316"/>
        <v>49</v>
      </c>
      <c r="R1467" s="8">
        <v>209</v>
      </c>
      <c r="S1467" s="8">
        <f t="shared" si="317"/>
        <v>209</v>
      </c>
      <c r="T1467" s="8">
        <f>(Table1[[#This Row],[Total Cholesterol (mg/dL)]]+Table1[[#This Row],[HDL (mg/dL)2]]+Table1[[#This Row],[Estimated LDL (mg/dL)2]])*5</f>
        <v>2730</v>
      </c>
      <c r="U1467" s="8">
        <f>IF(O1467="",Table1[[#This Row],[Estimated LDL (mg/dL)2]]+Table1[[#This Row],[HDL (mg/dL)2]]+(Table1[[#This Row],[Triglycerides]]/5),O1467)</f>
        <v>288</v>
      </c>
      <c r="W1467" s="8">
        <f t="shared" si="318"/>
        <v>117.48563611491107</v>
      </c>
      <c r="X1467" t="str">
        <f t="shared" si="319"/>
        <v>Prediabetes</v>
      </c>
      <c r="Y1467" t="s">
        <v>23</v>
      </c>
      <c r="Z1467" t="s">
        <v>23</v>
      </c>
      <c r="AA1467" t="s">
        <v>24</v>
      </c>
      <c r="AB1467" s="3" t="s">
        <v>1243</v>
      </c>
      <c r="AC1467">
        <v>110</v>
      </c>
      <c r="AD1467" s="3" t="str">
        <f t="shared" si="320"/>
        <v>110</v>
      </c>
      <c r="AE1467">
        <v>112</v>
      </c>
      <c r="AF1467" s="3" t="str">
        <f t="shared" si="321"/>
        <v>112</v>
      </c>
      <c r="AG1467" t="s">
        <v>38</v>
      </c>
      <c r="AH1467" s="3">
        <v>17.486000000000001</v>
      </c>
      <c r="AI1467" s="3">
        <f t="shared" si="322"/>
        <v>17.486000000000001</v>
      </c>
      <c r="AJ1467" t="s">
        <v>26</v>
      </c>
      <c r="AK1467" t="str">
        <f>PROPER(Table1[[#This Row],[CVD Risk Level]])</f>
        <v>Intermediary</v>
      </c>
    </row>
    <row r="1468" spans="1:37" x14ac:dyDescent="0.3">
      <c r="A1468" t="s">
        <v>20</v>
      </c>
      <c r="B1468">
        <v>70</v>
      </c>
      <c r="C1468" s="8">
        <f t="shared" si="311"/>
        <v>70</v>
      </c>
      <c r="D1468" s="5">
        <v>56.381</v>
      </c>
      <c r="E1468" s="8">
        <f t="shared" si="312"/>
        <v>56.381</v>
      </c>
      <c r="F1468">
        <v>1.9</v>
      </c>
      <c r="G1468" s="3">
        <f t="shared" si="313"/>
        <v>1.9</v>
      </c>
      <c r="H1468">
        <v>33.984000000000002</v>
      </c>
      <c r="I1468" s="5">
        <f t="shared" si="309"/>
        <v>33.984000000000002</v>
      </c>
      <c r="J1468" s="16" t="str">
        <f t="shared" si="314"/>
        <v>Obese</v>
      </c>
      <c r="K1468">
        <v>78.763999999999996</v>
      </c>
      <c r="L1468">
        <v>0.41399999999999998</v>
      </c>
      <c r="M1468" s="11">
        <f t="shared" si="310"/>
        <v>0.41399999999999998</v>
      </c>
      <c r="N1468" s="5">
        <f t="shared" si="315"/>
        <v>78.763999999999996</v>
      </c>
      <c r="O1468">
        <v>215</v>
      </c>
      <c r="P1468">
        <v>52</v>
      </c>
      <c r="Q1468" s="8">
        <f t="shared" si="316"/>
        <v>52</v>
      </c>
      <c r="R1468" s="8">
        <v>133</v>
      </c>
      <c r="S1468" s="8">
        <f t="shared" si="317"/>
        <v>133</v>
      </c>
      <c r="T1468" s="8">
        <f>(Table1[[#This Row],[Total Cholesterol (mg/dL)]]+Table1[[#This Row],[HDL (mg/dL)2]]+Table1[[#This Row],[Estimated LDL (mg/dL)2]])*5</f>
        <v>2000</v>
      </c>
      <c r="U1468" s="8">
        <f>IF(O1468="",Table1[[#This Row],[Estimated LDL (mg/dL)2]]+Table1[[#This Row],[HDL (mg/dL)2]]+(Table1[[#This Row],[Triglycerides]]/5),O1468)</f>
        <v>215</v>
      </c>
      <c r="V1468">
        <v>166</v>
      </c>
      <c r="W1468" s="8">
        <f t="shared" si="318"/>
        <v>166</v>
      </c>
      <c r="X1468" t="str">
        <f t="shared" si="319"/>
        <v>Diabetes</v>
      </c>
      <c r="Y1468" t="s">
        <v>22</v>
      </c>
      <c r="Z1468" t="s">
        <v>23</v>
      </c>
      <c r="AA1468" t="s">
        <v>28</v>
      </c>
      <c r="AB1468" s="3" t="s">
        <v>1244</v>
      </c>
      <c r="AC1468">
        <v>176</v>
      </c>
      <c r="AD1468" s="3" t="str">
        <f t="shared" si="320"/>
        <v>176</v>
      </c>
      <c r="AE1468">
        <v>95</v>
      </c>
      <c r="AF1468" s="3" t="str">
        <f t="shared" si="321"/>
        <v>95</v>
      </c>
      <c r="AG1468" t="s">
        <v>38</v>
      </c>
      <c r="AH1468" s="3">
        <v>21.896999999999998</v>
      </c>
      <c r="AI1468" s="3">
        <f t="shared" si="322"/>
        <v>21.896999999999998</v>
      </c>
      <c r="AJ1468" t="s">
        <v>26</v>
      </c>
      <c r="AK1468" t="str">
        <f>PROPER(Table1[[#This Row],[CVD Risk Level]])</f>
        <v>Intermediary</v>
      </c>
    </row>
    <row r="1469" spans="1:37" x14ac:dyDescent="0.3">
      <c r="A1469" t="s">
        <v>20</v>
      </c>
      <c r="B1469">
        <v>33</v>
      </c>
      <c r="C1469" s="8">
        <f t="shared" si="311"/>
        <v>33</v>
      </c>
      <c r="D1469" s="5">
        <v>65.016999999999996</v>
      </c>
      <c r="E1469" s="8">
        <f t="shared" si="312"/>
        <v>65.016999999999996</v>
      </c>
      <c r="F1469">
        <v>1.5780000000000001</v>
      </c>
      <c r="G1469" s="3">
        <f t="shared" si="313"/>
        <v>1.5780000000000001</v>
      </c>
      <c r="H1469">
        <v>21.577000000000002</v>
      </c>
      <c r="I1469" s="5">
        <f t="shared" si="309"/>
        <v>21.577000000000002</v>
      </c>
      <c r="J1469" s="16" t="str">
        <f t="shared" si="314"/>
        <v>Normal</v>
      </c>
      <c r="K1469">
        <v>110.809</v>
      </c>
      <c r="L1469">
        <v>0.70199999999999996</v>
      </c>
      <c r="M1469" s="11">
        <f t="shared" si="310"/>
        <v>0.70199999999999996</v>
      </c>
      <c r="N1469" s="5">
        <f t="shared" si="315"/>
        <v>110.809</v>
      </c>
      <c r="O1469">
        <v>121</v>
      </c>
      <c r="P1469">
        <v>48</v>
      </c>
      <c r="Q1469" s="8">
        <f t="shared" si="316"/>
        <v>48</v>
      </c>
      <c r="R1469" s="8">
        <v>43</v>
      </c>
      <c r="S1469" s="8">
        <f t="shared" si="317"/>
        <v>43</v>
      </c>
      <c r="T1469" s="8">
        <f>(Table1[[#This Row],[Total Cholesterol (mg/dL)]]+Table1[[#This Row],[HDL (mg/dL)2]]+Table1[[#This Row],[Estimated LDL (mg/dL)2]])*5</f>
        <v>1060</v>
      </c>
      <c r="U1469" s="8">
        <f>IF(O1469="",Table1[[#This Row],[Estimated LDL (mg/dL)2]]+Table1[[#This Row],[HDL (mg/dL)2]]+(Table1[[#This Row],[Triglycerides]]/5),O1469)</f>
        <v>121</v>
      </c>
      <c r="V1469">
        <v>148</v>
      </c>
      <c r="W1469" s="8">
        <f t="shared" si="318"/>
        <v>148</v>
      </c>
      <c r="X1469" t="str">
        <f t="shared" si="319"/>
        <v>Diabetes</v>
      </c>
      <c r="Y1469" t="s">
        <v>22</v>
      </c>
      <c r="Z1469" t="s">
        <v>22</v>
      </c>
      <c r="AA1469" t="s">
        <v>24</v>
      </c>
      <c r="AB1469" s="3" t="s">
        <v>662</v>
      </c>
      <c r="AC1469">
        <v>102</v>
      </c>
      <c r="AD1469" s="3" t="str">
        <f t="shared" si="320"/>
        <v>102</v>
      </c>
      <c r="AE1469">
        <v>73</v>
      </c>
      <c r="AF1469" s="3" t="str">
        <f t="shared" si="321"/>
        <v>73</v>
      </c>
      <c r="AG1469" t="s">
        <v>33</v>
      </c>
      <c r="AH1469" s="3">
        <v>11.835000000000001</v>
      </c>
      <c r="AI1469" s="3">
        <f t="shared" si="322"/>
        <v>11.835000000000001</v>
      </c>
      <c r="AJ1469" t="s">
        <v>26</v>
      </c>
      <c r="AK1469" t="str">
        <f>PROPER(Table1[[#This Row],[CVD Risk Level]])</f>
        <v>Intermediary</v>
      </c>
    </row>
    <row r="1470" spans="1:37" x14ac:dyDescent="0.3">
      <c r="A1470" t="s">
        <v>31</v>
      </c>
      <c r="B1470">
        <v>41</v>
      </c>
      <c r="C1470" s="8">
        <f t="shared" si="311"/>
        <v>41</v>
      </c>
      <c r="D1470" s="5">
        <v>111.548</v>
      </c>
      <c r="E1470" s="8">
        <f t="shared" si="312"/>
        <v>111.548</v>
      </c>
      <c r="F1470">
        <v>1.9119999999999999</v>
      </c>
      <c r="G1470" s="3">
        <f t="shared" si="313"/>
        <v>1.9119999999999999</v>
      </c>
      <c r="I1470" s="5">
        <f t="shared" si="309"/>
        <v>30.513077502144572</v>
      </c>
      <c r="J1470" s="16" t="str">
        <f t="shared" si="314"/>
        <v>Obese</v>
      </c>
      <c r="K1470">
        <v>88.150999999999996</v>
      </c>
      <c r="L1470">
        <v>0.46100000000000002</v>
      </c>
      <c r="M1470" s="11">
        <f t="shared" si="310"/>
        <v>0.46100000000000002</v>
      </c>
      <c r="N1470" s="5">
        <f t="shared" si="315"/>
        <v>88.150999999999996</v>
      </c>
      <c r="O1470">
        <v>102</v>
      </c>
      <c r="P1470">
        <v>46</v>
      </c>
      <c r="Q1470" s="8">
        <f t="shared" si="316"/>
        <v>46</v>
      </c>
      <c r="R1470" s="8">
        <v>26</v>
      </c>
      <c r="S1470" s="8">
        <f t="shared" si="317"/>
        <v>26</v>
      </c>
      <c r="T1470" s="8">
        <f>(Table1[[#This Row],[Total Cholesterol (mg/dL)]]+Table1[[#This Row],[HDL (mg/dL)2]]+Table1[[#This Row],[Estimated LDL (mg/dL)2]])*5</f>
        <v>870</v>
      </c>
      <c r="U1470" s="8">
        <f>IF(O1470="",Table1[[#This Row],[Estimated LDL (mg/dL)2]]+Table1[[#This Row],[HDL (mg/dL)2]]+(Table1[[#This Row],[Triglycerides]]/5),O1470)</f>
        <v>102</v>
      </c>
      <c r="V1470">
        <v>90</v>
      </c>
      <c r="W1470" s="8">
        <f t="shared" si="318"/>
        <v>90</v>
      </c>
      <c r="X1470" t="str">
        <f t="shared" si="319"/>
        <v>Normal</v>
      </c>
      <c r="Y1470" t="s">
        <v>23</v>
      </c>
      <c r="Z1470" t="s">
        <v>23</v>
      </c>
      <c r="AA1470" t="s">
        <v>24</v>
      </c>
      <c r="AB1470" s="3" t="s">
        <v>207</v>
      </c>
      <c r="AC1470">
        <v>130</v>
      </c>
      <c r="AD1470" s="3" t="str">
        <f t="shared" si="320"/>
        <v>130</v>
      </c>
      <c r="AE1470">
        <v>71</v>
      </c>
      <c r="AF1470" s="3" t="str">
        <f t="shared" si="321"/>
        <v>71</v>
      </c>
      <c r="AG1470" t="s">
        <v>29</v>
      </c>
      <c r="AH1470" s="3">
        <v>16.672999999999998</v>
      </c>
      <c r="AI1470" s="3">
        <f t="shared" si="322"/>
        <v>16.672999999999998</v>
      </c>
      <c r="AJ1470" t="s">
        <v>26</v>
      </c>
      <c r="AK1470" t="str">
        <f>PROPER(Table1[[#This Row],[CVD Risk Level]])</f>
        <v>Intermediary</v>
      </c>
    </row>
    <row r="1471" spans="1:37" x14ac:dyDescent="0.3">
      <c r="A1471" t="s">
        <v>20</v>
      </c>
      <c r="B1471">
        <v>28</v>
      </c>
      <c r="C1471" s="8">
        <f t="shared" si="311"/>
        <v>28</v>
      </c>
      <c r="D1471" s="5">
        <v>92.683000000000007</v>
      </c>
      <c r="E1471" s="8">
        <f t="shared" si="312"/>
        <v>92.683000000000007</v>
      </c>
      <c r="F1471">
        <v>1.839</v>
      </c>
      <c r="G1471" s="3">
        <f t="shared" si="313"/>
        <v>1.839</v>
      </c>
      <c r="H1471">
        <v>31.26</v>
      </c>
      <c r="I1471" s="5">
        <f t="shared" si="309"/>
        <v>31.26</v>
      </c>
      <c r="J1471" s="16" t="str">
        <f t="shared" si="314"/>
        <v>Obese</v>
      </c>
      <c r="K1471">
        <v>76.347999999999999</v>
      </c>
      <c r="L1471">
        <v>0.41499999999999998</v>
      </c>
      <c r="M1471" s="11">
        <f t="shared" si="310"/>
        <v>0.41499999999999998</v>
      </c>
      <c r="N1471" s="5">
        <f t="shared" si="315"/>
        <v>76.347999999999999</v>
      </c>
      <c r="O1471">
        <v>297</v>
      </c>
      <c r="P1471">
        <v>81</v>
      </c>
      <c r="Q1471" s="8">
        <f t="shared" si="316"/>
        <v>81</v>
      </c>
      <c r="R1471" s="8">
        <v>186</v>
      </c>
      <c r="S1471" s="8">
        <f t="shared" si="317"/>
        <v>186</v>
      </c>
      <c r="T1471" s="8">
        <f>(Table1[[#This Row],[Total Cholesterol (mg/dL)]]+Table1[[#This Row],[HDL (mg/dL)2]]+Table1[[#This Row],[Estimated LDL (mg/dL)2]])*5</f>
        <v>2820</v>
      </c>
      <c r="U1471" s="8">
        <f>IF(O1471="",Table1[[#This Row],[Estimated LDL (mg/dL)2]]+Table1[[#This Row],[HDL (mg/dL)2]]+(Table1[[#This Row],[Triglycerides]]/5),O1471)</f>
        <v>297</v>
      </c>
      <c r="V1471">
        <v>147</v>
      </c>
      <c r="W1471" s="8">
        <f t="shared" si="318"/>
        <v>147</v>
      </c>
      <c r="X1471" t="str">
        <f t="shared" si="319"/>
        <v>Diabetes</v>
      </c>
      <c r="Y1471" t="s">
        <v>22</v>
      </c>
      <c r="Z1471" t="s">
        <v>23</v>
      </c>
      <c r="AA1471" t="s">
        <v>28</v>
      </c>
      <c r="AB1471" s="3" t="s">
        <v>1245</v>
      </c>
      <c r="AC1471">
        <v>169</v>
      </c>
      <c r="AD1471" s="3" t="str">
        <f t="shared" si="320"/>
        <v>169</v>
      </c>
      <c r="AE1471">
        <v>95</v>
      </c>
      <c r="AF1471" s="3" t="str">
        <f t="shared" si="321"/>
        <v>95</v>
      </c>
      <c r="AG1471" t="s">
        <v>38</v>
      </c>
      <c r="AH1471" s="3">
        <v>22.641999999999999</v>
      </c>
      <c r="AI1471" s="3">
        <f t="shared" si="322"/>
        <v>22.641999999999999</v>
      </c>
      <c r="AJ1471" t="s">
        <v>52</v>
      </c>
      <c r="AK1471" t="str">
        <f>PROPER(Table1[[#This Row],[CVD Risk Level]])</f>
        <v>Low</v>
      </c>
    </row>
    <row r="1472" spans="1:37" x14ac:dyDescent="0.3">
      <c r="A1472" t="s">
        <v>20</v>
      </c>
      <c r="B1472">
        <v>75</v>
      </c>
      <c r="C1472" s="8">
        <f t="shared" si="311"/>
        <v>75</v>
      </c>
      <c r="D1472" s="5">
        <v>109.986</v>
      </c>
      <c r="E1472" s="8">
        <f t="shared" si="312"/>
        <v>109.986</v>
      </c>
      <c r="F1472">
        <v>1.5740000000000001</v>
      </c>
      <c r="G1472" s="3">
        <f t="shared" si="313"/>
        <v>1.5740000000000001</v>
      </c>
      <c r="H1472">
        <v>35.325000000000003</v>
      </c>
      <c r="I1472" s="5">
        <f t="shared" si="309"/>
        <v>35.325000000000003</v>
      </c>
      <c r="J1472" s="16" t="str">
        <f t="shared" si="314"/>
        <v>Obese</v>
      </c>
      <c r="K1472">
        <v>109.006</v>
      </c>
      <c r="L1472">
        <v>0.69199999999999995</v>
      </c>
      <c r="M1472" s="11">
        <f t="shared" si="310"/>
        <v>0.69199999999999995</v>
      </c>
      <c r="N1472" s="5">
        <f t="shared" si="315"/>
        <v>109.006</v>
      </c>
      <c r="O1472">
        <v>295</v>
      </c>
      <c r="P1472">
        <v>77</v>
      </c>
      <c r="Q1472" s="8">
        <f t="shared" si="316"/>
        <v>77</v>
      </c>
      <c r="R1472" s="8">
        <v>188</v>
      </c>
      <c r="S1472" s="8">
        <f t="shared" si="317"/>
        <v>188</v>
      </c>
      <c r="T1472" s="8">
        <f>(Table1[[#This Row],[Total Cholesterol (mg/dL)]]+Table1[[#This Row],[HDL (mg/dL)2]]+Table1[[#This Row],[Estimated LDL (mg/dL)2]])*5</f>
        <v>2800</v>
      </c>
      <c r="U1472" s="8">
        <f>IF(O1472="",Table1[[#This Row],[Estimated LDL (mg/dL)2]]+Table1[[#This Row],[HDL (mg/dL)2]]+(Table1[[#This Row],[Triglycerides]]/5),O1472)</f>
        <v>295</v>
      </c>
      <c r="V1472">
        <v>134</v>
      </c>
      <c r="W1472" s="8">
        <f t="shared" si="318"/>
        <v>134</v>
      </c>
      <c r="X1472" t="str">
        <f t="shared" si="319"/>
        <v>Diabetes</v>
      </c>
      <c r="Y1472" t="s">
        <v>22</v>
      </c>
      <c r="Z1472" t="s">
        <v>22</v>
      </c>
      <c r="AA1472" t="s">
        <v>37</v>
      </c>
      <c r="AB1472" s="3" t="s">
        <v>511</v>
      </c>
      <c r="AC1472">
        <v>119</v>
      </c>
      <c r="AD1472" s="3" t="str">
        <f t="shared" si="320"/>
        <v>119</v>
      </c>
      <c r="AE1472">
        <v>88</v>
      </c>
      <c r="AF1472" s="3" t="str">
        <f t="shared" si="321"/>
        <v>88</v>
      </c>
      <c r="AG1472" t="s">
        <v>29</v>
      </c>
      <c r="AH1472" s="3">
        <v>18.914999999999999</v>
      </c>
      <c r="AI1472" s="3">
        <f t="shared" si="322"/>
        <v>18.914999999999999</v>
      </c>
      <c r="AJ1472" t="s">
        <v>30</v>
      </c>
      <c r="AK1472" t="str">
        <f>PROPER(Table1[[#This Row],[CVD Risk Level]])</f>
        <v>High</v>
      </c>
    </row>
    <row r="1473" spans="1:37" x14ac:dyDescent="0.3">
      <c r="A1473" t="s">
        <v>31</v>
      </c>
      <c r="B1473">
        <v>51</v>
      </c>
      <c r="C1473" s="8">
        <f t="shared" si="311"/>
        <v>51</v>
      </c>
      <c r="D1473" s="5">
        <v>62.890999999999998</v>
      </c>
      <c r="E1473" s="8">
        <f t="shared" si="312"/>
        <v>62.890999999999998</v>
      </c>
      <c r="F1473">
        <v>1.639</v>
      </c>
      <c r="G1473" s="3">
        <f t="shared" si="313"/>
        <v>1.639</v>
      </c>
      <c r="H1473">
        <v>39.597000000000001</v>
      </c>
      <c r="I1473" s="5">
        <f t="shared" si="309"/>
        <v>39.597000000000001</v>
      </c>
      <c r="J1473" s="16" t="str">
        <f t="shared" si="314"/>
        <v>Obese</v>
      </c>
      <c r="K1473">
        <v>91.942999999999998</v>
      </c>
      <c r="L1473">
        <v>0.56100000000000005</v>
      </c>
      <c r="M1473" s="11">
        <f t="shared" si="310"/>
        <v>0.56100000000000005</v>
      </c>
      <c r="N1473" s="5">
        <f t="shared" si="315"/>
        <v>91.942999999999998</v>
      </c>
      <c r="O1473">
        <v>157</v>
      </c>
      <c r="P1473">
        <v>55</v>
      </c>
      <c r="Q1473" s="8">
        <f t="shared" si="316"/>
        <v>55</v>
      </c>
      <c r="R1473" s="8">
        <v>72</v>
      </c>
      <c r="S1473" s="8">
        <f t="shared" si="317"/>
        <v>72</v>
      </c>
      <c r="T1473" s="8">
        <f>(Table1[[#This Row],[Total Cholesterol (mg/dL)]]+Table1[[#This Row],[HDL (mg/dL)2]]+Table1[[#This Row],[Estimated LDL (mg/dL)2]])*5</f>
        <v>1420</v>
      </c>
      <c r="U1473" s="8">
        <f>IF(O1473="",Table1[[#This Row],[Estimated LDL (mg/dL)2]]+Table1[[#This Row],[HDL (mg/dL)2]]+(Table1[[#This Row],[Triglycerides]]/5),O1473)</f>
        <v>157</v>
      </c>
      <c r="V1473">
        <v>128</v>
      </c>
      <c r="W1473" s="8">
        <f t="shared" si="318"/>
        <v>128</v>
      </c>
      <c r="X1473" t="str">
        <f t="shared" si="319"/>
        <v>Diabetes</v>
      </c>
      <c r="Y1473" t="s">
        <v>22</v>
      </c>
      <c r="Z1473" t="s">
        <v>22</v>
      </c>
      <c r="AA1473" t="s">
        <v>24</v>
      </c>
      <c r="AB1473" s="3" t="s">
        <v>315</v>
      </c>
      <c r="AC1473">
        <v>100</v>
      </c>
      <c r="AD1473" s="3" t="str">
        <f t="shared" si="320"/>
        <v>100</v>
      </c>
      <c r="AE1473">
        <v>90</v>
      </c>
      <c r="AF1473" s="3" t="str">
        <f t="shared" si="321"/>
        <v>90</v>
      </c>
      <c r="AG1473" t="s">
        <v>38</v>
      </c>
      <c r="AH1473" s="3">
        <v>16.059000000000001</v>
      </c>
      <c r="AI1473" s="3">
        <f t="shared" si="322"/>
        <v>16.059000000000001</v>
      </c>
      <c r="AJ1473" t="s">
        <v>26</v>
      </c>
      <c r="AK1473" t="str">
        <f>PROPER(Table1[[#This Row],[CVD Risk Level]])</f>
        <v>Intermediary</v>
      </c>
    </row>
    <row r="1474" spans="1:37" x14ac:dyDescent="0.3">
      <c r="A1474" t="s">
        <v>31</v>
      </c>
      <c r="B1474">
        <v>64</v>
      </c>
      <c r="C1474" s="8">
        <f t="shared" si="311"/>
        <v>64</v>
      </c>
      <c r="D1474" s="5">
        <v>58.137999999999998</v>
      </c>
      <c r="E1474" s="8">
        <f t="shared" si="312"/>
        <v>58.137999999999998</v>
      </c>
      <c r="F1474">
        <v>1.8640000000000001</v>
      </c>
      <c r="G1474" s="3">
        <f t="shared" si="313"/>
        <v>1.8640000000000001</v>
      </c>
      <c r="H1474">
        <v>31.123000000000001</v>
      </c>
      <c r="I1474" s="5">
        <f t="shared" ref="I1474:I1530" si="323" xml:space="preserve"> IF(H1474="",E1474 / (G1474^2),H1474)</f>
        <v>31.123000000000001</v>
      </c>
      <c r="J1474" s="16" t="str">
        <f t="shared" si="314"/>
        <v>Obese</v>
      </c>
      <c r="K1474">
        <v>85.182000000000002</v>
      </c>
      <c r="L1474">
        <v>0.45700000000000002</v>
      </c>
      <c r="M1474" s="11">
        <f t="shared" ref="M1474:M1530" si="324">IF(L1474="",K1474/(G1474*100),L1474)</f>
        <v>0.45700000000000002</v>
      </c>
      <c r="N1474" s="5">
        <f t="shared" si="315"/>
        <v>85.182000000000002</v>
      </c>
      <c r="O1474">
        <v>259</v>
      </c>
      <c r="P1474">
        <v>78</v>
      </c>
      <c r="Q1474" s="8">
        <f t="shared" si="316"/>
        <v>78</v>
      </c>
      <c r="R1474" s="8">
        <v>151</v>
      </c>
      <c r="S1474" s="8">
        <f t="shared" si="317"/>
        <v>151</v>
      </c>
      <c r="T1474" s="8">
        <f>(Table1[[#This Row],[Total Cholesterol (mg/dL)]]+Table1[[#This Row],[HDL (mg/dL)2]]+Table1[[#This Row],[Estimated LDL (mg/dL)2]])*5</f>
        <v>2440</v>
      </c>
      <c r="U1474" s="8">
        <f>IF(O1474="",Table1[[#This Row],[Estimated LDL (mg/dL)2]]+Table1[[#This Row],[HDL (mg/dL)2]]+(Table1[[#This Row],[Triglycerides]]/5),O1474)</f>
        <v>259</v>
      </c>
      <c r="V1474">
        <v>147</v>
      </c>
      <c r="W1474" s="8">
        <f t="shared" si="318"/>
        <v>147</v>
      </c>
      <c r="X1474" t="str">
        <f t="shared" si="319"/>
        <v>Diabetes</v>
      </c>
      <c r="Y1474" t="s">
        <v>23</v>
      </c>
      <c r="Z1474" t="s">
        <v>23</v>
      </c>
      <c r="AA1474" t="s">
        <v>24</v>
      </c>
      <c r="AB1474" s="3" t="s">
        <v>1246</v>
      </c>
      <c r="AC1474">
        <v>149</v>
      </c>
      <c r="AD1474" s="3" t="str">
        <f t="shared" si="320"/>
        <v>149</v>
      </c>
      <c r="AE1474">
        <v>71</v>
      </c>
      <c r="AF1474" s="3" t="str">
        <f t="shared" si="321"/>
        <v>71</v>
      </c>
      <c r="AG1474" t="s">
        <v>38</v>
      </c>
      <c r="AH1474" s="3">
        <v>20.855</v>
      </c>
      <c r="AI1474" s="3">
        <f t="shared" si="322"/>
        <v>20.855</v>
      </c>
      <c r="AJ1474" t="s">
        <v>30</v>
      </c>
      <c r="AK1474" t="str">
        <f>PROPER(Table1[[#This Row],[CVD Risk Level]])</f>
        <v>High</v>
      </c>
    </row>
    <row r="1475" spans="1:37" x14ac:dyDescent="0.3">
      <c r="A1475" t="s">
        <v>31</v>
      </c>
      <c r="B1475">
        <v>66</v>
      </c>
      <c r="C1475" s="8">
        <f t="shared" ref="C1475:C1530" si="325">IF(B1475="",AVERAGE($B$2:$B$1530),B1475)</f>
        <v>66</v>
      </c>
      <c r="D1475" s="5">
        <v>105.196</v>
      </c>
      <c r="E1475" s="8">
        <f t="shared" ref="E1475:E1530" si="326">IF(D1475="", H1475*(F1475^2),D1475)</f>
        <v>105.196</v>
      </c>
      <c r="G1475" s="3">
        <f t="shared" ref="G1475:G1530" si="327">IF(F1475="", SQRT(E1475 / H1475),F1475)</f>
        <v>1.9953771181621152</v>
      </c>
      <c r="H1475">
        <v>26.420999999999999</v>
      </c>
      <c r="I1475" s="5">
        <f t="shared" si="323"/>
        <v>26.420999999999999</v>
      </c>
      <c r="J1475" s="16" t="str">
        <f t="shared" ref="J1475:J1530" si="328">IF(I1475&lt;18.5,"Underweight",IF(I1475&lt;25,"Normal",IF(I1475&lt;30,"Overweight","Obese")))</f>
        <v>Overweight</v>
      </c>
      <c r="K1475">
        <v>92.346999999999994</v>
      </c>
      <c r="L1475">
        <v>0.54700000000000004</v>
      </c>
      <c r="M1475" s="11">
        <f t="shared" si="324"/>
        <v>0.54700000000000004</v>
      </c>
      <c r="N1475" s="5">
        <f t="shared" ref="N1475:N1530" si="329">IF(K1475="",M1475*(G1475*100),K1475)</f>
        <v>92.346999999999994</v>
      </c>
      <c r="O1475">
        <v>275</v>
      </c>
      <c r="P1475">
        <v>87</v>
      </c>
      <c r="Q1475" s="8">
        <f t="shared" ref="Q1475:Q1530" si="330">IF(P1475="",AVERAGE($P$2:$P$1530),P1475)</f>
        <v>87</v>
      </c>
      <c r="R1475" s="8">
        <v>158</v>
      </c>
      <c r="S1475" s="8">
        <f t="shared" ref="S1475:S1530" si="331">IF(R1475&lt;=0,MEDIAN($R$2:$R$1530),R1475)</f>
        <v>158</v>
      </c>
      <c r="T1475" s="8">
        <f>(Table1[[#This Row],[Total Cholesterol (mg/dL)]]+Table1[[#This Row],[HDL (mg/dL)2]]+Table1[[#This Row],[Estimated LDL (mg/dL)2]])*5</f>
        <v>2600</v>
      </c>
      <c r="U1475" s="8">
        <f>IF(O1475="",Table1[[#This Row],[Estimated LDL (mg/dL)2]]+Table1[[#This Row],[HDL (mg/dL)2]]+(Table1[[#This Row],[Triglycerides]]/5),O1475)</f>
        <v>275</v>
      </c>
      <c r="V1475">
        <v>93</v>
      </c>
      <c r="W1475" s="8">
        <f t="shared" ref="W1475:W1530" si="332">IF(V1475="",AVERAGE($V$2:$V$1530),V1475)</f>
        <v>93</v>
      </c>
      <c r="X1475" t="str">
        <f t="shared" ref="X1475:X1530" si="333">IF(W1475&lt;100,"Normal",IF(W1475&lt;126,"Prediabetes","Diabetes"))</f>
        <v>Normal</v>
      </c>
      <c r="Y1475" t="s">
        <v>22</v>
      </c>
      <c r="Z1475" t="s">
        <v>23</v>
      </c>
      <c r="AA1475" t="s">
        <v>28</v>
      </c>
      <c r="AB1475" s="3" t="s">
        <v>1247</v>
      </c>
      <c r="AC1475">
        <v>91</v>
      </c>
      <c r="AD1475" s="3" t="str">
        <f t="shared" ref="AD1475:AD1530" si="334">LEFT(AB1475,FIND("/",AB1475)-1)</f>
        <v>91</v>
      </c>
      <c r="AE1475">
        <v>97</v>
      </c>
      <c r="AF1475" s="3" t="str">
        <f t="shared" ref="AF1475:AF1530" si="335">RIGHT(AB1475,LEN(AB1475)-FIND("/",AB1475))</f>
        <v>97</v>
      </c>
      <c r="AG1475" t="s">
        <v>38</v>
      </c>
      <c r="AH1475" s="3">
        <v>17.334</v>
      </c>
      <c r="AI1475" s="3">
        <f t="shared" ref="AI1475:AI1530" si="336">IF(AH1475="",AVERAGE($AH$2:$AH$1530),AH1475)</f>
        <v>17.334</v>
      </c>
      <c r="AJ1475" t="s">
        <v>26</v>
      </c>
      <c r="AK1475" t="str">
        <f>PROPER(Table1[[#This Row],[CVD Risk Level]])</f>
        <v>Intermediary</v>
      </c>
    </row>
    <row r="1476" spans="1:37" x14ac:dyDescent="0.3">
      <c r="A1476" t="s">
        <v>20</v>
      </c>
      <c r="B1476">
        <v>64</v>
      </c>
      <c r="C1476" s="8">
        <f t="shared" si="325"/>
        <v>64</v>
      </c>
      <c r="E1476" s="8">
        <f t="shared" si="326"/>
        <v>108.820901574</v>
      </c>
      <c r="F1476">
        <v>1.7490000000000001</v>
      </c>
      <c r="G1476" s="3">
        <f t="shared" si="327"/>
        <v>1.7490000000000001</v>
      </c>
      <c r="H1476">
        <v>35.573999999999998</v>
      </c>
      <c r="I1476" s="5">
        <f t="shared" si="323"/>
        <v>35.573999999999998</v>
      </c>
      <c r="J1476" s="16" t="str">
        <f t="shared" si="328"/>
        <v>Obese</v>
      </c>
      <c r="K1476">
        <v>75.444999999999993</v>
      </c>
      <c r="L1476">
        <v>0.43099999999999999</v>
      </c>
      <c r="M1476" s="11">
        <f t="shared" si="324"/>
        <v>0.43099999999999999</v>
      </c>
      <c r="N1476" s="5">
        <f t="shared" si="329"/>
        <v>75.444999999999993</v>
      </c>
      <c r="O1476">
        <v>169</v>
      </c>
      <c r="P1476">
        <v>79</v>
      </c>
      <c r="Q1476" s="8">
        <f t="shared" si="330"/>
        <v>79</v>
      </c>
      <c r="R1476" s="8">
        <v>60</v>
      </c>
      <c r="S1476" s="8">
        <f t="shared" si="331"/>
        <v>60</v>
      </c>
      <c r="T1476" s="8">
        <f>(Table1[[#This Row],[Total Cholesterol (mg/dL)]]+Table1[[#This Row],[HDL (mg/dL)2]]+Table1[[#This Row],[Estimated LDL (mg/dL)2]])*5</f>
        <v>1540</v>
      </c>
      <c r="U1476" s="8">
        <f>IF(O1476="",Table1[[#This Row],[Estimated LDL (mg/dL)2]]+Table1[[#This Row],[HDL (mg/dL)2]]+(Table1[[#This Row],[Triglycerides]]/5),O1476)</f>
        <v>169</v>
      </c>
      <c r="V1476">
        <v>192</v>
      </c>
      <c r="W1476" s="8">
        <f t="shared" si="332"/>
        <v>192</v>
      </c>
      <c r="X1476" t="str">
        <f t="shared" si="333"/>
        <v>Diabetes</v>
      </c>
      <c r="Y1476" t="s">
        <v>23</v>
      </c>
      <c r="Z1476" t="s">
        <v>23</v>
      </c>
      <c r="AA1476" t="s">
        <v>37</v>
      </c>
      <c r="AB1476" s="3" t="s">
        <v>1248</v>
      </c>
      <c r="AC1476">
        <v>147</v>
      </c>
      <c r="AD1476" s="3" t="str">
        <f t="shared" si="334"/>
        <v>147</v>
      </c>
      <c r="AE1476">
        <v>105</v>
      </c>
      <c r="AF1476" s="3" t="str">
        <f t="shared" si="335"/>
        <v>105</v>
      </c>
      <c r="AG1476" t="s">
        <v>38</v>
      </c>
      <c r="AH1476" s="3">
        <v>19.844999999999999</v>
      </c>
      <c r="AI1476" s="3">
        <f t="shared" si="336"/>
        <v>19.844999999999999</v>
      </c>
      <c r="AJ1476" t="s">
        <v>30</v>
      </c>
      <c r="AK1476" t="str">
        <f>PROPER(Table1[[#This Row],[CVD Risk Level]])</f>
        <v>High</v>
      </c>
    </row>
    <row r="1477" spans="1:37" x14ac:dyDescent="0.3">
      <c r="A1477" t="s">
        <v>31</v>
      </c>
      <c r="B1477">
        <v>57</v>
      </c>
      <c r="C1477" s="8">
        <f t="shared" si="325"/>
        <v>57</v>
      </c>
      <c r="D1477" s="5">
        <v>111.959</v>
      </c>
      <c r="E1477" s="8">
        <f t="shared" si="326"/>
        <v>111.959</v>
      </c>
      <c r="F1477">
        <v>1.772</v>
      </c>
      <c r="G1477" s="3">
        <f t="shared" si="327"/>
        <v>1.772</v>
      </c>
      <c r="H1477">
        <v>32.305999999999997</v>
      </c>
      <c r="I1477" s="5">
        <f t="shared" si="323"/>
        <v>32.305999999999997</v>
      </c>
      <c r="J1477" s="16" t="str">
        <f t="shared" si="328"/>
        <v>Obese</v>
      </c>
      <c r="K1477">
        <v>102.645</v>
      </c>
      <c r="L1477">
        <v>0.57899999999999996</v>
      </c>
      <c r="M1477" s="11">
        <f t="shared" si="324"/>
        <v>0.57899999999999996</v>
      </c>
      <c r="N1477" s="5">
        <f t="shared" si="329"/>
        <v>102.645</v>
      </c>
      <c r="O1477">
        <v>155</v>
      </c>
      <c r="P1477">
        <v>36</v>
      </c>
      <c r="Q1477" s="8">
        <f t="shared" si="330"/>
        <v>36</v>
      </c>
      <c r="R1477" s="8">
        <v>89</v>
      </c>
      <c r="S1477" s="8">
        <f t="shared" si="331"/>
        <v>89</v>
      </c>
      <c r="T1477" s="8">
        <f>(Table1[[#This Row],[Total Cholesterol (mg/dL)]]+Table1[[#This Row],[HDL (mg/dL)2]]+Table1[[#This Row],[Estimated LDL (mg/dL)2]])*5</f>
        <v>1400</v>
      </c>
      <c r="U1477" s="8">
        <f>IF(O1477="",Table1[[#This Row],[Estimated LDL (mg/dL)2]]+Table1[[#This Row],[HDL (mg/dL)2]]+(Table1[[#This Row],[Triglycerides]]/5),O1477)</f>
        <v>155</v>
      </c>
      <c r="V1477">
        <v>130</v>
      </c>
      <c r="W1477" s="8">
        <f t="shared" si="332"/>
        <v>130</v>
      </c>
      <c r="X1477" t="str">
        <f t="shared" si="333"/>
        <v>Diabetes</v>
      </c>
      <c r="Y1477" t="s">
        <v>23</v>
      </c>
      <c r="Z1477" t="s">
        <v>23</v>
      </c>
      <c r="AA1477" t="s">
        <v>37</v>
      </c>
      <c r="AB1477" s="3" t="s">
        <v>1249</v>
      </c>
      <c r="AC1477">
        <v>171</v>
      </c>
      <c r="AD1477" s="3" t="str">
        <f t="shared" si="334"/>
        <v>171</v>
      </c>
      <c r="AF1477" s="3" t="str">
        <f t="shared" si="335"/>
        <v>75</v>
      </c>
      <c r="AG1477" t="s">
        <v>38</v>
      </c>
      <c r="AH1477" s="3">
        <v>20.111000000000001</v>
      </c>
      <c r="AI1477" s="3">
        <f t="shared" si="336"/>
        <v>20.111000000000001</v>
      </c>
      <c r="AJ1477" t="s">
        <v>30</v>
      </c>
      <c r="AK1477" t="str">
        <f>PROPER(Table1[[#This Row],[CVD Risk Level]])</f>
        <v>High</v>
      </c>
    </row>
    <row r="1478" spans="1:37" x14ac:dyDescent="0.3">
      <c r="A1478" t="s">
        <v>20</v>
      </c>
      <c r="B1478">
        <v>54</v>
      </c>
      <c r="C1478" s="8">
        <f t="shared" si="325"/>
        <v>54</v>
      </c>
      <c r="D1478" s="5">
        <v>74.241</v>
      </c>
      <c r="E1478" s="8">
        <f t="shared" si="326"/>
        <v>74.241</v>
      </c>
      <c r="F1478">
        <v>1.5549999999999999</v>
      </c>
      <c r="G1478" s="3">
        <f t="shared" si="327"/>
        <v>1.5549999999999999</v>
      </c>
      <c r="H1478">
        <v>24.553999999999998</v>
      </c>
      <c r="I1478" s="5">
        <f t="shared" si="323"/>
        <v>24.553999999999998</v>
      </c>
      <c r="J1478" s="16" t="str">
        <f t="shared" si="328"/>
        <v>Normal</v>
      </c>
      <c r="K1478">
        <v>116.941</v>
      </c>
      <c r="L1478">
        <v>0.752</v>
      </c>
      <c r="M1478" s="11">
        <f t="shared" si="324"/>
        <v>0.752</v>
      </c>
      <c r="N1478" s="5">
        <f t="shared" si="329"/>
        <v>116.941</v>
      </c>
      <c r="O1478">
        <v>105</v>
      </c>
      <c r="P1478">
        <v>85</v>
      </c>
      <c r="Q1478" s="8">
        <f t="shared" si="330"/>
        <v>85</v>
      </c>
      <c r="R1478" s="8">
        <v>-10</v>
      </c>
      <c r="S1478" s="8">
        <f t="shared" si="331"/>
        <v>109</v>
      </c>
      <c r="T1478" s="8">
        <f>(Table1[[#This Row],[Total Cholesterol (mg/dL)]]+Table1[[#This Row],[HDL (mg/dL)2]]+Table1[[#This Row],[Estimated LDL (mg/dL)2]])*5</f>
        <v>1495</v>
      </c>
      <c r="U1478" s="8">
        <f>IF(O1478="",Table1[[#This Row],[Estimated LDL (mg/dL)2]]+Table1[[#This Row],[HDL (mg/dL)2]]+(Table1[[#This Row],[Triglycerides]]/5),O1478)</f>
        <v>105</v>
      </c>
      <c r="V1478">
        <v>122</v>
      </c>
      <c r="W1478" s="8">
        <f t="shared" si="332"/>
        <v>122</v>
      </c>
      <c r="X1478" t="str">
        <f t="shared" si="333"/>
        <v>Prediabetes</v>
      </c>
      <c r="Y1478" t="s">
        <v>22</v>
      </c>
      <c r="Z1478" t="s">
        <v>22</v>
      </c>
      <c r="AA1478" t="s">
        <v>37</v>
      </c>
      <c r="AB1478" s="3" t="s">
        <v>1250</v>
      </c>
      <c r="AC1478">
        <v>104</v>
      </c>
      <c r="AD1478" s="3" t="str">
        <f t="shared" si="334"/>
        <v>104</v>
      </c>
      <c r="AE1478">
        <v>107</v>
      </c>
      <c r="AF1478" s="3" t="str">
        <f t="shared" si="335"/>
        <v>107</v>
      </c>
      <c r="AG1478" t="s">
        <v>38</v>
      </c>
      <c r="AH1478" s="3">
        <v>12.211</v>
      </c>
      <c r="AI1478" s="3">
        <f t="shared" si="336"/>
        <v>12.211</v>
      </c>
      <c r="AJ1478" t="s">
        <v>30</v>
      </c>
      <c r="AK1478" t="str">
        <f>PROPER(Table1[[#This Row],[CVD Risk Level]])</f>
        <v>High</v>
      </c>
    </row>
    <row r="1479" spans="1:37" x14ac:dyDescent="0.3">
      <c r="A1479" t="s">
        <v>20</v>
      </c>
      <c r="C1479" s="8">
        <f t="shared" si="325"/>
        <v>47.025499655410059</v>
      </c>
      <c r="D1479" s="5">
        <v>62.551000000000002</v>
      </c>
      <c r="E1479" s="8">
        <f t="shared" si="326"/>
        <v>62.551000000000002</v>
      </c>
      <c r="F1479">
        <v>1.8460000000000001</v>
      </c>
      <c r="G1479" s="3">
        <f t="shared" si="327"/>
        <v>1.8460000000000001</v>
      </c>
      <c r="H1479">
        <v>36.387</v>
      </c>
      <c r="I1479" s="5">
        <f t="shared" si="323"/>
        <v>36.387</v>
      </c>
      <c r="J1479" s="16" t="str">
        <f t="shared" si="328"/>
        <v>Obese</v>
      </c>
      <c r="K1479">
        <v>105.20699999999999</v>
      </c>
      <c r="L1479">
        <v>0.56999999999999995</v>
      </c>
      <c r="M1479" s="11">
        <f t="shared" si="324"/>
        <v>0.56999999999999995</v>
      </c>
      <c r="N1479" s="5">
        <f t="shared" si="329"/>
        <v>105.20699999999999</v>
      </c>
      <c r="O1479">
        <v>251</v>
      </c>
      <c r="P1479">
        <v>77</v>
      </c>
      <c r="Q1479" s="8">
        <f t="shared" si="330"/>
        <v>77</v>
      </c>
      <c r="R1479" s="8">
        <v>144</v>
      </c>
      <c r="S1479" s="8">
        <f t="shared" si="331"/>
        <v>144</v>
      </c>
      <c r="T1479" s="8">
        <f>(Table1[[#This Row],[Total Cholesterol (mg/dL)]]+Table1[[#This Row],[HDL (mg/dL)2]]+Table1[[#This Row],[Estimated LDL (mg/dL)2]])*5</f>
        <v>2360</v>
      </c>
      <c r="U1479" s="8">
        <f>IF(O1479="",Table1[[#This Row],[Estimated LDL (mg/dL)2]]+Table1[[#This Row],[HDL (mg/dL)2]]+(Table1[[#This Row],[Triglycerides]]/5),O1479)</f>
        <v>251</v>
      </c>
      <c r="V1479">
        <v>191</v>
      </c>
      <c r="W1479" s="8">
        <f t="shared" si="332"/>
        <v>191</v>
      </c>
      <c r="X1479" t="str">
        <f t="shared" si="333"/>
        <v>Diabetes</v>
      </c>
      <c r="Y1479" t="s">
        <v>23</v>
      </c>
      <c r="Z1479" t="s">
        <v>22</v>
      </c>
      <c r="AA1479" t="s">
        <v>37</v>
      </c>
      <c r="AB1479" s="3" t="s">
        <v>1251</v>
      </c>
      <c r="AC1479">
        <v>177</v>
      </c>
      <c r="AD1479" s="3" t="str">
        <f t="shared" si="334"/>
        <v>177</v>
      </c>
      <c r="AE1479">
        <v>62</v>
      </c>
      <c r="AF1479" s="3" t="str">
        <f t="shared" si="335"/>
        <v>62</v>
      </c>
      <c r="AG1479" t="s">
        <v>38</v>
      </c>
      <c r="AH1479" s="3">
        <v>21.146999999999998</v>
      </c>
      <c r="AI1479" s="3">
        <f t="shared" si="336"/>
        <v>21.146999999999998</v>
      </c>
      <c r="AJ1479" t="s">
        <v>26</v>
      </c>
      <c r="AK1479" t="str">
        <f>PROPER(Table1[[#This Row],[CVD Risk Level]])</f>
        <v>Intermediary</v>
      </c>
    </row>
    <row r="1480" spans="1:37" x14ac:dyDescent="0.3">
      <c r="A1480" t="s">
        <v>20</v>
      </c>
      <c r="B1480">
        <v>29</v>
      </c>
      <c r="C1480" s="8">
        <f t="shared" si="325"/>
        <v>29</v>
      </c>
      <c r="D1480" s="5">
        <v>113.154</v>
      </c>
      <c r="E1480" s="8">
        <f t="shared" si="326"/>
        <v>113.154</v>
      </c>
      <c r="F1480">
        <v>1.6579999999999999</v>
      </c>
      <c r="G1480" s="3">
        <f t="shared" si="327"/>
        <v>1.6579999999999999</v>
      </c>
      <c r="H1480">
        <v>23.254000000000001</v>
      </c>
      <c r="I1480" s="5">
        <f t="shared" si="323"/>
        <v>23.254000000000001</v>
      </c>
      <c r="J1480" s="16" t="str">
        <f t="shared" si="328"/>
        <v>Normal</v>
      </c>
      <c r="K1480">
        <v>100.246</v>
      </c>
      <c r="L1480">
        <v>0.60499999999999998</v>
      </c>
      <c r="M1480" s="11">
        <f t="shared" si="324"/>
        <v>0.60499999999999998</v>
      </c>
      <c r="N1480" s="5">
        <f t="shared" si="329"/>
        <v>100.246</v>
      </c>
      <c r="O1480">
        <v>250</v>
      </c>
      <c r="P1480">
        <v>34</v>
      </c>
      <c r="Q1480" s="8">
        <f t="shared" si="330"/>
        <v>34</v>
      </c>
      <c r="R1480" s="8">
        <v>186</v>
      </c>
      <c r="S1480" s="8">
        <f t="shared" si="331"/>
        <v>186</v>
      </c>
      <c r="T1480" s="8">
        <f>(Table1[[#This Row],[Total Cholesterol (mg/dL)]]+Table1[[#This Row],[HDL (mg/dL)2]]+Table1[[#This Row],[Estimated LDL (mg/dL)2]])*5</f>
        <v>2350</v>
      </c>
      <c r="U1480" s="8">
        <f>IF(O1480="",Table1[[#This Row],[Estimated LDL (mg/dL)2]]+Table1[[#This Row],[HDL (mg/dL)2]]+(Table1[[#This Row],[Triglycerides]]/5),O1480)</f>
        <v>250</v>
      </c>
      <c r="V1480">
        <v>150</v>
      </c>
      <c r="W1480" s="8">
        <f t="shared" si="332"/>
        <v>150</v>
      </c>
      <c r="X1480" t="str">
        <f t="shared" si="333"/>
        <v>Diabetes</v>
      </c>
      <c r="Y1480" t="s">
        <v>22</v>
      </c>
      <c r="Z1480" t="s">
        <v>23</v>
      </c>
      <c r="AA1480" t="s">
        <v>28</v>
      </c>
      <c r="AB1480" s="3" t="s">
        <v>1252</v>
      </c>
      <c r="AC1480">
        <v>148</v>
      </c>
      <c r="AD1480" s="3" t="str">
        <f t="shared" si="334"/>
        <v>148</v>
      </c>
      <c r="AE1480">
        <v>81</v>
      </c>
      <c r="AF1480" s="3" t="str">
        <f t="shared" si="335"/>
        <v>81</v>
      </c>
      <c r="AG1480" t="s">
        <v>29</v>
      </c>
      <c r="AH1480" s="3">
        <v>19.050999999999998</v>
      </c>
      <c r="AI1480" s="3">
        <f t="shared" si="336"/>
        <v>19.050999999999998</v>
      </c>
      <c r="AJ1480" t="s">
        <v>26</v>
      </c>
      <c r="AK1480" t="str">
        <f>PROPER(Table1[[#This Row],[CVD Risk Level]])</f>
        <v>Intermediary</v>
      </c>
    </row>
    <row r="1481" spans="1:37" x14ac:dyDescent="0.3">
      <c r="A1481" t="s">
        <v>31</v>
      </c>
      <c r="B1481">
        <v>52</v>
      </c>
      <c r="C1481" s="8">
        <f t="shared" si="325"/>
        <v>52</v>
      </c>
      <c r="D1481" s="5">
        <v>80.463999999999999</v>
      </c>
      <c r="E1481" s="8">
        <f t="shared" si="326"/>
        <v>80.463999999999999</v>
      </c>
      <c r="G1481" s="3">
        <f t="shared" si="327"/>
        <v>1.5226006636393743</v>
      </c>
      <c r="H1481">
        <v>34.707999999999998</v>
      </c>
      <c r="I1481" s="5">
        <f t="shared" si="323"/>
        <v>34.707999999999998</v>
      </c>
      <c r="J1481" s="16" t="str">
        <f t="shared" si="328"/>
        <v>Obese</v>
      </c>
      <c r="K1481">
        <v>115.123</v>
      </c>
      <c r="L1481">
        <v>0.624</v>
      </c>
      <c r="M1481" s="11">
        <f t="shared" si="324"/>
        <v>0.624</v>
      </c>
      <c r="N1481" s="5">
        <f t="shared" si="329"/>
        <v>115.123</v>
      </c>
      <c r="O1481">
        <v>281</v>
      </c>
      <c r="P1481">
        <v>61</v>
      </c>
      <c r="Q1481" s="8">
        <f t="shared" si="330"/>
        <v>61</v>
      </c>
      <c r="R1481" s="8">
        <v>190</v>
      </c>
      <c r="S1481" s="8">
        <f t="shared" si="331"/>
        <v>190</v>
      </c>
      <c r="T1481" s="8">
        <f>(Table1[[#This Row],[Total Cholesterol (mg/dL)]]+Table1[[#This Row],[HDL (mg/dL)2]]+Table1[[#This Row],[Estimated LDL (mg/dL)2]])*5</f>
        <v>2660</v>
      </c>
      <c r="U1481" s="8">
        <f>IF(O1481="",Table1[[#This Row],[Estimated LDL (mg/dL)2]]+Table1[[#This Row],[HDL (mg/dL)2]]+(Table1[[#This Row],[Triglycerides]]/5),O1481)</f>
        <v>281</v>
      </c>
      <c r="V1481">
        <v>93</v>
      </c>
      <c r="W1481" s="8">
        <f t="shared" si="332"/>
        <v>93</v>
      </c>
      <c r="X1481" t="str">
        <f t="shared" si="333"/>
        <v>Normal</v>
      </c>
      <c r="Y1481" t="s">
        <v>22</v>
      </c>
      <c r="Z1481" t="s">
        <v>23</v>
      </c>
      <c r="AA1481" t="s">
        <v>37</v>
      </c>
      <c r="AB1481" s="3" t="s">
        <v>1253</v>
      </c>
      <c r="AC1481">
        <v>142</v>
      </c>
      <c r="AD1481" s="3" t="str">
        <f t="shared" si="334"/>
        <v>142</v>
      </c>
      <c r="AE1481">
        <v>107</v>
      </c>
      <c r="AF1481" s="3" t="str">
        <f t="shared" si="335"/>
        <v>107</v>
      </c>
      <c r="AG1481" t="s">
        <v>38</v>
      </c>
      <c r="AH1481" s="3">
        <v>21.661999999999999</v>
      </c>
      <c r="AI1481" s="3">
        <f t="shared" si="336"/>
        <v>21.661999999999999</v>
      </c>
      <c r="AJ1481" t="s">
        <v>52</v>
      </c>
      <c r="AK1481" t="str">
        <f>PROPER(Table1[[#This Row],[CVD Risk Level]])</f>
        <v>Low</v>
      </c>
    </row>
    <row r="1482" spans="1:37" x14ac:dyDescent="0.3">
      <c r="A1482" t="s">
        <v>20</v>
      </c>
      <c r="B1482">
        <v>72</v>
      </c>
      <c r="C1482" s="8">
        <f t="shared" si="325"/>
        <v>72</v>
      </c>
      <c r="D1482" s="5">
        <v>63.569000000000003</v>
      </c>
      <c r="E1482" s="8">
        <f t="shared" si="326"/>
        <v>63.569000000000003</v>
      </c>
      <c r="F1482">
        <v>1.6160000000000001</v>
      </c>
      <c r="G1482" s="3">
        <f t="shared" si="327"/>
        <v>1.6160000000000001</v>
      </c>
      <c r="H1482">
        <v>21.219000000000001</v>
      </c>
      <c r="I1482" s="5">
        <f t="shared" si="323"/>
        <v>21.219000000000001</v>
      </c>
      <c r="J1482" s="16" t="str">
        <f t="shared" si="328"/>
        <v>Normal</v>
      </c>
      <c r="K1482">
        <v>80.661000000000001</v>
      </c>
      <c r="L1482">
        <v>0.499</v>
      </c>
      <c r="M1482" s="11">
        <f t="shared" si="324"/>
        <v>0.499</v>
      </c>
      <c r="N1482" s="5">
        <f t="shared" si="329"/>
        <v>80.661000000000001</v>
      </c>
      <c r="O1482">
        <v>166</v>
      </c>
      <c r="P1482">
        <v>79</v>
      </c>
      <c r="Q1482" s="8">
        <f t="shared" si="330"/>
        <v>79</v>
      </c>
      <c r="R1482" s="8">
        <v>57</v>
      </c>
      <c r="S1482" s="8">
        <f t="shared" si="331"/>
        <v>57</v>
      </c>
      <c r="T1482" s="8">
        <f>(Table1[[#This Row],[Total Cholesterol (mg/dL)]]+Table1[[#This Row],[HDL (mg/dL)2]]+Table1[[#This Row],[Estimated LDL (mg/dL)2]])*5</f>
        <v>1510</v>
      </c>
      <c r="U1482" s="8">
        <f>IF(O1482="",Table1[[#This Row],[Estimated LDL (mg/dL)2]]+Table1[[#This Row],[HDL (mg/dL)2]]+(Table1[[#This Row],[Triglycerides]]/5),O1482)</f>
        <v>166</v>
      </c>
      <c r="V1482">
        <v>181</v>
      </c>
      <c r="W1482" s="8">
        <f t="shared" si="332"/>
        <v>181</v>
      </c>
      <c r="X1482" t="str">
        <f t="shared" si="333"/>
        <v>Diabetes</v>
      </c>
      <c r="Y1482" t="s">
        <v>22</v>
      </c>
      <c r="Z1482" t="s">
        <v>23</v>
      </c>
      <c r="AA1482" t="s">
        <v>24</v>
      </c>
      <c r="AB1482" s="3" t="s">
        <v>618</v>
      </c>
      <c r="AC1482">
        <v>148</v>
      </c>
      <c r="AD1482" s="3" t="str">
        <f t="shared" si="334"/>
        <v>148</v>
      </c>
      <c r="AF1482" s="3" t="str">
        <f t="shared" si="335"/>
        <v>98</v>
      </c>
      <c r="AG1482" t="s">
        <v>38</v>
      </c>
      <c r="AH1482" s="3">
        <v>16.963999999999999</v>
      </c>
      <c r="AI1482" s="3">
        <f t="shared" si="336"/>
        <v>16.963999999999999</v>
      </c>
      <c r="AJ1482" t="s">
        <v>30</v>
      </c>
      <c r="AK1482" t="str">
        <f>PROPER(Table1[[#This Row],[CVD Risk Level]])</f>
        <v>High</v>
      </c>
    </row>
    <row r="1483" spans="1:37" x14ac:dyDescent="0.3">
      <c r="A1483" t="s">
        <v>31</v>
      </c>
      <c r="B1483">
        <v>65</v>
      </c>
      <c r="C1483" s="8">
        <f t="shared" si="325"/>
        <v>65</v>
      </c>
      <c r="D1483" s="5">
        <v>63.04</v>
      </c>
      <c r="E1483" s="8">
        <f t="shared" si="326"/>
        <v>63.04</v>
      </c>
      <c r="F1483">
        <v>1.524</v>
      </c>
      <c r="G1483" s="3">
        <f t="shared" si="327"/>
        <v>1.524</v>
      </c>
      <c r="H1483">
        <v>18.866</v>
      </c>
      <c r="I1483" s="5">
        <f t="shared" si="323"/>
        <v>18.866</v>
      </c>
      <c r="J1483" s="16" t="str">
        <f t="shared" si="328"/>
        <v>Normal</v>
      </c>
      <c r="K1483">
        <v>72.418999999999997</v>
      </c>
      <c r="M1483" s="11">
        <f t="shared" si="324"/>
        <v>0.47519028871391072</v>
      </c>
      <c r="N1483" s="5">
        <f t="shared" si="329"/>
        <v>72.418999999999997</v>
      </c>
      <c r="O1483">
        <v>187</v>
      </c>
      <c r="P1483">
        <v>77</v>
      </c>
      <c r="Q1483" s="8">
        <f t="shared" si="330"/>
        <v>77</v>
      </c>
      <c r="R1483" s="8">
        <v>80</v>
      </c>
      <c r="S1483" s="8">
        <f t="shared" si="331"/>
        <v>80</v>
      </c>
      <c r="T1483" s="8">
        <f>(Table1[[#This Row],[Total Cholesterol (mg/dL)]]+Table1[[#This Row],[HDL (mg/dL)2]]+Table1[[#This Row],[Estimated LDL (mg/dL)2]])*5</f>
        <v>1720</v>
      </c>
      <c r="U1483" s="8">
        <f>IF(O1483="",Table1[[#This Row],[Estimated LDL (mg/dL)2]]+Table1[[#This Row],[HDL (mg/dL)2]]+(Table1[[#This Row],[Triglycerides]]/5),O1483)</f>
        <v>187</v>
      </c>
      <c r="V1483">
        <v>146</v>
      </c>
      <c r="W1483" s="8">
        <f t="shared" si="332"/>
        <v>146</v>
      </c>
      <c r="X1483" t="str">
        <f t="shared" si="333"/>
        <v>Diabetes</v>
      </c>
      <c r="Y1483" t="s">
        <v>22</v>
      </c>
      <c r="Z1483" t="s">
        <v>22</v>
      </c>
      <c r="AA1483" t="s">
        <v>28</v>
      </c>
      <c r="AB1483" s="3" t="s">
        <v>507</v>
      </c>
      <c r="AC1483">
        <v>111</v>
      </c>
      <c r="AD1483" s="3" t="str">
        <f t="shared" si="334"/>
        <v>111</v>
      </c>
      <c r="AE1483">
        <v>83</v>
      </c>
      <c r="AF1483" s="3" t="str">
        <f t="shared" si="335"/>
        <v>83</v>
      </c>
      <c r="AG1483" t="s">
        <v>29</v>
      </c>
      <c r="AH1483" s="3">
        <v>13.063000000000001</v>
      </c>
      <c r="AI1483" s="3">
        <f t="shared" si="336"/>
        <v>13.063000000000001</v>
      </c>
      <c r="AJ1483" t="s">
        <v>30</v>
      </c>
      <c r="AK1483" t="str">
        <f>PROPER(Table1[[#This Row],[CVD Risk Level]])</f>
        <v>High</v>
      </c>
    </row>
    <row r="1484" spans="1:37" x14ac:dyDescent="0.3">
      <c r="A1484" t="s">
        <v>20</v>
      </c>
      <c r="B1484">
        <v>25</v>
      </c>
      <c r="C1484" s="8">
        <f t="shared" si="325"/>
        <v>25</v>
      </c>
      <c r="D1484" s="5">
        <v>55.975000000000001</v>
      </c>
      <c r="E1484" s="8">
        <f t="shared" si="326"/>
        <v>55.975000000000001</v>
      </c>
      <c r="F1484">
        <v>1.8320000000000001</v>
      </c>
      <c r="G1484" s="3">
        <f t="shared" si="327"/>
        <v>1.8320000000000001</v>
      </c>
      <c r="H1484">
        <v>24.033999999999999</v>
      </c>
      <c r="I1484" s="5">
        <f t="shared" si="323"/>
        <v>24.033999999999999</v>
      </c>
      <c r="J1484" s="16" t="str">
        <f t="shared" si="328"/>
        <v>Normal</v>
      </c>
      <c r="K1484">
        <v>115.905</v>
      </c>
      <c r="L1484">
        <v>0.63300000000000001</v>
      </c>
      <c r="M1484" s="11">
        <f t="shared" si="324"/>
        <v>0.63300000000000001</v>
      </c>
      <c r="N1484" s="5">
        <f t="shared" si="329"/>
        <v>115.905</v>
      </c>
      <c r="O1484">
        <v>270</v>
      </c>
      <c r="P1484">
        <v>57</v>
      </c>
      <c r="Q1484" s="8">
        <f t="shared" si="330"/>
        <v>57</v>
      </c>
      <c r="S1484" s="8">
        <f t="shared" si="331"/>
        <v>109</v>
      </c>
      <c r="T1484" s="8">
        <f>(Table1[[#This Row],[Total Cholesterol (mg/dL)]]+Table1[[#This Row],[HDL (mg/dL)2]]+Table1[[#This Row],[Estimated LDL (mg/dL)2]])*5</f>
        <v>2180</v>
      </c>
      <c r="U1484" s="8">
        <f>IF(O1484="",Table1[[#This Row],[Estimated LDL (mg/dL)2]]+Table1[[#This Row],[HDL (mg/dL)2]]+(Table1[[#This Row],[Triglycerides]]/5),O1484)</f>
        <v>270</v>
      </c>
      <c r="V1484">
        <v>146</v>
      </c>
      <c r="W1484" s="8">
        <f t="shared" si="332"/>
        <v>146</v>
      </c>
      <c r="X1484" t="str">
        <f t="shared" si="333"/>
        <v>Diabetes</v>
      </c>
      <c r="Y1484" t="s">
        <v>23</v>
      </c>
      <c r="Z1484" t="s">
        <v>23</v>
      </c>
      <c r="AA1484" t="s">
        <v>37</v>
      </c>
      <c r="AB1484" s="3" t="s">
        <v>1254</v>
      </c>
      <c r="AC1484">
        <v>128</v>
      </c>
      <c r="AD1484" s="3" t="str">
        <f t="shared" si="334"/>
        <v>128</v>
      </c>
      <c r="AE1484">
        <v>99</v>
      </c>
      <c r="AF1484" s="3" t="str">
        <f t="shared" si="335"/>
        <v>99</v>
      </c>
      <c r="AG1484" t="s">
        <v>38</v>
      </c>
      <c r="AH1484" s="3">
        <v>18.606999999999999</v>
      </c>
      <c r="AI1484" s="3">
        <f t="shared" si="336"/>
        <v>18.606999999999999</v>
      </c>
      <c r="AJ1484" t="s">
        <v>30</v>
      </c>
      <c r="AK1484" t="str">
        <f>PROPER(Table1[[#This Row],[CVD Risk Level]])</f>
        <v>High</v>
      </c>
    </row>
    <row r="1485" spans="1:37" x14ac:dyDescent="0.3">
      <c r="A1485" t="s">
        <v>31</v>
      </c>
      <c r="C1485" s="8">
        <f t="shared" si="325"/>
        <v>47.025499655410059</v>
      </c>
      <c r="D1485" s="5">
        <v>56.551000000000002</v>
      </c>
      <c r="E1485" s="8">
        <f t="shared" si="326"/>
        <v>56.551000000000002</v>
      </c>
      <c r="F1485">
        <v>1.9159999999999999</v>
      </c>
      <c r="G1485" s="3">
        <f t="shared" si="327"/>
        <v>1.9159999999999999</v>
      </c>
      <c r="H1485">
        <v>23.640999999999998</v>
      </c>
      <c r="I1485" s="5">
        <f t="shared" si="323"/>
        <v>23.640999999999998</v>
      </c>
      <c r="J1485" s="16" t="str">
        <f t="shared" si="328"/>
        <v>Normal</v>
      </c>
      <c r="K1485">
        <v>88.822000000000003</v>
      </c>
      <c r="M1485" s="11">
        <f t="shared" si="324"/>
        <v>0.46358037578288103</v>
      </c>
      <c r="N1485" s="5">
        <f t="shared" si="329"/>
        <v>88.822000000000003</v>
      </c>
      <c r="P1485">
        <v>73</v>
      </c>
      <c r="Q1485" s="8">
        <f t="shared" si="330"/>
        <v>73</v>
      </c>
      <c r="R1485" s="8">
        <v>179</v>
      </c>
      <c r="S1485" s="8">
        <f t="shared" si="331"/>
        <v>179</v>
      </c>
      <c r="T1485" s="8">
        <f>(Table1[[#This Row],[Total Cholesterol (mg/dL)]]+Table1[[#This Row],[HDL (mg/dL)2]]+Table1[[#This Row],[Estimated LDL (mg/dL)2]])*5</f>
        <v>1260</v>
      </c>
      <c r="U1485" s="8">
        <f>IF(O1485="",Table1[[#This Row],[Estimated LDL (mg/dL)2]]+Table1[[#This Row],[HDL (mg/dL)2]]+(Table1[[#This Row],[Triglycerides]]/5),O1485)</f>
        <v>504</v>
      </c>
      <c r="V1485">
        <v>169</v>
      </c>
      <c r="W1485" s="8">
        <f t="shared" si="332"/>
        <v>169</v>
      </c>
      <c r="X1485" t="str">
        <f t="shared" si="333"/>
        <v>Diabetes</v>
      </c>
      <c r="Y1485" t="s">
        <v>23</v>
      </c>
      <c r="Z1485" t="s">
        <v>23</v>
      </c>
      <c r="AA1485" t="s">
        <v>24</v>
      </c>
      <c r="AB1485" s="3" t="s">
        <v>1255</v>
      </c>
      <c r="AC1485">
        <v>106</v>
      </c>
      <c r="AD1485" s="3" t="str">
        <f t="shared" si="334"/>
        <v>106</v>
      </c>
      <c r="AE1485">
        <v>79</v>
      </c>
      <c r="AF1485" s="3" t="str">
        <f t="shared" si="335"/>
        <v>79</v>
      </c>
      <c r="AG1485" t="s">
        <v>33</v>
      </c>
      <c r="AH1485" s="3">
        <v>17.667999999999999</v>
      </c>
      <c r="AI1485" s="3">
        <f t="shared" si="336"/>
        <v>17.667999999999999</v>
      </c>
      <c r="AJ1485" t="s">
        <v>52</v>
      </c>
      <c r="AK1485" t="str">
        <f>PROPER(Table1[[#This Row],[CVD Risk Level]])</f>
        <v>Low</v>
      </c>
    </row>
    <row r="1486" spans="1:37" x14ac:dyDescent="0.3">
      <c r="A1486" t="s">
        <v>31</v>
      </c>
      <c r="B1486">
        <v>71</v>
      </c>
      <c r="C1486" s="8">
        <f t="shared" si="325"/>
        <v>71</v>
      </c>
      <c r="D1486" s="5">
        <v>86.263999999999996</v>
      </c>
      <c r="E1486" s="8">
        <f t="shared" si="326"/>
        <v>86.263999999999996</v>
      </c>
      <c r="F1486">
        <v>1.694</v>
      </c>
      <c r="G1486" s="3">
        <f t="shared" si="327"/>
        <v>1.694</v>
      </c>
      <c r="H1486">
        <v>29.422999999999998</v>
      </c>
      <c r="I1486" s="5">
        <f t="shared" si="323"/>
        <v>29.422999999999998</v>
      </c>
      <c r="J1486" s="16" t="str">
        <f t="shared" si="328"/>
        <v>Overweight</v>
      </c>
      <c r="K1486">
        <v>119.233</v>
      </c>
      <c r="L1486">
        <v>0.70399999999999996</v>
      </c>
      <c r="M1486" s="11">
        <f t="shared" si="324"/>
        <v>0.70399999999999996</v>
      </c>
      <c r="N1486" s="5">
        <f t="shared" si="329"/>
        <v>119.233</v>
      </c>
      <c r="O1486">
        <v>204</v>
      </c>
      <c r="P1486">
        <v>65</v>
      </c>
      <c r="Q1486" s="8">
        <f t="shared" si="330"/>
        <v>65</v>
      </c>
      <c r="R1486" s="8">
        <v>109</v>
      </c>
      <c r="S1486" s="8">
        <f t="shared" si="331"/>
        <v>109</v>
      </c>
      <c r="T1486" s="8">
        <f>(Table1[[#This Row],[Total Cholesterol (mg/dL)]]+Table1[[#This Row],[HDL (mg/dL)2]]+Table1[[#This Row],[Estimated LDL (mg/dL)2]])*5</f>
        <v>1890</v>
      </c>
      <c r="U1486" s="8">
        <f>IF(O1486="",Table1[[#This Row],[Estimated LDL (mg/dL)2]]+Table1[[#This Row],[HDL (mg/dL)2]]+(Table1[[#This Row],[Triglycerides]]/5),O1486)</f>
        <v>204</v>
      </c>
      <c r="V1486">
        <v>82</v>
      </c>
      <c r="W1486" s="8">
        <f t="shared" si="332"/>
        <v>82</v>
      </c>
      <c r="X1486" t="str">
        <f t="shared" si="333"/>
        <v>Normal</v>
      </c>
      <c r="Y1486" t="s">
        <v>22</v>
      </c>
      <c r="Z1486" t="s">
        <v>22</v>
      </c>
      <c r="AA1486" t="s">
        <v>28</v>
      </c>
      <c r="AB1486" s="3" t="s">
        <v>1256</v>
      </c>
      <c r="AC1486">
        <v>170</v>
      </c>
      <c r="AD1486" s="3" t="str">
        <f t="shared" si="334"/>
        <v>170</v>
      </c>
      <c r="AF1486" s="3" t="str">
        <f t="shared" si="335"/>
        <v>62</v>
      </c>
      <c r="AG1486" t="s">
        <v>38</v>
      </c>
      <c r="AH1486" s="3">
        <v>18.465</v>
      </c>
      <c r="AI1486" s="3">
        <f t="shared" si="336"/>
        <v>18.465</v>
      </c>
      <c r="AJ1486" t="s">
        <v>26</v>
      </c>
      <c r="AK1486" t="str">
        <f>PROPER(Table1[[#This Row],[CVD Risk Level]])</f>
        <v>Intermediary</v>
      </c>
    </row>
    <row r="1487" spans="1:37" x14ac:dyDescent="0.3">
      <c r="A1487" t="s">
        <v>31</v>
      </c>
      <c r="B1487">
        <v>50</v>
      </c>
      <c r="C1487" s="8">
        <f t="shared" si="325"/>
        <v>50</v>
      </c>
      <c r="D1487" s="5">
        <v>72.364000000000004</v>
      </c>
      <c r="E1487" s="8">
        <f t="shared" si="326"/>
        <v>72.364000000000004</v>
      </c>
      <c r="F1487">
        <v>1.9279999999999999</v>
      </c>
      <c r="G1487" s="3">
        <f t="shared" si="327"/>
        <v>1.9279999999999999</v>
      </c>
      <c r="H1487">
        <v>35.698999999999998</v>
      </c>
      <c r="I1487" s="5">
        <f t="shared" si="323"/>
        <v>35.698999999999998</v>
      </c>
      <c r="J1487" s="16" t="str">
        <f t="shared" si="328"/>
        <v>Obese</v>
      </c>
      <c r="K1487">
        <v>108.85299999999999</v>
      </c>
      <c r="L1487">
        <v>0.56499999999999995</v>
      </c>
      <c r="M1487" s="11">
        <f t="shared" si="324"/>
        <v>0.56499999999999995</v>
      </c>
      <c r="N1487" s="5">
        <f t="shared" si="329"/>
        <v>108.85299999999999</v>
      </c>
      <c r="O1487">
        <v>199</v>
      </c>
      <c r="P1487">
        <v>38</v>
      </c>
      <c r="Q1487" s="8">
        <f t="shared" si="330"/>
        <v>38</v>
      </c>
      <c r="R1487" s="8">
        <v>131</v>
      </c>
      <c r="S1487" s="8">
        <f t="shared" si="331"/>
        <v>131</v>
      </c>
      <c r="T1487" s="8">
        <f>(Table1[[#This Row],[Total Cholesterol (mg/dL)]]+Table1[[#This Row],[HDL (mg/dL)2]]+Table1[[#This Row],[Estimated LDL (mg/dL)2]])*5</f>
        <v>1840</v>
      </c>
      <c r="U1487" s="8">
        <f>IF(O1487="",Table1[[#This Row],[Estimated LDL (mg/dL)2]]+Table1[[#This Row],[HDL (mg/dL)2]]+(Table1[[#This Row],[Triglycerides]]/5),O1487)</f>
        <v>199</v>
      </c>
      <c r="V1487">
        <v>168</v>
      </c>
      <c r="W1487" s="8">
        <f t="shared" si="332"/>
        <v>168</v>
      </c>
      <c r="X1487" t="str">
        <f t="shared" si="333"/>
        <v>Diabetes</v>
      </c>
      <c r="Y1487" t="s">
        <v>23</v>
      </c>
      <c r="Z1487" t="s">
        <v>23</v>
      </c>
      <c r="AA1487" t="s">
        <v>37</v>
      </c>
      <c r="AB1487" s="3" t="s">
        <v>1257</v>
      </c>
      <c r="AC1487">
        <v>115</v>
      </c>
      <c r="AD1487" s="3" t="str">
        <f t="shared" si="334"/>
        <v>115</v>
      </c>
      <c r="AE1487">
        <v>115</v>
      </c>
      <c r="AF1487" s="3" t="str">
        <f t="shared" si="335"/>
        <v>115</v>
      </c>
      <c r="AG1487" t="s">
        <v>38</v>
      </c>
      <c r="AH1487" s="3">
        <v>18.87</v>
      </c>
      <c r="AI1487" s="3">
        <f t="shared" si="336"/>
        <v>18.87</v>
      </c>
      <c r="AJ1487" t="s">
        <v>52</v>
      </c>
      <c r="AK1487" t="str">
        <f>PROPER(Table1[[#This Row],[CVD Risk Level]])</f>
        <v>Low</v>
      </c>
    </row>
    <row r="1488" spans="1:37" x14ac:dyDescent="0.3">
      <c r="A1488" t="s">
        <v>31</v>
      </c>
      <c r="B1488">
        <v>50</v>
      </c>
      <c r="C1488" s="8">
        <f t="shared" si="325"/>
        <v>50</v>
      </c>
      <c r="D1488" s="5">
        <v>62.459000000000003</v>
      </c>
      <c r="E1488" s="8">
        <f t="shared" si="326"/>
        <v>62.459000000000003</v>
      </c>
      <c r="F1488">
        <v>1.579</v>
      </c>
      <c r="G1488" s="3">
        <f t="shared" si="327"/>
        <v>1.579</v>
      </c>
      <c r="H1488">
        <v>20.474</v>
      </c>
      <c r="I1488" s="5">
        <f t="shared" si="323"/>
        <v>20.474</v>
      </c>
      <c r="J1488" s="16" t="str">
        <f t="shared" si="328"/>
        <v>Normal</v>
      </c>
      <c r="L1488">
        <v>0.64800000000000002</v>
      </c>
      <c r="M1488" s="11">
        <f t="shared" si="324"/>
        <v>0.64800000000000002</v>
      </c>
      <c r="N1488" s="5">
        <f t="shared" si="329"/>
        <v>102.31920000000001</v>
      </c>
      <c r="O1488">
        <v>181</v>
      </c>
      <c r="P1488">
        <v>36</v>
      </c>
      <c r="Q1488" s="8">
        <f t="shared" si="330"/>
        <v>36</v>
      </c>
      <c r="R1488" s="8">
        <v>115</v>
      </c>
      <c r="S1488" s="8">
        <f t="shared" si="331"/>
        <v>115</v>
      </c>
      <c r="T1488" s="8">
        <f>(Table1[[#This Row],[Total Cholesterol (mg/dL)]]+Table1[[#This Row],[HDL (mg/dL)2]]+Table1[[#This Row],[Estimated LDL (mg/dL)2]])*5</f>
        <v>1660</v>
      </c>
      <c r="U1488" s="8">
        <f>IF(O1488="",Table1[[#This Row],[Estimated LDL (mg/dL)2]]+Table1[[#This Row],[HDL (mg/dL)2]]+(Table1[[#This Row],[Triglycerides]]/5),O1488)</f>
        <v>181</v>
      </c>
      <c r="V1488">
        <v>74</v>
      </c>
      <c r="W1488" s="8">
        <f t="shared" si="332"/>
        <v>74</v>
      </c>
      <c r="X1488" t="str">
        <f t="shared" si="333"/>
        <v>Normal</v>
      </c>
      <c r="Y1488" t="s">
        <v>23</v>
      </c>
      <c r="Z1488" t="s">
        <v>22</v>
      </c>
      <c r="AA1488" t="s">
        <v>28</v>
      </c>
      <c r="AB1488" s="3" t="s">
        <v>1258</v>
      </c>
      <c r="AC1488">
        <v>177</v>
      </c>
      <c r="AD1488" s="3" t="str">
        <f t="shared" si="334"/>
        <v>177</v>
      </c>
      <c r="AE1488">
        <v>81</v>
      </c>
      <c r="AF1488" s="3" t="str">
        <f t="shared" si="335"/>
        <v>81</v>
      </c>
      <c r="AG1488" t="s">
        <v>29</v>
      </c>
      <c r="AH1488" s="3">
        <v>16.565000000000001</v>
      </c>
      <c r="AI1488" s="3">
        <f t="shared" si="336"/>
        <v>16.565000000000001</v>
      </c>
      <c r="AJ1488" t="s">
        <v>30</v>
      </c>
      <c r="AK1488" t="str">
        <f>PROPER(Table1[[#This Row],[CVD Risk Level]])</f>
        <v>High</v>
      </c>
    </row>
    <row r="1489" spans="1:37" x14ac:dyDescent="0.3">
      <c r="A1489" t="s">
        <v>20</v>
      </c>
      <c r="B1489">
        <v>57</v>
      </c>
      <c r="C1489" s="8">
        <f t="shared" si="325"/>
        <v>57</v>
      </c>
      <c r="D1489" s="5">
        <v>89.650999999999996</v>
      </c>
      <c r="E1489" s="8">
        <f t="shared" si="326"/>
        <v>89.650999999999996</v>
      </c>
      <c r="F1489">
        <v>1.603</v>
      </c>
      <c r="G1489" s="3">
        <f t="shared" si="327"/>
        <v>1.603</v>
      </c>
      <c r="H1489">
        <v>27.783000000000001</v>
      </c>
      <c r="I1489" s="5">
        <f t="shared" si="323"/>
        <v>27.783000000000001</v>
      </c>
      <c r="J1489" s="16" t="str">
        <f t="shared" si="328"/>
        <v>Overweight</v>
      </c>
      <c r="K1489">
        <v>70.403000000000006</v>
      </c>
      <c r="L1489">
        <v>0.439</v>
      </c>
      <c r="M1489" s="11">
        <f t="shared" si="324"/>
        <v>0.439</v>
      </c>
      <c r="N1489" s="5">
        <f t="shared" si="329"/>
        <v>70.403000000000006</v>
      </c>
      <c r="P1489">
        <v>52</v>
      </c>
      <c r="Q1489" s="8">
        <f t="shared" si="330"/>
        <v>52</v>
      </c>
      <c r="R1489" s="8">
        <v>112</v>
      </c>
      <c r="S1489" s="8">
        <f t="shared" si="331"/>
        <v>112</v>
      </c>
      <c r="T1489" s="8">
        <f>(Table1[[#This Row],[Total Cholesterol (mg/dL)]]+Table1[[#This Row],[HDL (mg/dL)2]]+Table1[[#This Row],[Estimated LDL (mg/dL)2]])*5</f>
        <v>820</v>
      </c>
      <c r="U1489" s="8">
        <f>IF(O1489="",Table1[[#This Row],[Estimated LDL (mg/dL)2]]+Table1[[#This Row],[HDL (mg/dL)2]]+(Table1[[#This Row],[Triglycerides]]/5),O1489)</f>
        <v>328</v>
      </c>
      <c r="V1489">
        <v>151</v>
      </c>
      <c r="W1489" s="8">
        <f t="shared" si="332"/>
        <v>151</v>
      </c>
      <c r="X1489" t="str">
        <f t="shared" si="333"/>
        <v>Diabetes</v>
      </c>
      <c r="Y1489" t="s">
        <v>23</v>
      </c>
      <c r="Z1489" t="s">
        <v>22</v>
      </c>
      <c r="AA1489" t="s">
        <v>37</v>
      </c>
      <c r="AB1489" s="3" t="s">
        <v>1259</v>
      </c>
      <c r="AC1489">
        <v>129</v>
      </c>
      <c r="AD1489" s="3" t="str">
        <f t="shared" si="334"/>
        <v>129</v>
      </c>
      <c r="AE1489">
        <v>108</v>
      </c>
      <c r="AF1489" s="3" t="str">
        <f t="shared" si="335"/>
        <v>108</v>
      </c>
      <c r="AG1489" t="s">
        <v>38</v>
      </c>
      <c r="AI1489" s="3">
        <f t="shared" si="336"/>
        <v>16.960925291295425</v>
      </c>
      <c r="AJ1489" t="s">
        <v>26</v>
      </c>
      <c r="AK1489" t="str">
        <f>PROPER(Table1[[#This Row],[CVD Risk Level]])</f>
        <v>Intermediary</v>
      </c>
    </row>
    <row r="1490" spans="1:37" x14ac:dyDescent="0.3">
      <c r="A1490" t="s">
        <v>20</v>
      </c>
      <c r="B1490">
        <v>31</v>
      </c>
      <c r="C1490" s="8">
        <f t="shared" si="325"/>
        <v>31</v>
      </c>
      <c r="D1490" s="5">
        <v>62.347000000000001</v>
      </c>
      <c r="E1490" s="8">
        <f t="shared" si="326"/>
        <v>62.347000000000001</v>
      </c>
      <c r="F1490">
        <v>1.5349999999999999</v>
      </c>
      <c r="G1490" s="3">
        <f t="shared" si="327"/>
        <v>1.5349999999999999</v>
      </c>
      <c r="H1490">
        <v>32.843000000000004</v>
      </c>
      <c r="I1490" s="5">
        <f t="shared" si="323"/>
        <v>32.843000000000004</v>
      </c>
      <c r="J1490" s="16" t="str">
        <f t="shared" si="328"/>
        <v>Obese</v>
      </c>
      <c r="K1490">
        <v>89.638000000000005</v>
      </c>
      <c r="L1490">
        <v>0.58399999999999996</v>
      </c>
      <c r="M1490" s="11">
        <f t="shared" si="324"/>
        <v>0.58399999999999996</v>
      </c>
      <c r="N1490" s="5">
        <f t="shared" si="329"/>
        <v>89.638000000000005</v>
      </c>
      <c r="O1490">
        <v>177</v>
      </c>
      <c r="Q1490" s="8">
        <f t="shared" si="330"/>
        <v>56.197377501725327</v>
      </c>
      <c r="R1490" s="8">
        <v>90</v>
      </c>
      <c r="S1490" s="8">
        <f>IF(R1490&lt;=0,MEDIAN($R$2:$R$1530),R1490)</f>
        <v>90</v>
      </c>
      <c r="T1490" s="8">
        <f>(Table1[[#This Row],[Total Cholesterol (mg/dL)]]+Table1[[#This Row],[HDL (mg/dL)2]]+Table1[[#This Row],[Estimated LDL (mg/dL)2]])*5</f>
        <v>1615.9868875086268</v>
      </c>
      <c r="U1490" s="8">
        <f>IF(O1490="",Table1[[#This Row],[Estimated LDL (mg/dL)2]]+Table1[[#This Row],[HDL (mg/dL)2]]+(Table1[[#This Row],[Triglycerides]]/5),O1490)</f>
        <v>177</v>
      </c>
      <c r="V1490">
        <v>87</v>
      </c>
      <c r="W1490" s="8">
        <f t="shared" si="332"/>
        <v>87</v>
      </c>
      <c r="X1490" t="str">
        <f t="shared" si="333"/>
        <v>Normal</v>
      </c>
      <c r="Y1490" t="s">
        <v>23</v>
      </c>
      <c r="Z1490" t="s">
        <v>23</v>
      </c>
      <c r="AA1490" t="s">
        <v>24</v>
      </c>
      <c r="AB1490" s="3" t="s">
        <v>1260</v>
      </c>
      <c r="AC1490">
        <v>125</v>
      </c>
      <c r="AD1490" s="3" t="str">
        <f t="shared" si="334"/>
        <v>125</v>
      </c>
      <c r="AE1490">
        <v>86</v>
      </c>
      <c r="AF1490" s="3" t="str">
        <f t="shared" si="335"/>
        <v>86</v>
      </c>
      <c r="AG1490" t="s">
        <v>29</v>
      </c>
      <c r="AH1490" s="3">
        <v>18.359000000000002</v>
      </c>
      <c r="AI1490" s="3">
        <f t="shared" si="336"/>
        <v>18.359000000000002</v>
      </c>
      <c r="AJ1490" t="s">
        <v>30</v>
      </c>
      <c r="AK1490" t="str">
        <f>PROPER(Table1[[#This Row],[CVD Risk Level]])</f>
        <v>High</v>
      </c>
    </row>
    <row r="1491" spans="1:37" x14ac:dyDescent="0.3">
      <c r="A1491" t="s">
        <v>20</v>
      </c>
      <c r="B1491">
        <v>74</v>
      </c>
      <c r="C1491" s="8">
        <f t="shared" si="325"/>
        <v>74</v>
      </c>
      <c r="D1491" s="5">
        <v>64.405000000000001</v>
      </c>
      <c r="E1491" s="8">
        <f t="shared" si="326"/>
        <v>64.405000000000001</v>
      </c>
      <c r="F1491">
        <v>1.601</v>
      </c>
      <c r="G1491" s="3">
        <f t="shared" si="327"/>
        <v>1.601</v>
      </c>
      <c r="H1491">
        <v>35.043999999999997</v>
      </c>
      <c r="I1491" s="5">
        <f t="shared" si="323"/>
        <v>35.043999999999997</v>
      </c>
      <c r="J1491" s="16" t="str">
        <f t="shared" si="328"/>
        <v>Obese</v>
      </c>
      <c r="K1491">
        <v>109.708</v>
      </c>
      <c r="L1491">
        <v>0.68500000000000005</v>
      </c>
      <c r="M1491" s="11">
        <f t="shared" si="324"/>
        <v>0.68500000000000005</v>
      </c>
      <c r="N1491" s="5">
        <f t="shared" si="329"/>
        <v>109.708</v>
      </c>
      <c r="O1491">
        <v>171</v>
      </c>
      <c r="P1491">
        <v>79</v>
      </c>
      <c r="Q1491" s="8">
        <f t="shared" si="330"/>
        <v>79</v>
      </c>
      <c r="R1491" s="8">
        <v>62</v>
      </c>
      <c r="S1491" s="8">
        <f t="shared" si="331"/>
        <v>62</v>
      </c>
      <c r="T1491" s="8">
        <f>(Table1[[#This Row],[Total Cholesterol (mg/dL)]]+Table1[[#This Row],[HDL (mg/dL)2]]+Table1[[#This Row],[Estimated LDL (mg/dL)2]])*5</f>
        <v>1560</v>
      </c>
      <c r="U1491" s="8">
        <f>IF(O1491="",Table1[[#This Row],[Estimated LDL (mg/dL)2]]+Table1[[#This Row],[HDL (mg/dL)2]]+(Table1[[#This Row],[Triglycerides]]/5),O1491)</f>
        <v>171</v>
      </c>
      <c r="V1491">
        <v>136</v>
      </c>
      <c r="W1491" s="8">
        <f t="shared" si="332"/>
        <v>136</v>
      </c>
      <c r="X1491" t="str">
        <f t="shared" si="333"/>
        <v>Diabetes</v>
      </c>
      <c r="Y1491" t="s">
        <v>22</v>
      </c>
      <c r="Z1491" t="s">
        <v>23</v>
      </c>
      <c r="AA1491" t="s">
        <v>37</v>
      </c>
      <c r="AB1491" s="3" t="s">
        <v>1261</v>
      </c>
      <c r="AC1491">
        <v>122</v>
      </c>
      <c r="AD1491" s="3" t="str">
        <f t="shared" si="334"/>
        <v>122</v>
      </c>
      <c r="AE1491">
        <v>85</v>
      </c>
      <c r="AF1491" s="3" t="str">
        <f t="shared" si="335"/>
        <v>85</v>
      </c>
      <c r="AG1491" t="s">
        <v>29</v>
      </c>
      <c r="AH1491" s="3">
        <v>18.529</v>
      </c>
      <c r="AI1491" s="3">
        <f t="shared" si="336"/>
        <v>18.529</v>
      </c>
      <c r="AJ1491" t="s">
        <v>52</v>
      </c>
      <c r="AK1491" t="str">
        <f>PROPER(Table1[[#This Row],[CVD Risk Level]])</f>
        <v>Low</v>
      </c>
    </row>
    <row r="1492" spans="1:37" x14ac:dyDescent="0.3">
      <c r="A1492" t="s">
        <v>20</v>
      </c>
      <c r="B1492">
        <v>32</v>
      </c>
      <c r="C1492" s="8">
        <f t="shared" si="325"/>
        <v>32</v>
      </c>
      <c r="E1492" s="8">
        <f t="shared" si="326"/>
        <v>132.70175614799999</v>
      </c>
      <c r="F1492">
        <v>1.8979999999999999</v>
      </c>
      <c r="G1492" s="3">
        <f t="shared" si="327"/>
        <v>1.8979999999999999</v>
      </c>
      <c r="H1492">
        <v>36.837000000000003</v>
      </c>
      <c r="I1492" s="5">
        <f t="shared" si="323"/>
        <v>36.837000000000003</v>
      </c>
      <c r="J1492" s="16" t="str">
        <f t="shared" si="328"/>
        <v>Obese</v>
      </c>
      <c r="K1492">
        <v>72.41</v>
      </c>
      <c r="L1492">
        <v>0.38100000000000001</v>
      </c>
      <c r="M1492" s="11">
        <f t="shared" si="324"/>
        <v>0.38100000000000001</v>
      </c>
      <c r="N1492" s="5">
        <f t="shared" si="329"/>
        <v>72.41</v>
      </c>
      <c r="O1492">
        <v>233</v>
      </c>
      <c r="P1492">
        <v>52</v>
      </c>
      <c r="Q1492" s="8">
        <f t="shared" si="330"/>
        <v>52</v>
      </c>
      <c r="R1492" s="8">
        <v>151</v>
      </c>
      <c r="S1492" s="8">
        <f t="shared" si="331"/>
        <v>151</v>
      </c>
      <c r="T1492" s="8">
        <f>(Table1[[#This Row],[Total Cholesterol (mg/dL)]]+Table1[[#This Row],[HDL (mg/dL)2]]+Table1[[#This Row],[Estimated LDL (mg/dL)2]])*5</f>
        <v>2180</v>
      </c>
      <c r="U1492" s="8">
        <f>IF(O1492="",Table1[[#This Row],[Estimated LDL (mg/dL)2]]+Table1[[#This Row],[HDL (mg/dL)2]]+(Table1[[#This Row],[Triglycerides]]/5),O1492)</f>
        <v>233</v>
      </c>
      <c r="V1492">
        <v>84</v>
      </c>
      <c r="W1492" s="8">
        <f t="shared" si="332"/>
        <v>84</v>
      </c>
      <c r="X1492" t="str">
        <f t="shared" si="333"/>
        <v>Normal</v>
      </c>
      <c r="Y1492" t="s">
        <v>22</v>
      </c>
      <c r="Z1492" t="s">
        <v>22</v>
      </c>
      <c r="AA1492" t="s">
        <v>28</v>
      </c>
      <c r="AB1492" s="3" t="s">
        <v>1262</v>
      </c>
      <c r="AC1492">
        <v>125</v>
      </c>
      <c r="AD1492" s="3" t="str">
        <f t="shared" si="334"/>
        <v>125</v>
      </c>
      <c r="AF1492" s="3" t="str">
        <f t="shared" si="335"/>
        <v>111</v>
      </c>
      <c r="AG1492" t="s">
        <v>38</v>
      </c>
      <c r="AH1492" s="3">
        <v>18.277000000000001</v>
      </c>
      <c r="AI1492" s="3">
        <f t="shared" si="336"/>
        <v>18.277000000000001</v>
      </c>
      <c r="AJ1492" t="s">
        <v>26</v>
      </c>
      <c r="AK1492" t="str">
        <f>PROPER(Table1[[#This Row],[CVD Risk Level]])</f>
        <v>Intermediary</v>
      </c>
    </row>
    <row r="1493" spans="1:37" x14ac:dyDescent="0.3">
      <c r="A1493" t="s">
        <v>31</v>
      </c>
      <c r="B1493">
        <v>40</v>
      </c>
      <c r="C1493" s="8">
        <f t="shared" si="325"/>
        <v>40</v>
      </c>
      <c r="D1493" s="5">
        <v>114.426</v>
      </c>
      <c r="E1493" s="8">
        <f t="shared" si="326"/>
        <v>114.426</v>
      </c>
      <c r="F1493">
        <v>1.823</v>
      </c>
      <c r="G1493" s="3">
        <f t="shared" si="327"/>
        <v>1.823</v>
      </c>
      <c r="H1493">
        <v>38.582000000000001</v>
      </c>
      <c r="I1493" s="5">
        <f t="shared" si="323"/>
        <v>38.582000000000001</v>
      </c>
      <c r="J1493" s="16" t="str">
        <f t="shared" si="328"/>
        <v>Obese</v>
      </c>
      <c r="K1493">
        <v>105.06699999999999</v>
      </c>
      <c r="L1493">
        <v>0.57599999999999996</v>
      </c>
      <c r="M1493" s="11">
        <f t="shared" si="324"/>
        <v>0.57599999999999996</v>
      </c>
      <c r="N1493" s="5">
        <f t="shared" si="329"/>
        <v>105.06699999999999</v>
      </c>
      <c r="O1493">
        <v>140</v>
      </c>
      <c r="P1493">
        <v>54</v>
      </c>
      <c r="Q1493" s="8">
        <f t="shared" si="330"/>
        <v>54</v>
      </c>
      <c r="R1493" s="8">
        <v>56</v>
      </c>
      <c r="S1493" s="8">
        <f t="shared" si="331"/>
        <v>56</v>
      </c>
      <c r="T1493" s="8">
        <f>(Table1[[#This Row],[Total Cholesterol (mg/dL)]]+Table1[[#This Row],[HDL (mg/dL)2]]+Table1[[#This Row],[Estimated LDL (mg/dL)2]])*5</f>
        <v>1250</v>
      </c>
      <c r="U1493" s="8">
        <f>IF(O1493="",Table1[[#This Row],[Estimated LDL (mg/dL)2]]+Table1[[#This Row],[HDL (mg/dL)2]]+(Table1[[#This Row],[Triglycerides]]/5),O1493)</f>
        <v>140</v>
      </c>
      <c r="V1493">
        <v>116</v>
      </c>
      <c r="W1493" s="8">
        <f t="shared" si="332"/>
        <v>116</v>
      </c>
      <c r="X1493" t="str">
        <f t="shared" si="333"/>
        <v>Prediabetes</v>
      </c>
      <c r="Y1493" t="s">
        <v>23</v>
      </c>
      <c r="Z1493" t="s">
        <v>23</v>
      </c>
      <c r="AA1493" t="s">
        <v>28</v>
      </c>
      <c r="AB1493" s="3" t="s">
        <v>1263</v>
      </c>
      <c r="AC1493">
        <v>171</v>
      </c>
      <c r="AD1493" s="3" t="str">
        <f t="shared" si="334"/>
        <v>171</v>
      </c>
      <c r="AE1493">
        <v>86</v>
      </c>
      <c r="AF1493" s="3" t="str">
        <f t="shared" si="335"/>
        <v>86</v>
      </c>
      <c r="AG1493" t="s">
        <v>29</v>
      </c>
      <c r="AH1493" s="3">
        <v>21.065999999999999</v>
      </c>
      <c r="AI1493" s="3">
        <f t="shared" si="336"/>
        <v>21.065999999999999</v>
      </c>
      <c r="AJ1493" t="s">
        <v>30</v>
      </c>
      <c r="AK1493" t="str">
        <f>PROPER(Table1[[#This Row],[CVD Risk Level]])</f>
        <v>High</v>
      </c>
    </row>
    <row r="1494" spans="1:37" x14ac:dyDescent="0.3">
      <c r="A1494" t="s">
        <v>31</v>
      </c>
      <c r="B1494">
        <v>67</v>
      </c>
      <c r="C1494" s="8">
        <f t="shared" si="325"/>
        <v>67</v>
      </c>
      <c r="D1494" s="5">
        <v>87.046000000000006</v>
      </c>
      <c r="E1494" s="8">
        <f t="shared" si="326"/>
        <v>87.046000000000006</v>
      </c>
      <c r="F1494">
        <v>1.5249999999999999</v>
      </c>
      <c r="G1494" s="3">
        <f t="shared" si="327"/>
        <v>1.5249999999999999</v>
      </c>
      <c r="H1494">
        <v>23.282</v>
      </c>
      <c r="I1494" s="5">
        <f t="shared" si="323"/>
        <v>23.282</v>
      </c>
      <c r="J1494" s="16" t="str">
        <f t="shared" si="328"/>
        <v>Normal</v>
      </c>
      <c r="K1494">
        <v>112.155</v>
      </c>
      <c r="L1494">
        <v>0.73499999999999999</v>
      </c>
      <c r="M1494" s="11">
        <f t="shared" si="324"/>
        <v>0.73499999999999999</v>
      </c>
      <c r="N1494" s="5">
        <f t="shared" si="329"/>
        <v>112.155</v>
      </c>
      <c r="O1494">
        <v>209</v>
      </c>
      <c r="P1494">
        <v>41</v>
      </c>
      <c r="Q1494" s="8">
        <f t="shared" si="330"/>
        <v>41</v>
      </c>
      <c r="R1494" s="8">
        <v>138</v>
      </c>
      <c r="S1494" s="8">
        <f t="shared" si="331"/>
        <v>138</v>
      </c>
      <c r="T1494" s="8">
        <f>(Table1[[#This Row],[Total Cholesterol (mg/dL)]]+Table1[[#This Row],[HDL (mg/dL)2]]+Table1[[#This Row],[Estimated LDL (mg/dL)2]])*5</f>
        <v>1940</v>
      </c>
      <c r="U1494" s="8">
        <f>IF(O1494="",Table1[[#This Row],[Estimated LDL (mg/dL)2]]+Table1[[#This Row],[HDL (mg/dL)2]]+(Table1[[#This Row],[Triglycerides]]/5),O1494)</f>
        <v>209</v>
      </c>
      <c r="V1494">
        <v>137</v>
      </c>
      <c r="W1494" s="8">
        <f t="shared" si="332"/>
        <v>137</v>
      </c>
      <c r="X1494" t="str">
        <f t="shared" si="333"/>
        <v>Diabetes</v>
      </c>
      <c r="Y1494" t="s">
        <v>22</v>
      </c>
      <c r="Z1494" t="s">
        <v>22</v>
      </c>
      <c r="AA1494" t="s">
        <v>28</v>
      </c>
      <c r="AB1494" s="3" t="s">
        <v>1264</v>
      </c>
      <c r="AC1494">
        <v>128</v>
      </c>
      <c r="AD1494" s="3" t="str">
        <f t="shared" si="334"/>
        <v>128</v>
      </c>
      <c r="AE1494">
        <v>84</v>
      </c>
      <c r="AF1494" s="3" t="str">
        <f t="shared" si="335"/>
        <v>84</v>
      </c>
      <c r="AG1494" t="s">
        <v>29</v>
      </c>
      <c r="AH1494" s="3">
        <v>15.236000000000001</v>
      </c>
      <c r="AI1494" s="3">
        <f t="shared" si="336"/>
        <v>15.236000000000001</v>
      </c>
      <c r="AJ1494" t="s">
        <v>30</v>
      </c>
      <c r="AK1494" t="str">
        <f>PROPER(Table1[[#This Row],[CVD Risk Level]])</f>
        <v>High</v>
      </c>
    </row>
    <row r="1495" spans="1:37" x14ac:dyDescent="0.3">
      <c r="A1495" t="s">
        <v>20</v>
      </c>
      <c r="B1495">
        <v>30</v>
      </c>
      <c r="C1495" s="8">
        <f t="shared" si="325"/>
        <v>30</v>
      </c>
      <c r="D1495" s="5">
        <v>89.635999999999996</v>
      </c>
      <c r="E1495" s="8">
        <f t="shared" si="326"/>
        <v>89.635999999999996</v>
      </c>
      <c r="F1495">
        <v>1.752</v>
      </c>
      <c r="G1495" s="3">
        <f t="shared" si="327"/>
        <v>1.752</v>
      </c>
      <c r="H1495">
        <v>23.7</v>
      </c>
      <c r="I1495" s="5">
        <f t="shared" si="323"/>
        <v>23.7</v>
      </c>
      <c r="J1495" s="16" t="str">
        <f t="shared" si="328"/>
        <v>Normal</v>
      </c>
      <c r="K1495">
        <v>78.406000000000006</v>
      </c>
      <c r="L1495">
        <v>0.44700000000000001</v>
      </c>
      <c r="M1495" s="11">
        <f t="shared" si="324"/>
        <v>0.44700000000000001</v>
      </c>
      <c r="N1495" s="5">
        <f t="shared" si="329"/>
        <v>78.406000000000006</v>
      </c>
      <c r="O1495">
        <v>292</v>
      </c>
      <c r="Q1495" s="8">
        <f t="shared" si="330"/>
        <v>56.197377501725327</v>
      </c>
      <c r="R1495" s="8">
        <v>223</v>
      </c>
      <c r="S1495" s="8">
        <f>IF(R1495&lt;=0,MEDIAN($R$2:$R$1530),R1495)</f>
        <v>223</v>
      </c>
      <c r="T1495" s="8">
        <f>(Table1[[#This Row],[Total Cholesterol (mg/dL)]]+Table1[[#This Row],[HDL (mg/dL)2]]+Table1[[#This Row],[Estimated LDL (mg/dL)2]])*5</f>
        <v>2855.9868875086268</v>
      </c>
      <c r="U1495" s="8">
        <f>IF(O1495="",Table1[[#This Row],[Estimated LDL (mg/dL)2]]+Table1[[#This Row],[HDL (mg/dL)2]]+(Table1[[#This Row],[Triglycerides]]/5),O1495)</f>
        <v>292</v>
      </c>
      <c r="V1495">
        <v>154</v>
      </c>
      <c r="W1495" s="8">
        <f t="shared" si="332"/>
        <v>154</v>
      </c>
      <c r="X1495" t="str">
        <f t="shared" si="333"/>
        <v>Diabetes</v>
      </c>
      <c r="Y1495" t="s">
        <v>22</v>
      </c>
      <c r="Z1495" t="s">
        <v>22</v>
      </c>
      <c r="AA1495" t="s">
        <v>24</v>
      </c>
      <c r="AB1495" s="3" t="s">
        <v>1265</v>
      </c>
      <c r="AC1495">
        <v>148</v>
      </c>
      <c r="AD1495" s="3" t="str">
        <f t="shared" si="334"/>
        <v>148</v>
      </c>
      <c r="AE1495">
        <v>63</v>
      </c>
      <c r="AF1495" s="3" t="str">
        <f t="shared" si="335"/>
        <v>63</v>
      </c>
      <c r="AG1495" t="s">
        <v>38</v>
      </c>
      <c r="AH1495" s="3">
        <v>17.98</v>
      </c>
      <c r="AI1495" s="3">
        <f t="shared" si="336"/>
        <v>17.98</v>
      </c>
      <c r="AJ1495" t="s">
        <v>30</v>
      </c>
      <c r="AK1495" t="str">
        <f>PROPER(Table1[[#This Row],[CVD Risk Level]])</f>
        <v>High</v>
      </c>
    </row>
    <row r="1496" spans="1:37" x14ac:dyDescent="0.3">
      <c r="A1496" t="s">
        <v>31</v>
      </c>
      <c r="B1496">
        <v>79</v>
      </c>
      <c r="C1496" s="8">
        <f t="shared" si="325"/>
        <v>79</v>
      </c>
      <c r="D1496" s="5">
        <v>71.016000000000005</v>
      </c>
      <c r="E1496" s="8">
        <f t="shared" si="326"/>
        <v>71.016000000000005</v>
      </c>
      <c r="F1496">
        <v>1.7689999999999999</v>
      </c>
      <c r="G1496" s="3">
        <f t="shared" si="327"/>
        <v>1.7689999999999999</v>
      </c>
      <c r="H1496">
        <v>29.196999999999999</v>
      </c>
      <c r="I1496" s="5">
        <f t="shared" si="323"/>
        <v>29.196999999999999</v>
      </c>
      <c r="J1496" s="16" t="str">
        <f t="shared" si="328"/>
        <v>Overweight</v>
      </c>
      <c r="K1496">
        <v>85.153999999999996</v>
      </c>
      <c r="L1496">
        <v>0.48099999999999998</v>
      </c>
      <c r="M1496" s="11">
        <f t="shared" si="324"/>
        <v>0.48099999999999998</v>
      </c>
      <c r="N1496" s="5">
        <f t="shared" si="329"/>
        <v>85.153999999999996</v>
      </c>
      <c r="O1496">
        <v>173</v>
      </c>
      <c r="P1496">
        <v>81</v>
      </c>
      <c r="Q1496" s="8">
        <f t="shared" si="330"/>
        <v>81</v>
      </c>
      <c r="R1496" s="8">
        <v>62</v>
      </c>
      <c r="S1496" s="8">
        <f t="shared" si="331"/>
        <v>62</v>
      </c>
      <c r="T1496" s="8">
        <f>(Table1[[#This Row],[Total Cholesterol (mg/dL)]]+Table1[[#This Row],[HDL (mg/dL)2]]+Table1[[#This Row],[Estimated LDL (mg/dL)2]])*5</f>
        <v>1580</v>
      </c>
      <c r="U1496" s="8">
        <f>IF(O1496="",Table1[[#This Row],[Estimated LDL (mg/dL)2]]+Table1[[#This Row],[HDL (mg/dL)2]]+(Table1[[#This Row],[Triglycerides]]/5),O1496)</f>
        <v>173</v>
      </c>
      <c r="V1496">
        <v>139</v>
      </c>
      <c r="W1496" s="8">
        <f t="shared" si="332"/>
        <v>139</v>
      </c>
      <c r="X1496" t="str">
        <f t="shared" si="333"/>
        <v>Diabetes</v>
      </c>
      <c r="Y1496" t="s">
        <v>22</v>
      </c>
      <c r="Z1496" t="s">
        <v>22</v>
      </c>
      <c r="AA1496" t="s">
        <v>24</v>
      </c>
      <c r="AB1496" s="3" t="s">
        <v>256</v>
      </c>
      <c r="AC1496">
        <v>127</v>
      </c>
      <c r="AD1496" s="3" t="str">
        <f t="shared" si="334"/>
        <v>127</v>
      </c>
      <c r="AE1496">
        <v>84</v>
      </c>
      <c r="AF1496" s="3" t="str">
        <f t="shared" si="335"/>
        <v>84</v>
      </c>
      <c r="AG1496" t="s">
        <v>29</v>
      </c>
      <c r="AI1496" s="3">
        <f t="shared" si="336"/>
        <v>16.960925291295425</v>
      </c>
      <c r="AJ1496" t="s">
        <v>52</v>
      </c>
      <c r="AK1496" t="str">
        <f>PROPER(Table1[[#This Row],[CVD Risk Level]])</f>
        <v>Low</v>
      </c>
    </row>
    <row r="1497" spans="1:37" x14ac:dyDescent="0.3">
      <c r="A1497" t="s">
        <v>20</v>
      </c>
      <c r="B1497">
        <v>62</v>
      </c>
      <c r="C1497" s="8">
        <f t="shared" si="325"/>
        <v>62</v>
      </c>
      <c r="D1497" s="5">
        <v>114.762</v>
      </c>
      <c r="E1497" s="8">
        <f t="shared" si="326"/>
        <v>114.762</v>
      </c>
      <c r="F1497">
        <v>1.9079999999999999</v>
      </c>
      <c r="G1497" s="3">
        <f t="shared" si="327"/>
        <v>1.9079999999999999</v>
      </c>
      <c r="H1497">
        <v>29.827000000000002</v>
      </c>
      <c r="I1497" s="5">
        <f t="shared" si="323"/>
        <v>29.827000000000002</v>
      </c>
      <c r="J1497" s="16" t="str">
        <f t="shared" si="328"/>
        <v>Overweight</v>
      </c>
      <c r="K1497">
        <v>75.754000000000005</v>
      </c>
      <c r="L1497">
        <v>0.39700000000000002</v>
      </c>
      <c r="M1497" s="11">
        <f t="shared" si="324"/>
        <v>0.39700000000000002</v>
      </c>
      <c r="N1497" s="5">
        <f t="shared" si="329"/>
        <v>75.754000000000005</v>
      </c>
      <c r="O1497">
        <v>270</v>
      </c>
      <c r="P1497">
        <v>53</v>
      </c>
      <c r="Q1497" s="8">
        <f t="shared" si="330"/>
        <v>53</v>
      </c>
      <c r="R1497" s="8">
        <v>187</v>
      </c>
      <c r="S1497" s="8">
        <f t="shared" si="331"/>
        <v>187</v>
      </c>
      <c r="T1497" s="8">
        <f>(Table1[[#This Row],[Total Cholesterol (mg/dL)]]+Table1[[#This Row],[HDL (mg/dL)2]]+Table1[[#This Row],[Estimated LDL (mg/dL)2]])*5</f>
        <v>2550</v>
      </c>
      <c r="U1497" s="8">
        <f>IF(O1497="",Table1[[#This Row],[Estimated LDL (mg/dL)2]]+Table1[[#This Row],[HDL (mg/dL)2]]+(Table1[[#This Row],[Triglycerides]]/5),O1497)</f>
        <v>270</v>
      </c>
      <c r="V1497">
        <v>189</v>
      </c>
      <c r="W1497" s="8">
        <f t="shared" si="332"/>
        <v>189</v>
      </c>
      <c r="X1497" t="str">
        <f t="shared" si="333"/>
        <v>Diabetes</v>
      </c>
      <c r="Y1497" t="s">
        <v>23</v>
      </c>
      <c r="Z1497" t="s">
        <v>22</v>
      </c>
      <c r="AA1497" t="s">
        <v>24</v>
      </c>
      <c r="AB1497" s="3" t="s">
        <v>1266</v>
      </c>
      <c r="AC1497">
        <v>105</v>
      </c>
      <c r="AD1497" s="3" t="str">
        <f t="shared" si="334"/>
        <v>105</v>
      </c>
      <c r="AE1497">
        <v>102</v>
      </c>
      <c r="AF1497" s="3" t="str">
        <f t="shared" si="335"/>
        <v>102</v>
      </c>
      <c r="AG1497" t="s">
        <v>38</v>
      </c>
      <c r="AH1497" s="3">
        <v>16.614999999999998</v>
      </c>
      <c r="AI1497" s="3">
        <f t="shared" si="336"/>
        <v>16.614999999999998</v>
      </c>
      <c r="AJ1497" t="s">
        <v>26</v>
      </c>
      <c r="AK1497" t="str">
        <f>PROPER(Table1[[#This Row],[CVD Risk Level]])</f>
        <v>Intermediary</v>
      </c>
    </row>
    <row r="1498" spans="1:37" x14ac:dyDescent="0.3">
      <c r="A1498" t="s">
        <v>31</v>
      </c>
      <c r="B1498">
        <v>47</v>
      </c>
      <c r="C1498" s="8">
        <f t="shared" si="325"/>
        <v>47</v>
      </c>
      <c r="D1498" s="5">
        <v>85.018000000000001</v>
      </c>
      <c r="E1498" s="8">
        <f t="shared" si="326"/>
        <v>85.018000000000001</v>
      </c>
      <c r="F1498">
        <v>1.913</v>
      </c>
      <c r="G1498" s="3">
        <f t="shared" si="327"/>
        <v>1.913</v>
      </c>
      <c r="I1498" s="5">
        <f t="shared" si="323"/>
        <v>23.231697503175919</v>
      </c>
      <c r="J1498" s="16" t="str">
        <f t="shared" si="328"/>
        <v>Normal</v>
      </c>
      <c r="K1498">
        <v>115.545</v>
      </c>
      <c r="L1498">
        <v>0.60399999999999998</v>
      </c>
      <c r="M1498" s="11">
        <f t="shared" si="324"/>
        <v>0.60399999999999998</v>
      </c>
      <c r="N1498" s="5">
        <f t="shared" si="329"/>
        <v>115.545</v>
      </c>
      <c r="O1498">
        <v>243</v>
      </c>
      <c r="P1498">
        <v>82</v>
      </c>
      <c r="Q1498" s="8">
        <f t="shared" si="330"/>
        <v>82</v>
      </c>
      <c r="S1498" s="8">
        <f t="shared" si="331"/>
        <v>109</v>
      </c>
      <c r="T1498" s="8">
        <f>(Table1[[#This Row],[Total Cholesterol (mg/dL)]]+Table1[[#This Row],[HDL (mg/dL)2]]+Table1[[#This Row],[Estimated LDL (mg/dL)2]])*5</f>
        <v>2170</v>
      </c>
      <c r="U1498" s="8">
        <f>IF(O1498="",Table1[[#This Row],[Estimated LDL (mg/dL)2]]+Table1[[#This Row],[HDL (mg/dL)2]]+(Table1[[#This Row],[Triglycerides]]/5),O1498)</f>
        <v>243</v>
      </c>
      <c r="V1498">
        <v>157</v>
      </c>
      <c r="W1498" s="8">
        <f t="shared" si="332"/>
        <v>157</v>
      </c>
      <c r="X1498" t="str">
        <f t="shared" si="333"/>
        <v>Diabetes</v>
      </c>
      <c r="Y1498" t="s">
        <v>23</v>
      </c>
      <c r="Z1498" t="s">
        <v>22</v>
      </c>
      <c r="AA1498" t="s">
        <v>37</v>
      </c>
      <c r="AB1498" s="3" t="s">
        <v>1249</v>
      </c>
      <c r="AC1498">
        <v>171</v>
      </c>
      <c r="AD1498" s="3" t="str">
        <f t="shared" si="334"/>
        <v>171</v>
      </c>
      <c r="AE1498">
        <v>75</v>
      </c>
      <c r="AF1498" s="3" t="str">
        <f t="shared" si="335"/>
        <v>75</v>
      </c>
      <c r="AG1498" t="s">
        <v>38</v>
      </c>
      <c r="AH1498" s="3">
        <v>17.579000000000001</v>
      </c>
      <c r="AI1498" s="3">
        <f t="shared" si="336"/>
        <v>17.579000000000001</v>
      </c>
      <c r="AJ1498" t="s">
        <v>26</v>
      </c>
      <c r="AK1498" t="str">
        <f>PROPER(Table1[[#This Row],[CVD Risk Level]])</f>
        <v>Intermediary</v>
      </c>
    </row>
    <row r="1499" spans="1:37" x14ac:dyDescent="0.3">
      <c r="A1499" t="s">
        <v>20</v>
      </c>
      <c r="B1499">
        <v>33</v>
      </c>
      <c r="C1499" s="8">
        <f t="shared" si="325"/>
        <v>33</v>
      </c>
      <c r="D1499" s="5">
        <v>117.861</v>
      </c>
      <c r="E1499" s="8">
        <f t="shared" si="326"/>
        <v>117.861</v>
      </c>
      <c r="F1499">
        <v>1.708</v>
      </c>
      <c r="G1499" s="3">
        <f t="shared" si="327"/>
        <v>1.708</v>
      </c>
      <c r="H1499">
        <v>29.817</v>
      </c>
      <c r="I1499" s="5">
        <f t="shared" si="323"/>
        <v>29.817</v>
      </c>
      <c r="J1499" s="16" t="str">
        <f t="shared" si="328"/>
        <v>Overweight</v>
      </c>
      <c r="K1499">
        <v>79.664000000000001</v>
      </c>
      <c r="L1499">
        <v>0.46600000000000003</v>
      </c>
      <c r="M1499" s="11">
        <f t="shared" si="324"/>
        <v>0.46600000000000003</v>
      </c>
      <c r="N1499" s="5">
        <f t="shared" si="329"/>
        <v>79.664000000000001</v>
      </c>
      <c r="O1499">
        <v>154</v>
      </c>
      <c r="P1499">
        <v>66</v>
      </c>
      <c r="Q1499" s="8">
        <f t="shared" si="330"/>
        <v>66</v>
      </c>
      <c r="R1499" s="8">
        <v>58</v>
      </c>
      <c r="S1499" s="8">
        <f t="shared" si="331"/>
        <v>58</v>
      </c>
      <c r="T1499" s="8">
        <f>(Table1[[#This Row],[Total Cholesterol (mg/dL)]]+Table1[[#This Row],[HDL (mg/dL)2]]+Table1[[#This Row],[Estimated LDL (mg/dL)2]])*5</f>
        <v>1390</v>
      </c>
      <c r="U1499" s="8">
        <f>IF(O1499="",Table1[[#This Row],[Estimated LDL (mg/dL)2]]+Table1[[#This Row],[HDL (mg/dL)2]]+(Table1[[#This Row],[Triglycerides]]/5),O1499)</f>
        <v>154</v>
      </c>
      <c r="V1499">
        <v>96</v>
      </c>
      <c r="W1499" s="8">
        <f t="shared" si="332"/>
        <v>96</v>
      </c>
      <c r="X1499" t="str">
        <f t="shared" si="333"/>
        <v>Normal</v>
      </c>
      <c r="Y1499" t="s">
        <v>22</v>
      </c>
      <c r="Z1499" t="s">
        <v>22</v>
      </c>
      <c r="AA1499" t="s">
        <v>37</v>
      </c>
      <c r="AB1499" s="3" t="s">
        <v>1267</v>
      </c>
      <c r="AC1499">
        <v>105</v>
      </c>
      <c r="AD1499" s="3" t="str">
        <f t="shared" si="334"/>
        <v>105</v>
      </c>
      <c r="AE1499">
        <v>118</v>
      </c>
      <c r="AF1499" s="3" t="str">
        <f t="shared" si="335"/>
        <v>118</v>
      </c>
      <c r="AG1499" t="s">
        <v>38</v>
      </c>
      <c r="AH1499" s="3">
        <v>14.292999999999999</v>
      </c>
      <c r="AI1499" s="3">
        <f t="shared" si="336"/>
        <v>14.292999999999999</v>
      </c>
      <c r="AJ1499" t="s">
        <v>26</v>
      </c>
      <c r="AK1499" t="str">
        <f>PROPER(Table1[[#This Row],[CVD Risk Level]])</f>
        <v>Intermediary</v>
      </c>
    </row>
    <row r="1500" spans="1:37" x14ac:dyDescent="0.3">
      <c r="A1500" t="s">
        <v>20</v>
      </c>
      <c r="B1500">
        <v>27</v>
      </c>
      <c r="C1500" s="8">
        <f t="shared" si="325"/>
        <v>27</v>
      </c>
      <c r="D1500" s="5">
        <v>107.306</v>
      </c>
      <c r="E1500" s="8">
        <f t="shared" si="326"/>
        <v>107.306</v>
      </c>
      <c r="F1500">
        <v>1.516</v>
      </c>
      <c r="G1500" s="3">
        <f t="shared" si="327"/>
        <v>1.516</v>
      </c>
      <c r="H1500">
        <v>33.795999999999999</v>
      </c>
      <c r="I1500" s="5">
        <f t="shared" si="323"/>
        <v>33.795999999999999</v>
      </c>
      <c r="J1500" s="16" t="str">
        <f t="shared" si="328"/>
        <v>Obese</v>
      </c>
      <c r="K1500">
        <v>97.468999999999994</v>
      </c>
      <c r="L1500">
        <v>0.64300000000000002</v>
      </c>
      <c r="M1500" s="11">
        <f t="shared" si="324"/>
        <v>0.64300000000000002</v>
      </c>
      <c r="N1500" s="5">
        <f t="shared" si="329"/>
        <v>97.468999999999994</v>
      </c>
      <c r="O1500">
        <v>234</v>
      </c>
      <c r="P1500">
        <v>55</v>
      </c>
      <c r="Q1500" s="8">
        <f t="shared" si="330"/>
        <v>55</v>
      </c>
      <c r="R1500" s="8">
        <v>149</v>
      </c>
      <c r="S1500" s="8">
        <f t="shared" si="331"/>
        <v>149</v>
      </c>
      <c r="T1500" s="8">
        <f>(Table1[[#This Row],[Total Cholesterol (mg/dL)]]+Table1[[#This Row],[HDL (mg/dL)2]]+Table1[[#This Row],[Estimated LDL (mg/dL)2]])*5</f>
        <v>2190</v>
      </c>
      <c r="U1500" s="8">
        <f>IF(O1500="",Table1[[#This Row],[Estimated LDL (mg/dL)2]]+Table1[[#This Row],[HDL (mg/dL)2]]+(Table1[[#This Row],[Triglycerides]]/5),O1500)</f>
        <v>234</v>
      </c>
      <c r="V1500">
        <v>160</v>
      </c>
      <c r="W1500" s="8">
        <f t="shared" si="332"/>
        <v>160</v>
      </c>
      <c r="X1500" t="str">
        <f t="shared" si="333"/>
        <v>Diabetes</v>
      </c>
      <c r="Y1500" t="s">
        <v>23</v>
      </c>
      <c r="Z1500" t="s">
        <v>23</v>
      </c>
      <c r="AA1500" t="s">
        <v>37</v>
      </c>
      <c r="AB1500" s="3" t="s">
        <v>505</v>
      </c>
      <c r="AC1500">
        <v>144</v>
      </c>
      <c r="AD1500" s="3" t="str">
        <f t="shared" si="334"/>
        <v>144</v>
      </c>
      <c r="AE1500">
        <v>86</v>
      </c>
      <c r="AF1500" s="3" t="str">
        <f t="shared" si="335"/>
        <v>86</v>
      </c>
      <c r="AG1500" t="s">
        <v>29</v>
      </c>
      <c r="AI1500" s="3">
        <f t="shared" si="336"/>
        <v>16.960925291295425</v>
      </c>
      <c r="AJ1500" t="s">
        <v>52</v>
      </c>
      <c r="AK1500" t="str">
        <f>PROPER(Table1[[#This Row],[CVD Risk Level]])</f>
        <v>Low</v>
      </c>
    </row>
    <row r="1501" spans="1:37" x14ac:dyDescent="0.3">
      <c r="A1501" t="s">
        <v>20</v>
      </c>
      <c r="B1501">
        <v>59</v>
      </c>
      <c r="C1501" s="8">
        <f t="shared" si="325"/>
        <v>59</v>
      </c>
      <c r="D1501" s="5">
        <v>91.667000000000002</v>
      </c>
      <c r="E1501" s="8">
        <f t="shared" si="326"/>
        <v>91.667000000000002</v>
      </c>
      <c r="F1501">
        <v>1.5109999999999999</v>
      </c>
      <c r="G1501" s="3">
        <f t="shared" si="327"/>
        <v>1.5109999999999999</v>
      </c>
      <c r="H1501">
        <v>21.881</v>
      </c>
      <c r="I1501" s="5">
        <f t="shared" si="323"/>
        <v>21.881</v>
      </c>
      <c r="J1501" s="16" t="str">
        <f t="shared" si="328"/>
        <v>Normal</v>
      </c>
      <c r="K1501">
        <v>80.91</v>
      </c>
      <c r="L1501">
        <v>0.53500000000000003</v>
      </c>
      <c r="M1501" s="11">
        <f t="shared" si="324"/>
        <v>0.53500000000000003</v>
      </c>
      <c r="N1501" s="5">
        <f t="shared" si="329"/>
        <v>80.91</v>
      </c>
      <c r="O1501">
        <v>231</v>
      </c>
      <c r="P1501">
        <v>76</v>
      </c>
      <c r="Q1501" s="8">
        <f t="shared" si="330"/>
        <v>76</v>
      </c>
      <c r="R1501" s="8">
        <v>125</v>
      </c>
      <c r="S1501" s="8">
        <f t="shared" si="331"/>
        <v>125</v>
      </c>
      <c r="T1501" s="8">
        <f>(Table1[[#This Row],[Total Cholesterol (mg/dL)]]+Table1[[#This Row],[HDL (mg/dL)2]]+Table1[[#This Row],[Estimated LDL (mg/dL)2]])*5</f>
        <v>2160</v>
      </c>
      <c r="U1501" s="8">
        <f>IF(O1501="",Table1[[#This Row],[Estimated LDL (mg/dL)2]]+Table1[[#This Row],[HDL (mg/dL)2]]+(Table1[[#This Row],[Triglycerides]]/5),O1501)</f>
        <v>231</v>
      </c>
      <c r="V1501">
        <v>183</v>
      </c>
      <c r="W1501" s="8">
        <f t="shared" si="332"/>
        <v>183</v>
      </c>
      <c r="X1501" t="str">
        <f t="shared" si="333"/>
        <v>Diabetes</v>
      </c>
      <c r="Y1501" t="s">
        <v>22</v>
      </c>
      <c r="Z1501" t="s">
        <v>22</v>
      </c>
      <c r="AA1501" t="s">
        <v>24</v>
      </c>
      <c r="AB1501" s="3" t="s">
        <v>1268</v>
      </c>
      <c r="AC1501">
        <v>144</v>
      </c>
      <c r="AD1501" s="3" t="str">
        <f t="shared" si="334"/>
        <v>144</v>
      </c>
      <c r="AE1501">
        <v>64</v>
      </c>
      <c r="AF1501" s="3" t="str">
        <f t="shared" si="335"/>
        <v>64</v>
      </c>
      <c r="AG1501" t="s">
        <v>38</v>
      </c>
      <c r="AH1501" s="3">
        <v>16.196000000000002</v>
      </c>
      <c r="AI1501" s="3">
        <f t="shared" si="336"/>
        <v>16.196000000000002</v>
      </c>
      <c r="AJ1501" t="s">
        <v>30</v>
      </c>
      <c r="AK1501" t="str">
        <f>PROPER(Table1[[#This Row],[CVD Risk Level]])</f>
        <v>High</v>
      </c>
    </row>
    <row r="1502" spans="1:37" x14ac:dyDescent="0.3">
      <c r="A1502" t="s">
        <v>31</v>
      </c>
      <c r="B1502">
        <v>25</v>
      </c>
      <c r="C1502" s="8">
        <f t="shared" si="325"/>
        <v>25</v>
      </c>
      <c r="D1502" s="5">
        <v>65.382999999999996</v>
      </c>
      <c r="E1502" s="8">
        <f t="shared" si="326"/>
        <v>65.382999999999996</v>
      </c>
      <c r="F1502">
        <v>1.504</v>
      </c>
      <c r="G1502" s="3">
        <f t="shared" si="327"/>
        <v>1.504</v>
      </c>
      <c r="H1502">
        <v>28.513000000000002</v>
      </c>
      <c r="I1502" s="5">
        <f t="shared" si="323"/>
        <v>28.513000000000002</v>
      </c>
      <c r="J1502" s="16" t="str">
        <f t="shared" si="328"/>
        <v>Overweight</v>
      </c>
      <c r="K1502">
        <v>73.721999999999994</v>
      </c>
      <c r="L1502">
        <v>0.49</v>
      </c>
      <c r="M1502" s="11">
        <f t="shared" si="324"/>
        <v>0.49</v>
      </c>
      <c r="N1502" s="5">
        <f t="shared" si="329"/>
        <v>73.721999999999994</v>
      </c>
      <c r="O1502">
        <v>123</v>
      </c>
      <c r="P1502">
        <v>48</v>
      </c>
      <c r="Q1502" s="8">
        <f t="shared" si="330"/>
        <v>48</v>
      </c>
      <c r="R1502" s="8">
        <v>45</v>
      </c>
      <c r="S1502" s="8">
        <f t="shared" si="331"/>
        <v>45</v>
      </c>
      <c r="T1502" s="8">
        <f>(Table1[[#This Row],[Total Cholesterol (mg/dL)]]+Table1[[#This Row],[HDL (mg/dL)2]]+Table1[[#This Row],[Estimated LDL (mg/dL)2]])*5</f>
        <v>1080</v>
      </c>
      <c r="U1502" s="8">
        <f>IF(O1502="",Table1[[#This Row],[Estimated LDL (mg/dL)2]]+Table1[[#This Row],[HDL (mg/dL)2]]+(Table1[[#This Row],[Triglycerides]]/5),O1502)</f>
        <v>123</v>
      </c>
      <c r="V1502">
        <v>137</v>
      </c>
      <c r="W1502" s="8">
        <f t="shared" si="332"/>
        <v>137</v>
      </c>
      <c r="X1502" t="str">
        <f t="shared" si="333"/>
        <v>Diabetes</v>
      </c>
      <c r="Y1502" t="s">
        <v>23</v>
      </c>
      <c r="Z1502" t="s">
        <v>23</v>
      </c>
      <c r="AA1502" t="s">
        <v>28</v>
      </c>
      <c r="AB1502" s="3" t="s">
        <v>637</v>
      </c>
      <c r="AC1502">
        <v>98</v>
      </c>
      <c r="AD1502" s="3" t="str">
        <f t="shared" si="334"/>
        <v>98</v>
      </c>
      <c r="AE1502">
        <v>85</v>
      </c>
      <c r="AF1502" s="3" t="str">
        <f t="shared" si="335"/>
        <v>85</v>
      </c>
      <c r="AG1502" t="s">
        <v>29</v>
      </c>
      <c r="AH1502" s="3">
        <v>15.063000000000001</v>
      </c>
      <c r="AI1502" s="3">
        <f t="shared" si="336"/>
        <v>15.063000000000001</v>
      </c>
      <c r="AJ1502" t="s">
        <v>30</v>
      </c>
      <c r="AK1502" t="str">
        <f>PROPER(Table1[[#This Row],[CVD Risk Level]])</f>
        <v>High</v>
      </c>
    </row>
    <row r="1503" spans="1:37" x14ac:dyDescent="0.3">
      <c r="A1503" t="s">
        <v>31</v>
      </c>
      <c r="B1503">
        <v>68</v>
      </c>
      <c r="C1503" s="8">
        <f t="shared" si="325"/>
        <v>68</v>
      </c>
      <c r="D1503" s="5">
        <v>113.78700000000001</v>
      </c>
      <c r="E1503" s="8">
        <f t="shared" si="326"/>
        <v>113.78700000000001</v>
      </c>
      <c r="F1503">
        <v>1.9730000000000001</v>
      </c>
      <c r="G1503" s="3">
        <f t="shared" si="327"/>
        <v>1.9730000000000001</v>
      </c>
      <c r="H1503">
        <v>38.463999999999999</v>
      </c>
      <c r="I1503" s="5">
        <f t="shared" si="323"/>
        <v>38.463999999999999</v>
      </c>
      <c r="J1503" s="16" t="str">
        <f t="shared" si="328"/>
        <v>Obese</v>
      </c>
      <c r="K1503">
        <v>71.033000000000001</v>
      </c>
      <c r="L1503">
        <v>0.36</v>
      </c>
      <c r="M1503" s="11">
        <f t="shared" si="324"/>
        <v>0.36</v>
      </c>
      <c r="N1503" s="5">
        <f t="shared" si="329"/>
        <v>71.033000000000001</v>
      </c>
      <c r="O1503">
        <v>236</v>
      </c>
      <c r="P1503">
        <v>77</v>
      </c>
      <c r="Q1503" s="8">
        <f t="shared" si="330"/>
        <v>77</v>
      </c>
      <c r="R1503" s="8">
        <v>129</v>
      </c>
      <c r="S1503" s="8">
        <f t="shared" si="331"/>
        <v>129</v>
      </c>
      <c r="T1503" s="8">
        <f>(Table1[[#This Row],[Total Cholesterol (mg/dL)]]+Table1[[#This Row],[HDL (mg/dL)2]]+Table1[[#This Row],[Estimated LDL (mg/dL)2]])*5</f>
        <v>2210</v>
      </c>
      <c r="U1503" s="8">
        <f>IF(O1503="",Table1[[#This Row],[Estimated LDL (mg/dL)2]]+Table1[[#This Row],[HDL (mg/dL)2]]+(Table1[[#This Row],[Triglycerides]]/5),O1503)</f>
        <v>236</v>
      </c>
      <c r="V1503">
        <v>71</v>
      </c>
      <c r="W1503" s="8">
        <f t="shared" si="332"/>
        <v>71</v>
      </c>
      <c r="X1503" t="str">
        <f t="shared" si="333"/>
        <v>Normal</v>
      </c>
      <c r="Y1503" t="s">
        <v>23</v>
      </c>
      <c r="Z1503" t="s">
        <v>22</v>
      </c>
      <c r="AA1503" t="s">
        <v>37</v>
      </c>
      <c r="AB1503" s="3" t="s">
        <v>1173</v>
      </c>
      <c r="AC1503">
        <v>166</v>
      </c>
      <c r="AD1503" s="3" t="str">
        <f t="shared" si="334"/>
        <v>166</v>
      </c>
      <c r="AE1503">
        <v>96</v>
      </c>
      <c r="AF1503" s="3" t="str">
        <f t="shared" si="335"/>
        <v>96</v>
      </c>
      <c r="AG1503" t="s">
        <v>38</v>
      </c>
      <c r="AH1503" s="3">
        <v>20.713000000000001</v>
      </c>
      <c r="AI1503" s="3">
        <f t="shared" si="336"/>
        <v>20.713000000000001</v>
      </c>
      <c r="AJ1503" t="s">
        <v>52</v>
      </c>
      <c r="AK1503" t="str">
        <f>PROPER(Table1[[#This Row],[CVD Risk Level]])</f>
        <v>Low</v>
      </c>
    </row>
    <row r="1504" spans="1:37" x14ac:dyDescent="0.3">
      <c r="A1504" t="s">
        <v>20</v>
      </c>
      <c r="B1504">
        <v>52</v>
      </c>
      <c r="C1504" s="8">
        <f t="shared" si="325"/>
        <v>52</v>
      </c>
      <c r="D1504" s="5">
        <v>80.429000000000002</v>
      </c>
      <c r="E1504" s="8">
        <f t="shared" si="326"/>
        <v>80.429000000000002</v>
      </c>
      <c r="F1504">
        <v>1.7430000000000001</v>
      </c>
      <c r="G1504" s="3">
        <f t="shared" si="327"/>
        <v>1.7430000000000001</v>
      </c>
      <c r="H1504">
        <v>28.158999999999999</v>
      </c>
      <c r="I1504" s="5">
        <f t="shared" si="323"/>
        <v>28.158999999999999</v>
      </c>
      <c r="J1504" s="16" t="str">
        <f t="shared" si="328"/>
        <v>Overweight</v>
      </c>
      <c r="K1504">
        <v>82.548000000000002</v>
      </c>
      <c r="L1504">
        <v>0.47399999999999998</v>
      </c>
      <c r="M1504" s="11">
        <f t="shared" si="324"/>
        <v>0.47399999999999998</v>
      </c>
      <c r="N1504" s="5">
        <f t="shared" si="329"/>
        <v>82.548000000000002</v>
      </c>
      <c r="O1504">
        <v>191</v>
      </c>
      <c r="P1504">
        <v>44</v>
      </c>
      <c r="Q1504" s="8">
        <f t="shared" si="330"/>
        <v>44</v>
      </c>
      <c r="R1504" s="8">
        <v>117</v>
      </c>
      <c r="S1504" s="8">
        <f t="shared" si="331"/>
        <v>117</v>
      </c>
      <c r="T1504" s="8">
        <f>(Table1[[#This Row],[Total Cholesterol (mg/dL)]]+Table1[[#This Row],[HDL (mg/dL)2]]+Table1[[#This Row],[Estimated LDL (mg/dL)2]])*5</f>
        <v>1760</v>
      </c>
      <c r="U1504" s="8">
        <f>IF(O1504="",Table1[[#This Row],[Estimated LDL (mg/dL)2]]+Table1[[#This Row],[HDL (mg/dL)2]]+(Table1[[#This Row],[Triglycerides]]/5),O1504)</f>
        <v>191</v>
      </c>
      <c r="V1504">
        <v>165</v>
      </c>
      <c r="W1504" s="8">
        <f t="shared" si="332"/>
        <v>165</v>
      </c>
      <c r="X1504" t="str">
        <f t="shared" si="333"/>
        <v>Diabetes</v>
      </c>
      <c r="Y1504" t="s">
        <v>22</v>
      </c>
      <c r="Z1504" t="s">
        <v>23</v>
      </c>
      <c r="AA1504" t="s">
        <v>24</v>
      </c>
      <c r="AB1504" s="3" t="s">
        <v>1269</v>
      </c>
      <c r="AC1504">
        <v>146</v>
      </c>
      <c r="AD1504" s="3" t="str">
        <f t="shared" si="334"/>
        <v>146</v>
      </c>
      <c r="AF1504" s="3" t="str">
        <f t="shared" si="335"/>
        <v>75</v>
      </c>
      <c r="AG1504" t="s">
        <v>38</v>
      </c>
      <c r="AH1504" s="3">
        <v>18.751999999999999</v>
      </c>
      <c r="AI1504" s="3">
        <f t="shared" si="336"/>
        <v>18.751999999999999</v>
      </c>
      <c r="AJ1504" t="s">
        <v>30</v>
      </c>
      <c r="AK1504" t="str">
        <f>PROPER(Table1[[#This Row],[CVD Risk Level]])</f>
        <v>High</v>
      </c>
    </row>
    <row r="1505" spans="1:37" x14ac:dyDescent="0.3">
      <c r="A1505" t="s">
        <v>31</v>
      </c>
      <c r="B1505">
        <v>63</v>
      </c>
      <c r="C1505" s="8">
        <f t="shared" si="325"/>
        <v>63</v>
      </c>
      <c r="D1505" s="5">
        <v>110.797</v>
      </c>
      <c r="E1505" s="8">
        <f t="shared" si="326"/>
        <v>110.797</v>
      </c>
      <c r="F1505">
        <v>1.768</v>
      </c>
      <c r="G1505" s="3">
        <f t="shared" si="327"/>
        <v>1.768</v>
      </c>
      <c r="H1505">
        <v>32.759</v>
      </c>
      <c r="I1505" s="5">
        <f t="shared" si="323"/>
        <v>32.759</v>
      </c>
      <c r="J1505" s="16" t="str">
        <f t="shared" si="328"/>
        <v>Obese</v>
      </c>
      <c r="K1505">
        <v>84.932000000000002</v>
      </c>
      <c r="L1505">
        <v>0.48</v>
      </c>
      <c r="M1505" s="11">
        <f t="shared" si="324"/>
        <v>0.48</v>
      </c>
      <c r="N1505" s="5">
        <f t="shared" si="329"/>
        <v>84.932000000000002</v>
      </c>
      <c r="O1505">
        <v>192</v>
      </c>
      <c r="P1505">
        <v>69</v>
      </c>
      <c r="Q1505" s="8">
        <f t="shared" si="330"/>
        <v>69</v>
      </c>
      <c r="R1505" s="8">
        <v>93</v>
      </c>
      <c r="S1505" s="8">
        <f t="shared" si="331"/>
        <v>93</v>
      </c>
      <c r="T1505" s="8">
        <f>(Table1[[#This Row],[Total Cholesterol (mg/dL)]]+Table1[[#This Row],[HDL (mg/dL)2]]+Table1[[#This Row],[Estimated LDL (mg/dL)2]])*5</f>
        <v>1770</v>
      </c>
      <c r="U1505" s="8">
        <f>IF(O1505="",Table1[[#This Row],[Estimated LDL (mg/dL)2]]+Table1[[#This Row],[HDL (mg/dL)2]]+(Table1[[#This Row],[Triglycerides]]/5),O1505)</f>
        <v>192</v>
      </c>
      <c r="V1505">
        <v>146</v>
      </c>
      <c r="W1505" s="8">
        <f t="shared" si="332"/>
        <v>146</v>
      </c>
      <c r="X1505" t="str">
        <f t="shared" si="333"/>
        <v>Diabetes</v>
      </c>
      <c r="Y1505" t="s">
        <v>23</v>
      </c>
      <c r="Z1505" t="s">
        <v>23</v>
      </c>
      <c r="AA1505" t="s">
        <v>24</v>
      </c>
      <c r="AB1505" s="3" t="s">
        <v>1270</v>
      </c>
      <c r="AC1505">
        <v>149</v>
      </c>
      <c r="AD1505" s="3" t="str">
        <f t="shared" si="334"/>
        <v>149</v>
      </c>
      <c r="AE1505">
        <v>80</v>
      </c>
      <c r="AF1505" s="3" t="str">
        <f t="shared" si="335"/>
        <v>80</v>
      </c>
      <c r="AG1505" t="s">
        <v>29</v>
      </c>
      <c r="AH1505" s="3">
        <v>19.841999999999999</v>
      </c>
      <c r="AI1505" s="3">
        <f t="shared" si="336"/>
        <v>19.841999999999999</v>
      </c>
      <c r="AJ1505" t="s">
        <v>26</v>
      </c>
      <c r="AK1505" t="str">
        <f>PROPER(Table1[[#This Row],[CVD Risk Level]])</f>
        <v>Intermediary</v>
      </c>
    </row>
    <row r="1506" spans="1:37" x14ac:dyDescent="0.3">
      <c r="A1506" t="s">
        <v>20</v>
      </c>
      <c r="B1506">
        <v>65</v>
      </c>
      <c r="C1506" s="8">
        <f t="shared" si="325"/>
        <v>65</v>
      </c>
      <c r="D1506" s="5">
        <v>85.447999999999993</v>
      </c>
      <c r="E1506" s="8">
        <f t="shared" si="326"/>
        <v>85.447999999999993</v>
      </c>
      <c r="F1506">
        <v>1.548</v>
      </c>
      <c r="G1506" s="3">
        <f t="shared" si="327"/>
        <v>1.548</v>
      </c>
      <c r="H1506">
        <v>29.422999999999998</v>
      </c>
      <c r="I1506" s="5">
        <f t="shared" si="323"/>
        <v>29.422999999999998</v>
      </c>
      <c r="J1506" s="16" t="str">
        <f t="shared" si="328"/>
        <v>Overweight</v>
      </c>
      <c r="K1506">
        <v>105.4</v>
      </c>
      <c r="L1506">
        <v>0.68100000000000005</v>
      </c>
      <c r="M1506" s="11">
        <f t="shared" si="324"/>
        <v>0.68100000000000005</v>
      </c>
      <c r="N1506" s="5">
        <f t="shared" si="329"/>
        <v>105.4</v>
      </c>
      <c r="O1506">
        <v>289</v>
      </c>
      <c r="P1506">
        <v>76</v>
      </c>
      <c r="Q1506" s="8">
        <f t="shared" si="330"/>
        <v>76</v>
      </c>
      <c r="R1506" s="8">
        <v>183</v>
      </c>
      <c r="S1506" s="8">
        <f t="shared" si="331"/>
        <v>183</v>
      </c>
      <c r="T1506" s="8">
        <f>(Table1[[#This Row],[Total Cholesterol (mg/dL)]]+Table1[[#This Row],[HDL (mg/dL)2]]+Table1[[#This Row],[Estimated LDL (mg/dL)2]])*5</f>
        <v>2740</v>
      </c>
      <c r="U1506" s="8">
        <f>IF(O1506="",Table1[[#This Row],[Estimated LDL (mg/dL)2]]+Table1[[#This Row],[HDL (mg/dL)2]]+(Table1[[#This Row],[Triglycerides]]/5),O1506)</f>
        <v>289</v>
      </c>
      <c r="V1506">
        <v>158</v>
      </c>
      <c r="W1506" s="8">
        <f t="shared" si="332"/>
        <v>158</v>
      </c>
      <c r="X1506" t="str">
        <f t="shared" si="333"/>
        <v>Diabetes</v>
      </c>
      <c r="Y1506" t="s">
        <v>23</v>
      </c>
      <c r="Z1506" t="s">
        <v>22</v>
      </c>
      <c r="AA1506" t="s">
        <v>37</v>
      </c>
      <c r="AB1506" s="3" t="s">
        <v>1271</v>
      </c>
      <c r="AC1506">
        <v>165</v>
      </c>
      <c r="AD1506" s="3" t="str">
        <f t="shared" si="334"/>
        <v>165</v>
      </c>
      <c r="AE1506">
        <v>86</v>
      </c>
      <c r="AF1506" s="3" t="str">
        <f t="shared" si="335"/>
        <v>86</v>
      </c>
      <c r="AG1506" t="s">
        <v>29</v>
      </c>
      <c r="AH1506" s="3">
        <v>19.914999999999999</v>
      </c>
      <c r="AI1506" s="3">
        <f t="shared" si="336"/>
        <v>19.914999999999999</v>
      </c>
      <c r="AJ1506" t="s">
        <v>26</v>
      </c>
      <c r="AK1506" t="str">
        <f>PROPER(Table1[[#This Row],[CVD Risk Level]])</f>
        <v>Intermediary</v>
      </c>
    </row>
    <row r="1507" spans="1:37" x14ac:dyDescent="0.3">
      <c r="A1507" t="s">
        <v>20</v>
      </c>
      <c r="B1507">
        <v>62</v>
      </c>
      <c r="C1507" s="8">
        <f t="shared" si="325"/>
        <v>62</v>
      </c>
      <c r="D1507" s="5">
        <v>67.028999999999996</v>
      </c>
      <c r="E1507" s="8">
        <f t="shared" si="326"/>
        <v>67.028999999999996</v>
      </c>
      <c r="F1507">
        <v>1.6240000000000001</v>
      </c>
      <c r="G1507" s="3">
        <f t="shared" si="327"/>
        <v>1.6240000000000001</v>
      </c>
      <c r="H1507">
        <v>21.408000000000001</v>
      </c>
      <c r="I1507" s="5">
        <f t="shared" si="323"/>
        <v>21.408000000000001</v>
      </c>
      <c r="J1507" s="16" t="str">
        <f t="shared" si="328"/>
        <v>Normal</v>
      </c>
      <c r="K1507">
        <v>114.26900000000001</v>
      </c>
      <c r="L1507">
        <v>0.70399999999999996</v>
      </c>
      <c r="M1507" s="11">
        <f t="shared" si="324"/>
        <v>0.70399999999999996</v>
      </c>
      <c r="N1507" s="5">
        <f t="shared" si="329"/>
        <v>114.26900000000001</v>
      </c>
      <c r="O1507">
        <v>290</v>
      </c>
      <c r="P1507">
        <v>49</v>
      </c>
      <c r="Q1507" s="8">
        <f t="shared" si="330"/>
        <v>49</v>
      </c>
      <c r="R1507" s="8">
        <v>211</v>
      </c>
      <c r="S1507" s="8">
        <f t="shared" si="331"/>
        <v>211</v>
      </c>
      <c r="T1507" s="8">
        <f>(Table1[[#This Row],[Total Cholesterol (mg/dL)]]+Table1[[#This Row],[HDL (mg/dL)2]]+Table1[[#This Row],[Estimated LDL (mg/dL)2]])*5</f>
        <v>2750</v>
      </c>
      <c r="U1507" s="8">
        <f>IF(O1507="",Table1[[#This Row],[Estimated LDL (mg/dL)2]]+Table1[[#This Row],[HDL (mg/dL)2]]+(Table1[[#This Row],[Triglycerides]]/5),O1507)</f>
        <v>290</v>
      </c>
      <c r="V1507">
        <v>187</v>
      </c>
      <c r="W1507" s="8">
        <f t="shared" si="332"/>
        <v>187</v>
      </c>
      <c r="X1507" t="str">
        <f t="shared" si="333"/>
        <v>Diabetes</v>
      </c>
      <c r="Y1507" t="s">
        <v>22</v>
      </c>
      <c r="Z1507" t="s">
        <v>23</v>
      </c>
      <c r="AA1507" t="s">
        <v>24</v>
      </c>
      <c r="AB1507" s="3" t="s">
        <v>1272</v>
      </c>
      <c r="AC1507">
        <v>124</v>
      </c>
      <c r="AD1507" s="3" t="str">
        <f t="shared" si="334"/>
        <v>124</v>
      </c>
      <c r="AE1507">
        <v>86</v>
      </c>
      <c r="AF1507" s="3" t="str">
        <f t="shared" si="335"/>
        <v>86</v>
      </c>
      <c r="AG1507" t="s">
        <v>29</v>
      </c>
      <c r="AI1507" s="3">
        <f t="shared" si="336"/>
        <v>16.960925291295425</v>
      </c>
      <c r="AJ1507" t="s">
        <v>52</v>
      </c>
      <c r="AK1507" t="str">
        <f>PROPER(Table1[[#This Row],[CVD Risk Level]])</f>
        <v>Low</v>
      </c>
    </row>
    <row r="1508" spans="1:37" x14ac:dyDescent="0.3">
      <c r="A1508" t="s">
        <v>20</v>
      </c>
      <c r="B1508">
        <v>30</v>
      </c>
      <c r="C1508" s="8">
        <f t="shared" si="325"/>
        <v>30</v>
      </c>
      <c r="D1508" s="5">
        <v>61.326000000000001</v>
      </c>
      <c r="E1508" s="8">
        <f t="shared" si="326"/>
        <v>61.326000000000001</v>
      </c>
      <c r="F1508">
        <v>1.651</v>
      </c>
      <c r="G1508" s="3">
        <f t="shared" si="327"/>
        <v>1.651</v>
      </c>
      <c r="H1508">
        <v>33.648000000000003</v>
      </c>
      <c r="I1508" s="5">
        <f t="shared" si="323"/>
        <v>33.648000000000003</v>
      </c>
      <c r="J1508" s="16" t="str">
        <f t="shared" si="328"/>
        <v>Obese</v>
      </c>
      <c r="K1508">
        <v>90.445999999999998</v>
      </c>
      <c r="L1508">
        <v>0.54800000000000004</v>
      </c>
      <c r="M1508" s="11">
        <f t="shared" si="324"/>
        <v>0.54800000000000004</v>
      </c>
      <c r="N1508" s="5">
        <f t="shared" si="329"/>
        <v>90.445999999999998</v>
      </c>
      <c r="O1508">
        <v>116</v>
      </c>
      <c r="P1508">
        <v>89</v>
      </c>
      <c r="Q1508" s="8">
        <f t="shared" si="330"/>
        <v>89</v>
      </c>
      <c r="R1508" s="8">
        <v>-3</v>
      </c>
      <c r="S1508" s="8">
        <f t="shared" si="331"/>
        <v>109</v>
      </c>
      <c r="T1508" s="8">
        <f>(Table1[[#This Row],[Total Cholesterol (mg/dL)]]+Table1[[#This Row],[HDL (mg/dL)2]]+Table1[[#This Row],[Estimated LDL (mg/dL)2]])*5</f>
        <v>1570</v>
      </c>
      <c r="U1508" s="8">
        <f>IF(O1508="",Table1[[#This Row],[Estimated LDL (mg/dL)2]]+Table1[[#This Row],[HDL (mg/dL)2]]+(Table1[[#This Row],[Triglycerides]]/5),O1508)</f>
        <v>116</v>
      </c>
      <c r="V1508">
        <v>139</v>
      </c>
      <c r="W1508" s="8">
        <f t="shared" si="332"/>
        <v>139</v>
      </c>
      <c r="X1508" t="str">
        <f t="shared" si="333"/>
        <v>Diabetes</v>
      </c>
      <c r="Y1508" t="s">
        <v>23</v>
      </c>
      <c r="Z1508" t="s">
        <v>23</v>
      </c>
      <c r="AA1508" t="s">
        <v>37</v>
      </c>
      <c r="AB1508" s="3" t="s">
        <v>1273</v>
      </c>
      <c r="AC1508">
        <v>142</v>
      </c>
      <c r="AD1508" s="3" t="str">
        <f t="shared" si="334"/>
        <v>142</v>
      </c>
      <c r="AE1508">
        <v>114</v>
      </c>
      <c r="AF1508" s="3" t="str">
        <f t="shared" si="335"/>
        <v>114</v>
      </c>
      <c r="AG1508" t="s">
        <v>38</v>
      </c>
      <c r="AH1508" s="3">
        <v>18.149999999999999</v>
      </c>
      <c r="AI1508" s="3">
        <f t="shared" si="336"/>
        <v>18.149999999999999</v>
      </c>
      <c r="AJ1508" t="s">
        <v>26</v>
      </c>
      <c r="AK1508" t="str">
        <f>PROPER(Table1[[#This Row],[CVD Risk Level]])</f>
        <v>Intermediary</v>
      </c>
    </row>
    <row r="1509" spans="1:37" x14ac:dyDescent="0.3">
      <c r="A1509" t="s">
        <v>20</v>
      </c>
      <c r="B1509">
        <v>44</v>
      </c>
      <c r="C1509" s="8">
        <f t="shared" si="325"/>
        <v>44</v>
      </c>
      <c r="D1509" s="5">
        <v>52.875999999999998</v>
      </c>
      <c r="E1509" s="8">
        <f t="shared" si="326"/>
        <v>52.875999999999998</v>
      </c>
      <c r="F1509">
        <v>1.728</v>
      </c>
      <c r="G1509" s="3">
        <f t="shared" si="327"/>
        <v>1.728</v>
      </c>
      <c r="H1509">
        <v>27.186</v>
      </c>
      <c r="I1509" s="5">
        <f t="shared" si="323"/>
        <v>27.186</v>
      </c>
      <c r="J1509" s="16" t="str">
        <f t="shared" si="328"/>
        <v>Overweight</v>
      </c>
      <c r="K1509">
        <v>77.87</v>
      </c>
      <c r="L1509">
        <v>0.45100000000000001</v>
      </c>
      <c r="M1509" s="11">
        <f t="shared" si="324"/>
        <v>0.45100000000000001</v>
      </c>
      <c r="N1509" s="5">
        <f t="shared" si="329"/>
        <v>77.87</v>
      </c>
      <c r="O1509">
        <v>242</v>
      </c>
      <c r="P1509">
        <v>77</v>
      </c>
      <c r="Q1509" s="8">
        <f t="shared" si="330"/>
        <v>77</v>
      </c>
      <c r="R1509" s="8">
        <v>135</v>
      </c>
      <c r="S1509" s="8">
        <f t="shared" si="331"/>
        <v>135</v>
      </c>
      <c r="T1509" s="8">
        <f>(Table1[[#This Row],[Total Cholesterol (mg/dL)]]+Table1[[#This Row],[HDL (mg/dL)2]]+Table1[[#This Row],[Estimated LDL (mg/dL)2]])*5</f>
        <v>2270</v>
      </c>
      <c r="U1509" s="8">
        <f>IF(O1509="",Table1[[#This Row],[Estimated LDL (mg/dL)2]]+Table1[[#This Row],[HDL (mg/dL)2]]+(Table1[[#This Row],[Triglycerides]]/5),O1509)</f>
        <v>242</v>
      </c>
      <c r="V1509">
        <v>164</v>
      </c>
      <c r="W1509" s="8">
        <f t="shared" si="332"/>
        <v>164</v>
      </c>
      <c r="X1509" t="str">
        <f t="shared" si="333"/>
        <v>Diabetes</v>
      </c>
      <c r="Y1509" t="s">
        <v>23</v>
      </c>
      <c r="Z1509" t="s">
        <v>22</v>
      </c>
      <c r="AA1509" t="s">
        <v>37</v>
      </c>
      <c r="AB1509" s="3" t="s">
        <v>1274</v>
      </c>
      <c r="AC1509">
        <v>95</v>
      </c>
      <c r="AD1509" s="3" t="str">
        <f t="shared" si="334"/>
        <v>95</v>
      </c>
      <c r="AE1509">
        <v>65</v>
      </c>
      <c r="AF1509" s="3" t="str">
        <f t="shared" si="335"/>
        <v>65</v>
      </c>
      <c r="AG1509" t="s">
        <v>33</v>
      </c>
      <c r="AI1509" s="3">
        <f t="shared" si="336"/>
        <v>16.960925291295425</v>
      </c>
      <c r="AJ1509" t="s">
        <v>52</v>
      </c>
      <c r="AK1509" t="str">
        <f>PROPER(Table1[[#This Row],[CVD Risk Level]])</f>
        <v>Low</v>
      </c>
    </row>
    <row r="1510" spans="1:37" x14ac:dyDescent="0.3">
      <c r="A1510" t="s">
        <v>20</v>
      </c>
      <c r="B1510">
        <v>43</v>
      </c>
      <c r="C1510" s="8">
        <f t="shared" si="325"/>
        <v>43</v>
      </c>
      <c r="D1510" s="5">
        <v>68.89</v>
      </c>
      <c r="E1510" s="8">
        <f t="shared" si="326"/>
        <v>68.89</v>
      </c>
      <c r="F1510">
        <v>1.6870000000000001</v>
      </c>
      <c r="G1510" s="3">
        <f t="shared" si="327"/>
        <v>1.6870000000000001</v>
      </c>
      <c r="H1510">
        <v>37.372</v>
      </c>
      <c r="I1510" s="5">
        <f t="shared" si="323"/>
        <v>37.372</v>
      </c>
      <c r="J1510" s="16" t="str">
        <f t="shared" si="328"/>
        <v>Obese</v>
      </c>
      <c r="K1510">
        <v>98.302000000000007</v>
      </c>
      <c r="L1510">
        <v>0.58299999999999996</v>
      </c>
      <c r="M1510" s="11">
        <f t="shared" si="324"/>
        <v>0.58299999999999996</v>
      </c>
      <c r="N1510" s="5">
        <f t="shared" si="329"/>
        <v>98.302000000000007</v>
      </c>
      <c r="O1510">
        <v>276</v>
      </c>
      <c r="P1510">
        <v>63</v>
      </c>
      <c r="Q1510" s="8">
        <f t="shared" si="330"/>
        <v>63</v>
      </c>
      <c r="R1510" s="8">
        <v>183</v>
      </c>
      <c r="S1510" s="8">
        <f t="shared" si="331"/>
        <v>183</v>
      </c>
      <c r="T1510" s="8">
        <f>(Table1[[#This Row],[Total Cholesterol (mg/dL)]]+Table1[[#This Row],[HDL (mg/dL)2]]+Table1[[#This Row],[Estimated LDL (mg/dL)2]])*5</f>
        <v>2610</v>
      </c>
      <c r="U1510" s="8">
        <f>IF(O1510="",Table1[[#This Row],[Estimated LDL (mg/dL)2]]+Table1[[#This Row],[HDL (mg/dL)2]]+(Table1[[#This Row],[Triglycerides]]/5),O1510)</f>
        <v>276</v>
      </c>
      <c r="V1510">
        <v>115</v>
      </c>
      <c r="W1510" s="8">
        <f t="shared" si="332"/>
        <v>115</v>
      </c>
      <c r="X1510" t="str">
        <f t="shared" si="333"/>
        <v>Prediabetes</v>
      </c>
      <c r="Y1510" t="s">
        <v>23</v>
      </c>
      <c r="Z1510" t="s">
        <v>23</v>
      </c>
      <c r="AA1510" t="s">
        <v>37</v>
      </c>
      <c r="AB1510" s="3" t="s">
        <v>1275</v>
      </c>
      <c r="AC1510">
        <v>164</v>
      </c>
      <c r="AD1510" s="3" t="str">
        <f t="shared" si="334"/>
        <v>164</v>
      </c>
      <c r="AE1510">
        <v>101</v>
      </c>
      <c r="AF1510" s="3" t="str">
        <f t="shared" si="335"/>
        <v>101</v>
      </c>
      <c r="AG1510" t="s">
        <v>38</v>
      </c>
      <c r="AH1510" s="3">
        <v>23.193999999999999</v>
      </c>
      <c r="AI1510" s="3">
        <f t="shared" si="336"/>
        <v>23.193999999999999</v>
      </c>
      <c r="AJ1510" t="s">
        <v>26</v>
      </c>
      <c r="AK1510" t="str">
        <f>PROPER(Table1[[#This Row],[CVD Risk Level]])</f>
        <v>Intermediary</v>
      </c>
    </row>
    <row r="1511" spans="1:37" x14ac:dyDescent="0.3">
      <c r="A1511" t="s">
        <v>20</v>
      </c>
      <c r="B1511">
        <v>48</v>
      </c>
      <c r="C1511" s="8">
        <f t="shared" si="325"/>
        <v>48</v>
      </c>
      <c r="D1511" s="5">
        <v>117.474</v>
      </c>
      <c r="E1511" s="8">
        <f t="shared" si="326"/>
        <v>117.474</v>
      </c>
      <c r="F1511">
        <v>1.587</v>
      </c>
      <c r="G1511" s="3">
        <f t="shared" si="327"/>
        <v>1.587</v>
      </c>
      <c r="H1511">
        <v>25.332999999999998</v>
      </c>
      <c r="I1511" s="5">
        <f t="shared" si="323"/>
        <v>25.332999999999998</v>
      </c>
      <c r="J1511" s="16" t="str">
        <f t="shared" si="328"/>
        <v>Overweight</v>
      </c>
      <c r="K1511">
        <v>99.730999999999995</v>
      </c>
      <c r="L1511">
        <v>0.628</v>
      </c>
      <c r="M1511" s="11">
        <f t="shared" si="324"/>
        <v>0.628</v>
      </c>
      <c r="N1511" s="5">
        <f t="shared" si="329"/>
        <v>99.730999999999995</v>
      </c>
      <c r="O1511">
        <v>176</v>
      </c>
      <c r="P1511">
        <v>51</v>
      </c>
      <c r="Q1511" s="8">
        <f t="shared" si="330"/>
        <v>51</v>
      </c>
      <c r="R1511" s="8">
        <v>95</v>
      </c>
      <c r="S1511" s="8">
        <f t="shared" si="331"/>
        <v>95</v>
      </c>
      <c r="T1511" s="8">
        <f>(Table1[[#This Row],[Total Cholesterol (mg/dL)]]+Table1[[#This Row],[HDL (mg/dL)2]]+Table1[[#This Row],[Estimated LDL (mg/dL)2]])*5</f>
        <v>1610</v>
      </c>
      <c r="U1511" s="8">
        <f>IF(O1511="",Table1[[#This Row],[Estimated LDL (mg/dL)2]]+Table1[[#This Row],[HDL (mg/dL)2]]+(Table1[[#This Row],[Triglycerides]]/5),O1511)</f>
        <v>176</v>
      </c>
      <c r="V1511">
        <v>139</v>
      </c>
      <c r="W1511" s="8">
        <f t="shared" si="332"/>
        <v>139</v>
      </c>
      <c r="X1511" t="str">
        <f t="shared" si="333"/>
        <v>Diabetes</v>
      </c>
      <c r="Y1511" t="s">
        <v>22</v>
      </c>
      <c r="Z1511" t="s">
        <v>22</v>
      </c>
      <c r="AA1511" t="s">
        <v>37</v>
      </c>
      <c r="AB1511" s="3" t="s">
        <v>1276</v>
      </c>
      <c r="AD1511" s="3" t="str">
        <f t="shared" si="334"/>
        <v>129</v>
      </c>
      <c r="AE1511">
        <v>101</v>
      </c>
      <c r="AF1511" s="3" t="str">
        <f t="shared" si="335"/>
        <v>101</v>
      </c>
      <c r="AG1511" t="s">
        <v>38</v>
      </c>
      <c r="AH1511" s="3">
        <v>15.037000000000001</v>
      </c>
      <c r="AI1511" s="3">
        <f t="shared" si="336"/>
        <v>15.037000000000001</v>
      </c>
      <c r="AJ1511" t="s">
        <v>26</v>
      </c>
      <c r="AK1511" t="str">
        <f>PROPER(Table1[[#This Row],[CVD Risk Level]])</f>
        <v>Intermediary</v>
      </c>
    </row>
    <row r="1512" spans="1:37" x14ac:dyDescent="0.3">
      <c r="A1512" t="s">
        <v>31</v>
      </c>
      <c r="B1512">
        <v>46</v>
      </c>
      <c r="C1512" s="8">
        <f t="shared" si="325"/>
        <v>46</v>
      </c>
      <c r="D1512" s="5">
        <v>90.748000000000005</v>
      </c>
      <c r="E1512" s="8">
        <f t="shared" si="326"/>
        <v>90.748000000000005</v>
      </c>
      <c r="F1512">
        <v>1.7050000000000001</v>
      </c>
      <c r="G1512" s="3">
        <f t="shared" si="327"/>
        <v>1.7050000000000001</v>
      </c>
      <c r="H1512">
        <v>30.866</v>
      </c>
      <c r="I1512" s="5">
        <f t="shared" si="323"/>
        <v>30.866</v>
      </c>
      <c r="J1512" s="16" t="str">
        <f t="shared" si="328"/>
        <v>Obese</v>
      </c>
      <c r="K1512">
        <v>108.768</v>
      </c>
      <c r="L1512">
        <v>0.63800000000000001</v>
      </c>
      <c r="M1512" s="11">
        <f t="shared" si="324"/>
        <v>0.63800000000000001</v>
      </c>
      <c r="N1512" s="5">
        <f t="shared" si="329"/>
        <v>108.768</v>
      </c>
      <c r="O1512">
        <v>198</v>
      </c>
      <c r="P1512">
        <v>51</v>
      </c>
      <c r="Q1512" s="8">
        <f t="shared" si="330"/>
        <v>51</v>
      </c>
      <c r="R1512" s="8">
        <v>117</v>
      </c>
      <c r="S1512" s="8">
        <f t="shared" si="331"/>
        <v>117</v>
      </c>
      <c r="T1512" s="8">
        <f>(Table1[[#This Row],[Total Cholesterol (mg/dL)]]+Table1[[#This Row],[HDL (mg/dL)2]]+Table1[[#This Row],[Estimated LDL (mg/dL)2]])*5</f>
        <v>1830</v>
      </c>
      <c r="U1512" s="8">
        <f>IF(O1512="",Table1[[#This Row],[Estimated LDL (mg/dL)2]]+Table1[[#This Row],[HDL (mg/dL)2]]+(Table1[[#This Row],[Triglycerides]]/5),O1512)</f>
        <v>198</v>
      </c>
      <c r="V1512">
        <v>157</v>
      </c>
      <c r="W1512" s="8">
        <f t="shared" si="332"/>
        <v>157</v>
      </c>
      <c r="X1512" t="str">
        <f t="shared" si="333"/>
        <v>Diabetes</v>
      </c>
      <c r="Y1512" t="s">
        <v>22</v>
      </c>
      <c r="Z1512" t="s">
        <v>22</v>
      </c>
      <c r="AA1512" t="s">
        <v>37</v>
      </c>
      <c r="AB1512" s="3" t="s">
        <v>1277</v>
      </c>
      <c r="AC1512">
        <v>105</v>
      </c>
      <c r="AD1512" s="3" t="str">
        <f t="shared" si="334"/>
        <v>105</v>
      </c>
      <c r="AE1512">
        <v>113</v>
      </c>
      <c r="AF1512" s="3" t="str">
        <f t="shared" si="335"/>
        <v>113</v>
      </c>
      <c r="AG1512" t="s">
        <v>38</v>
      </c>
      <c r="AH1512" s="3">
        <v>15.382999999999999</v>
      </c>
      <c r="AI1512" s="3">
        <f t="shared" si="336"/>
        <v>15.382999999999999</v>
      </c>
      <c r="AJ1512" t="s">
        <v>26</v>
      </c>
      <c r="AK1512" t="str">
        <f>PROPER(Table1[[#This Row],[CVD Risk Level]])</f>
        <v>Intermediary</v>
      </c>
    </row>
    <row r="1513" spans="1:37" x14ac:dyDescent="0.3">
      <c r="A1513" t="s">
        <v>31</v>
      </c>
      <c r="B1513">
        <v>47</v>
      </c>
      <c r="C1513" s="8">
        <f t="shared" si="325"/>
        <v>47</v>
      </c>
      <c r="D1513" s="5">
        <v>89.86</v>
      </c>
      <c r="E1513" s="8">
        <f t="shared" si="326"/>
        <v>89.86</v>
      </c>
      <c r="F1513">
        <v>1.65</v>
      </c>
      <c r="G1513" s="3">
        <f t="shared" si="327"/>
        <v>1.65</v>
      </c>
      <c r="I1513" s="5">
        <f t="shared" si="323"/>
        <v>33.006427915518827</v>
      </c>
      <c r="J1513" s="16" t="str">
        <f t="shared" si="328"/>
        <v>Obese</v>
      </c>
      <c r="K1513">
        <v>98.950999999999993</v>
      </c>
      <c r="L1513">
        <v>0.6</v>
      </c>
      <c r="M1513" s="11">
        <f t="shared" si="324"/>
        <v>0.6</v>
      </c>
      <c r="N1513" s="5">
        <f t="shared" si="329"/>
        <v>98.950999999999993</v>
      </c>
      <c r="P1513">
        <v>33</v>
      </c>
      <c r="Q1513" s="8">
        <f t="shared" si="330"/>
        <v>33</v>
      </c>
      <c r="R1513" s="8">
        <v>209</v>
      </c>
      <c r="S1513" s="8">
        <f t="shared" si="331"/>
        <v>209</v>
      </c>
      <c r="T1513" s="8">
        <f>(Table1[[#This Row],[Total Cholesterol (mg/dL)]]+Table1[[#This Row],[HDL (mg/dL)2]]+Table1[[#This Row],[Estimated LDL (mg/dL)2]])*5</f>
        <v>1210</v>
      </c>
      <c r="U1513" s="8">
        <f>IF(O1513="",Table1[[#This Row],[Estimated LDL (mg/dL)2]]+Table1[[#This Row],[HDL (mg/dL)2]]+(Table1[[#This Row],[Triglycerides]]/5),O1513)</f>
        <v>484</v>
      </c>
      <c r="V1513">
        <v>186</v>
      </c>
      <c r="W1513" s="8">
        <f t="shared" si="332"/>
        <v>186</v>
      </c>
      <c r="X1513" t="str">
        <f t="shared" si="333"/>
        <v>Diabetes</v>
      </c>
      <c r="Y1513" t="s">
        <v>22</v>
      </c>
      <c r="Z1513" t="s">
        <v>23</v>
      </c>
      <c r="AA1513" t="s">
        <v>24</v>
      </c>
      <c r="AB1513" s="3" t="s">
        <v>1278</v>
      </c>
      <c r="AC1513">
        <v>142</v>
      </c>
      <c r="AD1513" s="3" t="str">
        <f t="shared" si="334"/>
        <v>142</v>
      </c>
      <c r="AE1513">
        <v>118</v>
      </c>
      <c r="AF1513" s="3" t="str">
        <f t="shared" si="335"/>
        <v>118</v>
      </c>
      <c r="AG1513" t="s">
        <v>38</v>
      </c>
      <c r="AH1513" s="3">
        <v>18.942</v>
      </c>
      <c r="AI1513" s="3">
        <f t="shared" si="336"/>
        <v>18.942</v>
      </c>
      <c r="AJ1513" t="s">
        <v>30</v>
      </c>
      <c r="AK1513" t="str">
        <f>PROPER(Table1[[#This Row],[CVD Risk Level]])</f>
        <v>High</v>
      </c>
    </row>
    <row r="1514" spans="1:37" x14ac:dyDescent="0.3">
      <c r="A1514" t="s">
        <v>31</v>
      </c>
      <c r="B1514">
        <v>32</v>
      </c>
      <c r="C1514" s="8">
        <f t="shared" si="325"/>
        <v>32</v>
      </c>
      <c r="D1514" s="5">
        <v>59.01</v>
      </c>
      <c r="E1514" s="8">
        <f t="shared" si="326"/>
        <v>59.01</v>
      </c>
      <c r="F1514">
        <v>1.51</v>
      </c>
      <c r="G1514" s="3">
        <f t="shared" si="327"/>
        <v>1.51</v>
      </c>
      <c r="H1514">
        <v>32.725000000000001</v>
      </c>
      <c r="I1514" s="5">
        <f t="shared" si="323"/>
        <v>32.725000000000001</v>
      </c>
      <c r="J1514" s="16" t="str">
        <f t="shared" si="328"/>
        <v>Obese</v>
      </c>
      <c r="K1514">
        <v>111.55500000000001</v>
      </c>
      <c r="L1514">
        <v>0.73899999999999999</v>
      </c>
      <c r="M1514" s="11">
        <f t="shared" si="324"/>
        <v>0.73899999999999999</v>
      </c>
      <c r="N1514" s="5">
        <f t="shared" si="329"/>
        <v>111.55500000000001</v>
      </c>
      <c r="O1514">
        <v>298</v>
      </c>
      <c r="P1514">
        <v>49</v>
      </c>
      <c r="Q1514" s="8">
        <f t="shared" si="330"/>
        <v>49</v>
      </c>
      <c r="R1514" s="8">
        <v>219</v>
      </c>
      <c r="S1514" s="8">
        <f t="shared" si="331"/>
        <v>219</v>
      </c>
      <c r="T1514" s="8">
        <f>(Table1[[#This Row],[Total Cholesterol (mg/dL)]]+Table1[[#This Row],[HDL (mg/dL)2]]+Table1[[#This Row],[Estimated LDL (mg/dL)2]])*5</f>
        <v>2830</v>
      </c>
      <c r="U1514" s="8">
        <f>IF(O1514="",Table1[[#This Row],[Estimated LDL (mg/dL)2]]+Table1[[#This Row],[HDL (mg/dL)2]]+(Table1[[#This Row],[Triglycerides]]/5),O1514)</f>
        <v>298</v>
      </c>
      <c r="V1514">
        <v>96</v>
      </c>
      <c r="W1514" s="8">
        <f t="shared" si="332"/>
        <v>96</v>
      </c>
      <c r="X1514" t="str">
        <f t="shared" si="333"/>
        <v>Normal</v>
      </c>
      <c r="Y1514" t="s">
        <v>22</v>
      </c>
      <c r="Z1514" t="s">
        <v>23</v>
      </c>
      <c r="AA1514" t="s">
        <v>28</v>
      </c>
      <c r="AB1514" s="3" t="s">
        <v>1279</v>
      </c>
      <c r="AC1514">
        <v>169</v>
      </c>
      <c r="AD1514" s="3" t="str">
        <f t="shared" si="334"/>
        <v>169</v>
      </c>
      <c r="AE1514">
        <v>65</v>
      </c>
      <c r="AF1514" s="3" t="str">
        <f t="shared" si="335"/>
        <v>65</v>
      </c>
      <c r="AG1514" t="s">
        <v>38</v>
      </c>
      <c r="AH1514" s="3">
        <v>22.954999999999998</v>
      </c>
      <c r="AI1514" s="3">
        <f t="shared" si="336"/>
        <v>22.954999999999998</v>
      </c>
      <c r="AJ1514" t="s">
        <v>26</v>
      </c>
      <c r="AK1514" t="str">
        <f>PROPER(Table1[[#This Row],[CVD Risk Level]])</f>
        <v>Intermediary</v>
      </c>
    </row>
    <row r="1515" spans="1:37" x14ac:dyDescent="0.3">
      <c r="A1515" t="s">
        <v>20</v>
      </c>
      <c r="B1515">
        <v>48</v>
      </c>
      <c r="C1515" s="8">
        <f t="shared" si="325"/>
        <v>48</v>
      </c>
      <c r="D1515" s="5">
        <v>99.706999999999994</v>
      </c>
      <c r="E1515" s="8">
        <f t="shared" si="326"/>
        <v>99.706999999999994</v>
      </c>
      <c r="F1515">
        <v>1.968</v>
      </c>
      <c r="G1515" s="3">
        <f t="shared" si="327"/>
        <v>1.968</v>
      </c>
      <c r="H1515">
        <v>30.760999999999999</v>
      </c>
      <c r="I1515" s="5">
        <f t="shared" si="323"/>
        <v>30.760999999999999</v>
      </c>
      <c r="J1515" s="16" t="str">
        <f t="shared" si="328"/>
        <v>Obese</v>
      </c>
      <c r="L1515">
        <v>0.44600000000000001</v>
      </c>
      <c r="M1515" s="11">
        <f t="shared" si="324"/>
        <v>0.44600000000000001</v>
      </c>
      <c r="N1515" s="5">
        <f t="shared" si="329"/>
        <v>87.772800000000004</v>
      </c>
      <c r="O1515">
        <v>224</v>
      </c>
      <c r="P1515">
        <v>46</v>
      </c>
      <c r="Q1515" s="8">
        <f t="shared" si="330"/>
        <v>46</v>
      </c>
      <c r="R1515" s="8">
        <v>148</v>
      </c>
      <c r="S1515" s="8">
        <f t="shared" si="331"/>
        <v>148</v>
      </c>
      <c r="T1515" s="8">
        <f>(Table1[[#This Row],[Total Cholesterol (mg/dL)]]+Table1[[#This Row],[HDL (mg/dL)2]]+Table1[[#This Row],[Estimated LDL (mg/dL)2]])*5</f>
        <v>2090</v>
      </c>
      <c r="U1515" s="8">
        <f>IF(O1515="",Table1[[#This Row],[Estimated LDL (mg/dL)2]]+Table1[[#This Row],[HDL (mg/dL)2]]+(Table1[[#This Row],[Triglycerides]]/5),O1515)</f>
        <v>224</v>
      </c>
      <c r="V1515">
        <v>177</v>
      </c>
      <c r="W1515" s="8">
        <f t="shared" si="332"/>
        <v>177</v>
      </c>
      <c r="X1515" t="str">
        <f t="shared" si="333"/>
        <v>Diabetes</v>
      </c>
      <c r="Y1515" t="s">
        <v>22</v>
      </c>
      <c r="Z1515" t="s">
        <v>22</v>
      </c>
      <c r="AA1515" t="s">
        <v>37</v>
      </c>
      <c r="AB1515" s="3" t="s">
        <v>1280</v>
      </c>
      <c r="AC1515">
        <v>154</v>
      </c>
      <c r="AD1515" s="3" t="str">
        <f t="shared" si="334"/>
        <v>154</v>
      </c>
      <c r="AE1515">
        <v>87</v>
      </c>
      <c r="AF1515" s="3" t="str">
        <f t="shared" si="335"/>
        <v>87</v>
      </c>
      <c r="AG1515" t="s">
        <v>29</v>
      </c>
      <c r="AH1515" s="3">
        <v>18.332000000000001</v>
      </c>
      <c r="AI1515" s="3">
        <f t="shared" si="336"/>
        <v>18.332000000000001</v>
      </c>
      <c r="AJ1515" t="s">
        <v>26</v>
      </c>
      <c r="AK1515" t="str">
        <f>PROPER(Table1[[#This Row],[CVD Risk Level]])</f>
        <v>Intermediary</v>
      </c>
    </row>
    <row r="1516" spans="1:37" x14ac:dyDescent="0.3">
      <c r="A1516" t="s">
        <v>20</v>
      </c>
      <c r="B1516">
        <v>49</v>
      </c>
      <c r="C1516" s="8">
        <f t="shared" si="325"/>
        <v>49</v>
      </c>
      <c r="D1516" s="5">
        <v>100.23399999999999</v>
      </c>
      <c r="E1516" s="8">
        <f t="shared" si="326"/>
        <v>100.23399999999999</v>
      </c>
      <c r="F1516">
        <v>1.52</v>
      </c>
      <c r="G1516" s="3">
        <f t="shared" si="327"/>
        <v>1.52</v>
      </c>
      <c r="H1516">
        <v>30.731999999999999</v>
      </c>
      <c r="I1516" s="5">
        <f t="shared" si="323"/>
        <v>30.731999999999999</v>
      </c>
      <c r="J1516" s="16" t="str">
        <f t="shared" si="328"/>
        <v>Obese</v>
      </c>
      <c r="K1516">
        <v>115.40900000000001</v>
      </c>
      <c r="L1516">
        <v>0.75900000000000001</v>
      </c>
      <c r="M1516" s="11">
        <f t="shared" si="324"/>
        <v>0.75900000000000001</v>
      </c>
      <c r="N1516" s="5">
        <f t="shared" si="329"/>
        <v>115.40900000000001</v>
      </c>
      <c r="O1516">
        <v>127</v>
      </c>
      <c r="P1516">
        <v>61</v>
      </c>
      <c r="Q1516" s="8">
        <f t="shared" si="330"/>
        <v>61</v>
      </c>
      <c r="R1516" s="8">
        <v>36</v>
      </c>
      <c r="S1516" s="8">
        <f t="shared" si="331"/>
        <v>36</v>
      </c>
      <c r="T1516" s="8">
        <f>(Table1[[#This Row],[Total Cholesterol (mg/dL)]]+Table1[[#This Row],[HDL (mg/dL)2]]+Table1[[#This Row],[Estimated LDL (mg/dL)2]])*5</f>
        <v>1120</v>
      </c>
      <c r="U1516" s="8">
        <f>IF(O1516="",Table1[[#This Row],[Estimated LDL (mg/dL)2]]+Table1[[#This Row],[HDL (mg/dL)2]]+(Table1[[#This Row],[Triglycerides]]/5),O1516)</f>
        <v>127</v>
      </c>
      <c r="V1516">
        <v>164</v>
      </c>
      <c r="W1516" s="8">
        <f t="shared" si="332"/>
        <v>164</v>
      </c>
      <c r="X1516" t="str">
        <f t="shared" si="333"/>
        <v>Diabetes</v>
      </c>
      <c r="Y1516" t="s">
        <v>22</v>
      </c>
      <c r="Z1516" t="s">
        <v>22</v>
      </c>
      <c r="AA1516" t="s">
        <v>37</v>
      </c>
      <c r="AB1516" s="3" t="s">
        <v>1281</v>
      </c>
      <c r="AC1516">
        <v>97</v>
      </c>
      <c r="AD1516" s="3" t="str">
        <f t="shared" si="334"/>
        <v>97</v>
      </c>
      <c r="AE1516">
        <v>96</v>
      </c>
      <c r="AF1516" s="3" t="str">
        <f t="shared" si="335"/>
        <v>96</v>
      </c>
      <c r="AG1516" t="s">
        <v>38</v>
      </c>
      <c r="AH1516" s="3">
        <v>13.536</v>
      </c>
      <c r="AI1516" s="3">
        <f t="shared" si="336"/>
        <v>13.536</v>
      </c>
      <c r="AJ1516" t="s">
        <v>30</v>
      </c>
      <c r="AK1516" t="str">
        <f>PROPER(Table1[[#This Row],[CVD Risk Level]])</f>
        <v>High</v>
      </c>
    </row>
    <row r="1517" spans="1:37" x14ac:dyDescent="0.3">
      <c r="A1517" t="s">
        <v>31</v>
      </c>
      <c r="B1517">
        <v>30</v>
      </c>
      <c r="C1517" s="8">
        <f t="shared" si="325"/>
        <v>30</v>
      </c>
      <c r="D1517" s="5">
        <v>88.03</v>
      </c>
      <c r="E1517" s="8">
        <f t="shared" si="326"/>
        <v>88.03</v>
      </c>
      <c r="F1517">
        <v>1.9870000000000001</v>
      </c>
      <c r="G1517" s="3">
        <f t="shared" si="327"/>
        <v>1.9870000000000001</v>
      </c>
      <c r="H1517">
        <v>22.225000000000001</v>
      </c>
      <c r="I1517" s="5">
        <f t="shared" si="323"/>
        <v>22.225000000000001</v>
      </c>
      <c r="J1517" s="16" t="str">
        <f t="shared" si="328"/>
        <v>Normal</v>
      </c>
      <c r="K1517">
        <v>107.69</v>
      </c>
      <c r="M1517" s="11">
        <f t="shared" si="324"/>
        <v>0.54197282335178654</v>
      </c>
      <c r="N1517" s="5">
        <f t="shared" si="329"/>
        <v>107.69</v>
      </c>
      <c r="O1517">
        <v>204</v>
      </c>
      <c r="P1517">
        <v>50</v>
      </c>
      <c r="Q1517" s="8">
        <f t="shared" si="330"/>
        <v>50</v>
      </c>
      <c r="R1517" s="8">
        <v>124</v>
      </c>
      <c r="S1517" s="8">
        <f t="shared" si="331"/>
        <v>124</v>
      </c>
      <c r="T1517" s="8">
        <f>(Table1[[#This Row],[Total Cholesterol (mg/dL)]]+Table1[[#This Row],[HDL (mg/dL)2]]+Table1[[#This Row],[Estimated LDL (mg/dL)2]])*5</f>
        <v>1890</v>
      </c>
      <c r="U1517" s="8">
        <f>IF(O1517="",Table1[[#This Row],[Estimated LDL (mg/dL)2]]+Table1[[#This Row],[HDL (mg/dL)2]]+(Table1[[#This Row],[Triglycerides]]/5),O1517)</f>
        <v>204</v>
      </c>
      <c r="V1517">
        <v>119</v>
      </c>
      <c r="W1517" s="8">
        <f t="shared" si="332"/>
        <v>119</v>
      </c>
      <c r="X1517" t="str">
        <f t="shared" si="333"/>
        <v>Prediabetes</v>
      </c>
      <c r="Y1517" t="s">
        <v>23</v>
      </c>
      <c r="Z1517" t="s">
        <v>23</v>
      </c>
      <c r="AA1517" t="s">
        <v>37</v>
      </c>
      <c r="AB1517" s="3" t="s">
        <v>1282</v>
      </c>
      <c r="AC1517">
        <v>174</v>
      </c>
      <c r="AD1517" s="3" t="str">
        <f t="shared" si="334"/>
        <v>174</v>
      </c>
      <c r="AF1517" s="3" t="str">
        <f t="shared" si="335"/>
        <v>82</v>
      </c>
      <c r="AG1517" t="s">
        <v>29</v>
      </c>
      <c r="AH1517" s="3">
        <v>19.225000000000001</v>
      </c>
      <c r="AI1517" s="3">
        <f t="shared" si="336"/>
        <v>19.225000000000001</v>
      </c>
      <c r="AJ1517" t="s">
        <v>30</v>
      </c>
      <c r="AK1517" t="str">
        <f>PROPER(Table1[[#This Row],[CVD Risk Level]])</f>
        <v>High</v>
      </c>
    </row>
    <row r="1518" spans="1:37" x14ac:dyDescent="0.3">
      <c r="A1518" t="s">
        <v>20</v>
      </c>
      <c r="B1518">
        <v>50</v>
      </c>
      <c r="C1518" s="8">
        <f t="shared" si="325"/>
        <v>50</v>
      </c>
      <c r="D1518" s="5">
        <v>95.67</v>
      </c>
      <c r="E1518" s="8">
        <f t="shared" si="326"/>
        <v>95.67</v>
      </c>
      <c r="F1518">
        <v>1.631</v>
      </c>
      <c r="G1518" s="3">
        <f t="shared" si="327"/>
        <v>1.631</v>
      </c>
      <c r="H1518">
        <v>37.857999999999997</v>
      </c>
      <c r="I1518" s="5">
        <f t="shared" si="323"/>
        <v>37.857999999999997</v>
      </c>
      <c r="J1518" s="16" t="str">
        <f t="shared" si="328"/>
        <v>Obese</v>
      </c>
      <c r="K1518">
        <v>70.183999999999997</v>
      </c>
      <c r="L1518">
        <v>0.43</v>
      </c>
      <c r="M1518" s="11">
        <f t="shared" si="324"/>
        <v>0.43</v>
      </c>
      <c r="N1518" s="5">
        <f t="shared" si="329"/>
        <v>70.183999999999997</v>
      </c>
      <c r="O1518">
        <v>166</v>
      </c>
      <c r="P1518">
        <v>44</v>
      </c>
      <c r="Q1518" s="8">
        <f t="shared" si="330"/>
        <v>44</v>
      </c>
      <c r="R1518" s="8">
        <v>92</v>
      </c>
      <c r="S1518" s="8">
        <f t="shared" si="331"/>
        <v>92</v>
      </c>
      <c r="T1518" s="8">
        <f>(Table1[[#This Row],[Total Cholesterol (mg/dL)]]+Table1[[#This Row],[HDL (mg/dL)2]]+Table1[[#This Row],[Estimated LDL (mg/dL)2]])*5</f>
        <v>1510</v>
      </c>
      <c r="U1518" s="8">
        <f>IF(O1518="",Table1[[#This Row],[Estimated LDL (mg/dL)2]]+Table1[[#This Row],[HDL (mg/dL)2]]+(Table1[[#This Row],[Triglycerides]]/5),O1518)</f>
        <v>166</v>
      </c>
      <c r="V1518">
        <v>77</v>
      </c>
      <c r="W1518" s="8">
        <f t="shared" si="332"/>
        <v>77</v>
      </c>
      <c r="X1518" t="str">
        <f t="shared" si="333"/>
        <v>Normal</v>
      </c>
      <c r="Y1518" t="s">
        <v>22</v>
      </c>
      <c r="Z1518" t="s">
        <v>22</v>
      </c>
      <c r="AA1518" t="s">
        <v>28</v>
      </c>
      <c r="AB1518" s="3" t="s">
        <v>345</v>
      </c>
      <c r="AC1518">
        <v>116</v>
      </c>
      <c r="AD1518" s="3" t="str">
        <f t="shared" si="334"/>
        <v>116</v>
      </c>
      <c r="AE1518">
        <v>72</v>
      </c>
      <c r="AF1518" s="3" t="str">
        <f t="shared" si="335"/>
        <v>72</v>
      </c>
      <c r="AG1518" t="s">
        <v>33</v>
      </c>
      <c r="AH1518" s="3">
        <v>16.692</v>
      </c>
      <c r="AI1518" s="3">
        <f t="shared" si="336"/>
        <v>16.692</v>
      </c>
      <c r="AJ1518" t="s">
        <v>52</v>
      </c>
      <c r="AK1518" t="str">
        <f>PROPER(Table1[[#This Row],[CVD Risk Level]])</f>
        <v>Low</v>
      </c>
    </row>
    <row r="1519" spans="1:37" x14ac:dyDescent="0.3">
      <c r="A1519" t="s">
        <v>20</v>
      </c>
      <c r="B1519">
        <v>69</v>
      </c>
      <c r="C1519" s="8">
        <f t="shared" si="325"/>
        <v>69</v>
      </c>
      <c r="D1519" s="5">
        <v>104.387</v>
      </c>
      <c r="E1519" s="8">
        <f t="shared" si="326"/>
        <v>104.387</v>
      </c>
      <c r="G1519" s="3">
        <f t="shared" si="327"/>
        <v>2.1255445984174273</v>
      </c>
      <c r="H1519">
        <v>23.105</v>
      </c>
      <c r="I1519" s="5">
        <f t="shared" si="323"/>
        <v>23.105</v>
      </c>
      <c r="J1519" s="16" t="str">
        <f t="shared" si="328"/>
        <v>Normal</v>
      </c>
      <c r="K1519">
        <v>114.05</v>
      </c>
      <c r="L1519">
        <v>0.66100000000000003</v>
      </c>
      <c r="M1519" s="11">
        <f t="shared" si="324"/>
        <v>0.66100000000000003</v>
      </c>
      <c r="N1519" s="5">
        <f t="shared" si="329"/>
        <v>114.05</v>
      </c>
      <c r="O1519">
        <v>167</v>
      </c>
      <c r="P1519">
        <v>47</v>
      </c>
      <c r="Q1519" s="8">
        <f t="shared" si="330"/>
        <v>47</v>
      </c>
      <c r="R1519" s="8">
        <v>90</v>
      </c>
      <c r="S1519" s="8">
        <f t="shared" si="331"/>
        <v>90</v>
      </c>
      <c r="T1519" s="8">
        <f>(Table1[[#This Row],[Total Cholesterol (mg/dL)]]+Table1[[#This Row],[HDL (mg/dL)2]]+Table1[[#This Row],[Estimated LDL (mg/dL)2]])*5</f>
        <v>1520</v>
      </c>
      <c r="U1519" s="8">
        <f>IF(O1519="",Table1[[#This Row],[Estimated LDL (mg/dL)2]]+Table1[[#This Row],[HDL (mg/dL)2]]+(Table1[[#This Row],[Triglycerides]]/5),O1519)</f>
        <v>167</v>
      </c>
      <c r="V1519">
        <v>188</v>
      </c>
      <c r="W1519" s="8">
        <f t="shared" si="332"/>
        <v>188</v>
      </c>
      <c r="X1519" t="str">
        <f t="shared" si="333"/>
        <v>Diabetes</v>
      </c>
      <c r="Y1519" t="s">
        <v>22</v>
      </c>
      <c r="Z1519" t="s">
        <v>22</v>
      </c>
      <c r="AA1519" t="s">
        <v>24</v>
      </c>
      <c r="AB1519" s="3" t="s">
        <v>605</v>
      </c>
      <c r="AC1519">
        <v>91</v>
      </c>
      <c r="AD1519" s="3" t="str">
        <f t="shared" si="334"/>
        <v>91</v>
      </c>
      <c r="AE1519">
        <v>69</v>
      </c>
      <c r="AF1519" s="3" t="str">
        <f t="shared" si="335"/>
        <v>69</v>
      </c>
      <c r="AG1519" t="s">
        <v>33</v>
      </c>
      <c r="AH1519" s="3">
        <v>12.510999999999999</v>
      </c>
      <c r="AI1519" s="3">
        <f t="shared" si="336"/>
        <v>12.510999999999999</v>
      </c>
      <c r="AJ1519" t="s">
        <v>30</v>
      </c>
      <c r="AK1519" t="str">
        <f>PROPER(Table1[[#This Row],[CVD Risk Level]])</f>
        <v>High</v>
      </c>
    </row>
    <row r="1520" spans="1:37" x14ac:dyDescent="0.3">
      <c r="A1520" t="s">
        <v>31</v>
      </c>
      <c r="B1520">
        <v>54</v>
      </c>
      <c r="C1520" s="8">
        <f t="shared" si="325"/>
        <v>54</v>
      </c>
      <c r="D1520" s="5">
        <v>105.97499999999999</v>
      </c>
      <c r="E1520" s="8">
        <f t="shared" si="326"/>
        <v>105.97499999999999</v>
      </c>
      <c r="G1520" s="3">
        <f t="shared" si="327"/>
        <v>2.1755780368791964</v>
      </c>
      <c r="H1520">
        <v>22.39</v>
      </c>
      <c r="I1520" s="5">
        <f t="shared" si="323"/>
        <v>22.39</v>
      </c>
      <c r="J1520" s="16" t="str">
        <f t="shared" si="328"/>
        <v>Normal</v>
      </c>
      <c r="K1520">
        <v>87.486999999999995</v>
      </c>
      <c r="L1520">
        <v>0.443</v>
      </c>
      <c r="M1520" s="11">
        <f t="shared" si="324"/>
        <v>0.443</v>
      </c>
      <c r="N1520" s="5">
        <f t="shared" si="329"/>
        <v>87.486999999999995</v>
      </c>
      <c r="O1520">
        <v>254</v>
      </c>
      <c r="P1520">
        <v>75</v>
      </c>
      <c r="Q1520" s="8">
        <f t="shared" si="330"/>
        <v>75</v>
      </c>
      <c r="R1520" s="8">
        <v>149</v>
      </c>
      <c r="S1520" s="8">
        <f t="shared" si="331"/>
        <v>149</v>
      </c>
      <c r="T1520" s="8">
        <f>(Table1[[#This Row],[Total Cholesterol (mg/dL)]]+Table1[[#This Row],[HDL (mg/dL)2]]+Table1[[#This Row],[Estimated LDL (mg/dL)2]])*5</f>
        <v>2390</v>
      </c>
      <c r="U1520" s="8">
        <f>IF(O1520="",Table1[[#This Row],[Estimated LDL (mg/dL)2]]+Table1[[#This Row],[HDL (mg/dL)2]]+(Table1[[#This Row],[Triglycerides]]/5),O1520)</f>
        <v>254</v>
      </c>
      <c r="V1520">
        <v>78</v>
      </c>
      <c r="W1520" s="8">
        <f t="shared" si="332"/>
        <v>78</v>
      </c>
      <c r="X1520" t="str">
        <f t="shared" si="333"/>
        <v>Normal</v>
      </c>
      <c r="Y1520" t="s">
        <v>22</v>
      </c>
      <c r="Z1520" t="s">
        <v>22</v>
      </c>
      <c r="AA1520" t="s">
        <v>37</v>
      </c>
      <c r="AB1520" s="3" t="s">
        <v>1283</v>
      </c>
      <c r="AC1520">
        <v>175</v>
      </c>
      <c r="AD1520" s="3" t="str">
        <f t="shared" si="334"/>
        <v>175</v>
      </c>
      <c r="AE1520">
        <v>80</v>
      </c>
      <c r="AF1520" s="3" t="str">
        <f t="shared" si="335"/>
        <v>80</v>
      </c>
      <c r="AG1520" t="s">
        <v>29</v>
      </c>
      <c r="AH1520" s="3">
        <v>18.308</v>
      </c>
      <c r="AI1520" s="3">
        <f t="shared" si="336"/>
        <v>18.308</v>
      </c>
      <c r="AJ1520" t="s">
        <v>30</v>
      </c>
      <c r="AK1520" t="str">
        <f>PROPER(Table1[[#This Row],[CVD Risk Level]])</f>
        <v>High</v>
      </c>
    </row>
    <row r="1521" spans="1:37" x14ac:dyDescent="0.3">
      <c r="A1521" t="s">
        <v>20</v>
      </c>
      <c r="B1521">
        <v>53</v>
      </c>
      <c r="C1521" s="8">
        <f t="shared" si="325"/>
        <v>53</v>
      </c>
      <c r="D1521" s="5">
        <v>101.53</v>
      </c>
      <c r="E1521" s="8">
        <f t="shared" si="326"/>
        <v>101.53</v>
      </c>
      <c r="F1521">
        <v>1.7270000000000001</v>
      </c>
      <c r="G1521" s="3">
        <f t="shared" si="327"/>
        <v>1.7270000000000001</v>
      </c>
      <c r="H1521">
        <v>35.423000000000002</v>
      </c>
      <c r="I1521" s="5">
        <f t="shared" si="323"/>
        <v>35.423000000000002</v>
      </c>
      <c r="J1521" s="16" t="str">
        <f t="shared" si="328"/>
        <v>Obese</v>
      </c>
      <c r="K1521">
        <v>110.121</v>
      </c>
      <c r="L1521">
        <v>0.63800000000000001</v>
      </c>
      <c r="M1521" s="11">
        <f t="shared" si="324"/>
        <v>0.63800000000000001</v>
      </c>
      <c r="N1521" s="5">
        <f t="shared" si="329"/>
        <v>110.121</v>
      </c>
      <c r="O1521">
        <v>174</v>
      </c>
      <c r="P1521">
        <v>38</v>
      </c>
      <c r="Q1521" s="8">
        <f t="shared" si="330"/>
        <v>38</v>
      </c>
      <c r="R1521" s="8">
        <v>106</v>
      </c>
      <c r="S1521" s="8">
        <f t="shared" si="331"/>
        <v>106</v>
      </c>
      <c r="T1521" s="8">
        <f>(Table1[[#This Row],[Total Cholesterol (mg/dL)]]+Table1[[#This Row],[HDL (mg/dL)2]]+Table1[[#This Row],[Estimated LDL (mg/dL)2]])*5</f>
        <v>1590</v>
      </c>
      <c r="U1521" s="8">
        <f>IF(O1521="",Table1[[#This Row],[Estimated LDL (mg/dL)2]]+Table1[[#This Row],[HDL (mg/dL)2]]+(Table1[[#This Row],[Triglycerides]]/5),O1521)</f>
        <v>174</v>
      </c>
      <c r="V1521">
        <v>161</v>
      </c>
      <c r="W1521" s="8">
        <f t="shared" si="332"/>
        <v>161</v>
      </c>
      <c r="X1521" t="str">
        <f t="shared" si="333"/>
        <v>Diabetes</v>
      </c>
      <c r="Y1521" t="s">
        <v>23</v>
      </c>
      <c r="Z1521" t="s">
        <v>23</v>
      </c>
      <c r="AA1521" t="s">
        <v>28</v>
      </c>
      <c r="AB1521" s="3" t="s">
        <v>245</v>
      </c>
      <c r="AC1521">
        <v>143</v>
      </c>
      <c r="AD1521" s="3" t="str">
        <f t="shared" si="334"/>
        <v>143</v>
      </c>
      <c r="AE1521">
        <v>67</v>
      </c>
      <c r="AF1521" s="3" t="str">
        <f t="shared" si="335"/>
        <v>67</v>
      </c>
      <c r="AG1521" t="s">
        <v>38</v>
      </c>
      <c r="AH1521" s="3">
        <v>19.715</v>
      </c>
      <c r="AI1521" s="3">
        <f t="shared" si="336"/>
        <v>19.715</v>
      </c>
      <c r="AJ1521" t="s">
        <v>30</v>
      </c>
      <c r="AK1521" t="str">
        <f>PROPER(Table1[[#This Row],[CVD Risk Level]])</f>
        <v>High</v>
      </c>
    </row>
    <row r="1522" spans="1:37" x14ac:dyDescent="0.3">
      <c r="A1522" t="s">
        <v>31</v>
      </c>
      <c r="B1522">
        <v>29</v>
      </c>
      <c r="C1522" s="8">
        <f t="shared" si="325"/>
        <v>29</v>
      </c>
      <c r="D1522" s="5">
        <v>89.388000000000005</v>
      </c>
      <c r="E1522" s="8">
        <f t="shared" si="326"/>
        <v>89.388000000000005</v>
      </c>
      <c r="F1522">
        <v>1.716</v>
      </c>
      <c r="G1522" s="3">
        <f t="shared" si="327"/>
        <v>1.716</v>
      </c>
      <c r="H1522">
        <v>26.207999999999998</v>
      </c>
      <c r="I1522" s="5">
        <f t="shared" si="323"/>
        <v>26.207999999999998</v>
      </c>
      <c r="J1522" s="16" t="str">
        <f t="shared" si="328"/>
        <v>Overweight</v>
      </c>
      <c r="K1522">
        <v>78.400000000000006</v>
      </c>
      <c r="L1522">
        <v>0.45700000000000002</v>
      </c>
      <c r="M1522" s="11">
        <f t="shared" si="324"/>
        <v>0.45700000000000002</v>
      </c>
      <c r="N1522" s="5">
        <f t="shared" si="329"/>
        <v>78.400000000000006</v>
      </c>
      <c r="O1522">
        <v>223</v>
      </c>
      <c r="P1522">
        <v>49</v>
      </c>
      <c r="Q1522" s="8">
        <f t="shared" si="330"/>
        <v>49</v>
      </c>
      <c r="R1522" s="8">
        <v>144</v>
      </c>
      <c r="S1522" s="8">
        <f t="shared" si="331"/>
        <v>144</v>
      </c>
      <c r="T1522" s="8">
        <f>(Table1[[#This Row],[Total Cholesterol (mg/dL)]]+Table1[[#This Row],[HDL (mg/dL)2]]+Table1[[#This Row],[Estimated LDL (mg/dL)2]])*5</f>
        <v>2080</v>
      </c>
      <c r="U1522" s="8">
        <f>IF(O1522="",Table1[[#This Row],[Estimated LDL (mg/dL)2]]+Table1[[#This Row],[HDL (mg/dL)2]]+(Table1[[#This Row],[Triglycerides]]/5),O1522)</f>
        <v>223</v>
      </c>
      <c r="V1522">
        <v>94</v>
      </c>
      <c r="W1522" s="8">
        <f t="shared" si="332"/>
        <v>94</v>
      </c>
      <c r="X1522" t="str">
        <f t="shared" si="333"/>
        <v>Normal</v>
      </c>
      <c r="Y1522" t="s">
        <v>22</v>
      </c>
      <c r="Z1522" t="s">
        <v>23</v>
      </c>
      <c r="AA1522" t="s">
        <v>24</v>
      </c>
      <c r="AB1522" s="3" t="s">
        <v>1233</v>
      </c>
      <c r="AC1522">
        <v>165</v>
      </c>
      <c r="AD1522" s="3" t="str">
        <f t="shared" si="334"/>
        <v>165</v>
      </c>
      <c r="AE1522">
        <v>72</v>
      </c>
      <c r="AF1522" s="3" t="str">
        <f t="shared" si="335"/>
        <v>72</v>
      </c>
      <c r="AG1522" t="s">
        <v>38</v>
      </c>
      <c r="AH1522" s="3">
        <v>19.952000000000002</v>
      </c>
      <c r="AI1522" s="3">
        <f t="shared" si="336"/>
        <v>19.952000000000002</v>
      </c>
      <c r="AJ1522" t="s">
        <v>52</v>
      </c>
      <c r="AK1522" t="str">
        <f>PROPER(Table1[[#This Row],[CVD Risk Level]])</f>
        <v>Low</v>
      </c>
    </row>
    <row r="1523" spans="1:37" x14ac:dyDescent="0.3">
      <c r="A1523" t="s">
        <v>20</v>
      </c>
      <c r="B1523">
        <v>48</v>
      </c>
      <c r="C1523" s="8">
        <f t="shared" si="325"/>
        <v>48</v>
      </c>
      <c r="D1523" s="5">
        <v>116.29900000000001</v>
      </c>
      <c r="E1523" s="8">
        <f t="shared" si="326"/>
        <v>116.29900000000001</v>
      </c>
      <c r="F1523">
        <v>1.665</v>
      </c>
      <c r="G1523" s="3">
        <f t="shared" si="327"/>
        <v>1.665</v>
      </c>
      <c r="H1523">
        <v>23.504000000000001</v>
      </c>
      <c r="I1523" s="5">
        <f t="shared" si="323"/>
        <v>23.504000000000001</v>
      </c>
      <c r="J1523" s="16" t="str">
        <f t="shared" si="328"/>
        <v>Normal</v>
      </c>
      <c r="K1523">
        <v>107.21899999999999</v>
      </c>
      <c r="L1523">
        <v>0.64400000000000002</v>
      </c>
      <c r="M1523" s="11">
        <f t="shared" si="324"/>
        <v>0.64400000000000002</v>
      </c>
      <c r="N1523" s="5">
        <f t="shared" si="329"/>
        <v>107.21899999999999</v>
      </c>
      <c r="O1523">
        <v>216</v>
      </c>
      <c r="P1523">
        <v>82</v>
      </c>
      <c r="Q1523" s="8">
        <f t="shared" si="330"/>
        <v>82</v>
      </c>
      <c r="R1523" s="8">
        <v>104</v>
      </c>
      <c r="S1523" s="8">
        <f t="shared" si="331"/>
        <v>104</v>
      </c>
      <c r="T1523" s="8">
        <f>(Table1[[#This Row],[Total Cholesterol (mg/dL)]]+Table1[[#This Row],[HDL (mg/dL)2]]+Table1[[#This Row],[Estimated LDL (mg/dL)2]])*5</f>
        <v>2010</v>
      </c>
      <c r="U1523" s="8">
        <f>IF(O1523="",Table1[[#This Row],[Estimated LDL (mg/dL)2]]+Table1[[#This Row],[HDL (mg/dL)2]]+(Table1[[#This Row],[Triglycerides]]/5),O1523)</f>
        <v>216</v>
      </c>
      <c r="V1523">
        <v>168</v>
      </c>
      <c r="W1523" s="8">
        <f t="shared" si="332"/>
        <v>168</v>
      </c>
      <c r="X1523" t="str">
        <f t="shared" si="333"/>
        <v>Diabetes</v>
      </c>
      <c r="Y1523" t="s">
        <v>23</v>
      </c>
      <c r="Z1523" t="s">
        <v>23</v>
      </c>
      <c r="AA1523" t="s">
        <v>37</v>
      </c>
      <c r="AB1523" s="3" t="s">
        <v>199</v>
      </c>
      <c r="AC1523">
        <v>97</v>
      </c>
      <c r="AD1523" s="3" t="str">
        <f t="shared" si="334"/>
        <v>97</v>
      </c>
      <c r="AE1523">
        <v>74</v>
      </c>
      <c r="AF1523" s="3" t="str">
        <f t="shared" si="335"/>
        <v>74</v>
      </c>
      <c r="AG1523" t="s">
        <v>33</v>
      </c>
      <c r="AH1523" s="3">
        <v>15.871</v>
      </c>
      <c r="AI1523" s="3">
        <f t="shared" si="336"/>
        <v>15.871</v>
      </c>
      <c r="AJ1523" t="s">
        <v>52</v>
      </c>
      <c r="AK1523" t="str">
        <f>PROPER(Table1[[#This Row],[CVD Risk Level]])</f>
        <v>Low</v>
      </c>
    </row>
    <row r="1524" spans="1:37" x14ac:dyDescent="0.3">
      <c r="A1524" t="s">
        <v>20</v>
      </c>
      <c r="B1524">
        <v>41</v>
      </c>
      <c r="C1524" s="8">
        <f t="shared" si="325"/>
        <v>41</v>
      </c>
      <c r="D1524" s="5">
        <v>117.36499999999999</v>
      </c>
      <c r="E1524" s="8">
        <f t="shared" si="326"/>
        <v>117.36499999999999</v>
      </c>
      <c r="F1524">
        <v>1.748</v>
      </c>
      <c r="G1524" s="3">
        <f t="shared" si="327"/>
        <v>1.748</v>
      </c>
      <c r="H1524">
        <v>38.31</v>
      </c>
      <c r="I1524" s="5">
        <f t="shared" si="323"/>
        <v>38.31</v>
      </c>
      <c r="J1524" s="16" t="str">
        <f t="shared" si="328"/>
        <v>Obese</v>
      </c>
      <c r="K1524">
        <v>118.246</v>
      </c>
      <c r="L1524">
        <v>0.67600000000000005</v>
      </c>
      <c r="M1524" s="11">
        <f t="shared" si="324"/>
        <v>0.67600000000000005</v>
      </c>
      <c r="N1524" s="5">
        <f t="shared" si="329"/>
        <v>118.246</v>
      </c>
      <c r="O1524">
        <v>200</v>
      </c>
      <c r="P1524">
        <v>35</v>
      </c>
      <c r="Q1524" s="8">
        <f t="shared" si="330"/>
        <v>35</v>
      </c>
      <c r="R1524" s="8">
        <v>135</v>
      </c>
      <c r="S1524" s="8">
        <f t="shared" si="331"/>
        <v>135</v>
      </c>
      <c r="T1524" s="8">
        <f>(Table1[[#This Row],[Total Cholesterol (mg/dL)]]+Table1[[#This Row],[HDL (mg/dL)2]]+Table1[[#This Row],[Estimated LDL (mg/dL)2]])*5</f>
        <v>1850</v>
      </c>
      <c r="U1524" s="8">
        <f>IF(O1524="",Table1[[#This Row],[Estimated LDL (mg/dL)2]]+Table1[[#This Row],[HDL (mg/dL)2]]+(Table1[[#This Row],[Triglycerides]]/5),O1524)</f>
        <v>200</v>
      </c>
      <c r="V1524">
        <v>87</v>
      </c>
      <c r="W1524" s="8">
        <f t="shared" si="332"/>
        <v>87</v>
      </c>
      <c r="X1524" t="str">
        <f t="shared" si="333"/>
        <v>Normal</v>
      </c>
      <c r="Y1524" t="s">
        <v>23</v>
      </c>
      <c r="Z1524" t="s">
        <v>23</v>
      </c>
      <c r="AA1524" t="s">
        <v>28</v>
      </c>
      <c r="AB1524" s="3" t="s">
        <v>1284</v>
      </c>
      <c r="AC1524">
        <v>105</v>
      </c>
      <c r="AD1524" s="3" t="str">
        <f t="shared" si="334"/>
        <v>105</v>
      </c>
      <c r="AE1524">
        <v>87</v>
      </c>
      <c r="AF1524" s="3" t="str">
        <f t="shared" si="335"/>
        <v>87</v>
      </c>
      <c r="AG1524" t="s">
        <v>29</v>
      </c>
      <c r="AH1524" s="3">
        <v>18.911999999999999</v>
      </c>
      <c r="AI1524" s="3">
        <f t="shared" si="336"/>
        <v>18.911999999999999</v>
      </c>
      <c r="AJ1524" t="s">
        <v>26</v>
      </c>
      <c r="AK1524" t="str">
        <f>PROPER(Table1[[#This Row],[CVD Risk Level]])</f>
        <v>Intermediary</v>
      </c>
    </row>
    <row r="1525" spans="1:37" x14ac:dyDescent="0.3">
      <c r="A1525" t="s">
        <v>31</v>
      </c>
      <c r="B1525">
        <v>63</v>
      </c>
      <c r="C1525" s="8">
        <f t="shared" si="325"/>
        <v>63</v>
      </c>
      <c r="D1525" s="5">
        <v>91.625</v>
      </c>
      <c r="E1525" s="8">
        <f t="shared" si="326"/>
        <v>91.625</v>
      </c>
      <c r="F1525">
        <v>1.702</v>
      </c>
      <c r="G1525" s="3">
        <f t="shared" si="327"/>
        <v>1.702</v>
      </c>
      <c r="H1525">
        <v>35.277999999999999</v>
      </c>
      <c r="I1525" s="5">
        <f t="shared" si="323"/>
        <v>35.277999999999999</v>
      </c>
      <c r="J1525" s="16" t="str">
        <f t="shared" si="328"/>
        <v>Obese</v>
      </c>
      <c r="L1525">
        <v>0.60099999999999998</v>
      </c>
      <c r="M1525" s="11">
        <f t="shared" si="324"/>
        <v>0.60099999999999998</v>
      </c>
      <c r="N1525" s="5">
        <f t="shared" si="329"/>
        <v>102.29019999999998</v>
      </c>
      <c r="O1525">
        <v>189</v>
      </c>
      <c r="P1525">
        <v>76</v>
      </c>
      <c r="Q1525" s="8">
        <f t="shared" si="330"/>
        <v>76</v>
      </c>
      <c r="R1525" s="8">
        <v>83</v>
      </c>
      <c r="S1525" s="8">
        <f t="shared" si="331"/>
        <v>83</v>
      </c>
      <c r="T1525" s="8">
        <f>(Table1[[#This Row],[Total Cholesterol (mg/dL)]]+Table1[[#This Row],[HDL (mg/dL)2]]+Table1[[#This Row],[Estimated LDL (mg/dL)2]])*5</f>
        <v>1740</v>
      </c>
      <c r="U1525" s="8">
        <f>IF(O1525="",Table1[[#This Row],[Estimated LDL (mg/dL)2]]+Table1[[#This Row],[HDL (mg/dL)2]]+(Table1[[#This Row],[Triglycerides]]/5),O1525)</f>
        <v>189</v>
      </c>
      <c r="V1525">
        <v>153</v>
      </c>
      <c r="W1525" s="8">
        <f t="shared" si="332"/>
        <v>153</v>
      </c>
      <c r="X1525" t="str">
        <f t="shared" si="333"/>
        <v>Diabetes</v>
      </c>
      <c r="Y1525" t="s">
        <v>22</v>
      </c>
      <c r="Z1525" t="s">
        <v>23</v>
      </c>
      <c r="AA1525" t="s">
        <v>37</v>
      </c>
      <c r="AB1525" s="3" t="s">
        <v>1285</v>
      </c>
      <c r="AC1525">
        <v>162</v>
      </c>
      <c r="AD1525" s="3" t="str">
        <f t="shared" si="334"/>
        <v>162</v>
      </c>
      <c r="AE1525">
        <v>60</v>
      </c>
      <c r="AF1525" s="3" t="str">
        <f t="shared" si="335"/>
        <v>60</v>
      </c>
      <c r="AG1525" t="s">
        <v>38</v>
      </c>
      <c r="AH1525" s="3">
        <v>20.936</v>
      </c>
      <c r="AI1525" s="3">
        <f t="shared" si="336"/>
        <v>20.936</v>
      </c>
      <c r="AJ1525" t="s">
        <v>26</v>
      </c>
      <c r="AK1525" t="str">
        <f>PROPER(Table1[[#This Row],[CVD Risk Level]])</f>
        <v>Intermediary</v>
      </c>
    </row>
    <row r="1526" spans="1:37" x14ac:dyDescent="0.3">
      <c r="A1526" t="s">
        <v>20</v>
      </c>
      <c r="B1526">
        <v>40</v>
      </c>
      <c r="C1526" s="8">
        <f t="shared" si="325"/>
        <v>40</v>
      </c>
      <c r="D1526" s="5">
        <v>72.069999999999993</v>
      </c>
      <c r="E1526" s="8">
        <f t="shared" si="326"/>
        <v>72.069999999999993</v>
      </c>
      <c r="F1526">
        <v>1.889</v>
      </c>
      <c r="G1526" s="3">
        <f t="shared" si="327"/>
        <v>1.889</v>
      </c>
      <c r="I1526" s="5">
        <f t="shared" si="323"/>
        <v>20.197173965010432</v>
      </c>
      <c r="J1526" s="16" t="str">
        <f t="shared" si="328"/>
        <v>Normal</v>
      </c>
      <c r="K1526">
        <v>95.325999999999993</v>
      </c>
      <c r="L1526">
        <v>0.505</v>
      </c>
      <c r="M1526" s="11">
        <f t="shared" si="324"/>
        <v>0.505</v>
      </c>
      <c r="N1526" s="5">
        <f t="shared" si="329"/>
        <v>95.325999999999993</v>
      </c>
      <c r="O1526">
        <v>157</v>
      </c>
      <c r="P1526">
        <v>60</v>
      </c>
      <c r="Q1526" s="8">
        <f t="shared" si="330"/>
        <v>60</v>
      </c>
      <c r="R1526" s="8">
        <v>67</v>
      </c>
      <c r="S1526" s="8">
        <f t="shared" si="331"/>
        <v>67</v>
      </c>
      <c r="T1526" s="8">
        <f>(Table1[[#This Row],[Total Cholesterol (mg/dL)]]+Table1[[#This Row],[HDL (mg/dL)2]]+Table1[[#This Row],[Estimated LDL (mg/dL)2]])*5</f>
        <v>1420</v>
      </c>
      <c r="U1526" s="8">
        <f>IF(O1526="",Table1[[#This Row],[Estimated LDL (mg/dL)2]]+Table1[[#This Row],[HDL (mg/dL)2]]+(Table1[[#This Row],[Triglycerides]]/5),O1526)</f>
        <v>157</v>
      </c>
      <c r="V1526">
        <v>93</v>
      </c>
      <c r="W1526" s="8">
        <f t="shared" si="332"/>
        <v>93</v>
      </c>
      <c r="X1526" t="str">
        <f t="shared" si="333"/>
        <v>Normal</v>
      </c>
      <c r="Y1526" t="s">
        <v>22</v>
      </c>
      <c r="Z1526" t="s">
        <v>22</v>
      </c>
      <c r="AA1526" t="s">
        <v>37</v>
      </c>
      <c r="AB1526" s="3" t="s">
        <v>673</v>
      </c>
      <c r="AC1526">
        <v>119</v>
      </c>
      <c r="AD1526" s="3" t="str">
        <f t="shared" si="334"/>
        <v>119</v>
      </c>
      <c r="AE1526">
        <v>66</v>
      </c>
      <c r="AF1526" s="3" t="str">
        <f t="shared" si="335"/>
        <v>66</v>
      </c>
      <c r="AG1526" t="s">
        <v>33</v>
      </c>
      <c r="AH1526" s="3">
        <v>14.3</v>
      </c>
      <c r="AI1526" s="3">
        <f t="shared" si="336"/>
        <v>14.3</v>
      </c>
      <c r="AJ1526" t="s">
        <v>52</v>
      </c>
      <c r="AK1526" t="str">
        <f>PROPER(Table1[[#This Row],[CVD Risk Level]])</f>
        <v>Low</v>
      </c>
    </row>
    <row r="1527" spans="1:37" x14ac:dyDescent="0.3">
      <c r="A1527" t="s">
        <v>20</v>
      </c>
      <c r="B1527">
        <v>78</v>
      </c>
      <c r="C1527" s="8">
        <f t="shared" si="325"/>
        <v>78</v>
      </c>
      <c r="D1527" s="5">
        <v>85.876999999999995</v>
      </c>
      <c r="E1527" s="8">
        <f t="shared" si="326"/>
        <v>85.876999999999995</v>
      </c>
      <c r="F1527">
        <v>1.825</v>
      </c>
      <c r="G1527" s="3">
        <f t="shared" si="327"/>
        <v>1.825</v>
      </c>
      <c r="H1527">
        <v>24.425999999999998</v>
      </c>
      <c r="I1527" s="5">
        <f t="shared" si="323"/>
        <v>24.425999999999998</v>
      </c>
      <c r="J1527" s="16" t="str">
        <f t="shared" si="328"/>
        <v>Normal</v>
      </c>
      <c r="K1527">
        <v>112.34</v>
      </c>
      <c r="L1527">
        <v>0.61599999999999999</v>
      </c>
      <c r="M1527" s="11">
        <f t="shared" si="324"/>
        <v>0.61599999999999999</v>
      </c>
      <c r="N1527" s="5">
        <f t="shared" si="329"/>
        <v>112.34</v>
      </c>
      <c r="O1527">
        <v>241</v>
      </c>
      <c r="P1527">
        <v>84</v>
      </c>
      <c r="Q1527" s="8">
        <f t="shared" si="330"/>
        <v>84</v>
      </c>
      <c r="R1527" s="8">
        <v>127</v>
      </c>
      <c r="S1527" s="8">
        <f t="shared" si="331"/>
        <v>127</v>
      </c>
      <c r="T1527" s="8">
        <f>(Table1[[#This Row],[Total Cholesterol (mg/dL)]]+Table1[[#This Row],[HDL (mg/dL)2]]+Table1[[#This Row],[Estimated LDL (mg/dL)2]])*5</f>
        <v>2260</v>
      </c>
      <c r="U1527" s="8">
        <f>IF(O1527="",Table1[[#This Row],[Estimated LDL (mg/dL)2]]+Table1[[#This Row],[HDL (mg/dL)2]]+(Table1[[#This Row],[Triglycerides]]/5),O1527)</f>
        <v>241</v>
      </c>
      <c r="W1527" s="8">
        <f t="shared" si="332"/>
        <v>117.48563611491107</v>
      </c>
      <c r="X1527" t="str">
        <f t="shared" si="333"/>
        <v>Prediabetes</v>
      </c>
      <c r="Y1527" t="s">
        <v>23</v>
      </c>
      <c r="Z1527" t="s">
        <v>22</v>
      </c>
      <c r="AA1527" t="s">
        <v>24</v>
      </c>
      <c r="AB1527" s="3" t="s">
        <v>1286</v>
      </c>
      <c r="AC1527">
        <v>102</v>
      </c>
      <c r="AD1527" s="3" t="str">
        <f t="shared" si="334"/>
        <v>102</v>
      </c>
      <c r="AE1527">
        <v>115</v>
      </c>
      <c r="AF1527" s="3" t="str">
        <f t="shared" si="335"/>
        <v>115</v>
      </c>
      <c r="AG1527" t="s">
        <v>38</v>
      </c>
      <c r="AH1527" s="3">
        <v>14.805</v>
      </c>
      <c r="AI1527" s="3">
        <f t="shared" si="336"/>
        <v>14.805</v>
      </c>
      <c r="AJ1527" t="s">
        <v>26</v>
      </c>
      <c r="AK1527" t="str">
        <f>PROPER(Table1[[#This Row],[CVD Risk Level]])</f>
        <v>Intermediary</v>
      </c>
    </row>
    <row r="1528" spans="1:37" x14ac:dyDescent="0.3">
      <c r="A1528" t="s">
        <v>31</v>
      </c>
      <c r="B1528">
        <v>39</v>
      </c>
      <c r="C1528" s="8">
        <f t="shared" si="325"/>
        <v>39</v>
      </c>
      <c r="D1528" s="5">
        <v>98.626000000000005</v>
      </c>
      <c r="E1528" s="8">
        <f t="shared" si="326"/>
        <v>98.626000000000005</v>
      </c>
      <c r="F1528">
        <v>1.5209999999999999</v>
      </c>
      <c r="G1528" s="3">
        <f t="shared" si="327"/>
        <v>1.5209999999999999</v>
      </c>
      <c r="H1528">
        <v>20.055</v>
      </c>
      <c r="I1528" s="5">
        <f t="shared" si="323"/>
        <v>20.055</v>
      </c>
      <c r="J1528" s="16" t="str">
        <f t="shared" si="328"/>
        <v>Normal</v>
      </c>
      <c r="K1528">
        <v>77.192999999999998</v>
      </c>
      <c r="L1528">
        <v>0.50700000000000001</v>
      </c>
      <c r="M1528" s="11">
        <f t="shared" si="324"/>
        <v>0.50700000000000001</v>
      </c>
      <c r="N1528" s="5">
        <f t="shared" si="329"/>
        <v>77.192999999999998</v>
      </c>
      <c r="O1528">
        <v>237</v>
      </c>
      <c r="P1528">
        <v>82</v>
      </c>
      <c r="Q1528" s="8">
        <f t="shared" si="330"/>
        <v>82</v>
      </c>
      <c r="R1528" s="8">
        <v>125</v>
      </c>
      <c r="S1528" s="8">
        <f t="shared" si="331"/>
        <v>125</v>
      </c>
      <c r="T1528" s="8">
        <f>(Table1[[#This Row],[Total Cholesterol (mg/dL)]]+Table1[[#This Row],[HDL (mg/dL)2]]+Table1[[#This Row],[Estimated LDL (mg/dL)2]])*5</f>
        <v>2220</v>
      </c>
      <c r="U1528" s="8">
        <f>IF(O1528="",Table1[[#This Row],[Estimated LDL (mg/dL)2]]+Table1[[#This Row],[HDL (mg/dL)2]]+(Table1[[#This Row],[Triglycerides]]/5),O1528)</f>
        <v>237</v>
      </c>
      <c r="V1528">
        <v>147</v>
      </c>
      <c r="W1528" s="8">
        <f t="shared" si="332"/>
        <v>147</v>
      </c>
      <c r="X1528" t="str">
        <f t="shared" si="333"/>
        <v>Diabetes</v>
      </c>
      <c r="Y1528" t="s">
        <v>22</v>
      </c>
      <c r="Z1528" t="s">
        <v>23</v>
      </c>
      <c r="AA1528" t="s">
        <v>28</v>
      </c>
      <c r="AB1528" s="3" t="s">
        <v>1287</v>
      </c>
      <c r="AC1528">
        <v>150</v>
      </c>
      <c r="AD1528" s="3" t="str">
        <f t="shared" si="334"/>
        <v>150</v>
      </c>
      <c r="AE1528">
        <v>90</v>
      </c>
      <c r="AF1528" s="3" t="str">
        <f t="shared" si="335"/>
        <v>90</v>
      </c>
      <c r="AG1528" t="s">
        <v>38</v>
      </c>
      <c r="AH1528" s="3">
        <v>18.251000000000001</v>
      </c>
      <c r="AI1528" s="3">
        <f t="shared" si="336"/>
        <v>18.251000000000001</v>
      </c>
      <c r="AJ1528" t="s">
        <v>26</v>
      </c>
      <c r="AK1528" t="str">
        <f>PROPER(Table1[[#This Row],[CVD Risk Level]])</f>
        <v>Intermediary</v>
      </c>
    </row>
    <row r="1529" spans="1:37" x14ac:dyDescent="0.3">
      <c r="A1529" t="s">
        <v>31</v>
      </c>
      <c r="B1529">
        <v>71</v>
      </c>
      <c r="C1529" s="8">
        <f t="shared" si="325"/>
        <v>71</v>
      </c>
      <c r="D1529" s="5">
        <v>116.163</v>
      </c>
      <c r="E1529" s="8">
        <f t="shared" si="326"/>
        <v>116.163</v>
      </c>
      <c r="F1529">
        <v>1.841</v>
      </c>
      <c r="G1529" s="3">
        <f t="shared" si="327"/>
        <v>1.841</v>
      </c>
      <c r="H1529">
        <v>29.279</v>
      </c>
      <c r="I1529" s="5">
        <f t="shared" si="323"/>
        <v>29.279</v>
      </c>
      <c r="J1529" s="16" t="str">
        <f t="shared" si="328"/>
        <v>Overweight</v>
      </c>
      <c r="K1529">
        <v>114.197</v>
      </c>
      <c r="L1529">
        <v>0.62</v>
      </c>
      <c r="M1529" s="11">
        <f t="shared" si="324"/>
        <v>0.62</v>
      </c>
      <c r="N1529" s="5">
        <f t="shared" si="329"/>
        <v>114.197</v>
      </c>
      <c r="O1529">
        <v>193</v>
      </c>
      <c r="P1529">
        <v>84</v>
      </c>
      <c r="Q1529" s="8">
        <f t="shared" si="330"/>
        <v>84</v>
      </c>
      <c r="R1529" s="8">
        <v>79</v>
      </c>
      <c r="S1529" s="8">
        <f t="shared" si="331"/>
        <v>79</v>
      </c>
      <c r="T1529" s="8">
        <f>(Table1[[#This Row],[Total Cholesterol (mg/dL)]]+Table1[[#This Row],[HDL (mg/dL)2]]+Table1[[#This Row],[Estimated LDL (mg/dL)2]])*5</f>
        <v>1780</v>
      </c>
      <c r="U1529" s="8">
        <f>IF(O1529="",Table1[[#This Row],[Estimated LDL (mg/dL)2]]+Table1[[#This Row],[HDL (mg/dL)2]]+(Table1[[#This Row],[Triglycerides]]/5),O1529)</f>
        <v>193</v>
      </c>
      <c r="V1529">
        <v>123</v>
      </c>
      <c r="W1529" s="8">
        <f t="shared" si="332"/>
        <v>123</v>
      </c>
      <c r="X1529" t="str">
        <f t="shared" si="333"/>
        <v>Prediabetes</v>
      </c>
      <c r="Y1529" t="s">
        <v>22</v>
      </c>
      <c r="Z1529" t="s">
        <v>22</v>
      </c>
      <c r="AA1529" t="s">
        <v>28</v>
      </c>
      <c r="AB1529" s="3" t="s">
        <v>548</v>
      </c>
      <c r="AC1529">
        <v>112</v>
      </c>
      <c r="AD1529" s="3" t="str">
        <f t="shared" si="334"/>
        <v>112</v>
      </c>
      <c r="AE1529">
        <v>63</v>
      </c>
      <c r="AF1529" s="3" t="str">
        <f t="shared" si="335"/>
        <v>63</v>
      </c>
      <c r="AG1529" t="s">
        <v>33</v>
      </c>
      <c r="AH1529" s="3">
        <v>15.316000000000001</v>
      </c>
      <c r="AI1529" s="3">
        <f t="shared" si="336"/>
        <v>15.316000000000001</v>
      </c>
      <c r="AJ1529" t="s">
        <v>26</v>
      </c>
      <c r="AK1529" t="str">
        <f>PROPER(Table1[[#This Row],[CVD Risk Level]])</f>
        <v>Intermediary</v>
      </c>
    </row>
    <row r="1530" spans="1:37" x14ac:dyDescent="0.3">
      <c r="A1530" t="s">
        <v>20</v>
      </c>
      <c r="B1530">
        <v>78</v>
      </c>
      <c r="C1530" s="8">
        <f t="shared" si="325"/>
        <v>78</v>
      </c>
      <c r="D1530" s="5">
        <v>111.627</v>
      </c>
      <c r="E1530" s="8">
        <f t="shared" si="326"/>
        <v>111.627</v>
      </c>
      <c r="F1530">
        <v>1.867</v>
      </c>
      <c r="G1530" s="3">
        <f t="shared" si="327"/>
        <v>1.867</v>
      </c>
      <c r="H1530">
        <v>22.016999999999999</v>
      </c>
      <c r="I1530" s="5">
        <f t="shared" si="323"/>
        <v>22.016999999999999</v>
      </c>
      <c r="J1530" s="16" t="str">
        <f t="shared" si="328"/>
        <v>Normal</v>
      </c>
      <c r="K1530">
        <v>97.691999999999993</v>
      </c>
      <c r="L1530">
        <v>0.52300000000000002</v>
      </c>
      <c r="M1530" s="11">
        <f t="shared" si="324"/>
        <v>0.52300000000000002</v>
      </c>
      <c r="N1530" s="5">
        <f t="shared" si="329"/>
        <v>97.691999999999993</v>
      </c>
      <c r="O1530">
        <v>218</v>
      </c>
      <c r="P1530">
        <v>68</v>
      </c>
      <c r="Q1530" s="8">
        <f t="shared" si="330"/>
        <v>68</v>
      </c>
      <c r="R1530" s="8">
        <v>120</v>
      </c>
      <c r="S1530" s="8">
        <f t="shared" si="331"/>
        <v>120</v>
      </c>
      <c r="T1530" s="8">
        <f>(Table1[[#This Row],[Total Cholesterol (mg/dL)]]+Table1[[#This Row],[HDL (mg/dL)2]]+Table1[[#This Row],[Estimated LDL (mg/dL)2]])*5</f>
        <v>2030</v>
      </c>
      <c r="U1530" s="8">
        <f>IF(O1530="",Table1[[#This Row],[Estimated LDL (mg/dL)2]]+Table1[[#This Row],[HDL (mg/dL)2]]+(Table1[[#This Row],[Triglycerides]]/5),O1530)</f>
        <v>218</v>
      </c>
      <c r="V1530">
        <v>166</v>
      </c>
      <c r="W1530" s="8">
        <f t="shared" si="332"/>
        <v>166</v>
      </c>
      <c r="X1530" t="str">
        <f t="shared" si="333"/>
        <v>Diabetes</v>
      </c>
      <c r="Y1530" t="s">
        <v>22</v>
      </c>
      <c r="Z1530" t="s">
        <v>22</v>
      </c>
      <c r="AA1530" t="s">
        <v>28</v>
      </c>
      <c r="AB1530" s="3" t="s">
        <v>441</v>
      </c>
      <c r="AC1530">
        <v>134</v>
      </c>
      <c r="AD1530" s="3" t="str">
        <f t="shared" si="334"/>
        <v>134</v>
      </c>
      <c r="AE1530">
        <v>67</v>
      </c>
      <c r="AF1530" s="3" t="str">
        <f t="shared" si="335"/>
        <v>67</v>
      </c>
      <c r="AG1530" t="s">
        <v>29</v>
      </c>
      <c r="AH1530" s="3">
        <v>15.462999999999999</v>
      </c>
      <c r="AI1530" s="3">
        <f t="shared" si="336"/>
        <v>15.462999999999999</v>
      </c>
      <c r="AJ1530" t="s">
        <v>30</v>
      </c>
      <c r="AK1530" t="str">
        <f>PROPER(Table1[[#This Row],[CVD Risk Level]])</f>
        <v>High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CC66-651B-425B-85E4-B6D913E945ED}">
  <dimension ref="A1:V1530"/>
  <sheetViews>
    <sheetView tabSelected="1" topLeftCell="M1" workbookViewId="0">
      <selection activeCell="T24" sqref="T24"/>
    </sheetView>
  </sheetViews>
  <sheetFormatPr defaultRowHeight="14.4" x14ac:dyDescent="0.3"/>
  <cols>
    <col min="1" max="1" width="8.44140625" bestFit="1" customWidth="1"/>
    <col min="2" max="2" width="8.44140625" style="8" bestFit="1" customWidth="1"/>
    <col min="3" max="3" width="14.5546875" style="8" bestFit="1" customWidth="1"/>
    <col min="4" max="4" width="13.88671875" style="5" bestFit="1" customWidth="1"/>
    <col min="5" max="5" width="8.5546875" style="5" bestFit="1" customWidth="1"/>
    <col min="6" max="6" width="15.77734375" style="16" customWidth="1"/>
    <col min="7" max="7" width="23.5546875" style="5" bestFit="1" customWidth="1"/>
    <col min="8" max="8" width="31.6640625" style="11" bestFit="1" customWidth="1"/>
    <col min="9" max="9" width="15.77734375" style="10" bestFit="1" customWidth="1"/>
    <col min="10" max="10" width="24.44140625" style="8" bestFit="1" customWidth="1"/>
    <col min="11" max="11" width="26.33203125" style="8" bestFit="1" customWidth="1"/>
    <col min="12" max="12" width="28.77734375" style="8" bestFit="1" customWidth="1"/>
    <col min="13" max="13" width="29.5546875" bestFit="1" customWidth="1"/>
    <col min="14" max="14" width="18.44140625" style="8" bestFit="1" customWidth="1"/>
    <col min="15" max="15" width="18.44140625" style="16" bestFit="1" customWidth="1"/>
    <col min="16" max="16" width="24" style="16" bestFit="1" customWidth="1"/>
    <col min="17" max="17" width="26.33203125" style="16" bestFit="1" customWidth="1"/>
    <col min="18" max="18" width="14.6640625" style="16" bestFit="1" customWidth="1"/>
    <col min="19" max="19" width="15.44140625" style="16" bestFit="1" customWidth="1"/>
    <col min="20" max="20" width="25.77734375" style="8" bestFit="1" customWidth="1"/>
    <col min="21" max="21" width="18.109375" style="8" bestFit="1" customWidth="1"/>
    <col min="22" max="22" width="18.109375" style="16" bestFit="1" customWidth="1"/>
  </cols>
  <sheetData>
    <row r="1" spans="1:22" s="1" customFormat="1" x14ac:dyDescent="0.3">
      <c r="A1" s="1" t="s">
        <v>0</v>
      </c>
      <c r="B1" s="13" t="s">
        <v>1</v>
      </c>
      <c r="C1" s="13" t="s">
        <v>1290</v>
      </c>
      <c r="D1" s="4" t="s">
        <v>1291</v>
      </c>
      <c r="E1" s="4" t="s">
        <v>4</v>
      </c>
      <c r="F1" s="22" t="s">
        <v>1301</v>
      </c>
      <c r="G1" s="14" t="s">
        <v>13</v>
      </c>
      <c r="H1" s="4" t="s">
        <v>1294</v>
      </c>
      <c r="I1" s="13" t="s">
        <v>8</v>
      </c>
      <c r="J1" s="13" t="s">
        <v>17</v>
      </c>
      <c r="K1" s="13" t="s">
        <v>1296</v>
      </c>
      <c r="L1" s="13" t="s">
        <v>9</v>
      </c>
      <c r="M1" s="1" t="s">
        <v>1305</v>
      </c>
      <c r="N1" s="15" t="s">
        <v>10</v>
      </c>
      <c r="O1" s="15" t="s">
        <v>11</v>
      </c>
      <c r="P1" s="15" t="s">
        <v>12</v>
      </c>
      <c r="Q1" s="18" t="s">
        <v>6</v>
      </c>
      <c r="R1" s="20" t="s">
        <v>14</v>
      </c>
      <c r="S1" s="20" t="s">
        <v>15</v>
      </c>
      <c r="T1" s="15" t="s">
        <v>16</v>
      </c>
      <c r="U1" s="20" t="s">
        <v>18</v>
      </c>
      <c r="V1" s="17" t="s">
        <v>19</v>
      </c>
    </row>
    <row r="2" spans="1:22" x14ac:dyDescent="0.3">
      <c r="A2" t="s">
        <v>20</v>
      </c>
      <c r="B2" s="8">
        <v>32</v>
      </c>
      <c r="C2" s="8">
        <v>69.099999999999994</v>
      </c>
      <c r="D2" s="5">
        <v>1.71</v>
      </c>
      <c r="E2" s="5">
        <v>23.6</v>
      </c>
      <c r="F2" s="16" t="s">
        <v>33</v>
      </c>
      <c r="G2" s="11">
        <v>0.504</v>
      </c>
      <c r="H2" s="5">
        <v>86.2</v>
      </c>
      <c r="I2" s="8">
        <v>78</v>
      </c>
      <c r="J2" s="8">
        <v>140</v>
      </c>
      <c r="K2" s="8">
        <v>248</v>
      </c>
      <c r="L2" s="8">
        <v>111</v>
      </c>
      <c r="M2" t="s">
        <v>1306</v>
      </c>
      <c r="N2" s="16" t="s">
        <v>22</v>
      </c>
      <c r="O2" s="16" t="s">
        <v>23</v>
      </c>
      <c r="P2" s="16" t="s">
        <v>24</v>
      </c>
      <c r="Q2" s="10" t="s">
        <v>21</v>
      </c>
      <c r="R2" s="3" t="str">
        <f>LEFT(Q2,FIND("/",Q2)-1)</f>
        <v>125</v>
      </c>
      <c r="S2" s="3" t="str">
        <f>RIGHT(Q2,LEN(Q2)-FIND("/",Q2))</f>
        <v>79</v>
      </c>
      <c r="T2" s="16" t="s">
        <v>25</v>
      </c>
      <c r="U2" s="3">
        <v>17.93</v>
      </c>
      <c r="V2" s="16" t="str">
        <f>PROPER(Table1[[#This Row],[CVD Risk Level]])</f>
        <v>Intermediary</v>
      </c>
    </row>
    <row r="3" spans="1:22" x14ac:dyDescent="0.3">
      <c r="A3" t="s">
        <v>20</v>
      </c>
      <c r="B3" s="8">
        <v>55</v>
      </c>
      <c r="C3" s="8">
        <v>118.7</v>
      </c>
      <c r="D3" s="5">
        <v>1.69</v>
      </c>
      <c r="E3" s="5">
        <v>41.6</v>
      </c>
      <c r="F3" s="16" t="s">
        <v>1302</v>
      </c>
      <c r="G3" s="11">
        <v>0.48799999999999999</v>
      </c>
      <c r="H3" s="5">
        <v>82.5</v>
      </c>
      <c r="I3" s="8">
        <v>50</v>
      </c>
      <c r="J3" s="8">
        <v>82</v>
      </c>
      <c r="K3" s="8">
        <v>162</v>
      </c>
      <c r="L3" s="8">
        <v>135</v>
      </c>
      <c r="M3" t="s">
        <v>1307</v>
      </c>
      <c r="N3" s="16" t="s">
        <v>23</v>
      </c>
      <c r="O3" s="16" t="s">
        <v>23</v>
      </c>
      <c r="P3" s="16" t="s">
        <v>28</v>
      </c>
      <c r="Q3" s="10" t="s">
        <v>27</v>
      </c>
      <c r="R3" s="3" t="str">
        <f t="shared" ref="R3:R66" si="0">LEFT(Q3,FIND("/",Q3)-1)</f>
        <v>139</v>
      </c>
      <c r="S3" s="3" t="str">
        <f t="shared" ref="S3:S66" si="1">RIGHT(Q3,LEN(Q3)-FIND("/",Q3))</f>
        <v>70</v>
      </c>
      <c r="T3" s="16" t="s">
        <v>29</v>
      </c>
      <c r="U3" s="3">
        <v>20.51</v>
      </c>
      <c r="V3" s="16" t="str">
        <f>PROPER(Table1[[#This Row],[CVD Risk Level]])</f>
        <v>High</v>
      </c>
    </row>
    <row r="4" spans="1:22" x14ac:dyDescent="0.3">
      <c r="A4" t="s">
        <v>31</v>
      </c>
      <c r="B4" s="8">
        <v>47.025499655410059</v>
      </c>
      <c r="C4" s="8">
        <v>90.08541000000001</v>
      </c>
      <c r="D4" s="5">
        <v>1.83</v>
      </c>
      <c r="E4" s="5">
        <v>26.9</v>
      </c>
      <c r="F4" s="16" t="s">
        <v>1303</v>
      </c>
      <c r="G4" s="11">
        <v>0.58299999999999996</v>
      </c>
      <c r="H4" s="5">
        <v>106.7</v>
      </c>
      <c r="I4" s="8">
        <v>73</v>
      </c>
      <c r="J4" s="8">
        <v>109</v>
      </c>
      <c r="K4" s="8">
        <v>103</v>
      </c>
      <c r="L4" s="8">
        <v>114</v>
      </c>
      <c r="M4" t="s">
        <v>1306</v>
      </c>
      <c r="N4" s="16" t="s">
        <v>22</v>
      </c>
      <c r="O4" s="16" t="s">
        <v>22</v>
      </c>
      <c r="P4" s="16" t="s">
        <v>28</v>
      </c>
      <c r="Q4" s="10" t="s">
        <v>32</v>
      </c>
      <c r="R4" s="3" t="str">
        <f t="shared" si="0"/>
        <v>104</v>
      </c>
      <c r="S4" s="3" t="str">
        <f t="shared" si="1"/>
        <v>77</v>
      </c>
      <c r="T4" s="16" t="s">
        <v>33</v>
      </c>
      <c r="U4" s="3">
        <v>12.64</v>
      </c>
      <c r="V4" s="16" t="str">
        <f>PROPER(Table1[[#This Row],[CVD Risk Level]])</f>
        <v>Intermediary</v>
      </c>
    </row>
    <row r="5" spans="1:22" x14ac:dyDescent="0.3">
      <c r="A5" t="s">
        <v>31</v>
      </c>
      <c r="B5" s="8">
        <v>44</v>
      </c>
      <c r="C5" s="8">
        <v>108.3</v>
      </c>
      <c r="D5" s="5">
        <v>1.8</v>
      </c>
      <c r="E5" s="5">
        <v>33.4</v>
      </c>
      <c r="F5" s="16" t="s">
        <v>1302</v>
      </c>
      <c r="G5" s="11">
        <v>0.53700000000000003</v>
      </c>
      <c r="H5" s="5">
        <v>96.6</v>
      </c>
      <c r="I5" s="8">
        <v>46</v>
      </c>
      <c r="J5" s="8">
        <v>58</v>
      </c>
      <c r="K5" s="8">
        <v>134</v>
      </c>
      <c r="L5" s="8">
        <v>91</v>
      </c>
      <c r="M5" t="s">
        <v>33</v>
      </c>
      <c r="N5" s="16" t="s">
        <v>22</v>
      </c>
      <c r="O5" s="16" t="s">
        <v>22</v>
      </c>
      <c r="P5" s="16" t="s">
        <v>28</v>
      </c>
      <c r="Q5" s="10" t="s">
        <v>34</v>
      </c>
      <c r="R5" s="3" t="str">
        <f t="shared" si="0"/>
        <v>140</v>
      </c>
      <c r="S5" s="3" t="str">
        <f t="shared" si="1"/>
        <v>83</v>
      </c>
      <c r="T5" s="16" t="s">
        <v>29</v>
      </c>
      <c r="U5" s="3">
        <v>16.36</v>
      </c>
      <c r="V5" s="16" t="str">
        <f>PROPER(Table1[[#This Row],[CVD Risk Level]])</f>
        <v>Intermediary</v>
      </c>
    </row>
    <row r="6" spans="1:22" x14ac:dyDescent="0.3">
      <c r="A6" t="s">
        <v>20</v>
      </c>
      <c r="B6" s="8">
        <v>32</v>
      </c>
      <c r="C6" s="8">
        <v>99.5</v>
      </c>
      <c r="D6" s="5">
        <v>1.86</v>
      </c>
      <c r="E6" s="5">
        <v>28.8</v>
      </c>
      <c r="F6" s="16" t="s">
        <v>1303</v>
      </c>
      <c r="G6" s="11">
        <v>0.55200000000000005</v>
      </c>
      <c r="H6" s="5">
        <v>102.7</v>
      </c>
      <c r="I6" s="8">
        <v>64</v>
      </c>
      <c r="J6" s="8">
        <v>52</v>
      </c>
      <c r="K6" s="8">
        <v>146</v>
      </c>
      <c r="L6" s="8">
        <v>141</v>
      </c>
      <c r="M6" t="s">
        <v>1307</v>
      </c>
      <c r="N6" s="16" t="s">
        <v>23</v>
      </c>
      <c r="O6" s="16" t="s">
        <v>23</v>
      </c>
      <c r="P6" s="16" t="s">
        <v>28</v>
      </c>
      <c r="Q6" s="10" t="s">
        <v>35</v>
      </c>
      <c r="R6" s="3" t="str">
        <f t="shared" si="0"/>
        <v>144</v>
      </c>
      <c r="S6" s="3" t="str">
        <f t="shared" si="1"/>
        <v>83</v>
      </c>
      <c r="T6" s="16" t="s">
        <v>29</v>
      </c>
      <c r="U6" s="3">
        <v>17.88</v>
      </c>
      <c r="V6" s="16" t="str">
        <f>PROPER(Table1[[#This Row],[CVD Risk Level]])</f>
        <v>Intermediary</v>
      </c>
    </row>
    <row r="7" spans="1:22" x14ac:dyDescent="0.3">
      <c r="A7" t="s">
        <v>20</v>
      </c>
      <c r="B7" s="8">
        <v>58</v>
      </c>
      <c r="C7" s="8">
        <v>117.9</v>
      </c>
      <c r="D7" s="5">
        <v>1.87</v>
      </c>
      <c r="E7" s="5">
        <v>33.700000000000003</v>
      </c>
      <c r="F7" s="16" t="s">
        <v>1302</v>
      </c>
      <c r="G7" s="11">
        <v>0.435</v>
      </c>
      <c r="H7" s="5">
        <v>81.400000000000006</v>
      </c>
      <c r="I7" s="8">
        <v>67</v>
      </c>
      <c r="J7" s="8">
        <v>59</v>
      </c>
      <c r="K7" s="8">
        <v>156</v>
      </c>
      <c r="L7" s="8">
        <v>82</v>
      </c>
      <c r="M7" t="s">
        <v>33</v>
      </c>
      <c r="N7" s="16" t="s">
        <v>23</v>
      </c>
      <c r="O7" s="16" t="s">
        <v>22</v>
      </c>
      <c r="P7" s="16" t="s">
        <v>37</v>
      </c>
      <c r="Q7" s="10" t="s">
        <v>36</v>
      </c>
      <c r="R7" s="3" t="str">
        <f t="shared" si="0"/>
        <v>142</v>
      </c>
      <c r="S7" s="3" t="str">
        <f t="shared" si="1"/>
        <v>90</v>
      </c>
      <c r="T7" s="16" t="s">
        <v>38</v>
      </c>
      <c r="U7" s="3">
        <v>16.96</v>
      </c>
      <c r="V7" s="16" t="str">
        <f>PROPER(Table1[[#This Row],[CVD Risk Level]])</f>
        <v>High</v>
      </c>
    </row>
    <row r="8" spans="1:22" x14ac:dyDescent="0.3">
      <c r="A8" t="s">
        <v>31</v>
      </c>
      <c r="B8" s="8">
        <v>33</v>
      </c>
      <c r="C8" s="8">
        <v>117.9</v>
      </c>
      <c r="D8" s="5">
        <v>1.82</v>
      </c>
      <c r="E8" s="5">
        <v>35.6</v>
      </c>
      <c r="F8" s="16" t="s">
        <v>1302</v>
      </c>
      <c r="G8" s="11">
        <v>0.41099999999999998</v>
      </c>
      <c r="H8" s="5">
        <v>74.8</v>
      </c>
      <c r="I8" s="8">
        <v>66</v>
      </c>
      <c r="J8" s="8">
        <v>88</v>
      </c>
      <c r="K8" s="8">
        <v>184</v>
      </c>
      <c r="L8" s="8">
        <v>87</v>
      </c>
      <c r="M8" t="s">
        <v>33</v>
      </c>
      <c r="N8" s="16" t="s">
        <v>22</v>
      </c>
      <c r="O8" s="16" t="s">
        <v>23</v>
      </c>
      <c r="P8" s="16" t="s">
        <v>24</v>
      </c>
      <c r="Q8" s="10" t="s">
        <v>39</v>
      </c>
      <c r="R8" s="3" t="str">
        <f t="shared" si="0"/>
        <v>96</v>
      </c>
      <c r="S8" s="3" t="str">
        <f t="shared" si="1"/>
        <v>63</v>
      </c>
      <c r="T8" s="16" t="s">
        <v>33</v>
      </c>
      <c r="U8" s="3">
        <v>17.600000000000001</v>
      </c>
      <c r="V8" s="16" t="str">
        <f>PROPER(Table1[[#This Row],[CVD Risk Level]])</f>
        <v>Intermediary</v>
      </c>
    </row>
    <row r="9" spans="1:22" x14ac:dyDescent="0.3">
      <c r="A9" t="s">
        <v>31</v>
      </c>
      <c r="B9" s="8">
        <v>55</v>
      </c>
      <c r="C9" s="8">
        <v>100.1</v>
      </c>
      <c r="D9" s="5">
        <v>1.74</v>
      </c>
      <c r="E9" s="5">
        <v>33.1</v>
      </c>
      <c r="F9" s="16" t="s">
        <v>1302</v>
      </c>
      <c r="G9" s="11">
        <v>0.55500000000000005</v>
      </c>
      <c r="H9" s="5">
        <v>96.6</v>
      </c>
      <c r="I9" s="8">
        <v>40</v>
      </c>
      <c r="J9" s="8">
        <v>217</v>
      </c>
      <c r="K9" s="8">
        <v>287</v>
      </c>
      <c r="L9" s="8">
        <v>96</v>
      </c>
      <c r="M9" t="s">
        <v>33</v>
      </c>
      <c r="N9" s="16" t="s">
        <v>23</v>
      </c>
      <c r="O9" s="16" t="s">
        <v>22</v>
      </c>
      <c r="P9" s="16" t="s">
        <v>37</v>
      </c>
      <c r="Q9" s="10" t="s">
        <v>40</v>
      </c>
      <c r="R9" s="3" t="str">
        <f t="shared" si="0"/>
        <v>115</v>
      </c>
      <c r="S9" s="3" t="str">
        <f t="shared" si="1"/>
        <v>73</v>
      </c>
      <c r="T9" s="16" t="s">
        <v>33</v>
      </c>
      <c r="U9" s="3">
        <v>18.11</v>
      </c>
      <c r="V9" s="16" t="str">
        <f>PROPER(Table1[[#This Row],[CVD Risk Level]])</f>
        <v>High</v>
      </c>
    </row>
    <row r="10" spans="1:22" x14ac:dyDescent="0.3">
      <c r="A10" t="s">
        <v>20</v>
      </c>
      <c r="B10" s="8">
        <v>37</v>
      </c>
      <c r="C10" s="8">
        <v>110.1</v>
      </c>
      <c r="D10" s="5">
        <v>1.86</v>
      </c>
      <c r="E10" s="5">
        <v>31.8</v>
      </c>
      <c r="F10" s="16" t="s">
        <v>1302</v>
      </c>
      <c r="G10" s="11">
        <v>0.497</v>
      </c>
      <c r="H10" s="5">
        <v>92.4</v>
      </c>
      <c r="I10" s="8">
        <v>68</v>
      </c>
      <c r="J10" s="8">
        <v>79</v>
      </c>
      <c r="K10" s="8">
        <v>177</v>
      </c>
      <c r="L10" s="8">
        <v>70</v>
      </c>
      <c r="M10" t="s">
        <v>33</v>
      </c>
      <c r="N10" s="16" t="s">
        <v>23</v>
      </c>
      <c r="O10" s="16" t="s">
        <v>22</v>
      </c>
      <c r="P10" s="16" t="s">
        <v>28</v>
      </c>
      <c r="Q10" s="10" t="s">
        <v>41</v>
      </c>
      <c r="R10" s="3" t="str">
        <f t="shared" si="0"/>
        <v>107</v>
      </c>
      <c r="S10" s="3" t="str">
        <f t="shared" si="1"/>
        <v>95</v>
      </c>
      <c r="T10" s="16" t="s">
        <v>38</v>
      </c>
      <c r="U10" s="3">
        <v>15.25</v>
      </c>
      <c r="V10" s="16" t="str">
        <f>PROPER(Table1[[#This Row],[CVD Risk Level]])</f>
        <v>Intermediary</v>
      </c>
    </row>
    <row r="11" spans="1:22" x14ac:dyDescent="0.3">
      <c r="A11" t="s">
        <v>20</v>
      </c>
      <c r="B11" s="8">
        <v>58</v>
      </c>
      <c r="C11" s="8">
        <v>97.6</v>
      </c>
      <c r="D11" s="5">
        <v>1.86</v>
      </c>
      <c r="E11" s="5">
        <v>28.2</v>
      </c>
      <c r="F11" s="16" t="s">
        <v>1303</v>
      </c>
      <c r="G11" s="11">
        <v>0.40100000000000002</v>
      </c>
      <c r="H11" s="5">
        <v>74.599999999999994</v>
      </c>
      <c r="I11" s="8">
        <v>68</v>
      </c>
      <c r="J11" s="8">
        <v>183</v>
      </c>
      <c r="K11" s="8">
        <v>281</v>
      </c>
      <c r="L11" s="8">
        <v>126</v>
      </c>
      <c r="M11" t="s">
        <v>1307</v>
      </c>
      <c r="N11" s="16" t="s">
        <v>22</v>
      </c>
      <c r="O11" s="16" t="s">
        <v>22</v>
      </c>
      <c r="P11" s="16" t="s">
        <v>37</v>
      </c>
      <c r="Q11" s="10" t="s">
        <v>42</v>
      </c>
      <c r="R11" s="3" t="str">
        <f t="shared" si="0"/>
        <v>133</v>
      </c>
      <c r="S11" s="3" t="str">
        <f t="shared" si="1"/>
        <v>83</v>
      </c>
      <c r="T11" s="16" t="s">
        <v>29</v>
      </c>
      <c r="U11" s="3">
        <v>17.91</v>
      </c>
      <c r="V11" s="16" t="str">
        <f>PROPER(Table1[[#This Row],[CVD Risk Level]])</f>
        <v>Intermediary</v>
      </c>
    </row>
    <row r="12" spans="1:22" x14ac:dyDescent="0.3">
      <c r="A12" t="s">
        <v>20</v>
      </c>
      <c r="B12" s="8">
        <v>38</v>
      </c>
      <c r="C12" s="8">
        <v>75.599999999999994</v>
      </c>
      <c r="D12" s="5">
        <v>1.6</v>
      </c>
      <c r="E12" s="5">
        <v>29.5</v>
      </c>
      <c r="F12" s="16" t="s">
        <v>1303</v>
      </c>
      <c r="G12" s="11">
        <v>0.45200000000000001</v>
      </c>
      <c r="H12" s="5">
        <v>72.3</v>
      </c>
      <c r="I12" s="8">
        <v>61</v>
      </c>
      <c r="J12" s="8">
        <v>178</v>
      </c>
      <c r="K12" s="8">
        <v>269</v>
      </c>
      <c r="L12" s="8">
        <v>74</v>
      </c>
      <c r="M12" t="s">
        <v>33</v>
      </c>
      <c r="N12" s="16" t="s">
        <v>23</v>
      </c>
      <c r="O12" s="16" t="s">
        <v>23</v>
      </c>
      <c r="P12" s="16" t="s">
        <v>24</v>
      </c>
      <c r="Q12" s="10" t="s">
        <v>43</v>
      </c>
      <c r="R12" s="3" t="str">
        <f t="shared" si="0"/>
        <v>129</v>
      </c>
      <c r="S12" s="3" t="str">
        <f t="shared" si="1"/>
        <v>87</v>
      </c>
      <c r="T12" s="16" t="s">
        <v>29</v>
      </c>
      <c r="U12" s="3">
        <v>19.73</v>
      </c>
      <c r="V12" s="16" t="str">
        <f>PROPER(Table1[[#This Row],[CVD Risk Level]])</f>
        <v>High</v>
      </c>
    </row>
    <row r="13" spans="1:22" x14ac:dyDescent="0.3">
      <c r="A13" t="s">
        <v>20</v>
      </c>
      <c r="B13" s="8">
        <v>32</v>
      </c>
      <c r="C13" s="8">
        <v>90.2</v>
      </c>
      <c r="D13" s="5">
        <v>1.85</v>
      </c>
      <c r="E13" s="5">
        <v>26.4</v>
      </c>
      <c r="F13" s="16" t="s">
        <v>1303</v>
      </c>
      <c r="G13" s="11">
        <v>0.38800000000000001</v>
      </c>
      <c r="H13" s="5">
        <v>71.8</v>
      </c>
      <c r="I13" s="8">
        <v>53</v>
      </c>
      <c r="J13" s="8">
        <v>148</v>
      </c>
      <c r="K13" s="8">
        <v>231</v>
      </c>
      <c r="L13" s="8">
        <v>121</v>
      </c>
      <c r="M13" t="s">
        <v>1306</v>
      </c>
      <c r="N13" s="16" t="s">
        <v>22</v>
      </c>
      <c r="O13" s="16" t="s">
        <v>23</v>
      </c>
      <c r="P13" s="16" t="s">
        <v>37</v>
      </c>
      <c r="Q13" s="10" t="s">
        <v>44</v>
      </c>
      <c r="R13" s="3" t="str">
        <f t="shared" si="0"/>
        <v>134</v>
      </c>
      <c r="S13" s="3" t="str">
        <f t="shared" si="1"/>
        <v>91</v>
      </c>
      <c r="T13" s="16" t="s">
        <v>29</v>
      </c>
      <c r="U13" s="3">
        <v>18.600000000000001</v>
      </c>
      <c r="V13" s="16" t="str">
        <f>PROPER(Table1[[#This Row],[CVD Risk Level]])</f>
        <v>Intermediary</v>
      </c>
    </row>
    <row r="14" spans="1:22" x14ac:dyDescent="0.3">
      <c r="A14" t="s">
        <v>31</v>
      </c>
      <c r="B14" s="8">
        <v>48</v>
      </c>
      <c r="C14" s="8">
        <v>88.2</v>
      </c>
      <c r="D14" s="5">
        <v>1.75</v>
      </c>
      <c r="E14" s="5">
        <v>28.8</v>
      </c>
      <c r="F14" s="16" t="s">
        <v>1303</v>
      </c>
      <c r="G14" s="11">
        <v>0.44800000000000001</v>
      </c>
      <c r="H14" s="5">
        <v>79.7</v>
      </c>
      <c r="I14" s="8">
        <v>72</v>
      </c>
      <c r="J14" s="8">
        <v>143</v>
      </c>
      <c r="K14" s="8">
        <v>245</v>
      </c>
      <c r="L14" s="8">
        <v>97</v>
      </c>
      <c r="M14" t="s">
        <v>33</v>
      </c>
      <c r="N14" s="16" t="s">
        <v>23</v>
      </c>
      <c r="O14" s="16" t="s">
        <v>22</v>
      </c>
      <c r="P14" s="16" t="s">
        <v>24</v>
      </c>
      <c r="Q14" s="10" t="s">
        <v>45</v>
      </c>
      <c r="R14" s="3" t="str">
        <f t="shared" si="0"/>
        <v>102</v>
      </c>
      <c r="S14" s="3" t="str">
        <f t="shared" si="1"/>
        <v>63</v>
      </c>
      <c r="T14" s="16" t="s">
        <v>33</v>
      </c>
      <c r="U14" s="3">
        <v>15.76</v>
      </c>
      <c r="V14" s="16" t="str">
        <f>PROPER(Table1[[#This Row],[CVD Risk Level]])</f>
        <v>High</v>
      </c>
    </row>
    <row r="15" spans="1:22" x14ac:dyDescent="0.3">
      <c r="A15" t="s">
        <v>31</v>
      </c>
      <c r="B15" s="8">
        <v>38</v>
      </c>
      <c r="C15" s="8">
        <v>117</v>
      </c>
      <c r="D15" s="5">
        <v>1.81</v>
      </c>
      <c r="E15" s="5">
        <v>35.700000000000003</v>
      </c>
      <c r="F15" s="16" t="s">
        <v>1302</v>
      </c>
      <c r="G15" s="11">
        <v>0.438</v>
      </c>
      <c r="H15" s="5">
        <v>79.3</v>
      </c>
      <c r="I15" s="8">
        <v>51</v>
      </c>
      <c r="J15" s="8">
        <v>125</v>
      </c>
      <c r="K15" s="8">
        <v>206</v>
      </c>
      <c r="L15" s="8">
        <v>122</v>
      </c>
      <c r="M15" t="s">
        <v>1306</v>
      </c>
      <c r="N15" s="16" t="s">
        <v>23</v>
      </c>
      <c r="O15" s="16" t="s">
        <v>23</v>
      </c>
      <c r="P15" s="16" t="s">
        <v>28</v>
      </c>
      <c r="Q15" s="10" t="s">
        <v>46</v>
      </c>
      <c r="R15" s="3" t="str">
        <f t="shared" si="0"/>
        <v>142</v>
      </c>
      <c r="S15" s="3" t="str">
        <f t="shared" si="1"/>
        <v>92</v>
      </c>
      <c r="T15" s="16" t="s">
        <v>38</v>
      </c>
      <c r="U15" s="3">
        <v>20.36</v>
      </c>
      <c r="V15" s="16" t="str">
        <f>PROPER(Table1[[#This Row],[CVD Risk Level]])</f>
        <v>High</v>
      </c>
    </row>
    <row r="16" spans="1:22" x14ac:dyDescent="0.3">
      <c r="A16" t="s">
        <v>31</v>
      </c>
      <c r="B16" s="8">
        <v>58</v>
      </c>
      <c r="C16" s="8">
        <v>104.2</v>
      </c>
      <c r="D16" s="5">
        <v>1.73</v>
      </c>
      <c r="E16" s="5">
        <v>34.799999999999997</v>
      </c>
      <c r="F16" s="16" t="s">
        <v>1302</v>
      </c>
      <c r="G16" s="11">
        <v>0.627</v>
      </c>
      <c r="H16" s="5">
        <v>108.4</v>
      </c>
      <c r="I16" s="8">
        <v>68</v>
      </c>
      <c r="J16" s="8">
        <v>190</v>
      </c>
      <c r="K16" s="8">
        <v>516</v>
      </c>
      <c r="L16" s="8">
        <v>142</v>
      </c>
      <c r="M16" t="s">
        <v>1307</v>
      </c>
      <c r="N16" s="16" t="s">
        <v>23</v>
      </c>
      <c r="O16" s="16" t="s">
        <v>23</v>
      </c>
      <c r="P16" s="16" t="s">
        <v>24</v>
      </c>
      <c r="Q16" s="10" t="s">
        <v>47</v>
      </c>
      <c r="R16" s="3" t="str">
        <f t="shared" si="0"/>
        <v>101</v>
      </c>
      <c r="S16" s="3" t="str">
        <f t="shared" si="1"/>
        <v>64</v>
      </c>
      <c r="T16" s="16" t="s">
        <v>33</v>
      </c>
      <c r="U16" s="3">
        <v>16.960925291295425</v>
      </c>
      <c r="V16" s="16" t="str">
        <f>PROPER(Table1[[#This Row],[CVD Risk Level]])</f>
        <v>High</v>
      </c>
    </row>
    <row r="17" spans="1:22" x14ac:dyDescent="0.3">
      <c r="A17" t="s">
        <v>31</v>
      </c>
      <c r="B17" s="8">
        <v>38</v>
      </c>
      <c r="C17" s="8">
        <v>116.5</v>
      </c>
      <c r="D17" s="5">
        <v>1.64</v>
      </c>
      <c r="E17" s="5">
        <v>43.3</v>
      </c>
      <c r="F17" s="16" t="s">
        <v>1302</v>
      </c>
      <c r="G17" s="11">
        <v>0.46800000000000003</v>
      </c>
      <c r="H17" s="5">
        <v>76.7</v>
      </c>
      <c r="I17" s="8">
        <v>41</v>
      </c>
      <c r="J17" s="8">
        <v>44</v>
      </c>
      <c r="K17" s="8">
        <v>115</v>
      </c>
      <c r="L17" s="8">
        <v>111</v>
      </c>
      <c r="M17" t="s">
        <v>1306</v>
      </c>
      <c r="N17" s="16" t="s">
        <v>22</v>
      </c>
      <c r="O17" s="16" t="s">
        <v>22</v>
      </c>
      <c r="P17" s="16" t="s">
        <v>24</v>
      </c>
      <c r="Q17" s="10" t="s">
        <v>48</v>
      </c>
      <c r="R17" s="3" t="str">
        <f t="shared" si="0"/>
        <v>101</v>
      </c>
      <c r="S17" s="3" t="str">
        <f t="shared" si="1"/>
        <v>67</v>
      </c>
      <c r="T17" s="16" t="s">
        <v>33</v>
      </c>
      <c r="U17" s="3">
        <v>16.010000000000002</v>
      </c>
      <c r="V17" s="16" t="str">
        <f>PROPER(Table1[[#This Row],[CVD Risk Level]])</f>
        <v>Intermediary</v>
      </c>
    </row>
    <row r="18" spans="1:22" x14ac:dyDescent="0.3">
      <c r="A18" t="s">
        <v>20</v>
      </c>
      <c r="B18" s="8">
        <v>41</v>
      </c>
      <c r="C18" s="8">
        <v>60.8</v>
      </c>
      <c r="D18" s="5">
        <v>1.68</v>
      </c>
      <c r="E18" s="5">
        <v>21.5</v>
      </c>
      <c r="F18" s="16" t="s">
        <v>33</v>
      </c>
      <c r="G18" s="11">
        <v>0.45892857142857141</v>
      </c>
      <c r="H18" s="5">
        <v>77.099999999999994</v>
      </c>
      <c r="I18" s="8">
        <v>60</v>
      </c>
      <c r="J18" s="8">
        <v>138</v>
      </c>
      <c r="K18" s="8">
        <v>396</v>
      </c>
      <c r="L18" s="8">
        <v>117.48563611491107</v>
      </c>
      <c r="M18" t="s">
        <v>1306</v>
      </c>
      <c r="N18" s="16" t="s">
        <v>23</v>
      </c>
      <c r="O18" s="16" t="s">
        <v>23</v>
      </c>
      <c r="P18" s="16" t="s">
        <v>24</v>
      </c>
      <c r="Q18" s="10" t="s">
        <v>49</v>
      </c>
      <c r="R18" s="3" t="str">
        <f t="shared" si="0"/>
        <v>138</v>
      </c>
      <c r="S18" s="3" t="str">
        <f t="shared" si="1"/>
        <v>99</v>
      </c>
      <c r="T18" s="16" t="s">
        <v>29</v>
      </c>
      <c r="U18" s="3">
        <v>17.760000000000002</v>
      </c>
      <c r="V18" s="16" t="str">
        <f>PROPER(Table1[[#This Row],[CVD Risk Level]])</f>
        <v>High</v>
      </c>
    </row>
    <row r="19" spans="1:22" x14ac:dyDescent="0.3">
      <c r="A19" t="s">
        <v>31</v>
      </c>
      <c r="B19" s="8">
        <v>57</v>
      </c>
      <c r="C19" s="8">
        <v>94.5</v>
      </c>
      <c r="D19" s="5">
        <v>1.8</v>
      </c>
      <c r="E19" s="5">
        <v>29.2</v>
      </c>
      <c r="F19" s="16" t="s">
        <v>1303</v>
      </c>
      <c r="G19" s="11">
        <v>0.499</v>
      </c>
      <c r="H19" s="5">
        <v>89.9</v>
      </c>
      <c r="I19" s="8">
        <v>64</v>
      </c>
      <c r="J19" s="8">
        <v>78</v>
      </c>
      <c r="K19" s="8">
        <v>284</v>
      </c>
      <c r="L19" s="8">
        <v>109</v>
      </c>
      <c r="M19" t="s">
        <v>1306</v>
      </c>
      <c r="N19" s="16" t="s">
        <v>22</v>
      </c>
      <c r="O19" s="16" t="s">
        <v>23</v>
      </c>
      <c r="P19" s="16" t="s">
        <v>37</v>
      </c>
      <c r="Q19" s="10" t="s">
        <v>50</v>
      </c>
      <c r="R19" s="3" t="str">
        <f t="shared" si="0"/>
        <v>129</v>
      </c>
      <c r="S19" s="3" t="str">
        <f t="shared" si="1"/>
        <v>100</v>
      </c>
      <c r="T19" s="16" t="s">
        <v>38</v>
      </c>
      <c r="U19" s="3">
        <v>17.73</v>
      </c>
      <c r="V19" s="16" t="str">
        <f>PROPER(Table1[[#This Row],[CVD Risk Level]])</f>
        <v>Intermediary</v>
      </c>
    </row>
    <row r="20" spans="1:22" x14ac:dyDescent="0.3">
      <c r="A20" t="s">
        <v>20</v>
      </c>
      <c r="B20" s="8">
        <v>41</v>
      </c>
      <c r="C20" s="8">
        <v>58.3</v>
      </c>
      <c r="D20" s="5">
        <v>1.85</v>
      </c>
      <c r="E20" s="5">
        <v>17</v>
      </c>
      <c r="F20" s="16" t="s">
        <v>1304</v>
      </c>
      <c r="G20" s="11">
        <v>0.54378378378378378</v>
      </c>
      <c r="H20" s="5">
        <v>100.6</v>
      </c>
      <c r="I20" s="8">
        <v>51</v>
      </c>
      <c r="J20" s="8">
        <v>86</v>
      </c>
      <c r="K20" s="8">
        <v>167</v>
      </c>
      <c r="L20" s="8">
        <v>135</v>
      </c>
      <c r="M20" t="s">
        <v>1307</v>
      </c>
      <c r="N20" s="16" t="s">
        <v>22</v>
      </c>
      <c r="O20" s="16" t="s">
        <v>22</v>
      </c>
      <c r="P20" s="16" t="s">
        <v>37</v>
      </c>
      <c r="Q20" s="10" t="s">
        <v>51</v>
      </c>
      <c r="R20" s="3" t="str">
        <f t="shared" si="0"/>
        <v>138</v>
      </c>
      <c r="S20" s="3" t="str">
        <f t="shared" si="1"/>
        <v>96</v>
      </c>
      <c r="T20" s="16" t="s">
        <v>29</v>
      </c>
      <c r="U20" s="3">
        <v>13.64</v>
      </c>
      <c r="V20" s="16" t="str">
        <f>PROPER(Table1[[#This Row],[CVD Risk Level]])</f>
        <v>Low</v>
      </c>
    </row>
    <row r="21" spans="1:22" x14ac:dyDescent="0.3">
      <c r="A21" t="s">
        <v>20</v>
      </c>
      <c r="B21" s="8">
        <v>48</v>
      </c>
      <c r="C21" s="8">
        <v>50.6</v>
      </c>
      <c r="D21" s="5">
        <v>1.7</v>
      </c>
      <c r="E21" s="5">
        <v>17.5</v>
      </c>
      <c r="F21" s="16" t="s">
        <v>1304</v>
      </c>
      <c r="G21" s="11">
        <v>0.64600000000000002</v>
      </c>
      <c r="H21" s="5">
        <v>109.82000000000001</v>
      </c>
      <c r="I21" s="8">
        <v>68</v>
      </c>
      <c r="J21" s="8">
        <v>87</v>
      </c>
      <c r="K21" s="8">
        <v>185</v>
      </c>
      <c r="L21" s="8">
        <v>116</v>
      </c>
      <c r="M21" t="s">
        <v>1306</v>
      </c>
      <c r="N21" s="16" t="s">
        <v>23</v>
      </c>
      <c r="O21" s="16" t="s">
        <v>22</v>
      </c>
      <c r="P21" s="16" t="s">
        <v>24</v>
      </c>
      <c r="Q21" s="10" t="s">
        <v>53</v>
      </c>
      <c r="R21" s="3" t="str">
        <f t="shared" si="0"/>
        <v>95</v>
      </c>
      <c r="S21" s="3" t="str">
        <f t="shared" si="1"/>
        <v>92</v>
      </c>
      <c r="T21" s="16" t="s">
        <v>38</v>
      </c>
      <c r="U21" s="3">
        <v>11.95</v>
      </c>
      <c r="V21" s="16" t="str">
        <f>PROPER(Table1[[#This Row],[CVD Risk Level]])</f>
        <v>High</v>
      </c>
    </row>
    <row r="22" spans="1:22" x14ac:dyDescent="0.3">
      <c r="A22" t="s">
        <v>20</v>
      </c>
      <c r="B22" s="8">
        <v>40</v>
      </c>
      <c r="C22" s="8">
        <v>85.6</v>
      </c>
      <c r="D22" s="5">
        <v>1.77</v>
      </c>
      <c r="E22" s="5">
        <v>27.3</v>
      </c>
      <c r="F22" s="16" t="s">
        <v>1303</v>
      </c>
      <c r="G22" s="11">
        <v>0.55800000000000005</v>
      </c>
      <c r="H22" s="5">
        <v>98.7</v>
      </c>
      <c r="I22" s="8">
        <v>80</v>
      </c>
      <c r="J22" s="8">
        <v>172</v>
      </c>
      <c r="K22" s="8">
        <v>282</v>
      </c>
      <c r="L22" s="8">
        <v>112</v>
      </c>
      <c r="M22" t="s">
        <v>1306</v>
      </c>
      <c r="N22" s="16" t="s">
        <v>23</v>
      </c>
      <c r="O22" s="16" t="s">
        <v>23</v>
      </c>
      <c r="P22" s="16" t="s">
        <v>24</v>
      </c>
      <c r="Q22" s="10" t="s">
        <v>54</v>
      </c>
      <c r="R22" s="3" t="str">
        <f t="shared" si="0"/>
        <v>132</v>
      </c>
      <c r="S22" s="3" t="str">
        <f t="shared" si="1"/>
        <v>92</v>
      </c>
      <c r="T22" s="16" t="s">
        <v>29</v>
      </c>
      <c r="U22" s="3">
        <v>19.7</v>
      </c>
      <c r="V22" s="16" t="str">
        <f>PROPER(Table1[[#This Row],[CVD Risk Level]])</f>
        <v>High</v>
      </c>
    </row>
    <row r="23" spans="1:22" x14ac:dyDescent="0.3">
      <c r="A23" t="s">
        <v>20</v>
      </c>
      <c r="B23" s="8">
        <v>39</v>
      </c>
      <c r="C23" s="8">
        <v>92.7</v>
      </c>
      <c r="D23" s="5">
        <v>1.61</v>
      </c>
      <c r="E23" s="5">
        <v>35.799999999999997</v>
      </c>
      <c r="F23" s="16" t="s">
        <v>1302</v>
      </c>
      <c r="G23" s="11">
        <v>0.65600000000000003</v>
      </c>
      <c r="H23" s="5">
        <v>105.6</v>
      </c>
      <c r="I23" s="8">
        <v>71</v>
      </c>
      <c r="J23" s="8">
        <v>75</v>
      </c>
      <c r="K23" s="8">
        <v>176</v>
      </c>
      <c r="L23" s="8">
        <v>85</v>
      </c>
      <c r="M23" t="s">
        <v>33</v>
      </c>
      <c r="N23" s="16" t="s">
        <v>23</v>
      </c>
      <c r="O23" s="16" t="s">
        <v>22</v>
      </c>
      <c r="P23" s="16" t="s">
        <v>24</v>
      </c>
      <c r="Q23" s="10" t="s">
        <v>55</v>
      </c>
      <c r="R23" s="3" t="str">
        <f t="shared" si="0"/>
        <v>120</v>
      </c>
      <c r="S23" s="3" t="str">
        <f t="shared" si="1"/>
        <v>89</v>
      </c>
      <c r="T23" s="16" t="s">
        <v>29</v>
      </c>
      <c r="U23" s="3">
        <v>16.68</v>
      </c>
      <c r="V23" s="16" t="str">
        <f>PROPER(Table1[[#This Row],[CVD Risk Level]])</f>
        <v>High</v>
      </c>
    </row>
    <row r="24" spans="1:22" x14ac:dyDescent="0.3">
      <c r="A24" t="s">
        <v>20</v>
      </c>
      <c r="B24" s="8">
        <v>34</v>
      </c>
      <c r="C24" s="8">
        <v>90.4</v>
      </c>
      <c r="D24" s="5">
        <v>1.901578291840754</v>
      </c>
      <c r="E24" s="5">
        <v>25</v>
      </c>
      <c r="F24" s="16" t="s">
        <v>1303</v>
      </c>
      <c r="G24" s="11">
        <v>0.376</v>
      </c>
      <c r="H24" s="5">
        <v>71.400000000000006</v>
      </c>
      <c r="I24" s="8">
        <v>76</v>
      </c>
      <c r="J24" s="8">
        <v>43</v>
      </c>
      <c r="K24" s="8">
        <v>149</v>
      </c>
      <c r="L24" s="8">
        <v>114</v>
      </c>
      <c r="M24" t="s">
        <v>1306</v>
      </c>
      <c r="N24" s="16" t="s">
        <v>22</v>
      </c>
      <c r="O24" s="16" t="s">
        <v>23</v>
      </c>
      <c r="P24" s="16" t="s">
        <v>24</v>
      </c>
      <c r="Q24" s="10" t="s">
        <v>56</v>
      </c>
      <c r="R24" s="3" t="str">
        <f t="shared" si="0"/>
        <v>121</v>
      </c>
      <c r="S24" s="3" t="str">
        <f t="shared" si="1"/>
        <v>79</v>
      </c>
      <c r="T24" s="16" t="s">
        <v>25</v>
      </c>
      <c r="U24" s="3">
        <v>16.03</v>
      </c>
      <c r="V24" s="16" t="str">
        <f>PROPER(Table1[[#This Row],[CVD Risk Level]])</f>
        <v>High</v>
      </c>
    </row>
    <row r="25" spans="1:22" x14ac:dyDescent="0.3">
      <c r="A25" t="s">
        <v>20</v>
      </c>
      <c r="B25" s="8">
        <v>35</v>
      </c>
      <c r="C25" s="8">
        <v>60.1</v>
      </c>
      <c r="D25" s="5">
        <v>1.76</v>
      </c>
      <c r="E25" s="5">
        <v>19.399999999999999</v>
      </c>
      <c r="F25" s="16" t="s">
        <v>33</v>
      </c>
      <c r="G25" s="11">
        <v>0.49399999999999999</v>
      </c>
      <c r="H25" s="5">
        <v>86.9</v>
      </c>
      <c r="I25" s="8">
        <v>65</v>
      </c>
      <c r="J25" s="8">
        <v>96</v>
      </c>
      <c r="K25" s="8">
        <v>191</v>
      </c>
      <c r="L25" s="8">
        <v>86</v>
      </c>
      <c r="M25" t="s">
        <v>33</v>
      </c>
      <c r="N25" s="16" t="s">
        <v>22</v>
      </c>
      <c r="O25" s="16" t="s">
        <v>22</v>
      </c>
      <c r="P25" s="16" t="s">
        <v>37</v>
      </c>
      <c r="Q25" s="10" t="s">
        <v>57</v>
      </c>
      <c r="R25" s="3" t="str">
        <f t="shared" si="0"/>
        <v>102</v>
      </c>
      <c r="S25" s="3" t="str">
        <f t="shared" si="1"/>
        <v>74</v>
      </c>
      <c r="T25" s="16" t="s">
        <v>33</v>
      </c>
      <c r="U25" s="3">
        <v>12.8</v>
      </c>
      <c r="V25" s="16" t="str">
        <f>PROPER(Table1[[#This Row],[CVD Risk Level]])</f>
        <v>Low</v>
      </c>
    </row>
    <row r="26" spans="1:22" x14ac:dyDescent="0.3">
      <c r="A26" t="s">
        <v>31</v>
      </c>
      <c r="B26" s="8">
        <v>36</v>
      </c>
      <c r="C26" s="8">
        <v>96</v>
      </c>
      <c r="D26" s="5">
        <v>1.63</v>
      </c>
      <c r="E26" s="5">
        <v>36.1</v>
      </c>
      <c r="F26" s="16" t="s">
        <v>1302</v>
      </c>
      <c r="G26" s="11">
        <v>0.48</v>
      </c>
      <c r="H26" s="5">
        <v>78.2</v>
      </c>
      <c r="I26" s="8">
        <v>39</v>
      </c>
      <c r="J26" s="8">
        <v>89</v>
      </c>
      <c r="K26" s="8">
        <v>158</v>
      </c>
      <c r="L26" s="8">
        <v>108</v>
      </c>
      <c r="M26" t="s">
        <v>1306</v>
      </c>
      <c r="N26" s="16" t="s">
        <v>23</v>
      </c>
      <c r="O26" s="16" t="s">
        <v>23</v>
      </c>
      <c r="P26" s="16" t="s">
        <v>24</v>
      </c>
      <c r="Q26" s="10" t="s">
        <v>58</v>
      </c>
      <c r="R26" s="3" t="str">
        <f t="shared" si="0"/>
        <v>98</v>
      </c>
      <c r="S26" s="3" t="str">
        <f t="shared" si="1"/>
        <v>99</v>
      </c>
      <c r="T26" s="16" t="s">
        <v>38</v>
      </c>
      <c r="U26" s="3">
        <v>17.28</v>
      </c>
      <c r="V26" s="16" t="str">
        <f>PROPER(Table1[[#This Row],[CVD Risk Level]])</f>
        <v>High</v>
      </c>
    </row>
    <row r="27" spans="1:22" x14ac:dyDescent="0.3">
      <c r="A27" t="s">
        <v>20</v>
      </c>
      <c r="B27" s="8">
        <v>53</v>
      </c>
      <c r="C27" s="8">
        <v>68.900000000000006</v>
      </c>
      <c r="D27" s="5">
        <v>1.88</v>
      </c>
      <c r="E27" s="5">
        <v>19.5</v>
      </c>
      <c r="F27" s="16" t="s">
        <v>33</v>
      </c>
      <c r="G27" s="11">
        <v>0.45</v>
      </c>
      <c r="H27" s="5">
        <v>84.6</v>
      </c>
      <c r="I27" s="8">
        <v>56.197377501725327</v>
      </c>
      <c r="J27" s="8">
        <v>47</v>
      </c>
      <c r="K27" s="8">
        <v>156</v>
      </c>
      <c r="L27" s="8">
        <v>128</v>
      </c>
      <c r="M27" t="s">
        <v>1307</v>
      </c>
      <c r="N27" s="16" t="s">
        <v>23</v>
      </c>
      <c r="O27" s="16" t="s">
        <v>23</v>
      </c>
      <c r="P27" s="16" t="s">
        <v>28</v>
      </c>
      <c r="Q27" s="10" t="s">
        <v>59</v>
      </c>
      <c r="R27" s="3" t="str">
        <f t="shared" si="0"/>
        <v>137</v>
      </c>
      <c r="S27" s="3" t="str">
        <f t="shared" si="1"/>
        <v>70</v>
      </c>
      <c r="T27" s="16" t="s">
        <v>29</v>
      </c>
      <c r="U27" s="3">
        <v>15.87</v>
      </c>
      <c r="V27" s="16" t="str">
        <f>PROPER(Table1[[#This Row],[CVD Risk Level]])</f>
        <v>High</v>
      </c>
    </row>
    <row r="28" spans="1:22" x14ac:dyDescent="0.3">
      <c r="A28" t="s">
        <v>20</v>
      </c>
      <c r="B28" s="8">
        <v>55</v>
      </c>
      <c r="C28" s="8">
        <v>96</v>
      </c>
      <c r="D28" s="5">
        <v>1.65</v>
      </c>
      <c r="E28" s="5">
        <v>35.299999999999997</v>
      </c>
      <c r="F28" s="16" t="s">
        <v>1302</v>
      </c>
      <c r="G28" s="11">
        <v>0.50700000000000001</v>
      </c>
      <c r="H28" s="5">
        <v>83.6</v>
      </c>
      <c r="I28" s="8">
        <v>41</v>
      </c>
      <c r="J28" s="8">
        <v>89</v>
      </c>
      <c r="K28" s="8">
        <v>160</v>
      </c>
      <c r="L28" s="8">
        <v>117.48563611491107</v>
      </c>
      <c r="M28" t="s">
        <v>1306</v>
      </c>
      <c r="N28" s="16" t="s">
        <v>22</v>
      </c>
      <c r="O28" s="16" t="s">
        <v>22</v>
      </c>
      <c r="P28" s="16" t="s">
        <v>24</v>
      </c>
      <c r="Q28" s="10" t="s">
        <v>60</v>
      </c>
      <c r="R28" s="3" t="str">
        <f t="shared" si="0"/>
        <v>148</v>
      </c>
      <c r="S28" s="3" t="str">
        <f t="shared" si="1"/>
        <v>97</v>
      </c>
      <c r="T28" s="16" t="s">
        <v>38</v>
      </c>
      <c r="U28" s="3">
        <v>17.66</v>
      </c>
      <c r="V28" s="16" t="str">
        <f>PROPER(Table1[[#This Row],[CVD Risk Level]])</f>
        <v>High</v>
      </c>
    </row>
    <row r="29" spans="1:22" x14ac:dyDescent="0.3">
      <c r="A29" t="s">
        <v>31</v>
      </c>
      <c r="B29" s="8">
        <v>47</v>
      </c>
      <c r="C29" s="8">
        <v>111.6</v>
      </c>
      <c r="D29" s="5">
        <v>1.73</v>
      </c>
      <c r="E29" s="5">
        <v>37.288248855624978</v>
      </c>
      <c r="F29" s="16" t="s">
        <v>1302</v>
      </c>
      <c r="G29" s="11">
        <v>0.439</v>
      </c>
      <c r="H29" s="5">
        <v>75.900000000000006</v>
      </c>
      <c r="I29" s="8">
        <v>64</v>
      </c>
      <c r="J29" s="8">
        <v>189</v>
      </c>
      <c r="K29" s="8">
        <v>283</v>
      </c>
      <c r="L29" s="8">
        <v>142</v>
      </c>
      <c r="M29" t="s">
        <v>1307</v>
      </c>
      <c r="N29" s="16" t="s">
        <v>23</v>
      </c>
      <c r="O29" s="16" t="s">
        <v>22</v>
      </c>
      <c r="P29" s="16" t="s">
        <v>24</v>
      </c>
      <c r="Q29" s="10" t="s">
        <v>61</v>
      </c>
      <c r="R29" s="3" t="str">
        <f t="shared" si="0"/>
        <v>128</v>
      </c>
      <c r="S29" s="3" t="str">
        <f t="shared" si="1"/>
        <v>66</v>
      </c>
      <c r="T29" s="16" t="s">
        <v>25</v>
      </c>
      <c r="U29" s="3">
        <v>19.52</v>
      </c>
      <c r="V29" s="16" t="str">
        <f>PROPER(Table1[[#This Row],[CVD Risk Level]])</f>
        <v>High</v>
      </c>
    </row>
    <row r="30" spans="1:22" x14ac:dyDescent="0.3">
      <c r="A30" t="s">
        <v>31</v>
      </c>
      <c r="B30" s="8">
        <v>55</v>
      </c>
      <c r="C30" s="8">
        <v>106</v>
      </c>
      <c r="D30" s="5">
        <v>1.82</v>
      </c>
      <c r="E30" s="5">
        <v>32</v>
      </c>
      <c r="F30" s="16" t="s">
        <v>1302</v>
      </c>
      <c r="G30" s="11">
        <v>0.60099999999999998</v>
      </c>
      <c r="H30" s="5">
        <v>109.3</v>
      </c>
      <c r="I30" s="8">
        <v>35</v>
      </c>
      <c r="J30" s="8">
        <v>222</v>
      </c>
      <c r="K30" s="8">
        <v>287</v>
      </c>
      <c r="L30" s="8">
        <v>130</v>
      </c>
      <c r="M30" t="s">
        <v>1307</v>
      </c>
      <c r="N30" s="16" t="s">
        <v>22</v>
      </c>
      <c r="O30" s="16" t="s">
        <v>23</v>
      </c>
      <c r="P30" s="16" t="s">
        <v>37</v>
      </c>
      <c r="Q30" s="10" t="s">
        <v>62</v>
      </c>
      <c r="R30" s="3" t="str">
        <f t="shared" si="0"/>
        <v>97</v>
      </c>
      <c r="S30" s="3" t="str">
        <f t="shared" si="1"/>
        <v>63</v>
      </c>
      <c r="T30" s="16" t="s">
        <v>33</v>
      </c>
      <c r="U30" s="3">
        <v>18.989999999999998</v>
      </c>
      <c r="V30" s="16" t="str">
        <f>PROPER(Table1[[#This Row],[CVD Risk Level]])</f>
        <v>High</v>
      </c>
    </row>
    <row r="31" spans="1:22" x14ac:dyDescent="0.3">
      <c r="A31" t="s">
        <v>31</v>
      </c>
      <c r="B31" s="8">
        <v>30</v>
      </c>
      <c r="C31" s="8">
        <v>75.685140000000018</v>
      </c>
      <c r="D31" s="5">
        <v>1.83</v>
      </c>
      <c r="E31" s="5">
        <v>22.6</v>
      </c>
      <c r="F31" s="16" t="s">
        <v>33</v>
      </c>
      <c r="G31" s="11">
        <v>0.41</v>
      </c>
      <c r="H31" s="5">
        <v>75.099999999999994</v>
      </c>
      <c r="I31" s="8">
        <v>32</v>
      </c>
      <c r="J31" s="8">
        <v>215</v>
      </c>
      <c r="K31" s="8">
        <v>277</v>
      </c>
      <c r="L31" s="8">
        <v>73</v>
      </c>
      <c r="M31" t="s">
        <v>33</v>
      </c>
      <c r="N31" s="16" t="s">
        <v>23</v>
      </c>
      <c r="O31" s="16" t="s">
        <v>22</v>
      </c>
      <c r="P31" s="16" t="s">
        <v>37</v>
      </c>
      <c r="Q31" s="10" t="s">
        <v>63</v>
      </c>
      <c r="R31" s="3" t="str">
        <f t="shared" si="0"/>
        <v>91</v>
      </c>
      <c r="S31" s="3" t="str">
        <f t="shared" si="1"/>
        <v>95</v>
      </c>
      <c r="T31" s="16" t="s">
        <v>38</v>
      </c>
      <c r="U31" s="3">
        <v>14.61</v>
      </c>
      <c r="V31" s="16" t="str">
        <f>PROPER(Table1[[#This Row],[CVD Risk Level]])</f>
        <v>High</v>
      </c>
    </row>
    <row r="32" spans="1:22" x14ac:dyDescent="0.3">
      <c r="A32" t="s">
        <v>20</v>
      </c>
      <c r="B32" s="8">
        <v>58</v>
      </c>
      <c r="C32" s="8">
        <v>64.7</v>
      </c>
      <c r="D32" s="5">
        <v>1.64</v>
      </c>
      <c r="E32" s="5">
        <v>24.1</v>
      </c>
      <c r="F32" s="16" t="s">
        <v>33</v>
      </c>
      <c r="G32" s="11">
        <v>0.50060975609756098</v>
      </c>
      <c r="H32" s="5">
        <v>82.1</v>
      </c>
      <c r="I32" s="8">
        <v>40</v>
      </c>
      <c r="J32" s="8">
        <v>81</v>
      </c>
      <c r="K32" s="8">
        <v>151</v>
      </c>
      <c r="L32" s="8">
        <v>123</v>
      </c>
      <c r="M32" t="s">
        <v>1306</v>
      </c>
      <c r="N32" s="16" t="s">
        <v>23</v>
      </c>
      <c r="O32" s="16" t="s">
        <v>22</v>
      </c>
      <c r="P32" s="16" t="s">
        <v>24</v>
      </c>
      <c r="Q32" s="10" t="s">
        <v>64</v>
      </c>
      <c r="R32" s="3" t="str">
        <f t="shared" si="0"/>
        <v>97</v>
      </c>
      <c r="S32" s="3" t="str">
        <f t="shared" si="1"/>
        <v>75</v>
      </c>
      <c r="T32" s="16" t="s">
        <v>33</v>
      </c>
      <c r="U32" s="3">
        <v>12.69</v>
      </c>
      <c r="V32" s="16" t="str">
        <f>PROPER(Table1[[#This Row],[CVD Risk Level]])</f>
        <v>Intermediary</v>
      </c>
    </row>
    <row r="33" spans="1:22" x14ac:dyDescent="0.3">
      <c r="A33" t="s">
        <v>20</v>
      </c>
      <c r="B33" s="8">
        <v>31</v>
      </c>
      <c r="C33" s="8">
        <v>51.6</v>
      </c>
      <c r="D33" s="5">
        <v>1.71</v>
      </c>
      <c r="E33" s="5">
        <v>17.600000000000001</v>
      </c>
      <c r="F33" s="16" t="s">
        <v>1304</v>
      </c>
      <c r="G33" s="11">
        <v>0.54800000000000004</v>
      </c>
      <c r="H33" s="5">
        <v>93.7</v>
      </c>
      <c r="I33" s="8">
        <v>79</v>
      </c>
      <c r="J33" s="8">
        <v>56</v>
      </c>
      <c r="K33" s="8">
        <v>165</v>
      </c>
      <c r="L33" s="8">
        <v>136</v>
      </c>
      <c r="M33" t="s">
        <v>1307</v>
      </c>
      <c r="N33" s="16" t="s">
        <v>23</v>
      </c>
      <c r="O33" s="16" t="s">
        <v>23</v>
      </c>
      <c r="P33" s="16" t="s">
        <v>24</v>
      </c>
      <c r="Q33" s="10" t="s">
        <v>65</v>
      </c>
      <c r="R33" s="3" t="str">
        <f t="shared" si="0"/>
        <v>109</v>
      </c>
      <c r="S33" s="3" t="str">
        <f t="shared" si="1"/>
        <v>64</v>
      </c>
      <c r="T33" s="16" t="s">
        <v>33</v>
      </c>
      <c r="U33" s="3">
        <v>14.27</v>
      </c>
      <c r="V33" s="16" t="str">
        <f>PROPER(Table1[[#This Row],[CVD Risk Level]])</f>
        <v>Intermediary</v>
      </c>
    </row>
    <row r="34" spans="1:22" x14ac:dyDescent="0.3">
      <c r="A34" t="s">
        <v>31</v>
      </c>
      <c r="B34" s="8">
        <v>55</v>
      </c>
      <c r="C34" s="8">
        <v>112.8</v>
      </c>
      <c r="D34" s="5">
        <v>1.74</v>
      </c>
      <c r="E34" s="5">
        <v>37.299999999999997</v>
      </c>
      <c r="F34" s="16" t="s">
        <v>1302</v>
      </c>
      <c r="G34" s="11">
        <v>0.46500000000000002</v>
      </c>
      <c r="H34" s="5">
        <v>80.900000000000006</v>
      </c>
      <c r="I34" s="8">
        <v>32</v>
      </c>
      <c r="J34" s="8">
        <v>83</v>
      </c>
      <c r="K34" s="8">
        <v>145</v>
      </c>
      <c r="L34" s="8">
        <v>150</v>
      </c>
      <c r="M34" t="s">
        <v>1307</v>
      </c>
      <c r="N34" s="16" t="s">
        <v>23</v>
      </c>
      <c r="O34" s="16" t="s">
        <v>23</v>
      </c>
      <c r="P34" s="16" t="s">
        <v>28</v>
      </c>
      <c r="Q34" s="10" t="s">
        <v>66</v>
      </c>
      <c r="R34" s="3" t="str">
        <f t="shared" si="0"/>
        <v>106</v>
      </c>
      <c r="S34" s="3" t="str">
        <f t="shared" si="1"/>
        <v>87</v>
      </c>
      <c r="T34" s="16" t="s">
        <v>29</v>
      </c>
      <c r="U34" s="3">
        <v>17.66</v>
      </c>
      <c r="V34" s="16" t="str">
        <f>PROPER(Table1[[#This Row],[CVD Risk Level]])</f>
        <v>High</v>
      </c>
    </row>
    <row r="35" spans="1:22" x14ac:dyDescent="0.3">
      <c r="A35" t="s">
        <v>31</v>
      </c>
      <c r="B35" s="8">
        <v>37</v>
      </c>
      <c r="C35" s="8">
        <v>108.4</v>
      </c>
      <c r="D35" s="5">
        <v>1.7304551823498773</v>
      </c>
      <c r="E35" s="5">
        <v>36.200000000000003</v>
      </c>
      <c r="F35" s="16" t="s">
        <v>1302</v>
      </c>
      <c r="G35" s="11">
        <v>0.46300000000000002</v>
      </c>
      <c r="H35" s="5">
        <v>80.099999999999994</v>
      </c>
      <c r="I35" s="8">
        <v>48</v>
      </c>
      <c r="J35" s="8">
        <v>55</v>
      </c>
      <c r="K35" s="8">
        <v>206</v>
      </c>
      <c r="L35" s="8">
        <v>145</v>
      </c>
      <c r="M35" t="s">
        <v>1307</v>
      </c>
      <c r="N35" s="16" t="s">
        <v>23</v>
      </c>
      <c r="O35" s="16" t="s">
        <v>22</v>
      </c>
      <c r="P35" s="16" t="s">
        <v>37</v>
      </c>
      <c r="Q35" s="10" t="s">
        <v>67</v>
      </c>
      <c r="R35" s="3" t="str">
        <f t="shared" si="0"/>
        <v>100</v>
      </c>
      <c r="S35" s="3" t="str">
        <f t="shared" si="1"/>
        <v>83</v>
      </c>
      <c r="T35" s="16" t="s">
        <v>29</v>
      </c>
      <c r="U35" s="3">
        <v>14.9</v>
      </c>
      <c r="V35" s="16" t="str">
        <f>PROPER(Table1[[#This Row],[CVD Risk Level]])</f>
        <v>Intermediary</v>
      </c>
    </row>
    <row r="36" spans="1:22" x14ac:dyDescent="0.3">
      <c r="A36" t="s">
        <v>31</v>
      </c>
      <c r="B36" s="8">
        <v>32</v>
      </c>
      <c r="C36" s="8">
        <v>62.985600000000012</v>
      </c>
      <c r="D36" s="5">
        <v>1.62</v>
      </c>
      <c r="E36" s="5">
        <v>24</v>
      </c>
      <c r="F36" s="16" t="s">
        <v>33</v>
      </c>
      <c r="G36" s="11">
        <v>0.65100000000000002</v>
      </c>
      <c r="H36" s="5">
        <v>105.5</v>
      </c>
      <c r="I36" s="8">
        <v>74</v>
      </c>
      <c r="J36" s="8">
        <v>51</v>
      </c>
      <c r="K36" s="8">
        <v>155</v>
      </c>
      <c r="L36" s="8">
        <v>130</v>
      </c>
      <c r="M36" t="s">
        <v>1307</v>
      </c>
      <c r="N36" s="16" t="s">
        <v>22</v>
      </c>
      <c r="O36" s="16" t="s">
        <v>22</v>
      </c>
      <c r="P36" s="16" t="s">
        <v>24</v>
      </c>
      <c r="Q36" s="10" t="s">
        <v>68</v>
      </c>
      <c r="R36" s="3" t="str">
        <f t="shared" si="0"/>
        <v>122</v>
      </c>
      <c r="S36" s="3" t="str">
        <f t="shared" si="1"/>
        <v>84</v>
      </c>
      <c r="T36" s="16" t="s">
        <v>29</v>
      </c>
      <c r="U36" s="3">
        <v>14</v>
      </c>
      <c r="V36" s="16" t="str">
        <f>PROPER(Table1[[#This Row],[CVD Risk Level]])</f>
        <v>Low</v>
      </c>
    </row>
    <row r="37" spans="1:22" x14ac:dyDescent="0.3">
      <c r="A37" t="s">
        <v>31</v>
      </c>
      <c r="B37" s="8">
        <v>45</v>
      </c>
      <c r="C37" s="8">
        <v>58.7</v>
      </c>
      <c r="D37" s="5">
        <v>1.73</v>
      </c>
      <c r="E37" s="5">
        <v>19.600000000000001</v>
      </c>
      <c r="F37" s="16" t="s">
        <v>33</v>
      </c>
      <c r="G37" s="11">
        <v>0.46</v>
      </c>
      <c r="H37" s="5">
        <v>79.58</v>
      </c>
      <c r="I37" s="8">
        <v>73</v>
      </c>
      <c r="J37" s="8">
        <v>183</v>
      </c>
      <c r="K37" s="8">
        <v>286</v>
      </c>
      <c r="L37" s="8">
        <v>141</v>
      </c>
      <c r="M37" t="s">
        <v>1307</v>
      </c>
      <c r="N37" s="16" t="s">
        <v>22</v>
      </c>
      <c r="O37" s="16" t="s">
        <v>23</v>
      </c>
      <c r="P37" s="16" t="s">
        <v>28</v>
      </c>
      <c r="Q37" s="10" t="s">
        <v>69</v>
      </c>
      <c r="R37" s="3" t="str">
        <f t="shared" si="0"/>
        <v>136</v>
      </c>
      <c r="S37" s="3" t="str">
        <f t="shared" si="1"/>
        <v>80</v>
      </c>
      <c r="T37" s="16" t="s">
        <v>29</v>
      </c>
      <c r="U37" s="3">
        <v>18.440000000000001</v>
      </c>
      <c r="V37" s="16" t="str">
        <f>PROPER(Table1[[#This Row],[CVD Risk Level]])</f>
        <v>Intermediary</v>
      </c>
    </row>
    <row r="38" spans="1:22" x14ac:dyDescent="0.3">
      <c r="A38" t="s">
        <v>20</v>
      </c>
      <c r="B38" s="8">
        <v>32</v>
      </c>
      <c r="C38" s="8">
        <v>116.2</v>
      </c>
      <c r="D38" s="5">
        <v>1.7793854371832836</v>
      </c>
      <c r="E38" s="5">
        <v>36.700000000000003</v>
      </c>
      <c r="F38" s="16" t="s">
        <v>1302</v>
      </c>
      <c r="G38" s="11">
        <v>0.504</v>
      </c>
      <c r="H38" s="5">
        <v>89.8</v>
      </c>
      <c r="I38" s="8">
        <v>52</v>
      </c>
      <c r="J38" s="8">
        <v>33</v>
      </c>
      <c r="K38" s="8">
        <v>115</v>
      </c>
      <c r="L38" s="8">
        <v>147</v>
      </c>
      <c r="M38" t="s">
        <v>1307</v>
      </c>
      <c r="N38" s="16" t="s">
        <v>22</v>
      </c>
      <c r="O38" s="16" t="s">
        <v>23</v>
      </c>
      <c r="P38" s="16" t="s">
        <v>37</v>
      </c>
      <c r="Q38" s="10" t="s">
        <v>70</v>
      </c>
      <c r="R38" s="3" t="str">
        <f t="shared" si="0"/>
        <v>99</v>
      </c>
      <c r="S38" s="3" t="str">
        <f t="shared" si="1"/>
        <v>99</v>
      </c>
      <c r="T38" s="16" t="s">
        <v>38</v>
      </c>
      <c r="U38" s="3">
        <v>16.59</v>
      </c>
      <c r="V38" s="16" t="str">
        <f>PROPER(Table1[[#This Row],[CVD Risk Level]])</f>
        <v>Intermediary</v>
      </c>
    </row>
    <row r="39" spans="1:22" x14ac:dyDescent="0.3">
      <c r="A39" t="s">
        <v>20</v>
      </c>
      <c r="B39" s="8">
        <v>42</v>
      </c>
      <c r="C39" s="8">
        <v>100.4</v>
      </c>
      <c r="D39" s="5">
        <v>1.77</v>
      </c>
      <c r="E39" s="5">
        <v>32</v>
      </c>
      <c r="F39" s="16" t="s">
        <v>1302</v>
      </c>
      <c r="G39" s="11">
        <v>0.46600000000000003</v>
      </c>
      <c r="H39" s="5">
        <v>82.5</v>
      </c>
      <c r="I39" s="8">
        <v>75</v>
      </c>
      <c r="J39" s="8">
        <v>59</v>
      </c>
      <c r="K39" s="8">
        <v>164</v>
      </c>
      <c r="L39" s="8">
        <v>96</v>
      </c>
      <c r="M39" t="s">
        <v>33</v>
      </c>
      <c r="N39" s="16" t="s">
        <v>22</v>
      </c>
      <c r="O39" s="16" t="s">
        <v>23</v>
      </c>
      <c r="P39" s="16" t="s">
        <v>28</v>
      </c>
      <c r="Q39" s="10" t="s">
        <v>71</v>
      </c>
      <c r="R39" s="3" t="str">
        <f t="shared" si="0"/>
        <v>144</v>
      </c>
      <c r="S39" s="3" t="str">
        <f t="shared" si="1"/>
        <v>73</v>
      </c>
      <c r="T39" s="16" t="s">
        <v>38</v>
      </c>
      <c r="U39" s="3">
        <v>18.88</v>
      </c>
      <c r="V39" s="16" t="str">
        <f>PROPER(Table1[[#This Row],[CVD Risk Level]])</f>
        <v>Intermediary</v>
      </c>
    </row>
    <row r="40" spans="1:22" x14ac:dyDescent="0.3">
      <c r="A40" t="s">
        <v>31</v>
      </c>
      <c r="B40" s="8">
        <v>33</v>
      </c>
      <c r="C40" s="8">
        <v>81.599999999999994</v>
      </c>
      <c r="D40" s="5">
        <v>1.87</v>
      </c>
      <c r="E40" s="5">
        <v>23.3</v>
      </c>
      <c r="F40" s="16" t="s">
        <v>33</v>
      </c>
      <c r="G40" s="11">
        <v>0.374</v>
      </c>
      <c r="H40" s="5">
        <v>70</v>
      </c>
      <c r="I40" s="8">
        <v>69</v>
      </c>
      <c r="J40" s="8">
        <v>186</v>
      </c>
      <c r="K40" s="8">
        <v>285</v>
      </c>
      <c r="L40" s="8">
        <v>117.48563611491107</v>
      </c>
      <c r="M40" t="s">
        <v>1306</v>
      </c>
      <c r="N40" s="16" t="s">
        <v>22</v>
      </c>
      <c r="O40" s="16" t="s">
        <v>22</v>
      </c>
      <c r="P40" s="16" t="s">
        <v>24</v>
      </c>
      <c r="Q40" s="10" t="s">
        <v>72</v>
      </c>
      <c r="R40" s="3" t="str">
        <f t="shared" si="0"/>
        <v>130</v>
      </c>
      <c r="S40" s="3" t="str">
        <f t="shared" si="1"/>
        <v>75</v>
      </c>
      <c r="T40" s="16" t="s">
        <v>29</v>
      </c>
      <c r="U40" s="3">
        <v>16.86</v>
      </c>
      <c r="V40" s="16" t="str">
        <f>PROPER(Table1[[#This Row],[CVD Risk Level]])</f>
        <v>Intermediary</v>
      </c>
    </row>
    <row r="41" spans="1:22" x14ac:dyDescent="0.3">
      <c r="A41" t="s">
        <v>31</v>
      </c>
      <c r="B41" s="8">
        <v>46</v>
      </c>
      <c r="C41" s="8">
        <v>69.3</v>
      </c>
      <c r="D41" s="5">
        <v>1.63</v>
      </c>
      <c r="E41" s="5">
        <v>26.1</v>
      </c>
      <c r="F41" s="16" t="s">
        <v>1303</v>
      </c>
      <c r="G41" s="11">
        <v>0.629</v>
      </c>
      <c r="H41" s="5">
        <v>102.6</v>
      </c>
      <c r="I41" s="8">
        <v>74</v>
      </c>
      <c r="J41" s="8">
        <v>7</v>
      </c>
      <c r="K41" s="8">
        <v>111</v>
      </c>
      <c r="L41" s="8">
        <v>94</v>
      </c>
      <c r="M41" t="s">
        <v>33</v>
      </c>
      <c r="N41" s="16" t="s">
        <v>22</v>
      </c>
      <c r="O41" s="16" t="s">
        <v>22</v>
      </c>
      <c r="P41" s="16" t="s">
        <v>24</v>
      </c>
      <c r="Q41" s="10" t="s">
        <v>73</v>
      </c>
      <c r="R41" s="3" t="str">
        <f t="shared" si="0"/>
        <v>134</v>
      </c>
      <c r="S41" s="3" t="str">
        <f t="shared" si="1"/>
        <v>64</v>
      </c>
      <c r="T41" s="16" t="s">
        <v>29</v>
      </c>
      <c r="U41" s="3">
        <v>16.960925291295425</v>
      </c>
      <c r="V41" s="16" t="str">
        <f>PROPER(Table1[[#This Row],[CVD Risk Level]])</f>
        <v>Intermediary</v>
      </c>
    </row>
    <row r="42" spans="1:22" x14ac:dyDescent="0.3">
      <c r="A42" t="s">
        <v>20</v>
      </c>
      <c r="B42" s="8">
        <v>47.025499655410059</v>
      </c>
      <c r="C42" s="8">
        <v>109.2</v>
      </c>
      <c r="D42" s="5">
        <v>1.74</v>
      </c>
      <c r="E42" s="5">
        <v>36.1</v>
      </c>
      <c r="F42" s="16" t="s">
        <v>1302</v>
      </c>
      <c r="G42" s="11">
        <v>0.46</v>
      </c>
      <c r="H42" s="5">
        <v>80.099999999999994</v>
      </c>
      <c r="I42" s="8">
        <v>65</v>
      </c>
      <c r="J42" s="8">
        <v>60</v>
      </c>
      <c r="K42" s="8">
        <v>155</v>
      </c>
      <c r="L42" s="8">
        <v>138</v>
      </c>
      <c r="M42" t="s">
        <v>1307</v>
      </c>
      <c r="N42" s="16" t="s">
        <v>23</v>
      </c>
      <c r="O42" s="16" t="s">
        <v>22</v>
      </c>
      <c r="P42" s="16" t="s">
        <v>24</v>
      </c>
      <c r="Q42" s="10" t="s">
        <v>74</v>
      </c>
      <c r="R42" s="3" t="str">
        <f t="shared" si="0"/>
        <v>117</v>
      </c>
      <c r="S42" s="3" t="str">
        <f t="shared" si="1"/>
        <v>85</v>
      </c>
      <c r="T42" s="16" t="s">
        <v>29</v>
      </c>
      <c r="U42" s="3">
        <v>16.170000000000002</v>
      </c>
      <c r="V42" s="16" t="str">
        <f>PROPER(Table1[[#This Row],[CVD Risk Level]])</f>
        <v>High</v>
      </c>
    </row>
    <row r="43" spans="1:22" x14ac:dyDescent="0.3">
      <c r="A43" t="s">
        <v>20</v>
      </c>
      <c r="B43" s="8">
        <v>51</v>
      </c>
      <c r="C43" s="8">
        <v>102.1</v>
      </c>
      <c r="D43" s="5">
        <v>1.9</v>
      </c>
      <c r="E43" s="5">
        <v>28.3</v>
      </c>
      <c r="F43" s="16" t="s">
        <v>1303</v>
      </c>
      <c r="G43" s="11">
        <v>0.49526315789473679</v>
      </c>
      <c r="H43" s="5">
        <v>94.1</v>
      </c>
      <c r="I43" s="8">
        <v>38</v>
      </c>
      <c r="J43" s="8">
        <v>229</v>
      </c>
      <c r="K43" s="8">
        <v>297</v>
      </c>
      <c r="L43" s="8">
        <v>98</v>
      </c>
      <c r="M43" t="s">
        <v>33</v>
      </c>
      <c r="N43" s="16" t="s">
        <v>23</v>
      </c>
      <c r="O43" s="16" t="s">
        <v>22</v>
      </c>
      <c r="P43" s="16" t="s">
        <v>28</v>
      </c>
      <c r="Q43" s="10" t="s">
        <v>75</v>
      </c>
      <c r="R43" s="3" t="str">
        <f t="shared" si="0"/>
        <v>116</v>
      </c>
      <c r="S43" s="3" t="str">
        <f t="shared" si="1"/>
        <v>61</v>
      </c>
      <c r="T43" s="16" t="s">
        <v>33</v>
      </c>
      <c r="U43" s="3">
        <v>17.399999999999999</v>
      </c>
      <c r="V43" s="16" t="str">
        <f>PROPER(Table1[[#This Row],[CVD Risk Level]])</f>
        <v>High</v>
      </c>
    </row>
    <row r="44" spans="1:22" x14ac:dyDescent="0.3">
      <c r="A44" t="s">
        <v>20</v>
      </c>
      <c r="B44" s="8">
        <v>43</v>
      </c>
      <c r="C44" s="8">
        <v>71.400000000000006</v>
      </c>
      <c r="D44" s="5">
        <v>1.76</v>
      </c>
      <c r="E44" s="5">
        <v>23.1</v>
      </c>
      <c r="F44" s="16" t="s">
        <v>33</v>
      </c>
      <c r="G44" s="11">
        <v>0.55500000000000005</v>
      </c>
      <c r="H44" s="5">
        <v>97.7</v>
      </c>
      <c r="I44" s="8">
        <v>50</v>
      </c>
      <c r="J44" s="8">
        <v>43</v>
      </c>
      <c r="K44" s="8">
        <v>123</v>
      </c>
      <c r="L44" s="8">
        <v>125</v>
      </c>
      <c r="M44" t="s">
        <v>1306</v>
      </c>
      <c r="N44" s="16" t="s">
        <v>23</v>
      </c>
      <c r="O44" s="16" t="s">
        <v>22</v>
      </c>
      <c r="P44" s="16" t="s">
        <v>28</v>
      </c>
      <c r="Q44" s="10" t="s">
        <v>76</v>
      </c>
      <c r="R44" s="3" t="str">
        <f t="shared" si="0"/>
        <v>105</v>
      </c>
      <c r="S44" s="3" t="str">
        <f t="shared" si="1"/>
        <v>64</v>
      </c>
      <c r="T44" s="16" t="s">
        <v>33</v>
      </c>
      <c r="U44" s="3">
        <v>12.33</v>
      </c>
      <c r="V44" s="16" t="str">
        <f>PROPER(Table1[[#This Row],[CVD Risk Level]])</f>
        <v>Intermediary</v>
      </c>
    </row>
    <row r="45" spans="1:22" x14ac:dyDescent="0.3">
      <c r="A45" t="s">
        <v>20</v>
      </c>
      <c r="B45" s="8">
        <v>44</v>
      </c>
      <c r="C45" s="8">
        <v>64.400000000000006</v>
      </c>
      <c r="D45" s="5">
        <v>1.76</v>
      </c>
      <c r="E45" s="5">
        <v>20.8</v>
      </c>
      <c r="F45" s="16" t="s">
        <v>33</v>
      </c>
      <c r="G45" s="11">
        <v>0.57159090909090904</v>
      </c>
      <c r="H45" s="5">
        <v>100.6</v>
      </c>
      <c r="I45" s="8">
        <v>49</v>
      </c>
      <c r="J45" s="8">
        <v>53</v>
      </c>
      <c r="K45" s="8">
        <v>132</v>
      </c>
      <c r="L45" s="8">
        <v>145</v>
      </c>
      <c r="M45" t="s">
        <v>1307</v>
      </c>
      <c r="N45" s="16" t="s">
        <v>23</v>
      </c>
      <c r="O45" s="16" t="s">
        <v>23</v>
      </c>
      <c r="P45" s="16" t="s">
        <v>37</v>
      </c>
      <c r="Q45" s="10" t="s">
        <v>77</v>
      </c>
      <c r="R45" s="3" t="str">
        <f t="shared" si="0"/>
        <v>129</v>
      </c>
      <c r="S45" s="3" t="str">
        <f t="shared" si="1"/>
        <v>78</v>
      </c>
      <c r="T45" s="16" t="s">
        <v>25</v>
      </c>
      <c r="U45" s="3">
        <v>15.25</v>
      </c>
      <c r="V45" s="16" t="str">
        <f>PROPER(Table1[[#This Row],[CVD Risk Level]])</f>
        <v>Intermediary</v>
      </c>
    </row>
    <row r="46" spans="1:22" x14ac:dyDescent="0.3">
      <c r="A46" t="s">
        <v>20</v>
      </c>
      <c r="B46" s="8">
        <v>47.025499655410059</v>
      </c>
      <c r="C46" s="8">
        <v>105.16281000000001</v>
      </c>
      <c r="D46" s="5">
        <v>1.81</v>
      </c>
      <c r="E46" s="5">
        <v>32.1</v>
      </c>
      <c r="F46" s="16" t="s">
        <v>1302</v>
      </c>
      <c r="G46" s="11">
        <v>0.41799999999999998</v>
      </c>
      <c r="H46" s="5">
        <v>75.7</v>
      </c>
      <c r="I46" s="8">
        <v>69</v>
      </c>
      <c r="J46" s="8">
        <v>45</v>
      </c>
      <c r="K46" s="8">
        <v>144</v>
      </c>
      <c r="L46" s="8">
        <v>129</v>
      </c>
      <c r="M46" t="s">
        <v>1307</v>
      </c>
      <c r="N46" s="16" t="s">
        <v>22</v>
      </c>
      <c r="O46" s="16" t="s">
        <v>23</v>
      </c>
      <c r="P46" s="16" t="s">
        <v>37</v>
      </c>
      <c r="Q46" s="10" t="s">
        <v>78</v>
      </c>
      <c r="R46" s="3" t="str">
        <f t="shared" si="0"/>
        <v>94</v>
      </c>
      <c r="S46" s="3" t="str">
        <f t="shared" si="1"/>
        <v>61</v>
      </c>
      <c r="T46" s="16" t="s">
        <v>33</v>
      </c>
      <c r="U46" s="3">
        <v>16</v>
      </c>
      <c r="V46" s="16" t="str">
        <f>PROPER(Table1[[#This Row],[CVD Risk Level]])</f>
        <v>Intermediary</v>
      </c>
    </row>
    <row r="47" spans="1:22" x14ac:dyDescent="0.3">
      <c r="A47" t="s">
        <v>20</v>
      </c>
      <c r="B47" s="8">
        <v>31</v>
      </c>
      <c r="C47" s="8">
        <v>115.5</v>
      </c>
      <c r="D47" s="5">
        <v>1.64</v>
      </c>
      <c r="E47" s="5">
        <v>42.9</v>
      </c>
      <c r="F47" s="16" t="s">
        <v>1302</v>
      </c>
      <c r="G47" s="11">
        <v>0.44800000000000001</v>
      </c>
      <c r="H47" s="5">
        <v>73.400000000000006</v>
      </c>
      <c r="I47" s="8">
        <v>56.197377501725327</v>
      </c>
      <c r="J47" s="8">
        <v>156</v>
      </c>
      <c r="K47" s="8">
        <v>229</v>
      </c>
      <c r="L47" s="8">
        <v>85</v>
      </c>
      <c r="M47" t="s">
        <v>33</v>
      </c>
      <c r="N47" s="16" t="s">
        <v>22</v>
      </c>
      <c r="O47" s="16" t="s">
        <v>23</v>
      </c>
      <c r="P47" s="16" t="s">
        <v>28</v>
      </c>
      <c r="Q47" s="10" t="s">
        <v>79</v>
      </c>
      <c r="R47" s="3" t="str">
        <f t="shared" si="0"/>
        <v>129</v>
      </c>
      <c r="S47" s="3" t="str">
        <f t="shared" si="1"/>
        <v>75</v>
      </c>
      <c r="T47" s="16" t="s">
        <v>25</v>
      </c>
      <c r="U47" s="3">
        <v>21.61</v>
      </c>
      <c r="V47" s="16" t="str">
        <f>PROPER(Table1[[#This Row],[CVD Risk Level]])</f>
        <v>High</v>
      </c>
    </row>
    <row r="48" spans="1:22" x14ac:dyDescent="0.3">
      <c r="A48" t="s">
        <v>20</v>
      </c>
      <c r="B48" s="8">
        <v>48</v>
      </c>
      <c r="C48" s="8">
        <v>81.8</v>
      </c>
      <c r="D48" s="5">
        <v>1.61</v>
      </c>
      <c r="E48" s="5">
        <v>31.6</v>
      </c>
      <c r="F48" s="16" t="s">
        <v>1302</v>
      </c>
      <c r="G48" s="11">
        <v>0.55000000000000004</v>
      </c>
      <c r="H48" s="5">
        <v>88.5</v>
      </c>
      <c r="I48" s="8">
        <v>31</v>
      </c>
      <c r="J48" s="8">
        <v>109</v>
      </c>
      <c r="K48" s="8">
        <v>111</v>
      </c>
      <c r="L48" s="8">
        <v>123</v>
      </c>
      <c r="M48" t="s">
        <v>1306</v>
      </c>
      <c r="N48" s="16" t="s">
        <v>22</v>
      </c>
      <c r="O48" s="16" t="s">
        <v>23</v>
      </c>
      <c r="P48" s="16" t="s">
        <v>37</v>
      </c>
      <c r="Q48" s="10" t="s">
        <v>80</v>
      </c>
      <c r="R48" s="3" t="str">
        <f t="shared" si="0"/>
        <v>110</v>
      </c>
      <c r="S48" s="3" t="str">
        <f t="shared" si="1"/>
        <v>74</v>
      </c>
      <c r="T48" s="16" t="s">
        <v>33</v>
      </c>
      <c r="U48" s="3">
        <v>16.04</v>
      </c>
      <c r="V48" s="16" t="str">
        <f>PROPER(Table1[[#This Row],[CVD Risk Level]])</f>
        <v>High</v>
      </c>
    </row>
    <row r="49" spans="1:22" x14ac:dyDescent="0.3">
      <c r="A49" t="s">
        <v>31</v>
      </c>
      <c r="B49" s="8">
        <v>34</v>
      </c>
      <c r="C49" s="8">
        <v>107.02206</v>
      </c>
      <c r="D49" s="5">
        <v>1.71</v>
      </c>
      <c r="E49" s="5">
        <v>36.6</v>
      </c>
      <c r="F49" s="16" t="s">
        <v>1302</v>
      </c>
      <c r="G49" s="11">
        <v>0.46600000000000003</v>
      </c>
      <c r="H49" s="5">
        <v>79.7</v>
      </c>
      <c r="I49" s="8">
        <v>60</v>
      </c>
      <c r="J49" s="8">
        <v>109</v>
      </c>
      <c r="K49" s="8">
        <v>250</v>
      </c>
      <c r="L49" s="8">
        <v>88</v>
      </c>
      <c r="M49" t="s">
        <v>33</v>
      </c>
      <c r="N49" s="16" t="s">
        <v>22</v>
      </c>
      <c r="O49" s="16" t="s">
        <v>23</v>
      </c>
      <c r="P49" s="16" t="s">
        <v>28</v>
      </c>
      <c r="Q49" s="10" t="s">
        <v>81</v>
      </c>
      <c r="R49" s="3" t="str">
        <f t="shared" si="0"/>
        <v>120</v>
      </c>
      <c r="S49" s="3" t="str">
        <f t="shared" si="1"/>
        <v>77</v>
      </c>
      <c r="T49" s="16" t="s">
        <v>25</v>
      </c>
      <c r="U49" s="3">
        <v>20.32</v>
      </c>
      <c r="V49" s="16" t="str">
        <f>PROPER(Table1[[#This Row],[CVD Risk Level]])</f>
        <v>High</v>
      </c>
    </row>
    <row r="50" spans="1:22" x14ac:dyDescent="0.3">
      <c r="A50" t="s">
        <v>31</v>
      </c>
      <c r="B50" s="8">
        <v>41</v>
      </c>
      <c r="C50" s="8">
        <v>114.7</v>
      </c>
      <c r="D50" s="5">
        <v>1.8</v>
      </c>
      <c r="E50" s="5">
        <v>35.4</v>
      </c>
      <c r="F50" s="16" t="s">
        <v>1302</v>
      </c>
      <c r="G50" s="11">
        <v>0.41699999999999998</v>
      </c>
      <c r="H50" s="5">
        <v>75.099999999999994</v>
      </c>
      <c r="I50" s="8">
        <v>74</v>
      </c>
      <c r="J50" s="8">
        <v>15</v>
      </c>
      <c r="K50" s="8">
        <v>119</v>
      </c>
      <c r="L50" s="8">
        <v>133</v>
      </c>
      <c r="M50" t="s">
        <v>1307</v>
      </c>
      <c r="N50" s="16" t="s">
        <v>23</v>
      </c>
      <c r="O50" s="16" t="s">
        <v>23</v>
      </c>
      <c r="P50" s="16" t="s">
        <v>28</v>
      </c>
      <c r="Q50" s="10" t="s">
        <v>82</v>
      </c>
      <c r="R50" s="3" t="str">
        <f t="shared" si="0"/>
        <v>145</v>
      </c>
      <c r="S50" s="3" t="str">
        <f t="shared" si="1"/>
        <v>84</v>
      </c>
      <c r="T50" s="16" t="s">
        <v>29</v>
      </c>
      <c r="U50" s="3">
        <v>18.71</v>
      </c>
      <c r="V50" s="16" t="str">
        <f>PROPER(Table1[[#This Row],[CVD Risk Level]])</f>
        <v>Intermediary</v>
      </c>
    </row>
    <row r="51" spans="1:22" x14ac:dyDescent="0.3">
      <c r="A51" t="s">
        <v>31</v>
      </c>
      <c r="B51" s="8">
        <v>56</v>
      </c>
      <c r="C51" s="8">
        <v>61</v>
      </c>
      <c r="D51" s="5">
        <v>1.82</v>
      </c>
      <c r="E51" s="5">
        <v>18.399999999999999</v>
      </c>
      <c r="F51" s="16" t="s">
        <v>1304</v>
      </c>
      <c r="G51" s="11">
        <v>0.48099999999999998</v>
      </c>
      <c r="H51" s="5">
        <v>87.542000000000002</v>
      </c>
      <c r="I51" s="8">
        <v>79</v>
      </c>
      <c r="J51" s="8">
        <v>109</v>
      </c>
      <c r="K51" s="8">
        <v>260</v>
      </c>
      <c r="L51" s="8">
        <v>78</v>
      </c>
      <c r="M51" t="s">
        <v>33</v>
      </c>
      <c r="N51" s="16" t="s">
        <v>22</v>
      </c>
      <c r="O51" s="16" t="s">
        <v>22</v>
      </c>
      <c r="P51" s="16" t="s">
        <v>37</v>
      </c>
      <c r="Q51" s="10" t="s">
        <v>83</v>
      </c>
      <c r="R51" s="3" t="str">
        <f t="shared" si="0"/>
        <v>97</v>
      </c>
      <c r="S51" s="3" t="str">
        <f t="shared" si="1"/>
        <v>73</v>
      </c>
      <c r="T51" s="16" t="s">
        <v>33</v>
      </c>
      <c r="U51" s="3">
        <v>13.73</v>
      </c>
      <c r="V51" s="16" t="str">
        <f>PROPER(Table1[[#This Row],[CVD Risk Level]])</f>
        <v>Intermediary</v>
      </c>
    </row>
    <row r="52" spans="1:22" x14ac:dyDescent="0.3">
      <c r="A52" t="s">
        <v>31</v>
      </c>
      <c r="B52" s="8">
        <v>55</v>
      </c>
      <c r="C52" s="8">
        <v>110.3</v>
      </c>
      <c r="D52" s="5">
        <v>1.61</v>
      </c>
      <c r="E52" s="5">
        <v>42.6</v>
      </c>
      <c r="F52" s="16" t="s">
        <v>1302</v>
      </c>
      <c r="G52" s="11">
        <v>0.46300000000000002</v>
      </c>
      <c r="H52" s="5">
        <v>74.5</v>
      </c>
      <c r="I52" s="8">
        <v>43</v>
      </c>
      <c r="J52" s="8">
        <v>28</v>
      </c>
      <c r="K52" s="8">
        <v>101</v>
      </c>
      <c r="L52" s="8">
        <v>117</v>
      </c>
      <c r="M52" t="s">
        <v>1306</v>
      </c>
      <c r="N52" s="16" t="s">
        <v>22</v>
      </c>
      <c r="O52" s="16" t="s">
        <v>22</v>
      </c>
      <c r="P52" s="16" t="s">
        <v>28</v>
      </c>
      <c r="Q52" s="10" t="s">
        <v>84</v>
      </c>
      <c r="R52" s="3" t="str">
        <f t="shared" si="0"/>
        <v>135</v>
      </c>
      <c r="S52" s="3" t="str">
        <f t="shared" si="1"/>
        <v>96</v>
      </c>
      <c r="T52" s="16" t="s">
        <v>29</v>
      </c>
      <c r="U52" s="3">
        <v>16.960925291295425</v>
      </c>
      <c r="V52" s="16" t="str">
        <f>PROPER(Table1[[#This Row],[CVD Risk Level]])</f>
        <v>Intermediary</v>
      </c>
    </row>
    <row r="53" spans="1:22" x14ac:dyDescent="0.3">
      <c r="A53" t="s">
        <v>20</v>
      </c>
      <c r="B53" s="8">
        <v>47.025499655410059</v>
      </c>
      <c r="C53" s="8">
        <v>75.2</v>
      </c>
      <c r="D53" s="5">
        <v>1.7</v>
      </c>
      <c r="E53" s="5">
        <v>26</v>
      </c>
      <c r="F53" s="16" t="s">
        <v>1303</v>
      </c>
      <c r="G53" s="11">
        <v>0.54800000000000004</v>
      </c>
      <c r="H53" s="5">
        <v>93.2</v>
      </c>
      <c r="I53" s="8">
        <v>49</v>
      </c>
      <c r="J53" s="8">
        <v>65</v>
      </c>
      <c r="K53" s="8">
        <v>144</v>
      </c>
      <c r="L53" s="8">
        <v>103</v>
      </c>
      <c r="M53" t="s">
        <v>1306</v>
      </c>
      <c r="N53" s="16" t="s">
        <v>23</v>
      </c>
      <c r="O53" s="16" t="s">
        <v>22</v>
      </c>
      <c r="P53" s="16" t="s">
        <v>37</v>
      </c>
      <c r="Q53" s="10" t="s">
        <v>85</v>
      </c>
      <c r="R53" s="3" t="str">
        <f t="shared" si="0"/>
        <v>135</v>
      </c>
      <c r="S53" s="3" t="str">
        <f t="shared" si="1"/>
        <v>75</v>
      </c>
      <c r="T53" s="16" t="s">
        <v>29</v>
      </c>
      <c r="U53" s="3">
        <v>14.83</v>
      </c>
      <c r="V53" s="16" t="str">
        <f>PROPER(Table1[[#This Row],[CVD Risk Level]])</f>
        <v>Intermediary</v>
      </c>
    </row>
    <row r="54" spans="1:22" x14ac:dyDescent="0.3">
      <c r="A54" t="s">
        <v>31</v>
      </c>
      <c r="B54" s="8">
        <v>59</v>
      </c>
      <c r="C54" s="8">
        <v>96.3</v>
      </c>
      <c r="D54" s="5">
        <v>1.75</v>
      </c>
      <c r="E54" s="5">
        <v>31.4</v>
      </c>
      <c r="F54" s="16" t="s">
        <v>1302</v>
      </c>
      <c r="G54" s="11">
        <v>0.51400000000000001</v>
      </c>
      <c r="H54" s="5">
        <v>90</v>
      </c>
      <c r="I54" s="8">
        <v>73</v>
      </c>
      <c r="J54" s="8">
        <v>12</v>
      </c>
      <c r="K54" s="8">
        <v>115</v>
      </c>
      <c r="L54" s="8">
        <v>117.48563611491107</v>
      </c>
      <c r="M54" t="s">
        <v>1306</v>
      </c>
      <c r="N54" s="16" t="s">
        <v>22</v>
      </c>
      <c r="O54" s="16" t="s">
        <v>23</v>
      </c>
      <c r="P54" s="16" t="s">
        <v>28</v>
      </c>
      <c r="Q54" s="10" t="s">
        <v>86</v>
      </c>
      <c r="R54" s="3" t="str">
        <f t="shared" si="0"/>
        <v>102</v>
      </c>
      <c r="S54" s="3" t="str">
        <f t="shared" si="1"/>
        <v>71</v>
      </c>
      <c r="T54" s="16" t="s">
        <v>33</v>
      </c>
      <c r="U54" s="3">
        <v>15.68</v>
      </c>
      <c r="V54" s="16" t="str">
        <f>PROPER(Table1[[#This Row],[CVD Risk Level]])</f>
        <v>Intermediary</v>
      </c>
    </row>
    <row r="55" spans="1:22" x14ac:dyDescent="0.3">
      <c r="A55" t="s">
        <v>20</v>
      </c>
      <c r="B55" s="8">
        <v>50</v>
      </c>
      <c r="C55" s="8">
        <v>67.900000000000006</v>
      </c>
      <c r="D55" s="5">
        <v>1.83</v>
      </c>
      <c r="E55" s="5">
        <v>20.3</v>
      </c>
      <c r="F55" s="16" t="s">
        <v>33</v>
      </c>
      <c r="G55" s="11">
        <v>0.59099999999999997</v>
      </c>
      <c r="H55" s="5">
        <v>108.2</v>
      </c>
      <c r="I55" s="8">
        <v>32</v>
      </c>
      <c r="J55" s="8">
        <v>66</v>
      </c>
      <c r="K55" s="8">
        <v>128</v>
      </c>
      <c r="L55" s="8">
        <v>87</v>
      </c>
      <c r="M55" t="s">
        <v>33</v>
      </c>
      <c r="N55" s="16" t="s">
        <v>23</v>
      </c>
      <c r="O55" s="16" t="s">
        <v>23</v>
      </c>
      <c r="P55" s="16" t="s">
        <v>28</v>
      </c>
      <c r="Q55" s="10" t="s">
        <v>87</v>
      </c>
      <c r="R55" s="3" t="str">
        <f t="shared" si="0"/>
        <v>148</v>
      </c>
      <c r="S55" s="3" t="str">
        <f t="shared" si="1"/>
        <v>92</v>
      </c>
      <c r="T55" s="16" t="s">
        <v>38</v>
      </c>
      <c r="U55" s="3">
        <v>16.02</v>
      </c>
      <c r="V55" s="16" t="str">
        <f>PROPER(Table1[[#This Row],[CVD Risk Level]])</f>
        <v>High</v>
      </c>
    </row>
    <row r="56" spans="1:22" x14ac:dyDescent="0.3">
      <c r="A56" t="s">
        <v>20</v>
      </c>
      <c r="B56" s="8">
        <v>52</v>
      </c>
      <c r="C56" s="8">
        <v>98.9</v>
      </c>
      <c r="D56" s="5">
        <v>1.61</v>
      </c>
      <c r="E56" s="5">
        <v>38.200000000000003</v>
      </c>
      <c r="F56" s="16" t="s">
        <v>1302</v>
      </c>
      <c r="G56" s="11">
        <v>0.496</v>
      </c>
      <c r="H56" s="5">
        <v>79.900000000000006</v>
      </c>
      <c r="I56" s="8">
        <v>32</v>
      </c>
      <c r="J56" s="8">
        <v>113</v>
      </c>
      <c r="K56" s="8">
        <v>175</v>
      </c>
      <c r="L56" s="8">
        <v>145</v>
      </c>
      <c r="M56" t="s">
        <v>1307</v>
      </c>
      <c r="N56" s="16" t="s">
        <v>23</v>
      </c>
      <c r="O56" s="16" t="s">
        <v>23</v>
      </c>
      <c r="P56" s="16" t="s">
        <v>37</v>
      </c>
      <c r="Q56" s="10" t="s">
        <v>88</v>
      </c>
      <c r="R56" s="3" t="str">
        <f t="shared" si="0"/>
        <v>139</v>
      </c>
      <c r="S56" s="3" t="str">
        <f t="shared" si="1"/>
        <v>66</v>
      </c>
      <c r="T56" s="16" t="s">
        <v>29</v>
      </c>
      <c r="U56" s="3">
        <v>20.09</v>
      </c>
      <c r="V56" s="16" t="str">
        <f>PROPER(Table1[[#This Row],[CVD Risk Level]])</f>
        <v>High</v>
      </c>
    </row>
    <row r="57" spans="1:22" x14ac:dyDescent="0.3">
      <c r="A57" t="s">
        <v>31</v>
      </c>
      <c r="B57" s="8">
        <v>43</v>
      </c>
      <c r="C57" s="8">
        <v>65.8</v>
      </c>
      <c r="D57" s="5">
        <v>1.76</v>
      </c>
      <c r="E57" s="5">
        <v>21.2</v>
      </c>
      <c r="F57" s="16" t="s">
        <v>33</v>
      </c>
      <c r="G57" s="11">
        <v>0.57399999999999995</v>
      </c>
      <c r="H57" s="5">
        <v>101.1</v>
      </c>
      <c r="I57" s="8">
        <v>66</v>
      </c>
      <c r="J57" s="8">
        <v>147</v>
      </c>
      <c r="K57" s="8">
        <v>243</v>
      </c>
      <c r="L57" s="8">
        <v>70</v>
      </c>
      <c r="M57" t="s">
        <v>33</v>
      </c>
      <c r="N57" s="16" t="s">
        <v>22</v>
      </c>
      <c r="O57" s="16" t="s">
        <v>23</v>
      </c>
      <c r="P57" s="16" t="s">
        <v>37</v>
      </c>
      <c r="Q57" s="10" t="s">
        <v>89</v>
      </c>
      <c r="R57" s="3" t="str">
        <f t="shared" si="0"/>
        <v>94</v>
      </c>
      <c r="S57" s="3" t="str">
        <f t="shared" si="1"/>
        <v>81</v>
      </c>
      <c r="T57" s="16" t="s">
        <v>29</v>
      </c>
      <c r="U57" s="3">
        <v>15.8</v>
      </c>
      <c r="V57" s="16" t="str">
        <f>PROPER(Table1[[#This Row],[CVD Risk Level]])</f>
        <v>Intermediary</v>
      </c>
    </row>
    <row r="58" spans="1:22" x14ac:dyDescent="0.3">
      <c r="A58" t="s">
        <v>20</v>
      </c>
      <c r="B58" s="8">
        <v>37</v>
      </c>
      <c r="C58" s="8">
        <v>74.599999999999994</v>
      </c>
      <c r="D58" s="5">
        <v>1.74</v>
      </c>
      <c r="E58" s="5">
        <v>24.6</v>
      </c>
      <c r="F58" s="16" t="s">
        <v>33</v>
      </c>
      <c r="G58" s="11">
        <v>0.62</v>
      </c>
      <c r="H58" s="5">
        <v>107.8</v>
      </c>
      <c r="I58" s="8">
        <v>48</v>
      </c>
      <c r="J58" s="8">
        <v>46</v>
      </c>
      <c r="K58" s="8">
        <v>124</v>
      </c>
      <c r="L58" s="8">
        <v>98</v>
      </c>
      <c r="M58" t="s">
        <v>33</v>
      </c>
      <c r="N58" s="16" t="s">
        <v>23</v>
      </c>
      <c r="O58" s="16" t="s">
        <v>23</v>
      </c>
      <c r="P58" s="16" t="s">
        <v>28</v>
      </c>
      <c r="Q58" s="10" t="s">
        <v>90</v>
      </c>
      <c r="R58" s="3" t="str">
        <f t="shared" si="0"/>
        <v>104</v>
      </c>
      <c r="S58" s="3" t="str">
        <f t="shared" si="1"/>
        <v>60</v>
      </c>
      <c r="T58" s="16" t="s">
        <v>33</v>
      </c>
      <c r="U58" s="3">
        <v>14.6</v>
      </c>
      <c r="V58" s="16" t="str">
        <f>PROPER(Table1[[#This Row],[CVD Risk Level]])</f>
        <v>Intermediary</v>
      </c>
    </row>
    <row r="59" spans="1:22" x14ac:dyDescent="0.3">
      <c r="A59" t="s">
        <v>20</v>
      </c>
      <c r="B59" s="8">
        <v>51</v>
      </c>
      <c r="C59" s="8">
        <v>100.5</v>
      </c>
      <c r="D59" s="5">
        <v>1.82</v>
      </c>
      <c r="E59" s="5">
        <v>30.3</v>
      </c>
      <c r="F59" s="16" t="s">
        <v>1302</v>
      </c>
      <c r="G59" s="11">
        <v>0.58499999999999996</v>
      </c>
      <c r="H59" s="5">
        <v>106.4</v>
      </c>
      <c r="I59" s="8">
        <v>76</v>
      </c>
      <c r="J59" s="8">
        <v>151</v>
      </c>
      <c r="K59" s="8">
        <v>257</v>
      </c>
      <c r="L59" s="8">
        <v>89</v>
      </c>
      <c r="M59" t="s">
        <v>33</v>
      </c>
      <c r="N59" s="16" t="s">
        <v>23</v>
      </c>
      <c r="O59" s="16" t="s">
        <v>22</v>
      </c>
      <c r="P59" s="16" t="s">
        <v>37</v>
      </c>
      <c r="Q59" s="10" t="s">
        <v>91</v>
      </c>
      <c r="R59" s="3" t="str">
        <f t="shared" si="0"/>
        <v>129</v>
      </c>
      <c r="S59" s="3" t="str">
        <f t="shared" si="1"/>
        <v>71</v>
      </c>
      <c r="T59" s="16" t="s">
        <v>25</v>
      </c>
      <c r="U59" s="3">
        <v>17.649999999999999</v>
      </c>
      <c r="V59" s="16" t="str">
        <f>PROPER(Table1[[#This Row],[CVD Risk Level]])</f>
        <v>High</v>
      </c>
    </row>
    <row r="60" spans="1:22" x14ac:dyDescent="0.3">
      <c r="A60" t="s">
        <v>20</v>
      </c>
      <c r="B60" s="8">
        <v>44</v>
      </c>
      <c r="C60" s="8">
        <v>101.5</v>
      </c>
      <c r="D60" s="5">
        <v>1.69</v>
      </c>
      <c r="E60" s="5">
        <v>35.5</v>
      </c>
      <c r="F60" s="16" t="s">
        <v>1302</v>
      </c>
      <c r="G60" s="11">
        <v>0.54100000000000004</v>
      </c>
      <c r="H60" s="5">
        <v>91.5</v>
      </c>
      <c r="I60" s="8">
        <v>74</v>
      </c>
      <c r="J60" s="8">
        <v>109</v>
      </c>
      <c r="K60" s="8">
        <v>103</v>
      </c>
      <c r="L60" s="8">
        <v>93</v>
      </c>
      <c r="M60" t="s">
        <v>33</v>
      </c>
      <c r="N60" s="16" t="s">
        <v>22</v>
      </c>
      <c r="O60" s="16" t="s">
        <v>22</v>
      </c>
      <c r="P60" s="16" t="s">
        <v>37</v>
      </c>
      <c r="Q60" s="10" t="s">
        <v>92</v>
      </c>
      <c r="R60" s="3" t="str">
        <f t="shared" si="0"/>
        <v>98</v>
      </c>
      <c r="S60" s="3" t="str">
        <f t="shared" si="1"/>
        <v>73</v>
      </c>
      <c r="T60" s="16" t="s">
        <v>33</v>
      </c>
      <c r="U60" s="3">
        <v>14.06</v>
      </c>
      <c r="V60" s="16" t="str">
        <f>PROPER(Table1[[#This Row],[CVD Risk Level]])</f>
        <v>Low</v>
      </c>
    </row>
    <row r="61" spans="1:22" x14ac:dyDescent="0.3">
      <c r="A61" t="s">
        <v>20</v>
      </c>
      <c r="B61" s="8">
        <v>46</v>
      </c>
      <c r="C61" s="8">
        <v>65.7</v>
      </c>
      <c r="D61" s="5">
        <v>1.77</v>
      </c>
      <c r="E61" s="5">
        <v>21</v>
      </c>
      <c r="F61" s="16" t="s">
        <v>33</v>
      </c>
      <c r="G61" s="11">
        <v>0.436</v>
      </c>
      <c r="H61" s="5">
        <v>77.099999999999994</v>
      </c>
      <c r="I61" s="8">
        <v>59</v>
      </c>
      <c r="J61" s="8">
        <v>143</v>
      </c>
      <c r="K61" s="8">
        <v>232</v>
      </c>
      <c r="L61" s="8">
        <v>113</v>
      </c>
      <c r="M61" t="s">
        <v>1306</v>
      </c>
      <c r="N61" s="16" t="s">
        <v>22</v>
      </c>
      <c r="O61" s="16" t="s">
        <v>23</v>
      </c>
      <c r="P61" s="16" t="s">
        <v>28</v>
      </c>
      <c r="Q61" s="10" t="s">
        <v>77</v>
      </c>
      <c r="R61" s="3" t="str">
        <f t="shared" si="0"/>
        <v>129</v>
      </c>
      <c r="S61" s="3" t="str">
        <f t="shared" si="1"/>
        <v>78</v>
      </c>
      <c r="T61" s="16" t="s">
        <v>25</v>
      </c>
      <c r="U61" s="3">
        <v>17.29</v>
      </c>
      <c r="V61" s="16" t="str">
        <f>PROPER(Table1[[#This Row],[CVD Risk Level]])</f>
        <v>Intermediary</v>
      </c>
    </row>
    <row r="62" spans="1:22" x14ac:dyDescent="0.3">
      <c r="A62" t="s">
        <v>20</v>
      </c>
      <c r="B62" s="8">
        <v>53</v>
      </c>
      <c r="C62" s="8">
        <v>103.9</v>
      </c>
      <c r="D62" s="5">
        <v>1.77</v>
      </c>
      <c r="E62" s="5">
        <v>33.200000000000003</v>
      </c>
      <c r="F62" s="16" t="s">
        <v>1302</v>
      </c>
      <c r="G62" s="11">
        <v>0.40500000000000003</v>
      </c>
      <c r="H62" s="5">
        <v>71.599999999999994</v>
      </c>
      <c r="I62" s="8">
        <v>50</v>
      </c>
      <c r="J62" s="8">
        <v>167</v>
      </c>
      <c r="K62" s="8">
        <v>247</v>
      </c>
      <c r="L62" s="8">
        <v>130</v>
      </c>
      <c r="M62" t="s">
        <v>1307</v>
      </c>
      <c r="N62" s="16" t="s">
        <v>22</v>
      </c>
      <c r="O62" s="16" t="s">
        <v>23</v>
      </c>
      <c r="P62" s="16" t="s">
        <v>37</v>
      </c>
      <c r="Q62" s="10" t="s">
        <v>93</v>
      </c>
      <c r="R62" s="3" t="str">
        <f t="shared" si="0"/>
        <v>149</v>
      </c>
      <c r="S62" s="3" t="str">
        <f t="shared" si="1"/>
        <v>84</v>
      </c>
      <c r="T62" s="16" t="s">
        <v>29</v>
      </c>
      <c r="U62" s="3">
        <v>21.03</v>
      </c>
      <c r="V62" s="16" t="str">
        <f>PROPER(Table1[[#This Row],[CVD Risk Level]])</f>
        <v>High</v>
      </c>
    </row>
    <row r="63" spans="1:22" x14ac:dyDescent="0.3">
      <c r="A63" t="s">
        <v>20</v>
      </c>
      <c r="B63" s="8">
        <v>56</v>
      </c>
      <c r="C63" s="8">
        <v>112.1</v>
      </c>
      <c r="D63" s="5">
        <v>1.78</v>
      </c>
      <c r="E63" s="5">
        <v>35.4</v>
      </c>
      <c r="F63" s="16" t="s">
        <v>1302</v>
      </c>
      <c r="G63" s="11">
        <v>0.49099999999999999</v>
      </c>
      <c r="H63" s="5">
        <v>87.4</v>
      </c>
      <c r="I63" s="8">
        <v>67</v>
      </c>
      <c r="J63" s="8">
        <v>50</v>
      </c>
      <c r="K63" s="8">
        <v>234</v>
      </c>
      <c r="L63" s="8">
        <v>89</v>
      </c>
      <c r="M63" t="s">
        <v>33</v>
      </c>
      <c r="N63" s="16" t="s">
        <v>22</v>
      </c>
      <c r="O63" s="16" t="s">
        <v>23</v>
      </c>
      <c r="P63" s="16" t="s">
        <v>37</v>
      </c>
      <c r="Q63" s="10" t="s">
        <v>94</v>
      </c>
      <c r="R63" s="3" t="str">
        <f t="shared" si="0"/>
        <v>103</v>
      </c>
      <c r="S63" s="3" t="str">
        <f t="shared" si="1"/>
        <v>98</v>
      </c>
      <c r="T63" s="16" t="s">
        <v>38</v>
      </c>
      <c r="U63" s="3">
        <v>17.170000000000002</v>
      </c>
      <c r="V63" s="16" t="str">
        <f>PROPER(Table1[[#This Row],[CVD Risk Level]])</f>
        <v>High</v>
      </c>
    </row>
    <row r="64" spans="1:22" x14ac:dyDescent="0.3">
      <c r="A64" t="s">
        <v>31</v>
      </c>
      <c r="B64" s="8">
        <v>43</v>
      </c>
      <c r="C64" s="8">
        <v>118</v>
      </c>
      <c r="D64" s="5">
        <v>1.64</v>
      </c>
      <c r="E64" s="5">
        <v>43.9</v>
      </c>
      <c r="F64" s="16" t="s">
        <v>1302</v>
      </c>
      <c r="G64" s="11">
        <v>0.44900000000000001</v>
      </c>
      <c r="H64" s="5">
        <v>73.599999999999994</v>
      </c>
      <c r="I64" s="8">
        <v>51</v>
      </c>
      <c r="J64" s="8">
        <v>118</v>
      </c>
      <c r="K64" s="8">
        <v>199</v>
      </c>
      <c r="L64" s="8">
        <v>129</v>
      </c>
      <c r="M64" t="s">
        <v>1307</v>
      </c>
      <c r="N64" s="16" t="s">
        <v>22</v>
      </c>
      <c r="O64" s="16" t="s">
        <v>22</v>
      </c>
      <c r="P64" s="16" t="s">
        <v>37</v>
      </c>
      <c r="Q64" s="10" t="s">
        <v>95</v>
      </c>
      <c r="R64" s="3" t="str">
        <f t="shared" si="0"/>
        <v>99</v>
      </c>
      <c r="S64" s="3" t="str">
        <f t="shared" si="1"/>
        <v>92</v>
      </c>
      <c r="T64" s="16" t="s">
        <v>38</v>
      </c>
      <c r="U64" s="3">
        <v>17.71</v>
      </c>
      <c r="V64" s="16" t="str">
        <f>PROPER(Table1[[#This Row],[CVD Risk Level]])</f>
        <v>Intermediary</v>
      </c>
    </row>
    <row r="65" spans="1:22" x14ac:dyDescent="0.3">
      <c r="A65" t="s">
        <v>31</v>
      </c>
      <c r="B65" s="8">
        <v>40</v>
      </c>
      <c r="C65" s="8">
        <v>107.4</v>
      </c>
      <c r="D65" s="5">
        <v>1.6</v>
      </c>
      <c r="E65" s="5">
        <v>42</v>
      </c>
      <c r="F65" s="16" t="s">
        <v>1302</v>
      </c>
      <c r="G65" s="11">
        <v>0.57899999999999996</v>
      </c>
      <c r="H65" s="5">
        <v>92.639999999999986</v>
      </c>
      <c r="I65" s="8">
        <v>52</v>
      </c>
      <c r="J65" s="8">
        <v>89</v>
      </c>
      <c r="K65" s="8">
        <v>282</v>
      </c>
      <c r="L65" s="8">
        <v>89</v>
      </c>
      <c r="M65" t="s">
        <v>33</v>
      </c>
      <c r="N65" s="16" t="s">
        <v>23</v>
      </c>
      <c r="O65" s="16" t="s">
        <v>22</v>
      </c>
      <c r="P65" s="16" t="s">
        <v>37</v>
      </c>
      <c r="Q65" s="10" t="s">
        <v>96</v>
      </c>
      <c r="R65" s="3" t="str">
        <f t="shared" si="0"/>
        <v>114</v>
      </c>
      <c r="S65" s="3" t="str">
        <f t="shared" si="1"/>
        <v>91</v>
      </c>
      <c r="T65" s="16" t="s">
        <v>38</v>
      </c>
      <c r="U65" s="3">
        <v>17.52</v>
      </c>
      <c r="V65" s="16" t="str">
        <f>PROPER(Table1[[#This Row],[CVD Risk Level]])</f>
        <v>Intermediary</v>
      </c>
    </row>
    <row r="66" spans="1:22" x14ac:dyDescent="0.3">
      <c r="A66" t="s">
        <v>20</v>
      </c>
      <c r="B66" s="8">
        <v>51</v>
      </c>
      <c r="C66" s="8">
        <v>60.6</v>
      </c>
      <c r="D66" s="5">
        <v>1.88</v>
      </c>
      <c r="E66" s="5">
        <v>17.100000000000001</v>
      </c>
      <c r="F66" s="16" t="s">
        <v>1304</v>
      </c>
      <c r="G66" s="11">
        <v>0.40300000000000002</v>
      </c>
      <c r="H66" s="5">
        <v>75.7</v>
      </c>
      <c r="I66" s="8">
        <v>50</v>
      </c>
      <c r="J66" s="8">
        <v>66</v>
      </c>
      <c r="K66" s="8">
        <v>146</v>
      </c>
      <c r="L66" s="8">
        <v>99</v>
      </c>
      <c r="M66" t="s">
        <v>33</v>
      </c>
      <c r="N66" s="16" t="s">
        <v>22</v>
      </c>
      <c r="O66" s="16" t="s">
        <v>23</v>
      </c>
      <c r="P66" s="16" t="s">
        <v>24</v>
      </c>
      <c r="Q66" s="10" t="s">
        <v>97</v>
      </c>
      <c r="R66" s="3" t="str">
        <f t="shared" si="0"/>
        <v>116</v>
      </c>
      <c r="S66" s="3" t="str">
        <f t="shared" si="1"/>
        <v>64</v>
      </c>
      <c r="T66" s="16" t="s">
        <v>33</v>
      </c>
      <c r="U66" s="3">
        <v>14.14</v>
      </c>
      <c r="V66" s="16" t="str">
        <f>PROPER(Table1[[#This Row],[CVD Risk Level]])</f>
        <v>High</v>
      </c>
    </row>
    <row r="67" spans="1:22" x14ac:dyDescent="0.3">
      <c r="A67" t="s">
        <v>20</v>
      </c>
      <c r="B67" s="8">
        <v>52</v>
      </c>
      <c r="C67" s="8">
        <v>54.7</v>
      </c>
      <c r="D67" s="5">
        <v>1.61</v>
      </c>
      <c r="E67" s="5">
        <v>21.1</v>
      </c>
      <c r="F67" s="16" t="s">
        <v>33</v>
      </c>
      <c r="G67" s="11">
        <v>0.48499999999999999</v>
      </c>
      <c r="H67" s="5">
        <v>78.099999999999994</v>
      </c>
      <c r="I67" s="8">
        <v>79</v>
      </c>
      <c r="J67" s="8">
        <v>84</v>
      </c>
      <c r="K67" s="8">
        <v>193</v>
      </c>
      <c r="L67" s="8">
        <v>127</v>
      </c>
      <c r="M67" t="s">
        <v>1307</v>
      </c>
      <c r="N67" s="16" t="s">
        <v>22</v>
      </c>
      <c r="O67" s="16" t="s">
        <v>23</v>
      </c>
      <c r="P67" s="16" t="s">
        <v>28</v>
      </c>
      <c r="Q67" s="10" t="s">
        <v>98</v>
      </c>
      <c r="R67" s="3" t="str">
        <f t="shared" ref="R67:R130" si="2">LEFT(Q67,FIND("/",Q67)-1)</f>
        <v>93</v>
      </c>
      <c r="S67" s="3" t="str">
        <f t="shared" ref="S67:S130" si="3">RIGHT(Q67,LEN(Q67)-FIND("/",Q67))</f>
        <v>65</v>
      </c>
      <c r="T67" s="16" t="s">
        <v>33</v>
      </c>
      <c r="U67" s="3">
        <v>14.73</v>
      </c>
      <c r="V67" s="16" t="str">
        <f>PROPER(Table1[[#This Row],[CVD Risk Level]])</f>
        <v>Intermediary</v>
      </c>
    </row>
    <row r="68" spans="1:22" x14ac:dyDescent="0.3">
      <c r="A68" t="s">
        <v>20</v>
      </c>
      <c r="B68" s="8">
        <v>55</v>
      </c>
      <c r="C68" s="8">
        <v>117.2</v>
      </c>
      <c r="D68" s="5">
        <v>1.72</v>
      </c>
      <c r="E68" s="5">
        <v>39.6</v>
      </c>
      <c r="F68" s="16" t="s">
        <v>1302</v>
      </c>
      <c r="G68" s="11">
        <v>0.43099999999999999</v>
      </c>
      <c r="H68" s="5">
        <v>74.2</v>
      </c>
      <c r="I68" s="8">
        <v>57</v>
      </c>
      <c r="J68" s="8">
        <v>77</v>
      </c>
      <c r="K68" s="8">
        <v>164</v>
      </c>
      <c r="L68" s="8">
        <v>150</v>
      </c>
      <c r="M68" t="s">
        <v>1307</v>
      </c>
      <c r="N68" s="16" t="s">
        <v>22</v>
      </c>
      <c r="O68" s="16" t="s">
        <v>22</v>
      </c>
      <c r="P68" s="16" t="s">
        <v>24</v>
      </c>
      <c r="Q68" s="10" t="s">
        <v>99</v>
      </c>
      <c r="R68" s="3" t="str">
        <f t="shared" si="2"/>
        <v>113</v>
      </c>
      <c r="S68" s="3" t="str">
        <f t="shared" si="3"/>
        <v>63</v>
      </c>
      <c r="T68" s="16" t="s">
        <v>33</v>
      </c>
      <c r="U68" s="3">
        <v>16.850000000000001</v>
      </c>
      <c r="V68" s="16" t="str">
        <f>PROPER(Table1[[#This Row],[CVD Risk Level]])</f>
        <v>Intermediary</v>
      </c>
    </row>
    <row r="69" spans="1:22" x14ac:dyDescent="0.3">
      <c r="A69" t="s">
        <v>20</v>
      </c>
      <c r="B69" s="8">
        <v>48</v>
      </c>
      <c r="C69" s="8">
        <v>56.7</v>
      </c>
      <c r="D69" s="5">
        <v>1.63</v>
      </c>
      <c r="E69" s="5">
        <v>21.3</v>
      </c>
      <c r="F69" s="16" t="s">
        <v>33</v>
      </c>
      <c r="G69" s="11">
        <v>0.49263803680981594</v>
      </c>
      <c r="H69" s="5">
        <v>80.3</v>
      </c>
      <c r="I69" s="8">
        <v>62</v>
      </c>
      <c r="J69" s="8">
        <v>49</v>
      </c>
      <c r="K69" s="8">
        <v>141</v>
      </c>
      <c r="L69" s="8">
        <v>96</v>
      </c>
      <c r="M69" t="s">
        <v>33</v>
      </c>
      <c r="N69" s="16" t="s">
        <v>22</v>
      </c>
      <c r="O69" s="16" t="s">
        <v>22</v>
      </c>
      <c r="P69" s="16" t="s">
        <v>37</v>
      </c>
      <c r="Q69" s="10" t="s">
        <v>100</v>
      </c>
      <c r="R69" s="3" t="str">
        <f t="shared" si="2"/>
        <v>142</v>
      </c>
      <c r="S69" s="3" t="str">
        <f t="shared" si="3"/>
        <v>66</v>
      </c>
      <c r="T69" s="16" t="s">
        <v>38</v>
      </c>
      <c r="U69" s="3">
        <v>14.18</v>
      </c>
      <c r="V69" s="16" t="str">
        <f>PROPER(Table1[[#This Row],[CVD Risk Level]])</f>
        <v>Low</v>
      </c>
    </row>
    <row r="70" spans="1:22" x14ac:dyDescent="0.3">
      <c r="A70" t="s">
        <v>31</v>
      </c>
      <c r="B70" s="8">
        <v>58</v>
      </c>
      <c r="C70" s="8">
        <v>77</v>
      </c>
      <c r="D70" s="5">
        <v>1.8793908831701613</v>
      </c>
      <c r="E70" s="5">
        <v>21.8</v>
      </c>
      <c r="F70" s="16" t="s">
        <v>33</v>
      </c>
      <c r="G70" s="11">
        <v>0.51800000000000002</v>
      </c>
      <c r="H70" s="5">
        <v>97.3</v>
      </c>
      <c r="I70" s="8">
        <v>80</v>
      </c>
      <c r="J70" s="8">
        <v>15</v>
      </c>
      <c r="K70" s="8">
        <v>125</v>
      </c>
      <c r="L70" s="8">
        <v>96</v>
      </c>
      <c r="M70" t="s">
        <v>33</v>
      </c>
      <c r="N70" s="16" t="s">
        <v>22</v>
      </c>
      <c r="O70" s="16" t="s">
        <v>22</v>
      </c>
      <c r="P70" s="16" t="s">
        <v>37</v>
      </c>
      <c r="Q70" s="10" t="s">
        <v>101</v>
      </c>
      <c r="R70" s="3" t="str">
        <f t="shared" si="2"/>
        <v>142</v>
      </c>
      <c r="S70" s="3" t="str">
        <f t="shared" si="3"/>
        <v>69</v>
      </c>
      <c r="T70" s="16" t="s">
        <v>38</v>
      </c>
      <c r="U70" s="3">
        <v>13.96</v>
      </c>
      <c r="V70" s="16" t="str">
        <f>PROPER(Table1[[#This Row],[CVD Risk Level]])</f>
        <v>Intermediary</v>
      </c>
    </row>
    <row r="71" spans="1:22" x14ac:dyDescent="0.3">
      <c r="A71" t="s">
        <v>20</v>
      </c>
      <c r="B71" s="8">
        <v>37</v>
      </c>
      <c r="C71" s="8">
        <v>116.8</v>
      </c>
      <c r="D71" s="5">
        <v>1.77</v>
      </c>
      <c r="E71" s="5">
        <v>37.299999999999997</v>
      </c>
      <c r="F71" s="16" t="s">
        <v>1302</v>
      </c>
      <c r="G71" s="11">
        <v>0.52500000000000002</v>
      </c>
      <c r="H71" s="5">
        <v>92.9</v>
      </c>
      <c r="I71" s="8">
        <v>76</v>
      </c>
      <c r="J71" s="8">
        <v>138</v>
      </c>
      <c r="K71" s="8">
        <v>244</v>
      </c>
      <c r="L71" s="8">
        <v>96</v>
      </c>
      <c r="M71" t="s">
        <v>33</v>
      </c>
      <c r="N71" s="16" t="s">
        <v>22</v>
      </c>
      <c r="O71" s="16" t="s">
        <v>23</v>
      </c>
      <c r="P71" s="16" t="s">
        <v>28</v>
      </c>
      <c r="Q71" s="10" t="s">
        <v>102</v>
      </c>
      <c r="R71" s="3" t="str">
        <f t="shared" si="2"/>
        <v>140</v>
      </c>
      <c r="S71" s="3" t="str">
        <f t="shared" si="3"/>
        <v>68</v>
      </c>
      <c r="T71" s="16" t="s">
        <v>38</v>
      </c>
      <c r="U71" s="3">
        <v>21.34</v>
      </c>
      <c r="V71" s="16" t="str">
        <f>PROPER(Table1[[#This Row],[CVD Risk Level]])</f>
        <v>Intermediary</v>
      </c>
    </row>
    <row r="72" spans="1:22" x14ac:dyDescent="0.3">
      <c r="A72" t="s">
        <v>31</v>
      </c>
      <c r="B72" s="8">
        <v>55</v>
      </c>
      <c r="C72" s="8">
        <v>51.4</v>
      </c>
      <c r="D72" s="5">
        <v>1.75</v>
      </c>
      <c r="E72" s="5">
        <v>16.783673469387754</v>
      </c>
      <c r="F72" s="16" t="s">
        <v>1304</v>
      </c>
      <c r="G72" s="11">
        <v>0.47499999999999998</v>
      </c>
      <c r="H72" s="5">
        <v>79.8</v>
      </c>
      <c r="I72" s="8">
        <v>36</v>
      </c>
      <c r="J72" s="8">
        <v>104</v>
      </c>
      <c r="K72" s="8">
        <v>170</v>
      </c>
      <c r="L72" s="8">
        <v>138</v>
      </c>
      <c r="M72" t="s">
        <v>1307</v>
      </c>
      <c r="N72" s="16" t="s">
        <v>22</v>
      </c>
      <c r="O72" s="16" t="s">
        <v>22</v>
      </c>
      <c r="P72" s="16" t="s">
        <v>28</v>
      </c>
      <c r="Q72" s="10" t="s">
        <v>103</v>
      </c>
      <c r="R72" s="3" t="str">
        <f t="shared" si="2"/>
        <v>102</v>
      </c>
      <c r="S72" s="3" t="str">
        <f t="shared" si="3"/>
        <v>79</v>
      </c>
      <c r="T72" s="16" t="s">
        <v>33</v>
      </c>
      <c r="U72" s="3">
        <v>12.14</v>
      </c>
      <c r="V72" s="16" t="str">
        <f>PROPER(Table1[[#This Row],[CVD Risk Level]])</f>
        <v>Intermediary</v>
      </c>
    </row>
    <row r="73" spans="1:22" x14ac:dyDescent="0.3">
      <c r="A73" t="s">
        <v>31</v>
      </c>
      <c r="B73" s="8">
        <v>51</v>
      </c>
      <c r="C73" s="8">
        <v>107.6</v>
      </c>
      <c r="D73" s="5">
        <v>1.66</v>
      </c>
      <c r="E73" s="5">
        <v>39</v>
      </c>
      <c r="F73" s="16" t="s">
        <v>1302</v>
      </c>
      <c r="G73" s="11">
        <v>0.60699999999999998</v>
      </c>
      <c r="H73" s="5">
        <v>100.8</v>
      </c>
      <c r="I73" s="8">
        <v>57</v>
      </c>
      <c r="J73" s="8">
        <v>48</v>
      </c>
      <c r="K73" s="8">
        <v>135</v>
      </c>
      <c r="L73" s="8">
        <v>129</v>
      </c>
      <c r="M73" t="s">
        <v>1307</v>
      </c>
      <c r="N73" s="16" t="s">
        <v>22</v>
      </c>
      <c r="O73" s="16" t="s">
        <v>22</v>
      </c>
      <c r="P73" s="16" t="s">
        <v>28</v>
      </c>
      <c r="Q73" s="10" t="s">
        <v>104</v>
      </c>
      <c r="R73" s="3" t="str">
        <f t="shared" si="2"/>
        <v>96</v>
      </c>
      <c r="S73" s="3" t="str">
        <f t="shared" si="3"/>
        <v>65</v>
      </c>
      <c r="T73" s="16" t="s">
        <v>33</v>
      </c>
      <c r="U73" s="3">
        <v>15.3</v>
      </c>
      <c r="V73" s="16" t="str">
        <f>PROPER(Table1[[#This Row],[CVD Risk Level]])</f>
        <v>Intermediary</v>
      </c>
    </row>
    <row r="74" spans="1:22" x14ac:dyDescent="0.3">
      <c r="A74" t="s">
        <v>20</v>
      </c>
      <c r="B74" s="8">
        <v>57</v>
      </c>
      <c r="C74" s="8">
        <v>82.5</v>
      </c>
      <c r="D74" s="5">
        <v>1.76</v>
      </c>
      <c r="E74" s="5">
        <v>26.6</v>
      </c>
      <c r="F74" s="16" t="s">
        <v>1303</v>
      </c>
      <c r="G74" s="11">
        <v>0.52700000000000002</v>
      </c>
      <c r="H74" s="5">
        <v>92.8</v>
      </c>
      <c r="I74" s="8">
        <v>38</v>
      </c>
      <c r="J74" s="8">
        <v>232</v>
      </c>
      <c r="K74" s="8">
        <v>300</v>
      </c>
      <c r="L74" s="8">
        <v>98</v>
      </c>
      <c r="M74" t="s">
        <v>33</v>
      </c>
      <c r="N74" s="16" t="s">
        <v>22</v>
      </c>
      <c r="O74" s="16" t="s">
        <v>23</v>
      </c>
      <c r="P74" s="16" t="s">
        <v>28</v>
      </c>
      <c r="Q74" s="10" t="s">
        <v>105</v>
      </c>
      <c r="R74" s="3" t="str">
        <f t="shared" si="2"/>
        <v>101</v>
      </c>
      <c r="S74" s="3" t="str">
        <f t="shared" si="3"/>
        <v>81</v>
      </c>
      <c r="T74" s="16" t="s">
        <v>29</v>
      </c>
      <c r="U74" s="3">
        <v>18.37</v>
      </c>
      <c r="V74" s="16" t="str">
        <f>PROPER(Table1[[#This Row],[CVD Risk Level]])</f>
        <v>High</v>
      </c>
    </row>
    <row r="75" spans="1:22" x14ac:dyDescent="0.3">
      <c r="A75" t="s">
        <v>31</v>
      </c>
      <c r="B75" s="8">
        <v>44</v>
      </c>
      <c r="C75" s="8">
        <v>114.3</v>
      </c>
      <c r="D75" s="5">
        <v>1.72</v>
      </c>
      <c r="E75" s="5">
        <v>38.6</v>
      </c>
      <c r="F75" s="16" t="s">
        <v>1302</v>
      </c>
      <c r="G75" s="11">
        <v>0.58099999999999996</v>
      </c>
      <c r="H75" s="5">
        <v>100</v>
      </c>
      <c r="I75" s="8">
        <v>77</v>
      </c>
      <c r="J75" s="8">
        <v>121</v>
      </c>
      <c r="K75" s="8">
        <v>228</v>
      </c>
      <c r="L75" s="8">
        <v>91</v>
      </c>
      <c r="M75" t="s">
        <v>33</v>
      </c>
      <c r="N75" s="16" t="s">
        <v>23</v>
      </c>
      <c r="O75" s="16" t="s">
        <v>23</v>
      </c>
      <c r="P75" s="16" t="s">
        <v>28</v>
      </c>
      <c r="Q75" s="10" t="s">
        <v>106</v>
      </c>
      <c r="R75" s="3" t="str">
        <f t="shared" si="2"/>
        <v>112</v>
      </c>
      <c r="S75" s="3" t="str">
        <f t="shared" si="3"/>
        <v>83</v>
      </c>
      <c r="T75" s="16" t="s">
        <v>29</v>
      </c>
      <c r="U75" s="3">
        <v>19.88</v>
      </c>
      <c r="V75" s="16" t="str">
        <f>PROPER(Table1[[#This Row],[CVD Risk Level]])</f>
        <v>High</v>
      </c>
    </row>
    <row r="76" spans="1:22" x14ac:dyDescent="0.3">
      <c r="A76" t="s">
        <v>31</v>
      </c>
      <c r="B76" s="8">
        <v>38</v>
      </c>
      <c r="C76" s="8">
        <v>63.3</v>
      </c>
      <c r="D76" s="5">
        <v>1.7</v>
      </c>
      <c r="E76" s="5">
        <v>21.9</v>
      </c>
      <c r="F76" s="16" t="s">
        <v>33</v>
      </c>
      <c r="G76" s="11">
        <v>0.55200000000000005</v>
      </c>
      <c r="H76" s="5">
        <v>93.8</v>
      </c>
      <c r="I76" s="8">
        <v>76</v>
      </c>
      <c r="J76" s="8">
        <v>182</v>
      </c>
      <c r="K76" s="8">
        <v>516</v>
      </c>
      <c r="L76" s="8">
        <v>73</v>
      </c>
      <c r="M76" t="s">
        <v>33</v>
      </c>
      <c r="N76" s="16" t="s">
        <v>22</v>
      </c>
      <c r="O76" s="16" t="s">
        <v>23</v>
      </c>
      <c r="P76" s="16" t="s">
        <v>28</v>
      </c>
      <c r="Q76" s="10" t="s">
        <v>107</v>
      </c>
      <c r="R76" s="3" t="str">
        <f t="shared" si="2"/>
        <v>93</v>
      </c>
      <c r="S76" s="3" t="str">
        <f t="shared" si="3"/>
        <v>67</v>
      </c>
      <c r="T76" s="16" t="s">
        <v>33</v>
      </c>
      <c r="U76" s="3">
        <v>16.79</v>
      </c>
      <c r="V76" s="16" t="str">
        <f>PROPER(Table1[[#This Row],[CVD Risk Level]])</f>
        <v>Intermediary</v>
      </c>
    </row>
    <row r="77" spans="1:22" x14ac:dyDescent="0.3">
      <c r="A77" t="s">
        <v>20</v>
      </c>
      <c r="B77" s="8">
        <v>60</v>
      </c>
      <c r="C77" s="8">
        <v>91.6</v>
      </c>
      <c r="D77" s="5">
        <v>1.64</v>
      </c>
      <c r="E77" s="5">
        <v>34.1</v>
      </c>
      <c r="F77" s="16" t="s">
        <v>1302</v>
      </c>
      <c r="G77" s="11">
        <v>0.57599999999999996</v>
      </c>
      <c r="H77" s="5">
        <v>94.4</v>
      </c>
      <c r="I77" s="8">
        <v>31</v>
      </c>
      <c r="J77" s="8">
        <v>197</v>
      </c>
      <c r="K77" s="8">
        <v>258</v>
      </c>
      <c r="L77" s="8">
        <v>142</v>
      </c>
      <c r="M77" t="s">
        <v>1307</v>
      </c>
      <c r="N77" s="16" t="s">
        <v>23</v>
      </c>
      <c r="O77" s="16" t="s">
        <v>23</v>
      </c>
      <c r="P77" s="16" t="s">
        <v>28</v>
      </c>
      <c r="Q77" s="10" t="s">
        <v>108</v>
      </c>
      <c r="R77" s="3" t="str">
        <f t="shared" si="2"/>
        <v>132</v>
      </c>
      <c r="S77" s="3" t="str">
        <f t="shared" si="3"/>
        <v>73</v>
      </c>
      <c r="T77" s="16" t="s">
        <v>29</v>
      </c>
      <c r="U77" s="3">
        <v>20.58</v>
      </c>
      <c r="V77" s="16" t="str">
        <f>PROPER(Table1[[#This Row],[CVD Risk Level]])</f>
        <v>High</v>
      </c>
    </row>
    <row r="78" spans="1:22" x14ac:dyDescent="0.3">
      <c r="A78" t="s">
        <v>20</v>
      </c>
      <c r="B78" s="8">
        <v>51</v>
      </c>
      <c r="C78" s="8">
        <v>52.5</v>
      </c>
      <c r="D78" s="5">
        <v>1.78</v>
      </c>
      <c r="E78" s="5">
        <v>16.600000000000001</v>
      </c>
      <c r="F78" s="16" t="s">
        <v>1304</v>
      </c>
      <c r="G78" s="11">
        <v>0.42599999999999999</v>
      </c>
      <c r="H78" s="5">
        <v>75.8</v>
      </c>
      <c r="I78" s="8">
        <v>50</v>
      </c>
      <c r="J78" s="8">
        <v>39</v>
      </c>
      <c r="K78" s="8">
        <v>119</v>
      </c>
      <c r="L78" s="8">
        <v>128</v>
      </c>
      <c r="M78" t="s">
        <v>1307</v>
      </c>
      <c r="N78" s="16" t="s">
        <v>23</v>
      </c>
      <c r="O78" s="16" t="s">
        <v>23</v>
      </c>
      <c r="P78" s="16" t="s">
        <v>28</v>
      </c>
      <c r="Q78" s="10" t="s">
        <v>109</v>
      </c>
      <c r="R78" s="3" t="str">
        <f t="shared" si="2"/>
        <v>98</v>
      </c>
      <c r="S78" s="3" t="str">
        <f t="shared" si="3"/>
        <v>63</v>
      </c>
      <c r="T78" s="16" t="s">
        <v>33</v>
      </c>
      <c r="U78" s="3">
        <v>12.6</v>
      </c>
      <c r="V78" s="16" t="str">
        <f>PROPER(Table1[[#This Row],[CVD Risk Level]])</f>
        <v>High</v>
      </c>
    </row>
    <row r="79" spans="1:22" x14ac:dyDescent="0.3">
      <c r="A79" t="s">
        <v>20</v>
      </c>
      <c r="B79" s="8">
        <v>43</v>
      </c>
      <c r="C79" s="8">
        <v>109.7</v>
      </c>
      <c r="D79" s="5">
        <v>1.81</v>
      </c>
      <c r="E79" s="5">
        <v>33.5</v>
      </c>
      <c r="F79" s="16" t="s">
        <v>1302</v>
      </c>
      <c r="G79" s="11">
        <v>0.44600000000000001</v>
      </c>
      <c r="H79" s="5">
        <v>80.8</v>
      </c>
      <c r="I79" s="8">
        <v>63</v>
      </c>
      <c r="J79" s="8">
        <v>185</v>
      </c>
      <c r="K79" s="8">
        <v>278</v>
      </c>
      <c r="L79" s="8">
        <v>142</v>
      </c>
      <c r="M79" t="s">
        <v>1307</v>
      </c>
      <c r="N79" s="16" t="s">
        <v>22</v>
      </c>
      <c r="O79" s="16" t="s">
        <v>23</v>
      </c>
      <c r="P79" s="16" t="s">
        <v>37</v>
      </c>
      <c r="Q79" s="10" t="s">
        <v>110</v>
      </c>
      <c r="R79" s="3" t="str">
        <f t="shared" si="2"/>
        <v>120</v>
      </c>
      <c r="S79" s="3" t="str">
        <f t="shared" si="3"/>
        <v>74</v>
      </c>
      <c r="T79" s="16" t="s">
        <v>25</v>
      </c>
      <c r="U79" s="3">
        <v>20.260000000000002</v>
      </c>
      <c r="V79" s="16" t="str">
        <f>PROPER(Table1[[#This Row],[CVD Risk Level]])</f>
        <v>High</v>
      </c>
    </row>
    <row r="80" spans="1:22" x14ac:dyDescent="0.3">
      <c r="A80" t="s">
        <v>31</v>
      </c>
      <c r="B80" s="8">
        <v>49</v>
      </c>
      <c r="C80" s="8">
        <v>115.6</v>
      </c>
      <c r="D80" s="5">
        <v>1.72</v>
      </c>
      <c r="E80" s="5">
        <v>39.1</v>
      </c>
      <c r="F80" s="16" t="s">
        <v>1302</v>
      </c>
      <c r="G80" s="11">
        <v>0.63500000000000001</v>
      </c>
      <c r="H80" s="5">
        <v>109.3</v>
      </c>
      <c r="I80" s="8">
        <v>71</v>
      </c>
      <c r="J80" s="8">
        <v>54</v>
      </c>
      <c r="K80" s="8">
        <v>155</v>
      </c>
      <c r="L80" s="8">
        <v>110</v>
      </c>
      <c r="M80" t="s">
        <v>1306</v>
      </c>
      <c r="N80" s="16" t="s">
        <v>22</v>
      </c>
      <c r="O80" s="16" t="s">
        <v>23</v>
      </c>
      <c r="P80" s="16" t="s">
        <v>37</v>
      </c>
      <c r="Q80" s="10" t="s">
        <v>111</v>
      </c>
      <c r="R80" s="3" t="str">
        <f t="shared" si="2"/>
        <v>90</v>
      </c>
      <c r="S80" s="3" t="str">
        <f t="shared" si="3"/>
        <v>95</v>
      </c>
      <c r="T80" s="16" t="s">
        <v>38</v>
      </c>
      <c r="U80" s="3">
        <v>17.420000000000002</v>
      </c>
      <c r="V80" s="16" t="str">
        <f>PROPER(Table1[[#This Row],[CVD Risk Level]])</f>
        <v>Intermediary</v>
      </c>
    </row>
    <row r="81" spans="1:22" x14ac:dyDescent="0.3">
      <c r="A81" t="s">
        <v>31</v>
      </c>
      <c r="B81" s="8">
        <v>60</v>
      </c>
      <c r="C81" s="8">
        <v>78.900000000000006</v>
      </c>
      <c r="D81" s="5">
        <v>1.85</v>
      </c>
      <c r="E81" s="5">
        <v>23.1</v>
      </c>
      <c r="F81" s="16" t="s">
        <v>33</v>
      </c>
      <c r="G81" s="11">
        <v>0.54900000000000004</v>
      </c>
      <c r="H81" s="5">
        <v>101.5</v>
      </c>
      <c r="I81" s="8">
        <v>39</v>
      </c>
      <c r="J81" s="8">
        <v>64</v>
      </c>
      <c r="K81" s="8">
        <v>133</v>
      </c>
      <c r="L81" s="8">
        <v>149</v>
      </c>
      <c r="M81" t="s">
        <v>1307</v>
      </c>
      <c r="N81" s="16" t="s">
        <v>22</v>
      </c>
      <c r="O81" s="16" t="s">
        <v>23</v>
      </c>
      <c r="P81" s="16" t="s">
        <v>24</v>
      </c>
      <c r="Q81" s="10" t="s">
        <v>112</v>
      </c>
      <c r="R81" s="3" t="str">
        <f t="shared" si="2"/>
        <v>94</v>
      </c>
      <c r="S81" s="3" t="str">
        <f t="shared" si="3"/>
        <v>78</v>
      </c>
      <c r="T81" s="16" t="s">
        <v>33</v>
      </c>
      <c r="U81" s="3">
        <v>16.960925291295425</v>
      </c>
      <c r="V81" s="16" t="str">
        <f>PROPER(Table1[[#This Row],[CVD Risk Level]])</f>
        <v>High</v>
      </c>
    </row>
    <row r="82" spans="1:22" x14ac:dyDescent="0.3">
      <c r="A82" t="s">
        <v>31</v>
      </c>
      <c r="B82" s="8">
        <v>37</v>
      </c>
      <c r="C82" s="8">
        <v>78.400000000000006</v>
      </c>
      <c r="D82" s="5">
        <v>1.63</v>
      </c>
      <c r="E82" s="5">
        <v>29.5</v>
      </c>
      <c r="F82" s="16" t="s">
        <v>1303</v>
      </c>
      <c r="G82" s="11">
        <v>0.43099999999999999</v>
      </c>
      <c r="H82" s="5">
        <v>70.2</v>
      </c>
      <c r="I82" s="8">
        <v>57</v>
      </c>
      <c r="J82" s="8">
        <v>16</v>
      </c>
      <c r="K82" s="8">
        <v>103</v>
      </c>
      <c r="L82" s="8">
        <v>74</v>
      </c>
      <c r="M82" t="s">
        <v>33</v>
      </c>
      <c r="N82" s="16" t="s">
        <v>22</v>
      </c>
      <c r="O82" s="16" t="s">
        <v>22</v>
      </c>
      <c r="P82" s="16" t="s">
        <v>28</v>
      </c>
      <c r="Q82" s="10" t="s">
        <v>113</v>
      </c>
      <c r="R82" s="3" t="str">
        <f t="shared" si="2"/>
        <v>127</v>
      </c>
      <c r="S82" s="3" t="str">
        <f t="shared" si="3"/>
        <v>96</v>
      </c>
      <c r="T82" s="16" t="s">
        <v>38</v>
      </c>
      <c r="U82" s="3">
        <v>14.31</v>
      </c>
      <c r="V82" s="16" t="str">
        <f>PROPER(Table1[[#This Row],[CVD Risk Level]])</f>
        <v>Low</v>
      </c>
    </row>
    <row r="83" spans="1:22" x14ac:dyDescent="0.3">
      <c r="A83" t="s">
        <v>20</v>
      </c>
      <c r="B83" s="8">
        <v>52</v>
      </c>
      <c r="C83" s="8">
        <v>65.3</v>
      </c>
      <c r="D83" s="5">
        <v>1.61</v>
      </c>
      <c r="E83" s="5">
        <v>25.2</v>
      </c>
      <c r="F83" s="16" t="s">
        <v>1303</v>
      </c>
      <c r="G83" s="11">
        <v>0.46500000000000002</v>
      </c>
      <c r="H83" s="5">
        <v>74.900000000000006</v>
      </c>
      <c r="I83" s="8">
        <v>50</v>
      </c>
      <c r="J83" s="8">
        <v>171</v>
      </c>
      <c r="K83" s="8">
        <v>251</v>
      </c>
      <c r="L83" s="8">
        <v>83</v>
      </c>
      <c r="M83" t="s">
        <v>33</v>
      </c>
      <c r="N83" s="16" t="s">
        <v>23</v>
      </c>
      <c r="O83" s="16" t="s">
        <v>22</v>
      </c>
      <c r="P83" s="16" t="s">
        <v>24</v>
      </c>
      <c r="Q83" s="10" t="s">
        <v>114</v>
      </c>
      <c r="R83" s="3" t="str">
        <f t="shared" si="2"/>
        <v>120</v>
      </c>
      <c r="S83" s="3" t="str">
        <f t="shared" si="3"/>
        <v>87</v>
      </c>
      <c r="T83" s="16" t="s">
        <v>29</v>
      </c>
      <c r="U83" s="3">
        <v>16.059999999999999</v>
      </c>
      <c r="V83" s="16" t="str">
        <f>PROPER(Table1[[#This Row],[CVD Risk Level]])</f>
        <v>High</v>
      </c>
    </row>
    <row r="84" spans="1:22" x14ac:dyDescent="0.3">
      <c r="A84" t="s">
        <v>20</v>
      </c>
      <c r="B84" s="8">
        <v>37</v>
      </c>
      <c r="C84" s="8">
        <v>114.4</v>
      </c>
      <c r="D84" s="5">
        <v>1.72</v>
      </c>
      <c r="E84" s="5">
        <v>38.700000000000003</v>
      </c>
      <c r="F84" s="16" t="s">
        <v>1302</v>
      </c>
      <c r="G84" s="11">
        <v>0.61</v>
      </c>
      <c r="H84" s="5">
        <v>105</v>
      </c>
      <c r="I84" s="8">
        <v>60</v>
      </c>
      <c r="J84" s="8">
        <v>113</v>
      </c>
      <c r="K84" s="8">
        <v>203</v>
      </c>
      <c r="L84" s="8">
        <v>103</v>
      </c>
      <c r="M84" t="s">
        <v>1306</v>
      </c>
      <c r="N84" s="16" t="s">
        <v>22</v>
      </c>
      <c r="O84" s="16" t="s">
        <v>23</v>
      </c>
      <c r="P84" s="16" t="s">
        <v>37</v>
      </c>
      <c r="Q84" s="10" t="s">
        <v>115</v>
      </c>
      <c r="R84" s="3" t="str">
        <f t="shared" si="2"/>
        <v>99</v>
      </c>
      <c r="S84" s="3" t="str">
        <f t="shared" si="3"/>
        <v>90</v>
      </c>
      <c r="T84" s="16" t="s">
        <v>38</v>
      </c>
      <c r="U84" s="3">
        <v>18.75</v>
      </c>
      <c r="V84" s="16" t="str">
        <f>PROPER(Table1[[#This Row],[CVD Risk Level]])</f>
        <v>Intermediary</v>
      </c>
    </row>
    <row r="85" spans="1:22" x14ac:dyDescent="0.3">
      <c r="A85" t="s">
        <v>31</v>
      </c>
      <c r="B85" s="8">
        <v>57</v>
      </c>
      <c r="C85" s="8">
        <v>114.5</v>
      </c>
      <c r="D85" s="5">
        <v>1.83</v>
      </c>
      <c r="E85" s="5">
        <v>34.200000000000003</v>
      </c>
      <c r="F85" s="16" t="s">
        <v>1302</v>
      </c>
      <c r="G85" s="11">
        <v>0.51300000000000001</v>
      </c>
      <c r="H85" s="5">
        <v>93.8</v>
      </c>
      <c r="I85" s="8">
        <v>48</v>
      </c>
      <c r="J85" s="8">
        <v>126</v>
      </c>
      <c r="K85" s="8">
        <v>204</v>
      </c>
      <c r="L85" s="8">
        <v>140</v>
      </c>
      <c r="M85" t="s">
        <v>1307</v>
      </c>
      <c r="N85" s="16" t="s">
        <v>22</v>
      </c>
      <c r="O85" s="16" t="s">
        <v>23</v>
      </c>
      <c r="P85" s="16" t="s">
        <v>37</v>
      </c>
      <c r="Q85" s="10" t="s">
        <v>116</v>
      </c>
      <c r="R85" s="3" t="str">
        <f t="shared" si="2"/>
        <v>114</v>
      </c>
      <c r="S85" s="3" t="str">
        <f t="shared" si="3"/>
        <v>63</v>
      </c>
      <c r="T85" s="16" t="s">
        <v>33</v>
      </c>
      <c r="U85" s="3">
        <v>18.62</v>
      </c>
      <c r="V85" s="16" t="str">
        <f>PROPER(Table1[[#This Row],[CVD Risk Level]])</f>
        <v>High</v>
      </c>
    </row>
    <row r="86" spans="1:22" x14ac:dyDescent="0.3">
      <c r="A86" t="s">
        <v>31</v>
      </c>
      <c r="B86" s="8">
        <v>56</v>
      </c>
      <c r="C86" s="8">
        <v>81.8</v>
      </c>
      <c r="D86" s="5">
        <v>1.76</v>
      </c>
      <c r="E86" s="5">
        <v>26.4</v>
      </c>
      <c r="F86" s="16" t="s">
        <v>1303</v>
      </c>
      <c r="G86" s="11">
        <v>0.41</v>
      </c>
      <c r="H86" s="5">
        <v>72.099999999999994</v>
      </c>
      <c r="I86" s="8">
        <v>78</v>
      </c>
      <c r="J86" s="8">
        <v>1</v>
      </c>
      <c r="K86" s="8">
        <v>109</v>
      </c>
      <c r="L86" s="8">
        <v>111</v>
      </c>
      <c r="M86" t="s">
        <v>1306</v>
      </c>
      <c r="N86" s="16" t="s">
        <v>22</v>
      </c>
      <c r="O86" s="16" t="s">
        <v>22</v>
      </c>
      <c r="P86" s="16" t="s">
        <v>28</v>
      </c>
      <c r="Q86" s="10" t="s">
        <v>117</v>
      </c>
      <c r="R86" s="3" t="str">
        <f t="shared" si="2"/>
        <v>132</v>
      </c>
      <c r="S86" s="3" t="str">
        <f t="shared" si="3"/>
        <v>97</v>
      </c>
      <c r="T86" s="16" t="s">
        <v>29</v>
      </c>
      <c r="U86" s="3">
        <v>14.06</v>
      </c>
      <c r="V86" s="16" t="str">
        <f>PROPER(Table1[[#This Row],[CVD Risk Level]])</f>
        <v>Intermediary</v>
      </c>
    </row>
    <row r="87" spans="1:22" x14ac:dyDescent="0.3">
      <c r="A87" t="s">
        <v>31</v>
      </c>
      <c r="B87" s="8">
        <v>32</v>
      </c>
      <c r="C87" s="8">
        <v>85.5</v>
      </c>
      <c r="D87" s="5">
        <v>1.63</v>
      </c>
      <c r="E87" s="5">
        <v>32.200000000000003</v>
      </c>
      <c r="F87" s="16" t="s">
        <v>1302</v>
      </c>
      <c r="G87" s="11">
        <v>0.501</v>
      </c>
      <c r="H87" s="5">
        <v>81.599999999999994</v>
      </c>
      <c r="I87" s="8">
        <v>79</v>
      </c>
      <c r="J87" s="8">
        <v>109</v>
      </c>
      <c r="K87" s="8">
        <v>102</v>
      </c>
      <c r="L87" s="8">
        <v>97</v>
      </c>
      <c r="M87" t="s">
        <v>33</v>
      </c>
      <c r="N87" s="16" t="s">
        <v>23</v>
      </c>
      <c r="O87" s="16" t="s">
        <v>22</v>
      </c>
      <c r="P87" s="16" t="s">
        <v>24</v>
      </c>
      <c r="Q87" s="10" t="s">
        <v>118</v>
      </c>
      <c r="R87" s="3" t="str">
        <f t="shared" si="2"/>
        <v>111</v>
      </c>
      <c r="S87" s="3" t="str">
        <f t="shared" si="3"/>
        <v>68</v>
      </c>
      <c r="T87" s="16" t="s">
        <v>33</v>
      </c>
      <c r="U87" s="3">
        <v>14.03</v>
      </c>
      <c r="V87" s="16" t="str">
        <f>PROPER(Table1[[#This Row],[CVD Risk Level]])</f>
        <v>Intermediary</v>
      </c>
    </row>
    <row r="88" spans="1:22" x14ac:dyDescent="0.3">
      <c r="A88" t="s">
        <v>20</v>
      </c>
      <c r="B88" s="8">
        <v>58</v>
      </c>
      <c r="C88" s="8">
        <v>82.1</v>
      </c>
      <c r="D88" s="5">
        <v>1.7701942792415588</v>
      </c>
      <c r="E88" s="5">
        <v>26.2</v>
      </c>
      <c r="F88" s="16" t="s">
        <v>1303</v>
      </c>
      <c r="G88" s="11">
        <v>0.46700000000000003</v>
      </c>
      <c r="H88" s="5">
        <v>82.6</v>
      </c>
      <c r="I88" s="8">
        <v>43</v>
      </c>
      <c r="J88" s="8">
        <v>60</v>
      </c>
      <c r="K88" s="8">
        <v>133</v>
      </c>
      <c r="L88" s="8">
        <v>117.48563611491107</v>
      </c>
      <c r="M88" t="s">
        <v>1306</v>
      </c>
      <c r="N88" s="16" t="s">
        <v>23</v>
      </c>
      <c r="O88" s="16" t="s">
        <v>22</v>
      </c>
      <c r="P88" s="16" t="s">
        <v>24</v>
      </c>
      <c r="Q88" s="10" t="s">
        <v>119</v>
      </c>
      <c r="R88" s="3" t="str">
        <f t="shared" si="2"/>
        <v>97</v>
      </c>
      <c r="S88" s="3" t="str">
        <f t="shared" si="3"/>
        <v>69</v>
      </c>
      <c r="T88" s="16" t="s">
        <v>33</v>
      </c>
      <c r="U88" s="3">
        <v>12.75</v>
      </c>
      <c r="V88" s="16" t="str">
        <f>PROPER(Table1[[#This Row],[CVD Risk Level]])</f>
        <v>High</v>
      </c>
    </row>
    <row r="89" spans="1:22" x14ac:dyDescent="0.3">
      <c r="A89" t="s">
        <v>20</v>
      </c>
      <c r="B89" s="8">
        <v>37</v>
      </c>
      <c r="C89" s="8">
        <v>113.4</v>
      </c>
      <c r="D89" s="5">
        <v>1.68</v>
      </c>
      <c r="E89" s="5">
        <v>40.200000000000003</v>
      </c>
      <c r="F89" s="16" t="s">
        <v>1302</v>
      </c>
      <c r="G89" s="11">
        <v>0.65</v>
      </c>
      <c r="H89" s="5">
        <v>109.2</v>
      </c>
      <c r="I89" s="8">
        <v>70</v>
      </c>
      <c r="J89" s="8">
        <v>181</v>
      </c>
      <c r="K89" s="8">
        <v>281</v>
      </c>
      <c r="L89" s="8">
        <v>140</v>
      </c>
      <c r="M89" t="s">
        <v>1307</v>
      </c>
      <c r="N89" s="16" t="s">
        <v>22</v>
      </c>
      <c r="O89" s="16" t="s">
        <v>22</v>
      </c>
      <c r="P89" s="16" t="s">
        <v>28</v>
      </c>
      <c r="Q89" s="10" t="s">
        <v>120</v>
      </c>
      <c r="R89" s="3" t="str">
        <f t="shared" si="2"/>
        <v>120</v>
      </c>
      <c r="S89" s="3" t="str">
        <f t="shared" si="3"/>
        <v>71</v>
      </c>
      <c r="T89" s="16" t="s">
        <v>25</v>
      </c>
      <c r="U89" s="3">
        <v>19.66</v>
      </c>
      <c r="V89" s="16" t="str">
        <f>PROPER(Table1[[#This Row],[CVD Risk Level]])</f>
        <v>Intermediary</v>
      </c>
    </row>
    <row r="90" spans="1:22" x14ac:dyDescent="0.3">
      <c r="A90" t="s">
        <v>20</v>
      </c>
      <c r="B90" s="8">
        <v>40</v>
      </c>
      <c r="C90" s="8">
        <v>50.7</v>
      </c>
      <c r="D90" s="5">
        <v>1.65</v>
      </c>
      <c r="E90" s="5">
        <v>18.600000000000001</v>
      </c>
      <c r="F90" s="16" t="s">
        <v>33</v>
      </c>
      <c r="G90" s="11">
        <v>0.49</v>
      </c>
      <c r="H90" s="5">
        <v>80.900000000000006</v>
      </c>
      <c r="I90" s="8">
        <v>56</v>
      </c>
      <c r="J90" s="8">
        <v>142</v>
      </c>
      <c r="K90" s="8">
        <v>228</v>
      </c>
      <c r="L90" s="8">
        <v>76</v>
      </c>
      <c r="M90" t="s">
        <v>33</v>
      </c>
      <c r="N90" s="16" t="s">
        <v>23</v>
      </c>
      <c r="O90" s="16" t="s">
        <v>23</v>
      </c>
      <c r="P90" s="16" t="s">
        <v>24</v>
      </c>
      <c r="Q90" s="10" t="s">
        <v>121</v>
      </c>
      <c r="R90" s="3" t="str">
        <f t="shared" si="2"/>
        <v>130</v>
      </c>
      <c r="S90" s="3" t="str">
        <f t="shared" si="3"/>
        <v>97</v>
      </c>
      <c r="T90" s="16" t="s">
        <v>29</v>
      </c>
      <c r="U90" s="3">
        <v>16.78</v>
      </c>
      <c r="V90" s="16" t="str">
        <f>PROPER(Table1[[#This Row],[CVD Risk Level]])</f>
        <v>High</v>
      </c>
    </row>
    <row r="91" spans="1:22" x14ac:dyDescent="0.3">
      <c r="A91" t="s">
        <v>31</v>
      </c>
      <c r="B91" s="8">
        <v>58</v>
      </c>
      <c r="C91" s="8">
        <v>118.3</v>
      </c>
      <c r="D91" s="5">
        <v>1.66</v>
      </c>
      <c r="E91" s="5">
        <v>42.9</v>
      </c>
      <c r="F91" s="16" t="s">
        <v>1302</v>
      </c>
      <c r="G91" s="11">
        <v>0.622</v>
      </c>
      <c r="H91" s="5">
        <v>103.252</v>
      </c>
      <c r="I91" s="8">
        <v>66</v>
      </c>
      <c r="J91" s="8">
        <v>53</v>
      </c>
      <c r="K91" s="8">
        <v>149</v>
      </c>
      <c r="L91" s="8">
        <v>127</v>
      </c>
      <c r="M91" t="s">
        <v>1307</v>
      </c>
      <c r="N91" s="16" t="s">
        <v>22</v>
      </c>
      <c r="O91" s="16" t="s">
        <v>23</v>
      </c>
      <c r="P91" s="16" t="s">
        <v>37</v>
      </c>
      <c r="Q91" s="10" t="s">
        <v>122</v>
      </c>
      <c r="R91" s="3" t="str">
        <f t="shared" si="2"/>
        <v>119</v>
      </c>
      <c r="S91" s="3" t="str">
        <f t="shared" si="3"/>
        <v>65</v>
      </c>
      <c r="T91" s="16" t="s">
        <v>33</v>
      </c>
      <c r="U91" s="3">
        <v>16.960925291295425</v>
      </c>
      <c r="V91" s="16" t="str">
        <f>PROPER(Table1[[#This Row],[CVD Risk Level]])</f>
        <v>Intermediary</v>
      </c>
    </row>
    <row r="92" spans="1:22" x14ac:dyDescent="0.3">
      <c r="A92" t="s">
        <v>20</v>
      </c>
      <c r="B92" s="8">
        <v>59</v>
      </c>
      <c r="C92" s="8">
        <v>85.7</v>
      </c>
      <c r="D92" s="5">
        <v>1.78</v>
      </c>
      <c r="E92" s="5">
        <v>27</v>
      </c>
      <c r="F92" s="16" t="s">
        <v>1303</v>
      </c>
      <c r="G92" s="11">
        <v>0.41699999999999998</v>
      </c>
      <c r="H92" s="5">
        <v>74.3</v>
      </c>
      <c r="I92" s="8">
        <v>73</v>
      </c>
      <c r="J92" s="8">
        <v>165</v>
      </c>
      <c r="K92" s="8">
        <v>268</v>
      </c>
      <c r="L92" s="8">
        <v>77</v>
      </c>
      <c r="M92" t="s">
        <v>33</v>
      </c>
      <c r="N92" s="16" t="s">
        <v>22</v>
      </c>
      <c r="O92" s="16" t="s">
        <v>22</v>
      </c>
      <c r="P92" s="16" t="s">
        <v>24</v>
      </c>
      <c r="Q92" s="10" t="s">
        <v>123</v>
      </c>
      <c r="R92" s="3" t="str">
        <f t="shared" si="2"/>
        <v>120</v>
      </c>
      <c r="S92" s="3" t="str">
        <f t="shared" si="3"/>
        <v>96</v>
      </c>
      <c r="T92" s="16" t="s">
        <v>38</v>
      </c>
      <c r="U92" s="3">
        <v>16.760000000000002</v>
      </c>
      <c r="V92" s="16" t="str">
        <f>PROPER(Table1[[#This Row],[CVD Risk Level]])</f>
        <v>High</v>
      </c>
    </row>
    <row r="93" spans="1:22" x14ac:dyDescent="0.3">
      <c r="A93" t="s">
        <v>20</v>
      </c>
      <c r="B93" s="8">
        <v>60</v>
      </c>
      <c r="C93" s="8">
        <v>110.1</v>
      </c>
      <c r="D93" s="5">
        <v>1.7610816138680867</v>
      </c>
      <c r="E93" s="5">
        <v>35.5</v>
      </c>
      <c r="F93" s="16" t="s">
        <v>1302</v>
      </c>
      <c r="G93" s="11">
        <v>0.54300000000000004</v>
      </c>
      <c r="H93" s="5">
        <v>95.6</v>
      </c>
      <c r="I93" s="8">
        <v>66</v>
      </c>
      <c r="J93" s="8">
        <v>12</v>
      </c>
      <c r="K93" s="8">
        <v>108</v>
      </c>
      <c r="L93" s="8">
        <v>78</v>
      </c>
      <c r="M93" t="s">
        <v>33</v>
      </c>
      <c r="N93" s="16" t="s">
        <v>22</v>
      </c>
      <c r="O93" s="16" t="s">
        <v>23</v>
      </c>
      <c r="P93" s="16" t="s">
        <v>37</v>
      </c>
      <c r="Q93" s="10" t="s">
        <v>82</v>
      </c>
      <c r="R93" s="3" t="str">
        <f t="shared" si="2"/>
        <v>145</v>
      </c>
      <c r="S93" s="3" t="str">
        <f t="shared" si="3"/>
        <v>84</v>
      </c>
      <c r="T93" s="16" t="s">
        <v>29</v>
      </c>
      <c r="U93" s="3">
        <v>18.510000000000002</v>
      </c>
      <c r="V93" s="16" t="str">
        <f>PROPER(Table1[[#This Row],[CVD Risk Level]])</f>
        <v>Intermediary</v>
      </c>
    </row>
    <row r="94" spans="1:22" x14ac:dyDescent="0.3">
      <c r="A94" t="s">
        <v>20</v>
      </c>
      <c r="B94" s="8">
        <v>40</v>
      </c>
      <c r="C94" s="8">
        <v>70.5</v>
      </c>
      <c r="D94" s="5">
        <v>1.68</v>
      </c>
      <c r="E94" s="5">
        <v>25</v>
      </c>
      <c r="F94" s="16" t="s">
        <v>1303</v>
      </c>
      <c r="G94" s="11">
        <v>0.495</v>
      </c>
      <c r="H94" s="5">
        <v>83.16</v>
      </c>
      <c r="I94" s="8">
        <v>47</v>
      </c>
      <c r="J94" s="8">
        <v>77</v>
      </c>
      <c r="K94" s="8">
        <v>154</v>
      </c>
      <c r="L94" s="8">
        <v>119</v>
      </c>
      <c r="M94" t="s">
        <v>1306</v>
      </c>
      <c r="N94" s="16" t="s">
        <v>23</v>
      </c>
      <c r="O94" s="16" t="s">
        <v>22</v>
      </c>
      <c r="P94" s="16" t="s">
        <v>24</v>
      </c>
      <c r="Q94" s="10" t="s">
        <v>124</v>
      </c>
      <c r="R94" s="3" t="str">
        <f t="shared" si="2"/>
        <v>111</v>
      </c>
      <c r="S94" s="3" t="str">
        <f t="shared" si="3"/>
        <v>93</v>
      </c>
      <c r="T94" s="16" t="s">
        <v>38</v>
      </c>
      <c r="U94" s="3">
        <v>13.63</v>
      </c>
      <c r="V94" s="16" t="str">
        <f>PROPER(Table1[[#This Row],[CVD Risk Level]])</f>
        <v>Intermediary</v>
      </c>
    </row>
    <row r="95" spans="1:22" x14ac:dyDescent="0.3">
      <c r="A95" t="s">
        <v>20</v>
      </c>
      <c r="B95" s="8">
        <v>48</v>
      </c>
      <c r="C95" s="8">
        <v>109.3</v>
      </c>
      <c r="D95" s="5">
        <v>1.81</v>
      </c>
      <c r="E95" s="5">
        <v>33.4</v>
      </c>
      <c r="F95" s="16" t="s">
        <v>1302</v>
      </c>
      <c r="G95" s="11">
        <v>0.46</v>
      </c>
      <c r="H95" s="5">
        <v>83.2</v>
      </c>
      <c r="I95" s="8">
        <v>65</v>
      </c>
      <c r="J95" s="8">
        <v>40</v>
      </c>
      <c r="K95" s="8">
        <v>135</v>
      </c>
      <c r="L95" s="8">
        <v>119</v>
      </c>
      <c r="M95" t="s">
        <v>1306</v>
      </c>
      <c r="N95" s="16" t="s">
        <v>23</v>
      </c>
      <c r="O95" s="16" t="s">
        <v>23</v>
      </c>
      <c r="P95" s="16" t="s">
        <v>28</v>
      </c>
      <c r="Q95" s="10" t="s">
        <v>125</v>
      </c>
      <c r="R95" s="3" t="str">
        <f t="shared" si="2"/>
        <v>105</v>
      </c>
      <c r="S95" s="3" t="str">
        <f t="shared" si="3"/>
        <v>100</v>
      </c>
      <c r="T95" s="16" t="s">
        <v>38</v>
      </c>
      <c r="U95" s="3">
        <v>16.63</v>
      </c>
      <c r="V95" s="16" t="str">
        <f>PROPER(Table1[[#This Row],[CVD Risk Level]])</f>
        <v>High</v>
      </c>
    </row>
    <row r="96" spans="1:22" x14ac:dyDescent="0.3">
      <c r="A96" t="s">
        <v>20</v>
      </c>
      <c r="B96" s="8">
        <v>40</v>
      </c>
      <c r="C96" s="8">
        <v>84.6</v>
      </c>
      <c r="D96" s="5">
        <v>1.81</v>
      </c>
      <c r="E96" s="5">
        <v>25.8</v>
      </c>
      <c r="F96" s="16" t="s">
        <v>1303</v>
      </c>
      <c r="G96" s="11">
        <v>0.41199999999999998</v>
      </c>
      <c r="H96" s="5">
        <v>74.5</v>
      </c>
      <c r="I96" s="8">
        <v>47</v>
      </c>
      <c r="J96" s="8">
        <v>143</v>
      </c>
      <c r="K96" s="8">
        <v>220</v>
      </c>
      <c r="L96" s="8">
        <v>77</v>
      </c>
      <c r="M96" t="s">
        <v>33</v>
      </c>
      <c r="N96" s="16" t="s">
        <v>22</v>
      </c>
      <c r="O96" s="16" t="s">
        <v>22</v>
      </c>
      <c r="P96" s="16" t="s">
        <v>28</v>
      </c>
      <c r="Q96" s="10" t="s">
        <v>126</v>
      </c>
      <c r="R96" s="3" t="str">
        <f t="shared" si="2"/>
        <v>100</v>
      </c>
      <c r="S96" s="3" t="str">
        <f t="shared" si="3"/>
        <v>91</v>
      </c>
      <c r="T96" s="16" t="s">
        <v>38</v>
      </c>
      <c r="U96" s="3">
        <v>14.56</v>
      </c>
      <c r="V96" s="16" t="str">
        <f>PROPER(Table1[[#This Row],[CVD Risk Level]])</f>
        <v>Intermediary</v>
      </c>
    </row>
    <row r="97" spans="1:22" x14ac:dyDescent="0.3">
      <c r="A97" t="s">
        <v>31</v>
      </c>
      <c r="B97" s="8">
        <v>48</v>
      </c>
      <c r="C97" s="8">
        <v>111</v>
      </c>
      <c r="D97" s="5">
        <v>1.69</v>
      </c>
      <c r="E97" s="5">
        <v>38.9</v>
      </c>
      <c r="F97" s="16" t="s">
        <v>1302</v>
      </c>
      <c r="G97" s="11">
        <v>0.56100000000000005</v>
      </c>
      <c r="H97" s="5">
        <v>94.8</v>
      </c>
      <c r="I97" s="8">
        <v>48</v>
      </c>
      <c r="J97" s="8">
        <v>178</v>
      </c>
      <c r="K97" s="8">
        <v>452</v>
      </c>
      <c r="L97" s="8">
        <v>119</v>
      </c>
      <c r="M97" t="s">
        <v>1306</v>
      </c>
      <c r="N97" s="16" t="s">
        <v>23</v>
      </c>
      <c r="O97" s="16" t="s">
        <v>22</v>
      </c>
      <c r="P97" s="16" t="s">
        <v>37</v>
      </c>
      <c r="Q97" s="10" t="s">
        <v>127</v>
      </c>
      <c r="R97" s="3" t="str">
        <f t="shared" si="2"/>
        <v>98</v>
      </c>
      <c r="S97" s="3" t="str">
        <f t="shared" si="3"/>
        <v>64</v>
      </c>
      <c r="T97" s="16" t="s">
        <v>33</v>
      </c>
      <c r="U97" s="3">
        <v>17.8</v>
      </c>
      <c r="V97" s="16" t="str">
        <f>PROPER(Table1[[#This Row],[CVD Risk Level]])</f>
        <v>High</v>
      </c>
    </row>
    <row r="98" spans="1:22" x14ac:dyDescent="0.3">
      <c r="A98" t="s">
        <v>31</v>
      </c>
      <c r="B98" s="8">
        <v>37</v>
      </c>
      <c r="C98" s="8">
        <v>78.8</v>
      </c>
      <c r="D98" s="5">
        <v>1.81</v>
      </c>
      <c r="E98" s="5">
        <v>24.1</v>
      </c>
      <c r="F98" s="16" t="s">
        <v>33</v>
      </c>
      <c r="G98" s="11">
        <v>0.56200000000000006</v>
      </c>
      <c r="H98" s="5">
        <v>101.8</v>
      </c>
      <c r="I98" s="8">
        <v>73</v>
      </c>
      <c r="J98" s="8">
        <v>91</v>
      </c>
      <c r="K98" s="8">
        <v>194</v>
      </c>
      <c r="L98" s="8">
        <v>90</v>
      </c>
      <c r="M98" t="s">
        <v>33</v>
      </c>
      <c r="N98" s="16" t="s">
        <v>22</v>
      </c>
      <c r="O98" s="16" t="s">
        <v>22</v>
      </c>
      <c r="P98" s="16" t="s">
        <v>24</v>
      </c>
      <c r="Q98" s="10" t="s">
        <v>128</v>
      </c>
      <c r="R98" s="3" t="str">
        <f t="shared" si="2"/>
        <v>135</v>
      </c>
      <c r="S98" s="3" t="str">
        <f t="shared" si="3"/>
        <v>80</v>
      </c>
      <c r="T98" s="16" t="s">
        <v>29</v>
      </c>
      <c r="U98" s="3">
        <v>15.45</v>
      </c>
      <c r="V98" s="16" t="str">
        <f>PROPER(Table1[[#This Row],[CVD Risk Level]])</f>
        <v>Intermediary</v>
      </c>
    </row>
    <row r="99" spans="1:22" x14ac:dyDescent="0.3">
      <c r="A99" t="s">
        <v>20</v>
      </c>
      <c r="B99" s="8">
        <v>40</v>
      </c>
      <c r="C99" s="8">
        <v>116.9</v>
      </c>
      <c r="D99" s="5">
        <v>1.66</v>
      </c>
      <c r="E99" s="5">
        <v>42.4</v>
      </c>
      <c r="F99" s="16" t="s">
        <v>1302</v>
      </c>
      <c r="G99" s="11">
        <v>0.47</v>
      </c>
      <c r="H99" s="5">
        <v>78.099999999999994</v>
      </c>
      <c r="I99" s="8">
        <v>75</v>
      </c>
      <c r="J99" s="8">
        <v>106</v>
      </c>
      <c r="K99" s="8">
        <v>211</v>
      </c>
      <c r="L99" s="8">
        <v>117</v>
      </c>
      <c r="M99" t="s">
        <v>1306</v>
      </c>
      <c r="N99" s="16" t="s">
        <v>23</v>
      </c>
      <c r="O99" s="16" t="s">
        <v>22</v>
      </c>
      <c r="P99" s="16" t="s">
        <v>28</v>
      </c>
      <c r="Q99" s="10" t="s">
        <v>129</v>
      </c>
      <c r="R99" s="3" t="str">
        <f t="shared" si="2"/>
        <v>124</v>
      </c>
      <c r="S99" s="3" t="str">
        <f t="shared" si="3"/>
        <v>72</v>
      </c>
      <c r="T99" s="16" t="s">
        <v>25</v>
      </c>
      <c r="U99" s="3">
        <v>18.899999999999999</v>
      </c>
      <c r="V99" s="16" t="str">
        <f>PROPER(Table1[[#This Row],[CVD Risk Level]])</f>
        <v>High</v>
      </c>
    </row>
    <row r="100" spans="1:22" x14ac:dyDescent="0.3">
      <c r="A100" t="s">
        <v>20</v>
      </c>
      <c r="B100" s="8">
        <v>32</v>
      </c>
      <c r="C100" s="8">
        <v>98.3</v>
      </c>
      <c r="D100" s="5">
        <v>1.78</v>
      </c>
      <c r="E100" s="5">
        <v>31</v>
      </c>
      <c r="F100" s="16" t="s">
        <v>1302</v>
      </c>
      <c r="G100" s="11">
        <v>0.52200000000000002</v>
      </c>
      <c r="H100" s="5">
        <v>93</v>
      </c>
      <c r="I100" s="8">
        <v>42</v>
      </c>
      <c r="J100" s="8">
        <v>189</v>
      </c>
      <c r="K100" s="8">
        <v>261</v>
      </c>
      <c r="L100" s="8">
        <v>94</v>
      </c>
      <c r="M100" t="s">
        <v>33</v>
      </c>
      <c r="N100" s="16" t="s">
        <v>23</v>
      </c>
      <c r="O100" s="16" t="s">
        <v>23</v>
      </c>
      <c r="P100" s="16" t="s">
        <v>28</v>
      </c>
      <c r="Q100" s="10" t="s">
        <v>130</v>
      </c>
      <c r="R100" s="3" t="str">
        <f t="shared" si="2"/>
        <v>127</v>
      </c>
      <c r="S100" s="3" t="str">
        <f t="shared" si="3"/>
        <v>98</v>
      </c>
      <c r="T100" s="16" t="s">
        <v>38</v>
      </c>
      <c r="U100" s="3">
        <v>19.77</v>
      </c>
      <c r="V100" s="16" t="str">
        <f>PROPER(Table1[[#This Row],[CVD Risk Level]])</f>
        <v>High</v>
      </c>
    </row>
    <row r="101" spans="1:22" x14ac:dyDescent="0.3">
      <c r="A101" t="s">
        <v>31</v>
      </c>
      <c r="B101" s="8">
        <v>56</v>
      </c>
      <c r="C101" s="8">
        <v>84.1</v>
      </c>
      <c r="D101" s="5">
        <v>1.86</v>
      </c>
      <c r="E101" s="5">
        <v>24.309168690021963</v>
      </c>
      <c r="F101" s="16" t="s">
        <v>33</v>
      </c>
      <c r="G101" s="11">
        <v>0.40107526881720429</v>
      </c>
      <c r="H101" s="5">
        <v>74.599999999999994</v>
      </c>
      <c r="I101" s="8">
        <v>62</v>
      </c>
      <c r="J101" s="8">
        <v>157</v>
      </c>
      <c r="K101" s="8">
        <v>249</v>
      </c>
      <c r="L101" s="8">
        <v>118</v>
      </c>
      <c r="M101" t="s">
        <v>1306</v>
      </c>
      <c r="N101" s="16" t="s">
        <v>22</v>
      </c>
      <c r="O101" s="16" t="s">
        <v>22</v>
      </c>
      <c r="P101" s="16" t="s">
        <v>37</v>
      </c>
      <c r="Q101" s="10" t="s">
        <v>131</v>
      </c>
      <c r="R101" s="3" t="str">
        <f t="shared" si="2"/>
        <v>90</v>
      </c>
      <c r="S101" s="3" t="str">
        <f t="shared" si="3"/>
        <v>78</v>
      </c>
      <c r="T101" s="16" t="s">
        <v>33</v>
      </c>
      <c r="U101" s="3">
        <v>14.34</v>
      </c>
      <c r="V101" s="16" t="str">
        <f>PROPER(Table1[[#This Row],[CVD Risk Level]])</f>
        <v>Intermediary</v>
      </c>
    </row>
    <row r="102" spans="1:22" x14ac:dyDescent="0.3">
      <c r="A102" t="s">
        <v>31</v>
      </c>
      <c r="B102" s="8">
        <v>57</v>
      </c>
      <c r="C102" s="8">
        <v>99.1</v>
      </c>
      <c r="D102" s="5">
        <v>1.6</v>
      </c>
      <c r="E102" s="5">
        <v>38.700000000000003</v>
      </c>
      <c r="F102" s="16" t="s">
        <v>1302</v>
      </c>
      <c r="G102" s="11">
        <v>0.66500000000000004</v>
      </c>
      <c r="H102" s="5">
        <v>106.4</v>
      </c>
      <c r="I102" s="8">
        <v>58</v>
      </c>
      <c r="J102" s="8">
        <v>149</v>
      </c>
      <c r="K102" s="8">
        <v>237</v>
      </c>
      <c r="L102" s="8">
        <v>132</v>
      </c>
      <c r="M102" t="s">
        <v>1307</v>
      </c>
      <c r="N102" s="16" t="s">
        <v>22</v>
      </c>
      <c r="O102" s="16" t="s">
        <v>23</v>
      </c>
      <c r="P102" s="16" t="s">
        <v>28</v>
      </c>
      <c r="Q102" s="10" t="s">
        <v>132</v>
      </c>
      <c r="R102" s="3" t="str">
        <f t="shared" si="2"/>
        <v>103</v>
      </c>
      <c r="S102" s="3" t="str">
        <f t="shared" si="3"/>
        <v>96</v>
      </c>
      <c r="T102" s="16" t="s">
        <v>38</v>
      </c>
      <c r="U102" s="3">
        <v>19.63</v>
      </c>
      <c r="V102" s="16" t="str">
        <f>PROPER(Table1[[#This Row],[CVD Risk Level]])</f>
        <v>High</v>
      </c>
    </row>
    <row r="103" spans="1:22" x14ac:dyDescent="0.3">
      <c r="A103" t="s">
        <v>20</v>
      </c>
      <c r="B103" s="8">
        <v>51</v>
      </c>
      <c r="C103" s="8">
        <v>63.5</v>
      </c>
      <c r="D103" s="5">
        <v>1.8</v>
      </c>
      <c r="E103" s="5">
        <v>19.600000000000001</v>
      </c>
      <c r="F103" s="16" t="s">
        <v>33</v>
      </c>
      <c r="G103" s="11">
        <v>0.41699999999999998</v>
      </c>
      <c r="H103" s="5">
        <v>75.099999999999994</v>
      </c>
      <c r="I103" s="8">
        <v>54</v>
      </c>
      <c r="J103" s="8">
        <v>70</v>
      </c>
      <c r="K103" s="8">
        <v>154</v>
      </c>
      <c r="L103" s="8">
        <v>102</v>
      </c>
      <c r="M103" t="s">
        <v>1306</v>
      </c>
      <c r="N103" s="16" t="s">
        <v>22</v>
      </c>
      <c r="O103" s="16" t="s">
        <v>23</v>
      </c>
      <c r="P103" s="16" t="s">
        <v>28</v>
      </c>
      <c r="Q103" s="10" t="s">
        <v>133</v>
      </c>
      <c r="R103" s="3" t="str">
        <f t="shared" si="2"/>
        <v>103</v>
      </c>
      <c r="S103" s="3" t="str">
        <f t="shared" si="3"/>
        <v>81</v>
      </c>
      <c r="T103" s="16" t="s">
        <v>29</v>
      </c>
      <c r="U103" s="3">
        <v>14.15</v>
      </c>
      <c r="V103" s="16" t="str">
        <f>PROPER(Table1[[#This Row],[CVD Risk Level]])</f>
        <v>Intermediary</v>
      </c>
    </row>
    <row r="104" spans="1:22" x14ac:dyDescent="0.3">
      <c r="A104" t="s">
        <v>31</v>
      </c>
      <c r="B104" s="8">
        <v>48</v>
      </c>
      <c r="C104" s="8">
        <v>113.6</v>
      </c>
      <c r="D104" s="5">
        <v>1.79</v>
      </c>
      <c r="E104" s="5">
        <v>35.5</v>
      </c>
      <c r="F104" s="16" t="s">
        <v>1302</v>
      </c>
      <c r="G104" s="11">
        <v>0.55800000000000005</v>
      </c>
      <c r="H104" s="5">
        <v>99.882000000000005</v>
      </c>
      <c r="I104" s="8">
        <v>56</v>
      </c>
      <c r="J104" s="8">
        <v>200</v>
      </c>
      <c r="K104" s="8">
        <v>286</v>
      </c>
      <c r="L104" s="8">
        <v>133</v>
      </c>
      <c r="M104" t="s">
        <v>1307</v>
      </c>
      <c r="N104" s="16" t="s">
        <v>23</v>
      </c>
      <c r="O104" s="16" t="s">
        <v>22</v>
      </c>
      <c r="P104" s="16" t="s">
        <v>37</v>
      </c>
      <c r="Q104" s="10" t="s">
        <v>134</v>
      </c>
      <c r="R104" s="3" t="str">
        <f t="shared" si="2"/>
        <v>111</v>
      </c>
      <c r="S104" s="3" t="str">
        <f t="shared" si="3"/>
        <v>98</v>
      </c>
      <c r="T104" s="16" t="s">
        <v>38</v>
      </c>
      <c r="U104" s="3">
        <v>18.37</v>
      </c>
      <c r="V104" s="16" t="str">
        <f>PROPER(Table1[[#This Row],[CVD Risk Level]])</f>
        <v>High</v>
      </c>
    </row>
    <row r="105" spans="1:22" x14ac:dyDescent="0.3">
      <c r="A105" t="s">
        <v>20</v>
      </c>
      <c r="B105" s="8">
        <v>53</v>
      </c>
      <c r="C105" s="8">
        <v>70.3</v>
      </c>
      <c r="D105" s="5">
        <v>1.67</v>
      </c>
      <c r="E105" s="5">
        <v>25.207070888163791</v>
      </c>
      <c r="F105" s="16" t="s">
        <v>1303</v>
      </c>
      <c r="G105" s="11">
        <v>0.53200000000000003</v>
      </c>
      <c r="H105" s="5">
        <v>88.8</v>
      </c>
      <c r="I105" s="8">
        <v>60</v>
      </c>
      <c r="J105" s="8">
        <v>187</v>
      </c>
      <c r="K105" s="8">
        <v>277</v>
      </c>
      <c r="L105" s="8">
        <v>113</v>
      </c>
      <c r="M105" t="s">
        <v>1306</v>
      </c>
      <c r="N105" s="16" t="s">
        <v>22</v>
      </c>
      <c r="O105" s="16" t="s">
        <v>22</v>
      </c>
      <c r="P105" s="16" t="s">
        <v>24</v>
      </c>
      <c r="Q105" s="10" t="s">
        <v>121</v>
      </c>
      <c r="R105" s="3" t="str">
        <f t="shared" si="2"/>
        <v>130</v>
      </c>
      <c r="S105" s="3" t="str">
        <f t="shared" si="3"/>
        <v>97</v>
      </c>
      <c r="T105" s="16" t="s">
        <v>29</v>
      </c>
      <c r="U105" s="3">
        <v>17.079999999999998</v>
      </c>
      <c r="V105" s="16" t="str">
        <f>PROPER(Table1[[#This Row],[CVD Risk Level]])</f>
        <v>High</v>
      </c>
    </row>
    <row r="106" spans="1:22" x14ac:dyDescent="0.3">
      <c r="A106" t="s">
        <v>20</v>
      </c>
      <c r="B106" s="8">
        <v>41</v>
      </c>
      <c r="C106" s="8">
        <v>54.8</v>
      </c>
      <c r="D106" s="5">
        <v>1.78</v>
      </c>
      <c r="E106" s="5">
        <v>17.3</v>
      </c>
      <c r="F106" s="16" t="s">
        <v>1304</v>
      </c>
      <c r="G106" s="11">
        <v>0.59199999999999997</v>
      </c>
      <c r="H106" s="5">
        <v>105.4</v>
      </c>
      <c r="I106" s="8">
        <v>49</v>
      </c>
      <c r="J106" s="8">
        <v>26</v>
      </c>
      <c r="K106" s="8">
        <v>150</v>
      </c>
      <c r="L106" s="8">
        <v>83</v>
      </c>
      <c r="M106" t="s">
        <v>33</v>
      </c>
      <c r="N106" s="16" t="s">
        <v>22</v>
      </c>
      <c r="O106" s="16" t="s">
        <v>23</v>
      </c>
      <c r="P106" s="16" t="s">
        <v>24</v>
      </c>
      <c r="Q106" s="10" t="s">
        <v>135</v>
      </c>
      <c r="R106" s="3" t="str">
        <f t="shared" si="2"/>
        <v>92</v>
      </c>
      <c r="S106" s="3" t="str">
        <f t="shared" si="3"/>
        <v>73</v>
      </c>
      <c r="T106" s="16" t="s">
        <v>33</v>
      </c>
      <c r="U106" s="3">
        <v>12.16</v>
      </c>
      <c r="V106" s="16" t="str">
        <f>PROPER(Table1[[#This Row],[CVD Risk Level]])</f>
        <v>Intermediary</v>
      </c>
    </row>
    <row r="107" spans="1:22" x14ac:dyDescent="0.3">
      <c r="A107" t="s">
        <v>31</v>
      </c>
      <c r="B107" s="8">
        <v>33</v>
      </c>
      <c r="C107" s="8">
        <v>119.7</v>
      </c>
      <c r="D107" s="5">
        <v>1.74</v>
      </c>
      <c r="E107" s="5">
        <v>39.5</v>
      </c>
      <c r="F107" s="16" t="s">
        <v>1302</v>
      </c>
      <c r="G107" s="11">
        <v>0.55200000000000005</v>
      </c>
      <c r="H107" s="5">
        <v>96</v>
      </c>
      <c r="I107" s="8">
        <v>57</v>
      </c>
      <c r="J107" s="8">
        <v>76</v>
      </c>
      <c r="K107" s="8">
        <v>163</v>
      </c>
      <c r="L107" s="8">
        <v>116</v>
      </c>
      <c r="M107" t="s">
        <v>1306</v>
      </c>
      <c r="N107" s="16" t="s">
        <v>23</v>
      </c>
      <c r="O107" s="16" t="s">
        <v>22</v>
      </c>
      <c r="P107" s="16" t="s">
        <v>37</v>
      </c>
      <c r="Q107" s="10" t="s">
        <v>136</v>
      </c>
      <c r="R107" s="3" t="str">
        <f t="shared" si="2"/>
        <v>99</v>
      </c>
      <c r="S107" s="3" t="str">
        <f t="shared" si="3"/>
        <v>97</v>
      </c>
      <c r="T107" s="16" t="s">
        <v>38</v>
      </c>
      <c r="U107" s="3">
        <v>16.11</v>
      </c>
      <c r="V107" s="16" t="str">
        <f>PROPER(Table1[[#This Row],[CVD Risk Level]])</f>
        <v>Intermediary</v>
      </c>
    </row>
    <row r="108" spans="1:22" x14ac:dyDescent="0.3">
      <c r="A108" t="s">
        <v>20</v>
      </c>
      <c r="B108" s="8">
        <v>59</v>
      </c>
      <c r="C108" s="8">
        <v>89.5</v>
      </c>
      <c r="D108" s="5">
        <v>1.71</v>
      </c>
      <c r="E108" s="5">
        <v>30.6</v>
      </c>
      <c r="F108" s="16" t="s">
        <v>1302</v>
      </c>
      <c r="G108" s="11">
        <v>0.61</v>
      </c>
      <c r="H108" s="5">
        <v>104.3</v>
      </c>
      <c r="I108" s="8">
        <v>69</v>
      </c>
      <c r="J108" s="8">
        <v>33</v>
      </c>
      <c r="K108" s="8">
        <v>132</v>
      </c>
      <c r="L108" s="8">
        <v>140</v>
      </c>
      <c r="M108" t="s">
        <v>1307</v>
      </c>
      <c r="N108" s="16" t="s">
        <v>22</v>
      </c>
      <c r="O108" s="16" t="s">
        <v>23</v>
      </c>
      <c r="P108" s="16" t="s">
        <v>24</v>
      </c>
      <c r="Q108" s="10" t="s">
        <v>137</v>
      </c>
      <c r="R108" s="3" t="str">
        <f t="shared" si="2"/>
        <v>107</v>
      </c>
      <c r="S108" s="3" t="str">
        <f t="shared" si="3"/>
        <v>67</v>
      </c>
      <c r="T108" s="16" t="s">
        <v>33</v>
      </c>
      <c r="U108" s="3">
        <v>16.11</v>
      </c>
      <c r="V108" s="16" t="str">
        <f>PROPER(Table1[[#This Row],[CVD Risk Level]])</f>
        <v>High</v>
      </c>
    </row>
    <row r="109" spans="1:22" x14ac:dyDescent="0.3">
      <c r="A109" t="s">
        <v>20</v>
      </c>
      <c r="B109" s="8">
        <v>42</v>
      </c>
      <c r="C109" s="8">
        <v>59.2</v>
      </c>
      <c r="D109" s="5">
        <v>1.78</v>
      </c>
      <c r="E109" s="5">
        <v>18.7</v>
      </c>
      <c r="F109" s="16" t="s">
        <v>33</v>
      </c>
      <c r="G109" s="11">
        <v>0.498</v>
      </c>
      <c r="H109" s="5">
        <v>88.6</v>
      </c>
      <c r="I109" s="8">
        <v>80</v>
      </c>
      <c r="J109" s="8">
        <v>12</v>
      </c>
      <c r="K109" s="8">
        <v>122</v>
      </c>
      <c r="L109" s="8">
        <v>110</v>
      </c>
      <c r="M109" t="s">
        <v>1306</v>
      </c>
      <c r="N109" s="16" t="s">
        <v>23</v>
      </c>
      <c r="O109" s="16" t="s">
        <v>22</v>
      </c>
      <c r="P109" s="16" t="s">
        <v>24</v>
      </c>
      <c r="Q109" s="10" t="s">
        <v>138</v>
      </c>
      <c r="R109" s="3" t="str">
        <f t="shared" si="2"/>
        <v>137</v>
      </c>
      <c r="S109" s="3" t="str">
        <f t="shared" si="3"/>
        <v>68</v>
      </c>
      <c r="T109" s="16" t="s">
        <v>29</v>
      </c>
      <c r="U109" s="3">
        <v>13.03</v>
      </c>
      <c r="V109" s="16" t="str">
        <f>PROPER(Table1[[#This Row],[CVD Risk Level]])</f>
        <v>Intermediary</v>
      </c>
    </row>
    <row r="110" spans="1:22" x14ac:dyDescent="0.3">
      <c r="A110" t="s">
        <v>20</v>
      </c>
      <c r="B110" s="8">
        <v>46</v>
      </c>
      <c r="C110" s="8">
        <v>77.7</v>
      </c>
      <c r="D110" s="5">
        <v>1.61</v>
      </c>
      <c r="E110" s="5">
        <v>30</v>
      </c>
      <c r="F110" s="16" t="s">
        <v>1302</v>
      </c>
      <c r="G110" s="11">
        <v>0.57799999999999996</v>
      </c>
      <c r="H110" s="5">
        <v>93.1</v>
      </c>
      <c r="I110" s="8">
        <v>43</v>
      </c>
      <c r="J110" s="8">
        <v>152</v>
      </c>
      <c r="K110" s="8">
        <v>225</v>
      </c>
      <c r="L110" s="8">
        <v>121</v>
      </c>
      <c r="M110" t="s">
        <v>1306</v>
      </c>
      <c r="N110" s="16" t="s">
        <v>23</v>
      </c>
      <c r="O110" s="16" t="s">
        <v>23</v>
      </c>
      <c r="P110" s="16" t="s">
        <v>28</v>
      </c>
      <c r="Q110" s="10" t="s">
        <v>139</v>
      </c>
      <c r="R110" s="3" t="str">
        <f t="shared" si="2"/>
        <v>104</v>
      </c>
      <c r="S110" s="3" t="str">
        <f t="shared" si="3"/>
        <v>81</v>
      </c>
      <c r="T110" s="16" t="s">
        <v>29</v>
      </c>
      <c r="U110" s="3">
        <v>17.7</v>
      </c>
      <c r="V110" s="16" t="str">
        <f>PROPER(Table1[[#This Row],[CVD Risk Level]])</f>
        <v>High</v>
      </c>
    </row>
    <row r="111" spans="1:22" x14ac:dyDescent="0.3">
      <c r="A111" t="s">
        <v>20</v>
      </c>
      <c r="B111" s="8">
        <v>47.025499655410059</v>
      </c>
      <c r="C111" s="8">
        <v>100.9</v>
      </c>
      <c r="D111" s="5">
        <v>1.78</v>
      </c>
      <c r="E111" s="5">
        <v>31.8</v>
      </c>
      <c r="F111" s="16" t="s">
        <v>1302</v>
      </c>
      <c r="G111" s="11">
        <v>0.61499999999999999</v>
      </c>
      <c r="H111" s="5">
        <v>109.4</v>
      </c>
      <c r="I111" s="8">
        <v>35</v>
      </c>
      <c r="J111" s="8">
        <v>111</v>
      </c>
      <c r="K111" s="8">
        <v>176</v>
      </c>
      <c r="L111" s="8">
        <v>136</v>
      </c>
      <c r="M111" t="s">
        <v>1307</v>
      </c>
      <c r="N111" s="16" t="s">
        <v>23</v>
      </c>
      <c r="O111" s="16" t="s">
        <v>22</v>
      </c>
      <c r="P111" s="16" t="s">
        <v>24</v>
      </c>
      <c r="Q111" s="10" t="s">
        <v>140</v>
      </c>
      <c r="R111" s="3" t="str">
        <f t="shared" si="2"/>
        <v>113</v>
      </c>
      <c r="S111" s="3" t="str">
        <f t="shared" si="3"/>
        <v>99</v>
      </c>
      <c r="T111" s="16" t="s">
        <v>38</v>
      </c>
      <c r="U111" s="3">
        <v>15.53</v>
      </c>
      <c r="V111" s="16" t="str">
        <f>PROPER(Table1[[#This Row],[CVD Risk Level]])</f>
        <v>High</v>
      </c>
    </row>
    <row r="112" spans="1:22" x14ac:dyDescent="0.3">
      <c r="A112" t="s">
        <v>31</v>
      </c>
      <c r="B112" s="8">
        <v>40</v>
      </c>
      <c r="C112" s="8">
        <v>53.3</v>
      </c>
      <c r="D112" s="5">
        <v>1.63</v>
      </c>
      <c r="E112" s="5">
        <v>20.100000000000001</v>
      </c>
      <c r="F112" s="16" t="s">
        <v>33</v>
      </c>
      <c r="G112" s="11">
        <v>0.65600000000000003</v>
      </c>
      <c r="H112" s="5">
        <v>106.92800000000001</v>
      </c>
      <c r="I112" s="8">
        <v>40</v>
      </c>
      <c r="J112" s="8">
        <v>72</v>
      </c>
      <c r="K112" s="8">
        <v>142</v>
      </c>
      <c r="L112" s="8">
        <v>129</v>
      </c>
      <c r="M112" t="s">
        <v>1307</v>
      </c>
      <c r="N112" s="16" t="s">
        <v>22</v>
      </c>
      <c r="O112" s="16" t="s">
        <v>23</v>
      </c>
      <c r="P112" s="16" t="s">
        <v>28</v>
      </c>
      <c r="Q112" s="10" t="s">
        <v>141</v>
      </c>
      <c r="R112" s="3" t="str">
        <f t="shared" si="2"/>
        <v>90</v>
      </c>
      <c r="S112" s="3" t="str">
        <f t="shared" si="3"/>
        <v>67</v>
      </c>
      <c r="T112" s="16" t="s">
        <v>33</v>
      </c>
      <c r="U112" s="3">
        <v>13.36</v>
      </c>
      <c r="V112" s="16" t="str">
        <f>PROPER(Table1[[#This Row],[CVD Risk Level]])</f>
        <v>Low</v>
      </c>
    </row>
    <row r="113" spans="1:22" x14ac:dyDescent="0.3">
      <c r="A113" t="s">
        <v>31</v>
      </c>
      <c r="B113" s="8">
        <v>49</v>
      </c>
      <c r="C113" s="8">
        <v>74.8</v>
      </c>
      <c r="D113" s="5">
        <v>1.84</v>
      </c>
      <c r="E113" s="5">
        <v>22.1</v>
      </c>
      <c r="F113" s="16" t="s">
        <v>33</v>
      </c>
      <c r="G113" s="11">
        <v>0.56200000000000006</v>
      </c>
      <c r="H113" s="5">
        <v>103.4</v>
      </c>
      <c r="I113" s="8">
        <v>76</v>
      </c>
      <c r="J113" s="8">
        <v>122</v>
      </c>
      <c r="K113" s="8">
        <v>228</v>
      </c>
      <c r="L113" s="8">
        <v>99</v>
      </c>
      <c r="M113" t="s">
        <v>33</v>
      </c>
      <c r="N113" s="16" t="s">
        <v>23</v>
      </c>
      <c r="O113" s="16" t="s">
        <v>23</v>
      </c>
      <c r="P113" s="16" t="s">
        <v>24</v>
      </c>
      <c r="Q113" s="10" t="s">
        <v>142</v>
      </c>
      <c r="R113" s="3" t="str">
        <f t="shared" si="2"/>
        <v>122</v>
      </c>
      <c r="S113" s="3" t="str">
        <f t="shared" si="3"/>
        <v>88</v>
      </c>
      <c r="T113" s="16" t="s">
        <v>29</v>
      </c>
      <c r="U113" s="3">
        <v>17.079999999999998</v>
      </c>
      <c r="V113" s="16" t="str">
        <f>PROPER(Table1[[#This Row],[CVD Risk Level]])</f>
        <v>High</v>
      </c>
    </row>
    <row r="114" spans="1:22" x14ac:dyDescent="0.3">
      <c r="A114" t="s">
        <v>20</v>
      </c>
      <c r="B114" s="8">
        <v>30</v>
      </c>
      <c r="C114" s="8">
        <v>89.6</v>
      </c>
      <c r="D114" s="5">
        <v>1.78</v>
      </c>
      <c r="E114" s="5">
        <v>28.3</v>
      </c>
      <c r="F114" s="16" t="s">
        <v>1303</v>
      </c>
      <c r="G114" s="11">
        <v>0.39400000000000002</v>
      </c>
      <c r="H114" s="5">
        <v>70.099999999999994</v>
      </c>
      <c r="I114" s="8">
        <v>79</v>
      </c>
      <c r="J114" s="8">
        <v>130</v>
      </c>
      <c r="K114" s="8">
        <v>239</v>
      </c>
      <c r="L114" s="8">
        <v>121</v>
      </c>
      <c r="M114" t="s">
        <v>1306</v>
      </c>
      <c r="N114" s="16" t="s">
        <v>22</v>
      </c>
      <c r="O114" s="16" t="s">
        <v>23</v>
      </c>
      <c r="P114" s="16" t="s">
        <v>24</v>
      </c>
      <c r="Q114" s="10" t="s">
        <v>143</v>
      </c>
      <c r="R114" s="3" t="str">
        <f t="shared" si="2"/>
        <v>133</v>
      </c>
      <c r="S114" s="3" t="str">
        <f t="shared" si="3"/>
        <v>97</v>
      </c>
      <c r="T114" s="16" t="s">
        <v>29</v>
      </c>
      <c r="U114" s="3">
        <v>19.09</v>
      </c>
      <c r="V114" s="16" t="str">
        <f>PROPER(Table1[[#This Row],[CVD Risk Level]])</f>
        <v>High</v>
      </c>
    </row>
    <row r="115" spans="1:22" x14ac:dyDescent="0.3">
      <c r="A115" t="s">
        <v>20</v>
      </c>
      <c r="B115" s="8">
        <v>39</v>
      </c>
      <c r="C115" s="8">
        <v>55.7</v>
      </c>
      <c r="D115" s="5">
        <v>1.68</v>
      </c>
      <c r="E115" s="5">
        <v>19.7</v>
      </c>
      <c r="F115" s="16" t="s">
        <v>33</v>
      </c>
      <c r="G115" s="11">
        <v>0.4696428571428572</v>
      </c>
      <c r="H115" s="5">
        <v>78.900000000000006</v>
      </c>
      <c r="I115" s="8">
        <v>43</v>
      </c>
      <c r="J115" s="8">
        <v>179</v>
      </c>
      <c r="K115" s="8">
        <v>252</v>
      </c>
      <c r="L115" s="8">
        <v>123</v>
      </c>
      <c r="M115" t="s">
        <v>1306</v>
      </c>
      <c r="N115" s="16" t="s">
        <v>23</v>
      </c>
      <c r="O115" s="16" t="s">
        <v>23</v>
      </c>
      <c r="P115" s="16" t="s">
        <v>24</v>
      </c>
      <c r="Q115" s="10" t="s">
        <v>144</v>
      </c>
      <c r="R115" s="3" t="str">
        <f t="shared" si="2"/>
        <v>135</v>
      </c>
      <c r="S115" s="3" t="str">
        <f t="shared" si="3"/>
        <v>100</v>
      </c>
      <c r="T115" s="16" t="s">
        <v>29</v>
      </c>
      <c r="U115" s="3">
        <v>16.960925291295425</v>
      </c>
      <c r="V115" s="16" t="str">
        <f>PROPER(Table1[[#This Row],[CVD Risk Level]])</f>
        <v>High</v>
      </c>
    </row>
    <row r="116" spans="1:22" x14ac:dyDescent="0.3">
      <c r="A116" t="s">
        <v>20</v>
      </c>
      <c r="B116" s="8">
        <v>41</v>
      </c>
      <c r="C116" s="8">
        <v>93</v>
      </c>
      <c r="D116" s="5">
        <v>1.88</v>
      </c>
      <c r="E116" s="5">
        <v>26.3</v>
      </c>
      <c r="F116" s="16" t="s">
        <v>1303</v>
      </c>
      <c r="G116" s="11">
        <v>0.52800000000000002</v>
      </c>
      <c r="H116" s="5">
        <v>99.2</v>
      </c>
      <c r="I116" s="8">
        <v>58</v>
      </c>
      <c r="J116" s="8">
        <v>70</v>
      </c>
      <c r="K116" s="8">
        <v>158</v>
      </c>
      <c r="L116" s="8">
        <v>138</v>
      </c>
      <c r="M116" t="s">
        <v>1307</v>
      </c>
      <c r="N116" s="16" t="s">
        <v>23</v>
      </c>
      <c r="O116" s="16" t="s">
        <v>22</v>
      </c>
      <c r="P116" s="16" t="s">
        <v>37</v>
      </c>
      <c r="Q116" s="10" t="s">
        <v>145</v>
      </c>
      <c r="R116" s="3" t="str">
        <f t="shared" si="2"/>
        <v>114</v>
      </c>
      <c r="S116" s="3" t="str">
        <f t="shared" si="3"/>
        <v>96</v>
      </c>
      <c r="T116" s="16" t="s">
        <v>38</v>
      </c>
      <c r="U116" s="3">
        <v>14.12</v>
      </c>
      <c r="V116" s="16" t="str">
        <f>PROPER(Table1[[#This Row],[CVD Risk Level]])</f>
        <v>Intermediary</v>
      </c>
    </row>
    <row r="117" spans="1:22" x14ac:dyDescent="0.3">
      <c r="A117" t="s">
        <v>20</v>
      </c>
      <c r="B117" s="8">
        <v>50</v>
      </c>
      <c r="C117" s="8">
        <v>73</v>
      </c>
      <c r="D117" s="5">
        <v>1.79</v>
      </c>
      <c r="E117" s="5">
        <v>22.8</v>
      </c>
      <c r="F117" s="16" t="s">
        <v>33</v>
      </c>
      <c r="G117" s="11">
        <v>0.432</v>
      </c>
      <c r="H117" s="5">
        <v>77.400000000000006</v>
      </c>
      <c r="I117" s="8">
        <v>69</v>
      </c>
      <c r="J117" s="8">
        <v>84</v>
      </c>
      <c r="K117" s="8">
        <v>183</v>
      </c>
      <c r="L117" s="8">
        <v>119</v>
      </c>
      <c r="M117" t="s">
        <v>1306</v>
      </c>
      <c r="N117" s="16" t="s">
        <v>23</v>
      </c>
      <c r="O117" s="16" t="s">
        <v>23</v>
      </c>
      <c r="P117" s="16" t="s">
        <v>24</v>
      </c>
      <c r="Q117" s="10" t="s">
        <v>146</v>
      </c>
      <c r="R117" s="3" t="str">
        <f t="shared" si="2"/>
        <v>117</v>
      </c>
      <c r="S117" s="3" t="str">
        <f t="shared" si="3"/>
        <v>97</v>
      </c>
      <c r="T117" s="16" t="s">
        <v>38</v>
      </c>
      <c r="U117" s="3">
        <v>16.07</v>
      </c>
      <c r="V117" s="16" t="str">
        <f>PROPER(Table1[[#This Row],[CVD Risk Level]])</f>
        <v>High</v>
      </c>
    </row>
    <row r="118" spans="1:22" x14ac:dyDescent="0.3">
      <c r="A118" t="s">
        <v>31</v>
      </c>
      <c r="B118" s="8">
        <v>50</v>
      </c>
      <c r="C118" s="8">
        <v>94.3</v>
      </c>
      <c r="D118" s="5">
        <v>1.68</v>
      </c>
      <c r="E118" s="5">
        <v>33.4</v>
      </c>
      <c r="F118" s="16" t="s">
        <v>1302</v>
      </c>
      <c r="G118" s="11">
        <v>0.57299999999999995</v>
      </c>
      <c r="H118" s="5">
        <v>96.3</v>
      </c>
      <c r="I118" s="8">
        <v>38</v>
      </c>
      <c r="J118" s="8">
        <v>38</v>
      </c>
      <c r="K118" s="8">
        <v>106</v>
      </c>
      <c r="L118" s="8">
        <v>118</v>
      </c>
      <c r="M118" t="s">
        <v>1306</v>
      </c>
      <c r="N118" s="16" t="s">
        <v>22</v>
      </c>
      <c r="O118" s="16" t="s">
        <v>23</v>
      </c>
      <c r="P118" s="16" t="s">
        <v>24</v>
      </c>
      <c r="Q118" s="10" t="s">
        <v>132</v>
      </c>
      <c r="R118" s="3" t="str">
        <f t="shared" si="2"/>
        <v>103</v>
      </c>
      <c r="S118" s="3" t="str">
        <f t="shared" si="3"/>
        <v>96</v>
      </c>
      <c r="T118" s="16" t="s">
        <v>38</v>
      </c>
      <c r="U118" s="3">
        <v>15.95</v>
      </c>
      <c r="V118" s="16" t="str">
        <f>PROPER(Table1[[#This Row],[CVD Risk Level]])</f>
        <v>High</v>
      </c>
    </row>
    <row r="119" spans="1:22" x14ac:dyDescent="0.3">
      <c r="A119" t="s">
        <v>20</v>
      </c>
      <c r="B119" s="8">
        <v>60</v>
      </c>
      <c r="C119" s="8">
        <v>80.687999999999988</v>
      </c>
      <c r="D119" s="5">
        <v>1.64</v>
      </c>
      <c r="E119" s="5">
        <v>30</v>
      </c>
      <c r="F119" s="16" t="s">
        <v>1302</v>
      </c>
      <c r="G119" s="11">
        <v>0.58499999999999996</v>
      </c>
      <c r="H119" s="5">
        <v>95.9</v>
      </c>
      <c r="I119" s="8">
        <v>62</v>
      </c>
      <c r="J119" s="8">
        <v>86</v>
      </c>
      <c r="K119" s="8">
        <v>178</v>
      </c>
      <c r="L119" s="8">
        <v>90</v>
      </c>
      <c r="M119" t="s">
        <v>33</v>
      </c>
      <c r="N119" s="16" t="s">
        <v>23</v>
      </c>
      <c r="O119" s="16" t="s">
        <v>23</v>
      </c>
      <c r="P119" s="16" t="s">
        <v>24</v>
      </c>
      <c r="Q119" s="10" t="s">
        <v>116</v>
      </c>
      <c r="R119" s="3" t="str">
        <f t="shared" si="2"/>
        <v>114</v>
      </c>
      <c r="S119" s="3" t="str">
        <f t="shared" si="3"/>
        <v>63</v>
      </c>
      <c r="T119" s="16" t="s">
        <v>33</v>
      </c>
      <c r="U119" s="3">
        <v>17.260000000000002</v>
      </c>
      <c r="V119" s="16" t="str">
        <f>PROPER(Table1[[#This Row],[CVD Risk Level]])</f>
        <v>High</v>
      </c>
    </row>
    <row r="120" spans="1:22" x14ac:dyDescent="0.3">
      <c r="A120" t="s">
        <v>31</v>
      </c>
      <c r="B120" s="8">
        <v>41</v>
      </c>
      <c r="C120" s="8">
        <v>71.3</v>
      </c>
      <c r="D120" s="5">
        <v>1.73</v>
      </c>
      <c r="E120" s="5">
        <v>23.8</v>
      </c>
      <c r="F120" s="16" t="s">
        <v>33</v>
      </c>
      <c r="G120" s="11">
        <v>0.62369942196531791</v>
      </c>
      <c r="H120" s="5">
        <v>107.9</v>
      </c>
      <c r="I120" s="8">
        <v>77</v>
      </c>
      <c r="J120" s="8">
        <v>146</v>
      </c>
      <c r="K120" s="8">
        <v>253</v>
      </c>
      <c r="L120" s="8">
        <v>94</v>
      </c>
      <c r="M120" t="s">
        <v>33</v>
      </c>
      <c r="N120" s="16" t="s">
        <v>23</v>
      </c>
      <c r="O120" s="16" t="s">
        <v>22</v>
      </c>
      <c r="P120" s="16" t="s">
        <v>24</v>
      </c>
      <c r="Q120" s="10" t="s">
        <v>147</v>
      </c>
      <c r="R120" s="3" t="str">
        <f t="shared" si="2"/>
        <v>139</v>
      </c>
      <c r="S120" s="3" t="str">
        <f t="shared" si="3"/>
        <v>61</v>
      </c>
      <c r="T120" s="16" t="s">
        <v>29</v>
      </c>
      <c r="U120" s="3">
        <v>16.77</v>
      </c>
      <c r="V120" s="16" t="str">
        <f>PROPER(Table1[[#This Row],[CVD Risk Level]])</f>
        <v>High</v>
      </c>
    </row>
    <row r="121" spans="1:22" x14ac:dyDescent="0.3">
      <c r="A121" t="s">
        <v>31</v>
      </c>
      <c r="B121" s="8">
        <v>59</v>
      </c>
      <c r="C121" s="8">
        <v>103.9</v>
      </c>
      <c r="D121" s="5">
        <v>1.66</v>
      </c>
      <c r="E121" s="5">
        <v>37.700000000000003</v>
      </c>
      <c r="F121" s="16" t="s">
        <v>1302</v>
      </c>
      <c r="G121" s="11">
        <v>0.52500000000000002</v>
      </c>
      <c r="H121" s="5">
        <v>87.1</v>
      </c>
      <c r="I121" s="8">
        <v>31</v>
      </c>
      <c r="J121" s="8">
        <v>211</v>
      </c>
      <c r="K121" s="8">
        <v>272</v>
      </c>
      <c r="L121" s="8">
        <v>117</v>
      </c>
      <c r="M121" t="s">
        <v>1306</v>
      </c>
      <c r="N121" s="16" t="s">
        <v>22</v>
      </c>
      <c r="O121" s="16" t="s">
        <v>22</v>
      </c>
      <c r="P121" s="16" t="s">
        <v>24</v>
      </c>
      <c r="Q121" s="10" t="s">
        <v>148</v>
      </c>
      <c r="R121" s="3" t="str">
        <f t="shared" si="2"/>
        <v>117</v>
      </c>
      <c r="S121" s="3" t="str">
        <f t="shared" si="3"/>
        <v>61</v>
      </c>
      <c r="T121" s="16" t="s">
        <v>33</v>
      </c>
      <c r="U121" s="3">
        <v>18.829999999999998</v>
      </c>
      <c r="V121" s="16" t="str">
        <f>PROPER(Table1[[#This Row],[CVD Risk Level]])</f>
        <v>High</v>
      </c>
    </row>
    <row r="122" spans="1:22" x14ac:dyDescent="0.3">
      <c r="A122" t="s">
        <v>20</v>
      </c>
      <c r="B122" s="8">
        <v>60</v>
      </c>
      <c r="C122" s="8">
        <v>54.8</v>
      </c>
      <c r="D122" s="5">
        <v>1.77</v>
      </c>
      <c r="E122" s="5">
        <v>17.5</v>
      </c>
      <c r="F122" s="16" t="s">
        <v>1304</v>
      </c>
      <c r="G122" s="11">
        <v>0.45900000000000002</v>
      </c>
      <c r="H122" s="5">
        <v>81.2</v>
      </c>
      <c r="I122" s="8">
        <v>80</v>
      </c>
      <c r="J122" s="8">
        <v>109</v>
      </c>
      <c r="K122" s="8">
        <v>108</v>
      </c>
      <c r="L122" s="8">
        <v>108</v>
      </c>
      <c r="M122" t="s">
        <v>1306</v>
      </c>
      <c r="N122" s="16" t="s">
        <v>23</v>
      </c>
      <c r="O122" s="16" t="s">
        <v>22</v>
      </c>
      <c r="P122" s="16" t="s">
        <v>37</v>
      </c>
      <c r="Q122" s="10" t="s">
        <v>149</v>
      </c>
      <c r="R122" s="3" t="str">
        <f t="shared" si="2"/>
        <v>108</v>
      </c>
      <c r="S122" s="3" t="str">
        <f t="shared" si="3"/>
        <v>81</v>
      </c>
      <c r="T122" s="16" t="s">
        <v>29</v>
      </c>
      <c r="U122" s="3">
        <v>11.06</v>
      </c>
      <c r="V122" s="16" t="str">
        <f>PROPER(Table1[[#This Row],[CVD Risk Level]])</f>
        <v>Intermediary</v>
      </c>
    </row>
    <row r="123" spans="1:22" x14ac:dyDescent="0.3">
      <c r="A123" t="s">
        <v>20</v>
      </c>
      <c r="B123" s="8">
        <v>40</v>
      </c>
      <c r="C123" s="8">
        <v>113.8</v>
      </c>
      <c r="D123" s="5">
        <v>1.84</v>
      </c>
      <c r="E123" s="5">
        <v>33.6</v>
      </c>
      <c r="F123" s="16" t="s">
        <v>1302</v>
      </c>
      <c r="G123" s="11">
        <v>0.52700000000000002</v>
      </c>
      <c r="H123" s="5">
        <v>96.9</v>
      </c>
      <c r="I123" s="8">
        <v>56</v>
      </c>
      <c r="J123" s="8">
        <v>117</v>
      </c>
      <c r="K123" s="8">
        <v>203</v>
      </c>
      <c r="L123" s="8">
        <v>109</v>
      </c>
      <c r="M123" t="s">
        <v>1306</v>
      </c>
      <c r="N123" s="16" t="s">
        <v>23</v>
      </c>
      <c r="O123" s="16" t="s">
        <v>22</v>
      </c>
      <c r="P123" s="16" t="s">
        <v>37</v>
      </c>
      <c r="Q123" s="10" t="s">
        <v>150</v>
      </c>
      <c r="R123" s="3" t="str">
        <f t="shared" si="2"/>
        <v>94</v>
      </c>
      <c r="S123" s="3" t="str">
        <f t="shared" si="3"/>
        <v>92</v>
      </c>
      <c r="T123" s="16" t="s">
        <v>38</v>
      </c>
      <c r="U123" s="3">
        <v>15.48</v>
      </c>
      <c r="V123" s="16" t="str">
        <f>PROPER(Table1[[#This Row],[CVD Risk Level]])</f>
        <v>Intermediary</v>
      </c>
    </row>
    <row r="124" spans="1:22" x14ac:dyDescent="0.3">
      <c r="A124" t="s">
        <v>20</v>
      </c>
      <c r="B124" s="8">
        <v>52</v>
      </c>
      <c r="C124" s="8">
        <v>117.7</v>
      </c>
      <c r="D124" s="5">
        <v>1.62</v>
      </c>
      <c r="E124" s="5">
        <v>44.8</v>
      </c>
      <c r="F124" s="16" t="s">
        <v>1302</v>
      </c>
      <c r="G124" s="11">
        <v>0.499</v>
      </c>
      <c r="H124" s="5">
        <v>80.8</v>
      </c>
      <c r="I124" s="8">
        <v>77</v>
      </c>
      <c r="J124" s="8">
        <v>95</v>
      </c>
      <c r="K124" s="8">
        <v>202</v>
      </c>
      <c r="L124" s="8">
        <v>75</v>
      </c>
      <c r="M124" t="s">
        <v>33</v>
      </c>
      <c r="N124" s="16" t="s">
        <v>22</v>
      </c>
      <c r="O124" s="16" t="s">
        <v>23</v>
      </c>
      <c r="P124" s="16" t="s">
        <v>24</v>
      </c>
      <c r="Q124" s="10" t="s">
        <v>151</v>
      </c>
      <c r="R124" s="3" t="str">
        <f t="shared" si="2"/>
        <v>137</v>
      </c>
      <c r="S124" s="3" t="str">
        <f t="shared" si="3"/>
        <v>82</v>
      </c>
      <c r="T124" s="16" t="s">
        <v>29</v>
      </c>
      <c r="U124" s="3">
        <v>21.85</v>
      </c>
      <c r="V124" s="16" t="str">
        <f>PROPER(Table1[[#This Row],[CVD Risk Level]])</f>
        <v>High</v>
      </c>
    </row>
    <row r="125" spans="1:22" x14ac:dyDescent="0.3">
      <c r="A125" t="s">
        <v>31</v>
      </c>
      <c r="B125" s="8">
        <v>45</v>
      </c>
      <c r="C125" s="8">
        <v>100.4</v>
      </c>
      <c r="D125" s="5">
        <v>1.62</v>
      </c>
      <c r="E125" s="5">
        <v>38.299999999999997</v>
      </c>
      <c r="F125" s="16" t="s">
        <v>1302</v>
      </c>
      <c r="G125" s="11">
        <v>0.47099999999999997</v>
      </c>
      <c r="H125" s="5">
        <v>76.3</v>
      </c>
      <c r="I125" s="8">
        <v>31</v>
      </c>
      <c r="J125" s="8">
        <v>193</v>
      </c>
      <c r="K125" s="8">
        <v>254</v>
      </c>
      <c r="L125" s="8">
        <v>130</v>
      </c>
      <c r="M125" t="s">
        <v>1307</v>
      </c>
      <c r="N125" s="16" t="s">
        <v>22</v>
      </c>
      <c r="O125" s="16" t="s">
        <v>23</v>
      </c>
      <c r="P125" s="16" t="s">
        <v>24</v>
      </c>
      <c r="Q125" s="10" t="s">
        <v>152</v>
      </c>
      <c r="R125" s="3" t="str">
        <f t="shared" si="2"/>
        <v>128</v>
      </c>
      <c r="S125" s="3" t="str">
        <f t="shared" si="3"/>
        <v>91</v>
      </c>
      <c r="T125" s="16" t="s">
        <v>38</v>
      </c>
      <c r="U125" s="3">
        <v>21.14</v>
      </c>
      <c r="V125" s="16" t="str">
        <f>PROPER(Table1[[#This Row],[CVD Risk Level]])</f>
        <v>High</v>
      </c>
    </row>
    <row r="126" spans="1:22" x14ac:dyDescent="0.3">
      <c r="A126" t="s">
        <v>20</v>
      </c>
      <c r="B126" s="8">
        <v>49</v>
      </c>
      <c r="C126" s="8">
        <v>101</v>
      </c>
      <c r="D126" s="5">
        <v>1.74</v>
      </c>
      <c r="E126" s="5">
        <v>33.4</v>
      </c>
      <c r="F126" s="16" t="s">
        <v>1302</v>
      </c>
      <c r="G126" s="11">
        <v>0.46300000000000002</v>
      </c>
      <c r="H126" s="5">
        <v>80.599999999999994</v>
      </c>
      <c r="I126" s="8">
        <v>50</v>
      </c>
      <c r="J126" s="8">
        <v>92</v>
      </c>
      <c r="K126" s="8">
        <v>172</v>
      </c>
      <c r="L126" s="8">
        <v>128</v>
      </c>
      <c r="M126" t="s">
        <v>1307</v>
      </c>
      <c r="N126" s="16" t="s">
        <v>22</v>
      </c>
      <c r="O126" s="16" t="s">
        <v>23</v>
      </c>
      <c r="P126" s="16" t="s">
        <v>37</v>
      </c>
      <c r="Q126" s="10" t="s">
        <v>153</v>
      </c>
      <c r="R126" s="3" t="str">
        <f t="shared" si="2"/>
        <v>94</v>
      </c>
      <c r="S126" s="3" t="str">
        <f t="shared" si="3"/>
        <v>79</v>
      </c>
      <c r="T126" s="16" t="s">
        <v>33</v>
      </c>
      <c r="U126" s="3">
        <v>16.82</v>
      </c>
      <c r="V126" s="16" t="str">
        <f>PROPER(Table1[[#This Row],[CVD Risk Level]])</f>
        <v>High</v>
      </c>
    </row>
    <row r="127" spans="1:22" x14ac:dyDescent="0.3">
      <c r="A127" t="s">
        <v>31</v>
      </c>
      <c r="B127" s="8">
        <v>45</v>
      </c>
      <c r="C127" s="8">
        <v>67.5</v>
      </c>
      <c r="D127" s="5">
        <v>1.83</v>
      </c>
      <c r="E127" s="5">
        <v>20.2</v>
      </c>
      <c r="F127" s="16" t="s">
        <v>33</v>
      </c>
      <c r="G127" s="11">
        <v>0.499</v>
      </c>
      <c r="H127" s="5">
        <v>91.3</v>
      </c>
      <c r="I127" s="8">
        <v>59</v>
      </c>
      <c r="J127" s="8">
        <v>77</v>
      </c>
      <c r="K127" s="8">
        <v>166</v>
      </c>
      <c r="L127" s="8">
        <v>98</v>
      </c>
      <c r="M127" t="s">
        <v>33</v>
      </c>
      <c r="N127" s="16" t="s">
        <v>22</v>
      </c>
      <c r="O127" s="16" t="s">
        <v>22</v>
      </c>
      <c r="P127" s="16" t="s">
        <v>37</v>
      </c>
      <c r="Q127" s="10" t="s">
        <v>154</v>
      </c>
      <c r="R127" s="3" t="str">
        <f t="shared" si="2"/>
        <v>149</v>
      </c>
      <c r="S127" s="3" t="str">
        <f t="shared" si="3"/>
        <v>66</v>
      </c>
      <c r="T127" s="16" t="s">
        <v>38</v>
      </c>
      <c r="U127" s="3">
        <v>14.81</v>
      </c>
      <c r="V127" s="16" t="str">
        <f>PROPER(Table1[[#This Row],[CVD Risk Level]])</f>
        <v>Low</v>
      </c>
    </row>
    <row r="128" spans="1:22" x14ac:dyDescent="0.3">
      <c r="A128" t="s">
        <v>20</v>
      </c>
      <c r="B128" s="8">
        <v>37</v>
      </c>
      <c r="C128" s="8">
        <v>117.3</v>
      </c>
      <c r="D128" s="5">
        <v>1.78</v>
      </c>
      <c r="E128" s="5">
        <v>37</v>
      </c>
      <c r="F128" s="16" t="s">
        <v>1302</v>
      </c>
      <c r="G128" s="11">
        <v>0.47499999999999998</v>
      </c>
      <c r="H128" s="5">
        <v>84.6</v>
      </c>
      <c r="I128" s="8">
        <v>51</v>
      </c>
      <c r="J128" s="8">
        <v>125</v>
      </c>
      <c r="K128" s="8">
        <v>206</v>
      </c>
      <c r="L128" s="8">
        <v>120</v>
      </c>
      <c r="M128" t="s">
        <v>1306</v>
      </c>
      <c r="N128" s="16" t="s">
        <v>22</v>
      </c>
      <c r="O128" s="16" t="s">
        <v>23</v>
      </c>
      <c r="P128" s="16" t="s">
        <v>28</v>
      </c>
      <c r="Q128" s="10" t="s">
        <v>155</v>
      </c>
      <c r="R128" s="3" t="str">
        <f t="shared" si="2"/>
        <v>135</v>
      </c>
      <c r="S128" s="3" t="str">
        <f t="shared" si="3"/>
        <v>77</v>
      </c>
      <c r="T128" s="16" t="s">
        <v>29</v>
      </c>
      <c r="U128" s="3">
        <v>20.27</v>
      </c>
      <c r="V128" s="16" t="str">
        <f>PROPER(Table1[[#This Row],[CVD Risk Level]])</f>
        <v>Intermediary</v>
      </c>
    </row>
    <row r="129" spans="1:22" x14ac:dyDescent="0.3">
      <c r="A129" t="s">
        <v>20</v>
      </c>
      <c r="B129" s="8">
        <v>34</v>
      </c>
      <c r="C129" s="8">
        <v>94.4</v>
      </c>
      <c r="D129" s="5">
        <v>1.8</v>
      </c>
      <c r="E129" s="5">
        <v>29.1</v>
      </c>
      <c r="F129" s="16" t="s">
        <v>1303</v>
      </c>
      <c r="G129" s="11">
        <v>0.505</v>
      </c>
      <c r="H129" s="5">
        <v>90.9</v>
      </c>
      <c r="I129" s="8">
        <v>56.197377501725327</v>
      </c>
      <c r="J129" s="8">
        <v>139</v>
      </c>
      <c r="K129" s="8">
        <v>390.39475500345065</v>
      </c>
      <c r="L129" s="8">
        <v>89</v>
      </c>
      <c r="M129" t="s">
        <v>33</v>
      </c>
      <c r="N129" s="16" t="s">
        <v>22</v>
      </c>
      <c r="O129" s="16" t="s">
        <v>22</v>
      </c>
      <c r="P129" s="16" t="s">
        <v>24</v>
      </c>
      <c r="Q129" s="10" t="s">
        <v>156</v>
      </c>
      <c r="R129" s="3" t="str">
        <f t="shared" si="2"/>
        <v>100</v>
      </c>
      <c r="S129" s="3" t="str">
        <f t="shared" si="3"/>
        <v>76</v>
      </c>
      <c r="T129" s="16" t="s">
        <v>33</v>
      </c>
      <c r="U129" s="3">
        <v>15.54</v>
      </c>
      <c r="V129" s="16" t="str">
        <f>PROPER(Table1[[#This Row],[CVD Risk Level]])</f>
        <v>Intermediary</v>
      </c>
    </row>
    <row r="130" spans="1:22" x14ac:dyDescent="0.3">
      <c r="A130" t="s">
        <v>31</v>
      </c>
      <c r="B130" s="8">
        <v>31</v>
      </c>
      <c r="C130" s="8">
        <v>104.1</v>
      </c>
      <c r="D130" s="5">
        <v>1.69</v>
      </c>
      <c r="E130" s="5">
        <v>36.4</v>
      </c>
      <c r="F130" s="16" t="s">
        <v>1302</v>
      </c>
      <c r="G130" s="11">
        <v>0.438</v>
      </c>
      <c r="H130" s="5">
        <v>74.099999999999994</v>
      </c>
      <c r="I130" s="8">
        <v>50</v>
      </c>
      <c r="J130" s="8">
        <v>63</v>
      </c>
      <c r="K130" s="8">
        <v>143</v>
      </c>
      <c r="L130" s="8">
        <v>73</v>
      </c>
      <c r="M130" t="s">
        <v>33</v>
      </c>
      <c r="N130" s="16" t="s">
        <v>22</v>
      </c>
      <c r="O130" s="16" t="s">
        <v>22</v>
      </c>
      <c r="P130" s="16" t="s">
        <v>28</v>
      </c>
      <c r="Q130" s="10" t="s">
        <v>157</v>
      </c>
      <c r="R130" s="3" t="str">
        <f t="shared" si="2"/>
        <v>95</v>
      </c>
      <c r="S130" s="3" t="str">
        <f t="shared" si="3"/>
        <v>84</v>
      </c>
      <c r="T130" s="16" t="s">
        <v>29</v>
      </c>
      <c r="U130" s="3">
        <v>14.89</v>
      </c>
      <c r="V130" s="16" t="str">
        <f>PROPER(Table1[[#This Row],[CVD Risk Level]])</f>
        <v>Low</v>
      </c>
    </row>
    <row r="131" spans="1:22" x14ac:dyDescent="0.3">
      <c r="A131" t="s">
        <v>20</v>
      </c>
      <c r="B131" s="8">
        <v>31</v>
      </c>
      <c r="C131" s="8">
        <v>113.4</v>
      </c>
      <c r="D131" s="5">
        <v>1.76</v>
      </c>
      <c r="E131" s="5">
        <v>36.6</v>
      </c>
      <c r="F131" s="16" t="s">
        <v>1302</v>
      </c>
      <c r="G131" s="11">
        <v>0.57399999999999995</v>
      </c>
      <c r="H131" s="5">
        <v>101</v>
      </c>
      <c r="I131" s="8">
        <v>31</v>
      </c>
      <c r="J131" s="8">
        <v>40</v>
      </c>
      <c r="K131" s="8">
        <v>101</v>
      </c>
      <c r="L131" s="8">
        <v>98</v>
      </c>
      <c r="M131" t="s">
        <v>33</v>
      </c>
      <c r="N131" s="16" t="s">
        <v>23</v>
      </c>
      <c r="O131" s="16" t="s">
        <v>22</v>
      </c>
      <c r="P131" s="16" t="s">
        <v>28</v>
      </c>
      <c r="Q131" s="10" t="s">
        <v>158</v>
      </c>
      <c r="R131" s="3" t="str">
        <f t="shared" ref="R131:R194" si="4">LEFT(Q131,FIND("/",Q131)-1)</f>
        <v>110</v>
      </c>
      <c r="S131" s="3" t="str">
        <f t="shared" ref="S131:S194" si="5">RIGHT(Q131,LEN(Q131)-FIND("/",Q131))</f>
        <v>83</v>
      </c>
      <c r="T131" s="16" t="s">
        <v>29</v>
      </c>
      <c r="U131" s="3">
        <v>14.84</v>
      </c>
      <c r="V131" s="16" t="str">
        <f>PROPER(Table1[[#This Row],[CVD Risk Level]])</f>
        <v>Intermediary</v>
      </c>
    </row>
    <row r="132" spans="1:22" x14ac:dyDescent="0.3">
      <c r="A132" t="s">
        <v>31</v>
      </c>
      <c r="B132" s="8">
        <v>59</v>
      </c>
      <c r="C132" s="8">
        <v>97.1</v>
      </c>
      <c r="D132" s="5">
        <v>1.61</v>
      </c>
      <c r="E132" s="5">
        <v>37.5</v>
      </c>
      <c r="F132" s="16" t="s">
        <v>1302</v>
      </c>
      <c r="G132" s="11">
        <v>0.50900000000000001</v>
      </c>
      <c r="H132" s="5">
        <v>81.948999999999998</v>
      </c>
      <c r="I132" s="8">
        <v>45</v>
      </c>
      <c r="J132" s="8">
        <v>109</v>
      </c>
      <c r="K132" s="8">
        <v>120</v>
      </c>
      <c r="L132" s="8">
        <v>90</v>
      </c>
      <c r="M132" t="s">
        <v>33</v>
      </c>
      <c r="N132" s="16" t="s">
        <v>23</v>
      </c>
      <c r="O132" s="16" t="s">
        <v>22</v>
      </c>
      <c r="P132" s="16" t="s">
        <v>28</v>
      </c>
      <c r="Q132" s="10" t="s">
        <v>159</v>
      </c>
      <c r="R132" s="3" t="str">
        <f t="shared" si="4"/>
        <v>92</v>
      </c>
      <c r="S132" s="3" t="str">
        <f t="shared" si="5"/>
        <v>90</v>
      </c>
      <c r="T132" s="16" t="s">
        <v>38</v>
      </c>
      <c r="U132" s="3">
        <v>14.5</v>
      </c>
      <c r="V132" s="16" t="str">
        <f>PROPER(Table1[[#This Row],[CVD Risk Level]])</f>
        <v>High</v>
      </c>
    </row>
    <row r="133" spans="1:22" x14ac:dyDescent="0.3">
      <c r="A133" t="s">
        <v>31</v>
      </c>
      <c r="B133" s="8">
        <v>54</v>
      </c>
      <c r="C133" s="8">
        <v>80.341999999999999</v>
      </c>
      <c r="D133" s="5">
        <v>1.7</v>
      </c>
      <c r="E133" s="5">
        <v>27.8</v>
      </c>
      <c r="F133" s="16" t="s">
        <v>1303</v>
      </c>
      <c r="G133" s="11">
        <v>0.41399999999999998</v>
      </c>
      <c r="H133" s="5">
        <v>70.400000000000006</v>
      </c>
      <c r="I133" s="8">
        <v>41</v>
      </c>
      <c r="J133" s="8">
        <v>150</v>
      </c>
      <c r="K133" s="8">
        <v>382</v>
      </c>
      <c r="L133" s="8">
        <v>110</v>
      </c>
      <c r="M133" t="s">
        <v>1306</v>
      </c>
      <c r="N133" s="16" t="s">
        <v>23</v>
      </c>
      <c r="O133" s="16" t="s">
        <v>23</v>
      </c>
      <c r="P133" s="16" t="s">
        <v>28</v>
      </c>
      <c r="Q133" s="10" t="s">
        <v>160</v>
      </c>
      <c r="R133" s="3" t="str">
        <f t="shared" si="4"/>
        <v>111</v>
      </c>
      <c r="S133" s="3" t="str">
        <f t="shared" si="5"/>
        <v>94</v>
      </c>
      <c r="T133" s="16" t="s">
        <v>38</v>
      </c>
      <c r="U133" s="3">
        <v>17.53</v>
      </c>
      <c r="V133" s="16" t="str">
        <f>PROPER(Table1[[#This Row],[CVD Risk Level]])</f>
        <v>High</v>
      </c>
    </row>
    <row r="134" spans="1:22" x14ac:dyDescent="0.3">
      <c r="A134" t="s">
        <v>20</v>
      </c>
      <c r="B134" s="8">
        <v>34</v>
      </c>
      <c r="C134" s="8">
        <v>116.1</v>
      </c>
      <c r="D134" s="5">
        <v>1.79</v>
      </c>
      <c r="E134" s="5">
        <v>36.200000000000003</v>
      </c>
      <c r="F134" s="16" t="s">
        <v>1302</v>
      </c>
      <c r="G134" s="11">
        <v>0.439</v>
      </c>
      <c r="H134" s="5">
        <v>78.599999999999994</v>
      </c>
      <c r="I134" s="8">
        <v>62</v>
      </c>
      <c r="J134" s="8">
        <v>75</v>
      </c>
      <c r="K134" s="8">
        <v>167</v>
      </c>
      <c r="L134" s="8">
        <v>140</v>
      </c>
      <c r="M134" t="s">
        <v>1307</v>
      </c>
      <c r="N134" s="16" t="s">
        <v>23</v>
      </c>
      <c r="O134" s="16" t="s">
        <v>23</v>
      </c>
      <c r="P134" s="16" t="s">
        <v>28</v>
      </c>
      <c r="Q134" s="10" t="s">
        <v>161</v>
      </c>
      <c r="R134" s="3" t="str">
        <f t="shared" si="4"/>
        <v>107</v>
      </c>
      <c r="S134" s="3" t="str">
        <f t="shared" si="5"/>
        <v>66</v>
      </c>
      <c r="T134" s="16" t="s">
        <v>33</v>
      </c>
      <c r="U134" s="3">
        <v>17.93</v>
      </c>
      <c r="V134" s="16" t="str">
        <f>PROPER(Table1[[#This Row],[CVD Risk Level]])</f>
        <v>Intermediary</v>
      </c>
    </row>
    <row r="135" spans="1:22" x14ac:dyDescent="0.3">
      <c r="A135" t="s">
        <v>31</v>
      </c>
      <c r="B135" s="8">
        <v>35</v>
      </c>
      <c r="C135" s="8">
        <v>75.3</v>
      </c>
      <c r="D135" s="5">
        <v>1.72</v>
      </c>
      <c r="E135" s="5">
        <v>25.5</v>
      </c>
      <c r="F135" s="16" t="s">
        <v>1303</v>
      </c>
      <c r="G135" s="11">
        <v>0.55500000000000005</v>
      </c>
      <c r="H135" s="5">
        <v>95.4</v>
      </c>
      <c r="I135" s="8">
        <v>53</v>
      </c>
      <c r="J135" s="8">
        <v>54</v>
      </c>
      <c r="K135" s="8">
        <v>137</v>
      </c>
      <c r="L135" s="8">
        <v>73</v>
      </c>
      <c r="M135" t="s">
        <v>33</v>
      </c>
      <c r="N135" s="16" t="s">
        <v>23</v>
      </c>
      <c r="O135" s="16" t="s">
        <v>23</v>
      </c>
      <c r="P135" s="16" t="s">
        <v>28</v>
      </c>
      <c r="Q135" s="10" t="s">
        <v>162</v>
      </c>
      <c r="R135" s="3" t="str">
        <f t="shared" si="4"/>
        <v>98</v>
      </c>
      <c r="S135" s="3" t="str">
        <f t="shared" si="5"/>
        <v>72</v>
      </c>
      <c r="T135" s="16" t="s">
        <v>33</v>
      </c>
      <c r="U135" s="3">
        <v>14.74</v>
      </c>
      <c r="V135" s="16" t="str">
        <f>PROPER(Table1[[#This Row],[CVD Risk Level]])</f>
        <v>Intermediary</v>
      </c>
    </row>
    <row r="136" spans="1:22" x14ac:dyDescent="0.3">
      <c r="A136" t="s">
        <v>20</v>
      </c>
      <c r="B136" s="8">
        <v>31</v>
      </c>
      <c r="C136" s="8">
        <v>113.5</v>
      </c>
      <c r="D136" s="5">
        <v>1.74</v>
      </c>
      <c r="E136" s="5">
        <v>37.5</v>
      </c>
      <c r="F136" s="16" t="s">
        <v>1302</v>
      </c>
      <c r="G136" s="11">
        <v>0.49299999999999999</v>
      </c>
      <c r="H136" s="5">
        <v>85.8</v>
      </c>
      <c r="I136" s="8">
        <v>64</v>
      </c>
      <c r="J136" s="8">
        <v>196</v>
      </c>
      <c r="K136" s="8">
        <v>290</v>
      </c>
      <c r="L136" s="8">
        <v>118</v>
      </c>
      <c r="M136" t="s">
        <v>1306</v>
      </c>
      <c r="N136" s="16" t="s">
        <v>23</v>
      </c>
      <c r="O136" s="16" t="s">
        <v>22</v>
      </c>
      <c r="P136" s="16" t="s">
        <v>37</v>
      </c>
      <c r="Q136" s="10" t="s">
        <v>163</v>
      </c>
      <c r="R136" s="3" t="str">
        <f t="shared" si="4"/>
        <v>150</v>
      </c>
      <c r="S136" s="3" t="str">
        <f t="shared" si="5"/>
        <v>96</v>
      </c>
      <c r="T136" s="16" t="s">
        <v>38</v>
      </c>
      <c r="U136" s="3">
        <v>20.8</v>
      </c>
      <c r="V136" s="16" t="str">
        <f>PROPER(Table1[[#This Row],[CVD Risk Level]])</f>
        <v>High</v>
      </c>
    </row>
    <row r="137" spans="1:22" x14ac:dyDescent="0.3">
      <c r="A137" t="s">
        <v>31</v>
      </c>
      <c r="B137" s="8">
        <v>31</v>
      </c>
      <c r="C137" s="8">
        <v>75.599999999999994</v>
      </c>
      <c r="D137" s="5">
        <v>1.73</v>
      </c>
      <c r="E137" s="5">
        <v>25.3</v>
      </c>
      <c r="F137" s="16" t="s">
        <v>1303</v>
      </c>
      <c r="G137" s="11">
        <v>0.43099999999999999</v>
      </c>
      <c r="H137" s="5">
        <v>74.5</v>
      </c>
      <c r="I137" s="8">
        <v>67</v>
      </c>
      <c r="J137" s="8">
        <v>85</v>
      </c>
      <c r="K137" s="8">
        <v>182</v>
      </c>
      <c r="L137" s="8">
        <v>148</v>
      </c>
      <c r="M137" t="s">
        <v>1307</v>
      </c>
      <c r="N137" s="16" t="s">
        <v>23</v>
      </c>
      <c r="O137" s="16" t="s">
        <v>22</v>
      </c>
      <c r="P137" s="16" t="s">
        <v>28</v>
      </c>
      <c r="Q137" s="10" t="s">
        <v>164</v>
      </c>
      <c r="R137" s="3" t="str">
        <f t="shared" si="4"/>
        <v>96</v>
      </c>
      <c r="S137" s="3" t="str">
        <f t="shared" si="5"/>
        <v>69</v>
      </c>
      <c r="T137" s="16" t="s">
        <v>33</v>
      </c>
      <c r="U137" s="3">
        <v>13.5</v>
      </c>
      <c r="V137" s="16" t="str">
        <f>PROPER(Table1[[#This Row],[CVD Risk Level]])</f>
        <v>Intermediary</v>
      </c>
    </row>
    <row r="138" spans="1:22" x14ac:dyDescent="0.3">
      <c r="A138" t="s">
        <v>20</v>
      </c>
      <c r="B138" s="8">
        <v>59</v>
      </c>
      <c r="C138" s="8">
        <v>66.099999999999994</v>
      </c>
      <c r="D138" s="5">
        <v>1.67</v>
      </c>
      <c r="E138" s="5">
        <v>23.7</v>
      </c>
      <c r="F138" s="16" t="s">
        <v>33</v>
      </c>
      <c r="G138" s="11">
        <v>0.51</v>
      </c>
      <c r="H138" s="5">
        <v>85.2</v>
      </c>
      <c r="I138" s="8">
        <v>52</v>
      </c>
      <c r="J138" s="8">
        <v>87</v>
      </c>
      <c r="K138" s="8">
        <v>169</v>
      </c>
      <c r="L138" s="8">
        <v>75</v>
      </c>
      <c r="M138" t="s">
        <v>33</v>
      </c>
      <c r="N138" s="16" t="s">
        <v>22</v>
      </c>
      <c r="O138" s="16" t="s">
        <v>22</v>
      </c>
      <c r="P138" s="16" t="s">
        <v>24</v>
      </c>
      <c r="Q138" s="10" t="s">
        <v>165</v>
      </c>
      <c r="R138" s="3" t="str">
        <f t="shared" si="4"/>
        <v>130</v>
      </c>
      <c r="S138" s="3" t="str">
        <f t="shared" si="5"/>
        <v>95</v>
      </c>
      <c r="T138" s="16" t="s">
        <v>29</v>
      </c>
      <c r="U138" s="3">
        <v>14.62</v>
      </c>
      <c r="V138" s="16" t="str">
        <f>PROPER(Table1[[#This Row],[CVD Risk Level]])</f>
        <v>Intermediary</v>
      </c>
    </row>
    <row r="139" spans="1:22" x14ac:dyDescent="0.3">
      <c r="A139" t="s">
        <v>31</v>
      </c>
      <c r="B139" s="8">
        <v>33</v>
      </c>
      <c r="C139" s="8">
        <v>108.4</v>
      </c>
      <c r="D139" s="5">
        <v>1.9</v>
      </c>
      <c r="E139" s="5">
        <v>30</v>
      </c>
      <c r="F139" s="16" t="s">
        <v>1302</v>
      </c>
      <c r="G139" s="11">
        <v>0.44600000000000001</v>
      </c>
      <c r="H139" s="5">
        <v>84.8</v>
      </c>
      <c r="I139" s="8">
        <v>54</v>
      </c>
      <c r="J139" s="8">
        <v>48</v>
      </c>
      <c r="K139" s="8">
        <v>132</v>
      </c>
      <c r="L139" s="8">
        <v>130</v>
      </c>
      <c r="M139" t="s">
        <v>1307</v>
      </c>
      <c r="N139" s="16" t="s">
        <v>22</v>
      </c>
      <c r="O139" s="16" t="s">
        <v>22</v>
      </c>
      <c r="P139" s="16" t="s">
        <v>37</v>
      </c>
      <c r="Q139" s="10" t="s">
        <v>166</v>
      </c>
      <c r="R139" s="3" t="str">
        <f t="shared" si="4"/>
        <v>140</v>
      </c>
      <c r="S139" s="3" t="str">
        <f t="shared" si="5"/>
        <v>85</v>
      </c>
      <c r="T139" s="16" t="s">
        <v>29</v>
      </c>
      <c r="U139" s="3">
        <v>15.64</v>
      </c>
      <c r="V139" s="16" t="str">
        <f>PROPER(Table1[[#This Row],[CVD Risk Level]])</f>
        <v>Intermediary</v>
      </c>
    </row>
    <row r="140" spans="1:22" x14ac:dyDescent="0.3">
      <c r="A140" t="s">
        <v>20</v>
      </c>
      <c r="B140" s="8">
        <v>54</v>
      </c>
      <c r="C140" s="8">
        <v>74.099999999999994</v>
      </c>
      <c r="D140" s="5">
        <v>1.87</v>
      </c>
      <c r="E140" s="5">
        <v>21.2</v>
      </c>
      <c r="F140" s="16" t="s">
        <v>33</v>
      </c>
      <c r="G140" s="11">
        <v>0.56599999999999995</v>
      </c>
      <c r="H140" s="5">
        <v>105.8</v>
      </c>
      <c r="I140" s="8">
        <v>37</v>
      </c>
      <c r="J140" s="8">
        <v>104</v>
      </c>
      <c r="K140" s="8">
        <v>171</v>
      </c>
      <c r="L140" s="8">
        <v>84</v>
      </c>
      <c r="M140" t="s">
        <v>33</v>
      </c>
      <c r="N140" s="16" t="s">
        <v>23</v>
      </c>
      <c r="O140" s="16" t="s">
        <v>22</v>
      </c>
      <c r="P140" s="16" t="s">
        <v>24</v>
      </c>
      <c r="Q140" s="10" t="s">
        <v>167</v>
      </c>
      <c r="R140" s="3" t="str">
        <f t="shared" si="4"/>
        <v>138</v>
      </c>
      <c r="S140" s="3" t="str">
        <f t="shared" si="5"/>
        <v>73</v>
      </c>
      <c r="T140" s="16" t="s">
        <v>29</v>
      </c>
      <c r="U140" s="3">
        <v>14.56</v>
      </c>
      <c r="V140" s="16" t="str">
        <f>PROPER(Table1[[#This Row],[CVD Risk Level]])</f>
        <v>High</v>
      </c>
    </row>
    <row r="141" spans="1:22" x14ac:dyDescent="0.3">
      <c r="A141" t="s">
        <v>20</v>
      </c>
      <c r="B141" s="8">
        <v>52</v>
      </c>
      <c r="C141" s="8">
        <v>102.6</v>
      </c>
      <c r="D141" s="5">
        <v>1.5995635314897061</v>
      </c>
      <c r="E141" s="5">
        <v>40.1</v>
      </c>
      <c r="F141" s="16" t="s">
        <v>1302</v>
      </c>
      <c r="G141" s="11">
        <v>0.64500000000000002</v>
      </c>
      <c r="H141" s="5">
        <v>103.2</v>
      </c>
      <c r="I141" s="8">
        <v>63</v>
      </c>
      <c r="J141" s="8">
        <v>51</v>
      </c>
      <c r="K141" s="8">
        <v>144</v>
      </c>
      <c r="L141" s="8">
        <v>148</v>
      </c>
      <c r="M141" t="s">
        <v>1307</v>
      </c>
      <c r="N141" s="16" t="s">
        <v>23</v>
      </c>
      <c r="O141" s="16" t="s">
        <v>23</v>
      </c>
      <c r="P141" s="16" t="s">
        <v>37</v>
      </c>
      <c r="Q141" s="10" t="s">
        <v>168</v>
      </c>
      <c r="R141" s="3" t="str">
        <f t="shared" si="4"/>
        <v>101</v>
      </c>
      <c r="S141" s="3" t="str">
        <f t="shared" si="5"/>
        <v>82</v>
      </c>
      <c r="T141" s="16" t="s">
        <v>29</v>
      </c>
      <c r="U141" s="3">
        <v>17.95</v>
      </c>
      <c r="V141" s="16" t="str">
        <f>PROPER(Table1[[#This Row],[CVD Risk Level]])</f>
        <v>High</v>
      </c>
    </row>
    <row r="142" spans="1:22" x14ac:dyDescent="0.3">
      <c r="A142" t="s">
        <v>31</v>
      </c>
      <c r="B142" s="8">
        <v>54</v>
      </c>
      <c r="C142" s="8">
        <v>69.5</v>
      </c>
      <c r="D142" s="5">
        <v>1.71</v>
      </c>
      <c r="E142" s="5">
        <v>23.8</v>
      </c>
      <c r="F142" s="16" t="s">
        <v>33</v>
      </c>
      <c r="G142" s="11">
        <v>0.45300000000000001</v>
      </c>
      <c r="H142" s="5">
        <v>77.400000000000006</v>
      </c>
      <c r="I142" s="8">
        <v>74</v>
      </c>
      <c r="J142" s="8">
        <v>47</v>
      </c>
      <c r="K142" s="8">
        <v>151</v>
      </c>
      <c r="L142" s="8">
        <v>116</v>
      </c>
      <c r="M142" t="s">
        <v>1306</v>
      </c>
      <c r="N142" s="16" t="s">
        <v>23</v>
      </c>
      <c r="O142" s="16" t="s">
        <v>23</v>
      </c>
      <c r="P142" s="16" t="s">
        <v>28</v>
      </c>
      <c r="Q142" s="10" t="s">
        <v>169</v>
      </c>
      <c r="R142" s="3" t="str">
        <f t="shared" si="4"/>
        <v>126</v>
      </c>
      <c r="S142" s="3" t="str">
        <f t="shared" si="5"/>
        <v>64</v>
      </c>
      <c r="T142" s="16" t="s">
        <v>25</v>
      </c>
      <c r="U142" s="3">
        <v>16.079999999999998</v>
      </c>
      <c r="V142" s="16" t="str">
        <f>PROPER(Table1[[#This Row],[CVD Risk Level]])</f>
        <v>Intermediary</v>
      </c>
    </row>
    <row r="143" spans="1:22" x14ac:dyDescent="0.3">
      <c r="A143" t="s">
        <v>20</v>
      </c>
      <c r="B143" s="8">
        <v>53</v>
      </c>
      <c r="C143" s="8">
        <v>119.5</v>
      </c>
      <c r="D143" s="5">
        <v>1.82</v>
      </c>
      <c r="E143" s="5">
        <v>36.1</v>
      </c>
      <c r="F143" s="16" t="s">
        <v>1302</v>
      </c>
      <c r="G143" s="11">
        <v>0.56299999999999994</v>
      </c>
      <c r="H143" s="5">
        <v>102.5</v>
      </c>
      <c r="I143" s="8">
        <v>33</v>
      </c>
      <c r="J143" s="8">
        <v>193</v>
      </c>
      <c r="K143" s="8">
        <v>256</v>
      </c>
      <c r="L143" s="8">
        <v>125</v>
      </c>
      <c r="M143" t="s">
        <v>1306</v>
      </c>
      <c r="N143" s="16" t="s">
        <v>22</v>
      </c>
      <c r="O143" s="16" t="s">
        <v>23</v>
      </c>
      <c r="P143" s="16" t="s">
        <v>37</v>
      </c>
      <c r="Q143" s="10" t="s">
        <v>170</v>
      </c>
      <c r="R143" s="3" t="str">
        <f t="shared" si="4"/>
        <v>135</v>
      </c>
      <c r="S143" s="3" t="str">
        <f t="shared" si="5"/>
        <v>82</v>
      </c>
      <c r="T143" s="16" t="s">
        <v>29</v>
      </c>
      <c r="U143" s="3">
        <v>21.09</v>
      </c>
      <c r="V143" s="16" t="str">
        <f>PROPER(Table1[[#This Row],[CVD Risk Level]])</f>
        <v>High</v>
      </c>
    </row>
    <row r="144" spans="1:22" x14ac:dyDescent="0.3">
      <c r="A144" t="s">
        <v>31</v>
      </c>
      <c r="B144" s="8">
        <v>57</v>
      </c>
      <c r="C144" s="8">
        <v>108.7</v>
      </c>
      <c r="D144" s="5">
        <v>1.81</v>
      </c>
      <c r="E144" s="5">
        <v>33.200000000000003</v>
      </c>
      <c r="F144" s="16" t="s">
        <v>1302</v>
      </c>
      <c r="G144" s="11">
        <v>0.46400000000000002</v>
      </c>
      <c r="H144" s="5">
        <v>84</v>
      </c>
      <c r="I144" s="8">
        <v>33</v>
      </c>
      <c r="J144" s="8">
        <v>95</v>
      </c>
      <c r="K144" s="8">
        <v>158</v>
      </c>
      <c r="L144" s="8">
        <v>114</v>
      </c>
      <c r="M144" t="s">
        <v>1306</v>
      </c>
      <c r="N144" s="16" t="s">
        <v>23</v>
      </c>
      <c r="O144" s="16" t="s">
        <v>23</v>
      </c>
      <c r="P144" s="16" t="s">
        <v>28</v>
      </c>
      <c r="Q144" s="10" t="s">
        <v>171</v>
      </c>
      <c r="R144" s="3" t="str">
        <f t="shared" si="4"/>
        <v>150</v>
      </c>
      <c r="S144" s="3" t="str">
        <f t="shared" si="5"/>
        <v>71</v>
      </c>
      <c r="T144" s="16" t="s">
        <v>38</v>
      </c>
      <c r="U144" s="3">
        <v>19.3</v>
      </c>
      <c r="V144" s="16" t="str">
        <f>PROPER(Table1[[#This Row],[CVD Risk Level]])</f>
        <v>High</v>
      </c>
    </row>
    <row r="145" spans="1:22" x14ac:dyDescent="0.3">
      <c r="A145" t="s">
        <v>31</v>
      </c>
      <c r="B145" s="8">
        <v>33</v>
      </c>
      <c r="C145" s="8">
        <v>118.3</v>
      </c>
      <c r="D145" s="5">
        <v>1.69</v>
      </c>
      <c r="E145" s="5">
        <v>41.4</v>
      </c>
      <c r="F145" s="16" t="s">
        <v>1302</v>
      </c>
      <c r="G145" s="11">
        <v>0.42699999999999999</v>
      </c>
      <c r="H145" s="5">
        <v>72.099999999999994</v>
      </c>
      <c r="I145" s="8">
        <v>44</v>
      </c>
      <c r="J145" s="8">
        <v>97</v>
      </c>
      <c r="K145" s="8">
        <v>171</v>
      </c>
      <c r="L145" s="8">
        <v>145</v>
      </c>
      <c r="M145" t="s">
        <v>1307</v>
      </c>
      <c r="N145" s="16" t="s">
        <v>22</v>
      </c>
      <c r="O145" s="16" t="s">
        <v>22</v>
      </c>
      <c r="P145" s="16" t="s">
        <v>37</v>
      </c>
      <c r="Q145" s="10" t="s">
        <v>172</v>
      </c>
      <c r="R145" s="3" t="str">
        <f t="shared" si="4"/>
        <v>116</v>
      </c>
      <c r="S145" s="3" t="str">
        <f t="shared" si="5"/>
        <v>93</v>
      </c>
      <c r="T145" s="16" t="s">
        <v>38</v>
      </c>
      <c r="U145" s="3">
        <v>17.5</v>
      </c>
      <c r="V145" s="16" t="str">
        <f>PROPER(Table1[[#This Row],[CVD Risk Level]])</f>
        <v>Low</v>
      </c>
    </row>
    <row r="146" spans="1:22" x14ac:dyDescent="0.3">
      <c r="A146" t="s">
        <v>20</v>
      </c>
      <c r="B146" s="8">
        <v>54</v>
      </c>
      <c r="C146" s="8">
        <v>67.2</v>
      </c>
      <c r="D146" s="5">
        <v>1.88</v>
      </c>
      <c r="E146" s="5">
        <v>19</v>
      </c>
      <c r="F146" s="16" t="s">
        <v>33</v>
      </c>
      <c r="G146" s="11">
        <v>0.38</v>
      </c>
      <c r="H146" s="5">
        <v>71.400000000000006</v>
      </c>
      <c r="I146" s="8">
        <v>56.197377501725327</v>
      </c>
      <c r="J146" s="8">
        <v>55</v>
      </c>
      <c r="K146" s="8">
        <v>128</v>
      </c>
      <c r="L146" s="8">
        <v>133</v>
      </c>
      <c r="M146" t="s">
        <v>1307</v>
      </c>
      <c r="N146" s="16" t="s">
        <v>22</v>
      </c>
      <c r="O146" s="16" t="s">
        <v>23</v>
      </c>
      <c r="P146" s="16" t="s">
        <v>37</v>
      </c>
      <c r="Q146" s="10" t="s">
        <v>173</v>
      </c>
      <c r="R146" s="3" t="str">
        <f t="shared" si="4"/>
        <v>96</v>
      </c>
      <c r="S146" s="3" t="str">
        <f t="shared" si="5"/>
        <v>90</v>
      </c>
      <c r="T146" s="16" t="s">
        <v>38</v>
      </c>
      <c r="U146" s="3">
        <v>13.16</v>
      </c>
      <c r="V146" s="16" t="str">
        <f>PROPER(Table1[[#This Row],[CVD Risk Level]])</f>
        <v>Intermediary</v>
      </c>
    </row>
    <row r="147" spans="1:22" x14ac:dyDescent="0.3">
      <c r="A147" t="s">
        <v>20</v>
      </c>
      <c r="B147" s="8">
        <v>38</v>
      </c>
      <c r="C147" s="8">
        <v>111.4</v>
      </c>
      <c r="D147" s="5">
        <v>1.76</v>
      </c>
      <c r="E147" s="5">
        <v>36</v>
      </c>
      <c r="F147" s="16" t="s">
        <v>1302</v>
      </c>
      <c r="G147" s="11">
        <v>0.56100000000000005</v>
      </c>
      <c r="H147" s="5">
        <v>98.7</v>
      </c>
      <c r="I147" s="8">
        <v>45</v>
      </c>
      <c r="J147" s="8">
        <v>188</v>
      </c>
      <c r="K147" s="8">
        <v>263</v>
      </c>
      <c r="L147" s="8">
        <v>98</v>
      </c>
      <c r="M147" t="s">
        <v>33</v>
      </c>
      <c r="N147" s="16" t="s">
        <v>22</v>
      </c>
      <c r="O147" s="16" t="s">
        <v>23</v>
      </c>
      <c r="P147" s="16" t="s">
        <v>28</v>
      </c>
      <c r="Q147" s="10" t="s">
        <v>174</v>
      </c>
      <c r="R147" s="3" t="str">
        <f t="shared" si="4"/>
        <v>117</v>
      </c>
      <c r="S147" s="3" t="str">
        <f t="shared" si="5"/>
        <v>93</v>
      </c>
      <c r="T147" s="16" t="s">
        <v>38</v>
      </c>
      <c r="U147" s="3">
        <v>20.309999999999999</v>
      </c>
      <c r="V147" s="16" t="str">
        <f>PROPER(Table1[[#This Row],[CVD Risk Level]])</f>
        <v>Intermediary</v>
      </c>
    </row>
    <row r="148" spans="1:22" x14ac:dyDescent="0.3">
      <c r="A148" t="s">
        <v>31</v>
      </c>
      <c r="B148" s="8">
        <v>51</v>
      </c>
      <c r="C148" s="8">
        <v>57.5</v>
      </c>
      <c r="D148" s="5">
        <v>1.69</v>
      </c>
      <c r="E148" s="5">
        <v>20.100000000000001</v>
      </c>
      <c r="F148" s="16" t="s">
        <v>33</v>
      </c>
      <c r="G148" s="11">
        <v>0.58599999999999997</v>
      </c>
      <c r="H148" s="5">
        <v>99.1</v>
      </c>
      <c r="I148" s="8">
        <v>57</v>
      </c>
      <c r="J148" s="8">
        <v>50</v>
      </c>
      <c r="K148" s="8">
        <v>137</v>
      </c>
      <c r="L148" s="8">
        <v>84</v>
      </c>
      <c r="M148" t="s">
        <v>33</v>
      </c>
      <c r="N148" s="16" t="s">
        <v>23</v>
      </c>
      <c r="O148" s="16" t="s">
        <v>23</v>
      </c>
      <c r="P148" s="16" t="s">
        <v>24</v>
      </c>
      <c r="Q148" s="10" t="s">
        <v>76</v>
      </c>
      <c r="R148" s="3" t="str">
        <f t="shared" si="4"/>
        <v>105</v>
      </c>
      <c r="S148" s="3" t="str">
        <f t="shared" si="5"/>
        <v>64</v>
      </c>
      <c r="T148" s="16" t="s">
        <v>33</v>
      </c>
      <c r="U148" s="3">
        <v>14.01</v>
      </c>
      <c r="V148" s="16" t="str">
        <f>PROPER(Table1[[#This Row],[CVD Risk Level]])</f>
        <v>High</v>
      </c>
    </row>
    <row r="149" spans="1:22" x14ac:dyDescent="0.3">
      <c r="A149" t="s">
        <v>31</v>
      </c>
      <c r="B149" s="8">
        <v>51</v>
      </c>
      <c r="C149" s="8">
        <v>57.6</v>
      </c>
      <c r="D149" s="5">
        <v>1.81</v>
      </c>
      <c r="E149" s="5">
        <v>17.600000000000001</v>
      </c>
      <c r="F149" s="16" t="s">
        <v>1304</v>
      </c>
      <c r="G149" s="11">
        <v>0.55200000000000005</v>
      </c>
      <c r="H149" s="5">
        <v>100</v>
      </c>
      <c r="I149" s="8">
        <v>48</v>
      </c>
      <c r="J149" s="8">
        <v>59</v>
      </c>
      <c r="K149" s="8">
        <v>137</v>
      </c>
      <c r="L149" s="8">
        <v>113</v>
      </c>
      <c r="M149" t="s">
        <v>1306</v>
      </c>
      <c r="N149" s="16" t="s">
        <v>23</v>
      </c>
      <c r="O149" s="16" t="s">
        <v>22</v>
      </c>
      <c r="P149" s="16" t="s">
        <v>28</v>
      </c>
      <c r="Q149" s="10" t="s">
        <v>175</v>
      </c>
      <c r="R149" s="3" t="str">
        <f t="shared" si="4"/>
        <v>97</v>
      </c>
      <c r="S149" s="3" t="str">
        <f t="shared" si="5"/>
        <v>84</v>
      </c>
      <c r="T149" s="16" t="s">
        <v>29</v>
      </c>
      <c r="U149" s="3">
        <v>11.11</v>
      </c>
      <c r="V149" s="16" t="str">
        <f>PROPER(Table1[[#This Row],[CVD Risk Level]])</f>
        <v>Intermediary</v>
      </c>
    </row>
    <row r="150" spans="1:22" x14ac:dyDescent="0.3">
      <c r="A150" t="s">
        <v>20</v>
      </c>
      <c r="B150" s="8">
        <v>54</v>
      </c>
      <c r="C150" s="8">
        <v>98.8</v>
      </c>
      <c r="D150" s="5">
        <v>1.69</v>
      </c>
      <c r="E150" s="5">
        <v>34.6</v>
      </c>
      <c r="F150" s="16" t="s">
        <v>1302</v>
      </c>
      <c r="G150" s="11">
        <v>0.64300000000000002</v>
      </c>
      <c r="H150" s="5">
        <v>108.6</v>
      </c>
      <c r="I150" s="8">
        <v>44</v>
      </c>
      <c r="J150" s="8">
        <v>184</v>
      </c>
      <c r="K150" s="8">
        <v>258</v>
      </c>
      <c r="L150" s="8">
        <v>83</v>
      </c>
      <c r="M150" t="s">
        <v>33</v>
      </c>
      <c r="N150" s="16" t="s">
        <v>22</v>
      </c>
      <c r="O150" s="16" t="s">
        <v>22</v>
      </c>
      <c r="P150" s="16" t="s">
        <v>24</v>
      </c>
      <c r="Q150" s="10" t="s">
        <v>176</v>
      </c>
      <c r="R150" s="3" t="str">
        <f t="shared" si="4"/>
        <v>145</v>
      </c>
      <c r="S150" s="3" t="str">
        <f t="shared" si="5"/>
        <v>96</v>
      </c>
      <c r="T150" s="16" t="s">
        <v>38</v>
      </c>
      <c r="U150" s="3">
        <v>19.329999999999998</v>
      </c>
      <c r="V150" s="16" t="str">
        <f>PROPER(Table1[[#This Row],[CVD Risk Level]])</f>
        <v>High</v>
      </c>
    </row>
    <row r="151" spans="1:22" x14ac:dyDescent="0.3">
      <c r="A151" t="s">
        <v>31</v>
      </c>
      <c r="B151" s="8">
        <v>49</v>
      </c>
      <c r="C151" s="8">
        <v>50.6</v>
      </c>
      <c r="D151" s="5">
        <v>1.81</v>
      </c>
      <c r="E151" s="5">
        <v>15.4</v>
      </c>
      <c r="F151" s="16" t="s">
        <v>1304</v>
      </c>
      <c r="G151" s="11">
        <v>0.40200000000000002</v>
      </c>
      <c r="H151" s="5">
        <v>72.762</v>
      </c>
      <c r="I151" s="8">
        <v>32</v>
      </c>
      <c r="J151" s="8">
        <v>165</v>
      </c>
      <c r="K151" s="8">
        <v>227</v>
      </c>
      <c r="L151" s="8">
        <v>88</v>
      </c>
      <c r="M151" t="s">
        <v>33</v>
      </c>
      <c r="N151" s="16" t="s">
        <v>23</v>
      </c>
      <c r="O151" s="16" t="s">
        <v>22</v>
      </c>
      <c r="P151" s="16" t="s">
        <v>24</v>
      </c>
      <c r="Q151" s="10" t="s">
        <v>177</v>
      </c>
      <c r="R151" s="3" t="str">
        <f t="shared" si="4"/>
        <v>127</v>
      </c>
      <c r="S151" s="3" t="str">
        <f t="shared" si="5"/>
        <v>77</v>
      </c>
      <c r="T151" s="16" t="s">
        <v>25</v>
      </c>
      <c r="U151" s="3">
        <v>13.97</v>
      </c>
      <c r="V151" s="16" t="str">
        <f>PROPER(Table1[[#This Row],[CVD Risk Level]])</f>
        <v>High</v>
      </c>
    </row>
    <row r="152" spans="1:22" x14ac:dyDescent="0.3">
      <c r="A152" t="s">
        <v>31</v>
      </c>
      <c r="B152" s="8">
        <v>45</v>
      </c>
      <c r="C152" s="8">
        <v>110.9</v>
      </c>
      <c r="D152" s="5">
        <v>1.62</v>
      </c>
      <c r="E152" s="5">
        <v>42.3</v>
      </c>
      <c r="F152" s="16" t="s">
        <v>1302</v>
      </c>
      <c r="G152" s="11">
        <v>0.67600000000000005</v>
      </c>
      <c r="H152" s="5">
        <v>109.5</v>
      </c>
      <c r="I152" s="8">
        <v>30</v>
      </c>
      <c r="J152" s="8">
        <v>139</v>
      </c>
      <c r="K152" s="8">
        <v>199</v>
      </c>
      <c r="L152" s="8">
        <v>150</v>
      </c>
      <c r="M152" t="s">
        <v>1307</v>
      </c>
      <c r="N152" s="16" t="s">
        <v>23</v>
      </c>
      <c r="O152" s="16" t="s">
        <v>22</v>
      </c>
      <c r="P152" s="16" t="s">
        <v>37</v>
      </c>
      <c r="Q152" s="10" t="s">
        <v>178</v>
      </c>
      <c r="R152" s="3" t="str">
        <f t="shared" si="4"/>
        <v>98</v>
      </c>
      <c r="S152" s="3" t="str">
        <f t="shared" si="5"/>
        <v>60</v>
      </c>
      <c r="T152" s="16" t="s">
        <v>33</v>
      </c>
      <c r="U152" s="3">
        <v>17.34</v>
      </c>
      <c r="V152" s="16" t="str">
        <f>PROPER(Table1[[#This Row],[CVD Risk Level]])</f>
        <v>High</v>
      </c>
    </row>
    <row r="153" spans="1:22" x14ac:dyDescent="0.3">
      <c r="A153" t="s">
        <v>31</v>
      </c>
      <c r="B153" s="8">
        <v>50</v>
      </c>
      <c r="C153" s="8">
        <v>90.7</v>
      </c>
      <c r="D153" s="5">
        <v>1.75</v>
      </c>
      <c r="E153" s="5">
        <v>29.6</v>
      </c>
      <c r="F153" s="16" t="s">
        <v>1303</v>
      </c>
      <c r="G153" s="11">
        <v>0.55800000000000005</v>
      </c>
      <c r="H153" s="5">
        <v>97.6</v>
      </c>
      <c r="I153" s="8">
        <v>36</v>
      </c>
      <c r="J153" s="8">
        <v>198</v>
      </c>
      <c r="K153" s="8">
        <v>264</v>
      </c>
      <c r="L153" s="8">
        <v>138</v>
      </c>
      <c r="M153" t="s">
        <v>1307</v>
      </c>
      <c r="N153" s="16" t="s">
        <v>23</v>
      </c>
      <c r="O153" s="16" t="s">
        <v>23</v>
      </c>
      <c r="P153" s="16" t="s">
        <v>37</v>
      </c>
      <c r="Q153" s="10" t="s">
        <v>179</v>
      </c>
      <c r="R153" s="3" t="str">
        <f t="shared" si="4"/>
        <v>91</v>
      </c>
      <c r="S153" s="3" t="str">
        <f t="shared" si="5"/>
        <v>79</v>
      </c>
      <c r="T153" s="16" t="s">
        <v>33</v>
      </c>
      <c r="U153" s="3">
        <v>17.75</v>
      </c>
      <c r="V153" s="16" t="str">
        <f>PROPER(Table1[[#This Row],[CVD Risk Level]])</f>
        <v>High</v>
      </c>
    </row>
    <row r="154" spans="1:22" x14ac:dyDescent="0.3">
      <c r="A154" t="s">
        <v>20</v>
      </c>
      <c r="B154" s="8">
        <v>59</v>
      </c>
      <c r="C154" s="8">
        <v>66.7</v>
      </c>
      <c r="D154" s="5">
        <v>1.67</v>
      </c>
      <c r="E154" s="5">
        <v>23.9</v>
      </c>
      <c r="F154" s="16" t="s">
        <v>33</v>
      </c>
      <c r="G154" s="11">
        <v>0.54</v>
      </c>
      <c r="H154" s="5">
        <v>90.1</v>
      </c>
      <c r="I154" s="8">
        <v>35</v>
      </c>
      <c r="J154" s="8">
        <v>51</v>
      </c>
      <c r="K154" s="8">
        <v>116</v>
      </c>
      <c r="L154" s="8">
        <v>104</v>
      </c>
      <c r="M154" t="s">
        <v>1306</v>
      </c>
      <c r="N154" s="16" t="s">
        <v>23</v>
      </c>
      <c r="O154" s="16" t="s">
        <v>22</v>
      </c>
      <c r="P154" s="16" t="s">
        <v>28</v>
      </c>
      <c r="Q154" s="10" t="s">
        <v>180</v>
      </c>
      <c r="R154" s="3" t="str">
        <f t="shared" si="4"/>
        <v>147</v>
      </c>
      <c r="S154" s="3" t="str">
        <f t="shared" si="5"/>
        <v>82</v>
      </c>
      <c r="T154" s="16" t="s">
        <v>29</v>
      </c>
      <c r="U154" s="3">
        <v>14.45</v>
      </c>
      <c r="V154" s="16" t="str">
        <f>PROPER(Table1[[#This Row],[CVD Risk Level]])</f>
        <v>High</v>
      </c>
    </row>
    <row r="155" spans="1:22" x14ac:dyDescent="0.3">
      <c r="A155" t="s">
        <v>31</v>
      </c>
      <c r="B155" s="8">
        <v>57</v>
      </c>
      <c r="C155" s="8">
        <v>95.9</v>
      </c>
      <c r="D155" s="5">
        <v>1.62</v>
      </c>
      <c r="E155" s="5">
        <v>36.5</v>
      </c>
      <c r="F155" s="16" t="s">
        <v>1302</v>
      </c>
      <c r="G155" s="11">
        <v>0.504</v>
      </c>
      <c r="H155" s="5">
        <v>81.7</v>
      </c>
      <c r="I155" s="8">
        <v>40</v>
      </c>
      <c r="J155" s="8">
        <v>211</v>
      </c>
      <c r="K155" s="8">
        <v>281</v>
      </c>
      <c r="L155" s="8">
        <v>150</v>
      </c>
      <c r="M155" t="s">
        <v>1307</v>
      </c>
      <c r="N155" s="16" t="s">
        <v>22</v>
      </c>
      <c r="O155" s="16" t="s">
        <v>22</v>
      </c>
      <c r="P155" s="16" t="s">
        <v>24</v>
      </c>
      <c r="Q155" s="10" t="s">
        <v>181</v>
      </c>
      <c r="R155" s="3" t="str">
        <f t="shared" si="4"/>
        <v>117</v>
      </c>
      <c r="S155" s="3" t="str">
        <f t="shared" si="5"/>
        <v>91</v>
      </c>
      <c r="T155" s="16" t="s">
        <v>38</v>
      </c>
      <c r="U155" s="3">
        <v>18.77</v>
      </c>
      <c r="V155" s="16" t="str">
        <f>PROPER(Table1[[#This Row],[CVD Risk Level]])</f>
        <v>High</v>
      </c>
    </row>
    <row r="156" spans="1:22" x14ac:dyDescent="0.3">
      <c r="A156" t="s">
        <v>31</v>
      </c>
      <c r="B156" s="8">
        <v>48</v>
      </c>
      <c r="C156" s="8">
        <v>73.099999999999994</v>
      </c>
      <c r="D156" s="5">
        <v>1.76</v>
      </c>
      <c r="E156" s="5">
        <v>23.6</v>
      </c>
      <c r="F156" s="16" t="s">
        <v>33</v>
      </c>
      <c r="G156" s="11">
        <v>0.499</v>
      </c>
      <c r="H156" s="5">
        <v>87.8</v>
      </c>
      <c r="I156" s="8">
        <v>40</v>
      </c>
      <c r="J156" s="8">
        <v>224</v>
      </c>
      <c r="K156" s="8">
        <v>294</v>
      </c>
      <c r="L156" s="8">
        <v>113</v>
      </c>
      <c r="M156" t="s">
        <v>1306</v>
      </c>
      <c r="N156" s="16" t="s">
        <v>22</v>
      </c>
      <c r="O156" s="16" t="s">
        <v>23</v>
      </c>
      <c r="P156" s="16" t="s">
        <v>24</v>
      </c>
      <c r="Q156" s="10" t="s">
        <v>182</v>
      </c>
      <c r="R156" s="3" t="str">
        <f t="shared" si="4"/>
        <v>119</v>
      </c>
      <c r="S156" s="3" t="str">
        <f t="shared" si="5"/>
        <v>81</v>
      </c>
      <c r="T156" s="16" t="s">
        <v>29</v>
      </c>
      <c r="U156" s="3">
        <v>18.55</v>
      </c>
      <c r="V156" s="16" t="str">
        <f>PROPER(Table1[[#This Row],[CVD Risk Level]])</f>
        <v>High</v>
      </c>
    </row>
    <row r="157" spans="1:22" x14ac:dyDescent="0.3">
      <c r="A157" t="s">
        <v>20</v>
      </c>
      <c r="B157" s="8">
        <v>45</v>
      </c>
      <c r="C157" s="8">
        <v>94.5</v>
      </c>
      <c r="D157" s="5">
        <v>1.85</v>
      </c>
      <c r="E157" s="5">
        <v>27.6</v>
      </c>
      <c r="F157" s="16" t="s">
        <v>1303</v>
      </c>
      <c r="G157" s="11">
        <v>0.42399999999999999</v>
      </c>
      <c r="H157" s="5">
        <v>78.5</v>
      </c>
      <c r="I157" s="8">
        <v>38</v>
      </c>
      <c r="J157" s="8">
        <v>109</v>
      </c>
      <c r="K157" s="8">
        <v>177</v>
      </c>
      <c r="L157" s="8">
        <v>145</v>
      </c>
      <c r="M157" t="s">
        <v>1307</v>
      </c>
      <c r="N157" s="16" t="s">
        <v>23</v>
      </c>
      <c r="O157" s="16" t="s">
        <v>23</v>
      </c>
      <c r="P157" s="16" t="s">
        <v>37</v>
      </c>
      <c r="Q157" s="10" t="s">
        <v>183</v>
      </c>
      <c r="R157" s="3" t="str">
        <f t="shared" si="4"/>
        <v>136</v>
      </c>
      <c r="S157" s="3" t="str">
        <f t="shared" si="5"/>
        <v>61</v>
      </c>
      <c r="T157" s="16" t="s">
        <v>29</v>
      </c>
      <c r="U157" s="3">
        <v>17.86</v>
      </c>
      <c r="V157" s="16" t="str">
        <f>PROPER(Table1[[#This Row],[CVD Risk Level]])</f>
        <v>High</v>
      </c>
    </row>
    <row r="158" spans="1:22" x14ac:dyDescent="0.3">
      <c r="A158" t="s">
        <v>31</v>
      </c>
      <c r="B158" s="8">
        <v>48</v>
      </c>
      <c r="C158" s="8">
        <v>81.400000000000006</v>
      </c>
      <c r="D158" s="5">
        <v>1.63</v>
      </c>
      <c r="E158" s="5">
        <v>30.6</v>
      </c>
      <c r="F158" s="16" t="s">
        <v>1302</v>
      </c>
      <c r="G158" s="11">
        <v>0.65500000000000003</v>
      </c>
      <c r="H158" s="5">
        <v>106.7</v>
      </c>
      <c r="I158" s="8">
        <v>41</v>
      </c>
      <c r="J158" s="8">
        <v>109</v>
      </c>
      <c r="K158" s="8">
        <v>191</v>
      </c>
      <c r="L158" s="8">
        <v>71</v>
      </c>
      <c r="M158" t="s">
        <v>33</v>
      </c>
      <c r="N158" s="16" t="s">
        <v>23</v>
      </c>
      <c r="O158" s="16" t="s">
        <v>23</v>
      </c>
      <c r="P158" s="16" t="s">
        <v>37</v>
      </c>
      <c r="Q158" s="10" t="s">
        <v>184</v>
      </c>
      <c r="R158" s="3" t="str">
        <f t="shared" si="4"/>
        <v>149</v>
      </c>
      <c r="S158" s="3" t="str">
        <f t="shared" si="5"/>
        <v>81</v>
      </c>
      <c r="T158" s="16" t="s">
        <v>29</v>
      </c>
      <c r="U158" s="3">
        <v>19.39</v>
      </c>
      <c r="V158" s="16" t="str">
        <f>PROPER(Table1[[#This Row],[CVD Risk Level]])</f>
        <v>High</v>
      </c>
    </row>
    <row r="159" spans="1:22" x14ac:dyDescent="0.3">
      <c r="A159" t="s">
        <v>31</v>
      </c>
      <c r="B159" s="8">
        <v>35</v>
      </c>
      <c r="C159" s="8">
        <v>85.2</v>
      </c>
      <c r="D159" s="5">
        <v>1.79</v>
      </c>
      <c r="E159" s="5">
        <v>26.6</v>
      </c>
      <c r="F159" s="16" t="s">
        <v>1303</v>
      </c>
      <c r="G159" s="11">
        <v>0.41099999999999998</v>
      </c>
      <c r="H159" s="5">
        <v>73.5</v>
      </c>
      <c r="I159" s="8">
        <v>39</v>
      </c>
      <c r="J159" s="8">
        <v>193</v>
      </c>
      <c r="K159" s="8">
        <v>262</v>
      </c>
      <c r="L159" s="8">
        <v>70</v>
      </c>
      <c r="M159" t="s">
        <v>33</v>
      </c>
      <c r="N159" s="16" t="s">
        <v>22</v>
      </c>
      <c r="O159" s="16" t="s">
        <v>23</v>
      </c>
      <c r="P159" s="16" t="s">
        <v>28</v>
      </c>
      <c r="Q159" s="10" t="s">
        <v>185</v>
      </c>
      <c r="R159" s="3" t="str">
        <f t="shared" si="4"/>
        <v>97</v>
      </c>
      <c r="S159" s="3" t="str">
        <f t="shared" si="5"/>
        <v>79</v>
      </c>
      <c r="T159" s="16" t="s">
        <v>33</v>
      </c>
      <c r="U159" s="3">
        <v>17.41</v>
      </c>
      <c r="V159" s="16" t="str">
        <f>PROPER(Table1[[#This Row],[CVD Risk Level]])</f>
        <v>High</v>
      </c>
    </row>
    <row r="160" spans="1:22" x14ac:dyDescent="0.3">
      <c r="A160" t="s">
        <v>31</v>
      </c>
      <c r="B160" s="8">
        <v>53</v>
      </c>
      <c r="C160" s="8">
        <v>118.8</v>
      </c>
      <c r="D160" s="5">
        <v>1.68</v>
      </c>
      <c r="E160" s="5">
        <v>42.1</v>
      </c>
      <c r="F160" s="16" t="s">
        <v>1302</v>
      </c>
      <c r="G160" s="11">
        <v>0.52500000000000002</v>
      </c>
      <c r="H160" s="5">
        <v>88.2</v>
      </c>
      <c r="I160" s="8">
        <v>63</v>
      </c>
      <c r="J160" s="8">
        <v>140</v>
      </c>
      <c r="K160" s="8">
        <v>233</v>
      </c>
      <c r="L160" s="8">
        <v>73</v>
      </c>
      <c r="M160" t="s">
        <v>33</v>
      </c>
      <c r="N160" s="16" t="s">
        <v>23</v>
      </c>
      <c r="O160" s="16" t="s">
        <v>22</v>
      </c>
      <c r="P160" s="16" t="s">
        <v>24</v>
      </c>
      <c r="Q160" s="10" t="s">
        <v>186</v>
      </c>
      <c r="R160" s="3" t="str">
        <f t="shared" si="4"/>
        <v>140</v>
      </c>
      <c r="S160" s="3" t="str">
        <f t="shared" si="5"/>
        <v>86</v>
      </c>
      <c r="T160" s="16" t="s">
        <v>29</v>
      </c>
      <c r="U160" s="3">
        <v>20.079999999999998</v>
      </c>
      <c r="V160" s="16" t="str">
        <f>PROPER(Table1[[#This Row],[CVD Risk Level]])</f>
        <v>High</v>
      </c>
    </row>
    <row r="161" spans="1:22" x14ac:dyDescent="0.3">
      <c r="A161" t="s">
        <v>31</v>
      </c>
      <c r="B161" s="8">
        <v>33</v>
      </c>
      <c r="C161" s="8">
        <v>99.4</v>
      </c>
      <c r="D161" s="5">
        <v>1.88</v>
      </c>
      <c r="E161" s="5">
        <v>28.1</v>
      </c>
      <c r="F161" s="16" t="s">
        <v>1303</v>
      </c>
      <c r="G161" s="11">
        <v>0.40200000000000002</v>
      </c>
      <c r="H161" s="5">
        <v>75.599999999999994</v>
      </c>
      <c r="I161" s="8">
        <v>35</v>
      </c>
      <c r="J161" s="8">
        <v>117</v>
      </c>
      <c r="K161" s="8">
        <v>182</v>
      </c>
      <c r="L161" s="8">
        <v>126</v>
      </c>
      <c r="M161" t="s">
        <v>1307</v>
      </c>
      <c r="N161" s="16" t="s">
        <v>22</v>
      </c>
      <c r="O161" s="16" t="s">
        <v>23</v>
      </c>
      <c r="P161" s="16" t="s">
        <v>37</v>
      </c>
      <c r="Q161" s="10" t="s">
        <v>187</v>
      </c>
      <c r="R161" s="3" t="str">
        <f t="shared" si="4"/>
        <v>121</v>
      </c>
      <c r="S161" s="3" t="str">
        <f t="shared" si="5"/>
        <v>67</v>
      </c>
      <c r="T161" s="16" t="s">
        <v>25</v>
      </c>
      <c r="U161" s="3">
        <v>17.309999999999999</v>
      </c>
      <c r="V161" s="16" t="str">
        <f>PROPER(Table1[[#This Row],[CVD Risk Level]])</f>
        <v>Intermediary</v>
      </c>
    </row>
    <row r="162" spans="1:22" x14ac:dyDescent="0.3">
      <c r="A162" t="s">
        <v>20</v>
      </c>
      <c r="B162" s="8">
        <v>32</v>
      </c>
      <c r="C162" s="8">
        <v>71.7</v>
      </c>
      <c r="D162" s="5">
        <v>1.72</v>
      </c>
      <c r="E162" s="5">
        <v>24.2</v>
      </c>
      <c r="F162" s="16" t="s">
        <v>33</v>
      </c>
      <c r="G162" s="11">
        <v>0.63900000000000001</v>
      </c>
      <c r="H162" s="5">
        <v>109.9</v>
      </c>
      <c r="I162" s="8">
        <v>38</v>
      </c>
      <c r="J162" s="8">
        <v>102</v>
      </c>
      <c r="K162" s="8">
        <v>170</v>
      </c>
      <c r="L162" s="8">
        <v>92</v>
      </c>
      <c r="M162" t="s">
        <v>33</v>
      </c>
      <c r="N162" s="16" t="s">
        <v>23</v>
      </c>
      <c r="O162" s="16" t="s">
        <v>22</v>
      </c>
      <c r="P162" s="16" t="s">
        <v>37</v>
      </c>
      <c r="Q162" s="10" t="s">
        <v>188</v>
      </c>
      <c r="R162" s="3" t="str">
        <f t="shared" si="4"/>
        <v>150</v>
      </c>
      <c r="S162" s="3" t="str">
        <f t="shared" si="5"/>
        <v>84</v>
      </c>
      <c r="T162" s="16" t="s">
        <v>29</v>
      </c>
      <c r="U162" s="3">
        <v>15.74</v>
      </c>
      <c r="V162" s="16" t="str">
        <f>PROPER(Table1[[#This Row],[CVD Risk Level]])</f>
        <v>Intermediary</v>
      </c>
    </row>
    <row r="163" spans="1:22" x14ac:dyDescent="0.3">
      <c r="A163" t="s">
        <v>31</v>
      </c>
      <c r="B163" s="8">
        <v>30</v>
      </c>
      <c r="C163" s="8">
        <v>78.5</v>
      </c>
      <c r="D163" s="5">
        <v>1.77</v>
      </c>
      <c r="E163" s="5">
        <v>25.1</v>
      </c>
      <c r="F163" s="16" t="s">
        <v>1303</v>
      </c>
      <c r="G163" s="11">
        <v>0.56799999999999995</v>
      </c>
      <c r="H163" s="5">
        <v>100.6</v>
      </c>
      <c r="I163" s="8">
        <v>42</v>
      </c>
      <c r="J163" s="8">
        <v>90</v>
      </c>
      <c r="K163" s="8">
        <v>162</v>
      </c>
      <c r="L163" s="8">
        <v>126</v>
      </c>
      <c r="M163" t="s">
        <v>1307</v>
      </c>
      <c r="N163" s="16" t="s">
        <v>23</v>
      </c>
      <c r="O163" s="16" t="s">
        <v>22</v>
      </c>
      <c r="P163" s="16" t="s">
        <v>24</v>
      </c>
      <c r="Q163" s="10" t="s">
        <v>189</v>
      </c>
      <c r="R163" s="3" t="str">
        <f t="shared" si="4"/>
        <v>131</v>
      </c>
      <c r="S163" s="3" t="str">
        <f t="shared" si="5"/>
        <v>79</v>
      </c>
      <c r="T163" s="16" t="s">
        <v>29</v>
      </c>
      <c r="U163" s="3">
        <v>14.81</v>
      </c>
      <c r="V163" s="16" t="str">
        <f>PROPER(Table1[[#This Row],[CVD Risk Level]])</f>
        <v>High</v>
      </c>
    </row>
    <row r="164" spans="1:22" x14ac:dyDescent="0.3">
      <c r="A164" t="s">
        <v>20</v>
      </c>
      <c r="B164" s="8">
        <v>48</v>
      </c>
      <c r="C164" s="8">
        <v>57.4</v>
      </c>
      <c r="D164" s="5">
        <v>1.76</v>
      </c>
      <c r="E164" s="5">
        <v>18.5</v>
      </c>
      <c r="F164" s="16" t="s">
        <v>33</v>
      </c>
      <c r="G164" s="11">
        <v>0.54900000000000004</v>
      </c>
      <c r="H164" s="5">
        <v>96.6</v>
      </c>
      <c r="I164" s="8">
        <v>58</v>
      </c>
      <c r="J164" s="8">
        <v>124</v>
      </c>
      <c r="K164" s="8">
        <v>212</v>
      </c>
      <c r="L164" s="8">
        <v>76</v>
      </c>
      <c r="M164" t="s">
        <v>33</v>
      </c>
      <c r="N164" s="16" t="s">
        <v>23</v>
      </c>
      <c r="O164" s="16" t="s">
        <v>22</v>
      </c>
      <c r="P164" s="16" t="s">
        <v>28</v>
      </c>
      <c r="Q164" s="10" t="s">
        <v>190</v>
      </c>
      <c r="R164" s="3" t="str">
        <f t="shared" si="4"/>
        <v>119</v>
      </c>
      <c r="S164" s="3" t="str">
        <f t="shared" si="5"/>
        <v>92</v>
      </c>
      <c r="T164" s="16" t="s">
        <v>38</v>
      </c>
      <c r="U164" s="3">
        <v>13.89</v>
      </c>
      <c r="V164" s="16" t="str">
        <f>PROPER(Table1[[#This Row],[CVD Risk Level]])</f>
        <v>Intermediary</v>
      </c>
    </row>
    <row r="165" spans="1:22" x14ac:dyDescent="0.3">
      <c r="A165" t="s">
        <v>20</v>
      </c>
      <c r="B165" s="8">
        <v>55</v>
      </c>
      <c r="C165" s="8">
        <v>73.5</v>
      </c>
      <c r="D165" s="5">
        <v>1.88</v>
      </c>
      <c r="E165" s="5">
        <v>20.8</v>
      </c>
      <c r="F165" s="16" t="s">
        <v>33</v>
      </c>
      <c r="G165" s="11">
        <v>0.44</v>
      </c>
      <c r="H165" s="5">
        <v>82.7</v>
      </c>
      <c r="I165" s="8">
        <v>36</v>
      </c>
      <c r="J165" s="8">
        <v>100</v>
      </c>
      <c r="K165" s="8">
        <v>272</v>
      </c>
      <c r="L165" s="8">
        <v>116</v>
      </c>
      <c r="M165" t="s">
        <v>1306</v>
      </c>
      <c r="N165" s="16" t="s">
        <v>22</v>
      </c>
      <c r="O165" s="16" t="s">
        <v>23</v>
      </c>
      <c r="P165" s="16" t="s">
        <v>24</v>
      </c>
      <c r="Q165" s="10" t="s">
        <v>191</v>
      </c>
      <c r="R165" s="3" t="str">
        <f t="shared" si="4"/>
        <v>144</v>
      </c>
      <c r="S165" s="3" t="str">
        <f t="shared" si="5"/>
        <v>72</v>
      </c>
      <c r="T165" s="16" t="s">
        <v>38</v>
      </c>
      <c r="U165" s="3">
        <v>16.68</v>
      </c>
      <c r="V165" s="16" t="str">
        <f>PROPER(Table1[[#This Row],[CVD Risk Level]])</f>
        <v>High</v>
      </c>
    </row>
    <row r="166" spans="1:22" x14ac:dyDescent="0.3">
      <c r="A166" t="s">
        <v>31</v>
      </c>
      <c r="B166" s="8">
        <v>31</v>
      </c>
      <c r="C166" s="8">
        <v>56.8</v>
      </c>
      <c r="D166" s="5">
        <v>1.85</v>
      </c>
      <c r="E166" s="5">
        <v>16.600000000000001</v>
      </c>
      <c r="F166" s="16" t="s">
        <v>1304</v>
      </c>
      <c r="G166" s="11">
        <v>0.46899999999999997</v>
      </c>
      <c r="H166" s="5">
        <v>86.8</v>
      </c>
      <c r="I166" s="8">
        <v>50</v>
      </c>
      <c r="J166" s="8">
        <v>113</v>
      </c>
      <c r="K166" s="8">
        <v>193</v>
      </c>
      <c r="L166" s="8">
        <v>112</v>
      </c>
      <c r="M166" t="s">
        <v>1306</v>
      </c>
      <c r="N166" s="16" t="s">
        <v>23</v>
      </c>
      <c r="O166" s="16" t="s">
        <v>22</v>
      </c>
      <c r="P166" s="16" t="s">
        <v>24</v>
      </c>
      <c r="Q166" s="10" t="s">
        <v>192</v>
      </c>
      <c r="R166" s="3" t="str">
        <f t="shared" si="4"/>
        <v>144</v>
      </c>
      <c r="S166" s="3" t="str">
        <f t="shared" si="5"/>
        <v>70</v>
      </c>
      <c r="T166" s="16" t="s">
        <v>38</v>
      </c>
      <c r="U166" s="3">
        <v>14.38</v>
      </c>
      <c r="V166" s="16" t="str">
        <f>PROPER(Table1[[#This Row],[CVD Risk Level]])</f>
        <v>Intermediary</v>
      </c>
    </row>
    <row r="167" spans="1:22" x14ac:dyDescent="0.3">
      <c r="A167" t="s">
        <v>20</v>
      </c>
      <c r="B167" s="8">
        <v>33</v>
      </c>
      <c r="C167" s="8">
        <v>72.8</v>
      </c>
      <c r="D167" s="5">
        <v>1.64</v>
      </c>
      <c r="E167" s="5">
        <v>27.1</v>
      </c>
      <c r="F167" s="16" t="s">
        <v>1303</v>
      </c>
      <c r="G167" s="11">
        <v>0.58899999999999997</v>
      </c>
      <c r="H167" s="5">
        <v>96.6</v>
      </c>
      <c r="I167" s="8">
        <v>69</v>
      </c>
      <c r="J167" s="8">
        <v>115</v>
      </c>
      <c r="K167" s="8">
        <v>214</v>
      </c>
      <c r="L167" s="8">
        <v>73</v>
      </c>
      <c r="M167" t="s">
        <v>33</v>
      </c>
      <c r="N167" s="16" t="s">
        <v>22</v>
      </c>
      <c r="O167" s="16" t="s">
        <v>23</v>
      </c>
      <c r="P167" s="16" t="s">
        <v>24</v>
      </c>
      <c r="Q167" s="10" t="s">
        <v>193</v>
      </c>
      <c r="R167" s="3" t="str">
        <f t="shared" si="4"/>
        <v>137</v>
      </c>
      <c r="S167" s="3" t="str">
        <f t="shared" si="5"/>
        <v>64</v>
      </c>
      <c r="T167" s="16" t="s">
        <v>29</v>
      </c>
      <c r="U167" s="3">
        <v>18.55</v>
      </c>
      <c r="V167" s="16" t="str">
        <f>PROPER(Table1[[#This Row],[CVD Risk Level]])</f>
        <v>High</v>
      </c>
    </row>
    <row r="168" spans="1:22" x14ac:dyDescent="0.3">
      <c r="A168" t="s">
        <v>20</v>
      </c>
      <c r="B168" s="8">
        <v>30</v>
      </c>
      <c r="C168" s="8">
        <v>60.2</v>
      </c>
      <c r="D168" s="5">
        <v>1.76</v>
      </c>
      <c r="E168" s="5">
        <v>19.399999999999999</v>
      </c>
      <c r="F168" s="16" t="s">
        <v>33</v>
      </c>
      <c r="G168" s="11">
        <v>0.47499999999999998</v>
      </c>
      <c r="H168" s="5">
        <v>83.6</v>
      </c>
      <c r="I168" s="8">
        <v>36</v>
      </c>
      <c r="J168" s="8">
        <v>52</v>
      </c>
      <c r="K168" s="8">
        <v>118</v>
      </c>
      <c r="L168" s="8">
        <v>101</v>
      </c>
      <c r="M168" t="s">
        <v>1306</v>
      </c>
      <c r="N168" s="16" t="s">
        <v>23</v>
      </c>
      <c r="O168" s="16" t="s">
        <v>22</v>
      </c>
      <c r="P168" s="16" t="s">
        <v>28</v>
      </c>
      <c r="Q168" s="10" t="s">
        <v>194</v>
      </c>
      <c r="R168" s="3" t="str">
        <f t="shared" si="4"/>
        <v>124</v>
      </c>
      <c r="S168" s="3" t="str">
        <f t="shared" si="5"/>
        <v>76</v>
      </c>
      <c r="T168" s="16" t="s">
        <v>25</v>
      </c>
      <c r="U168" s="3">
        <v>12.44</v>
      </c>
      <c r="V168" s="16" t="str">
        <f>PROPER(Table1[[#This Row],[CVD Risk Level]])</f>
        <v>Intermediary</v>
      </c>
    </row>
    <row r="169" spans="1:22" x14ac:dyDescent="0.3">
      <c r="A169" t="s">
        <v>20</v>
      </c>
      <c r="B169" s="8">
        <v>48</v>
      </c>
      <c r="C169" s="8">
        <v>57.5</v>
      </c>
      <c r="D169" s="5">
        <v>1.76</v>
      </c>
      <c r="E169" s="5">
        <v>18.600000000000001</v>
      </c>
      <c r="F169" s="16" t="s">
        <v>33</v>
      </c>
      <c r="G169" s="11">
        <v>0.46600000000000003</v>
      </c>
      <c r="H169" s="5">
        <v>82.1</v>
      </c>
      <c r="I169" s="8">
        <v>72</v>
      </c>
      <c r="J169" s="8">
        <v>79</v>
      </c>
      <c r="K169" s="8">
        <v>181</v>
      </c>
      <c r="L169" s="8">
        <v>118</v>
      </c>
      <c r="M169" t="s">
        <v>1306</v>
      </c>
      <c r="N169" s="16" t="s">
        <v>22</v>
      </c>
      <c r="O169" s="16" t="s">
        <v>23</v>
      </c>
      <c r="P169" s="16" t="s">
        <v>28</v>
      </c>
      <c r="Q169" s="10" t="s">
        <v>195</v>
      </c>
      <c r="R169" s="3" t="str">
        <f t="shared" si="4"/>
        <v>142</v>
      </c>
      <c r="S169" s="3" t="str">
        <f t="shared" si="5"/>
        <v>79</v>
      </c>
      <c r="T169" s="16" t="s">
        <v>38</v>
      </c>
      <c r="U169" s="3">
        <v>16.440000000000001</v>
      </c>
      <c r="V169" s="16" t="str">
        <f>PROPER(Table1[[#This Row],[CVD Risk Level]])</f>
        <v>Intermediary</v>
      </c>
    </row>
    <row r="170" spans="1:22" x14ac:dyDescent="0.3">
      <c r="A170" t="s">
        <v>20</v>
      </c>
      <c r="B170" s="8">
        <v>51</v>
      </c>
      <c r="C170" s="8">
        <v>67.3</v>
      </c>
      <c r="D170" s="5">
        <v>1.67</v>
      </c>
      <c r="E170" s="5">
        <v>24.1</v>
      </c>
      <c r="F170" s="16" t="s">
        <v>33</v>
      </c>
      <c r="G170" s="11">
        <v>0.56000000000000005</v>
      </c>
      <c r="H170" s="5">
        <v>93.5</v>
      </c>
      <c r="I170" s="8">
        <v>30</v>
      </c>
      <c r="J170" s="8">
        <v>157</v>
      </c>
      <c r="K170" s="8">
        <v>217</v>
      </c>
      <c r="L170" s="8">
        <v>99</v>
      </c>
      <c r="M170" t="s">
        <v>33</v>
      </c>
      <c r="N170" s="16" t="s">
        <v>22</v>
      </c>
      <c r="O170" s="16" t="s">
        <v>22</v>
      </c>
      <c r="P170" s="16" t="s">
        <v>28</v>
      </c>
      <c r="Q170" s="10" t="s">
        <v>103</v>
      </c>
      <c r="R170" s="3" t="str">
        <f t="shared" si="4"/>
        <v>102</v>
      </c>
      <c r="S170" s="3" t="str">
        <f t="shared" si="5"/>
        <v>79</v>
      </c>
      <c r="T170" s="16" t="s">
        <v>33</v>
      </c>
      <c r="U170" s="3">
        <v>14.26</v>
      </c>
      <c r="V170" s="16" t="str">
        <f>PROPER(Table1[[#This Row],[CVD Risk Level]])</f>
        <v>High</v>
      </c>
    </row>
    <row r="171" spans="1:22" x14ac:dyDescent="0.3">
      <c r="A171" t="s">
        <v>20</v>
      </c>
      <c r="B171" s="8">
        <v>53</v>
      </c>
      <c r="C171" s="8">
        <v>58.4</v>
      </c>
      <c r="D171" s="5">
        <v>1.78</v>
      </c>
      <c r="E171" s="5">
        <v>18.399999999999999</v>
      </c>
      <c r="F171" s="16" t="s">
        <v>1304</v>
      </c>
      <c r="G171" s="11">
        <v>0.50955056179775282</v>
      </c>
      <c r="H171" s="5">
        <v>90.7</v>
      </c>
      <c r="I171" s="8">
        <v>40</v>
      </c>
      <c r="J171" s="8">
        <v>96</v>
      </c>
      <c r="K171" s="8">
        <v>166</v>
      </c>
      <c r="L171" s="8">
        <v>76</v>
      </c>
      <c r="M171" t="s">
        <v>33</v>
      </c>
      <c r="N171" s="16" t="s">
        <v>23</v>
      </c>
      <c r="O171" s="16" t="s">
        <v>22</v>
      </c>
      <c r="P171" s="16" t="s">
        <v>28</v>
      </c>
      <c r="Q171" s="10" t="s">
        <v>196</v>
      </c>
      <c r="R171" s="3" t="str">
        <f t="shared" si="4"/>
        <v>92</v>
      </c>
      <c r="S171" s="3" t="str">
        <f t="shared" si="5"/>
        <v>84</v>
      </c>
      <c r="T171" s="16" t="s">
        <v>29</v>
      </c>
      <c r="U171" s="3">
        <v>11.6</v>
      </c>
      <c r="V171" s="16" t="str">
        <f>PROPER(Table1[[#This Row],[CVD Risk Level]])</f>
        <v>Intermediary</v>
      </c>
    </row>
    <row r="172" spans="1:22" x14ac:dyDescent="0.3">
      <c r="A172" t="s">
        <v>31</v>
      </c>
      <c r="B172" s="8">
        <v>47.025499655410059</v>
      </c>
      <c r="C172" s="8">
        <v>102.1</v>
      </c>
      <c r="D172" s="5">
        <v>1.66</v>
      </c>
      <c r="E172" s="5">
        <v>37.1</v>
      </c>
      <c r="F172" s="16" t="s">
        <v>1302</v>
      </c>
      <c r="G172" s="11">
        <v>0.43</v>
      </c>
      <c r="H172" s="5">
        <v>71.3</v>
      </c>
      <c r="I172" s="8">
        <v>56.197377501725327</v>
      </c>
      <c r="J172" s="8">
        <v>207</v>
      </c>
      <c r="K172" s="8">
        <v>288</v>
      </c>
      <c r="L172" s="8">
        <v>149</v>
      </c>
      <c r="M172" t="s">
        <v>1307</v>
      </c>
      <c r="N172" s="16" t="s">
        <v>23</v>
      </c>
      <c r="O172" s="16" t="s">
        <v>23</v>
      </c>
      <c r="P172" s="16" t="s">
        <v>28</v>
      </c>
      <c r="Q172" s="10" t="s">
        <v>197</v>
      </c>
      <c r="R172" s="3" t="str">
        <f t="shared" si="4"/>
        <v>133</v>
      </c>
      <c r="S172" s="3" t="str">
        <f t="shared" si="5"/>
        <v>75</v>
      </c>
      <c r="T172" s="16" t="s">
        <v>29</v>
      </c>
      <c r="U172" s="3">
        <v>21.83</v>
      </c>
      <c r="V172" s="16" t="str">
        <f>PROPER(Table1[[#This Row],[CVD Risk Level]])</f>
        <v>High</v>
      </c>
    </row>
    <row r="173" spans="1:22" x14ac:dyDescent="0.3">
      <c r="A173" t="s">
        <v>20</v>
      </c>
      <c r="B173" s="8">
        <v>33</v>
      </c>
      <c r="C173" s="8">
        <v>74.599999999999994</v>
      </c>
      <c r="D173" s="5">
        <v>1.7</v>
      </c>
      <c r="E173" s="5">
        <v>25.8</v>
      </c>
      <c r="F173" s="16" t="s">
        <v>1303</v>
      </c>
      <c r="G173" s="11">
        <v>0.496</v>
      </c>
      <c r="H173" s="5">
        <v>84.4</v>
      </c>
      <c r="I173" s="8">
        <v>74</v>
      </c>
      <c r="J173" s="8">
        <v>190</v>
      </c>
      <c r="K173" s="8">
        <v>294</v>
      </c>
      <c r="L173" s="8">
        <v>76</v>
      </c>
      <c r="M173" t="s">
        <v>33</v>
      </c>
      <c r="N173" s="16" t="s">
        <v>23</v>
      </c>
      <c r="O173" s="16" t="s">
        <v>23</v>
      </c>
      <c r="P173" s="16" t="s">
        <v>37</v>
      </c>
      <c r="Q173" s="10" t="s">
        <v>198</v>
      </c>
      <c r="R173" s="3" t="str">
        <f t="shared" si="4"/>
        <v>125</v>
      </c>
      <c r="S173" s="3" t="str">
        <f t="shared" si="5"/>
        <v>73</v>
      </c>
      <c r="T173" s="16" t="s">
        <v>25</v>
      </c>
      <c r="U173" s="3">
        <v>19.29</v>
      </c>
      <c r="V173" s="16" t="str">
        <f>PROPER(Table1[[#This Row],[CVD Risk Level]])</f>
        <v>High</v>
      </c>
    </row>
    <row r="174" spans="1:22" x14ac:dyDescent="0.3">
      <c r="A174" t="s">
        <v>20</v>
      </c>
      <c r="B174" s="8">
        <v>47.025499655410059</v>
      </c>
      <c r="C174" s="8">
        <v>77</v>
      </c>
      <c r="D174" s="5">
        <v>1.65</v>
      </c>
      <c r="E174" s="5">
        <v>28.3</v>
      </c>
      <c r="F174" s="16" t="s">
        <v>1303</v>
      </c>
      <c r="G174" s="11">
        <v>0.53800000000000003</v>
      </c>
      <c r="H174" s="5">
        <v>88.8</v>
      </c>
      <c r="I174" s="8">
        <v>40</v>
      </c>
      <c r="J174" s="8">
        <v>31</v>
      </c>
      <c r="K174" s="8">
        <v>101</v>
      </c>
      <c r="L174" s="8">
        <v>138</v>
      </c>
      <c r="M174" t="s">
        <v>1307</v>
      </c>
      <c r="N174" s="16" t="s">
        <v>22</v>
      </c>
      <c r="O174" s="16" t="s">
        <v>23</v>
      </c>
      <c r="P174" s="16" t="s">
        <v>28</v>
      </c>
      <c r="Q174" s="10" t="s">
        <v>199</v>
      </c>
      <c r="R174" s="3" t="str">
        <f t="shared" si="4"/>
        <v>97</v>
      </c>
      <c r="S174" s="3" t="str">
        <f t="shared" si="5"/>
        <v>74</v>
      </c>
      <c r="T174" s="16" t="s">
        <v>33</v>
      </c>
      <c r="U174" s="3">
        <v>14.53</v>
      </c>
      <c r="V174" s="16" t="str">
        <f>PROPER(Table1[[#This Row],[CVD Risk Level]])</f>
        <v>Intermediary</v>
      </c>
    </row>
    <row r="175" spans="1:22" x14ac:dyDescent="0.3">
      <c r="A175" t="s">
        <v>31</v>
      </c>
      <c r="B175" s="8">
        <v>38</v>
      </c>
      <c r="C175" s="8">
        <v>100.4</v>
      </c>
      <c r="D175" s="5">
        <v>1.68</v>
      </c>
      <c r="E175" s="5">
        <v>35.6</v>
      </c>
      <c r="F175" s="16" t="s">
        <v>1302</v>
      </c>
      <c r="G175" s="11">
        <v>0.60699999999999998</v>
      </c>
      <c r="H175" s="5">
        <v>102</v>
      </c>
      <c r="I175" s="8">
        <v>55</v>
      </c>
      <c r="J175" s="8">
        <v>24</v>
      </c>
      <c r="K175" s="8">
        <v>109</v>
      </c>
      <c r="L175" s="8">
        <v>150</v>
      </c>
      <c r="M175" t="s">
        <v>1307</v>
      </c>
      <c r="N175" s="16" t="s">
        <v>23</v>
      </c>
      <c r="O175" s="16" t="s">
        <v>23</v>
      </c>
      <c r="P175" s="16" t="s">
        <v>28</v>
      </c>
      <c r="Q175" s="10" t="s">
        <v>200</v>
      </c>
      <c r="R175" s="3" t="str">
        <f t="shared" si="4"/>
        <v>146</v>
      </c>
      <c r="S175" s="3" t="str">
        <f t="shared" si="5"/>
        <v>73</v>
      </c>
      <c r="T175" s="16" t="s">
        <v>38</v>
      </c>
      <c r="U175" s="3">
        <v>18.600000000000001</v>
      </c>
      <c r="V175" s="16" t="str">
        <f>PROPER(Table1[[#This Row],[CVD Risk Level]])</f>
        <v>High</v>
      </c>
    </row>
    <row r="176" spans="1:22" x14ac:dyDescent="0.3">
      <c r="A176" t="s">
        <v>31</v>
      </c>
      <c r="B176" s="8">
        <v>30</v>
      </c>
      <c r="C176" s="8">
        <v>85.2</v>
      </c>
      <c r="D176" s="5">
        <v>1.69</v>
      </c>
      <c r="E176" s="5">
        <v>29.8</v>
      </c>
      <c r="F176" s="16" t="s">
        <v>1303</v>
      </c>
      <c r="G176" s="11">
        <v>0.56999999999999995</v>
      </c>
      <c r="H176" s="5">
        <v>96.3</v>
      </c>
      <c r="I176" s="8">
        <v>56.197377501725327</v>
      </c>
      <c r="J176" s="8">
        <v>138</v>
      </c>
      <c r="K176" s="8">
        <v>247</v>
      </c>
      <c r="L176" s="8">
        <v>129</v>
      </c>
      <c r="M176" t="s">
        <v>1307</v>
      </c>
      <c r="N176" s="16" t="s">
        <v>23</v>
      </c>
      <c r="O176" s="16" t="s">
        <v>23</v>
      </c>
      <c r="P176" s="16" t="s">
        <v>28</v>
      </c>
      <c r="Q176" s="10" t="s">
        <v>201</v>
      </c>
      <c r="R176" s="3" t="str">
        <f t="shared" si="4"/>
        <v>91</v>
      </c>
      <c r="S176" s="3" t="str">
        <f t="shared" si="5"/>
        <v>61</v>
      </c>
      <c r="T176" s="16" t="s">
        <v>33</v>
      </c>
      <c r="U176" s="3">
        <v>16.960925291295425</v>
      </c>
      <c r="V176" s="16" t="str">
        <f>PROPER(Table1[[#This Row],[CVD Risk Level]])</f>
        <v>High</v>
      </c>
    </row>
    <row r="177" spans="1:22" x14ac:dyDescent="0.3">
      <c r="A177" t="s">
        <v>20</v>
      </c>
      <c r="B177" s="8">
        <v>54</v>
      </c>
      <c r="C177" s="8">
        <v>106</v>
      </c>
      <c r="D177" s="5">
        <v>1.78</v>
      </c>
      <c r="E177" s="5">
        <v>33.5</v>
      </c>
      <c r="F177" s="16" t="s">
        <v>1302</v>
      </c>
      <c r="G177" s="11">
        <v>0.46600000000000003</v>
      </c>
      <c r="H177" s="5">
        <v>82.9</v>
      </c>
      <c r="I177" s="8">
        <v>36</v>
      </c>
      <c r="J177" s="8">
        <v>51</v>
      </c>
      <c r="K177" s="8">
        <v>117</v>
      </c>
      <c r="L177" s="8">
        <v>95</v>
      </c>
      <c r="M177" t="s">
        <v>33</v>
      </c>
      <c r="N177" s="16" t="s">
        <v>23</v>
      </c>
      <c r="O177" s="16" t="s">
        <v>22</v>
      </c>
      <c r="P177" s="16" t="s">
        <v>37</v>
      </c>
      <c r="Q177" s="10" t="s">
        <v>202</v>
      </c>
      <c r="R177" s="3" t="str">
        <f t="shared" si="4"/>
        <v>119</v>
      </c>
      <c r="S177" s="3" t="str">
        <f t="shared" si="5"/>
        <v>89</v>
      </c>
      <c r="T177" s="16" t="s">
        <v>29</v>
      </c>
      <c r="U177" s="3">
        <v>14.99</v>
      </c>
      <c r="V177" s="16" t="str">
        <f>PROPER(Table1[[#This Row],[CVD Risk Level]])</f>
        <v>High</v>
      </c>
    </row>
    <row r="178" spans="1:22" x14ac:dyDescent="0.3">
      <c r="A178" t="s">
        <v>31</v>
      </c>
      <c r="B178" s="8">
        <v>56</v>
      </c>
      <c r="C178" s="8">
        <v>117.9</v>
      </c>
      <c r="D178" s="5">
        <v>1.66</v>
      </c>
      <c r="E178" s="5">
        <v>42.8</v>
      </c>
      <c r="F178" s="16" t="s">
        <v>1302</v>
      </c>
      <c r="G178" s="11">
        <v>0.65400000000000003</v>
      </c>
      <c r="H178" s="5">
        <v>108.6</v>
      </c>
      <c r="I178" s="8">
        <v>64</v>
      </c>
      <c r="J178" s="8">
        <v>26</v>
      </c>
      <c r="K178" s="8">
        <v>120</v>
      </c>
      <c r="L178" s="8">
        <v>132</v>
      </c>
      <c r="M178" t="s">
        <v>1307</v>
      </c>
      <c r="N178" s="16" t="s">
        <v>22</v>
      </c>
      <c r="O178" s="16" t="s">
        <v>23</v>
      </c>
      <c r="P178" s="16" t="s">
        <v>37</v>
      </c>
      <c r="Q178" s="10" t="s">
        <v>203</v>
      </c>
      <c r="R178" s="3" t="str">
        <f t="shared" si="4"/>
        <v>133</v>
      </c>
      <c r="S178" s="3" t="str">
        <f t="shared" si="5"/>
        <v>65</v>
      </c>
      <c r="T178" s="16" t="s">
        <v>29</v>
      </c>
      <c r="U178" s="3">
        <v>19.61</v>
      </c>
      <c r="V178" s="16" t="str">
        <f>PROPER(Table1[[#This Row],[CVD Risk Level]])</f>
        <v>High</v>
      </c>
    </row>
    <row r="179" spans="1:22" x14ac:dyDescent="0.3">
      <c r="A179" t="s">
        <v>31</v>
      </c>
      <c r="B179" s="8">
        <v>37</v>
      </c>
      <c r="C179" s="8">
        <v>79.3</v>
      </c>
      <c r="D179" s="5">
        <v>1.86</v>
      </c>
      <c r="E179" s="5">
        <v>22.9</v>
      </c>
      <c r="F179" s="16" t="s">
        <v>33</v>
      </c>
      <c r="G179" s="11">
        <v>0.39700000000000002</v>
      </c>
      <c r="H179" s="5">
        <v>73.8</v>
      </c>
      <c r="I179" s="8">
        <v>36</v>
      </c>
      <c r="J179" s="8">
        <v>109</v>
      </c>
      <c r="K179" s="8">
        <v>286</v>
      </c>
      <c r="L179" s="8">
        <v>142</v>
      </c>
      <c r="M179" t="s">
        <v>1307</v>
      </c>
      <c r="N179" s="16" t="s">
        <v>23</v>
      </c>
      <c r="O179" s="16" t="s">
        <v>23</v>
      </c>
      <c r="P179" s="16" t="s">
        <v>24</v>
      </c>
      <c r="Q179" s="10" t="s">
        <v>204</v>
      </c>
      <c r="R179" s="3" t="str">
        <f t="shared" si="4"/>
        <v>118</v>
      </c>
      <c r="S179" s="3" t="str">
        <f t="shared" si="5"/>
        <v>89</v>
      </c>
      <c r="T179" s="16" t="s">
        <v>29</v>
      </c>
      <c r="U179" s="3">
        <v>18.2</v>
      </c>
      <c r="V179" s="16" t="str">
        <f>PROPER(Table1[[#This Row],[CVD Risk Level]])</f>
        <v>High</v>
      </c>
    </row>
    <row r="180" spans="1:22" x14ac:dyDescent="0.3">
      <c r="A180" t="s">
        <v>20</v>
      </c>
      <c r="B180" s="8">
        <v>59</v>
      </c>
      <c r="C180" s="8">
        <v>89.4</v>
      </c>
      <c r="D180" s="5">
        <v>1.67</v>
      </c>
      <c r="E180" s="5">
        <v>32.1</v>
      </c>
      <c r="F180" s="16" t="s">
        <v>1302</v>
      </c>
      <c r="G180" s="11">
        <v>0.64200000000000002</v>
      </c>
      <c r="H180" s="5">
        <v>107.2</v>
      </c>
      <c r="I180" s="8">
        <v>54</v>
      </c>
      <c r="J180" s="8">
        <v>122</v>
      </c>
      <c r="K180" s="8">
        <v>206</v>
      </c>
      <c r="L180" s="8">
        <v>140</v>
      </c>
      <c r="M180" t="s">
        <v>1307</v>
      </c>
      <c r="N180" s="16" t="s">
        <v>23</v>
      </c>
      <c r="O180" s="16" t="s">
        <v>23</v>
      </c>
      <c r="P180" s="16" t="s">
        <v>24</v>
      </c>
      <c r="Q180" s="10" t="s">
        <v>204</v>
      </c>
      <c r="R180" s="3" t="str">
        <f t="shared" si="4"/>
        <v>118</v>
      </c>
      <c r="S180" s="3" t="str">
        <f t="shared" si="5"/>
        <v>89</v>
      </c>
      <c r="T180" s="16" t="s">
        <v>29</v>
      </c>
      <c r="U180" s="3">
        <v>18.440000000000001</v>
      </c>
      <c r="V180" s="16" t="str">
        <f>PROPER(Table1[[#This Row],[CVD Risk Level]])</f>
        <v>High</v>
      </c>
    </row>
    <row r="181" spans="1:22" x14ac:dyDescent="0.3">
      <c r="A181" t="s">
        <v>31</v>
      </c>
      <c r="B181" s="8">
        <v>30</v>
      </c>
      <c r="C181" s="8">
        <v>105.3</v>
      </c>
      <c r="D181" s="5">
        <v>1.62</v>
      </c>
      <c r="E181" s="5">
        <v>40.1</v>
      </c>
      <c r="F181" s="16" t="s">
        <v>1302</v>
      </c>
      <c r="G181" s="11">
        <v>0.54400000000000004</v>
      </c>
      <c r="H181" s="5">
        <v>88.2</v>
      </c>
      <c r="I181" s="8">
        <v>43</v>
      </c>
      <c r="J181" s="8">
        <v>89</v>
      </c>
      <c r="K181" s="8">
        <v>162</v>
      </c>
      <c r="L181" s="8">
        <v>79</v>
      </c>
      <c r="M181" t="s">
        <v>33</v>
      </c>
      <c r="N181" s="16" t="s">
        <v>23</v>
      </c>
      <c r="O181" s="16" t="s">
        <v>22</v>
      </c>
      <c r="P181" s="16" t="s">
        <v>28</v>
      </c>
      <c r="Q181" s="10" t="s">
        <v>205</v>
      </c>
      <c r="R181" s="3" t="str">
        <f t="shared" si="4"/>
        <v>121</v>
      </c>
      <c r="S181" s="3" t="str">
        <f t="shared" si="5"/>
        <v>94</v>
      </c>
      <c r="T181" s="16" t="s">
        <v>38</v>
      </c>
      <c r="U181" s="3">
        <v>17.309999999999999</v>
      </c>
      <c r="V181" s="16" t="str">
        <f>PROPER(Table1[[#This Row],[CVD Risk Level]])</f>
        <v>Intermediary</v>
      </c>
    </row>
    <row r="182" spans="1:22" x14ac:dyDescent="0.3">
      <c r="A182" t="s">
        <v>20</v>
      </c>
      <c r="B182" s="8">
        <v>39</v>
      </c>
      <c r="C182" s="8">
        <v>52.356399999999994</v>
      </c>
      <c r="D182" s="5">
        <v>1.66</v>
      </c>
      <c r="E182" s="5">
        <v>19</v>
      </c>
      <c r="F182" s="16" t="s">
        <v>33</v>
      </c>
      <c r="G182" s="11">
        <v>0.59099999999999997</v>
      </c>
      <c r="H182" s="5">
        <v>98.1</v>
      </c>
      <c r="I182" s="8">
        <v>70</v>
      </c>
      <c r="J182" s="8">
        <v>49</v>
      </c>
      <c r="K182" s="8">
        <v>149</v>
      </c>
      <c r="L182" s="8">
        <v>137</v>
      </c>
      <c r="M182" t="s">
        <v>1307</v>
      </c>
      <c r="N182" s="16" t="s">
        <v>23</v>
      </c>
      <c r="O182" s="16" t="s">
        <v>23</v>
      </c>
      <c r="P182" s="16" t="s">
        <v>37</v>
      </c>
      <c r="Q182" s="10" t="s">
        <v>206</v>
      </c>
      <c r="R182" s="3" t="str">
        <f t="shared" si="4"/>
        <v>141</v>
      </c>
      <c r="S182" s="3" t="str">
        <f t="shared" si="5"/>
        <v>69</v>
      </c>
      <c r="T182" s="16" t="s">
        <v>38</v>
      </c>
      <c r="U182" s="3">
        <v>15.83</v>
      </c>
      <c r="V182" s="16" t="str">
        <f>PROPER(Table1[[#This Row],[CVD Risk Level]])</f>
        <v>Intermediary</v>
      </c>
    </row>
    <row r="183" spans="1:22" x14ac:dyDescent="0.3">
      <c r="A183" t="s">
        <v>20</v>
      </c>
      <c r="B183" s="8">
        <v>49</v>
      </c>
      <c r="C183" s="8">
        <v>113.1</v>
      </c>
      <c r="D183" s="5">
        <v>1.67</v>
      </c>
      <c r="E183" s="5">
        <v>40.6</v>
      </c>
      <c r="F183" s="16" t="s">
        <v>1302</v>
      </c>
      <c r="G183" s="11">
        <v>0.53700000000000003</v>
      </c>
      <c r="H183" s="5">
        <v>89.7</v>
      </c>
      <c r="I183" s="8">
        <v>48</v>
      </c>
      <c r="J183" s="8">
        <v>46</v>
      </c>
      <c r="K183" s="8">
        <v>124</v>
      </c>
      <c r="L183" s="8">
        <v>90</v>
      </c>
      <c r="M183" t="s">
        <v>33</v>
      </c>
      <c r="N183" s="16" t="s">
        <v>22</v>
      </c>
      <c r="O183" s="16" t="s">
        <v>23</v>
      </c>
      <c r="P183" s="16" t="s">
        <v>28</v>
      </c>
      <c r="Q183" s="10" t="s">
        <v>45</v>
      </c>
      <c r="R183" s="3" t="str">
        <f t="shared" si="4"/>
        <v>102</v>
      </c>
      <c r="S183" s="3" t="str">
        <f t="shared" si="5"/>
        <v>63</v>
      </c>
      <c r="T183" s="16" t="s">
        <v>33</v>
      </c>
      <c r="U183" s="3">
        <v>17.7</v>
      </c>
      <c r="V183" s="16" t="str">
        <f>PROPER(Table1[[#This Row],[CVD Risk Level]])</f>
        <v>High</v>
      </c>
    </row>
    <row r="184" spans="1:22" x14ac:dyDescent="0.3">
      <c r="A184" t="s">
        <v>31</v>
      </c>
      <c r="B184" s="8">
        <v>36</v>
      </c>
      <c r="C184" s="8">
        <v>74.8</v>
      </c>
      <c r="D184" s="5">
        <v>1.88</v>
      </c>
      <c r="E184" s="5">
        <v>21.2</v>
      </c>
      <c r="F184" s="16" t="s">
        <v>33</v>
      </c>
      <c r="G184" s="11">
        <v>0.38800000000000001</v>
      </c>
      <c r="H184" s="5">
        <v>73</v>
      </c>
      <c r="I184" s="8">
        <v>49</v>
      </c>
      <c r="J184" s="8">
        <v>76</v>
      </c>
      <c r="K184" s="8">
        <v>250</v>
      </c>
      <c r="L184" s="8">
        <v>107</v>
      </c>
      <c r="M184" t="s">
        <v>1306</v>
      </c>
      <c r="N184" s="16" t="s">
        <v>23</v>
      </c>
      <c r="O184" s="16" t="s">
        <v>22</v>
      </c>
      <c r="P184" s="16" t="s">
        <v>28</v>
      </c>
      <c r="Q184" s="10" t="s">
        <v>207</v>
      </c>
      <c r="R184" s="3" t="str">
        <f t="shared" si="4"/>
        <v>130</v>
      </c>
      <c r="S184" s="3" t="str">
        <f t="shared" si="5"/>
        <v>71</v>
      </c>
      <c r="T184" s="16" t="s">
        <v>29</v>
      </c>
      <c r="U184" s="3">
        <v>13.84</v>
      </c>
      <c r="V184" s="16" t="str">
        <f>PROPER(Table1[[#This Row],[CVD Risk Level]])</f>
        <v>Intermediary</v>
      </c>
    </row>
    <row r="185" spans="1:22" x14ac:dyDescent="0.3">
      <c r="A185" t="s">
        <v>31</v>
      </c>
      <c r="B185" s="8">
        <v>39</v>
      </c>
      <c r="C185" s="8">
        <v>73.3</v>
      </c>
      <c r="D185" s="5">
        <v>1.74</v>
      </c>
      <c r="E185" s="5">
        <v>24.2</v>
      </c>
      <c r="F185" s="16" t="s">
        <v>33</v>
      </c>
      <c r="G185" s="11">
        <v>0.54600000000000004</v>
      </c>
      <c r="H185" s="5">
        <v>95</v>
      </c>
      <c r="I185" s="8">
        <v>37</v>
      </c>
      <c r="J185" s="8">
        <v>91</v>
      </c>
      <c r="K185" s="8">
        <v>158</v>
      </c>
      <c r="L185" s="8">
        <v>81</v>
      </c>
      <c r="M185" t="s">
        <v>33</v>
      </c>
      <c r="N185" s="16" t="s">
        <v>22</v>
      </c>
      <c r="O185" s="16" t="s">
        <v>23</v>
      </c>
      <c r="P185" s="16" t="s">
        <v>28</v>
      </c>
      <c r="Q185" s="10" t="s">
        <v>208</v>
      </c>
      <c r="R185" s="3" t="str">
        <f t="shared" si="4"/>
        <v>111</v>
      </c>
      <c r="S185" s="3" t="str">
        <f t="shared" si="5"/>
        <v>84</v>
      </c>
      <c r="T185" s="16" t="s">
        <v>29</v>
      </c>
      <c r="U185" s="3">
        <v>15.55</v>
      </c>
      <c r="V185" s="16" t="str">
        <f>PROPER(Table1[[#This Row],[CVD Risk Level]])</f>
        <v>Intermediary</v>
      </c>
    </row>
    <row r="186" spans="1:22" x14ac:dyDescent="0.3">
      <c r="A186" t="s">
        <v>31</v>
      </c>
      <c r="B186" s="8">
        <v>50</v>
      </c>
      <c r="C186" s="8">
        <v>57.9</v>
      </c>
      <c r="D186" s="5">
        <v>1.87</v>
      </c>
      <c r="E186" s="5">
        <v>16.600000000000001</v>
      </c>
      <c r="F186" s="16" t="s">
        <v>1304</v>
      </c>
      <c r="G186" s="11">
        <v>0.41899999999999998</v>
      </c>
      <c r="H186" s="5">
        <v>78.3</v>
      </c>
      <c r="I186" s="8">
        <v>68</v>
      </c>
      <c r="J186" s="8">
        <v>117</v>
      </c>
      <c r="K186" s="8">
        <v>215</v>
      </c>
      <c r="L186" s="8">
        <v>90</v>
      </c>
      <c r="M186" t="s">
        <v>33</v>
      </c>
      <c r="N186" s="16" t="s">
        <v>22</v>
      </c>
      <c r="O186" s="16" t="s">
        <v>23</v>
      </c>
      <c r="P186" s="16" t="s">
        <v>37</v>
      </c>
      <c r="Q186" s="10" t="s">
        <v>209</v>
      </c>
      <c r="R186" s="3" t="str">
        <f t="shared" si="4"/>
        <v>102</v>
      </c>
      <c r="S186" s="3" t="str">
        <f t="shared" si="5"/>
        <v>60</v>
      </c>
      <c r="T186" s="16" t="s">
        <v>33</v>
      </c>
      <c r="U186" s="3">
        <v>14.72</v>
      </c>
      <c r="V186" s="16" t="str">
        <f>PROPER(Table1[[#This Row],[CVD Risk Level]])</f>
        <v>Intermediary</v>
      </c>
    </row>
    <row r="187" spans="1:22" x14ac:dyDescent="0.3">
      <c r="A187" t="s">
        <v>31</v>
      </c>
      <c r="B187" s="8">
        <v>43</v>
      </c>
      <c r="C187" s="8">
        <v>52.7</v>
      </c>
      <c r="D187" s="5">
        <v>1.85</v>
      </c>
      <c r="E187" s="5">
        <v>15.4</v>
      </c>
      <c r="F187" s="16" t="s">
        <v>1304</v>
      </c>
      <c r="G187" s="11">
        <v>0.58199999999999996</v>
      </c>
      <c r="H187" s="5">
        <v>107.7</v>
      </c>
      <c r="I187" s="8">
        <v>32</v>
      </c>
      <c r="J187" s="8">
        <v>43</v>
      </c>
      <c r="K187" s="8">
        <v>105</v>
      </c>
      <c r="L187" s="8">
        <v>70</v>
      </c>
      <c r="M187" t="s">
        <v>33</v>
      </c>
      <c r="N187" s="16" t="s">
        <v>23</v>
      </c>
      <c r="O187" s="16" t="s">
        <v>22</v>
      </c>
      <c r="P187" s="16" t="s">
        <v>28</v>
      </c>
      <c r="Q187" s="10" t="s">
        <v>210</v>
      </c>
      <c r="R187" s="3" t="str">
        <f t="shared" si="4"/>
        <v>107</v>
      </c>
      <c r="S187" s="3" t="str">
        <f t="shared" si="5"/>
        <v>61</v>
      </c>
      <c r="T187" s="16" t="s">
        <v>33</v>
      </c>
      <c r="U187" s="3">
        <v>10.53</v>
      </c>
      <c r="V187" s="16" t="str">
        <f>PROPER(Table1[[#This Row],[CVD Risk Level]])</f>
        <v>Intermediary</v>
      </c>
    </row>
    <row r="188" spans="1:22" x14ac:dyDescent="0.3">
      <c r="A188" t="s">
        <v>31</v>
      </c>
      <c r="B188" s="8">
        <v>44</v>
      </c>
      <c r="C188" s="8">
        <v>56.8</v>
      </c>
      <c r="D188" s="5">
        <v>1.77</v>
      </c>
      <c r="E188" s="5">
        <v>18.100000000000001</v>
      </c>
      <c r="F188" s="16" t="s">
        <v>1304</v>
      </c>
      <c r="G188" s="11">
        <v>0.51300000000000001</v>
      </c>
      <c r="H188" s="5">
        <v>90.8</v>
      </c>
      <c r="I188" s="8">
        <v>37</v>
      </c>
      <c r="J188" s="8">
        <v>64</v>
      </c>
      <c r="K188" s="8">
        <v>131</v>
      </c>
      <c r="L188" s="8">
        <v>109</v>
      </c>
      <c r="M188" t="s">
        <v>1306</v>
      </c>
      <c r="N188" s="16" t="s">
        <v>23</v>
      </c>
      <c r="O188" s="16" t="s">
        <v>23</v>
      </c>
      <c r="P188" s="16" t="s">
        <v>28</v>
      </c>
      <c r="Q188" s="10" t="s">
        <v>211</v>
      </c>
      <c r="R188" s="3" t="str">
        <f t="shared" si="4"/>
        <v>133</v>
      </c>
      <c r="S188" s="3" t="str">
        <f t="shared" si="5"/>
        <v>77</v>
      </c>
      <c r="T188" s="16" t="s">
        <v>29</v>
      </c>
      <c r="U188" s="3">
        <v>14.89</v>
      </c>
      <c r="V188" s="16" t="str">
        <f>PROPER(Table1[[#This Row],[CVD Risk Level]])</f>
        <v>Intermediary</v>
      </c>
    </row>
    <row r="189" spans="1:22" x14ac:dyDescent="0.3">
      <c r="A189" t="s">
        <v>31</v>
      </c>
      <c r="B189" s="8">
        <v>60</v>
      </c>
      <c r="C189" s="8">
        <v>84.4</v>
      </c>
      <c r="D189" s="5">
        <v>1.9</v>
      </c>
      <c r="E189" s="5">
        <v>23.4</v>
      </c>
      <c r="F189" s="16" t="s">
        <v>33</v>
      </c>
      <c r="G189" s="11">
        <v>0.40600000000000003</v>
      </c>
      <c r="H189" s="5">
        <v>77.099999999999994</v>
      </c>
      <c r="I189" s="8">
        <v>31</v>
      </c>
      <c r="J189" s="8">
        <v>73</v>
      </c>
      <c r="K189" s="8">
        <v>134</v>
      </c>
      <c r="L189" s="8">
        <v>95</v>
      </c>
      <c r="M189" t="s">
        <v>33</v>
      </c>
      <c r="N189" s="16" t="s">
        <v>22</v>
      </c>
      <c r="O189" s="16" t="s">
        <v>22</v>
      </c>
      <c r="P189" s="16" t="s">
        <v>37</v>
      </c>
      <c r="Q189" s="10" t="s">
        <v>212</v>
      </c>
      <c r="R189" s="3" t="str">
        <f t="shared" si="4"/>
        <v>112</v>
      </c>
      <c r="S189" s="3" t="str">
        <f t="shared" si="5"/>
        <v>91</v>
      </c>
      <c r="T189" s="16" t="s">
        <v>38</v>
      </c>
      <c r="U189" s="3">
        <v>12.96</v>
      </c>
      <c r="V189" s="16" t="str">
        <f>PROPER(Table1[[#This Row],[CVD Risk Level]])</f>
        <v>Intermediary</v>
      </c>
    </row>
    <row r="190" spans="1:22" x14ac:dyDescent="0.3">
      <c r="A190" t="s">
        <v>20</v>
      </c>
      <c r="B190" s="8">
        <v>37</v>
      </c>
      <c r="C190" s="8">
        <v>103.5</v>
      </c>
      <c r="D190" s="5">
        <v>1.81</v>
      </c>
      <c r="E190" s="5">
        <v>31.6</v>
      </c>
      <c r="F190" s="16" t="s">
        <v>1302</v>
      </c>
      <c r="G190" s="11">
        <v>0.46700000000000003</v>
      </c>
      <c r="H190" s="5">
        <v>84.6</v>
      </c>
      <c r="I190" s="8">
        <v>55</v>
      </c>
      <c r="J190" s="8">
        <v>29</v>
      </c>
      <c r="K190" s="8">
        <v>114</v>
      </c>
      <c r="L190" s="8">
        <v>138</v>
      </c>
      <c r="M190" t="s">
        <v>1307</v>
      </c>
      <c r="N190" s="16" t="s">
        <v>22</v>
      </c>
      <c r="O190" s="16" t="s">
        <v>23</v>
      </c>
      <c r="P190" s="16" t="s">
        <v>28</v>
      </c>
      <c r="Q190" s="10" t="s">
        <v>213</v>
      </c>
      <c r="R190" s="3" t="str">
        <f t="shared" si="4"/>
        <v>122</v>
      </c>
      <c r="S190" s="3" t="str">
        <f t="shared" si="5"/>
        <v>65</v>
      </c>
      <c r="T190" s="16" t="s">
        <v>25</v>
      </c>
      <c r="U190" s="3">
        <v>16.7</v>
      </c>
      <c r="V190" s="16" t="str">
        <f>PROPER(Table1[[#This Row],[CVD Risk Level]])</f>
        <v>Intermediary</v>
      </c>
    </row>
    <row r="191" spans="1:22" x14ac:dyDescent="0.3">
      <c r="A191" t="s">
        <v>31</v>
      </c>
      <c r="B191" s="8">
        <v>47</v>
      </c>
      <c r="C191" s="8">
        <v>87.6</v>
      </c>
      <c r="D191" s="5">
        <v>1.81</v>
      </c>
      <c r="E191" s="5">
        <v>26.7</v>
      </c>
      <c r="F191" s="16" t="s">
        <v>1303</v>
      </c>
      <c r="G191" s="11">
        <v>0.504</v>
      </c>
      <c r="H191" s="5">
        <v>91.3</v>
      </c>
      <c r="I191" s="8">
        <v>42</v>
      </c>
      <c r="J191" s="8">
        <v>199</v>
      </c>
      <c r="K191" s="8">
        <v>271</v>
      </c>
      <c r="L191" s="8">
        <v>108</v>
      </c>
      <c r="M191" t="s">
        <v>1306</v>
      </c>
      <c r="N191" s="16" t="s">
        <v>23</v>
      </c>
      <c r="O191" s="16" t="s">
        <v>22</v>
      </c>
      <c r="P191" s="16" t="s">
        <v>37</v>
      </c>
      <c r="Q191" s="10" t="s">
        <v>214</v>
      </c>
      <c r="R191" s="3" t="str">
        <f t="shared" si="4"/>
        <v>90</v>
      </c>
      <c r="S191" s="3" t="str">
        <f t="shared" si="5"/>
        <v>92</v>
      </c>
      <c r="T191" s="16" t="s">
        <v>38</v>
      </c>
      <c r="U191" s="3">
        <v>15.26</v>
      </c>
      <c r="V191" s="16" t="str">
        <f>PROPER(Table1[[#This Row],[CVD Risk Level]])</f>
        <v>High</v>
      </c>
    </row>
    <row r="192" spans="1:22" x14ac:dyDescent="0.3">
      <c r="A192" t="s">
        <v>31</v>
      </c>
      <c r="B192" s="8">
        <v>32</v>
      </c>
      <c r="C192" s="8">
        <v>84.8</v>
      </c>
      <c r="D192" s="5">
        <v>1.66</v>
      </c>
      <c r="E192" s="5">
        <v>30.8</v>
      </c>
      <c r="F192" s="16" t="s">
        <v>1302</v>
      </c>
      <c r="G192" s="11">
        <v>0.60499999999999998</v>
      </c>
      <c r="H192" s="5">
        <v>100.4</v>
      </c>
      <c r="I192" s="8">
        <v>76</v>
      </c>
      <c r="J192" s="8">
        <v>178</v>
      </c>
      <c r="K192" s="8">
        <v>284</v>
      </c>
      <c r="L192" s="8">
        <v>70</v>
      </c>
      <c r="M192" t="s">
        <v>33</v>
      </c>
      <c r="N192" s="16" t="s">
        <v>22</v>
      </c>
      <c r="O192" s="16" t="s">
        <v>23</v>
      </c>
      <c r="P192" s="16" t="s">
        <v>24</v>
      </c>
      <c r="Q192" s="10" t="s">
        <v>215</v>
      </c>
      <c r="R192" s="3" t="str">
        <f t="shared" si="4"/>
        <v>133</v>
      </c>
      <c r="S192" s="3" t="str">
        <f t="shared" si="5"/>
        <v>70</v>
      </c>
      <c r="T192" s="16" t="s">
        <v>29</v>
      </c>
      <c r="U192" s="3">
        <v>20.49</v>
      </c>
      <c r="V192" s="16" t="str">
        <f>PROPER(Table1[[#This Row],[CVD Risk Level]])</f>
        <v>High</v>
      </c>
    </row>
    <row r="193" spans="1:22" x14ac:dyDescent="0.3">
      <c r="A193" t="s">
        <v>31</v>
      </c>
      <c r="B193" s="8">
        <v>47.025499655410059</v>
      </c>
      <c r="C193" s="8">
        <v>115.4</v>
      </c>
      <c r="D193" s="5">
        <v>1.7708386615435612</v>
      </c>
      <c r="E193" s="5">
        <v>36.799999999999997</v>
      </c>
      <c r="F193" s="16" t="s">
        <v>1302</v>
      </c>
      <c r="G193" s="11">
        <v>0.51900000000000002</v>
      </c>
      <c r="H193" s="5">
        <v>91.9</v>
      </c>
      <c r="I193" s="8">
        <v>39</v>
      </c>
      <c r="J193" s="8">
        <v>67</v>
      </c>
      <c r="K193" s="8">
        <v>212</v>
      </c>
      <c r="L193" s="8">
        <v>118</v>
      </c>
      <c r="M193" t="s">
        <v>1306</v>
      </c>
      <c r="N193" s="16" t="s">
        <v>23</v>
      </c>
      <c r="O193" s="16" t="s">
        <v>23</v>
      </c>
      <c r="P193" s="16" t="s">
        <v>28</v>
      </c>
      <c r="Q193" s="10" t="s">
        <v>216</v>
      </c>
      <c r="R193" s="3" t="str">
        <f t="shared" si="4"/>
        <v>142</v>
      </c>
      <c r="S193" s="3" t="str">
        <f t="shared" si="5"/>
        <v>64</v>
      </c>
      <c r="T193" s="16" t="s">
        <v>38</v>
      </c>
      <c r="U193" s="3">
        <v>19.18</v>
      </c>
      <c r="V193" s="16" t="str">
        <f>PROPER(Table1[[#This Row],[CVD Risk Level]])</f>
        <v>High</v>
      </c>
    </row>
    <row r="194" spans="1:22" x14ac:dyDescent="0.3">
      <c r="A194" t="s">
        <v>20</v>
      </c>
      <c r="B194" s="8">
        <v>30</v>
      </c>
      <c r="C194" s="8">
        <v>70.7</v>
      </c>
      <c r="D194" s="5">
        <v>1.82</v>
      </c>
      <c r="E194" s="5">
        <v>21.3</v>
      </c>
      <c r="F194" s="16" t="s">
        <v>33</v>
      </c>
      <c r="G194" s="11">
        <v>0.60299999999999998</v>
      </c>
      <c r="H194" s="5">
        <v>109.7</v>
      </c>
      <c r="I194" s="8">
        <v>37</v>
      </c>
      <c r="J194" s="8">
        <v>90</v>
      </c>
      <c r="K194" s="8">
        <v>157</v>
      </c>
      <c r="L194" s="8">
        <v>105</v>
      </c>
      <c r="M194" t="s">
        <v>1306</v>
      </c>
      <c r="N194" s="16" t="s">
        <v>22</v>
      </c>
      <c r="O194" s="16" t="s">
        <v>23</v>
      </c>
      <c r="P194" s="16" t="s">
        <v>37</v>
      </c>
      <c r="Q194" s="10" t="s">
        <v>217</v>
      </c>
      <c r="R194" s="3" t="str">
        <f t="shared" si="4"/>
        <v>117</v>
      </c>
      <c r="S194" s="3" t="str">
        <f t="shared" si="5"/>
        <v>62</v>
      </c>
      <c r="T194" s="16" t="s">
        <v>33</v>
      </c>
      <c r="U194" s="3">
        <v>15.25</v>
      </c>
      <c r="V194" s="16" t="str">
        <f>PROPER(Table1[[#This Row],[CVD Risk Level]])</f>
        <v>Intermediary</v>
      </c>
    </row>
    <row r="195" spans="1:22" x14ac:dyDescent="0.3">
      <c r="A195" t="s">
        <v>31</v>
      </c>
      <c r="B195" s="8">
        <v>43</v>
      </c>
      <c r="C195" s="8">
        <v>79.8</v>
      </c>
      <c r="D195" s="5">
        <v>1.86</v>
      </c>
      <c r="E195" s="5">
        <v>23.1</v>
      </c>
      <c r="F195" s="16" t="s">
        <v>33</v>
      </c>
      <c r="G195" s="11">
        <v>0.442</v>
      </c>
      <c r="H195" s="5">
        <v>82.2</v>
      </c>
      <c r="I195" s="8">
        <v>72</v>
      </c>
      <c r="J195" s="8">
        <v>58</v>
      </c>
      <c r="K195" s="8">
        <v>160</v>
      </c>
      <c r="L195" s="8">
        <v>70</v>
      </c>
      <c r="M195" t="s">
        <v>33</v>
      </c>
      <c r="N195" s="16" t="s">
        <v>22</v>
      </c>
      <c r="O195" s="16" t="s">
        <v>22</v>
      </c>
      <c r="P195" s="16" t="s">
        <v>24</v>
      </c>
      <c r="Q195" s="10" t="s">
        <v>218</v>
      </c>
      <c r="R195" s="3" t="str">
        <f t="shared" ref="R195:R258" si="6">LEFT(Q195,FIND("/",Q195)-1)</f>
        <v>141</v>
      </c>
      <c r="S195" s="3" t="str">
        <f t="shared" ref="S195:S258" si="7">RIGHT(Q195,LEN(Q195)-FIND("/",Q195))</f>
        <v>65</v>
      </c>
      <c r="T195" s="16" t="s">
        <v>38</v>
      </c>
      <c r="U195" s="3">
        <v>14.87</v>
      </c>
      <c r="V195" s="16" t="str">
        <f>PROPER(Table1[[#This Row],[CVD Risk Level]])</f>
        <v>Intermediary</v>
      </c>
    </row>
    <row r="196" spans="1:22" x14ac:dyDescent="0.3">
      <c r="A196" t="s">
        <v>31</v>
      </c>
      <c r="B196" s="8">
        <v>42</v>
      </c>
      <c r="C196" s="8">
        <v>95.7</v>
      </c>
      <c r="D196" s="5">
        <v>1.89</v>
      </c>
      <c r="E196" s="5">
        <v>26.8</v>
      </c>
      <c r="F196" s="16" t="s">
        <v>1303</v>
      </c>
      <c r="G196" s="11">
        <v>0.51200000000000001</v>
      </c>
      <c r="H196" s="5">
        <v>96.8</v>
      </c>
      <c r="I196" s="8">
        <v>56.197377501725327</v>
      </c>
      <c r="J196" s="8">
        <v>84</v>
      </c>
      <c r="K196" s="8">
        <v>186</v>
      </c>
      <c r="L196" s="8">
        <v>112</v>
      </c>
      <c r="M196" t="s">
        <v>1306</v>
      </c>
      <c r="N196" s="16" t="s">
        <v>23</v>
      </c>
      <c r="O196" s="16" t="s">
        <v>23</v>
      </c>
      <c r="P196" s="16" t="s">
        <v>28</v>
      </c>
      <c r="Q196" s="10" t="s">
        <v>219</v>
      </c>
      <c r="R196" s="3" t="str">
        <f t="shared" si="6"/>
        <v>113</v>
      </c>
      <c r="S196" s="3" t="str">
        <f t="shared" si="7"/>
        <v>94</v>
      </c>
      <c r="T196" s="16" t="s">
        <v>38</v>
      </c>
      <c r="U196" s="3">
        <v>16.73</v>
      </c>
      <c r="V196" s="16" t="str">
        <f>PROPER(Table1[[#This Row],[CVD Risk Level]])</f>
        <v>Intermediary</v>
      </c>
    </row>
    <row r="197" spans="1:22" x14ac:dyDescent="0.3">
      <c r="A197" t="s">
        <v>20</v>
      </c>
      <c r="B197" s="8">
        <v>46</v>
      </c>
      <c r="C197" s="8">
        <v>71.400000000000006</v>
      </c>
      <c r="D197" s="5">
        <v>1.79</v>
      </c>
      <c r="E197" s="5">
        <v>22.3</v>
      </c>
      <c r="F197" s="16" t="s">
        <v>33</v>
      </c>
      <c r="G197" s="11">
        <v>0.58299999999999996</v>
      </c>
      <c r="H197" s="5">
        <v>104.4</v>
      </c>
      <c r="I197" s="8">
        <v>64</v>
      </c>
      <c r="J197" s="8">
        <v>67</v>
      </c>
      <c r="K197" s="8">
        <v>262</v>
      </c>
      <c r="L197" s="8">
        <v>88</v>
      </c>
      <c r="M197" t="s">
        <v>33</v>
      </c>
      <c r="N197" s="16" t="s">
        <v>23</v>
      </c>
      <c r="O197" s="16" t="s">
        <v>23</v>
      </c>
      <c r="P197" s="16" t="s">
        <v>24</v>
      </c>
      <c r="Q197" s="10" t="s">
        <v>220</v>
      </c>
      <c r="R197" s="3" t="str">
        <f t="shared" si="6"/>
        <v>122</v>
      </c>
      <c r="S197" s="3" t="str">
        <f t="shared" si="7"/>
        <v>80</v>
      </c>
      <c r="T197" s="16" t="s">
        <v>29</v>
      </c>
      <c r="U197" s="3">
        <v>15.78</v>
      </c>
      <c r="V197" s="16" t="str">
        <f>PROPER(Table1[[#This Row],[CVD Risk Level]])</f>
        <v>High</v>
      </c>
    </row>
    <row r="198" spans="1:22" x14ac:dyDescent="0.3">
      <c r="A198" t="s">
        <v>31</v>
      </c>
      <c r="B198" s="8">
        <v>35</v>
      </c>
      <c r="C198" s="8">
        <v>99.6</v>
      </c>
      <c r="D198" s="5">
        <v>1.81</v>
      </c>
      <c r="E198" s="5">
        <v>30.402002380879704</v>
      </c>
      <c r="F198" s="16" t="s">
        <v>1302</v>
      </c>
      <c r="G198" s="11">
        <v>0.43</v>
      </c>
      <c r="H198" s="5">
        <v>77.8</v>
      </c>
      <c r="I198" s="8">
        <v>79</v>
      </c>
      <c r="J198" s="8">
        <v>43</v>
      </c>
      <c r="K198" s="8">
        <v>152</v>
      </c>
      <c r="L198" s="8">
        <v>124</v>
      </c>
      <c r="M198" t="s">
        <v>1306</v>
      </c>
      <c r="N198" s="16" t="s">
        <v>23</v>
      </c>
      <c r="O198" s="16" t="s">
        <v>22</v>
      </c>
      <c r="P198" s="16" t="s">
        <v>37</v>
      </c>
      <c r="Q198" s="10" t="s">
        <v>221</v>
      </c>
      <c r="R198" s="3" t="str">
        <f t="shared" si="6"/>
        <v>97</v>
      </c>
      <c r="S198" s="3" t="str">
        <f t="shared" si="7"/>
        <v>64</v>
      </c>
      <c r="T198" s="16" t="s">
        <v>33</v>
      </c>
      <c r="U198" s="3">
        <v>13.97</v>
      </c>
      <c r="V198" s="16" t="str">
        <f>PROPER(Table1[[#This Row],[CVD Risk Level]])</f>
        <v>Intermediary</v>
      </c>
    </row>
    <row r="199" spans="1:22" x14ac:dyDescent="0.3">
      <c r="A199" t="s">
        <v>31</v>
      </c>
      <c r="B199" s="8">
        <v>31</v>
      </c>
      <c r="C199" s="8">
        <v>56.3</v>
      </c>
      <c r="D199" s="5">
        <v>1.81</v>
      </c>
      <c r="E199" s="5">
        <v>17.2</v>
      </c>
      <c r="F199" s="16" t="s">
        <v>1304</v>
      </c>
      <c r="G199" s="11">
        <v>0.40300000000000002</v>
      </c>
      <c r="H199" s="5">
        <v>73</v>
      </c>
      <c r="I199" s="8">
        <v>73</v>
      </c>
      <c r="J199" s="8">
        <v>67</v>
      </c>
      <c r="K199" s="8">
        <v>170</v>
      </c>
      <c r="L199" s="8">
        <v>84</v>
      </c>
      <c r="M199" t="s">
        <v>33</v>
      </c>
      <c r="N199" s="16" t="s">
        <v>23</v>
      </c>
      <c r="O199" s="16" t="s">
        <v>22</v>
      </c>
      <c r="P199" s="16" t="s">
        <v>37</v>
      </c>
      <c r="Q199" s="10" t="s">
        <v>222</v>
      </c>
      <c r="R199" s="3" t="str">
        <f t="shared" si="6"/>
        <v>144</v>
      </c>
      <c r="S199" s="3" t="str">
        <f t="shared" si="7"/>
        <v>74</v>
      </c>
      <c r="T199" s="16" t="s">
        <v>38</v>
      </c>
      <c r="U199" s="3">
        <v>14.04</v>
      </c>
      <c r="V199" s="16" t="str">
        <f>PROPER(Table1[[#This Row],[CVD Risk Level]])</f>
        <v>Low</v>
      </c>
    </row>
    <row r="200" spans="1:22" x14ac:dyDescent="0.3">
      <c r="A200" t="s">
        <v>31</v>
      </c>
      <c r="B200" s="8">
        <v>43</v>
      </c>
      <c r="C200" s="8">
        <v>106</v>
      </c>
      <c r="D200" s="5">
        <v>1.66</v>
      </c>
      <c r="E200" s="5">
        <v>38.5</v>
      </c>
      <c r="F200" s="16" t="s">
        <v>1302</v>
      </c>
      <c r="G200" s="11">
        <v>0.55700000000000005</v>
      </c>
      <c r="H200" s="5">
        <v>92.5</v>
      </c>
      <c r="I200" s="8">
        <v>31</v>
      </c>
      <c r="J200" s="8">
        <v>134</v>
      </c>
      <c r="K200" s="8">
        <v>195</v>
      </c>
      <c r="L200" s="8">
        <v>136</v>
      </c>
      <c r="M200" t="s">
        <v>1307</v>
      </c>
      <c r="N200" s="16" t="s">
        <v>23</v>
      </c>
      <c r="O200" s="16" t="s">
        <v>22</v>
      </c>
      <c r="P200" s="16" t="s">
        <v>37</v>
      </c>
      <c r="Q200" s="10" t="s">
        <v>223</v>
      </c>
      <c r="R200" s="3" t="str">
        <f t="shared" si="6"/>
        <v>130</v>
      </c>
      <c r="S200" s="3" t="str">
        <f t="shared" si="7"/>
        <v>73</v>
      </c>
      <c r="T200" s="16" t="s">
        <v>29</v>
      </c>
      <c r="U200" s="3">
        <v>18.100000000000001</v>
      </c>
      <c r="V200" s="16" t="str">
        <f>PROPER(Table1[[#This Row],[CVD Risk Level]])</f>
        <v>Intermediary</v>
      </c>
    </row>
    <row r="201" spans="1:22" x14ac:dyDescent="0.3">
      <c r="A201" t="s">
        <v>31</v>
      </c>
      <c r="B201" s="8">
        <v>56</v>
      </c>
      <c r="C201" s="8">
        <v>114.6</v>
      </c>
      <c r="D201" s="5">
        <v>1.88</v>
      </c>
      <c r="E201" s="5">
        <v>32.424173834314168</v>
      </c>
      <c r="F201" s="16" t="s">
        <v>1302</v>
      </c>
      <c r="G201" s="11">
        <v>0.58399999999999996</v>
      </c>
      <c r="H201" s="5">
        <v>109.8</v>
      </c>
      <c r="I201" s="8">
        <v>52</v>
      </c>
      <c r="J201" s="8">
        <v>92</v>
      </c>
      <c r="K201" s="8">
        <v>174</v>
      </c>
      <c r="L201" s="8">
        <v>106</v>
      </c>
      <c r="M201" t="s">
        <v>1306</v>
      </c>
      <c r="N201" s="16" t="s">
        <v>23</v>
      </c>
      <c r="O201" s="16" t="s">
        <v>22</v>
      </c>
      <c r="P201" s="16" t="s">
        <v>28</v>
      </c>
      <c r="Q201" s="10" t="s">
        <v>224</v>
      </c>
      <c r="R201" s="3" t="str">
        <f t="shared" si="6"/>
        <v>95</v>
      </c>
      <c r="S201" s="3" t="str">
        <f t="shared" si="7"/>
        <v>62</v>
      </c>
      <c r="T201" s="16" t="s">
        <v>33</v>
      </c>
      <c r="U201" s="3">
        <v>14.71</v>
      </c>
      <c r="V201" s="16" t="str">
        <f>PROPER(Table1[[#This Row],[CVD Risk Level]])</f>
        <v>Intermediary</v>
      </c>
    </row>
    <row r="202" spans="1:22" x14ac:dyDescent="0.3">
      <c r="A202" t="s">
        <v>31</v>
      </c>
      <c r="B202" s="8">
        <v>40</v>
      </c>
      <c r="C202" s="8">
        <v>97</v>
      </c>
      <c r="D202" s="5">
        <v>1.78</v>
      </c>
      <c r="E202" s="5">
        <v>30.6</v>
      </c>
      <c r="F202" s="16" t="s">
        <v>1302</v>
      </c>
      <c r="G202" s="11">
        <v>0.432</v>
      </c>
      <c r="H202" s="5">
        <v>76.900000000000006</v>
      </c>
      <c r="I202" s="8">
        <v>44</v>
      </c>
      <c r="J202" s="8">
        <v>96</v>
      </c>
      <c r="K202" s="8">
        <v>170</v>
      </c>
      <c r="L202" s="8">
        <v>105</v>
      </c>
      <c r="M202" t="s">
        <v>1306</v>
      </c>
      <c r="N202" s="16" t="s">
        <v>22</v>
      </c>
      <c r="O202" s="16" t="s">
        <v>22</v>
      </c>
      <c r="P202" s="16" t="s">
        <v>37</v>
      </c>
      <c r="Q202" s="10" t="s">
        <v>225</v>
      </c>
      <c r="R202" s="3" t="str">
        <f t="shared" si="6"/>
        <v>121</v>
      </c>
      <c r="S202" s="3" t="str">
        <f t="shared" si="7"/>
        <v>83</v>
      </c>
      <c r="T202" s="16" t="s">
        <v>29</v>
      </c>
      <c r="U202" s="3">
        <v>15.57</v>
      </c>
      <c r="V202" s="16" t="str">
        <f>PROPER(Table1[[#This Row],[CVD Risk Level]])</f>
        <v>Intermediary</v>
      </c>
    </row>
    <row r="203" spans="1:22" x14ac:dyDescent="0.3">
      <c r="A203" t="s">
        <v>31</v>
      </c>
      <c r="B203" s="8">
        <v>42</v>
      </c>
      <c r="C203" s="8">
        <v>58.969799999999999</v>
      </c>
      <c r="D203" s="5">
        <v>1.81</v>
      </c>
      <c r="E203" s="5">
        <v>18</v>
      </c>
      <c r="F203" s="16" t="s">
        <v>1304</v>
      </c>
      <c r="G203" s="11">
        <v>0.48499999999999999</v>
      </c>
      <c r="H203" s="5">
        <v>87.8</v>
      </c>
      <c r="I203" s="8">
        <v>41</v>
      </c>
      <c r="J203" s="8">
        <v>88</v>
      </c>
      <c r="K203" s="8">
        <v>159</v>
      </c>
      <c r="L203" s="8">
        <v>150</v>
      </c>
      <c r="M203" t="s">
        <v>1307</v>
      </c>
      <c r="N203" s="16" t="s">
        <v>22</v>
      </c>
      <c r="O203" s="16" t="s">
        <v>22</v>
      </c>
      <c r="P203" s="16" t="s">
        <v>37</v>
      </c>
      <c r="Q203" s="10" t="s">
        <v>226</v>
      </c>
      <c r="R203" s="3" t="str">
        <f t="shared" si="6"/>
        <v>118</v>
      </c>
      <c r="S203" s="3" t="str">
        <f t="shared" si="7"/>
        <v>84</v>
      </c>
      <c r="T203" s="16" t="s">
        <v>29</v>
      </c>
      <c r="U203" s="3">
        <v>12.68</v>
      </c>
      <c r="V203" s="16" t="str">
        <f>PROPER(Table1[[#This Row],[CVD Risk Level]])</f>
        <v>Low</v>
      </c>
    </row>
    <row r="204" spans="1:22" x14ac:dyDescent="0.3">
      <c r="A204" t="s">
        <v>20</v>
      </c>
      <c r="B204" s="8">
        <v>51</v>
      </c>
      <c r="C204" s="8">
        <v>52.7</v>
      </c>
      <c r="D204" s="5">
        <v>1.69</v>
      </c>
      <c r="E204" s="5">
        <v>18.5</v>
      </c>
      <c r="F204" s="16" t="s">
        <v>33</v>
      </c>
      <c r="G204" s="11">
        <v>0.60499999999999998</v>
      </c>
      <c r="H204" s="5">
        <v>102.3</v>
      </c>
      <c r="I204" s="8">
        <v>31</v>
      </c>
      <c r="J204" s="8">
        <v>79</v>
      </c>
      <c r="K204" s="8">
        <v>140</v>
      </c>
      <c r="L204" s="8">
        <v>127</v>
      </c>
      <c r="M204" t="s">
        <v>1307</v>
      </c>
      <c r="N204" s="16" t="s">
        <v>23</v>
      </c>
      <c r="O204" s="16" t="s">
        <v>22</v>
      </c>
      <c r="P204" s="16" t="s">
        <v>24</v>
      </c>
      <c r="Q204" s="10" t="s">
        <v>227</v>
      </c>
      <c r="R204" s="3" t="str">
        <f t="shared" si="6"/>
        <v>143</v>
      </c>
      <c r="S204" s="3" t="str">
        <f t="shared" si="7"/>
        <v>89</v>
      </c>
      <c r="T204" s="16" t="s">
        <v>29</v>
      </c>
      <c r="U204" s="3">
        <v>13.65</v>
      </c>
      <c r="V204" s="16" t="str">
        <f>PROPER(Table1[[#This Row],[CVD Risk Level]])</f>
        <v>High</v>
      </c>
    </row>
    <row r="205" spans="1:22" x14ac:dyDescent="0.3">
      <c r="A205" t="s">
        <v>31</v>
      </c>
      <c r="B205" s="8">
        <v>30</v>
      </c>
      <c r="C205" s="8">
        <v>58.3</v>
      </c>
      <c r="D205" s="5">
        <v>1.64</v>
      </c>
      <c r="E205" s="5">
        <v>21.676085663295659</v>
      </c>
      <c r="F205" s="16" t="s">
        <v>33</v>
      </c>
      <c r="G205" s="11">
        <v>0.56999999999999995</v>
      </c>
      <c r="H205" s="5">
        <v>93.5</v>
      </c>
      <c r="I205" s="8">
        <v>53</v>
      </c>
      <c r="J205" s="8">
        <v>30</v>
      </c>
      <c r="K205" s="8">
        <v>113</v>
      </c>
      <c r="L205" s="8">
        <v>146</v>
      </c>
      <c r="M205" t="s">
        <v>1307</v>
      </c>
      <c r="N205" s="16" t="s">
        <v>23</v>
      </c>
      <c r="O205" s="16" t="s">
        <v>22</v>
      </c>
      <c r="P205" s="16" t="s">
        <v>37</v>
      </c>
      <c r="Q205" s="10" t="s">
        <v>228</v>
      </c>
      <c r="R205" s="3" t="str">
        <f t="shared" si="6"/>
        <v>139</v>
      </c>
      <c r="S205" s="3" t="str">
        <f t="shared" si="7"/>
        <v>76</v>
      </c>
      <c r="T205" s="16" t="s">
        <v>29</v>
      </c>
      <c r="U205" s="3">
        <v>13.55</v>
      </c>
      <c r="V205" s="16" t="str">
        <f>PROPER(Table1[[#This Row],[CVD Risk Level]])</f>
        <v>Low</v>
      </c>
    </row>
    <row r="206" spans="1:22" x14ac:dyDescent="0.3">
      <c r="A206" t="s">
        <v>31</v>
      </c>
      <c r="B206" s="8">
        <v>47.025499655410059</v>
      </c>
      <c r="C206" s="8">
        <v>104.3</v>
      </c>
      <c r="D206" s="5">
        <v>1.6</v>
      </c>
      <c r="E206" s="5">
        <v>40.700000000000003</v>
      </c>
      <c r="F206" s="16" t="s">
        <v>1302</v>
      </c>
      <c r="G206" s="11">
        <v>0.67600000000000005</v>
      </c>
      <c r="H206" s="5">
        <v>108.2</v>
      </c>
      <c r="I206" s="8">
        <v>30</v>
      </c>
      <c r="J206" s="8">
        <v>132</v>
      </c>
      <c r="K206" s="8">
        <v>192</v>
      </c>
      <c r="L206" s="8">
        <v>132</v>
      </c>
      <c r="M206" t="s">
        <v>1307</v>
      </c>
      <c r="N206" s="16" t="s">
        <v>22</v>
      </c>
      <c r="O206" s="16" t="s">
        <v>22</v>
      </c>
      <c r="P206" s="16" t="s">
        <v>28</v>
      </c>
      <c r="Q206" s="10" t="s">
        <v>229</v>
      </c>
      <c r="R206" s="3" t="str">
        <f t="shared" si="6"/>
        <v>97</v>
      </c>
      <c r="S206" s="3" t="str">
        <f t="shared" si="7"/>
        <v>89</v>
      </c>
      <c r="T206" s="16" t="s">
        <v>29</v>
      </c>
      <c r="U206" s="3">
        <v>16.829999999999998</v>
      </c>
      <c r="V206" s="16" t="str">
        <f>PROPER(Table1[[#This Row],[CVD Risk Level]])</f>
        <v>Intermediary</v>
      </c>
    </row>
    <row r="207" spans="1:22" x14ac:dyDescent="0.3">
      <c r="A207" t="s">
        <v>31</v>
      </c>
      <c r="B207" s="8">
        <v>51</v>
      </c>
      <c r="C207" s="8">
        <v>117.1</v>
      </c>
      <c r="D207" s="5">
        <v>1.791150238835981</v>
      </c>
      <c r="E207" s="5">
        <v>36.5</v>
      </c>
      <c r="F207" s="16" t="s">
        <v>1302</v>
      </c>
      <c r="G207" s="11">
        <v>0.57699999999999996</v>
      </c>
      <c r="H207" s="5">
        <v>103.2</v>
      </c>
      <c r="I207" s="8">
        <v>37</v>
      </c>
      <c r="J207" s="8">
        <v>39</v>
      </c>
      <c r="K207" s="8">
        <v>106</v>
      </c>
      <c r="L207" s="8">
        <v>130</v>
      </c>
      <c r="M207" t="s">
        <v>1307</v>
      </c>
      <c r="N207" s="16" t="s">
        <v>22</v>
      </c>
      <c r="O207" s="16" t="s">
        <v>22</v>
      </c>
      <c r="P207" s="16" t="s">
        <v>37</v>
      </c>
      <c r="Q207" s="10" t="s">
        <v>230</v>
      </c>
      <c r="R207" s="3" t="str">
        <f t="shared" si="6"/>
        <v>118</v>
      </c>
      <c r="S207" s="3" t="str">
        <f t="shared" si="7"/>
        <v>61</v>
      </c>
      <c r="T207" s="16" t="s">
        <v>33</v>
      </c>
      <c r="U207" s="3">
        <v>15.32</v>
      </c>
      <c r="V207" s="16" t="str">
        <f>PROPER(Table1[[#This Row],[CVD Risk Level]])</f>
        <v>High</v>
      </c>
    </row>
    <row r="208" spans="1:22" x14ac:dyDescent="0.3">
      <c r="A208" t="s">
        <v>20</v>
      </c>
      <c r="B208" s="8">
        <v>51</v>
      </c>
      <c r="C208" s="8">
        <v>83.2</v>
      </c>
      <c r="D208" s="5">
        <v>1.66</v>
      </c>
      <c r="E208" s="5">
        <v>30.2</v>
      </c>
      <c r="F208" s="16" t="s">
        <v>1302</v>
      </c>
      <c r="G208" s="11">
        <v>0.48099999999999998</v>
      </c>
      <c r="H208" s="5">
        <v>79.846000000000004</v>
      </c>
      <c r="I208" s="8">
        <v>69</v>
      </c>
      <c r="J208" s="8">
        <v>49</v>
      </c>
      <c r="K208" s="8">
        <v>148</v>
      </c>
      <c r="L208" s="8">
        <v>138</v>
      </c>
      <c r="M208" t="s">
        <v>1307</v>
      </c>
      <c r="N208" s="16" t="s">
        <v>23</v>
      </c>
      <c r="O208" s="16" t="s">
        <v>23</v>
      </c>
      <c r="P208" s="16" t="s">
        <v>24</v>
      </c>
      <c r="Q208" s="10" t="s">
        <v>231</v>
      </c>
      <c r="R208" s="3" t="str">
        <f t="shared" si="6"/>
        <v>91</v>
      </c>
      <c r="S208" s="3" t="str">
        <f t="shared" si="7"/>
        <v>64</v>
      </c>
      <c r="T208" s="16" t="s">
        <v>33</v>
      </c>
      <c r="U208" s="3">
        <v>15.55</v>
      </c>
      <c r="V208" s="16" t="str">
        <f>PROPER(Table1[[#This Row],[CVD Risk Level]])</f>
        <v>High</v>
      </c>
    </row>
    <row r="209" spans="1:22" x14ac:dyDescent="0.3">
      <c r="A209" t="s">
        <v>20</v>
      </c>
      <c r="B209" s="8">
        <v>47.025499655410059</v>
      </c>
      <c r="C209" s="8">
        <v>69.400000000000006</v>
      </c>
      <c r="D209" s="5">
        <v>1.86</v>
      </c>
      <c r="E209" s="5">
        <v>20.100000000000001</v>
      </c>
      <c r="F209" s="16" t="s">
        <v>33</v>
      </c>
      <c r="G209" s="11">
        <v>0.40899999999999997</v>
      </c>
      <c r="H209" s="5">
        <v>76.099999999999994</v>
      </c>
      <c r="I209" s="8">
        <v>40</v>
      </c>
      <c r="J209" s="8">
        <v>115</v>
      </c>
      <c r="K209" s="8">
        <v>185</v>
      </c>
      <c r="L209" s="8">
        <v>119</v>
      </c>
      <c r="M209" t="s">
        <v>1306</v>
      </c>
      <c r="N209" s="16" t="s">
        <v>22</v>
      </c>
      <c r="O209" s="16" t="s">
        <v>23</v>
      </c>
      <c r="P209" s="16" t="s">
        <v>37</v>
      </c>
      <c r="Q209" s="10" t="s">
        <v>232</v>
      </c>
      <c r="R209" s="3" t="str">
        <f t="shared" si="6"/>
        <v>98</v>
      </c>
      <c r="S209" s="3" t="str">
        <f t="shared" si="7"/>
        <v>94</v>
      </c>
      <c r="T209" s="16" t="s">
        <v>38</v>
      </c>
      <c r="U209" s="3">
        <v>14.62</v>
      </c>
      <c r="V209" s="16" t="str">
        <f>PROPER(Table1[[#This Row],[CVD Risk Level]])</f>
        <v>Intermediary</v>
      </c>
    </row>
    <row r="210" spans="1:22" x14ac:dyDescent="0.3">
      <c r="A210" t="s">
        <v>31</v>
      </c>
      <c r="B210" s="8">
        <v>31</v>
      </c>
      <c r="C210" s="8">
        <v>77.599999999999994</v>
      </c>
      <c r="D210" s="5">
        <v>1.85</v>
      </c>
      <c r="E210" s="5">
        <v>22.7</v>
      </c>
      <c r="F210" s="16" t="s">
        <v>33</v>
      </c>
      <c r="G210" s="11">
        <v>0.54600000000000004</v>
      </c>
      <c r="H210" s="5">
        <v>101.1</v>
      </c>
      <c r="I210" s="8">
        <v>59</v>
      </c>
      <c r="J210" s="8">
        <v>58</v>
      </c>
      <c r="K210" s="8">
        <v>147</v>
      </c>
      <c r="L210" s="8">
        <v>122</v>
      </c>
      <c r="M210" t="s">
        <v>1306</v>
      </c>
      <c r="N210" s="16" t="s">
        <v>22</v>
      </c>
      <c r="O210" s="16" t="s">
        <v>23</v>
      </c>
      <c r="P210" s="16" t="s">
        <v>37</v>
      </c>
      <c r="Q210" s="10" t="s">
        <v>233</v>
      </c>
      <c r="R210" s="3" t="str">
        <f t="shared" si="6"/>
        <v>114</v>
      </c>
      <c r="S210" s="3" t="str">
        <f t="shared" si="7"/>
        <v>92</v>
      </c>
      <c r="T210" s="16" t="s">
        <v>38</v>
      </c>
      <c r="U210" s="3">
        <v>15.18</v>
      </c>
      <c r="V210" s="16" t="str">
        <f>PROPER(Table1[[#This Row],[CVD Risk Level]])</f>
        <v>Intermediary</v>
      </c>
    </row>
    <row r="211" spans="1:22" x14ac:dyDescent="0.3">
      <c r="A211" t="s">
        <v>31</v>
      </c>
      <c r="B211" s="8">
        <v>38</v>
      </c>
      <c r="C211" s="8">
        <v>85.7</v>
      </c>
      <c r="D211" s="5">
        <v>1.72</v>
      </c>
      <c r="E211" s="5">
        <v>28.968361276365606</v>
      </c>
      <c r="F211" s="16" t="s">
        <v>1303</v>
      </c>
      <c r="G211" s="11">
        <v>0.623</v>
      </c>
      <c r="H211" s="5">
        <v>107.2</v>
      </c>
      <c r="I211" s="8">
        <v>46</v>
      </c>
      <c r="J211" s="8">
        <v>161</v>
      </c>
      <c r="K211" s="8">
        <v>237</v>
      </c>
      <c r="L211" s="8">
        <v>144</v>
      </c>
      <c r="M211" t="s">
        <v>1307</v>
      </c>
      <c r="N211" s="16" t="s">
        <v>23</v>
      </c>
      <c r="O211" s="16" t="s">
        <v>22</v>
      </c>
      <c r="P211" s="16" t="s">
        <v>37</v>
      </c>
      <c r="Q211" s="10" t="s">
        <v>234</v>
      </c>
      <c r="R211" s="3" t="str">
        <f t="shared" si="6"/>
        <v>110</v>
      </c>
      <c r="S211" s="3" t="str">
        <f t="shared" si="7"/>
        <v>81</v>
      </c>
      <c r="T211" s="16" t="s">
        <v>29</v>
      </c>
      <c r="U211" s="3">
        <v>15.48</v>
      </c>
      <c r="V211" s="16" t="str">
        <f>PROPER(Table1[[#This Row],[CVD Risk Level]])</f>
        <v>Intermediary</v>
      </c>
    </row>
    <row r="212" spans="1:22" x14ac:dyDescent="0.3">
      <c r="A212" t="s">
        <v>31</v>
      </c>
      <c r="B212" s="8">
        <v>42</v>
      </c>
      <c r="C212" s="8">
        <v>99.5</v>
      </c>
      <c r="D212" s="5">
        <v>1.7</v>
      </c>
      <c r="E212" s="5">
        <v>34.4</v>
      </c>
      <c r="F212" s="16" t="s">
        <v>1302</v>
      </c>
      <c r="G212" s="11">
        <v>0.54800000000000004</v>
      </c>
      <c r="H212" s="5">
        <v>93.1</v>
      </c>
      <c r="I212" s="8">
        <v>30</v>
      </c>
      <c r="J212" s="8">
        <v>90</v>
      </c>
      <c r="K212" s="8">
        <v>150</v>
      </c>
      <c r="L212" s="8">
        <v>76</v>
      </c>
      <c r="M212" t="s">
        <v>33</v>
      </c>
      <c r="N212" s="16" t="s">
        <v>23</v>
      </c>
      <c r="O212" s="16" t="s">
        <v>22</v>
      </c>
      <c r="P212" s="16" t="s">
        <v>28</v>
      </c>
      <c r="Q212" s="10" t="s">
        <v>235</v>
      </c>
      <c r="R212" s="3" t="str">
        <f t="shared" si="6"/>
        <v>98</v>
      </c>
      <c r="S212" s="3" t="str">
        <f t="shared" si="7"/>
        <v>87</v>
      </c>
      <c r="T212" s="16" t="s">
        <v>29</v>
      </c>
      <c r="U212" s="3">
        <v>14.78</v>
      </c>
      <c r="V212" s="16" t="str">
        <f>PROPER(Table1[[#This Row],[CVD Risk Level]])</f>
        <v>High</v>
      </c>
    </row>
    <row r="213" spans="1:22" x14ac:dyDescent="0.3">
      <c r="A213" t="s">
        <v>20</v>
      </c>
      <c r="B213" s="8">
        <v>58</v>
      </c>
      <c r="C213" s="8">
        <v>69</v>
      </c>
      <c r="D213" s="5">
        <v>1.87</v>
      </c>
      <c r="E213" s="5">
        <v>19.7</v>
      </c>
      <c r="F213" s="16" t="s">
        <v>33</v>
      </c>
      <c r="G213" s="11">
        <v>0.41399999999999998</v>
      </c>
      <c r="H213" s="5">
        <v>77.5</v>
      </c>
      <c r="I213" s="8">
        <v>45</v>
      </c>
      <c r="J213" s="8">
        <v>109</v>
      </c>
      <c r="K213" s="8">
        <v>184</v>
      </c>
      <c r="L213" s="8">
        <v>75</v>
      </c>
      <c r="M213" t="s">
        <v>33</v>
      </c>
      <c r="N213" s="16" t="s">
        <v>22</v>
      </c>
      <c r="O213" s="16" t="s">
        <v>23</v>
      </c>
      <c r="P213" s="16" t="s">
        <v>24</v>
      </c>
      <c r="Q213" s="10" t="s">
        <v>236</v>
      </c>
      <c r="R213" s="3" t="str">
        <f t="shared" si="6"/>
        <v>107</v>
      </c>
      <c r="S213" s="3" t="str">
        <f t="shared" si="7"/>
        <v>88</v>
      </c>
      <c r="T213" s="16" t="s">
        <v>29</v>
      </c>
      <c r="U213" s="3">
        <v>14.97</v>
      </c>
      <c r="V213" s="16" t="str">
        <f>PROPER(Table1[[#This Row],[CVD Risk Level]])</f>
        <v>High</v>
      </c>
    </row>
    <row r="214" spans="1:22" x14ac:dyDescent="0.3">
      <c r="A214" t="s">
        <v>31</v>
      </c>
      <c r="B214" s="8">
        <v>40</v>
      </c>
      <c r="C214" s="8">
        <v>87.722999999999999</v>
      </c>
      <c r="D214" s="5">
        <v>1.9</v>
      </c>
      <c r="E214" s="5">
        <v>24.3</v>
      </c>
      <c r="F214" s="16" t="s">
        <v>33</v>
      </c>
      <c r="G214" s="11">
        <v>0.38</v>
      </c>
      <c r="H214" s="5">
        <v>72.2</v>
      </c>
      <c r="I214" s="8">
        <v>61</v>
      </c>
      <c r="J214" s="8">
        <v>125</v>
      </c>
      <c r="K214" s="8">
        <v>216</v>
      </c>
      <c r="L214" s="8">
        <v>146</v>
      </c>
      <c r="M214" t="s">
        <v>1307</v>
      </c>
      <c r="N214" s="16" t="s">
        <v>22</v>
      </c>
      <c r="O214" s="16" t="s">
        <v>22</v>
      </c>
      <c r="P214" s="16" t="s">
        <v>28</v>
      </c>
      <c r="Q214" s="10" t="s">
        <v>237</v>
      </c>
      <c r="R214" s="3" t="str">
        <f t="shared" si="6"/>
        <v>90</v>
      </c>
      <c r="S214" s="3" t="str">
        <f t="shared" si="7"/>
        <v>72</v>
      </c>
      <c r="T214" s="16" t="s">
        <v>33</v>
      </c>
      <c r="U214" s="3">
        <v>13.68</v>
      </c>
      <c r="V214" s="16" t="str">
        <f>PROPER(Table1[[#This Row],[CVD Risk Level]])</f>
        <v>Low</v>
      </c>
    </row>
    <row r="215" spans="1:22" x14ac:dyDescent="0.3">
      <c r="A215" t="s">
        <v>31</v>
      </c>
      <c r="B215" s="8">
        <v>46</v>
      </c>
      <c r="C215" s="8">
        <v>53.9</v>
      </c>
      <c r="D215" s="5">
        <v>1.61</v>
      </c>
      <c r="E215" s="5">
        <v>20.8</v>
      </c>
      <c r="F215" s="16" t="s">
        <v>33</v>
      </c>
      <c r="G215" s="11">
        <v>0.61799999999999999</v>
      </c>
      <c r="H215" s="5">
        <v>99.5</v>
      </c>
      <c r="I215" s="8">
        <v>63</v>
      </c>
      <c r="J215" s="8">
        <v>112</v>
      </c>
      <c r="K215" s="8">
        <v>205</v>
      </c>
      <c r="L215" s="8">
        <v>75</v>
      </c>
      <c r="M215" t="s">
        <v>33</v>
      </c>
      <c r="N215" s="16" t="s">
        <v>22</v>
      </c>
      <c r="O215" s="16" t="s">
        <v>22</v>
      </c>
      <c r="P215" s="16" t="s">
        <v>37</v>
      </c>
      <c r="Q215" s="10" t="s">
        <v>163</v>
      </c>
      <c r="R215" s="3" t="str">
        <f t="shared" si="6"/>
        <v>150</v>
      </c>
      <c r="S215" s="3" t="str">
        <f t="shared" si="7"/>
        <v>96</v>
      </c>
      <c r="T215" s="16" t="s">
        <v>38</v>
      </c>
      <c r="U215" s="3">
        <v>15.76</v>
      </c>
      <c r="V215" s="16" t="str">
        <f>PROPER(Table1[[#This Row],[CVD Risk Level]])</f>
        <v>Intermediary</v>
      </c>
    </row>
    <row r="216" spans="1:22" x14ac:dyDescent="0.3">
      <c r="A216" t="s">
        <v>20</v>
      </c>
      <c r="B216" s="8">
        <v>35</v>
      </c>
      <c r="C216" s="8">
        <v>51.1</v>
      </c>
      <c r="D216" s="5">
        <v>1.73</v>
      </c>
      <c r="E216" s="5">
        <v>17.100000000000001</v>
      </c>
      <c r="F216" s="16" t="s">
        <v>1304</v>
      </c>
      <c r="G216" s="11">
        <v>0.61399999999999999</v>
      </c>
      <c r="H216" s="5">
        <v>106.2</v>
      </c>
      <c r="I216" s="8">
        <v>65</v>
      </c>
      <c r="J216" s="8">
        <v>120</v>
      </c>
      <c r="K216" s="8">
        <v>215</v>
      </c>
      <c r="L216" s="8">
        <v>79</v>
      </c>
      <c r="M216" t="s">
        <v>33</v>
      </c>
      <c r="N216" s="16" t="s">
        <v>23</v>
      </c>
      <c r="O216" s="16" t="s">
        <v>22</v>
      </c>
      <c r="P216" s="16" t="s">
        <v>24</v>
      </c>
      <c r="Q216" s="10" t="s">
        <v>238</v>
      </c>
      <c r="R216" s="3" t="str">
        <f t="shared" si="6"/>
        <v>149</v>
      </c>
      <c r="S216" s="3" t="str">
        <f t="shared" si="7"/>
        <v>68</v>
      </c>
      <c r="T216" s="16" t="s">
        <v>38</v>
      </c>
      <c r="U216" s="3">
        <v>15.17</v>
      </c>
      <c r="V216" s="16" t="str">
        <f>PROPER(Table1[[#This Row],[CVD Risk Level]])</f>
        <v>Intermediary</v>
      </c>
    </row>
    <row r="217" spans="1:22" x14ac:dyDescent="0.3">
      <c r="A217" t="s">
        <v>31</v>
      </c>
      <c r="B217" s="8">
        <v>43</v>
      </c>
      <c r="C217" s="8">
        <v>74.270520000000019</v>
      </c>
      <c r="D217" s="5">
        <v>1.62</v>
      </c>
      <c r="E217" s="5">
        <v>28.3</v>
      </c>
      <c r="F217" s="16" t="s">
        <v>1303</v>
      </c>
      <c r="G217" s="11">
        <v>0.56499999999999995</v>
      </c>
      <c r="H217" s="5">
        <v>91.6</v>
      </c>
      <c r="I217" s="8">
        <v>43</v>
      </c>
      <c r="J217" s="8">
        <v>122</v>
      </c>
      <c r="K217" s="8">
        <v>195</v>
      </c>
      <c r="L217" s="8">
        <v>90</v>
      </c>
      <c r="M217" t="s">
        <v>33</v>
      </c>
      <c r="N217" s="16" t="s">
        <v>23</v>
      </c>
      <c r="O217" s="16" t="s">
        <v>23</v>
      </c>
      <c r="P217" s="16" t="s">
        <v>28</v>
      </c>
      <c r="Q217" s="10" t="s">
        <v>239</v>
      </c>
      <c r="R217" s="3" t="str">
        <f t="shared" si="6"/>
        <v>90</v>
      </c>
      <c r="S217" s="3" t="str">
        <f t="shared" si="7"/>
        <v>80</v>
      </c>
      <c r="T217" s="16" t="s">
        <v>29</v>
      </c>
      <c r="U217" s="3">
        <v>16.059999999999999</v>
      </c>
      <c r="V217" s="16" t="str">
        <f>PROPER(Table1[[#This Row],[CVD Risk Level]])</f>
        <v>High</v>
      </c>
    </row>
    <row r="218" spans="1:22" x14ac:dyDescent="0.3">
      <c r="A218" t="s">
        <v>20</v>
      </c>
      <c r="B218" s="8">
        <v>56</v>
      </c>
      <c r="C218" s="8">
        <v>70.8</v>
      </c>
      <c r="D218" s="5">
        <v>1.66</v>
      </c>
      <c r="E218" s="5">
        <v>25.7</v>
      </c>
      <c r="F218" s="16" t="s">
        <v>1303</v>
      </c>
      <c r="G218" s="11">
        <v>0.51700000000000002</v>
      </c>
      <c r="H218" s="5">
        <v>85.8</v>
      </c>
      <c r="I218" s="8">
        <v>67</v>
      </c>
      <c r="J218" s="8">
        <v>151</v>
      </c>
      <c r="K218" s="8">
        <v>248</v>
      </c>
      <c r="L218" s="8">
        <v>102</v>
      </c>
      <c r="M218" t="s">
        <v>1306</v>
      </c>
      <c r="N218" s="16" t="s">
        <v>23</v>
      </c>
      <c r="O218" s="16" t="s">
        <v>22</v>
      </c>
      <c r="P218" s="16" t="s">
        <v>37</v>
      </c>
      <c r="Q218" s="10" t="s">
        <v>240</v>
      </c>
      <c r="R218" s="3" t="str">
        <f t="shared" si="6"/>
        <v>135</v>
      </c>
      <c r="S218" s="3" t="str">
        <f t="shared" si="7"/>
        <v>61</v>
      </c>
      <c r="T218" s="16" t="s">
        <v>29</v>
      </c>
      <c r="U218" s="3">
        <v>16.850000000000001</v>
      </c>
      <c r="V218" s="16" t="str">
        <f>PROPER(Table1[[#This Row],[CVD Risk Level]])</f>
        <v>High</v>
      </c>
    </row>
    <row r="219" spans="1:22" x14ac:dyDescent="0.3">
      <c r="A219" t="s">
        <v>31</v>
      </c>
      <c r="B219" s="8">
        <v>48</v>
      </c>
      <c r="C219" s="8">
        <v>71.900000000000006</v>
      </c>
      <c r="D219" s="5">
        <v>1.74</v>
      </c>
      <c r="E219" s="5">
        <v>23.7</v>
      </c>
      <c r="F219" s="16" t="s">
        <v>33</v>
      </c>
      <c r="G219" s="11">
        <v>0.52200000000000002</v>
      </c>
      <c r="H219" s="5">
        <v>90.9</v>
      </c>
      <c r="I219" s="8">
        <v>44</v>
      </c>
      <c r="J219" s="8">
        <v>42</v>
      </c>
      <c r="K219" s="8">
        <v>116</v>
      </c>
      <c r="L219" s="8">
        <v>131</v>
      </c>
      <c r="M219" t="s">
        <v>1307</v>
      </c>
      <c r="N219" s="16" t="s">
        <v>23</v>
      </c>
      <c r="O219" s="16" t="s">
        <v>23</v>
      </c>
      <c r="P219" s="16" t="s">
        <v>24</v>
      </c>
      <c r="Q219" s="10" t="s">
        <v>241</v>
      </c>
      <c r="R219" s="3" t="str">
        <f t="shared" si="6"/>
        <v>127</v>
      </c>
      <c r="S219" s="3" t="str">
        <f t="shared" si="7"/>
        <v>71</v>
      </c>
      <c r="T219" s="16" t="s">
        <v>25</v>
      </c>
      <c r="U219" s="3">
        <v>15.41</v>
      </c>
      <c r="V219" s="16" t="str">
        <f>PROPER(Table1[[#This Row],[CVD Risk Level]])</f>
        <v>High</v>
      </c>
    </row>
    <row r="220" spans="1:22" x14ac:dyDescent="0.3">
      <c r="A220" t="s">
        <v>20</v>
      </c>
      <c r="B220" s="8">
        <v>37</v>
      </c>
      <c r="C220" s="8">
        <v>54.5</v>
      </c>
      <c r="D220" s="5">
        <v>1.65</v>
      </c>
      <c r="E220" s="5">
        <v>20</v>
      </c>
      <c r="F220" s="16" t="s">
        <v>33</v>
      </c>
      <c r="G220" s="11">
        <v>0.504</v>
      </c>
      <c r="H220" s="5">
        <v>83.1</v>
      </c>
      <c r="I220" s="8">
        <v>33</v>
      </c>
      <c r="J220" s="8">
        <v>50</v>
      </c>
      <c r="K220" s="8">
        <v>113</v>
      </c>
      <c r="L220" s="8">
        <v>76</v>
      </c>
      <c r="M220" t="s">
        <v>33</v>
      </c>
      <c r="N220" s="16" t="s">
        <v>23</v>
      </c>
      <c r="O220" s="16" t="s">
        <v>22</v>
      </c>
      <c r="P220" s="16" t="s">
        <v>37</v>
      </c>
      <c r="Q220" s="10" t="s">
        <v>64</v>
      </c>
      <c r="R220" s="3" t="str">
        <f t="shared" si="6"/>
        <v>97</v>
      </c>
      <c r="S220" s="3" t="str">
        <f t="shared" si="7"/>
        <v>75</v>
      </c>
      <c r="T220" s="16" t="s">
        <v>33</v>
      </c>
      <c r="U220" s="3">
        <v>11.11</v>
      </c>
      <c r="V220" s="16" t="str">
        <f>PROPER(Table1[[#This Row],[CVD Risk Level]])</f>
        <v>Intermediary</v>
      </c>
    </row>
    <row r="221" spans="1:22" x14ac:dyDescent="0.3">
      <c r="A221" t="s">
        <v>20</v>
      </c>
      <c r="B221" s="8">
        <v>40</v>
      </c>
      <c r="C221" s="8">
        <v>102</v>
      </c>
      <c r="D221" s="5">
        <v>1.63</v>
      </c>
      <c r="E221" s="5">
        <v>38.4</v>
      </c>
      <c r="F221" s="16" t="s">
        <v>1302</v>
      </c>
      <c r="G221" s="11">
        <v>0.59599999999999997</v>
      </c>
      <c r="H221" s="5">
        <v>97.1</v>
      </c>
      <c r="I221" s="8">
        <v>38</v>
      </c>
      <c r="J221" s="8">
        <v>147</v>
      </c>
      <c r="K221" s="8">
        <v>215</v>
      </c>
      <c r="L221" s="8">
        <v>98</v>
      </c>
      <c r="M221" t="s">
        <v>33</v>
      </c>
      <c r="N221" s="16" t="s">
        <v>22</v>
      </c>
      <c r="O221" s="16" t="s">
        <v>23</v>
      </c>
      <c r="P221" s="16" t="s">
        <v>24</v>
      </c>
      <c r="Q221" s="10" t="s">
        <v>242</v>
      </c>
      <c r="R221" s="3" t="str">
        <f t="shared" si="6"/>
        <v>111</v>
      </c>
      <c r="S221" s="3" t="str">
        <f t="shared" si="7"/>
        <v>86</v>
      </c>
      <c r="T221" s="16" t="s">
        <v>29</v>
      </c>
      <c r="U221" s="3">
        <v>19.53</v>
      </c>
      <c r="V221" s="16" t="str">
        <f>PROPER(Table1[[#This Row],[CVD Risk Level]])</f>
        <v>High</v>
      </c>
    </row>
    <row r="222" spans="1:22" x14ac:dyDescent="0.3">
      <c r="A222" t="s">
        <v>31</v>
      </c>
      <c r="B222" s="8">
        <v>49</v>
      </c>
      <c r="C222" s="8">
        <v>114.2</v>
      </c>
      <c r="D222" s="5">
        <v>1.77</v>
      </c>
      <c r="E222" s="5">
        <v>36.5</v>
      </c>
      <c r="F222" s="16" t="s">
        <v>1302</v>
      </c>
      <c r="G222" s="11">
        <v>0.443</v>
      </c>
      <c r="H222" s="5">
        <v>78.400000000000006</v>
      </c>
      <c r="I222" s="8">
        <v>33</v>
      </c>
      <c r="J222" s="8">
        <v>109</v>
      </c>
      <c r="K222" s="8">
        <v>277</v>
      </c>
      <c r="L222" s="8">
        <v>109</v>
      </c>
      <c r="M222" t="s">
        <v>1306</v>
      </c>
      <c r="N222" s="16" t="s">
        <v>22</v>
      </c>
      <c r="O222" s="16" t="s">
        <v>23</v>
      </c>
      <c r="P222" s="16" t="s">
        <v>28</v>
      </c>
      <c r="Q222" s="10" t="s">
        <v>243</v>
      </c>
      <c r="R222" s="3" t="str">
        <f t="shared" si="6"/>
        <v>140</v>
      </c>
      <c r="S222" s="3" t="str">
        <f t="shared" si="7"/>
        <v>70</v>
      </c>
      <c r="T222" s="16" t="s">
        <v>38</v>
      </c>
      <c r="U222" s="3">
        <v>21.84</v>
      </c>
      <c r="V222" s="16" t="str">
        <f>PROPER(Table1[[#This Row],[CVD Risk Level]])</f>
        <v>High</v>
      </c>
    </row>
    <row r="223" spans="1:22" x14ac:dyDescent="0.3">
      <c r="A223" t="s">
        <v>20</v>
      </c>
      <c r="B223" s="8">
        <v>50</v>
      </c>
      <c r="C223" s="8">
        <v>94.6</v>
      </c>
      <c r="D223" s="5">
        <v>1.89</v>
      </c>
      <c r="E223" s="5">
        <v>26.5</v>
      </c>
      <c r="F223" s="16" t="s">
        <v>1303</v>
      </c>
      <c r="G223" s="11">
        <v>0.51200000000000001</v>
      </c>
      <c r="H223" s="5">
        <v>96.7</v>
      </c>
      <c r="I223" s="8">
        <v>45</v>
      </c>
      <c r="J223" s="8">
        <v>144</v>
      </c>
      <c r="K223" s="8">
        <v>378</v>
      </c>
      <c r="L223" s="8">
        <v>117.48563611491107</v>
      </c>
      <c r="M223" t="s">
        <v>1306</v>
      </c>
      <c r="N223" s="16" t="s">
        <v>22</v>
      </c>
      <c r="O223" s="16" t="s">
        <v>23</v>
      </c>
      <c r="P223" s="16" t="s">
        <v>24</v>
      </c>
      <c r="Q223" s="10" t="s">
        <v>244</v>
      </c>
      <c r="R223" s="3" t="str">
        <f t="shared" si="6"/>
        <v>96</v>
      </c>
      <c r="S223" s="3" t="str">
        <f t="shared" si="7"/>
        <v>73</v>
      </c>
      <c r="T223" s="16" t="s">
        <v>33</v>
      </c>
      <c r="U223" s="3">
        <v>16.48</v>
      </c>
      <c r="V223" s="16" t="str">
        <f>PROPER(Table1[[#This Row],[CVD Risk Level]])</f>
        <v>High</v>
      </c>
    </row>
    <row r="224" spans="1:22" x14ac:dyDescent="0.3">
      <c r="A224" t="s">
        <v>31</v>
      </c>
      <c r="B224" s="8">
        <v>32</v>
      </c>
      <c r="C224" s="8">
        <v>104</v>
      </c>
      <c r="D224" s="5">
        <v>1.69</v>
      </c>
      <c r="E224" s="5">
        <v>36.4</v>
      </c>
      <c r="F224" s="16" t="s">
        <v>1302</v>
      </c>
      <c r="G224" s="11">
        <v>0.624</v>
      </c>
      <c r="H224" s="5">
        <v>105.5</v>
      </c>
      <c r="I224" s="8">
        <v>60</v>
      </c>
      <c r="J224" s="8">
        <v>58</v>
      </c>
      <c r="K224" s="8">
        <v>148</v>
      </c>
      <c r="L224" s="8">
        <v>107</v>
      </c>
      <c r="M224" t="s">
        <v>1306</v>
      </c>
      <c r="N224" s="16" t="s">
        <v>23</v>
      </c>
      <c r="O224" s="16" t="s">
        <v>23</v>
      </c>
      <c r="P224" s="16" t="s">
        <v>24</v>
      </c>
      <c r="Q224" s="10" t="s">
        <v>245</v>
      </c>
      <c r="R224" s="3" t="str">
        <f t="shared" si="6"/>
        <v>143</v>
      </c>
      <c r="S224" s="3" t="str">
        <f t="shared" si="7"/>
        <v>67</v>
      </c>
      <c r="T224" s="16" t="s">
        <v>38</v>
      </c>
      <c r="U224" s="3">
        <v>19.39</v>
      </c>
      <c r="V224" s="16" t="str">
        <f>PROPER(Table1[[#This Row],[CVD Risk Level]])</f>
        <v>High</v>
      </c>
    </row>
    <row r="225" spans="1:22" x14ac:dyDescent="0.3">
      <c r="A225" t="s">
        <v>31</v>
      </c>
      <c r="B225" s="8">
        <v>54</v>
      </c>
      <c r="C225" s="8">
        <v>52.9</v>
      </c>
      <c r="D225" s="5">
        <v>1.7</v>
      </c>
      <c r="E225" s="5">
        <v>18.3</v>
      </c>
      <c r="F225" s="16" t="s">
        <v>1304</v>
      </c>
      <c r="G225" s="11">
        <v>0.433</v>
      </c>
      <c r="H225" s="5">
        <v>73.61</v>
      </c>
      <c r="I225" s="8">
        <v>41</v>
      </c>
      <c r="J225" s="8">
        <v>99</v>
      </c>
      <c r="K225" s="8">
        <v>170</v>
      </c>
      <c r="L225" s="8">
        <v>118</v>
      </c>
      <c r="M225" t="s">
        <v>1306</v>
      </c>
      <c r="N225" s="16" t="s">
        <v>23</v>
      </c>
      <c r="O225" s="16" t="s">
        <v>22</v>
      </c>
      <c r="P225" s="16" t="s">
        <v>28</v>
      </c>
      <c r="Q225" s="10" t="s">
        <v>88</v>
      </c>
      <c r="R225" s="3" t="str">
        <f t="shared" si="6"/>
        <v>139</v>
      </c>
      <c r="S225" s="3" t="str">
        <f t="shared" si="7"/>
        <v>66</v>
      </c>
      <c r="T225" s="16" t="s">
        <v>29</v>
      </c>
      <c r="U225" s="3">
        <v>14.01</v>
      </c>
      <c r="V225" s="16" t="str">
        <f>PROPER(Table1[[#This Row],[CVD Risk Level]])</f>
        <v>Intermediary</v>
      </c>
    </row>
    <row r="226" spans="1:22" x14ac:dyDescent="0.3">
      <c r="A226" t="s">
        <v>31</v>
      </c>
      <c r="B226" s="8">
        <v>30</v>
      </c>
      <c r="C226" s="8">
        <v>82.9</v>
      </c>
      <c r="D226" s="5">
        <v>1.75</v>
      </c>
      <c r="E226" s="5">
        <v>27.1</v>
      </c>
      <c r="F226" s="16" t="s">
        <v>1303</v>
      </c>
      <c r="G226" s="11">
        <v>0.44171428571428567</v>
      </c>
      <c r="H226" s="5">
        <v>77.3</v>
      </c>
      <c r="I226" s="8">
        <v>56.197377501725327</v>
      </c>
      <c r="J226" s="8">
        <v>73</v>
      </c>
      <c r="K226" s="8">
        <v>157</v>
      </c>
      <c r="L226" s="8">
        <v>141</v>
      </c>
      <c r="M226" t="s">
        <v>1307</v>
      </c>
      <c r="N226" s="16" t="s">
        <v>23</v>
      </c>
      <c r="O226" s="16" t="s">
        <v>23</v>
      </c>
      <c r="P226" s="16" t="s">
        <v>28</v>
      </c>
      <c r="Q226" s="10" t="s">
        <v>246</v>
      </c>
      <c r="R226" s="3" t="str">
        <f t="shared" si="6"/>
        <v>148</v>
      </c>
      <c r="S226" s="3" t="str">
        <f t="shared" si="7"/>
        <v>91</v>
      </c>
      <c r="T226" s="16" t="s">
        <v>38</v>
      </c>
      <c r="U226" s="3">
        <v>17.96</v>
      </c>
      <c r="V226" s="16" t="str">
        <f>PROPER(Table1[[#This Row],[CVD Risk Level]])</f>
        <v>High</v>
      </c>
    </row>
    <row r="227" spans="1:22" x14ac:dyDescent="0.3">
      <c r="A227" t="s">
        <v>20</v>
      </c>
      <c r="B227" s="8">
        <v>43</v>
      </c>
      <c r="C227" s="8">
        <v>98.2</v>
      </c>
      <c r="D227" s="5">
        <v>1.74</v>
      </c>
      <c r="E227" s="5">
        <v>32.4</v>
      </c>
      <c r="F227" s="16" t="s">
        <v>1302</v>
      </c>
      <c r="G227" s="11">
        <v>0.60919540229885061</v>
      </c>
      <c r="H227" s="5">
        <v>106</v>
      </c>
      <c r="I227" s="8">
        <v>52</v>
      </c>
      <c r="J227" s="8">
        <v>35</v>
      </c>
      <c r="K227" s="8">
        <v>174</v>
      </c>
      <c r="L227" s="8">
        <v>113</v>
      </c>
      <c r="M227" t="s">
        <v>1306</v>
      </c>
      <c r="N227" s="16" t="s">
        <v>23</v>
      </c>
      <c r="O227" s="16" t="s">
        <v>23</v>
      </c>
      <c r="P227" s="16" t="s">
        <v>37</v>
      </c>
      <c r="Q227" s="10" t="s">
        <v>94</v>
      </c>
      <c r="R227" s="3" t="str">
        <f t="shared" si="6"/>
        <v>103</v>
      </c>
      <c r="S227" s="3" t="str">
        <f t="shared" si="7"/>
        <v>98</v>
      </c>
      <c r="T227" s="16" t="s">
        <v>38</v>
      </c>
      <c r="U227" s="3">
        <v>15.97</v>
      </c>
      <c r="V227" s="16" t="str">
        <f>PROPER(Table1[[#This Row],[CVD Risk Level]])</f>
        <v>Intermediary</v>
      </c>
    </row>
    <row r="228" spans="1:22" x14ac:dyDescent="0.3">
      <c r="A228" t="s">
        <v>20</v>
      </c>
      <c r="B228" s="8">
        <v>34</v>
      </c>
      <c r="C228" s="8">
        <v>93.1</v>
      </c>
      <c r="D228" s="5">
        <v>1.8399604738837585</v>
      </c>
      <c r="E228" s="5">
        <v>27.5</v>
      </c>
      <c r="F228" s="16" t="s">
        <v>1303</v>
      </c>
      <c r="G228" s="11">
        <v>0.55000000000000004</v>
      </c>
      <c r="H228" s="5">
        <v>101.2</v>
      </c>
      <c r="I228" s="8">
        <v>31</v>
      </c>
      <c r="J228" s="8">
        <v>104</v>
      </c>
      <c r="K228" s="8">
        <v>165</v>
      </c>
      <c r="L228" s="8">
        <v>140</v>
      </c>
      <c r="M228" t="s">
        <v>1307</v>
      </c>
      <c r="N228" s="16" t="s">
        <v>23</v>
      </c>
      <c r="O228" s="16" t="s">
        <v>22</v>
      </c>
      <c r="P228" s="16" t="s">
        <v>37</v>
      </c>
      <c r="Q228" s="10" t="s">
        <v>247</v>
      </c>
      <c r="R228" s="3" t="str">
        <f t="shared" si="6"/>
        <v>124</v>
      </c>
      <c r="S228" s="3" t="str">
        <f t="shared" si="7"/>
        <v>70</v>
      </c>
      <c r="T228" s="16" t="s">
        <v>25</v>
      </c>
      <c r="U228" s="3">
        <v>15</v>
      </c>
      <c r="V228" s="16" t="str">
        <f>PROPER(Table1[[#This Row],[CVD Risk Level]])</f>
        <v>High</v>
      </c>
    </row>
    <row r="229" spans="1:22" x14ac:dyDescent="0.3">
      <c r="A229" t="s">
        <v>31</v>
      </c>
      <c r="B229" s="8">
        <v>38</v>
      </c>
      <c r="C229" s="8">
        <v>97</v>
      </c>
      <c r="D229" s="5">
        <v>1.66</v>
      </c>
      <c r="E229" s="5">
        <v>35.200000000000003</v>
      </c>
      <c r="F229" s="16" t="s">
        <v>1302</v>
      </c>
      <c r="G229" s="11">
        <v>0.52300000000000002</v>
      </c>
      <c r="H229" s="5">
        <v>86.9</v>
      </c>
      <c r="I229" s="8">
        <v>41</v>
      </c>
      <c r="J229" s="8">
        <v>150</v>
      </c>
      <c r="K229" s="8">
        <v>221</v>
      </c>
      <c r="L229" s="8">
        <v>83</v>
      </c>
      <c r="M229" t="s">
        <v>33</v>
      </c>
      <c r="N229" s="16" t="s">
        <v>22</v>
      </c>
      <c r="O229" s="16" t="s">
        <v>23</v>
      </c>
      <c r="P229" s="16" t="s">
        <v>37</v>
      </c>
      <c r="Q229" s="10" t="s">
        <v>248</v>
      </c>
      <c r="R229" s="3" t="str">
        <f t="shared" si="6"/>
        <v>128</v>
      </c>
      <c r="S229" s="3" t="str">
        <f t="shared" si="7"/>
        <v>81</v>
      </c>
      <c r="T229" s="16" t="s">
        <v>29</v>
      </c>
      <c r="U229" s="3">
        <v>19.86</v>
      </c>
      <c r="V229" s="16" t="str">
        <f>PROPER(Table1[[#This Row],[CVD Risk Level]])</f>
        <v>High</v>
      </c>
    </row>
    <row r="230" spans="1:22" x14ac:dyDescent="0.3">
      <c r="A230" t="s">
        <v>31</v>
      </c>
      <c r="B230" s="8">
        <v>56</v>
      </c>
      <c r="C230" s="8">
        <v>116.2</v>
      </c>
      <c r="D230" s="5">
        <v>1.67</v>
      </c>
      <c r="E230" s="5">
        <v>41.7</v>
      </c>
      <c r="F230" s="16" t="s">
        <v>1302</v>
      </c>
      <c r="G230" s="11">
        <v>0.58399999999999996</v>
      </c>
      <c r="H230" s="5">
        <v>97.6</v>
      </c>
      <c r="I230" s="8">
        <v>40</v>
      </c>
      <c r="J230" s="8">
        <v>103</v>
      </c>
      <c r="K230" s="8">
        <v>173</v>
      </c>
      <c r="L230" s="8">
        <v>133</v>
      </c>
      <c r="M230" t="s">
        <v>1307</v>
      </c>
      <c r="N230" s="16" t="s">
        <v>22</v>
      </c>
      <c r="O230" s="16" t="s">
        <v>23</v>
      </c>
      <c r="P230" s="16" t="s">
        <v>28</v>
      </c>
      <c r="Q230" s="10" t="s">
        <v>154</v>
      </c>
      <c r="R230" s="3" t="str">
        <f t="shared" si="6"/>
        <v>149</v>
      </c>
      <c r="S230" s="3" t="str">
        <f t="shared" si="7"/>
        <v>66</v>
      </c>
      <c r="T230" s="16" t="s">
        <v>38</v>
      </c>
      <c r="U230" s="3">
        <v>21.25</v>
      </c>
      <c r="V230" s="16" t="str">
        <f>PROPER(Table1[[#This Row],[CVD Risk Level]])</f>
        <v>Intermediary</v>
      </c>
    </row>
    <row r="231" spans="1:22" x14ac:dyDescent="0.3">
      <c r="A231" t="s">
        <v>20</v>
      </c>
      <c r="B231" s="8">
        <v>35</v>
      </c>
      <c r="C231" s="8">
        <v>113.3</v>
      </c>
      <c r="D231" s="5">
        <v>1.78</v>
      </c>
      <c r="E231" s="5">
        <v>35.799999999999997</v>
      </c>
      <c r="F231" s="16" t="s">
        <v>1302</v>
      </c>
      <c r="G231" s="11">
        <v>0.44700000000000001</v>
      </c>
      <c r="H231" s="5">
        <v>79.599999999999994</v>
      </c>
      <c r="I231" s="8">
        <v>34</v>
      </c>
      <c r="J231" s="8">
        <v>94</v>
      </c>
      <c r="K231" s="8">
        <v>158</v>
      </c>
      <c r="L231" s="8">
        <v>111</v>
      </c>
      <c r="M231" t="s">
        <v>1306</v>
      </c>
      <c r="N231" s="16" t="s">
        <v>23</v>
      </c>
      <c r="O231" s="16" t="s">
        <v>22</v>
      </c>
      <c r="P231" s="16" t="s">
        <v>37</v>
      </c>
      <c r="Q231" s="10" t="s">
        <v>249</v>
      </c>
      <c r="R231" s="3" t="str">
        <f t="shared" si="6"/>
        <v>92</v>
      </c>
      <c r="S231" s="3" t="str">
        <f t="shared" si="7"/>
        <v>89</v>
      </c>
      <c r="T231" s="16" t="s">
        <v>29</v>
      </c>
      <c r="U231" s="3">
        <v>14.92</v>
      </c>
      <c r="V231" s="16" t="str">
        <f>PROPER(Table1[[#This Row],[CVD Risk Level]])</f>
        <v>High</v>
      </c>
    </row>
    <row r="232" spans="1:22" x14ac:dyDescent="0.3">
      <c r="A232" t="s">
        <v>31</v>
      </c>
      <c r="B232" s="8">
        <v>50</v>
      </c>
      <c r="C232" s="8">
        <v>83</v>
      </c>
      <c r="D232" s="5">
        <v>1.85</v>
      </c>
      <c r="E232" s="5">
        <v>24.3</v>
      </c>
      <c r="F232" s="16" t="s">
        <v>33</v>
      </c>
      <c r="G232" s="11">
        <v>0.496</v>
      </c>
      <c r="H232" s="5">
        <v>91.7</v>
      </c>
      <c r="I232" s="8">
        <v>59</v>
      </c>
      <c r="J232" s="8">
        <v>190</v>
      </c>
      <c r="K232" s="8">
        <v>279</v>
      </c>
      <c r="L232" s="8">
        <v>116</v>
      </c>
      <c r="M232" t="s">
        <v>1306</v>
      </c>
      <c r="N232" s="16" t="s">
        <v>23</v>
      </c>
      <c r="O232" s="16" t="s">
        <v>23</v>
      </c>
      <c r="P232" s="16" t="s">
        <v>24</v>
      </c>
      <c r="Q232" s="10" t="s">
        <v>250</v>
      </c>
      <c r="R232" s="3" t="str">
        <f t="shared" si="6"/>
        <v>141</v>
      </c>
      <c r="S232" s="3" t="str">
        <f t="shared" si="7"/>
        <v>78</v>
      </c>
      <c r="T232" s="16" t="s">
        <v>38</v>
      </c>
      <c r="U232" s="3">
        <v>19.489999999999998</v>
      </c>
      <c r="V232" s="16" t="str">
        <f>PROPER(Table1[[#This Row],[CVD Risk Level]])</f>
        <v>High</v>
      </c>
    </row>
    <row r="233" spans="1:22" x14ac:dyDescent="0.3">
      <c r="A233" t="s">
        <v>31</v>
      </c>
      <c r="B233" s="8">
        <v>46</v>
      </c>
      <c r="C233" s="8">
        <v>78.7</v>
      </c>
      <c r="D233" s="5">
        <v>1.64</v>
      </c>
      <c r="E233" s="5">
        <v>29.260856632956578</v>
      </c>
      <c r="F233" s="16" t="s">
        <v>1303</v>
      </c>
      <c r="G233" s="11">
        <v>0.64300000000000002</v>
      </c>
      <c r="H233" s="5">
        <v>105.5</v>
      </c>
      <c r="I233" s="8">
        <v>37</v>
      </c>
      <c r="J233" s="8">
        <v>129</v>
      </c>
      <c r="K233" s="8">
        <v>196</v>
      </c>
      <c r="L233" s="8">
        <v>102</v>
      </c>
      <c r="M233" t="s">
        <v>1306</v>
      </c>
      <c r="N233" s="16" t="s">
        <v>22</v>
      </c>
      <c r="O233" s="16" t="s">
        <v>22</v>
      </c>
      <c r="P233" s="16" t="s">
        <v>28</v>
      </c>
      <c r="Q233" s="10" t="s">
        <v>251</v>
      </c>
      <c r="R233" s="3" t="str">
        <f t="shared" si="6"/>
        <v>137</v>
      </c>
      <c r="S233" s="3" t="str">
        <f t="shared" si="7"/>
        <v>76</v>
      </c>
      <c r="T233" s="16" t="s">
        <v>29</v>
      </c>
      <c r="U233" s="3">
        <v>16.63</v>
      </c>
      <c r="V233" s="16" t="str">
        <f>PROPER(Table1[[#This Row],[CVD Risk Level]])</f>
        <v>High</v>
      </c>
    </row>
    <row r="234" spans="1:22" x14ac:dyDescent="0.3">
      <c r="A234" t="s">
        <v>31</v>
      </c>
      <c r="B234" s="8">
        <v>52</v>
      </c>
      <c r="C234" s="8">
        <v>108.6</v>
      </c>
      <c r="D234" s="5">
        <v>1.86</v>
      </c>
      <c r="E234" s="5">
        <v>31.4</v>
      </c>
      <c r="F234" s="16" t="s">
        <v>1302</v>
      </c>
      <c r="G234" s="11">
        <v>0.505</v>
      </c>
      <c r="H234" s="5">
        <v>93.9</v>
      </c>
      <c r="I234" s="8">
        <v>42</v>
      </c>
      <c r="J234" s="8">
        <v>109</v>
      </c>
      <c r="K234" s="8">
        <v>109</v>
      </c>
      <c r="L234" s="8">
        <v>79</v>
      </c>
      <c r="M234" t="s">
        <v>33</v>
      </c>
      <c r="N234" s="16" t="s">
        <v>22</v>
      </c>
      <c r="O234" s="16" t="s">
        <v>23</v>
      </c>
      <c r="P234" s="16" t="s">
        <v>37</v>
      </c>
      <c r="Q234" s="10" t="s">
        <v>252</v>
      </c>
      <c r="R234" s="3" t="str">
        <f t="shared" si="6"/>
        <v>133</v>
      </c>
      <c r="S234" s="3" t="str">
        <f t="shared" si="7"/>
        <v>63</v>
      </c>
      <c r="T234" s="16" t="s">
        <v>29</v>
      </c>
      <c r="U234" s="3">
        <v>17.11</v>
      </c>
      <c r="V234" s="16" t="str">
        <f>PROPER(Table1[[#This Row],[CVD Risk Level]])</f>
        <v>Intermediary</v>
      </c>
    </row>
    <row r="235" spans="1:22" x14ac:dyDescent="0.3">
      <c r="A235" t="s">
        <v>20</v>
      </c>
      <c r="B235" s="8">
        <v>43</v>
      </c>
      <c r="C235" s="8">
        <v>61</v>
      </c>
      <c r="D235" s="5">
        <v>1.73</v>
      </c>
      <c r="E235" s="5">
        <v>20.399999999999999</v>
      </c>
      <c r="F235" s="16" t="s">
        <v>33</v>
      </c>
      <c r="G235" s="11">
        <v>0.46100000000000002</v>
      </c>
      <c r="H235" s="5">
        <v>79.7</v>
      </c>
      <c r="I235" s="8">
        <v>79</v>
      </c>
      <c r="J235" s="8">
        <v>190</v>
      </c>
      <c r="K235" s="8">
        <v>299</v>
      </c>
      <c r="L235" s="8">
        <v>130</v>
      </c>
      <c r="M235" t="s">
        <v>1307</v>
      </c>
      <c r="N235" s="16" t="s">
        <v>23</v>
      </c>
      <c r="O235" s="16" t="s">
        <v>22</v>
      </c>
      <c r="P235" s="16" t="s">
        <v>37</v>
      </c>
      <c r="Q235" s="10" t="s">
        <v>253</v>
      </c>
      <c r="R235" s="3" t="str">
        <f t="shared" si="6"/>
        <v>131</v>
      </c>
      <c r="S235" s="3" t="str">
        <f t="shared" si="7"/>
        <v>95</v>
      </c>
      <c r="T235" s="16" t="s">
        <v>29</v>
      </c>
      <c r="U235" s="3">
        <v>16.61</v>
      </c>
      <c r="V235" s="16" t="str">
        <f>PROPER(Table1[[#This Row],[CVD Risk Level]])</f>
        <v>Intermediary</v>
      </c>
    </row>
    <row r="236" spans="1:22" x14ac:dyDescent="0.3">
      <c r="A236" t="s">
        <v>20</v>
      </c>
      <c r="B236" s="8">
        <v>31</v>
      </c>
      <c r="C236" s="8">
        <v>98.9</v>
      </c>
      <c r="D236" s="5">
        <v>1.8096503632155281</v>
      </c>
      <c r="E236" s="5">
        <v>30.2</v>
      </c>
      <c r="F236" s="16" t="s">
        <v>1302</v>
      </c>
      <c r="G236" s="11">
        <v>0.43046989398317365</v>
      </c>
      <c r="H236" s="5">
        <v>77.900000000000006</v>
      </c>
      <c r="I236" s="8">
        <v>37</v>
      </c>
      <c r="J236" s="8">
        <v>107</v>
      </c>
      <c r="K236" s="8">
        <v>174</v>
      </c>
      <c r="L236" s="8">
        <v>149</v>
      </c>
      <c r="M236" t="s">
        <v>1307</v>
      </c>
      <c r="N236" s="16" t="s">
        <v>22</v>
      </c>
      <c r="O236" s="16" t="s">
        <v>22</v>
      </c>
      <c r="P236" s="16" t="s">
        <v>24</v>
      </c>
      <c r="Q236" s="10" t="s">
        <v>254</v>
      </c>
      <c r="R236" s="3" t="str">
        <f t="shared" si="6"/>
        <v>129</v>
      </c>
      <c r="S236" s="3" t="str">
        <f t="shared" si="7"/>
        <v>86</v>
      </c>
      <c r="T236" s="16" t="s">
        <v>29</v>
      </c>
      <c r="U236" s="3">
        <v>15.97</v>
      </c>
      <c r="V236" s="16" t="str">
        <f>PROPER(Table1[[#This Row],[CVD Risk Level]])</f>
        <v>High</v>
      </c>
    </row>
    <row r="237" spans="1:22" x14ac:dyDescent="0.3">
      <c r="A237" t="s">
        <v>20</v>
      </c>
      <c r="B237" s="8">
        <v>32</v>
      </c>
      <c r="C237" s="8">
        <v>55.1</v>
      </c>
      <c r="D237" s="5">
        <v>1.77</v>
      </c>
      <c r="E237" s="5">
        <v>17.600000000000001</v>
      </c>
      <c r="F237" s="16" t="s">
        <v>1304</v>
      </c>
      <c r="G237" s="11">
        <v>0.61977401129943499</v>
      </c>
      <c r="H237" s="5">
        <v>109.7</v>
      </c>
      <c r="I237" s="8">
        <v>68</v>
      </c>
      <c r="J237" s="8">
        <v>106</v>
      </c>
      <c r="K237" s="8">
        <v>204</v>
      </c>
      <c r="L237" s="8">
        <v>137</v>
      </c>
      <c r="M237" t="s">
        <v>1307</v>
      </c>
      <c r="N237" s="16" t="s">
        <v>22</v>
      </c>
      <c r="O237" s="16" t="s">
        <v>22</v>
      </c>
      <c r="P237" s="16" t="s">
        <v>28</v>
      </c>
      <c r="Q237" s="10" t="s">
        <v>255</v>
      </c>
      <c r="R237" s="3" t="str">
        <f t="shared" si="6"/>
        <v>119</v>
      </c>
      <c r="S237" s="3" t="str">
        <f t="shared" si="7"/>
        <v>61</v>
      </c>
      <c r="T237" s="16" t="s">
        <v>33</v>
      </c>
      <c r="U237" s="3">
        <v>13.55</v>
      </c>
      <c r="V237" s="16" t="str">
        <f>PROPER(Table1[[#This Row],[CVD Risk Level]])</f>
        <v>Low</v>
      </c>
    </row>
    <row r="238" spans="1:22" x14ac:dyDescent="0.3">
      <c r="A238" t="s">
        <v>31</v>
      </c>
      <c r="B238" s="8">
        <v>42</v>
      </c>
      <c r="C238" s="8">
        <v>52.5</v>
      </c>
      <c r="D238" s="5">
        <v>1.64</v>
      </c>
      <c r="E238" s="5">
        <v>19.5</v>
      </c>
      <c r="F238" s="16" t="s">
        <v>33</v>
      </c>
      <c r="G238" s="11">
        <v>0.624</v>
      </c>
      <c r="H238" s="5">
        <v>102.4</v>
      </c>
      <c r="I238" s="8">
        <v>30</v>
      </c>
      <c r="J238" s="8">
        <v>58</v>
      </c>
      <c r="K238" s="8">
        <v>118</v>
      </c>
      <c r="L238" s="8">
        <v>102</v>
      </c>
      <c r="M238" t="s">
        <v>1306</v>
      </c>
      <c r="N238" s="16" t="s">
        <v>23</v>
      </c>
      <c r="O238" s="16" t="s">
        <v>23</v>
      </c>
      <c r="P238" s="16" t="s">
        <v>28</v>
      </c>
      <c r="Q238" s="10" t="s">
        <v>245</v>
      </c>
      <c r="R238" s="3" t="str">
        <f t="shared" si="6"/>
        <v>143</v>
      </c>
      <c r="S238" s="3" t="str">
        <f t="shared" si="7"/>
        <v>67</v>
      </c>
      <c r="T238" s="16" t="s">
        <v>38</v>
      </c>
      <c r="U238" s="3">
        <v>15.41</v>
      </c>
      <c r="V238" s="16" t="str">
        <f>PROPER(Table1[[#This Row],[CVD Risk Level]])</f>
        <v>High</v>
      </c>
    </row>
    <row r="239" spans="1:22" x14ac:dyDescent="0.3">
      <c r="A239" t="s">
        <v>31</v>
      </c>
      <c r="B239" s="8">
        <v>38</v>
      </c>
      <c r="C239" s="8">
        <v>105.6</v>
      </c>
      <c r="D239" s="5">
        <v>1.8</v>
      </c>
      <c r="E239" s="5">
        <v>32.6</v>
      </c>
      <c r="F239" s="16" t="s">
        <v>1302</v>
      </c>
      <c r="G239" s="11">
        <v>0.39800000000000002</v>
      </c>
      <c r="H239" s="5">
        <v>71.7</v>
      </c>
      <c r="I239" s="8">
        <v>48</v>
      </c>
      <c r="J239" s="8">
        <v>174</v>
      </c>
      <c r="K239" s="8">
        <v>252</v>
      </c>
      <c r="L239" s="8">
        <v>134</v>
      </c>
      <c r="M239" t="s">
        <v>1307</v>
      </c>
      <c r="N239" s="16" t="s">
        <v>23</v>
      </c>
      <c r="O239" s="16" t="s">
        <v>23</v>
      </c>
      <c r="P239" s="16" t="s">
        <v>37</v>
      </c>
      <c r="Q239" s="10" t="s">
        <v>256</v>
      </c>
      <c r="R239" s="3" t="str">
        <f t="shared" si="6"/>
        <v>127</v>
      </c>
      <c r="S239" s="3" t="str">
        <f t="shared" si="7"/>
        <v>84</v>
      </c>
      <c r="T239" s="16" t="s">
        <v>29</v>
      </c>
      <c r="U239" s="3">
        <v>19.91</v>
      </c>
      <c r="V239" s="16" t="str">
        <f>PROPER(Table1[[#This Row],[CVD Risk Level]])</f>
        <v>High</v>
      </c>
    </row>
    <row r="240" spans="1:22" x14ac:dyDescent="0.3">
      <c r="A240" t="s">
        <v>20</v>
      </c>
      <c r="B240" s="8">
        <v>41</v>
      </c>
      <c r="C240" s="8">
        <v>93.6</v>
      </c>
      <c r="D240" s="5">
        <v>1.71</v>
      </c>
      <c r="E240" s="5">
        <v>32.00984918436442</v>
      </c>
      <c r="F240" s="16" t="s">
        <v>1302</v>
      </c>
      <c r="G240" s="11">
        <v>0.60099999999999998</v>
      </c>
      <c r="H240" s="5">
        <v>102.7</v>
      </c>
      <c r="I240" s="8">
        <v>49</v>
      </c>
      <c r="J240" s="8">
        <v>58</v>
      </c>
      <c r="K240" s="8">
        <v>137</v>
      </c>
      <c r="L240" s="8">
        <v>134</v>
      </c>
      <c r="M240" t="s">
        <v>1307</v>
      </c>
      <c r="N240" s="16" t="s">
        <v>23</v>
      </c>
      <c r="O240" s="16" t="s">
        <v>23</v>
      </c>
      <c r="P240" s="16" t="s">
        <v>24</v>
      </c>
      <c r="Q240" s="10" t="s">
        <v>257</v>
      </c>
      <c r="R240" s="3" t="str">
        <f t="shared" si="6"/>
        <v>139</v>
      </c>
      <c r="S240" s="3" t="str">
        <f t="shared" si="7"/>
        <v>86</v>
      </c>
      <c r="T240" s="16" t="s">
        <v>29</v>
      </c>
      <c r="U240" s="3">
        <v>18.09</v>
      </c>
      <c r="V240" s="16" t="str">
        <f>PROPER(Table1[[#This Row],[CVD Risk Level]])</f>
        <v>High</v>
      </c>
    </row>
    <row r="241" spans="1:22" x14ac:dyDescent="0.3">
      <c r="A241" t="s">
        <v>31</v>
      </c>
      <c r="B241" s="8">
        <v>40</v>
      </c>
      <c r="C241" s="8">
        <v>96.7</v>
      </c>
      <c r="D241" s="5">
        <v>1.64</v>
      </c>
      <c r="E241" s="5">
        <v>36</v>
      </c>
      <c r="F241" s="16" t="s">
        <v>1302</v>
      </c>
      <c r="G241" s="11">
        <v>0.45400000000000001</v>
      </c>
      <c r="H241" s="5">
        <v>74.5</v>
      </c>
      <c r="I241" s="8">
        <v>58</v>
      </c>
      <c r="J241" s="8">
        <v>150</v>
      </c>
      <c r="K241" s="8">
        <v>238</v>
      </c>
      <c r="L241" s="8">
        <v>125</v>
      </c>
      <c r="M241" t="s">
        <v>1306</v>
      </c>
      <c r="N241" s="16" t="s">
        <v>23</v>
      </c>
      <c r="O241" s="16" t="s">
        <v>23</v>
      </c>
      <c r="P241" s="16" t="s">
        <v>28</v>
      </c>
      <c r="Q241" s="10" t="s">
        <v>258</v>
      </c>
      <c r="R241" s="3" t="str">
        <f t="shared" si="6"/>
        <v>126</v>
      </c>
      <c r="S241" s="3" t="str">
        <f t="shared" si="7"/>
        <v>71</v>
      </c>
      <c r="T241" s="16" t="s">
        <v>25</v>
      </c>
      <c r="U241" s="3">
        <v>20.260000000000002</v>
      </c>
      <c r="V241" s="16" t="str">
        <f>PROPER(Table1[[#This Row],[CVD Risk Level]])</f>
        <v>High</v>
      </c>
    </row>
    <row r="242" spans="1:22" x14ac:dyDescent="0.3">
      <c r="A242" t="s">
        <v>31</v>
      </c>
      <c r="B242" s="8">
        <v>37</v>
      </c>
      <c r="C242" s="8">
        <v>112.3</v>
      </c>
      <c r="D242" s="5">
        <v>1.71</v>
      </c>
      <c r="E242" s="5">
        <v>38.4</v>
      </c>
      <c r="F242" s="16" t="s">
        <v>1302</v>
      </c>
      <c r="G242" s="11">
        <v>0.41099999999999998</v>
      </c>
      <c r="H242" s="5">
        <v>70.3</v>
      </c>
      <c r="I242" s="8">
        <v>34</v>
      </c>
      <c r="J242" s="8">
        <v>174</v>
      </c>
      <c r="K242" s="8">
        <v>416</v>
      </c>
      <c r="L242" s="8">
        <v>117.48563611491107</v>
      </c>
      <c r="M242" t="s">
        <v>1306</v>
      </c>
      <c r="N242" s="16" t="s">
        <v>22</v>
      </c>
      <c r="O242" s="16" t="s">
        <v>22</v>
      </c>
      <c r="P242" s="16" t="s">
        <v>24</v>
      </c>
      <c r="Q242" s="10" t="s">
        <v>259</v>
      </c>
      <c r="R242" s="3" t="str">
        <f t="shared" si="6"/>
        <v>140</v>
      </c>
      <c r="S242" s="3" t="str">
        <f t="shared" si="7"/>
        <v>69</v>
      </c>
      <c r="T242" s="16" t="s">
        <v>38</v>
      </c>
      <c r="U242" s="3">
        <v>19.440000000000001</v>
      </c>
      <c r="V242" s="16" t="str">
        <f>PROPER(Table1[[#This Row],[CVD Risk Level]])</f>
        <v>High</v>
      </c>
    </row>
    <row r="243" spans="1:22" x14ac:dyDescent="0.3">
      <c r="A243" t="s">
        <v>20</v>
      </c>
      <c r="B243" s="8">
        <v>47.025499655410059</v>
      </c>
      <c r="C243" s="8">
        <v>94.5</v>
      </c>
      <c r="D243" s="5">
        <v>1.88</v>
      </c>
      <c r="E243" s="5">
        <v>26.7</v>
      </c>
      <c r="F243" s="16" t="s">
        <v>1303</v>
      </c>
      <c r="G243" s="11">
        <v>0.54600000000000004</v>
      </c>
      <c r="H243" s="5">
        <v>102.6</v>
      </c>
      <c r="I243" s="8">
        <v>79</v>
      </c>
      <c r="J243" s="8">
        <v>102</v>
      </c>
      <c r="K243" s="8">
        <v>211</v>
      </c>
      <c r="L243" s="8">
        <v>131</v>
      </c>
      <c r="M243" t="s">
        <v>1307</v>
      </c>
      <c r="N243" s="16" t="s">
        <v>23</v>
      </c>
      <c r="O243" s="16" t="s">
        <v>23</v>
      </c>
      <c r="P243" s="16" t="s">
        <v>28</v>
      </c>
      <c r="Q243" s="10" t="s">
        <v>260</v>
      </c>
      <c r="R243" s="3" t="str">
        <f t="shared" si="6"/>
        <v>127</v>
      </c>
      <c r="S243" s="3" t="str">
        <f t="shared" si="7"/>
        <v>91</v>
      </c>
      <c r="T243" s="16" t="s">
        <v>38</v>
      </c>
      <c r="U243" s="3">
        <v>17.91</v>
      </c>
      <c r="V243" s="16" t="str">
        <f>PROPER(Table1[[#This Row],[CVD Risk Level]])</f>
        <v>High</v>
      </c>
    </row>
    <row r="244" spans="1:22" x14ac:dyDescent="0.3">
      <c r="A244" t="s">
        <v>31</v>
      </c>
      <c r="B244" s="8">
        <v>58</v>
      </c>
      <c r="C244" s="8">
        <v>110.5</v>
      </c>
      <c r="D244" s="5">
        <v>1.64</v>
      </c>
      <c r="E244" s="5">
        <v>41.1</v>
      </c>
      <c r="F244" s="16" t="s">
        <v>1302</v>
      </c>
      <c r="G244" s="11">
        <v>0.53800000000000003</v>
      </c>
      <c r="H244" s="5">
        <v>88.3</v>
      </c>
      <c r="I244" s="8">
        <v>35</v>
      </c>
      <c r="J244" s="8">
        <v>54</v>
      </c>
      <c r="K244" s="8">
        <v>119</v>
      </c>
      <c r="L244" s="8">
        <v>141</v>
      </c>
      <c r="M244" t="s">
        <v>1307</v>
      </c>
      <c r="N244" s="16" t="s">
        <v>23</v>
      </c>
      <c r="O244" s="16" t="s">
        <v>23</v>
      </c>
      <c r="P244" s="16" t="s">
        <v>37</v>
      </c>
      <c r="Q244" s="10" t="s">
        <v>261</v>
      </c>
      <c r="R244" s="3" t="str">
        <f t="shared" si="6"/>
        <v>103</v>
      </c>
      <c r="S244" s="3" t="str">
        <f t="shared" si="7"/>
        <v>73</v>
      </c>
      <c r="T244" s="16" t="s">
        <v>33</v>
      </c>
      <c r="U244" s="3">
        <v>17.75</v>
      </c>
      <c r="V244" s="16" t="str">
        <f>PROPER(Table1[[#This Row],[CVD Risk Level]])</f>
        <v>High</v>
      </c>
    </row>
    <row r="245" spans="1:22" x14ac:dyDescent="0.3">
      <c r="A245" t="s">
        <v>20</v>
      </c>
      <c r="B245" s="8">
        <v>42</v>
      </c>
      <c r="C245" s="8">
        <v>77.099999999999994</v>
      </c>
      <c r="D245" s="5">
        <v>1.74</v>
      </c>
      <c r="E245" s="5">
        <v>25.5</v>
      </c>
      <c r="F245" s="16" t="s">
        <v>1303</v>
      </c>
      <c r="G245" s="11">
        <v>0.61799999999999999</v>
      </c>
      <c r="H245" s="5">
        <v>107.6</v>
      </c>
      <c r="I245" s="8">
        <v>66</v>
      </c>
      <c r="J245" s="8">
        <v>90</v>
      </c>
      <c r="K245" s="8">
        <v>186</v>
      </c>
      <c r="L245" s="8">
        <v>143</v>
      </c>
      <c r="M245" t="s">
        <v>1307</v>
      </c>
      <c r="N245" s="16" t="s">
        <v>23</v>
      </c>
      <c r="O245" s="16" t="s">
        <v>22</v>
      </c>
      <c r="P245" s="16" t="s">
        <v>37</v>
      </c>
      <c r="Q245" s="10" t="s">
        <v>262</v>
      </c>
      <c r="R245" s="3" t="str">
        <f t="shared" si="6"/>
        <v>126</v>
      </c>
      <c r="S245" s="3" t="str">
        <f t="shared" si="7"/>
        <v>86</v>
      </c>
      <c r="T245" s="16" t="s">
        <v>29</v>
      </c>
      <c r="U245" s="3">
        <v>15.12</v>
      </c>
      <c r="V245" s="16" t="str">
        <f>PROPER(Table1[[#This Row],[CVD Risk Level]])</f>
        <v>Intermediary</v>
      </c>
    </row>
    <row r="246" spans="1:22" x14ac:dyDescent="0.3">
      <c r="A246" t="s">
        <v>20</v>
      </c>
      <c r="B246" s="8">
        <v>30</v>
      </c>
      <c r="C246" s="8">
        <v>113.3</v>
      </c>
      <c r="D246" s="5">
        <v>1.81</v>
      </c>
      <c r="E246" s="5">
        <v>34.6</v>
      </c>
      <c r="F246" s="16" t="s">
        <v>1302</v>
      </c>
      <c r="G246" s="11">
        <v>0.52400000000000002</v>
      </c>
      <c r="H246" s="5">
        <v>94.844000000000008</v>
      </c>
      <c r="I246" s="8">
        <v>31</v>
      </c>
      <c r="J246" s="8">
        <v>99</v>
      </c>
      <c r="K246" s="8">
        <v>160</v>
      </c>
      <c r="L246" s="8">
        <v>111</v>
      </c>
      <c r="M246" t="s">
        <v>1306</v>
      </c>
      <c r="N246" s="16" t="s">
        <v>22</v>
      </c>
      <c r="O246" s="16" t="s">
        <v>23</v>
      </c>
      <c r="P246" s="16" t="s">
        <v>37</v>
      </c>
      <c r="Q246" s="10" t="s">
        <v>263</v>
      </c>
      <c r="R246" s="3" t="str">
        <f t="shared" si="6"/>
        <v>150</v>
      </c>
      <c r="S246" s="3" t="str">
        <f t="shared" si="7"/>
        <v>61</v>
      </c>
      <c r="T246" s="16" t="s">
        <v>38</v>
      </c>
      <c r="U246" s="3">
        <v>19.62</v>
      </c>
      <c r="V246" s="16" t="str">
        <f>PROPER(Table1[[#This Row],[CVD Risk Level]])</f>
        <v>High</v>
      </c>
    </row>
    <row r="247" spans="1:22" x14ac:dyDescent="0.3">
      <c r="A247" t="s">
        <v>31</v>
      </c>
      <c r="B247" s="8">
        <v>46</v>
      </c>
      <c r="C247" s="8">
        <v>88.6</v>
      </c>
      <c r="D247" s="5">
        <v>1.64</v>
      </c>
      <c r="E247" s="5">
        <v>32.9</v>
      </c>
      <c r="F247" s="16" t="s">
        <v>1302</v>
      </c>
      <c r="G247" s="11">
        <v>0.66800000000000004</v>
      </c>
      <c r="H247" s="5">
        <v>109.5</v>
      </c>
      <c r="I247" s="8">
        <v>78</v>
      </c>
      <c r="J247" s="8">
        <v>168</v>
      </c>
      <c r="K247" s="8">
        <v>276</v>
      </c>
      <c r="L247" s="8">
        <v>112</v>
      </c>
      <c r="M247" t="s">
        <v>1306</v>
      </c>
      <c r="N247" s="16" t="s">
        <v>22</v>
      </c>
      <c r="O247" s="16" t="s">
        <v>22</v>
      </c>
      <c r="P247" s="16" t="s">
        <v>28</v>
      </c>
      <c r="Q247" s="10" t="s">
        <v>264</v>
      </c>
      <c r="R247" s="3" t="str">
        <f t="shared" si="6"/>
        <v>94</v>
      </c>
      <c r="S247" s="3" t="str">
        <f t="shared" si="7"/>
        <v>64</v>
      </c>
      <c r="T247" s="16" t="s">
        <v>33</v>
      </c>
      <c r="U247" s="3">
        <v>16.8</v>
      </c>
      <c r="V247" s="16" t="str">
        <f>PROPER(Table1[[#This Row],[CVD Risk Level]])</f>
        <v>High</v>
      </c>
    </row>
    <row r="248" spans="1:22" x14ac:dyDescent="0.3">
      <c r="A248" t="s">
        <v>31</v>
      </c>
      <c r="B248" s="8">
        <v>31</v>
      </c>
      <c r="C248" s="8">
        <v>91.4</v>
      </c>
      <c r="D248" s="5">
        <v>1.82</v>
      </c>
      <c r="E248" s="5">
        <v>27.6</v>
      </c>
      <c r="F248" s="16" t="s">
        <v>1303</v>
      </c>
      <c r="G248" s="11">
        <v>0.55400000000000005</v>
      </c>
      <c r="H248" s="5">
        <v>100.828</v>
      </c>
      <c r="I248" s="8">
        <v>80</v>
      </c>
      <c r="J248" s="8">
        <v>36</v>
      </c>
      <c r="K248" s="8">
        <v>146</v>
      </c>
      <c r="L248" s="8">
        <v>112</v>
      </c>
      <c r="M248" t="s">
        <v>1306</v>
      </c>
      <c r="N248" s="16" t="s">
        <v>23</v>
      </c>
      <c r="O248" s="16" t="s">
        <v>22</v>
      </c>
      <c r="P248" s="16" t="s">
        <v>28</v>
      </c>
      <c r="Q248" s="10" t="s">
        <v>265</v>
      </c>
      <c r="R248" s="3" t="str">
        <f t="shared" si="6"/>
        <v>110</v>
      </c>
      <c r="S248" s="3" t="str">
        <f t="shared" si="7"/>
        <v>92</v>
      </c>
      <c r="T248" s="16" t="s">
        <v>38</v>
      </c>
      <c r="U248" s="3">
        <v>16.960925291295425</v>
      </c>
      <c r="V248" s="16" t="str">
        <f>PROPER(Table1[[#This Row],[CVD Risk Level]])</f>
        <v>Intermediary</v>
      </c>
    </row>
    <row r="249" spans="1:22" x14ac:dyDescent="0.3">
      <c r="A249" t="s">
        <v>20</v>
      </c>
      <c r="B249" s="8">
        <v>38</v>
      </c>
      <c r="C249" s="8">
        <v>72.900000000000006</v>
      </c>
      <c r="D249" s="5">
        <v>1.77</v>
      </c>
      <c r="E249" s="5">
        <v>23.3</v>
      </c>
      <c r="F249" s="16" t="s">
        <v>33</v>
      </c>
      <c r="G249" s="11">
        <v>0.39900000000000002</v>
      </c>
      <c r="H249" s="5">
        <v>70.599999999999994</v>
      </c>
      <c r="I249" s="8">
        <v>61</v>
      </c>
      <c r="J249" s="8">
        <v>33</v>
      </c>
      <c r="K249" s="8">
        <v>124</v>
      </c>
      <c r="L249" s="8">
        <v>84</v>
      </c>
      <c r="M249" t="s">
        <v>33</v>
      </c>
      <c r="N249" s="16" t="s">
        <v>23</v>
      </c>
      <c r="O249" s="16" t="s">
        <v>22</v>
      </c>
      <c r="P249" s="16" t="s">
        <v>28</v>
      </c>
      <c r="Q249" s="10" t="s">
        <v>266</v>
      </c>
      <c r="R249" s="3" t="str">
        <f t="shared" si="6"/>
        <v>98</v>
      </c>
      <c r="S249" s="3" t="str">
        <f t="shared" si="7"/>
        <v>66</v>
      </c>
      <c r="T249" s="16" t="s">
        <v>33</v>
      </c>
      <c r="U249" s="3">
        <v>12.04</v>
      </c>
      <c r="V249" s="16" t="str">
        <f>PROPER(Table1[[#This Row],[CVD Risk Level]])</f>
        <v>Intermediary</v>
      </c>
    </row>
    <row r="250" spans="1:22" x14ac:dyDescent="0.3">
      <c r="A250" t="s">
        <v>31</v>
      </c>
      <c r="B250" s="8">
        <v>47.025499655410059</v>
      </c>
      <c r="C250" s="8">
        <v>91.9</v>
      </c>
      <c r="D250" s="5">
        <v>1.75</v>
      </c>
      <c r="E250" s="5">
        <v>30</v>
      </c>
      <c r="F250" s="16" t="s">
        <v>1302</v>
      </c>
      <c r="G250" s="11">
        <v>0.44700000000000001</v>
      </c>
      <c r="H250" s="5">
        <v>78.2</v>
      </c>
      <c r="I250" s="8">
        <v>52</v>
      </c>
      <c r="J250" s="8">
        <v>103</v>
      </c>
      <c r="K250" s="8">
        <v>185</v>
      </c>
      <c r="L250" s="8">
        <v>148</v>
      </c>
      <c r="M250" t="s">
        <v>1307</v>
      </c>
      <c r="N250" s="16" t="s">
        <v>23</v>
      </c>
      <c r="O250" s="16" t="s">
        <v>23</v>
      </c>
      <c r="P250" s="16" t="s">
        <v>24</v>
      </c>
      <c r="Q250" s="10" t="s">
        <v>267</v>
      </c>
      <c r="R250" s="3" t="str">
        <f t="shared" si="6"/>
        <v>125</v>
      </c>
      <c r="S250" s="3" t="str">
        <f t="shared" si="7"/>
        <v>65</v>
      </c>
      <c r="T250" s="16" t="s">
        <v>25</v>
      </c>
      <c r="U250" s="3">
        <v>17.95</v>
      </c>
      <c r="V250" s="16" t="str">
        <f>PROPER(Table1[[#This Row],[CVD Risk Level]])</f>
        <v>High</v>
      </c>
    </row>
    <row r="251" spans="1:22" x14ac:dyDescent="0.3">
      <c r="A251" t="s">
        <v>20</v>
      </c>
      <c r="B251" s="8">
        <v>48</v>
      </c>
      <c r="C251" s="8">
        <v>102.2</v>
      </c>
      <c r="D251" s="5">
        <v>1.75</v>
      </c>
      <c r="E251" s="5">
        <v>33.4</v>
      </c>
      <c r="F251" s="16" t="s">
        <v>1302</v>
      </c>
      <c r="G251" s="11">
        <v>0.61</v>
      </c>
      <c r="H251" s="5">
        <v>106.7</v>
      </c>
      <c r="I251" s="8">
        <v>49</v>
      </c>
      <c r="J251" s="8">
        <v>128</v>
      </c>
      <c r="K251" s="8">
        <v>207</v>
      </c>
      <c r="L251" s="8">
        <v>147</v>
      </c>
      <c r="M251" t="s">
        <v>1307</v>
      </c>
      <c r="N251" s="16" t="s">
        <v>23</v>
      </c>
      <c r="O251" s="16" t="s">
        <v>23</v>
      </c>
      <c r="P251" s="16" t="s">
        <v>24</v>
      </c>
      <c r="Q251" s="10" t="s">
        <v>268</v>
      </c>
      <c r="R251" s="3" t="str">
        <f t="shared" si="6"/>
        <v>121</v>
      </c>
      <c r="S251" s="3" t="str">
        <f t="shared" si="7"/>
        <v>68</v>
      </c>
      <c r="T251" s="16" t="s">
        <v>25</v>
      </c>
      <c r="U251" s="3">
        <v>18.87</v>
      </c>
      <c r="V251" s="16" t="str">
        <f>PROPER(Table1[[#This Row],[CVD Risk Level]])</f>
        <v>High</v>
      </c>
    </row>
    <row r="252" spans="1:22" x14ac:dyDescent="0.3">
      <c r="A252" t="s">
        <v>31</v>
      </c>
      <c r="B252" s="8">
        <v>39</v>
      </c>
      <c r="C252" s="8">
        <v>54.3</v>
      </c>
      <c r="D252" s="5">
        <v>1.73</v>
      </c>
      <c r="E252" s="5">
        <v>18.100000000000001</v>
      </c>
      <c r="F252" s="16" t="s">
        <v>1304</v>
      </c>
      <c r="G252" s="11">
        <v>0.56999999999999995</v>
      </c>
      <c r="H252" s="5">
        <v>98.6</v>
      </c>
      <c r="I252" s="8">
        <v>56.197377501725327</v>
      </c>
      <c r="J252" s="8">
        <v>121</v>
      </c>
      <c r="K252" s="8">
        <v>220</v>
      </c>
      <c r="L252" s="8">
        <v>86</v>
      </c>
      <c r="M252" t="s">
        <v>33</v>
      </c>
      <c r="N252" s="16" t="s">
        <v>22</v>
      </c>
      <c r="O252" s="16" t="s">
        <v>22</v>
      </c>
      <c r="P252" s="16" t="s">
        <v>37</v>
      </c>
      <c r="Q252" s="10" t="s">
        <v>269</v>
      </c>
      <c r="R252" s="3" t="str">
        <f t="shared" si="6"/>
        <v>133</v>
      </c>
      <c r="S252" s="3" t="str">
        <f t="shared" si="7"/>
        <v>86</v>
      </c>
      <c r="T252" s="16" t="s">
        <v>29</v>
      </c>
      <c r="U252" s="3">
        <v>14.67</v>
      </c>
      <c r="V252" s="16" t="str">
        <f>PROPER(Table1[[#This Row],[CVD Risk Level]])</f>
        <v>Intermediary</v>
      </c>
    </row>
    <row r="253" spans="1:22" x14ac:dyDescent="0.3">
      <c r="A253" t="s">
        <v>31</v>
      </c>
      <c r="B253" s="8">
        <v>39</v>
      </c>
      <c r="C253" s="8">
        <v>100.7</v>
      </c>
      <c r="D253" s="5">
        <v>1.75</v>
      </c>
      <c r="E253" s="5">
        <v>32.9</v>
      </c>
      <c r="F253" s="16" t="s">
        <v>1302</v>
      </c>
      <c r="G253" s="11">
        <v>0.57799999999999996</v>
      </c>
      <c r="H253" s="5">
        <v>101.1</v>
      </c>
      <c r="I253" s="8">
        <v>59</v>
      </c>
      <c r="J253" s="8">
        <v>103</v>
      </c>
      <c r="K253" s="8">
        <v>192</v>
      </c>
      <c r="L253" s="8">
        <v>72</v>
      </c>
      <c r="M253" t="s">
        <v>33</v>
      </c>
      <c r="N253" s="16" t="s">
        <v>22</v>
      </c>
      <c r="O253" s="16" t="s">
        <v>22</v>
      </c>
      <c r="P253" s="16" t="s">
        <v>24</v>
      </c>
      <c r="Q253" s="10" t="s">
        <v>270</v>
      </c>
      <c r="R253" s="3" t="str">
        <f t="shared" si="6"/>
        <v>101</v>
      </c>
      <c r="S253" s="3" t="str">
        <f t="shared" si="7"/>
        <v>98</v>
      </c>
      <c r="T253" s="16" t="s">
        <v>38</v>
      </c>
      <c r="U253" s="3">
        <v>15.47</v>
      </c>
      <c r="V253" s="16" t="str">
        <f>PROPER(Table1[[#This Row],[CVD Risk Level]])</f>
        <v>Intermediary</v>
      </c>
    </row>
    <row r="254" spans="1:22" x14ac:dyDescent="0.3">
      <c r="A254" t="s">
        <v>20</v>
      </c>
      <c r="B254" s="8">
        <v>54</v>
      </c>
      <c r="C254" s="8">
        <v>101.8</v>
      </c>
      <c r="D254" s="5">
        <v>1.61</v>
      </c>
      <c r="E254" s="5">
        <v>39.299999999999997</v>
      </c>
      <c r="F254" s="16" t="s">
        <v>1302</v>
      </c>
      <c r="G254" s="11">
        <v>0.61199999999999999</v>
      </c>
      <c r="H254" s="5">
        <v>98.5</v>
      </c>
      <c r="I254" s="8">
        <v>56.197377501725327</v>
      </c>
      <c r="J254" s="8">
        <v>58</v>
      </c>
      <c r="K254" s="8">
        <v>161</v>
      </c>
      <c r="L254" s="8">
        <v>108</v>
      </c>
      <c r="M254" t="s">
        <v>1306</v>
      </c>
      <c r="N254" s="16" t="s">
        <v>22</v>
      </c>
      <c r="O254" s="16" t="s">
        <v>22</v>
      </c>
      <c r="P254" s="16" t="s">
        <v>24</v>
      </c>
      <c r="Q254" s="10" t="s">
        <v>271</v>
      </c>
      <c r="R254" s="3" t="str">
        <f t="shared" si="6"/>
        <v>121</v>
      </c>
      <c r="S254" s="3" t="str">
        <f t="shared" si="7"/>
        <v>100</v>
      </c>
      <c r="T254" s="16" t="s">
        <v>38</v>
      </c>
      <c r="U254" s="3">
        <v>17.13</v>
      </c>
      <c r="V254" s="16" t="str">
        <f>PROPER(Table1[[#This Row],[CVD Risk Level]])</f>
        <v>High</v>
      </c>
    </row>
    <row r="255" spans="1:22" x14ac:dyDescent="0.3">
      <c r="A255" t="s">
        <v>20</v>
      </c>
      <c r="B255" s="8">
        <v>32</v>
      </c>
      <c r="C255" s="8">
        <v>112.3</v>
      </c>
      <c r="D255" s="5">
        <v>1.76</v>
      </c>
      <c r="E255" s="5">
        <v>36.299999999999997</v>
      </c>
      <c r="F255" s="16" t="s">
        <v>1302</v>
      </c>
      <c r="G255" s="11">
        <v>0.57999999999999996</v>
      </c>
      <c r="H255" s="5">
        <v>102</v>
      </c>
      <c r="I255" s="8">
        <v>59</v>
      </c>
      <c r="J255" s="8">
        <v>60</v>
      </c>
      <c r="K255" s="8">
        <v>149</v>
      </c>
      <c r="L255" s="8">
        <v>103</v>
      </c>
      <c r="M255" t="s">
        <v>1306</v>
      </c>
      <c r="N255" s="16" t="s">
        <v>22</v>
      </c>
      <c r="O255" s="16" t="s">
        <v>23</v>
      </c>
      <c r="P255" s="16" t="s">
        <v>37</v>
      </c>
      <c r="Q255" s="10" t="s">
        <v>272</v>
      </c>
      <c r="R255" s="3" t="str">
        <f t="shared" si="6"/>
        <v>148</v>
      </c>
      <c r="S255" s="3" t="str">
        <f t="shared" si="7"/>
        <v>96</v>
      </c>
      <c r="T255" s="16" t="s">
        <v>38</v>
      </c>
      <c r="U255" s="3">
        <v>19.64</v>
      </c>
      <c r="V255" s="16" t="str">
        <f>PROPER(Table1[[#This Row],[CVD Risk Level]])</f>
        <v>Intermediary</v>
      </c>
    </row>
    <row r="256" spans="1:22" x14ac:dyDescent="0.3">
      <c r="A256" t="s">
        <v>20</v>
      </c>
      <c r="B256" s="8">
        <v>40</v>
      </c>
      <c r="C256" s="8">
        <v>110</v>
      </c>
      <c r="D256" s="5">
        <v>1.69</v>
      </c>
      <c r="E256" s="5">
        <v>38.5</v>
      </c>
      <c r="F256" s="16" t="s">
        <v>1302</v>
      </c>
      <c r="G256" s="11">
        <v>0.50700000000000001</v>
      </c>
      <c r="H256" s="5">
        <v>85.6</v>
      </c>
      <c r="I256" s="8">
        <v>40</v>
      </c>
      <c r="J256" s="8">
        <v>31</v>
      </c>
      <c r="K256" s="8">
        <v>101</v>
      </c>
      <c r="L256" s="8">
        <v>105</v>
      </c>
      <c r="M256" t="s">
        <v>1306</v>
      </c>
      <c r="N256" s="16" t="s">
        <v>23</v>
      </c>
      <c r="O256" s="16" t="s">
        <v>23</v>
      </c>
      <c r="P256" s="16" t="s">
        <v>24</v>
      </c>
      <c r="Q256" s="10" t="s">
        <v>273</v>
      </c>
      <c r="R256" s="3" t="str">
        <f t="shared" si="6"/>
        <v>100</v>
      </c>
      <c r="S256" s="3" t="str">
        <f t="shared" si="7"/>
        <v>62</v>
      </c>
      <c r="T256" s="16" t="s">
        <v>33</v>
      </c>
      <c r="U256" s="3">
        <v>16.72</v>
      </c>
      <c r="V256" s="16" t="str">
        <f>PROPER(Table1[[#This Row],[CVD Risk Level]])</f>
        <v>High</v>
      </c>
    </row>
    <row r="257" spans="1:22" x14ac:dyDescent="0.3">
      <c r="A257" t="s">
        <v>31</v>
      </c>
      <c r="B257" s="8">
        <v>38</v>
      </c>
      <c r="C257" s="8">
        <v>60.6</v>
      </c>
      <c r="D257" s="5">
        <v>1.68</v>
      </c>
      <c r="E257" s="5">
        <v>21.5</v>
      </c>
      <c r="F257" s="16" t="s">
        <v>33</v>
      </c>
      <c r="G257" s="11">
        <v>0.626</v>
      </c>
      <c r="H257" s="5">
        <v>105.2</v>
      </c>
      <c r="I257" s="8">
        <v>75</v>
      </c>
      <c r="J257" s="8">
        <v>48</v>
      </c>
      <c r="K257" s="8">
        <v>246</v>
      </c>
      <c r="L257" s="8">
        <v>107</v>
      </c>
      <c r="M257" t="s">
        <v>1306</v>
      </c>
      <c r="N257" s="16" t="s">
        <v>23</v>
      </c>
      <c r="O257" s="16" t="s">
        <v>23</v>
      </c>
      <c r="P257" s="16" t="s">
        <v>28</v>
      </c>
      <c r="Q257" s="10" t="s">
        <v>274</v>
      </c>
      <c r="R257" s="3" t="str">
        <f t="shared" si="6"/>
        <v>103</v>
      </c>
      <c r="S257" s="3" t="str">
        <f t="shared" si="7"/>
        <v>82</v>
      </c>
      <c r="T257" s="16" t="s">
        <v>29</v>
      </c>
      <c r="U257" s="3">
        <v>14.51</v>
      </c>
      <c r="V257" s="16" t="str">
        <f>PROPER(Table1[[#This Row],[CVD Risk Level]])</f>
        <v>Intermediary</v>
      </c>
    </row>
    <row r="258" spans="1:22" x14ac:dyDescent="0.3">
      <c r="A258" t="s">
        <v>20</v>
      </c>
      <c r="B258" s="8">
        <v>57</v>
      </c>
      <c r="C258" s="8">
        <v>100.8</v>
      </c>
      <c r="D258" s="5">
        <v>1.84</v>
      </c>
      <c r="E258" s="5">
        <v>29.8</v>
      </c>
      <c r="F258" s="16" t="s">
        <v>1303</v>
      </c>
      <c r="G258" s="11">
        <v>0.48</v>
      </c>
      <c r="H258" s="5">
        <v>88.4</v>
      </c>
      <c r="I258" s="8">
        <v>33</v>
      </c>
      <c r="J258" s="8">
        <v>39</v>
      </c>
      <c r="K258" s="8">
        <v>102</v>
      </c>
      <c r="L258" s="8">
        <v>128</v>
      </c>
      <c r="M258" t="s">
        <v>1307</v>
      </c>
      <c r="N258" s="16" t="s">
        <v>23</v>
      </c>
      <c r="O258" s="16" t="s">
        <v>23</v>
      </c>
      <c r="P258" s="16" t="s">
        <v>28</v>
      </c>
      <c r="Q258" s="10" t="s">
        <v>275</v>
      </c>
      <c r="R258" s="3" t="str">
        <f t="shared" si="6"/>
        <v>110</v>
      </c>
      <c r="S258" s="3" t="str">
        <f t="shared" si="7"/>
        <v>78</v>
      </c>
      <c r="T258" s="16" t="s">
        <v>33</v>
      </c>
      <c r="U258" s="3">
        <v>15.5</v>
      </c>
      <c r="V258" s="16" t="str">
        <f>PROPER(Table1[[#This Row],[CVD Risk Level]])</f>
        <v>High</v>
      </c>
    </row>
    <row r="259" spans="1:22" x14ac:dyDescent="0.3">
      <c r="A259" t="s">
        <v>31</v>
      </c>
      <c r="B259" s="8">
        <v>38</v>
      </c>
      <c r="C259" s="8">
        <v>103.8</v>
      </c>
      <c r="D259" s="5">
        <v>1.65</v>
      </c>
      <c r="E259" s="5">
        <v>38.1</v>
      </c>
      <c r="F259" s="16" t="s">
        <v>1302</v>
      </c>
      <c r="G259" s="11">
        <v>0.61599999999999999</v>
      </c>
      <c r="H259" s="5">
        <v>101.7</v>
      </c>
      <c r="I259" s="8">
        <v>56.197377501725327</v>
      </c>
      <c r="J259" s="8">
        <v>89</v>
      </c>
      <c r="K259" s="8">
        <v>177</v>
      </c>
      <c r="L259" s="8">
        <v>131</v>
      </c>
      <c r="M259" t="s">
        <v>1307</v>
      </c>
      <c r="N259" s="16" t="s">
        <v>23</v>
      </c>
      <c r="O259" s="16" t="s">
        <v>22</v>
      </c>
      <c r="P259" s="16" t="s">
        <v>28</v>
      </c>
      <c r="Q259" s="10" t="s">
        <v>276</v>
      </c>
      <c r="R259" s="3" t="str">
        <f t="shared" ref="R259:R322" si="8">LEFT(Q259,FIND("/",Q259)-1)</f>
        <v>94</v>
      </c>
      <c r="S259" s="3" t="str">
        <f t="shared" ref="S259:S322" si="9">RIGHT(Q259,LEN(Q259)-FIND("/",Q259))</f>
        <v>73</v>
      </c>
      <c r="T259" s="16" t="s">
        <v>33</v>
      </c>
      <c r="U259" s="3">
        <v>15.86</v>
      </c>
      <c r="V259" s="16" t="str">
        <f>PROPER(Table1[[#This Row],[CVD Risk Level]])</f>
        <v>Intermediary</v>
      </c>
    </row>
    <row r="260" spans="1:22" x14ac:dyDescent="0.3">
      <c r="A260" t="s">
        <v>31</v>
      </c>
      <c r="B260" s="8">
        <v>57</v>
      </c>
      <c r="C260" s="8">
        <v>78.400000000000006</v>
      </c>
      <c r="D260" s="5">
        <v>1.84</v>
      </c>
      <c r="E260" s="5">
        <v>23.2</v>
      </c>
      <c r="F260" s="16" t="s">
        <v>33</v>
      </c>
      <c r="G260" s="11">
        <v>0.54900000000000004</v>
      </c>
      <c r="H260" s="5">
        <v>101.1</v>
      </c>
      <c r="I260" s="8">
        <v>70</v>
      </c>
      <c r="J260" s="8">
        <v>86</v>
      </c>
      <c r="K260" s="8">
        <v>186</v>
      </c>
      <c r="L260" s="8">
        <v>70</v>
      </c>
      <c r="M260" t="s">
        <v>33</v>
      </c>
      <c r="N260" s="16" t="s">
        <v>23</v>
      </c>
      <c r="O260" s="16" t="s">
        <v>22</v>
      </c>
      <c r="P260" s="16" t="s">
        <v>37</v>
      </c>
      <c r="Q260" s="10" t="s">
        <v>277</v>
      </c>
      <c r="R260" s="3" t="str">
        <f t="shared" si="8"/>
        <v>109</v>
      </c>
      <c r="S260" s="3" t="str">
        <f t="shared" si="9"/>
        <v>83</v>
      </c>
      <c r="T260" s="16" t="s">
        <v>29</v>
      </c>
      <c r="U260" s="3">
        <v>13.81</v>
      </c>
      <c r="V260" s="16" t="str">
        <f>PROPER(Table1[[#This Row],[CVD Risk Level]])</f>
        <v>Intermediary</v>
      </c>
    </row>
    <row r="261" spans="1:22" x14ac:dyDescent="0.3">
      <c r="A261" t="s">
        <v>31</v>
      </c>
      <c r="B261" s="8">
        <v>39</v>
      </c>
      <c r="C261" s="8">
        <v>64.099999999999994</v>
      </c>
      <c r="D261" s="5">
        <v>1.7</v>
      </c>
      <c r="E261" s="5">
        <v>22.2</v>
      </c>
      <c r="F261" s="16" t="s">
        <v>33</v>
      </c>
      <c r="G261" s="11">
        <v>0.58299999999999996</v>
      </c>
      <c r="H261" s="5">
        <v>99.1</v>
      </c>
      <c r="I261" s="8">
        <v>55</v>
      </c>
      <c r="J261" s="8">
        <v>90</v>
      </c>
      <c r="K261" s="8">
        <v>175</v>
      </c>
      <c r="L261" s="8">
        <v>125</v>
      </c>
      <c r="M261" t="s">
        <v>1306</v>
      </c>
      <c r="N261" s="16" t="s">
        <v>23</v>
      </c>
      <c r="O261" s="16" t="s">
        <v>22</v>
      </c>
      <c r="P261" s="16" t="s">
        <v>37</v>
      </c>
      <c r="Q261" s="10" t="s">
        <v>278</v>
      </c>
      <c r="R261" s="3" t="str">
        <f t="shared" si="8"/>
        <v>113</v>
      </c>
      <c r="S261" s="3" t="str">
        <f t="shared" si="9"/>
        <v>69</v>
      </c>
      <c r="T261" s="16" t="s">
        <v>33</v>
      </c>
      <c r="U261" s="3">
        <v>13.59</v>
      </c>
      <c r="V261" s="16" t="str">
        <f>PROPER(Table1[[#This Row],[CVD Risk Level]])</f>
        <v>Intermediary</v>
      </c>
    </row>
    <row r="262" spans="1:22" x14ac:dyDescent="0.3">
      <c r="A262" t="s">
        <v>31</v>
      </c>
      <c r="B262" s="8">
        <v>40</v>
      </c>
      <c r="C262" s="8">
        <v>64.8</v>
      </c>
      <c r="D262" s="5">
        <v>1.76</v>
      </c>
      <c r="E262" s="5">
        <v>20.9</v>
      </c>
      <c r="F262" s="16" t="s">
        <v>33</v>
      </c>
      <c r="G262" s="11">
        <v>0.62</v>
      </c>
      <c r="H262" s="5">
        <v>109.1</v>
      </c>
      <c r="I262" s="8">
        <v>70</v>
      </c>
      <c r="J262" s="8">
        <v>194</v>
      </c>
      <c r="K262" s="8">
        <v>294</v>
      </c>
      <c r="L262" s="8">
        <v>89</v>
      </c>
      <c r="M262" t="s">
        <v>33</v>
      </c>
      <c r="N262" s="16" t="s">
        <v>22</v>
      </c>
      <c r="O262" s="16" t="s">
        <v>23</v>
      </c>
      <c r="P262" s="16" t="s">
        <v>28</v>
      </c>
      <c r="Q262" s="10" t="s">
        <v>84</v>
      </c>
      <c r="R262" s="3" t="str">
        <f t="shared" si="8"/>
        <v>135</v>
      </c>
      <c r="S262" s="3" t="str">
        <f t="shared" si="9"/>
        <v>96</v>
      </c>
      <c r="T262" s="16" t="s">
        <v>29</v>
      </c>
      <c r="U262" s="3">
        <v>18.809999999999999</v>
      </c>
      <c r="V262" s="16" t="str">
        <f>PROPER(Table1[[#This Row],[CVD Risk Level]])</f>
        <v>Intermediary</v>
      </c>
    </row>
    <row r="263" spans="1:22" x14ac:dyDescent="0.3">
      <c r="A263" t="s">
        <v>31</v>
      </c>
      <c r="B263" s="8">
        <v>56</v>
      </c>
      <c r="C263" s="8">
        <v>106.4</v>
      </c>
      <c r="D263" s="5">
        <v>1.73</v>
      </c>
      <c r="E263" s="5">
        <v>35.6</v>
      </c>
      <c r="F263" s="16" t="s">
        <v>1302</v>
      </c>
      <c r="G263" s="11">
        <v>0.40600000000000003</v>
      </c>
      <c r="H263" s="5">
        <v>70.3</v>
      </c>
      <c r="I263" s="8">
        <v>69</v>
      </c>
      <c r="J263" s="8">
        <v>29</v>
      </c>
      <c r="K263" s="8">
        <v>196</v>
      </c>
      <c r="L263" s="8">
        <v>90</v>
      </c>
      <c r="M263" t="s">
        <v>33</v>
      </c>
      <c r="N263" s="16" t="s">
        <v>23</v>
      </c>
      <c r="O263" s="16" t="s">
        <v>22</v>
      </c>
      <c r="P263" s="16" t="s">
        <v>28</v>
      </c>
      <c r="Q263" s="10" t="s">
        <v>279</v>
      </c>
      <c r="R263" s="3" t="str">
        <f t="shared" si="8"/>
        <v>136</v>
      </c>
      <c r="S263" s="3" t="str">
        <f t="shared" si="9"/>
        <v>76</v>
      </c>
      <c r="T263" s="16" t="s">
        <v>29</v>
      </c>
      <c r="U263" s="3">
        <v>16.48</v>
      </c>
      <c r="V263" s="16" t="str">
        <f>PROPER(Table1[[#This Row],[CVD Risk Level]])</f>
        <v>Intermediary</v>
      </c>
    </row>
    <row r="264" spans="1:22" x14ac:dyDescent="0.3">
      <c r="A264" t="s">
        <v>20</v>
      </c>
      <c r="B264" s="8">
        <v>34</v>
      </c>
      <c r="C264" s="8">
        <v>55.5</v>
      </c>
      <c r="D264" s="5">
        <v>1.62</v>
      </c>
      <c r="E264" s="5">
        <v>21.1</v>
      </c>
      <c r="F264" s="16" t="s">
        <v>33</v>
      </c>
      <c r="G264" s="11">
        <v>0.45900000000000002</v>
      </c>
      <c r="H264" s="5">
        <v>74.3</v>
      </c>
      <c r="I264" s="8">
        <v>37</v>
      </c>
      <c r="J264" s="8">
        <v>101</v>
      </c>
      <c r="K264" s="8">
        <v>168</v>
      </c>
      <c r="L264" s="8">
        <v>120</v>
      </c>
      <c r="M264" t="s">
        <v>1306</v>
      </c>
      <c r="N264" s="16" t="s">
        <v>23</v>
      </c>
      <c r="O264" s="16" t="s">
        <v>23</v>
      </c>
      <c r="P264" s="16" t="s">
        <v>28</v>
      </c>
      <c r="Q264" s="10" t="s">
        <v>280</v>
      </c>
      <c r="R264" s="3" t="str">
        <f t="shared" si="8"/>
        <v>139</v>
      </c>
      <c r="S264" s="3" t="str">
        <f t="shared" si="9"/>
        <v>64</v>
      </c>
      <c r="T264" s="16" t="s">
        <v>29</v>
      </c>
      <c r="U264" s="3">
        <v>16.960925291295425</v>
      </c>
      <c r="V264" s="16" t="str">
        <f>PROPER(Table1[[#This Row],[CVD Risk Level]])</f>
        <v>High</v>
      </c>
    </row>
    <row r="265" spans="1:22" x14ac:dyDescent="0.3">
      <c r="A265" t="s">
        <v>20</v>
      </c>
      <c r="B265" s="8">
        <v>60</v>
      </c>
      <c r="C265" s="8">
        <v>75.400000000000006</v>
      </c>
      <c r="D265" s="5">
        <v>1.68</v>
      </c>
      <c r="E265" s="5">
        <v>26.7</v>
      </c>
      <c r="F265" s="16" t="s">
        <v>1303</v>
      </c>
      <c r="G265" s="11">
        <v>0.56000000000000005</v>
      </c>
      <c r="H265" s="5">
        <v>94.1</v>
      </c>
      <c r="I265" s="8">
        <v>77</v>
      </c>
      <c r="J265" s="8">
        <v>109</v>
      </c>
      <c r="K265" s="8">
        <v>138</v>
      </c>
      <c r="L265" s="8">
        <v>80</v>
      </c>
      <c r="M265" t="s">
        <v>33</v>
      </c>
      <c r="N265" s="16" t="s">
        <v>22</v>
      </c>
      <c r="O265" s="16" t="s">
        <v>22</v>
      </c>
      <c r="P265" s="16" t="s">
        <v>37</v>
      </c>
      <c r="Q265" s="10" t="s">
        <v>206</v>
      </c>
      <c r="R265" s="3" t="str">
        <f t="shared" si="8"/>
        <v>141</v>
      </c>
      <c r="S265" s="3" t="str">
        <f t="shared" si="9"/>
        <v>69</v>
      </c>
      <c r="T265" s="16" t="s">
        <v>38</v>
      </c>
      <c r="U265" s="3">
        <v>15.15</v>
      </c>
      <c r="V265" s="16" t="str">
        <f>PROPER(Table1[[#This Row],[CVD Risk Level]])</f>
        <v>Intermediary</v>
      </c>
    </row>
    <row r="266" spans="1:22" x14ac:dyDescent="0.3">
      <c r="A266" t="s">
        <v>20</v>
      </c>
      <c r="B266" s="8">
        <v>47</v>
      </c>
      <c r="C266" s="8">
        <v>80.599999999999994</v>
      </c>
      <c r="D266" s="5">
        <v>1.83</v>
      </c>
      <c r="E266" s="5">
        <v>24.1</v>
      </c>
      <c r="F266" s="16" t="s">
        <v>33</v>
      </c>
      <c r="G266" s="11">
        <v>0.45600000000000002</v>
      </c>
      <c r="H266" s="5">
        <v>83.5</v>
      </c>
      <c r="I266" s="8">
        <v>45</v>
      </c>
      <c r="J266" s="8">
        <v>214</v>
      </c>
      <c r="K266" s="8">
        <v>289</v>
      </c>
      <c r="L266" s="8">
        <v>93</v>
      </c>
      <c r="M266" t="s">
        <v>33</v>
      </c>
      <c r="N266" s="16" t="s">
        <v>22</v>
      </c>
      <c r="O266" s="16" t="s">
        <v>23</v>
      </c>
      <c r="P266" s="16" t="s">
        <v>37</v>
      </c>
      <c r="Q266" s="10" t="s">
        <v>281</v>
      </c>
      <c r="R266" s="3" t="str">
        <f t="shared" si="8"/>
        <v>114</v>
      </c>
      <c r="S266" s="3" t="str">
        <f t="shared" si="9"/>
        <v>69</v>
      </c>
      <c r="T266" s="16" t="s">
        <v>33</v>
      </c>
      <c r="U266" s="3">
        <v>18.3</v>
      </c>
      <c r="V266" s="16" t="str">
        <f>PROPER(Table1[[#This Row],[CVD Risk Level]])</f>
        <v>Intermediary</v>
      </c>
    </row>
    <row r="267" spans="1:22" x14ac:dyDescent="0.3">
      <c r="A267" t="s">
        <v>20</v>
      </c>
      <c r="B267" s="8">
        <v>54</v>
      </c>
      <c r="C267" s="8">
        <v>93.7</v>
      </c>
      <c r="D267" s="5">
        <v>1.84</v>
      </c>
      <c r="E267" s="5">
        <v>27.7</v>
      </c>
      <c r="F267" s="16" t="s">
        <v>1303</v>
      </c>
      <c r="G267" s="11">
        <v>0.55800000000000005</v>
      </c>
      <c r="H267" s="5">
        <v>102.7</v>
      </c>
      <c r="I267" s="8">
        <v>56.197377501725327</v>
      </c>
      <c r="J267" s="8">
        <v>147</v>
      </c>
      <c r="K267" s="8">
        <v>231</v>
      </c>
      <c r="L267" s="8">
        <v>72</v>
      </c>
      <c r="M267" t="s">
        <v>33</v>
      </c>
      <c r="N267" s="16" t="s">
        <v>23</v>
      </c>
      <c r="O267" s="16" t="s">
        <v>22</v>
      </c>
      <c r="P267" s="16" t="s">
        <v>24</v>
      </c>
      <c r="Q267" s="10" t="s">
        <v>282</v>
      </c>
      <c r="R267" s="3" t="str">
        <f t="shared" si="8"/>
        <v>118</v>
      </c>
      <c r="S267" s="3" t="str">
        <f t="shared" si="9"/>
        <v>64</v>
      </c>
      <c r="T267" s="16" t="s">
        <v>33</v>
      </c>
      <c r="U267" s="3">
        <v>16.059999999999999</v>
      </c>
      <c r="V267" s="16" t="str">
        <f>PROPER(Table1[[#This Row],[CVD Risk Level]])</f>
        <v>High</v>
      </c>
    </row>
    <row r="268" spans="1:22" x14ac:dyDescent="0.3">
      <c r="A268" t="s">
        <v>31</v>
      </c>
      <c r="B268" s="8">
        <v>36</v>
      </c>
      <c r="C268" s="8">
        <v>106.2</v>
      </c>
      <c r="D268" s="5">
        <v>1.76</v>
      </c>
      <c r="E268" s="5">
        <v>34.299999999999997</v>
      </c>
      <c r="F268" s="16" t="s">
        <v>1302</v>
      </c>
      <c r="G268" s="11">
        <v>0.42499999999999999</v>
      </c>
      <c r="H268" s="5">
        <v>74.8</v>
      </c>
      <c r="I268" s="8">
        <v>48</v>
      </c>
      <c r="J268" s="8">
        <v>93</v>
      </c>
      <c r="K268" s="8">
        <v>171</v>
      </c>
      <c r="L268" s="8">
        <v>141</v>
      </c>
      <c r="M268" t="s">
        <v>1307</v>
      </c>
      <c r="N268" s="16" t="s">
        <v>23</v>
      </c>
      <c r="O268" s="16" t="s">
        <v>22</v>
      </c>
      <c r="P268" s="16" t="s">
        <v>28</v>
      </c>
      <c r="Q268" s="10" t="s">
        <v>283</v>
      </c>
      <c r="R268" s="3" t="str">
        <f t="shared" si="8"/>
        <v>124</v>
      </c>
      <c r="S268" s="3" t="str">
        <f t="shared" si="9"/>
        <v>66</v>
      </c>
      <c r="T268" s="16" t="s">
        <v>25</v>
      </c>
      <c r="U268" s="3">
        <v>16.48</v>
      </c>
      <c r="V268" s="16" t="str">
        <f>PROPER(Table1[[#This Row],[CVD Risk Level]])</f>
        <v>Intermediary</v>
      </c>
    </row>
    <row r="269" spans="1:22" x14ac:dyDescent="0.3">
      <c r="A269" t="s">
        <v>20</v>
      </c>
      <c r="B269" s="8">
        <v>47</v>
      </c>
      <c r="C269" s="8">
        <v>100.6</v>
      </c>
      <c r="D269" s="5">
        <v>1.66</v>
      </c>
      <c r="E269" s="5">
        <v>36.5</v>
      </c>
      <c r="F269" s="16" t="s">
        <v>1302</v>
      </c>
      <c r="G269" s="11">
        <v>0.64600000000000002</v>
      </c>
      <c r="H269" s="5">
        <v>107.3</v>
      </c>
      <c r="I269" s="8">
        <v>63</v>
      </c>
      <c r="J269" s="8">
        <v>194</v>
      </c>
      <c r="K269" s="8">
        <v>287</v>
      </c>
      <c r="L269" s="8">
        <v>150</v>
      </c>
      <c r="M269" t="s">
        <v>1307</v>
      </c>
      <c r="N269" s="16" t="s">
        <v>22</v>
      </c>
      <c r="O269" s="16" t="s">
        <v>22</v>
      </c>
      <c r="P269" s="16" t="s">
        <v>28</v>
      </c>
      <c r="Q269" s="10" t="s">
        <v>284</v>
      </c>
      <c r="R269" s="3" t="str">
        <f t="shared" si="8"/>
        <v>94</v>
      </c>
      <c r="S269" s="3" t="str">
        <f t="shared" si="9"/>
        <v>93</v>
      </c>
      <c r="T269" s="16" t="s">
        <v>38</v>
      </c>
      <c r="U269" s="3">
        <v>17.739999999999998</v>
      </c>
      <c r="V269" s="16" t="str">
        <f>PROPER(Table1[[#This Row],[CVD Risk Level]])</f>
        <v>Intermediary</v>
      </c>
    </row>
    <row r="270" spans="1:22" x14ac:dyDescent="0.3">
      <c r="A270" t="s">
        <v>31</v>
      </c>
      <c r="B270" s="8">
        <v>47.025499655410059</v>
      </c>
      <c r="C270" s="8">
        <v>93.9</v>
      </c>
      <c r="D270" s="5">
        <v>1.72</v>
      </c>
      <c r="E270" s="5">
        <v>31.7</v>
      </c>
      <c r="F270" s="16" t="s">
        <v>1302</v>
      </c>
      <c r="G270" s="11">
        <v>0.47699999999999998</v>
      </c>
      <c r="H270" s="5">
        <v>82.1</v>
      </c>
      <c r="I270" s="8">
        <v>50</v>
      </c>
      <c r="J270" s="8">
        <v>64</v>
      </c>
      <c r="K270" s="8">
        <v>144</v>
      </c>
      <c r="L270" s="8">
        <v>137</v>
      </c>
      <c r="M270" t="s">
        <v>1307</v>
      </c>
      <c r="N270" s="16" t="s">
        <v>22</v>
      </c>
      <c r="O270" s="16" t="s">
        <v>22</v>
      </c>
      <c r="P270" s="16" t="s">
        <v>28</v>
      </c>
      <c r="Q270" s="10" t="s">
        <v>90</v>
      </c>
      <c r="R270" s="3" t="str">
        <f t="shared" si="8"/>
        <v>104</v>
      </c>
      <c r="S270" s="3" t="str">
        <f t="shared" si="9"/>
        <v>60</v>
      </c>
      <c r="T270" s="16" t="s">
        <v>33</v>
      </c>
      <c r="U270" s="3">
        <v>14.42</v>
      </c>
      <c r="V270" s="16" t="str">
        <f>PROPER(Table1[[#This Row],[CVD Risk Level]])</f>
        <v>Intermediary</v>
      </c>
    </row>
    <row r="271" spans="1:22" x14ac:dyDescent="0.3">
      <c r="A271" t="s">
        <v>31</v>
      </c>
      <c r="B271" s="8">
        <v>57</v>
      </c>
      <c r="C271" s="8">
        <v>107</v>
      </c>
      <c r="D271" s="5">
        <v>1.62</v>
      </c>
      <c r="E271" s="5">
        <v>40.799999999999997</v>
      </c>
      <c r="F271" s="16" t="s">
        <v>1302</v>
      </c>
      <c r="G271" s="11">
        <v>0.628</v>
      </c>
      <c r="H271" s="5">
        <v>101.7</v>
      </c>
      <c r="I271" s="8">
        <v>45</v>
      </c>
      <c r="J271" s="8">
        <v>72</v>
      </c>
      <c r="K271" s="8">
        <v>147</v>
      </c>
      <c r="L271" s="8">
        <v>106</v>
      </c>
      <c r="M271" t="s">
        <v>1306</v>
      </c>
      <c r="N271" s="16" t="s">
        <v>23</v>
      </c>
      <c r="O271" s="16" t="s">
        <v>23</v>
      </c>
      <c r="P271" s="16" t="s">
        <v>37</v>
      </c>
      <c r="Q271" s="10" t="s">
        <v>285</v>
      </c>
      <c r="R271" s="3" t="str">
        <f t="shared" si="8"/>
        <v>117</v>
      </c>
      <c r="S271" s="3" t="str">
        <f t="shared" si="9"/>
        <v>66</v>
      </c>
      <c r="T271" s="16" t="s">
        <v>33</v>
      </c>
      <c r="U271" s="3">
        <v>18.95</v>
      </c>
      <c r="V271" s="16" t="str">
        <f>PROPER(Table1[[#This Row],[CVD Risk Level]])</f>
        <v>High</v>
      </c>
    </row>
    <row r="272" spans="1:22" x14ac:dyDescent="0.3">
      <c r="A272" t="s">
        <v>20</v>
      </c>
      <c r="B272" s="8">
        <v>52</v>
      </c>
      <c r="C272" s="8">
        <v>109.7</v>
      </c>
      <c r="D272" s="5">
        <v>1.78</v>
      </c>
      <c r="E272" s="5">
        <v>34.6</v>
      </c>
      <c r="F272" s="16" t="s">
        <v>1302</v>
      </c>
      <c r="G272" s="11">
        <v>0.58699999999999997</v>
      </c>
      <c r="H272" s="5">
        <v>104.4</v>
      </c>
      <c r="I272" s="8">
        <v>56.197377501725327</v>
      </c>
      <c r="J272" s="8">
        <v>109</v>
      </c>
      <c r="K272" s="8">
        <v>197</v>
      </c>
      <c r="L272" s="8">
        <v>99</v>
      </c>
      <c r="M272" t="s">
        <v>33</v>
      </c>
      <c r="N272" s="16" t="s">
        <v>22</v>
      </c>
      <c r="O272" s="16" t="s">
        <v>23</v>
      </c>
      <c r="P272" s="16" t="s">
        <v>28</v>
      </c>
      <c r="Q272" s="10" t="s">
        <v>286</v>
      </c>
      <c r="R272" s="3" t="str">
        <f t="shared" si="8"/>
        <v>103</v>
      </c>
      <c r="S272" s="3" t="str">
        <f t="shared" si="9"/>
        <v>99</v>
      </c>
      <c r="T272" s="16" t="s">
        <v>38</v>
      </c>
      <c r="U272" s="3">
        <v>18.010000000000002</v>
      </c>
      <c r="V272" s="16" t="str">
        <f>PROPER(Table1[[#This Row],[CVD Risk Level]])</f>
        <v>High</v>
      </c>
    </row>
    <row r="273" spans="1:22" x14ac:dyDescent="0.3">
      <c r="A273" t="s">
        <v>31</v>
      </c>
      <c r="B273" s="8">
        <v>45</v>
      </c>
      <c r="C273" s="8">
        <v>84.2</v>
      </c>
      <c r="D273" s="5">
        <v>1.77</v>
      </c>
      <c r="E273" s="5">
        <v>26.9</v>
      </c>
      <c r="F273" s="16" t="s">
        <v>1303</v>
      </c>
      <c r="G273" s="11">
        <v>0.59887005649717517</v>
      </c>
      <c r="H273" s="5">
        <v>106</v>
      </c>
      <c r="I273" s="8">
        <v>39</v>
      </c>
      <c r="J273" s="8">
        <v>111</v>
      </c>
      <c r="K273" s="8">
        <v>180</v>
      </c>
      <c r="L273" s="8">
        <v>115</v>
      </c>
      <c r="M273" t="s">
        <v>1306</v>
      </c>
      <c r="N273" s="16" t="s">
        <v>23</v>
      </c>
      <c r="O273" s="16" t="s">
        <v>22</v>
      </c>
      <c r="P273" s="16" t="s">
        <v>24</v>
      </c>
      <c r="Q273" s="10" t="s">
        <v>287</v>
      </c>
      <c r="R273" s="3" t="str">
        <f t="shared" si="8"/>
        <v>114</v>
      </c>
      <c r="S273" s="3" t="str">
        <f t="shared" si="9"/>
        <v>90</v>
      </c>
      <c r="T273" s="16" t="s">
        <v>38</v>
      </c>
      <c r="U273" s="3">
        <v>14.68</v>
      </c>
      <c r="V273" s="16" t="str">
        <f>PROPER(Table1[[#This Row],[CVD Risk Level]])</f>
        <v>High</v>
      </c>
    </row>
    <row r="274" spans="1:22" x14ac:dyDescent="0.3">
      <c r="A274" t="s">
        <v>31</v>
      </c>
      <c r="B274" s="8">
        <v>31</v>
      </c>
      <c r="C274" s="8">
        <v>85</v>
      </c>
      <c r="D274" s="5">
        <v>1.66</v>
      </c>
      <c r="E274" s="5">
        <v>30.8</v>
      </c>
      <c r="F274" s="16" t="s">
        <v>1302</v>
      </c>
      <c r="G274" s="11">
        <v>0.48099999999999998</v>
      </c>
      <c r="H274" s="5">
        <v>79.900000000000006</v>
      </c>
      <c r="I274" s="8">
        <v>70</v>
      </c>
      <c r="J274" s="8">
        <v>30</v>
      </c>
      <c r="K274" s="8">
        <v>130</v>
      </c>
      <c r="L274" s="8">
        <v>125</v>
      </c>
      <c r="M274" t="s">
        <v>1306</v>
      </c>
      <c r="N274" s="16" t="s">
        <v>22</v>
      </c>
      <c r="O274" s="16" t="s">
        <v>22</v>
      </c>
      <c r="P274" s="16" t="s">
        <v>37</v>
      </c>
      <c r="Q274" s="10" t="s">
        <v>288</v>
      </c>
      <c r="R274" s="3" t="str">
        <f t="shared" si="8"/>
        <v>116</v>
      </c>
      <c r="S274" s="3" t="str">
        <f t="shared" si="9"/>
        <v>69</v>
      </c>
      <c r="T274" s="16" t="s">
        <v>33</v>
      </c>
      <c r="U274" s="3">
        <v>14.56</v>
      </c>
      <c r="V274" s="16" t="str">
        <f>PROPER(Table1[[#This Row],[CVD Risk Level]])</f>
        <v>Intermediary</v>
      </c>
    </row>
    <row r="275" spans="1:22" x14ac:dyDescent="0.3">
      <c r="A275" t="s">
        <v>20</v>
      </c>
      <c r="B275" s="8">
        <v>49</v>
      </c>
      <c r="C275" s="8">
        <v>73.2</v>
      </c>
      <c r="D275" s="5">
        <v>1.68</v>
      </c>
      <c r="E275" s="5">
        <v>25.9</v>
      </c>
      <c r="F275" s="16" t="s">
        <v>1303</v>
      </c>
      <c r="G275" s="11">
        <v>0.624</v>
      </c>
      <c r="H275" s="5">
        <v>104.9</v>
      </c>
      <c r="I275" s="8">
        <v>39</v>
      </c>
      <c r="J275" s="8">
        <v>109</v>
      </c>
      <c r="K275" s="8">
        <v>138</v>
      </c>
      <c r="L275" s="8">
        <v>81</v>
      </c>
      <c r="M275" t="s">
        <v>33</v>
      </c>
      <c r="N275" s="16" t="s">
        <v>23</v>
      </c>
      <c r="O275" s="16" t="s">
        <v>23</v>
      </c>
      <c r="P275" s="16" t="s">
        <v>28</v>
      </c>
      <c r="Q275" s="10" t="s">
        <v>289</v>
      </c>
      <c r="R275" s="3" t="str">
        <f t="shared" si="8"/>
        <v>136</v>
      </c>
      <c r="S275" s="3" t="str">
        <f t="shared" si="9"/>
        <v>93</v>
      </c>
      <c r="T275" s="16" t="s">
        <v>29</v>
      </c>
      <c r="U275" s="3">
        <v>16.739999999999998</v>
      </c>
      <c r="V275" s="16" t="str">
        <f>PROPER(Table1[[#This Row],[CVD Risk Level]])</f>
        <v>High</v>
      </c>
    </row>
    <row r="276" spans="1:22" x14ac:dyDescent="0.3">
      <c r="A276" t="s">
        <v>31</v>
      </c>
      <c r="B276" s="8">
        <v>48</v>
      </c>
      <c r="C276" s="8">
        <v>94.6</v>
      </c>
      <c r="D276" s="5">
        <v>1.74</v>
      </c>
      <c r="E276" s="5">
        <v>31.2</v>
      </c>
      <c r="F276" s="16" t="s">
        <v>1302</v>
      </c>
      <c r="G276" s="11">
        <v>0.56999999999999995</v>
      </c>
      <c r="H276" s="5">
        <v>99.1</v>
      </c>
      <c r="I276" s="8">
        <v>60</v>
      </c>
      <c r="J276" s="8">
        <v>119</v>
      </c>
      <c r="K276" s="8">
        <v>209</v>
      </c>
      <c r="L276" s="8">
        <v>127</v>
      </c>
      <c r="M276" t="s">
        <v>1307</v>
      </c>
      <c r="N276" s="16" t="s">
        <v>22</v>
      </c>
      <c r="O276" s="16" t="s">
        <v>23</v>
      </c>
      <c r="P276" s="16" t="s">
        <v>37</v>
      </c>
      <c r="Q276" s="10" t="s">
        <v>290</v>
      </c>
      <c r="R276" s="3" t="str">
        <f t="shared" si="8"/>
        <v>99</v>
      </c>
      <c r="S276" s="3" t="str">
        <f t="shared" si="9"/>
        <v>82</v>
      </c>
      <c r="T276" s="16" t="s">
        <v>29</v>
      </c>
      <c r="U276" s="3">
        <v>17.37</v>
      </c>
      <c r="V276" s="16" t="str">
        <f>PROPER(Table1[[#This Row],[CVD Risk Level]])</f>
        <v>High</v>
      </c>
    </row>
    <row r="277" spans="1:22" x14ac:dyDescent="0.3">
      <c r="A277" t="s">
        <v>20</v>
      </c>
      <c r="B277" s="8">
        <v>37</v>
      </c>
      <c r="C277" s="8">
        <v>50.5</v>
      </c>
      <c r="D277" s="5">
        <v>1.64</v>
      </c>
      <c r="E277" s="5">
        <v>18.8</v>
      </c>
      <c r="F277" s="16" t="s">
        <v>33</v>
      </c>
      <c r="G277" s="11">
        <v>0.46</v>
      </c>
      <c r="H277" s="5">
        <v>75.400000000000006</v>
      </c>
      <c r="I277" s="8">
        <v>53</v>
      </c>
      <c r="J277" s="8">
        <v>157</v>
      </c>
      <c r="K277" s="8">
        <v>240</v>
      </c>
      <c r="L277" s="8">
        <v>98</v>
      </c>
      <c r="M277" t="s">
        <v>33</v>
      </c>
      <c r="N277" s="16" t="s">
        <v>22</v>
      </c>
      <c r="O277" s="16" t="s">
        <v>23</v>
      </c>
      <c r="P277" s="16" t="s">
        <v>24</v>
      </c>
      <c r="Q277" s="10" t="s">
        <v>291</v>
      </c>
      <c r="R277" s="3" t="str">
        <f t="shared" si="8"/>
        <v>100</v>
      </c>
      <c r="S277" s="3" t="str">
        <f t="shared" si="9"/>
        <v>96</v>
      </c>
      <c r="T277" s="16" t="s">
        <v>38</v>
      </c>
      <c r="U277" s="3">
        <v>15.56</v>
      </c>
      <c r="V277" s="16" t="str">
        <f>PROPER(Table1[[#This Row],[CVD Risk Level]])</f>
        <v>Intermediary</v>
      </c>
    </row>
    <row r="278" spans="1:22" x14ac:dyDescent="0.3">
      <c r="A278" t="s">
        <v>20</v>
      </c>
      <c r="B278" s="8">
        <v>49</v>
      </c>
      <c r="C278" s="8">
        <v>58.3</v>
      </c>
      <c r="D278" s="5">
        <v>1.7</v>
      </c>
      <c r="E278" s="5">
        <v>20.2</v>
      </c>
      <c r="F278" s="16" t="s">
        <v>33</v>
      </c>
      <c r="G278" s="11">
        <v>0.56899999999999995</v>
      </c>
      <c r="H278" s="5">
        <v>96.7</v>
      </c>
      <c r="I278" s="8">
        <v>33</v>
      </c>
      <c r="J278" s="8">
        <v>217</v>
      </c>
      <c r="K278" s="8">
        <v>280</v>
      </c>
      <c r="L278" s="8">
        <v>93</v>
      </c>
      <c r="M278" t="s">
        <v>33</v>
      </c>
      <c r="N278" s="16" t="s">
        <v>23</v>
      </c>
      <c r="O278" s="16" t="s">
        <v>23</v>
      </c>
      <c r="P278" s="16" t="s">
        <v>37</v>
      </c>
      <c r="Q278" s="10" t="s">
        <v>292</v>
      </c>
      <c r="R278" s="3" t="str">
        <f t="shared" si="8"/>
        <v>140</v>
      </c>
      <c r="S278" s="3" t="str">
        <f t="shared" si="9"/>
        <v>95</v>
      </c>
      <c r="T278" s="16" t="s">
        <v>38</v>
      </c>
      <c r="U278" s="3">
        <v>18.64</v>
      </c>
      <c r="V278" s="16" t="str">
        <f>PROPER(Table1[[#This Row],[CVD Risk Level]])</f>
        <v>High</v>
      </c>
    </row>
    <row r="279" spans="1:22" x14ac:dyDescent="0.3">
      <c r="A279" t="s">
        <v>31</v>
      </c>
      <c r="B279" s="8">
        <v>49</v>
      </c>
      <c r="C279" s="8">
        <v>64.8</v>
      </c>
      <c r="D279" s="5">
        <v>1.61</v>
      </c>
      <c r="E279" s="5">
        <v>25</v>
      </c>
      <c r="F279" s="16" t="s">
        <v>1303</v>
      </c>
      <c r="G279" s="11">
        <v>0.48399999999999999</v>
      </c>
      <c r="H279" s="5">
        <v>77.900000000000006</v>
      </c>
      <c r="I279" s="8">
        <v>30</v>
      </c>
      <c r="J279" s="8">
        <v>216</v>
      </c>
      <c r="K279" s="8">
        <v>276</v>
      </c>
      <c r="L279" s="8">
        <v>128</v>
      </c>
      <c r="M279" t="s">
        <v>1307</v>
      </c>
      <c r="N279" s="16" t="s">
        <v>23</v>
      </c>
      <c r="O279" s="16" t="s">
        <v>22</v>
      </c>
      <c r="P279" s="16" t="s">
        <v>37</v>
      </c>
      <c r="Q279" s="10" t="s">
        <v>293</v>
      </c>
      <c r="R279" s="3" t="str">
        <f t="shared" si="8"/>
        <v>101</v>
      </c>
      <c r="S279" s="3" t="str">
        <f t="shared" si="9"/>
        <v>72</v>
      </c>
      <c r="T279" s="16" t="s">
        <v>33</v>
      </c>
      <c r="U279" s="3">
        <v>15.57</v>
      </c>
      <c r="V279" s="16" t="str">
        <f>PROPER(Table1[[#This Row],[CVD Risk Level]])</f>
        <v>High</v>
      </c>
    </row>
    <row r="280" spans="1:22" x14ac:dyDescent="0.3">
      <c r="A280" t="s">
        <v>31</v>
      </c>
      <c r="B280" s="8">
        <v>60</v>
      </c>
      <c r="C280" s="8">
        <v>101.1</v>
      </c>
      <c r="D280" s="5">
        <v>1.89</v>
      </c>
      <c r="E280" s="5">
        <v>28.3</v>
      </c>
      <c r="F280" s="16" t="s">
        <v>1303</v>
      </c>
      <c r="G280" s="11">
        <v>0.40400000000000003</v>
      </c>
      <c r="H280" s="5">
        <v>76.3</v>
      </c>
      <c r="I280" s="8">
        <v>67</v>
      </c>
      <c r="J280" s="8">
        <v>68</v>
      </c>
      <c r="K280" s="8">
        <v>165</v>
      </c>
      <c r="L280" s="8">
        <v>107</v>
      </c>
      <c r="M280" t="s">
        <v>1306</v>
      </c>
      <c r="N280" s="16" t="s">
        <v>22</v>
      </c>
      <c r="O280" s="16" t="s">
        <v>22</v>
      </c>
      <c r="P280" s="16" t="s">
        <v>28</v>
      </c>
      <c r="Q280" s="10" t="s">
        <v>294</v>
      </c>
      <c r="R280" s="3" t="str">
        <f t="shared" si="8"/>
        <v>99</v>
      </c>
      <c r="S280" s="3" t="str">
        <f t="shared" si="9"/>
        <v>76</v>
      </c>
      <c r="T280" s="16" t="s">
        <v>33</v>
      </c>
      <c r="U280" s="3">
        <v>13.91</v>
      </c>
      <c r="V280" s="16" t="str">
        <f>PROPER(Table1[[#This Row],[CVD Risk Level]])</f>
        <v>Intermediary</v>
      </c>
    </row>
    <row r="281" spans="1:22" x14ac:dyDescent="0.3">
      <c r="A281" t="s">
        <v>31</v>
      </c>
      <c r="B281" s="8">
        <v>49</v>
      </c>
      <c r="C281" s="8">
        <v>62.2</v>
      </c>
      <c r="D281" s="5">
        <v>1.7</v>
      </c>
      <c r="E281" s="5">
        <v>21.5</v>
      </c>
      <c r="F281" s="16" t="s">
        <v>33</v>
      </c>
      <c r="G281" s="11">
        <v>0.44647058823529417</v>
      </c>
      <c r="H281" s="5">
        <v>75.900000000000006</v>
      </c>
      <c r="I281" s="8">
        <v>72</v>
      </c>
      <c r="J281" s="8">
        <v>109</v>
      </c>
      <c r="K281" s="8">
        <v>211</v>
      </c>
      <c r="L281" s="8">
        <v>86</v>
      </c>
      <c r="M281" t="s">
        <v>33</v>
      </c>
      <c r="N281" s="16" t="s">
        <v>23</v>
      </c>
      <c r="O281" s="16" t="s">
        <v>22</v>
      </c>
      <c r="P281" s="16" t="s">
        <v>37</v>
      </c>
      <c r="Q281" s="10" t="s">
        <v>295</v>
      </c>
      <c r="R281" s="3" t="str">
        <f t="shared" si="8"/>
        <v>150</v>
      </c>
      <c r="S281" s="3" t="str">
        <f t="shared" si="9"/>
        <v>91</v>
      </c>
      <c r="T281" s="16" t="s">
        <v>38</v>
      </c>
      <c r="U281" s="3">
        <v>16.02</v>
      </c>
      <c r="V281" s="16" t="str">
        <f>PROPER(Table1[[#This Row],[CVD Risk Level]])</f>
        <v>High</v>
      </c>
    </row>
    <row r="282" spans="1:22" x14ac:dyDescent="0.3">
      <c r="A282" t="s">
        <v>31</v>
      </c>
      <c r="B282" s="8">
        <v>31</v>
      </c>
      <c r="C282" s="8">
        <v>96</v>
      </c>
      <c r="D282" s="5">
        <v>1.85</v>
      </c>
      <c r="E282" s="5">
        <v>28</v>
      </c>
      <c r="F282" s="16" t="s">
        <v>1303</v>
      </c>
      <c r="G282" s="11">
        <v>0.42199999999999999</v>
      </c>
      <c r="H282" s="5">
        <v>78.099999999999994</v>
      </c>
      <c r="I282" s="8">
        <v>38</v>
      </c>
      <c r="J282" s="8">
        <v>189</v>
      </c>
      <c r="K282" s="8">
        <v>257</v>
      </c>
      <c r="L282" s="8">
        <v>125</v>
      </c>
      <c r="M282" t="s">
        <v>1306</v>
      </c>
      <c r="N282" s="16" t="s">
        <v>23</v>
      </c>
      <c r="O282" s="16" t="s">
        <v>22</v>
      </c>
      <c r="P282" s="16" t="s">
        <v>28</v>
      </c>
      <c r="Q282" s="10" t="s">
        <v>296</v>
      </c>
      <c r="R282" s="3" t="str">
        <f t="shared" si="8"/>
        <v>139</v>
      </c>
      <c r="S282" s="3" t="str">
        <f t="shared" si="9"/>
        <v>81</v>
      </c>
      <c r="T282" s="16" t="s">
        <v>29</v>
      </c>
      <c r="U282" s="3">
        <v>17.690000000000001</v>
      </c>
      <c r="V282" s="16" t="str">
        <f>PROPER(Table1[[#This Row],[CVD Risk Level]])</f>
        <v>High</v>
      </c>
    </row>
    <row r="283" spans="1:22" x14ac:dyDescent="0.3">
      <c r="A283" t="s">
        <v>20</v>
      </c>
      <c r="B283" s="8">
        <v>52</v>
      </c>
      <c r="C283" s="8">
        <v>116.8</v>
      </c>
      <c r="D283" s="5">
        <v>1.62</v>
      </c>
      <c r="E283" s="5">
        <v>44.5</v>
      </c>
      <c r="F283" s="16" t="s">
        <v>1302</v>
      </c>
      <c r="G283" s="11">
        <v>0.63300000000000001</v>
      </c>
      <c r="H283" s="5">
        <v>102.6</v>
      </c>
      <c r="I283" s="8">
        <v>46</v>
      </c>
      <c r="J283" s="8">
        <v>132</v>
      </c>
      <c r="K283" s="8">
        <v>208</v>
      </c>
      <c r="L283" s="8">
        <v>123</v>
      </c>
      <c r="M283" t="s">
        <v>1306</v>
      </c>
      <c r="N283" s="16" t="s">
        <v>23</v>
      </c>
      <c r="O283" s="16" t="s">
        <v>23</v>
      </c>
      <c r="P283" s="16" t="s">
        <v>24</v>
      </c>
      <c r="Q283" s="10" t="s">
        <v>297</v>
      </c>
      <c r="R283" s="3" t="str">
        <f t="shared" si="8"/>
        <v>104</v>
      </c>
      <c r="S283" s="3" t="str">
        <f t="shared" si="9"/>
        <v>83</v>
      </c>
      <c r="T283" s="16" t="s">
        <v>29</v>
      </c>
      <c r="U283" s="3">
        <v>20.260000000000002</v>
      </c>
      <c r="V283" s="16" t="str">
        <f>PROPER(Table1[[#This Row],[CVD Risk Level]])</f>
        <v>High</v>
      </c>
    </row>
    <row r="284" spans="1:22" x14ac:dyDescent="0.3">
      <c r="A284" t="s">
        <v>31</v>
      </c>
      <c r="B284" s="8">
        <v>34</v>
      </c>
      <c r="C284" s="8">
        <v>99.4</v>
      </c>
      <c r="D284" s="5">
        <v>1.7</v>
      </c>
      <c r="E284" s="5">
        <v>34.4</v>
      </c>
      <c r="F284" s="16" t="s">
        <v>1302</v>
      </c>
      <c r="G284" s="11">
        <v>0.51400000000000001</v>
      </c>
      <c r="H284" s="5">
        <v>87.4</v>
      </c>
      <c r="I284" s="8">
        <v>33</v>
      </c>
      <c r="J284" s="8">
        <v>50</v>
      </c>
      <c r="K284" s="8">
        <v>113</v>
      </c>
      <c r="L284" s="8">
        <v>116</v>
      </c>
      <c r="M284" t="s">
        <v>1306</v>
      </c>
      <c r="N284" s="16" t="s">
        <v>23</v>
      </c>
      <c r="O284" s="16" t="s">
        <v>22</v>
      </c>
      <c r="P284" s="16" t="s">
        <v>24</v>
      </c>
      <c r="Q284" s="10" t="s">
        <v>208</v>
      </c>
      <c r="R284" s="3" t="str">
        <f t="shared" si="8"/>
        <v>111</v>
      </c>
      <c r="S284" s="3" t="str">
        <f t="shared" si="9"/>
        <v>84</v>
      </c>
      <c r="T284" s="16" t="s">
        <v>29</v>
      </c>
      <c r="U284" s="3">
        <v>14.69</v>
      </c>
      <c r="V284" s="16" t="str">
        <f>PROPER(Table1[[#This Row],[CVD Risk Level]])</f>
        <v>High</v>
      </c>
    </row>
    <row r="285" spans="1:22" x14ac:dyDescent="0.3">
      <c r="A285" t="s">
        <v>20</v>
      </c>
      <c r="B285" s="8">
        <v>60</v>
      </c>
      <c r="C285" s="8">
        <v>53.4</v>
      </c>
      <c r="D285" s="5">
        <v>1.88</v>
      </c>
      <c r="E285" s="5">
        <v>15.1</v>
      </c>
      <c r="F285" s="16" t="s">
        <v>1304</v>
      </c>
      <c r="G285" s="11">
        <v>0.42399999999999999</v>
      </c>
      <c r="H285" s="5">
        <v>79.8</v>
      </c>
      <c r="I285" s="8">
        <v>44</v>
      </c>
      <c r="J285" s="8">
        <v>72</v>
      </c>
      <c r="K285" s="8">
        <v>146</v>
      </c>
      <c r="L285" s="8">
        <v>127</v>
      </c>
      <c r="M285" t="s">
        <v>1307</v>
      </c>
      <c r="N285" s="16" t="s">
        <v>22</v>
      </c>
      <c r="O285" s="16" t="s">
        <v>22</v>
      </c>
      <c r="P285" s="16" t="s">
        <v>28</v>
      </c>
      <c r="Q285" s="10" t="s">
        <v>298</v>
      </c>
      <c r="R285" s="3" t="str">
        <f t="shared" si="8"/>
        <v>147</v>
      </c>
      <c r="S285" s="3" t="str">
        <f t="shared" si="9"/>
        <v>64</v>
      </c>
      <c r="T285" s="16" t="s">
        <v>38</v>
      </c>
      <c r="U285" s="3">
        <v>13.29</v>
      </c>
      <c r="V285" s="16" t="str">
        <f>PROPER(Table1[[#This Row],[CVD Risk Level]])</f>
        <v>Intermediary</v>
      </c>
    </row>
    <row r="286" spans="1:22" x14ac:dyDescent="0.3">
      <c r="A286" t="s">
        <v>20</v>
      </c>
      <c r="B286" s="8">
        <v>34</v>
      </c>
      <c r="C286" s="8">
        <v>94</v>
      </c>
      <c r="D286" s="5">
        <v>1.6</v>
      </c>
      <c r="E286" s="5">
        <v>36.700000000000003</v>
      </c>
      <c r="F286" s="16" t="s">
        <v>1302</v>
      </c>
      <c r="G286" s="11">
        <v>0.52900000000000003</v>
      </c>
      <c r="H286" s="5">
        <v>84.7</v>
      </c>
      <c r="I286" s="8">
        <v>80</v>
      </c>
      <c r="J286" s="8">
        <v>46</v>
      </c>
      <c r="K286" s="8">
        <v>156</v>
      </c>
      <c r="L286" s="8">
        <v>90</v>
      </c>
      <c r="M286" t="s">
        <v>33</v>
      </c>
      <c r="N286" s="16" t="s">
        <v>23</v>
      </c>
      <c r="O286" s="16" t="s">
        <v>22</v>
      </c>
      <c r="P286" s="16" t="s">
        <v>24</v>
      </c>
      <c r="Q286" s="10" t="s">
        <v>299</v>
      </c>
      <c r="R286" s="3" t="str">
        <f t="shared" si="8"/>
        <v>117</v>
      </c>
      <c r="S286" s="3" t="str">
        <f t="shared" si="9"/>
        <v>69</v>
      </c>
      <c r="T286" s="16" t="s">
        <v>33</v>
      </c>
      <c r="U286" s="3">
        <v>16.309999999999999</v>
      </c>
      <c r="V286" s="16" t="str">
        <f>PROPER(Table1[[#This Row],[CVD Risk Level]])</f>
        <v>High</v>
      </c>
    </row>
    <row r="287" spans="1:22" x14ac:dyDescent="0.3">
      <c r="A287" t="s">
        <v>31</v>
      </c>
      <c r="B287" s="8">
        <v>32</v>
      </c>
      <c r="C287" s="8">
        <v>55.1</v>
      </c>
      <c r="D287" s="5">
        <v>1.76</v>
      </c>
      <c r="E287" s="5">
        <v>17.8</v>
      </c>
      <c r="F287" s="16" t="s">
        <v>1304</v>
      </c>
      <c r="G287" s="11">
        <v>0.61136363636363633</v>
      </c>
      <c r="H287" s="5">
        <v>107.6</v>
      </c>
      <c r="I287" s="8">
        <v>42</v>
      </c>
      <c r="J287" s="8">
        <v>171</v>
      </c>
      <c r="K287" s="8">
        <v>243</v>
      </c>
      <c r="L287" s="8">
        <v>88</v>
      </c>
      <c r="M287" t="s">
        <v>33</v>
      </c>
      <c r="N287" s="16" t="s">
        <v>22</v>
      </c>
      <c r="O287" s="16" t="s">
        <v>23</v>
      </c>
      <c r="P287" s="16" t="s">
        <v>37</v>
      </c>
      <c r="Q287" s="10" t="s">
        <v>300</v>
      </c>
      <c r="R287" s="3" t="str">
        <f t="shared" si="8"/>
        <v>115</v>
      </c>
      <c r="S287" s="3" t="str">
        <f t="shared" si="9"/>
        <v>100</v>
      </c>
      <c r="T287" s="16" t="s">
        <v>38</v>
      </c>
      <c r="U287" s="3">
        <v>16.170000000000002</v>
      </c>
      <c r="V287" s="16" t="str">
        <f>PROPER(Table1[[#This Row],[CVD Risk Level]])</f>
        <v>Intermediary</v>
      </c>
    </row>
    <row r="288" spans="1:22" x14ac:dyDescent="0.3">
      <c r="A288" t="s">
        <v>31</v>
      </c>
      <c r="B288" s="8">
        <v>55</v>
      </c>
      <c r="C288" s="8">
        <v>69.3</v>
      </c>
      <c r="D288" s="5">
        <v>1.79</v>
      </c>
      <c r="E288" s="5">
        <v>21.6</v>
      </c>
      <c r="F288" s="16" t="s">
        <v>33</v>
      </c>
      <c r="G288" s="11">
        <v>0.53</v>
      </c>
      <c r="H288" s="5">
        <v>94.87</v>
      </c>
      <c r="I288" s="8">
        <v>43</v>
      </c>
      <c r="J288" s="8">
        <v>151</v>
      </c>
      <c r="K288" s="8">
        <v>224</v>
      </c>
      <c r="L288" s="8">
        <v>141</v>
      </c>
      <c r="M288" t="s">
        <v>1307</v>
      </c>
      <c r="N288" s="16" t="s">
        <v>22</v>
      </c>
      <c r="O288" s="16" t="s">
        <v>23</v>
      </c>
      <c r="P288" s="16" t="s">
        <v>28</v>
      </c>
      <c r="Q288" s="10" t="s">
        <v>301</v>
      </c>
      <c r="R288" s="3" t="str">
        <f t="shared" si="8"/>
        <v>141</v>
      </c>
      <c r="S288" s="3" t="str">
        <f t="shared" si="9"/>
        <v>85</v>
      </c>
      <c r="T288" s="16" t="s">
        <v>29</v>
      </c>
      <c r="U288" s="3">
        <v>17.850000000000001</v>
      </c>
      <c r="V288" s="16" t="str">
        <f>PROPER(Table1[[#This Row],[CVD Risk Level]])</f>
        <v>High</v>
      </c>
    </row>
    <row r="289" spans="1:22" x14ac:dyDescent="0.3">
      <c r="A289" t="s">
        <v>31</v>
      </c>
      <c r="B289" s="8">
        <v>48</v>
      </c>
      <c r="C289" s="8">
        <v>72.2</v>
      </c>
      <c r="D289" s="5">
        <v>1.72</v>
      </c>
      <c r="E289" s="5">
        <v>24.4</v>
      </c>
      <c r="F289" s="16" t="s">
        <v>33</v>
      </c>
      <c r="G289" s="11">
        <v>0.50523255813953494</v>
      </c>
      <c r="H289" s="5">
        <v>86.9</v>
      </c>
      <c r="I289" s="8">
        <v>35</v>
      </c>
      <c r="J289" s="8">
        <v>62</v>
      </c>
      <c r="K289" s="8">
        <v>127</v>
      </c>
      <c r="L289" s="8">
        <v>117.48563611491107</v>
      </c>
      <c r="M289" t="s">
        <v>1306</v>
      </c>
      <c r="N289" s="16" t="s">
        <v>23</v>
      </c>
      <c r="O289" s="16" t="s">
        <v>22</v>
      </c>
      <c r="P289" s="16" t="s">
        <v>28</v>
      </c>
      <c r="Q289" s="10" t="s">
        <v>302</v>
      </c>
      <c r="R289" s="3" t="str">
        <f t="shared" si="8"/>
        <v>110</v>
      </c>
      <c r="S289" s="3" t="str">
        <f t="shared" si="9"/>
        <v>77</v>
      </c>
      <c r="T289" s="16" t="s">
        <v>33</v>
      </c>
      <c r="U289" s="3">
        <v>12.92</v>
      </c>
      <c r="V289" s="16" t="str">
        <f>PROPER(Table1[[#This Row],[CVD Risk Level]])</f>
        <v>Intermediary</v>
      </c>
    </row>
    <row r="290" spans="1:22" x14ac:dyDescent="0.3">
      <c r="A290" t="s">
        <v>20</v>
      </c>
      <c r="B290" s="8">
        <v>56</v>
      </c>
      <c r="C290" s="8">
        <v>77.7</v>
      </c>
      <c r="D290" s="5">
        <v>1.62</v>
      </c>
      <c r="E290" s="5">
        <v>29.6</v>
      </c>
      <c r="F290" s="16" t="s">
        <v>1303</v>
      </c>
      <c r="G290" s="11">
        <v>0.58499999999999996</v>
      </c>
      <c r="H290" s="5">
        <v>94.7</v>
      </c>
      <c r="I290" s="8">
        <v>52</v>
      </c>
      <c r="J290" s="8">
        <v>188</v>
      </c>
      <c r="K290" s="8">
        <v>480</v>
      </c>
      <c r="L290" s="8">
        <v>144</v>
      </c>
      <c r="M290" t="s">
        <v>1307</v>
      </c>
      <c r="N290" s="16" t="s">
        <v>22</v>
      </c>
      <c r="O290" s="16" t="s">
        <v>22</v>
      </c>
      <c r="P290" s="16" t="s">
        <v>24</v>
      </c>
      <c r="Q290" s="10" t="s">
        <v>86</v>
      </c>
      <c r="R290" s="3" t="str">
        <f t="shared" si="8"/>
        <v>102</v>
      </c>
      <c r="S290" s="3" t="str">
        <f t="shared" si="9"/>
        <v>71</v>
      </c>
      <c r="T290" s="16" t="s">
        <v>33</v>
      </c>
      <c r="U290" s="3">
        <v>16.420000000000002</v>
      </c>
      <c r="V290" s="16" t="str">
        <f>PROPER(Table1[[#This Row],[CVD Risk Level]])</f>
        <v>High</v>
      </c>
    </row>
    <row r="291" spans="1:22" x14ac:dyDescent="0.3">
      <c r="A291" t="s">
        <v>20</v>
      </c>
      <c r="B291" s="8">
        <v>47</v>
      </c>
      <c r="C291" s="8">
        <v>112.9</v>
      </c>
      <c r="D291" s="5">
        <v>1.75</v>
      </c>
      <c r="E291" s="5">
        <v>36.9</v>
      </c>
      <c r="F291" s="16" t="s">
        <v>1302</v>
      </c>
      <c r="G291" s="11">
        <v>0.56000000000000005</v>
      </c>
      <c r="H291" s="5">
        <v>98</v>
      </c>
      <c r="I291" s="8">
        <v>64</v>
      </c>
      <c r="J291" s="8">
        <v>69</v>
      </c>
      <c r="K291" s="8">
        <v>163</v>
      </c>
      <c r="L291" s="8">
        <v>82</v>
      </c>
      <c r="M291" t="s">
        <v>33</v>
      </c>
      <c r="N291" s="16" t="s">
        <v>23</v>
      </c>
      <c r="O291" s="16" t="s">
        <v>23</v>
      </c>
      <c r="P291" s="16" t="s">
        <v>28</v>
      </c>
      <c r="Q291" s="10" t="s">
        <v>303</v>
      </c>
      <c r="R291" s="3" t="str">
        <f t="shared" si="8"/>
        <v>136</v>
      </c>
      <c r="S291" s="3" t="str">
        <f t="shared" si="9"/>
        <v>85</v>
      </c>
      <c r="T291" s="16" t="s">
        <v>29</v>
      </c>
      <c r="U291" s="3">
        <v>19.440000000000001</v>
      </c>
      <c r="V291" s="16" t="str">
        <f>PROPER(Table1[[#This Row],[CVD Risk Level]])</f>
        <v>High</v>
      </c>
    </row>
    <row r="292" spans="1:22" x14ac:dyDescent="0.3">
      <c r="A292" t="s">
        <v>31</v>
      </c>
      <c r="B292" s="8">
        <v>59</v>
      </c>
      <c r="C292" s="8">
        <v>104.6</v>
      </c>
      <c r="D292" s="5">
        <v>1.67</v>
      </c>
      <c r="E292" s="5">
        <v>37.5</v>
      </c>
      <c r="F292" s="16" t="s">
        <v>1302</v>
      </c>
      <c r="G292" s="11">
        <v>0.65100000000000002</v>
      </c>
      <c r="H292" s="5">
        <v>108.7</v>
      </c>
      <c r="I292" s="8">
        <v>67</v>
      </c>
      <c r="J292" s="8">
        <v>55</v>
      </c>
      <c r="K292" s="8">
        <v>152</v>
      </c>
      <c r="L292" s="8">
        <v>83</v>
      </c>
      <c r="M292" t="s">
        <v>33</v>
      </c>
      <c r="N292" s="16" t="s">
        <v>22</v>
      </c>
      <c r="O292" s="16" t="s">
        <v>23</v>
      </c>
      <c r="P292" s="16" t="s">
        <v>37</v>
      </c>
      <c r="Q292" s="10" t="s">
        <v>304</v>
      </c>
      <c r="R292" s="3" t="str">
        <f t="shared" si="8"/>
        <v>145</v>
      </c>
      <c r="S292" s="3" t="str">
        <f t="shared" si="9"/>
        <v>62</v>
      </c>
      <c r="T292" s="16" t="s">
        <v>38</v>
      </c>
      <c r="U292" s="3">
        <v>19.79</v>
      </c>
      <c r="V292" s="16" t="str">
        <f>PROPER(Table1[[#This Row],[CVD Risk Level]])</f>
        <v>High</v>
      </c>
    </row>
    <row r="293" spans="1:22" x14ac:dyDescent="0.3">
      <c r="A293" t="s">
        <v>31</v>
      </c>
      <c r="B293" s="8">
        <v>42</v>
      </c>
      <c r="C293" s="8">
        <v>67.599999999999994</v>
      </c>
      <c r="D293" s="5">
        <v>1.81</v>
      </c>
      <c r="E293" s="5">
        <v>20.6</v>
      </c>
      <c r="F293" s="16" t="s">
        <v>33</v>
      </c>
      <c r="G293" s="11">
        <v>0.54300000000000004</v>
      </c>
      <c r="H293" s="5">
        <v>98.3</v>
      </c>
      <c r="I293" s="8">
        <v>69</v>
      </c>
      <c r="J293" s="8">
        <v>159</v>
      </c>
      <c r="K293" s="8">
        <v>258</v>
      </c>
      <c r="L293" s="8">
        <v>80</v>
      </c>
      <c r="M293" t="s">
        <v>33</v>
      </c>
      <c r="N293" s="16" t="s">
        <v>23</v>
      </c>
      <c r="O293" s="16" t="s">
        <v>23</v>
      </c>
      <c r="P293" s="16" t="s">
        <v>37</v>
      </c>
      <c r="Q293" s="10" t="s">
        <v>305</v>
      </c>
      <c r="R293" s="3" t="str">
        <f t="shared" si="8"/>
        <v>113</v>
      </c>
      <c r="S293" s="3" t="str">
        <f t="shared" si="9"/>
        <v>72</v>
      </c>
      <c r="T293" s="16" t="s">
        <v>33</v>
      </c>
      <c r="U293" s="3">
        <v>16.93</v>
      </c>
      <c r="V293" s="16" t="str">
        <f>PROPER(Table1[[#This Row],[CVD Risk Level]])</f>
        <v>Intermediary</v>
      </c>
    </row>
    <row r="294" spans="1:22" x14ac:dyDescent="0.3">
      <c r="A294" t="s">
        <v>20</v>
      </c>
      <c r="B294" s="8">
        <v>44</v>
      </c>
      <c r="C294" s="8">
        <v>110.3</v>
      </c>
      <c r="D294" s="5">
        <v>1.7</v>
      </c>
      <c r="E294" s="5">
        <v>38.200000000000003</v>
      </c>
      <c r="F294" s="16" t="s">
        <v>1302</v>
      </c>
      <c r="G294" s="11">
        <v>0.59352941176470586</v>
      </c>
      <c r="H294" s="5">
        <v>100.9</v>
      </c>
      <c r="I294" s="8">
        <v>34</v>
      </c>
      <c r="J294" s="8">
        <v>75</v>
      </c>
      <c r="K294" s="8">
        <v>139</v>
      </c>
      <c r="L294" s="8">
        <v>86</v>
      </c>
      <c r="M294" t="s">
        <v>33</v>
      </c>
      <c r="N294" s="16" t="s">
        <v>23</v>
      </c>
      <c r="O294" s="16" t="s">
        <v>22</v>
      </c>
      <c r="P294" s="16" t="s">
        <v>24</v>
      </c>
      <c r="Q294" s="10" t="s">
        <v>306</v>
      </c>
      <c r="R294" s="3" t="str">
        <f t="shared" si="8"/>
        <v>123</v>
      </c>
      <c r="S294" s="3" t="str">
        <f t="shared" si="9"/>
        <v>75</v>
      </c>
      <c r="T294" s="16" t="s">
        <v>25</v>
      </c>
      <c r="U294" s="3">
        <v>16.57</v>
      </c>
      <c r="V294" s="16" t="str">
        <f>PROPER(Table1[[#This Row],[CVD Risk Level]])</f>
        <v>High</v>
      </c>
    </row>
    <row r="295" spans="1:22" x14ac:dyDescent="0.3">
      <c r="A295" t="s">
        <v>20</v>
      </c>
      <c r="B295" s="8">
        <v>59</v>
      </c>
      <c r="C295" s="8">
        <v>78.8</v>
      </c>
      <c r="D295" s="5">
        <v>1.76</v>
      </c>
      <c r="E295" s="5">
        <v>25.4</v>
      </c>
      <c r="F295" s="16" t="s">
        <v>1303</v>
      </c>
      <c r="G295" s="11">
        <v>0.47727272727272729</v>
      </c>
      <c r="H295" s="5">
        <v>84</v>
      </c>
      <c r="I295" s="8">
        <v>60</v>
      </c>
      <c r="J295" s="8">
        <v>15</v>
      </c>
      <c r="K295" s="8">
        <v>105</v>
      </c>
      <c r="L295" s="8">
        <v>99</v>
      </c>
      <c r="M295" t="s">
        <v>33</v>
      </c>
      <c r="N295" s="16" t="s">
        <v>22</v>
      </c>
      <c r="O295" s="16" t="s">
        <v>22</v>
      </c>
      <c r="P295" s="16" t="s">
        <v>37</v>
      </c>
      <c r="Q295" s="10" t="s">
        <v>307</v>
      </c>
      <c r="R295" s="3" t="str">
        <f t="shared" si="8"/>
        <v>99</v>
      </c>
      <c r="S295" s="3" t="str">
        <f t="shared" si="9"/>
        <v>75</v>
      </c>
      <c r="T295" s="16" t="s">
        <v>33</v>
      </c>
      <c r="U295" s="3">
        <v>12.13</v>
      </c>
      <c r="V295" s="16" t="str">
        <f>PROPER(Table1[[#This Row],[CVD Risk Level]])</f>
        <v>Intermediary</v>
      </c>
    </row>
    <row r="296" spans="1:22" x14ac:dyDescent="0.3">
      <c r="A296" t="s">
        <v>20</v>
      </c>
      <c r="B296" s="8">
        <v>49</v>
      </c>
      <c r="C296" s="8">
        <v>61.5</v>
      </c>
      <c r="D296" s="5">
        <v>1.86</v>
      </c>
      <c r="E296" s="5">
        <v>17.8</v>
      </c>
      <c r="F296" s="16" t="s">
        <v>1304</v>
      </c>
      <c r="G296" s="11">
        <v>0.55100000000000005</v>
      </c>
      <c r="H296" s="5">
        <v>102.5</v>
      </c>
      <c r="I296" s="8">
        <v>80</v>
      </c>
      <c r="J296" s="8">
        <v>41</v>
      </c>
      <c r="K296" s="8">
        <v>151</v>
      </c>
      <c r="L296" s="8">
        <v>92</v>
      </c>
      <c r="M296" t="s">
        <v>33</v>
      </c>
      <c r="N296" s="16" t="s">
        <v>22</v>
      </c>
      <c r="O296" s="16" t="s">
        <v>23</v>
      </c>
      <c r="P296" s="16" t="s">
        <v>28</v>
      </c>
      <c r="Q296" s="10" t="s">
        <v>308</v>
      </c>
      <c r="R296" s="3" t="str">
        <f t="shared" si="8"/>
        <v>106</v>
      </c>
      <c r="S296" s="3" t="str">
        <f t="shared" si="9"/>
        <v>61</v>
      </c>
      <c r="T296" s="16" t="s">
        <v>33</v>
      </c>
      <c r="U296" s="3">
        <v>13.88</v>
      </c>
      <c r="V296" s="16" t="str">
        <f>PROPER(Table1[[#This Row],[CVD Risk Level]])</f>
        <v>Intermediary</v>
      </c>
    </row>
    <row r="297" spans="1:22" x14ac:dyDescent="0.3">
      <c r="A297" t="s">
        <v>31</v>
      </c>
      <c r="B297" s="8">
        <v>35</v>
      </c>
      <c r="C297" s="8">
        <v>71.8</v>
      </c>
      <c r="D297" s="5">
        <v>1.61</v>
      </c>
      <c r="E297" s="5">
        <v>27.7</v>
      </c>
      <c r="F297" s="16" t="s">
        <v>1303</v>
      </c>
      <c r="G297" s="11">
        <v>0.66700000000000004</v>
      </c>
      <c r="H297" s="5">
        <v>107.4</v>
      </c>
      <c r="I297" s="8">
        <v>77</v>
      </c>
      <c r="J297" s="8">
        <v>72</v>
      </c>
      <c r="K297" s="8">
        <v>179</v>
      </c>
      <c r="L297" s="8">
        <v>117.48563611491107</v>
      </c>
      <c r="M297" t="s">
        <v>1306</v>
      </c>
      <c r="N297" s="16" t="s">
        <v>22</v>
      </c>
      <c r="O297" s="16" t="s">
        <v>22</v>
      </c>
      <c r="P297" s="16" t="s">
        <v>28</v>
      </c>
      <c r="Q297" s="10" t="s">
        <v>309</v>
      </c>
      <c r="R297" s="3" t="str">
        <f t="shared" si="8"/>
        <v>129</v>
      </c>
      <c r="S297" s="3" t="str">
        <f t="shared" si="9"/>
        <v>77</v>
      </c>
      <c r="T297" s="16" t="s">
        <v>25</v>
      </c>
      <c r="U297" s="3">
        <v>15.57</v>
      </c>
      <c r="V297" s="16" t="str">
        <f>PROPER(Table1[[#This Row],[CVD Risk Level]])</f>
        <v>Low</v>
      </c>
    </row>
    <row r="298" spans="1:22" x14ac:dyDescent="0.3">
      <c r="A298" t="s">
        <v>31</v>
      </c>
      <c r="B298" s="8">
        <v>46</v>
      </c>
      <c r="C298" s="8">
        <v>78.8</v>
      </c>
      <c r="D298" s="5">
        <v>1.7</v>
      </c>
      <c r="E298" s="5">
        <v>27.3</v>
      </c>
      <c r="F298" s="16" t="s">
        <v>1303</v>
      </c>
      <c r="G298" s="11">
        <v>0.42299999999999999</v>
      </c>
      <c r="H298" s="5">
        <v>71.900000000000006</v>
      </c>
      <c r="I298" s="8">
        <v>62</v>
      </c>
      <c r="J298" s="8">
        <v>39</v>
      </c>
      <c r="K298" s="8">
        <v>131</v>
      </c>
      <c r="L298" s="8">
        <v>84</v>
      </c>
      <c r="M298" t="s">
        <v>33</v>
      </c>
      <c r="N298" s="16" t="s">
        <v>22</v>
      </c>
      <c r="O298" s="16" t="s">
        <v>23</v>
      </c>
      <c r="P298" s="16" t="s">
        <v>24</v>
      </c>
      <c r="Q298" s="10" t="s">
        <v>310</v>
      </c>
      <c r="R298" s="3" t="str">
        <f t="shared" si="8"/>
        <v>101</v>
      </c>
      <c r="S298" s="3" t="str">
        <f t="shared" si="9"/>
        <v>78</v>
      </c>
      <c r="T298" s="16" t="s">
        <v>33</v>
      </c>
      <c r="U298" s="3">
        <v>15.13</v>
      </c>
      <c r="V298" s="16" t="str">
        <f>PROPER(Table1[[#This Row],[CVD Risk Level]])</f>
        <v>High</v>
      </c>
    </row>
    <row r="299" spans="1:22" x14ac:dyDescent="0.3">
      <c r="A299" t="s">
        <v>31</v>
      </c>
      <c r="B299" s="8">
        <v>45</v>
      </c>
      <c r="C299" s="8">
        <v>106.9</v>
      </c>
      <c r="D299" s="5">
        <v>1.79</v>
      </c>
      <c r="E299" s="5">
        <v>33.4</v>
      </c>
      <c r="F299" s="16" t="s">
        <v>1302</v>
      </c>
      <c r="G299" s="11">
        <v>0.52800000000000002</v>
      </c>
      <c r="H299" s="5">
        <v>94.5</v>
      </c>
      <c r="I299" s="8">
        <v>74</v>
      </c>
      <c r="J299" s="8">
        <v>124</v>
      </c>
      <c r="K299" s="8">
        <v>228</v>
      </c>
      <c r="L299" s="8">
        <v>140</v>
      </c>
      <c r="M299" t="s">
        <v>1307</v>
      </c>
      <c r="N299" s="16" t="s">
        <v>23</v>
      </c>
      <c r="O299" s="16" t="s">
        <v>23</v>
      </c>
      <c r="P299" s="16" t="s">
        <v>37</v>
      </c>
      <c r="Q299" s="10" t="s">
        <v>311</v>
      </c>
      <c r="R299" s="3" t="str">
        <f t="shared" si="8"/>
        <v>98</v>
      </c>
      <c r="S299" s="3" t="str">
        <f t="shared" si="9"/>
        <v>76</v>
      </c>
      <c r="T299" s="16" t="s">
        <v>33</v>
      </c>
      <c r="U299" s="3">
        <v>18.14</v>
      </c>
      <c r="V299" s="16" t="str">
        <f>PROPER(Table1[[#This Row],[CVD Risk Level]])</f>
        <v>High</v>
      </c>
    </row>
    <row r="300" spans="1:22" x14ac:dyDescent="0.3">
      <c r="A300" t="s">
        <v>31</v>
      </c>
      <c r="B300" s="8">
        <v>55</v>
      </c>
      <c r="C300" s="8">
        <v>83</v>
      </c>
      <c r="D300" s="5">
        <v>1.68</v>
      </c>
      <c r="E300" s="5">
        <v>29.4</v>
      </c>
      <c r="F300" s="16" t="s">
        <v>1303</v>
      </c>
      <c r="G300" s="11">
        <v>0.44700000000000001</v>
      </c>
      <c r="H300" s="5">
        <v>75.099999999999994</v>
      </c>
      <c r="I300" s="8">
        <v>65</v>
      </c>
      <c r="J300" s="8">
        <v>9</v>
      </c>
      <c r="K300" s="8">
        <v>104</v>
      </c>
      <c r="L300" s="8">
        <v>138</v>
      </c>
      <c r="M300" t="s">
        <v>1307</v>
      </c>
      <c r="N300" s="16" t="s">
        <v>22</v>
      </c>
      <c r="O300" s="16" t="s">
        <v>22</v>
      </c>
      <c r="P300" s="16" t="s">
        <v>24</v>
      </c>
      <c r="Q300" s="10" t="s">
        <v>312</v>
      </c>
      <c r="R300" s="3" t="str">
        <f t="shared" si="8"/>
        <v>108</v>
      </c>
      <c r="S300" s="3" t="str">
        <f t="shared" si="9"/>
        <v>67</v>
      </c>
      <c r="T300" s="16" t="s">
        <v>33</v>
      </c>
      <c r="U300" s="3">
        <v>13.36</v>
      </c>
      <c r="V300" s="16" t="str">
        <f>PROPER(Table1[[#This Row],[CVD Risk Level]])</f>
        <v>Intermediary</v>
      </c>
    </row>
    <row r="301" spans="1:22" x14ac:dyDescent="0.3">
      <c r="A301" t="s">
        <v>20</v>
      </c>
      <c r="B301" s="8">
        <v>45</v>
      </c>
      <c r="C301" s="8">
        <v>90.3</v>
      </c>
      <c r="D301" s="5">
        <v>1.68</v>
      </c>
      <c r="E301" s="5">
        <v>32</v>
      </c>
      <c r="F301" s="16" t="s">
        <v>1302</v>
      </c>
      <c r="G301" s="11">
        <v>0.503</v>
      </c>
      <c r="H301" s="5">
        <v>84.5</v>
      </c>
      <c r="I301" s="8">
        <v>52</v>
      </c>
      <c r="J301" s="8">
        <v>142</v>
      </c>
      <c r="K301" s="8">
        <v>224</v>
      </c>
      <c r="L301" s="8">
        <v>121</v>
      </c>
      <c r="M301" t="s">
        <v>1306</v>
      </c>
      <c r="N301" s="16" t="s">
        <v>22</v>
      </c>
      <c r="O301" s="16" t="s">
        <v>23</v>
      </c>
      <c r="P301" s="16" t="s">
        <v>24</v>
      </c>
      <c r="Q301" s="10" t="s">
        <v>313</v>
      </c>
      <c r="R301" s="3" t="str">
        <f t="shared" si="8"/>
        <v>121</v>
      </c>
      <c r="S301" s="3" t="str">
        <f t="shared" si="9"/>
        <v>88</v>
      </c>
      <c r="T301" s="16" t="s">
        <v>29</v>
      </c>
      <c r="U301" s="3">
        <v>16.960925291295425</v>
      </c>
      <c r="V301" s="16" t="str">
        <f>PROPER(Table1[[#This Row],[CVD Risk Level]])</f>
        <v>High</v>
      </c>
    </row>
    <row r="302" spans="1:22" x14ac:dyDescent="0.3">
      <c r="A302" t="s">
        <v>20</v>
      </c>
      <c r="B302" s="8">
        <v>53</v>
      </c>
      <c r="C302" s="8">
        <v>114</v>
      </c>
      <c r="D302" s="5">
        <v>1.74</v>
      </c>
      <c r="E302" s="5">
        <v>37.700000000000003</v>
      </c>
      <c r="F302" s="16" t="s">
        <v>1302</v>
      </c>
      <c r="G302" s="11">
        <v>0.59</v>
      </c>
      <c r="H302" s="5">
        <v>102.6</v>
      </c>
      <c r="I302" s="8">
        <v>66</v>
      </c>
      <c r="J302" s="8">
        <v>174</v>
      </c>
      <c r="K302" s="8">
        <v>270</v>
      </c>
      <c r="L302" s="8">
        <v>82</v>
      </c>
      <c r="M302" t="s">
        <v>33</v>
      </c>
      <c r="N302" s="16" t="s">
        <v>22</v>
      </c>
      <c r="O302" s="16" t="s">
        <v>22</v>
      </c>
      <c r="P302" s="16" t="s">
        <v>24</v>
      </c>
      <c r="Q302" s="10" t="s">
        <v>179</v>
      </c>
      <c r="R302" s="3" t="str">
        <f t="shared" si="8"/>
        <v>91</v>
      </c>
      <c r="S302" s="3" t="str">
        <f t="shared" si="9"/>
        <v>79</v>
      </c>
      <c r="T302" s="16" t="s">
        <v>33</v>
      </c>
      <c r="U302" s="3">
        <v>17.489999999999998</v>
      </c>
      <c r="V302" s="16" t="str">
        <f>PROPER(Table1[[#This Row],[CVD Risk Level]])</f>
        <v>High</v>
      </c>
    </row>
    <row r="303" spans="1:22" x14ac:dyDescent="0.3">
      <c r="A303" t="s">
        <v>31</v>
      </c>
      <c r="B303" s="8">
        <v>51</v>
      </c>
      <c r="C303" s="8">
        <v>64.900000000000006</v>
      </c>
      <c r="D303" s="5">
        <v>1.85</v>
      </c>
      <c r="E303" s="5">
        <v>19</v>
      </c>
      <c r="F303" s="16" t="s">
        <v>33</v>
      </c>
      <c r="G303" s="11">
        <v>0.51600000000000001</v>
      </c>
      <c r="H303" s="5">
        <v>95.4</v>
      </c>
      <c r="I303" s="8">
        <v>55</v>
      </c>
      <c r="J303" s="8">
        <v>162</v>
      </c>
      <c r="K303" s="8">
        <v>247</v>
      </c>
      <c r="L303" s="8">
        <v>119</v>
      </c>
      <c r="M303" t="s">
        <v>1306</v>
      </c>
      <c r="N303" s="16" t="s">
        <v>22</v>
      </c>
      <c r="O303" s="16" t="s">
        <v>23</v>
      </c>
      <c r="P303" s="16" t="s">
        <v>24</v>
      </c>
      <c r="Q303" s="10" t="s">
        <v>314</v>
      </c>
      <c r="R303" s="3" t="str">
        <f t="shared" si="8"/>
        <v>91</v>
      </c>
      <c r="S303" s="3" t="str">
        <f t="shared" si="9"/>
        <v>88</v>
      </c>
      <c r="T303" s="16" t="s">
        <v>29</v>
      </c>
      <c r="U303" s="3">
        <v>15.29</v>
      </c>
      <c r="V303" s="16" t="str">
        <f>PROPER(Table1[[#This Row],[CVD Risk Level]])</f>
        <v>High</v>
      </c>
    </row>
    <row r="304" spans="1:22" x14ac:dyDescent="0.3">
      <c r="A304" t="s">
        <v>31</v>
      </c>
      <c r="B304" s="8">
        <v>46</v>
      </c>
      <c r="C304" s="8">
        <v>72</v>
      </c>
      <c r="D304" s="5">
        <v>1.75</v>
      </c>
      <c r="E304" s="5">
        <v>23.5</v>
      </c>
      <c r="F304" s="16" t="s">
        <v>33</v>
      </c>
      <c r="G304" s="11">
        <v>0.50900000000000001</v>
      </c>
      <c r="H304" s="5">
        <v>89.1</v>
      </c>
      <c r="I304" s="8">
        <v>76</v>
      </c>
      <c r="J304" s="8">
        <v>92</v>
      </c>
      <c r="K304" s="8">
        <v>198</v>
      </c>
      <c r="L304" s="8">
        <v>141</v>
      </c>
      <c r="M304" t="s">
        <v>1307</v>
      </c>
      <c r="N304" s="16" t="s">
        <v>22</v>
      </c>
      <c r="O304" s="16" t="s">
        <v>22</v>
      </c>
      <c r="P304" s="16" t="s">
        <v>24</v>
      </c>
      <c r="Q304" s="10" t="s">
        <v>315</v>
      </c>
      <c r="R304" s="3" t="str">
        <f t="shared" si="8"/>
        <v>100</v>
      </c>
      <c r="S304" s="3" t="str">
        <f t="shared" si="9"/>
        <v>90</v>
      </c>
      <c r="T304" s="16" t="s">
        <v>38</v>
      </c>
      <c r="U304" s="3">
        <v>13.66</v>
      </c>
      <c r="V304" s="16" t="str">
        <f>PROPER(Table1[[#This Row],[CVD Risk Level]])</f>
        <v>Intermediary</v>
      </c>
    </row>
    <row r="305" spans="1:22" x14ac:dyDescent="0.3">
      <c r="A305" t="s">
        <v>31</v>
      </c>
      <c r="B305" s="8">
        <v>33</v>
      </c>
      <c r="C305" s="8">
        <v>94.4</v>
      </c>
      <c r="D305" s="5">
        <v>1.7</v>
      </c>
      <c r="E305" s="5">
        <v>32.664359861591699</v>
      </c>
      <c r="F305" s="16" t="s">
        <v>1302</v>
      </c>
      <c r="G305" s="11">
        <v>0.45300000000000001</v>
      </c>
      <c r="H305" s="5">
        <v>77</v>
      </c>
      <c r="I305" s="8">
        <v>71</v>
      </c>
      <c r="J305" s="8">
        <v>26</v>
      </c>
      <c r="K305" s="8">
        <v>127</v>
      </c>
      <c r="L305" s="8">
        <v>147</v>
      </c>
      <c r="M305" t="s">
        <v>1307</v>
      </c>
      <c r="N305" s="16" t="s">
        <v>22</v>
      </c>
      <c r="O305" s="16" t="s">
        <v>23</v>
      </c>
      <c r="P305" s="16" t="s">
        <v>37</v>
      </c>
      <c r="Q305" s="10" t="s">
        <v>316</v>
      </c>
      <c r="R305" s="3" t="str">
        <f t="shared" si="8"/>
        <v>104</v>
      </c>
      <c r="S305" s="3" t="str">
        <f t="shared" si="9"/>
        <v>85</v>
      </c>
      <c r="T305" s="16" t="s">
        <v>29</v>
      </c>
      <c r="U305" s="3">
        <v>16.28</v>
      </c>
      <c r="V305" s="16" t="str">
        <f>PROPER(Table1[[#This Row],[CVD Risk Level]])</f>
        <v>Intermediary</v>
      </c>
    </row>
    <row r="306" spans="1:22" x14ac:dyDescent="0.3">
      <c r="A306" t="s">
        <v>20</v>
      </c>
      <c r="B306" s="8">
        <v>46</v>
      </c>
      <c r="C306" s="8">
        <v>104.5</v>
      </c>
      <c r="D306" s="5">
        <v>1.65</v>
      </c>
      <c r="E306" s="5">
        <v>38.383838383838388</v>
      </c>
      <c r="F306" s="16" t="s">
        <v>1302</v>
      </c>
      <c r="G306" s="11">
        <v>0.64500000000000002</v>
      </c>
      <c r="H306" s="5">
        <v>106.4</v>
      </c>
      <c r="I306" s="8">
        <v>48</v>
      </c>
      <c r="J306" s="8">
        <v>59</v>
      </c>
      <c r="K306" s="8">
        <v>214</v>
      </c>
      <c r="L306" s="8">
        <v>88</v>
      </c>
      <c r="M306" t="s">
        <v>33</v>
      </c>
      <c r="N306" s="16" t="s">
        <v>22</v>
      </c>
      <c r="O306" s="16" t="s">
        <v>23</v>
      </c>
      <c r="P306" s="16" t="s">
        <v>28</v>
      </c>
      <c r="Q306" s="10" t="s">
        <v>317</v>
      </c>
      <c r="R306" s="3" t="str">
        <f t="shared" si="8"/>
        <v>129</v>
      </c>
      <c r="S306" s="3" t="str">
        <f t="shared" si="9"/>
        <v>63</v>
      </c>
      <c r="T306" s="16" t="s">
        <v>25</v>
      </c>
      <c r="U306" s="3">
        <v>18.87</v>
      </c>
      <c r="V306" s="16" t="str">
        <f>PROPER(Table1[[#This Row],[CVD Risk Level]])</f>
        <v>Intermediary</v>
      </c>
    </row>
    <row r="307" spans="1:22" x14ac:dyDescent="0.3">
      <c r="A307" t="s">
        <v>31</v>
      </c>
      <c r="B307" s="8">
        <v>30</v>
      </c>
      <c r="C307" s="8">
        <v>79.2</v>
      </c>
      <c r="D307" s="5">
        <v>1.63</v>
      </c>
      <c r="E307" s="5">
        <v>29.8</v>
      </c>
      <c r="F307" s="16" t="s">
        <v>1303</v>
      </c>
      <c r="G307" s="11">
        <v>0.443</v>
      </c>
      <c r="H307" s="5">
        <v>72.2</v>
      </c>
      <c r="I307" s="8">
        <v>45</v>
      </c>
      <c r="J307" s="8">
        <v>33</v>
      </c>
      <c r="K307" s="8">
        <v>108</v>
      </c>
      <c r="L307" s="8">
        <v>88</v>
      </c>
      <c r="M307" t="s">
        <v>33</v>
      </c>
      <c r="N307" s="16" t="s">
        <v>23</v>
      </c>
      <c r="O307" s="16" t="s">
        <v>23</v>
      </c>
      <c r="P307" s="16" t="s">
        <v>24</v>
      </c>
      <c r="Q307" s="10" t="s">
        <v>318</v>
      </c>
      <c r="R307" s="3" t="str">
        <f t="shared" si="8"/>
        <v>128</v>
      </c>
      <c r="S307" s="3" t="str">
        <f t="shared" si="9"/>
        <v>88</v>
      </c>
      <c r="T307" s="16" t="s">
        <v>29</v>
      </c>
      <c r="U307" s="3">
        <v>16.960925291295425</v>
      </c>
      <c r="V307" s="16" t="str">
        <f>PROPER(Table1[[#This Row],[CVD Risk Level]])</f>
        <v>High</v>
      </c>
    </row>
    <row r="308" spans="1:22" x14ac:dyDescent="0.3">
      <c r="A308" t="s">
        <v>20</v>
      </c>
      <c r="B308" s="8">
        <v>43</v>
      </c>
      <c r="C308" s="8">
        <v>95.6</v>
      </c>
      <c r="D308" s="5">
        <v>1.68</v>
      </c>
      <c r="E308" s="5">
        <v>33.9</v>
      </c>
      <c r="F308" s="16" t="s">
        <v>1302</v>
      </c>
      <c r="G308" s="11">
        <v>0.56000000000000005</v>
      </c>
      <c r="H308" s="5">
        <v>94</v>
      </c>
      <c r="I308" s="8">
        <v>52</v>
      </c>
      <c r="J308" s="8">
        <v>34</v>
      </c>
      <c r="K308" s="8">
        <v>116</v>
      </c>
      <c r="L308" s="8">
        <v>103</v>
      </c>
      <c r="M308" t="s">
        <v>1306</v>
      </c>
      <c r="N308" s="16" t="s">
        <v>22</v>
      </c>
      <c r="O308" s="16" t="s">
        <v>23</v>
      </c>
      <c r="P308" s="16" t="s">
        <v>28</v>
      </c>
      <c r="Q308" s="10" t="s">
        <v>319</v>
      </c>
      <c r="R308" s="3" t="str">
        <f t="shared" si="8"/>
        <v>124</v>
      </c>
      <c r="S308" s="3" t="str">
        <f t="shared" si="9"/>
        <v>91</v>
      </c>
      <c r="T308" s="16" t="s">
        <v>38</v>
      </c>
      <c r="U308" s="3">
        <v>17.3</v>
      </c>
      <c r="V308" s="16" t="str">
        <f>PROPER(Table1[[#This Row],[CVD Risk Level]])</f>
        <v>Intermediary</v>
      </c>
    </row>
    <row r="309" spans="1:22" x14ac:dyDescent="0.3">
      <c r="A309" t="s">
        <v>31</v>
      </c>
      <c r="B309" s="8">
        <v>45</v>
      </c>
      <c r="C309" s="8">
        <v>74.7</v>
      </c>
      <c r="D309" s="5">
        <v>1.84</v>
      </c>
      <c r="E309" s="5">
        <v>22.1</v>
      </c>
      <c r="F309" s="16" t="s">
        <v>33</v>
      </c>
      <c r="G309" s="11">
        <v>0.48399999999999999</v>
      </c>
      <c r="H309" s="5">
        <v>89.1</v>
      </c>
      <c r="I309" s="8">
        <v>39</v>
      </c>
      <c r="J309" s="8">
        <v>222</v>
      </c>
      <c r="K309" s="8">
        <v>291</v>
      </c>
      <c r="L309" s="8">
        <v>132</v>
      </c>
      <c r="M309" t="s">
        <v>1307</v>
      </c>
      <c r="N309" s="16" t="s">
        <v>23</v>
      </c>
      <c r="O309" s="16" t="s">
        <v>22</v>
      </c>
      <c r="P309" s="16" t="s">
        <v>37</v>
      </c>
      <c r="Q309" s="10" t="s">
        <v>320</v>
      </c>
      <c r="R309" s="3" t="str">
        <f t="shared" si="8"/>
        <v>131</v>
      </c>
      <c r="S309" s="3" t="str">
        <f t="shared" si="9"/>
        <v>67</v>
      </c>
      <c r="T309" s="16" t="s">
        <v>29</v>
      </c>
      <c r="U309" s="3">
        <v>16.79</v>
      </c>
      <c r="V309" s="16" t="str">
        <f>PROPER(Table1[[#This Row],[CVD Risk Level]])</f>
        <v>Intermediary</v>
      </c>
    </row>
    <row r="310" spans="1:22" x14ac:dyDescent="0.3">
      <c r="A310" t="s">
        <v>20</v>
      </c>
      <c r="B310" s="8">
        <v>35</v>
      </c>
      <c r="C310" s="8">
        <v>77.599999999999994</v>
      </c>
      <c r="D310" s="5">
        <v>1.78</v>
      </c>
      <c r="E310" s="5">
        <v>24.5</v>
      </c>
      <c r="F310" s="16" t="s">
        <v>33</v>
      </c>
      <c r="G310" s="11">
        <v>0.47499999999999998</v>
      </c>
      <c r="H310" s="5">
        <v>84.6</v>
      </c>
      <c r="I310" s="8">
        <v>76</v>
      </c>
      <c r="J310" s="8">
        <v>37</v>
      </c>
      <c r="K310" s="8">
        <v>143</v>
      </c>
      <c r="L310" s="8">
        <v>108</v>
      </c>
      <c r="M310" t="s">
        <v>1306</v>
      </c>
      <c r="N310" s="16" t="s">
        <v>22</v>
      </c>
      <c r="O310" s="16" t="s">
        <v>22</v>
      </c>
      <c r="P310" s="16" t="s">
        <v>24</v>
      </c>
      <c r="Q310" s="10" t="s">
        <v>321</v>
      </c>
      <c r="R310" s="3" t="str">
        <f t="shared" si="8"/>
        <v>124</v>
      </c>
      <c r="S310" s="3" t="str">
        <f t="shared" si="9"/>
        <v>90</v>
      </c>
      <c r="T310" s="16" t="s">
        <v>38</v>
      </c>
      <c r="U310" s="3">
        <v>13.96</v>
      </c>
      <c r="V310" s="16" t="str">
        <f>PROPER(Table1[[#This Row],[CVD Risk Level]])</f>
        <v>Low</v>
      </c>
    </row>
    <row r="311" spans="1:22" x14ac:dyDescent="0.3">
      <c r="A311" t="s">
        <v>20</v>
      </c>
      <c r="B311" s="8">
        <v>58</v>
      </c>
      <c r="C311" s="8">
        <v>91.4</v>
      </c>
      <c r="D311" s="5">
        <v>1.61</v>
      </c>
      <c r="E311" s="5">
        <v>35.299999999999997</v>
      </c>
      <c r="F311" s="16" t="s">
        <v>1302</v>
      </c>
      <c r="G311" s="11">
        <v>0.57999999999999996</v>
      </c>
      <c r="H311" s="5">
        <v>93.3</v>
      </c>
      <c r="I311" s="8">
        <v>69</v>
      </c>
      <c r="J311" s="8">
        <v>18</v>
      </c>
      <c r="K311" s="8">
        <v>174</v>
      </c>
      <c r="L311" s="8">
        <v>117</v>
      </c>
      <c r="M311" t="s">
        <v>1306</v>
      </c>
      <c r="N311" s="16" t="s">
        <v>23</v>
      </c>
      <c r="O311" s="16" t="s">
        <v>23</v>
      </c>
      <c r="P311" s="16" t="s">
        <v>37</v>
      </c>
      <c r="Q311" s="10" t="s">
        <v>322</v>
      </c>
      <c r="R311" s="3" t="str">
        <f t="shared" si="8"/>
        <v>111</v>
      </c>
      <c r="S311" s="3" t="str">
        <f t="shared" si="9"/>
        <v>78</v>
      </c>
      <c r="T311" s="16" t="s">
        <v>33</v>
      </c>
      <c r="U311" s="3">
        <v>16.95</v>
      </c>
      <c r="V311" s="16" t="str">
        <f>PROPER(Table1[[#This Row],[CVD Risk Level]])</f>
        <v>High</v>
      </c>
    </row>
    <row r="312" spans="1:22" x14ac:dyDescent="0.3">
      <c r="A312" t="s">
        <v>20</v>
      </c>
      <c r="B312" s="8">
        <v>34</v>
      </c>
      <c r="C312" s="8">
        <v>91.9</v>
      </c>
      <c r="D312" s="5">
        <v>1.74</v>
      </c>
      <c r="E312" s="5">
        <v>30.4</v>
      </c>
      <c r="F312" s="16" t="s">
        <v>1302</v>
      </c>
      <c r="G312" s="11">
        <v>0.41499999999999998</v>
      </c>
      <c r="H312" s="5">
        <v>72.2</v>
      </c>
      <c r="I312" s="8">
        <v>56.197377501725327</v>
      </c>
      <c r="J312" s="8">
        <v>95</v>
      </c>
      <c r="K312" s="8">
        <v>186</v>
      </c>
      <c r="L312" s="8">
        <v>117.48563611491107</v>
      </c>
      <c r="M312" t="s">
        <v>1306</v>
      </c>
      <c r="N312" s="16" t="s">
        <v>22</v>
      </c>
      <c r="O312" s="16" t="s">
        <v>22</v>
      </c>
      <c r="P312" s="16" t="s">
        <v>37</v>
      </c>
      <c r="Q312" s="10" t="s">
        <v>151</v>
      </c>
      <c r="R312" s="3" t="str">
        <f t="shared" si="8"/>
        <v>137</v>
      </c>
      <c r="S312" s="3" t="str">
        <f t="shared" si="9"/>
        <v>82</v>
      </c>
      <c r="T312" s="16" t="s">
        <v>29</v>
      </c>
      <c r="U312" s="3">
        <v>16.649999999999999</v>
      </c>
      <c r="V312" s="16" t="str">
        <f>PROPER(Table1[[#This Row],[CVD Risk Level]])</f>
        <v>Intermediary</v>
      </c>
    </row>
    <row r="313" spans="1:22" x14ac:dyDescent="0.3">
      <c r="A313" t="s">
        <v>31</v>
      </c>
      <c r="B313" s="8">
        <v>31</v>
      </c>
      <c r="C313" s="8">
        <v>87.9</v>
      </c>
      <c r="D313" s="5">
        <v>1.9</v>
      </c>
      <c r="E313" s="5">
        <v>24.3</v>
      </c>
      <c r="F313" s="16" t="s">
        <v>33</v>
      </c>
      <c r="G313" s="11">
        <v>0.54600000000000004</v>
      </c>
      <c r="H313" s="5">
        <v>103.7</v>
      </c>
      <c r="I313" s="8">
        <v>56</v>
      </c>
      <c r="J313" s="8">
        <v>92</v>
      </c>
      <c r="K313" s="8">
        <v>178</v>
      </c>
      <c r="L313" s="8">
        <v>78</v>
      </c>
      <c r="M313" t="s">
        <v>33</v>
      </c>
      <c r="N313" s="16" t="s">
        <v>23</v>
      </c>
      <c r="O313" s="16" t="s">
        <v>23</v>
      </c>
      <c r="P313" s="16" t="s">
        <v>24</v>
      </c>
      <c r="Q313" s="10" t="s">
        <v>323</v>
      </c>
      <c r="R313" s="3" t="str">
        <f t="shared" si="8"/>
        <v>128</v>
      </c>
      <c r="S313" s="3" t="str">
        <f t="shared" si="9"/>
        <v>93</v>
      </c>
      <c r="T313" s="16" t="s">
        <v>38</v>
      </c>
      <c r="U313" s="3">
        <v>16.82</v>
      </c>
      <c r="V313" s="16" t="str">
        <f>PROPER(Table1[[#This Row],[CVD Risk Level]])</f>
        <v>Intermediary</v>
      </c>
    </row>
    <row r="314" spans="1:22" x14ac:dyDescent="0.3">
      <c r="A314" t="s">
        <v>31</v>
      </c>
      <c r="B314" s="8">
        <v>38</v>
      </c>
      <c r="C314" s="8">
        <v>69.099999999999994</v>
      </c>
      <c r="D314" s="5">
        <v>1.84</v>
      </c>
      <c r="E314" s="5">
        <v>20.399999999999999</v>
      </c>
      <c r="F314" s="16" t="s">
        <v>33</v>
      </c>
      <c r="G314" s="11">
        <v>0.52100000000000002</v>
      </c>
      <c r="H314" s="5">
        <v>95.9</v>
      </c>
      <c r="I314" s="8">
        <v>66</v>
      </c>
      <c r="J314" s="8">
        <v>35</v>
      </c>
      <c r="K314" s="8">
        <v>131</v>
      </c>
      <c r="L314" s="8">
        <v>113</v>
      </c>
      <c r="M314" t="s">
        <v>1306</v>
      </c>
      <c r="N314" s="16" t="s">
        <v>22</v>
      </c>
      <c r="O314" s="16" t="s">
        <v>22</v>
      </c>
      <c r="P314" s="16" t="s">
        <v>24</v>
      </c>
      <c r="Q314" s="10" t="s">
        <v>77</v>
      </c>
      <c r="R314" s="3" t="str">
        <f t="shared" si="8"/>
        <v>129</v>
      </c>
      <c r="S314" s="3" t="str">
        <f t="shared" si="9"/>
        <v>78</v>
      </c>
      <c r="T314" s="16" t="s">
        <v>25</v>
      </c>
      <c r="U314" s="3">
        <v>13.15</v>
      </c>
      <c r="V314" s="16" t="str">
        <f>PROPER(Table1[[#This Row],[CVD Risk Level]])</f>
        <v>Low</v>
      </c>
    </row>
    <row r="315" spans="1:22" x14ac:dyDescent="0.3">
      <c r="A315" t="s">
        <v>20</v>
      </c>
      <c r="B315" s="8">
        <v>56</v>
      </c>
      <c r="C315" s="8">
        <v>90</v>
      </c>
      <c r="D315" s="5">
        <v>1.69</v>
      </c>
      <c r="E315" s="5">
        <v>31.5</v>
      </c>
      <c r="F315" s="16" t="s">
        <v>1302</v>
      </c>
      <c r="G315" s="11">
        <v>0.43</v>
      </c>
      <c r="H315" s="5">
        <v>72.599999999999994</v>
      </c>
      <c r="I315" s="8">
        <v>56.197377501725327</v>
      </c>
      <c r="J315" s="8">
        <v>164</v>
      </c>
      <c r="K315" s="8">
        <v>256</v>
      </c>
      <c r="L315" s="8">
        <v>142</v>
      </c>
      <c r="M315" t="s">
        <v>1307</v>
      </c>
      <c r="N315" s="16" t="s">
        <v>23</v>
      </c>
      <c r="O315" s="16" t="s">
        <v>22</v>
      </c>
      <c r="P315" s="16" t="s">
        <v>28</v>
      </c>
      <c r="Q315" s="10" t="s">
        <v>324</v>
      </c>
      <c r="R315" s="3" t="str">
        <f t="shared" si="8"/>
        <v>109</v>
      </c>
      <c r="S315" s="3" t="str">
        <f t="shared" si="9"/>
        <v>67</v>
      </c>
      <c r="T315" s="16" t="s">
        <v>33</v>
      </c>
      <c r="U315" s="3">
        <v>16.87</v>
      </c>
      <c r="V315" s="16" t="str">
        <f>PROPER(Table1[[#This Row],[CVD Risk Level]])</f>
        <v>High</v>
      </c>
    </row>
    <row r="316" spans="1:22" x14ac:dyDescent="0.3">
      <c r="A316" t="s">
        <v>20</v>
      </c>
      <c r="B316" s="8">
        <v>47.025499655410059</v>
      </c>
      <c r="C316" s="8">
        <v>59.2</v>
      </c>
      <c r="D316" s="5">
        <v>1.8</v>
      </c>
      <c r="E316" s="5">
        <v>18.3</v>
      </c>
      <c r="F316" s="16" t="s">
        <v>1304</v>
      </c>
      <c r="G316" s="11">
        <v>0.39900000000000002</v>
      </c>
      <c r="H316" s="5">
        <v>71.900000000000006</v>
      </c>
      <c r="I316" s="8">
        <v>79</v>
      </c>
      <c r="J316" s="8">
        <v>171</v>
      </c>
      <c r="K316" s="8">
        <v>280</v>
      </c>
      <c r="L316" s="8">
        <v>84</v>
      </c>
      <c r="M316" t="s">
        <v>33</v>
      </c>
      <c r="N316" s="16" t="s">
        <v>22</v>
      </c>
      <c r="O316" s="16" t="s">
        <v>22</v>
      </c>
      <c r="P316" s="16" t="s">
        <v>28</v>
      </c>
      <c r="Q316" s="10" t="s">
        <v>325</v>
      </c>
      <c r="R316" s="3" t="str">
        <f t="shared" si="8"/>
        <v>116</v>
      </c>
      <c r="S316" s="3" t="str">
        <f t="shared" si="9"/>
        <v>83</v>
      </c>
      <c r="T316" s="16" t="s">
        <v>29</v>
      </c>
      <c r="U316" s="3">
        <v>15.06</v>
      </c>
      <c r="V316" s="16" t="str">
        <f>PROPER(Table1[[#This Row],[CVD Risk Level]])</f>
        <v>Intermediary</v>
      </c>
    </row>
    <row r="317" spans="1:22" x14ac:dyDescent="0.3">
      <c r="A317" t="s">
        <v>31</v>
      </c>
      <c r="B317" s="8">
        <v>36</v>
      </c>
      <c r="C317" s="8">
        <v>83.7</v>
      </c>
      <c r="D317" s="5">
        <v>1.83</v>
      </c>
      <c r="E317" s="5">
        <v>25</v>
      </c>
      <c r="F317" s="16" t="s">
        <v>1303</v>
      </c>
      <c r="G317" s="11">
        <v>0.46800000000000003</v>
      </c>
      <c r="H317" s="5">
        <v>85.6</v>
      </c>
      <c r="I317" s="8">
        <v>56.197377501725327</v>
      </c>
      <c r="J317" s="8">
        <v>57</v>
      </c>
      <c r="K317" s="8">
        <v>117</v>
      </c>
      <c r="L317" s="8">
        <v>86</v>
      </c>
      <c r="M317" t="s">
        <v>33</v>
      </c>
      <c r="N317" s="16" t="s">
        <v>23</v>
      </c>
      <c r="O317" s="16" t="s">
        <v>22</v>
      </c>
      <c r="P317" s="16" t="s">
        <v>28</v>
      </c>
      <c r="Q317" s="10" t="s">
        <v>326</v>
      </c>
      <c r="R317" s="3" t="str">
        <f t="shared" si="8"/>
        <v>136</v>
      </c>
      <c r="S317" s="3" t="str">
        <f t="shared" si="9"/>
        <v>60</v>
      </c>
      <c r="T317" s="16" t="s">
        <v>29</v>
      </c>
      <c r="U317" s="3">
        <v>14.14</v>
      </c>
      <c r="V317" s="16" t="str">
        <f>PROPER(Table1[[#This Row],[CVD Risk Level]])</f>
        <v>Intermediary</v>
      </c>
    </row>
    <row r="318" spans="1:22" x14ac:dyDescent="0.3">
      <c r="A318" t="s">
        <v>20</v>
      </c>
      <c r="B318" s="8">
        <v>57</v>
      </c>
      <c r="C318" s="8">
        <v>116.3</v>
      </c>
      <c r="D318" s="5">
        <v>1.62</v>
      </c>
      <c r="E318" s="5">
        <v>44.3</v>
      </c>
      <c r="F318" s="16" t="s">
        <v>1302</v>
      </c>
      <c r="G318" s="11">
        <v>0.61199999999999999</v>
      </c>
      <c r="H318" s="5">
        <v>99.1</v>
      </c>
      <c r="I318" s="8">
        <v>52</v>
      </c>
      <c r="J318" s="8">
        <v>109</v>
      </c>
      <c r="K318" s="8">
        <v>293</v>
      </c>
      <c r="L318" s="8">
        <v>139</v>
      </c>
      <c r="M318" t="s">
        <v>1307</v>
      </c>
      <c r="N318" s="16" t="s">
        <v>22</v>
      </c>
      <c r="O318" s="16" t="s">
        <v>23</v>
      </c>
      <c r="P318" s="16" t="s">
        <v>37</v>
      </c>
      <c r="Q318" s="10" t="s">
        <v>327</v>
      </c>
      <c r="R318" s="3" t="str">
        <f t="shared" si="8"/>
        <v>149</v>
      </c>
      <c r="S318" s="3" t="str">
        <f t="shared" si="9"/>
        <v>61</v>
      </c>
      <c r="T318" s="16" t="s">
        <v>38</v>
      </c>
      <c r="U318" s="3">
        <v>24.17</v>
      </c>
      <c r="V318" s="16" t="str">
        <f>PROPER(Table1[[#This Row],[CVD Risk Level]])</f>
        <v>High</v>
      </c>
    </row>
    <row r="319" spans="1:22" x14ac:dyDescent="0.3">
      <c r="A319" t="s">
        <v>20</v>
      </c>
      <c r="B319" s="8">
        <v>59</v>
      </c>
      <c r="C319" s="8">
        <v>50.4</v>
      </c>
      <c r="D319" s="5">
        <v>1.62</v>
      </c>
      <c r="E319" s="5">
        <v>19.2</v>
      </c>
      <c r="F319" s="16" t="s">
        <v>33</v>
      </c>
      <c r="G319" s="11">
        <v>0.57199999999999995</v>
      </c>
      <c r="H319" s="5">
        <v>92.6</v>
      </c>
      <c r="I319" s="8">
        <v>48</v>
      </c>
      <c r="J319" s="8">
        <v>210</v>
      </c>
      <c r="K319" s="8">
        <v>288</v>
      </c>
      <c r="L319" s="8">
        <v>134</v>
      </c>
      <c r="M319" t="s">
        <v>1307</v>
      </c>
      <c r="N319" s="16" t="s">
        <v>22</v>
      </c>
      <c r="O319" s="16" t="s">
        <v>22</v>
      </c>
      <c r="P319" s="16" t="s">
        <v>37</v>
      </c>
      <c r="Q319" s="10" t="s">
        <v>328</v>
      </c>
      <c r="R319" s="3" t="str">
        <f t="shared" si="8"/>
        <v>133</v>
      </c>
      <c r="S319" s="3" t="str">
        <f t="shared" si="9"/>
        <v>74</v>
      </c>
      <c r="T319" s="16" t="s">
        <v>29</v>
      </c>
      <c r="U319" s="3">
        <v>16.25</v>
      </c>
      <c r="V319" s="16" t="str">
        <f>PROPER(Table1[[#This Row],[CVD Risk Level]])</f>
        <v>Intermediary</v>
      </c>
    </row>
    <row r="320" spans="1:22" x14ac:dyDescent="0.3">
      <c r="A320" t="s">
        <v>31</v>
      </c>
      <c r="B320" s="8">
        <v>38</v>
      </c>
      <c r="C320" s="8">
        <v>66.8</v>
      </c>
      <c r="D320" s="5">
        <v>1.81</v>
      </c>
      <c r="E320" s="5">
        <v>20.399999999999999</v>
      </c>
      <c r="F320" s="16" t="s">
        <v>33</v>
      </c>
      <c r="G320" s="11">
        <v>0.55700000000000005</v>
      </c>
      <c r="H320" s="5">
        <v>100.8</v>
      </c>
      <c r="I320" s="8">
        <v>45</v>
      </c>
      <c r="J320" s="8">
        <v>57</v>
      </c>
      <c r="K320" s="8">
        <v>204</v>
      </c>
      <c r="L320" s="8">
        <v>93</v>
      </c>
      <c r="M320" t="s">
        <v>33</v>
      </c>
      <c r="N320" s="16" t="s">
        <v>22</v>
      </c>
      <c r="O320" s="16" t="s">
        <v>22</v>
      </c>
      <c r="P320" s="16" t="s">
        <v>24</v>
      </c>
      <c r="Q320" s="10" t="s">
        <v>329</v>
      </c>
      <c r="R320" s="3" t="str">
        <f t="shared" si="8"/>
        <v>142</v>
      </c>
      <c r="S320" s="3" t="str">
        <f t="shared" si="9"/>
        <v>67</v>
      </c>
      <c r="T320" s="16" t="s">
        <v>38</v>
      </c>
      <c r="U320" s="3">
        <v>13.82</v>
      </c>
      <c r="V320" s="16" t="str">
        <f>PROPER(Table1[[#This Row],[CVD Risk Level]])</f>
        <v>Intermediary</v>
      </c>
    </row>
    <row r="321" spans="1:22" x14ac:dyDescent="0.3">
      <c r="A321" t="s">
        <v>31</v>
      </c>
      <c r="B321" s="8">
        <v>55</v>
      </c>
      <c r="C321" s="8">
        <v>89.935359999999989</v>
      </c>
      <c r="D321" s="5">
        <v>1.72</v>
      </c>
      <c r="E321" s="5">
        <v>30.4</v>
      </c>
      <c r="F321" s="16" t="s">
        <v>1302</v>
      </c>
      <c r="G321" s="11">
        <v>0.53700000000000003</v>
      </c>
      <c r="H321" s="5">
        <v>92.4</v>
      </c>
      <c r="I321" s="8">
        <v>72</v>
      </c>
      <c r="J321" s="8">
        <v>85</v>
      </c>
      <c r="K321" s="8">
        <v>187</v>
      </c>
      <c r="L321" s="8">
        <v>149</v>
      </c>
      <c r="M321" t="s">
        <v>1307</v>
      </c>
      <c r="N321" s="16" t="s">
        <v>23</v>
      </c>
      <c r="O321" s="16" t="s">
        <v>23</v>
      </c>
      <c r="P321" s="16" t="s">
        <v>28</v>
      </c>
      <c r="Q321" s="10" t="s">
        <v>330</v>
      </c>
      <c r="R321" s="3" t="str">
        <f t="shared" si="8"/>
        <v>149</v>
      </c>
      <c r="S321" s="3" t="str">
        <f t="shared" si="9"/>
        <v>93</v>
      </c>
      <c r="T321" s="16" t="s">
        <v>38</v>
      </c>
      <c r="U321" s="3">
        <v>19.27</v>
      </c>
      <c r="V321" s="16" t="str">
        <f>PROPER(Table1[[#This Row],[CVD Risk Level]])</f>
        <v>High</v>
      </c>
    </row>
    <row r="322" spans="1:22" x14ac:dyDescent="0.3">
      <c r="A322" t="s">
        <v>31</v>
      </c>
      <c r="B322" s="8">
        <v>50</v>
      </c>
      <c r="C322" s="8">
        <v>59</v>
      </c>
      <c r="D322" s="5">
        <v>1.71</v>
      </c>
      <c r="E322" s="5">
        <v>20.2</v>
      </c>
      <c r="F322" s="16" t="s">
        <v>33</v>
      </c>
      <c r="G322" s="11">
        <v>0.629</v>
      </c>
      <c r="H322" s="5">
        <v>107.6</v>
      </c>
      <c r="I322" s="8">
        <v>56</v>
      </c>
      <c r="J322" s="8">
        <v>185</v>
      </c>
      <c r="K322" s="8">
        <v>271</v>
      </c>
      <c r="L322" s="8">
        <v>111</v>
      </c>
      <c r="M322" t="s">
        <v>1306</v>
      </c>
      <c r="N322" s="16" t="s">
        <v>23</v>
      </c>
      <c r="O322" s="16" t="s">
        <v>23</v>
      </c>
      <c r="P322" s="16" t="s">
        <v>24</v>
      </c>
      <c r="Q322" s="10" t="s">
        <v>51</v>
      </c>
      <c r="R322" s="3" t="str">
        <f t="shared" si="8"/>
        <v>138</v>
      </c>
      <c r="S322" s="3" t="str">
        <f t="shared" si="9"/>
        <v>96</v>
      </c>
      <c r="T322" s="16" t="s">
        <v>29</v>
      </c>
      <c r="U322" s="3">
        <v>18.36</v>
      </c>
      <c r="V322" s="16" t="str">
        <f>PROPER(Table1[[#This Row],[CVD Risk Level]])</f>
        <v>High</v>
      </c>
    </row>
    <row r="323" spans="1:22" x14ac:dyDescent="0.3">
      <c r="A323" t="s">
        <v>20</v>
      </c>
      <c r="B323" s="8">
        <v>59</v>
      </c>
      <c r="C323" s="8">
        <v>76.900000000000006</v>
      </c>
      <c r="D323" s="5">
        <v>1.8</v>
      </c>
      <c r="E323" s="5">
        <v>23.7</v>
      </c>
      <c r="F323" s="16" t="s">
        <v>33</v>
      </c>
      <c r="G323" s="11">
        <v>0.48399999999999999</v>
      </c>
      <c r="H323" s="5">
        <v>87.12</v>
      </c>
      <c r="I323" s="8">
        <v>57</v>
      </c>
      <c r="J323" s="8">
        <v>207</v>
      </c>
      <c r="K323" s="8">
        <v>294</v>
      </c>
      <c r="L323" s="8">
        <v>150</v>
      </c>
      <c r="M323" t="s">
        <v>1307</v>
      </c>
      <c r="N323" s="16" t="s">
        <v>23</v>
      </c>
      <c r="O323" s="16" t="s">
        <v>22</v>
      </c>
      <c r="P323" s="16" t="s">
        <v>37</v>
      </c>
      <c r="Q323" s="10" t="s">
        <v>331</v>
      </c>
      <c r="R323" s="3" t="str">
        <f t="shared" ref="R323:R386" si="10">LEFT(Q323,FIND("/",Q323)-1)</f>
        <v>93</v>
      </c>
      <c r="S323" s="3" t="str">
        <f t="shared" ref="S323:S386" si="11">RIGHT(Q323,LEN(Q323)-FIND("/",Q323))</f>
        <v>89</v>
      </c>
      <c r="T323" s="16" t="s">
        <v>29</v>
      </c>
      <c r="U323" s="3">
        <v>15.27</v>
      </c>
      <c r="V323" s="16" t="str">
        <f>PROPER(Table1[[#This Row],[CVD Risk Level]])</f>
        <v>High</v>
      </c>
    </row>
    <row r="324" spans="1:22" x14ac:dyDescent="0.3">
      <c r="A324" t="s">
        <v>20</v>
      </c>
      <c r="B324" s="8">
        <v>38</v>
      </c>
      <c r="C324" s="8">
        <v>67.400000000000006</v>
      </c>
      <c r="D324" s="5">
        <v>1.63</v>
      </c>
      <c r="E324" s="5">
        <v>25.4</v>
      </c>
      <c r="F324" s="16" t="s">
        <v>1303</v>
      </c>
      <c r="G324" s="11">
        <v>0.61299999999999999</v>
      </c>
      <c r="H324" s="5">
        <v>100</v>
      </c>
      <c r="I324" s="8">
        <v>30</v>
      </c>
      <c r="J324" s="8">
        <v>136</v>
      </c>
      <c r="K324" s="8">
        <v>196</v>
      </c>
      <c r="L324" s="8">
        <v>71</v>
      </c>
      <c r="M324" t="s">
        <v>33</v>
      </c>
      <c r="N324" s="16" t="s">
        <v>22</v>
      </c>
      <c r="O324" s="16" t="s">
        <v>23</v>
      </c>
      <c r="P324" s="16" t="s">
        <v>37</v>
      </c>
      <c r="Q324" s="10" t="s">
        <v>332</v>
      </c>
      <c r="R324" s="3" t="str">
        <f t="shared" si="10"/>
        <v>123</v>
      </c>
      <c r="S324" s="3" t="str">
        <f t="shared" si="11"/>
        <v>77</v>
      </c>
      <c r="T324" s="16" t="s">
        <v>25</v>
      </c>
      <c r="U324" s="3">
        <v>17.149999999999999</v>
      </c>
      <c r="V324" s="16" t="str">
        <f>PROPER(Table1[[#This Row],[CVD Risk Level]])</f>
        <v>Intermediary</v>
      </c>
    </row>
    <row r="325" spans="1:22" x14ac:dyDescent="0.3">
      <c r="A325" t="s">
        <v>31</v>
      </c>
      <c r="B325" s="8">
        <v>30</v>
      </c>
      <c r="C325" s="8">
        <v>91.4</v>
      </c>
      <c r="D325" s="5">
        <v>1.7198630185538024</v>
      </c>
      <c r="E325" s="5">
        <v>30.9</v>
      </c>
      <c r="F325" s="16" t="s">
        <v>1302</v>
      </c>
      <c r="G325" s="11">
        <v>0.56000000000000005</v>
      </c>
      <c r="H325" s="5">
        <v>96.3</v>
      </c>
      <c r="I325" s="8">
        <v>32</v>
      </c>
      <c r="J325" s="8">
        <v>64</v>
      </c>
      <c r="K325" s="8">
        <v>126</v>
      </c>
      <c r="L325" s="8">
        <v>72</v>
      </c>
      <c r="M325" t="s">
        <v>33</v>
      </c>
      <c r="N325" s="16" t="s">
        <v>22</v>
      </c>
      <c r="O325" s="16" t="s">
        <v>23</v>
      </c>
      <c r="P325" s="16" t="s">
        <v>37</v>
      </c>
      <c r="Q325" s="10" t="s">
        <v>333</v>
      </c>
      <c r="R325" s="3" t="str">
        <f t="shared" si="10"/>
        <v>106</v>
      </c>
      <c r="S325" s="3" t="str">
        <f t="shared" si="11"/>
        <v>83</v>
      </c>
      <c r="T325" s="16" t="s">
        <v>29</v>
      </c>
      <c r="U325" s="3">
        <v>16.960925291295425</v>
      </c>
      <c r="V325" s="16" t="str">
        <f>PROPER(Table1[[#This Row],[CVD Risk Level]])</f>
        <v>Intermediary</v>
      </c>
    </row>
    <row r="326" spans="1:22" x14ac:dyDescent="0.3">
      <c r="A326" t="s">
        <v>20</v>
      </c>
      <c r="B326" s="8">
        <v>40</v>
      </c>
      <c r="C326" s="8">
        <v>91.4</v>
      </c>
      <c r="D326" s="5">
        <v>1.74</v>
      </c>
      <c r="E326" s="5">
        <v>30.2</v>
      </c>
      <c r="F326" s="16" t="s">
        <v>1302</v>
      </c>
      <c r="G326" s="11">
        <v>0.56699999999999995</v>
      </c>
      <c r="H326" s="5">
        <v>98.7</v>
      </c>
      <c r="I326" s="8">
        <v>35</v>
      </c>
      <c r="J326" s="8">
        <v>90</v>
      </c>
      <c r="K326" s="8">
        <v>250</v>
      </c>
      <c r="L326" s="8">
        <v>101</v>
      </c>
      <c r="M326" t="s">
        <v>1306</v>
      </c>
      <c r="N326" s="16" t="s">
        <v>23</v>
      </c>
      <c r="O326" s="16" t="s">
        <v>23</v>
      </c>
      <c r="P326" s="16" t="s">
        <v>37</v>
      </c>
      <c r="Q326" s="10" t="s">
        <v>334</v>
      </c>
      <c r="R326" s="3" t="str">
        <f t="shared" si="10"/>
        <v>117</v>
      </c>
      <c r="S326" s="3" t="str">
        <f t="shared" si="11"/>
        <v>64</v>
      </c>
      <c r="T326" s="16" t="s">
        <v>33</v>
      </c>
      <c r="U326" s="3">
        <v>16.989999999999998</v>
      </c>
      <c r="V326" s="16" t="str">
        <f>PROPER(Table1[[#This Row],[CVD Risk Level]])</f>
        <v>High</v>
      </c>
    </row>
    <row r="327" spans="1:22" x14ac:dyDescent="0.3">
      <c r="A327" t="s">
        <v>31</v>
      </c>
      <c r="B327" s="8">
        <v>34</v>
      </c>
      <c r="C327" s="8">
        <v>100.8</v>
      </c>
      <c r="D327" s="5">
        <v>1.7</v>
      </c>
      <c r="E327" s="5">
        <v>34.9</v>
      </c>
      <c r="F327" s="16" t="s">
        <v>1302</v>
      </c>
      <c r="G327" s="11">
        <v>0.64</v>
      </c>
      <c r="H327" s="5">
        <v>108.8</v>
      </c>
      <c r="I327" s="8">
        <v>71</v>
      </c>
      <c r="J327" s="8">
        <v>11</v>
      </c>
      <c r="K327" s="8">
        <v>164</v>
      </c>
      <c r="L327" s="8">
        <v>148</v>
      </c>
      <c r="M327" t="s">
        <v>1307</v>
      </c>
      <c r="N327" s="16" t="s">
        <v>22</v>
      </c>
      <c r="O327" s="16" t="s">
        <v>22</v>
      </c>
      <c r="P327" s="16" t="s">
        <v>24</v>
      </c>
      <c r="Q327" s="10" t="s">
        <v>335</v>
      </c>
      <c r="R327" s="3" t="str">
        <f t="shared" si="10"/>
        <v>100</v>
      </c>
      <c r="S327" s="3" t="str">
        <f t="shared" si="11"/>
        <v>80</v>
      </c>
      <c r="T327" s="16" t="s">
        <v>29</v>
      </c>
      <c r="U327" s="3">
        <v>14.22</v>
      </c>
      <c r="V327" s="16" t="str">
        <f>PROPER(Table1[[#This Row],[CVD Risk Level]])</f>
        <v>Intermediary</v>
      </c>
    </row>
    <row r="328" spans="1:22" x14ac:dyDescent="0.3">
      <c r="A328" t="s">
        <v>20</v>
      </c>
      <c r="B328" s="8">
        <v>38</v>
      </c>
      <c r="C328" s="8">
        <v>104.3</v>
      </c>
      <c r="D328" s="5">
        <v>1.78</v>
      </c>
      <c r="E328" s="5">
        <v>32.9</v>
      </c>
      <c r="F328" s="16" t="s">
        <v>1302</v>
      </c>
      <c r="G328" s="11">
        <v>0.61099999999999999</v>
      </c>
      <c r="H328" s="5">
        <v>108.7</v>
      </c>
      <c r="I328" s="8">
        <v>56</v>
      </c>
      <c r="J328" s="8">
        <v>78</v>
      </c>
      <c r="K328" s="8">
        <v>164</v>
      </c>
      <c r="L328" s="8">
        <v>120</v>
      </c>
      <c r="M328" t="s">
        <v>1306</v>
      </c>
      <c r="N328" s="16" t="s">
        <v>22</v>
      </c>
      <c r="O328" s="16" t="s">
        <v>22</v>
      </c>
      <c r="P328" s="16" t="s">
        <v>37</v>
      </c>
      <c r="Q328" s="10" t="s">
        <v>336</v>
      </c>
      <c r="R328" s="3" t="str">
        <f t="shared" si="10"/>
        <v>99</v>
      </c>
      <c r="S328" s="3" t="str">
        <f t="shared" si="11"/>
        <v>70</v>
      </c>
      <c r="T328" s="16" t="s">
        <v>33</v>
      </c>
      <c r="U328" s="3">
        <v>14.81</v>
      </c>
      <c r="V328" s="16" t="str">
        <f>PROPER(Table1[[#This Row],[CVD Risk Level]])</f>
        <v>Intermediary</v>
      </c>
    </row>
    <row r="329" spans="1:22" x14ac:dyDescent="0.3">
      <c r="A329" t="s">
        <v>20</v>
      </c>
      <c r="B329" s="8">
        <v>36</v>
      </c>
      <c r="C329" s="8">
        <v>96.2</v>
      </c>
      <c r="D329" s="5">
        <v>1.89</v>
      </c>
      <c r="E329" s="5">
        <v>26.9</v>
      </c>
      <c r="F329" s="16" t="s">
        <v>1303</v>
      </c>
      <c r="G329" s="11">
        <v>0.48599999999999999</v>
      </c>
      <c r="H329" s="5">
        <v>91.8</v>
      </c>
      <c r="I329" s="8">
        <v>66</v>
      </c>
      <c r="J329" s="8">
        <v>131</v>
      </c>
      <c r="K329" s="8">
        <v>227</v>
      </c>
      <c r="L329" s="8">
        <v>137</v>
      </c>
      <c r="M329" t="s">
        <v>1307</v>
      </c>
      <c r="N329" s="16" t="s">
        <v>22</v>
      </c>
      <c r="O329" s="16" t="s">
        <v>22</v>
      </c>
      <c r="P329" s="16" t="s">
        <v>37</v>
      </c>
      <c r="Q329" s="10" t="s">
        <v>337</v>
      </c>
      <c r="R329" s="3" t="str">
        <f t="shared" si="10"/>
        <v>145</v>
      </c>
      <c r="S329" s="3" t="str">
        <f t="shared" si="11"/>
        <v>60</v>
      </c>
      <c r="T329" s="16" t="s">
        <v>38</v>
      </c>
      <c r="U329" s="3">
        <v>17.170000000000002</v>
      </c>
      <c r="V329" s="16" t="str">
        <f>PROPER(Table1[[#This Row],[CVD Risk Level]])</f>
        <v>Intermediary</v>
      </c>
    </row>
    <row r="330" spans="1:22" x14ac:dyDescent="0.3">
      <c r="A330" t="s">
        <v>31</v>
      </c>
      <c r="B330" s="8">
        <v>30</v>
      </c>
      <c r="C330" s="8">
        <v>117.6</v>
      </c>
      <c r="D330" s="5">
        <v>1.76</v>
      </c>
      <c r="E330" s="5">
        <v>38</v>
      </c>
      <c r="F330" s="16" t="s">
        <v>1302</v>
      </c>
      <c r="G330" s="11">
        <v>0.59699999999999998</v>
      </c>
      <c r="H330" s="5">
        <v>105</v>
      </c>
      <c r="I330" s="8">
        <v>58</v>
      </c>
      <c r="J330" s="8">
        <v>85</v>
      </c>
      <c r="K330" s="8">
        <v>173</v>
      </c>
      <c r="L330" s="8">
        <v>113</v>
      </c>
      <c r="M330" t="s">
        <v>1306</v>
      </c>
      <c r="N330" s="16" t="s">
        <v>22</v>
      </c>
      <c r="O330" s="16" t="s">
        <v>22</v>
      </c>
      <c r="P330" s="16" t="s">
        <v>28</v>
      </c>
      <c r="Q330" s="10" t="s">
        <v>338</v>
      </c>
      <c r="R330" s="3" t="str">
        <f t="shared" si="10"/>
        <v>104</v>
      </c>
      <c r="S330" s="3" t="str">
        <f t="shared" si="11"/>
        <v>96</v>
      </c>
      <c r="T330" s="16" t="s">
        <v>38</v>
      </c>
      <c r="U330" s="3">
        <v>16.260000000000002</v>
      </c>
      <c r="V330" s="16" t="str">
        <f>PROPER(Table1[[#This Row],[CVD Risk Level]])</f>
        <v>Low</v>
      </c>
    </row>
    <row r="331" spans="1:22" x14ac:dyDescent="0.3">
      <c r="A331" t="s">
        <v>20</v>
      </c>
      <c r="B331" s="8">
        <v>49</v>
      </c>
      <c r="C331" s="8">
        <v>106.4</v>
      </c>
      <c r="D331" s="5">
        <v>1.83</v>
      </c>
      <c r="E331" s="5">
        <v>31.8</v>
      </c>
      <c r="F331" s="16" t="s">
        <v>1302</v>
      </c>
      <c r="G331" s="11">
        <v>0.48599999999999999</v>
      </c>
      <c r="H331" s="5">
        <v>89</v>
      </c>
      <c r="I331" s="8">
        <v>72</v>
      </c>
      <c r="J331" s="8">
        <v>1</v>
      </c>
      <c r="K331" s="8">
        <v>103</v>
      </c>
      <c r="L331" s="8">
        <v>108</v>
      </c>
      <c r="M331" t="s">
        <v>1306</v>
      </c>
      <c r="N331" s="16" t="s">
        <v>23</v>
      </c>
      <c r="O331" s="16" t="s">
        <v>23</v>
      </c>
      <c r="P331" s="16" t="s">
        <v>28</v>
      </c>
      <c r="Q331" s="10" t="s">
        <v>339</v>
      </c>
      <c r="R331" s="3" t="str">
        <f t="shared" si="10"/>
        <v>110</v>
      </c>
      <c r="S331" s="3" t="str">
        <f t="shared" si="11"/>
        <v>71</v>
      </c>
      <c r="T331" s="16" t="s">
        <v>33</v>
      </c>
      <c r="U331" s="3">
        <v>15.92</v>
      </c>
      <c r="V331" s="16" t="str">
        <f>PROPER(Table1[[#This Row],[CVD Risk Level]])</f>
        <v>High</v>
      </c>
    </row>
    <row r="332" spans="1:22" x14ac:dyDescent="0.3">
      <c r="A332" t="s">
        <v>20</v>
      </c>
      <c r="B332" s="8">
        <v>44</v>
      </c>
      <c r="C332" s="8">
        <v>73.3</v>
      </c>
      <c r="D332" s="5">
        <v>1.63</v>
      </c>
      <c r="E332" s="5">
        <v>27.6</v>
      </c>
      <c r="F332" s="16" t="s">
        <v>1303</v>
      </c>
      <c r="G332" s="11">
        <v>0.66700000000000004</v>
      </c>
      <c r="H332" s="5">
        <v>108.7</v>
      </c>
      <c r="I332" s="8">
        <v>32</v>
      </c>
      <c r="J332" s="8">
        <v>107</v>
      </c>
      <c r="K332" s="8">
        <v>169</v>
      </c>
      <c r="L332" s="8">
        <v>93</v>
      </c>
      <c r="M332" t="s">
        <v>33</v>
      </c>
      <c r="N332" s="16" t="s">
        <v>22</v>
      </c>
      <c r="O332" s="16" t="s">
        <v>23</v>
      </c>
      <c r="P332" s="16" t="s">
        <v>37</v>
      </c>
      <c r="Q332" s="10" t="s">
        <v>340</v>
      </c>
      <c r="R332" s="3" t="str">
        <f t="shared" si="10"/>
        <v>123</v>
      </c>
      <c r="S332" s="3" t="str">
        <f t="shared" si="11"/>
        <v>89</v>
      </c>
      <c r="T332" s="16" t="s">
        <v>29</v>
      </c>
      <c r="U332" s="3">
        <v>17.05</v>
      </c>
      <c r="V332" s="16" t="str">
        <f>PROPER(Table1[[#This Row],[CVD Risk Level]])</f>
        <v>Intermediary</v>
      </c>
    </row>
    <row r="333" spans="1:22" x14ac:dyDescent="0.3">
      <c r="A333" t="s">
        <v>31</v>
      </c>
      <c r="B333" s="8">
        <v>39</v>
      </c>
      <c r="C333" s="8">
        <v>57.2</v>
      </c>
      <c r="D333" s="5">
        <v>1.86</v>
      </c>
      <c r="E333" s="5">
        <v>16.5</v>
      </c>
      <c r="F333" s="16" t="s">
        <v>1304</v>
      </c>
      <c r="G333" s="11">
        <v>0.47699999999999998</v>
      </c>
      <c r="H333" s="5">
        <v>88.8</v>
      </c>
      <c r="I333" s="8">
        <v>36</v>
      </c>
      <c r="J333" s="8">
        <v>49</v>
      </c>
      <c r="K333" s="8">
        <v>115</v>
      </c>
      <c r="L333" s="8">
        <v>142</v>
      </c>
      <c r="M333" t="s">
        <v>1307</v>
      </c>
      <c r="N333" s="16" t="s">
        <v>22</v>
      </c>
      <c r="O333" s="16" t="s">
        <v>23</v>
      </c>
      <c r="P333" s="16" t="s">
        <v>37</v>
      </c>
      <c r="Q333" s="10" t="s">
        <v>341</v>
      </c>
      <c r="R333" s="3" t="str">
        <f t="shared" si="10"/>
        <v>93</v>
      </c>
      <c r="S333" s="3" t="str">
        <f t="shared" si="11"/>
        <v>85</v>
      </c>
      <c r="T333" s="16" t="s">
        <v>29</v>
      </c>
      <c r="U333" s="3">
        <v>12.25</v>
      </c>
      <c r="V333" s="16" t="str">
        <f>PROPER(Table1[[#This Row],[CVD Risk Level]])</f>
        <v>Intermediary</v>
      </c>
    </row>
    <row r="334" spans="1:22" x14ac:dyDescent="0.3">
      <c r="A334" t="s">
        <v>31</v>
      </c>
      <c r="B334" s="8">
        <v>38</v>
      </c>
      <c r="C334" s="8">
        <v>63.6</v>
      </c>
      <c r="D334" s="5">
        <v>1.81</v>
      </c>
      <c r="E334" s="5">
        <v>19.399999999999999</v>
      </c>
      <c r="F334" s="16" t="s">
        <v>33</v>
      </c>
      <c r="G334" s="11">
        <v>0.50700000000000001</v>
      </c>
      <c r="H334" s="5">
        <v>91.766999999999996</v>
      </c>
      <c r="I334" s="8">
        <v>69</v>
      </c>
      <c r="J334" s="8">
        <v>70</v>
      </c>
      <c r="K334" s="8">
        <v>169</v>
      </c>
      <c r="L334" s="8">
        <v>115</v>
      </c>
      <c r="M334" t="s">
        <v>1306</v>
      </c>
      <c r="N334" s="16" t="s">
        <v>23</v>
      </c>
      <c r="O334" s="16" t="s">
        <v>22</v>
      </c>
      <c r="P334" s="16" t="s">
        <v>28</v>
      </c>
      <c r="Q334" s="10" t="s">
        <v>342</v>
      </c>
      <c r="R334" s="3" t="str">
        <f t="shared" si="10"/>
        <v>95</v>
      </c>
      <c r="S334" s="3" t="str">
        <f t="shared" si="11"/>
        <v>66</v>
      </c>
      <c r="T334" s="16" t="s">
        <v>33</v>
      </c>
      <c r="U334" s="3">
        <v>12.01</v>
      </c>
      <c r="V334" s="16" t="str">
        <f>PROPER(Table1[[#This Row],[CVD Risk Level]])</f>
        <v>Intermediary</v>
      </c>
    </row>
    <row r="335" spans="1:22" x14ac:dyDescent="0.3">
      <c r="A335" t="s">
        <v>31</v>
      </c>
      <c r="B335" s="8">
        <v>32</v>
      </c>
      <c r="C335" s="8">
        <v>65.400000000000006</v>
      </c>
      <c r="D335" s="5">
        <v>1.7</v>
      </c>
      <c r="E335" s="5">
        <v>22.6</v>
      </c>
      <c r="F335" s="16" t="s">
        <v>33</v>
      </c>
      <c r="G335" s="11">
        <v>0.44800000000000001</v>
      </c>
      <c r="H335" s="5">
        <v>76.16</v>
      </c>
      <c r="I335" s="8">
        <v>52</v>
      </c>
      <c r="J335" s="8">
        <v>47</v>
      </c>
      <c r="K335" s="8">
        <v>129</v>
      </c>
      <c r="L335" s="8">
        <v>89</v>
      </c>
      <c r="M335" t="s">
        <v>33</v>
      </c>
      <c r="N335" s="16" t="s">
        <v>22</v>
      </c>
      <c r="O335" s="16" t="s">
        <v>22</v>
      </c>
      <c r="P335" s="16" t="s">
        <v>24</v>
      </c>
      <c r="Q335" s="10" t="s">
        <v>343</v>
      </c>
      <c r="R335" s="3" t="str">
        <f t="shared" si="10"/>
        <v>129</v>
      </c>
      <c r="S335" s="3" t="str">
        <f t="shared" si="11"/>
        <v>94</v>
      </c>
      <c r="T335" s="16" t="s">
        <v>38</v>
      </c>
      <c r="U335" s="3">
        <v>13.55</v>
      </c>
      <c r="V335" s="16" t="str">
        <f>PROPER(Table1[[#This Row],[CVD Risk Level]])</f>
        <v>Low</v>
      </c>
    </row>
    <row r="336" spans="1:22" x14ac:dyDescent="0.3">
      <c r="A336" t="s">
        <v>20</v>
      </c>
      <c r="B336" s="8">
        <v>42</v>
      </c>
      <c r="C336" s="8">
        <v>96.3</v>
      </c>
      <c r="D336" s="5">
        <v>1.71</v>
      </c>
      <c r="E336" s="5">
        <v>32.9</v>
      </c>
      <c r="F336" s="16" t="s">
        <v>1302</v>
      </c>
      <c r="G336" s="11">
        <v>0.434</v>
      </c>
      <c r="H336" s="5">
        <v>74.2</v>
      </c>
      <c r="I336" s="8">
        <v>35</v>
      </c>
      <c r="J336" s="8">
        <v>225</v>
      </c>
      <c r="K336" s="8">
        <v>290</v>
      </c>
      <c r="L336" s="8">
        <v>132</v>
      </c>
      <c r="M336" t="s">
        <v>1307</v>
      </c>
      <c r="N336" s="16" t="s">
        <v>22</v>
      </c>
      <c r="O336" s="16" t="s">
        <v>22</v>
      </c>
      <c r="P336" s="16" t="s">
        <v>28</v>
      </c>
      <c r="Q336" s="10" t="s">
        <v>344</v>
      </c>
      <c r="R336" s="3" t="str">
        <f t="shared" si="10"/>
        <v>99</v>
      </c>
      <c r="S336" s="3" t="str">
        <f t="shared" si="11"/>
        <v>83</v>
      </c>
      <c r="T336" s="16" t="s">
        <v>29</v>
      </c>
      <c r="U336" s="3">
        <v>17.329999999999998</v>
      </c>
      <c r="V336" s="16" t="str">
        <f>PROPER(Table1[[#This Row],[CVD Risk Level]])</f>
        <v>High</v>
      </c>
    </row>
    <row r="337" spans="1:22" x14ac:dyDescent="0.3">
      <c r="A337" t="s">
        <v>31</v>
      </c>
      <c r="B337" s="8">
        <v>34</v>
      </c>
      <c r="C337" s="8">
        <v>54</v>
      </c>
      <c r="D337" s="5">
        <v>1.61</v>
      </c>
      <c r="E337" s="5">
        <v>20.832529609197174</v>
      </c>
      <c r="F337" s="16" t="s">
        <v>33</v>
      </c>
      <c r="G337" s="11">
        <v>0.60099999999999998</v>
      </c>
      <c r="H337" s="5">
        <v>96.7</v>
      </c>
      <c r="I337" s="8">
        <v>37</v>
      </c>
      <c r="J337" s="8">
        <v>186</v>
      </c>
      <c r="K337" s="8">
        <v>253</v>
      </c>
      <c r="L337" s="8">
        <v>117.48563611491107</v>
      </c>
      <c r="M337" t="s">
        <v>1306</v>
      </c>
      <c r="N337" s="16" t="s">
        <v>22</v>
      </c>
      <c r="O337" s="16" t="s">
        <v>22</v>
      </c>
      <c r="P337" s="16" t="s">
        <v>28</v>
      </c>
      <c r="Q337" s="10" t="s">
        <v>345</v>
      </c>
      <c r="R337" s="3" t="str">
        <f t="shared" si="10"/>
        <v>116</v>
      </c>
      <c r="S337" s="3" t="str">
        <f t="shared" si="11"/>
        <v>72</v>
      </c>
      <c r="T337" s="16" t="s">
        <v>33</v>
      </c>
      <c r="U337" s="3">
        <v>15.02</v>
      </c>
      <c r="V337" s="16" t="str">
        <f>PROPER(Table1[[#This Row],[CVD Risk Level]])</f>
        <v>Intermediary</v>
      </c>
    </row>
    <row r="338" spans="1:22" x14ac:dyDescent="0.3">
      <c r="A338" t="s">
        <v>31</v>
      </c>
      <c r="B338" s="8">
        <v>40</v>
      </c>
      <c r="C338" s="8">
        <v>62.1</v>
      </c>
      <c r="D338" s="5">
        <v>1.68</v>
      </c>
      <c r="E338" s="5">
        <v>22</v>
      </c>
      <c r="F338" s="16" t="s">
        <v>33</v>
      </c>
      <c r="G338" s="11">
        <v>0.42299999999999999</v>
      </c>
      <c r="H338" s="5">
        <v>71</v>
      </c>
      <c r="I338" s="8">
        <v>51</v>
      </c>
      <c r="J338" s="8">
        <v>109</v>
      </c>
      <c r="K338" s="8">
        <v>184</v>
      </c>
      <c r="L338" s="8">
        <v>144</v>
      </c>
      <c r="M338" t="s">
        <v>1307</v>
      </c>
      <c r="N338" s="16" t="s">
        <v>23</v>
      </c>
      <c r="O338" s="16" t="s">
        <v>23</v>
      </c>
      <c r="P338" s="16" t="s">
        <v>24</v>
      </c>
      <c r="Q338" s="10" t="s">
        <v>346</v>
      </c>
      <c r="R338" s="3" t="str">
        <f t="shared" si="10"/>
        <v>110</v>
      </c>
      <c r="S338" s="3" t="str">
        <f t="shared" si="11"/>
        <v>93</v>
      </c>
      <c r="T338" s="16" t="s">
        <v>38</v>
      </c>
      <c r="U338" s="3">
        <v>15.58</v>
      </c>
      <c r="V338" s="16" t="str">
        <f>PROPER(Table1[[#This Row],[CVD Risk Level]])</f>
        <v>Intermediary</v>
      </c>
    </row>
    <row r="339" spans="1:22" x14ac:dyDescent="0.3">
      <c r="A339" t="s">
        <v>20</v>
      </c>
      <c r="B339" s="8">
        <v>41</v>
      </c>
      <c r="C339" s="8">
        <v>119</v>
      </c>
      <c r="D339" s="5">
        <v>1.64</v>
      </c>
      <c r="E339" s="5">
        <v>44.2</v>
      </c>
      <c r="F339" s="16" t="s">
        <v>1302</v>
      </c>
      <c r="G339" s="11">
        <v>0.44900000000000001</v>
      </c>
      <c r="H339" s="5">
        <v>73.599999999999994</v>
      </c>
      <c r="I339" s="8">
        <v>38</v>
      </c>
      <c r="J339" s="8">
        <v>71</v>
      </c>
      <c r="K339" s="8">
        <v>139</v>
      </c>
      <c r="L339" s="8">
        <v>128</v>
      </c>
      <c r="M339" t="s">
        <v>1307</v>
      </c>
      <c r="N339" s="16" t="s">
        <v>22</v>
      </c>
      <c r="O339" s="16" t="s">
        <v>23</v>
      </c>
      <c r="P339" s="16" t="s">
        <v>37</v>
      </c>
      <c r="Q339" s="10" t="s">
        <v>288</v>
      </c>
      <c r="R339" s="3" t="str">
        <f t="shared" si="10"/>
        <v>116</v>
      </c>
      <c r="S339" s="3" t="str">
        <f t="shared" si="11"/>
        <v>69</v>
      </c>
      <c r="T339" s="16" t="s">
        <v>33</v>
      </c>
      <c r="U339" s="3">
        <v>19.420000000000002</v>
      </c>
      <c r="V339" s="16" t="str">
        <f>PROPER(Table1[[#This Row],[CVD Risk Level]])</f>
        <v>Intermediary</v>
      </c>
    </row>
    <row r="340" spans="1:22" x14ac:dyDescent="0.3">
      <c r="A340" t="s">
        <v>31</v>
      </c>
      <c r="B340" s="8">
        <v>39</v>
      </c>
      <c r="C340" s="8">
        <v>88.7</v>
      </c>
      <c r="D340" s="5">
        <v>1.62</v>
      </c>
      <c r="E340" s="5">
        <v>33.799999999999997</v>
      </c>
      <c r="F340" s="16" t="s">
        <v>1302</v>
      </c>
      <c r="G340" s="11">
        <v>0.67400000000000004</v>
      </c>
      <c r="H340" s="5">
        <v>109.2</v>
      </c>
      <c r="I340" s="8">
        <v>53</v>
      </c>
      <c r="J340" s="8">
        <v>202</v>
      </c>
      <c r="K340" s="8">
        <v>285</v>
      </c>
      <c r="L340" s="8">
        <v>120</v>
      </c>
      <c r="M340" t="s">
        <v>1306</v>
      </c>
      <c r="N340" s="16" t="s">
        <v>22</v>
      </c>
      <c r="O340" s="16" t="s">
        <v>23</v>
      </c>
      <c r="P340" s="16" t="s">
        <v>24</v>
      </c>
      <c r="Q340" s="10" t="s">
        <v>347</v>
      </c>
      <c r="R340" s="3" t="str">
        <f t="shared" si="10"/>
        <v>111</v>
      </c>
      <c r="S340" s="3" t="str">
        <f t="shared" si="11"/>
        <v>76</v>
      </c>
      <c r="T340" s="16" t="s">
        <v>33</v>
      </c>
      <c r="U340" s="3">
        <v>20.010000000000002</v>
      </c>
      <c r="V340" s="16" t="str">
        <f>PROPER(Table1[[#This Row],[CVD Risk Level]])</f>
        <v>High</v>
      </c>
    </row>
    <row r="341" spans="1:22" x14ac:dyDescent="0.3">
      <c r="A341" t="s">
        <v>31</v>
      </c>
      <c r="B341" s="8">
        <v>56</v>
      </c>
      <c r="C341" s="8">
        <v>58.4</v>
      </c>
      <c r="D341" s="5">
        <v>1.71</v>
      </c>
      <c r="E341" s="5">
        <v>20</v>
      </c>
      <c r="F341" s="16" t="s">
        <v>33</v>
      </c>
      <c r="G341" s="11">
        <v>0.505</v>
      </c>
      <c r="H341" s="5">
        <v>86.4</v>
      </c>
      <c r="I341" s="8">
        <v>43</v>
      </c>
      <c r="J341" s="8">
        <v>137</v>
      </c>
      <c r="K341" s="8">
        <v>210</v>
      </c>
      <c r="L341" s="8">
        <v>111</v>
      </c>
      <c r="M341" t="s">
        <v>1306</v>
      </c>
      <c r="N341" s="16" t="s">
        <v>22</v>
      </c>
      <c r="O341" s="16" t="s">
        <v>22</v>
      </c>
      <c r="P341" s="16" t="s">
        <v>28</v>
      </c>
      <c r="Q341" s="10" t="s">
        <v>306</v>
      </c>
      <c r="R341" s="3" t="str">
        <f t="shared" si="10"/>
        <v>123</v>
      </c>
      <c r="S341" s="3" t="str">
        <f t="shared" si="11"/>
        <v>75</v>
      </c>
      <c r="T341" s="16" t="s">
        <v>25</v>
      </c>
      <c r="U341" s="3">
        <v>14.35</v>
      </c>
      <c r="V341" s="16" t="str">
        <f>PROPER(Table1[[#This Row],[CVD Risk Level]])</f>
        <v>Intermediary</v>
      </c>
    </row>
    <row r="342" spans="1:22" x14ac:dyDescent="0.3">
      <c r="A342" t="s">
        <v>20</v>
      </c>
      <c r="B342" s="8">
        <v>60</v>
      </c>
      <c r="C342" s="8">
        <v>54.1</v>
      </c>
      <c r="D342" s="5">
        <v>1.86</v>
      </c>
      <c r="E342" s="5">
        <v>15.6</v>
      </c>
      <c r="F342" s="16" t="s">
        <v>1304</v>
      </c>
      <c r="G342" s="11">
        <v>0.39800000000000002</v>
      </c>
      <c r="H342" s="5">
        <v>74.099999999999994</v>
      </c>
      <c r="I342" s="8">
        <v>32</v>
      </c>
      <c r="J342" s="8">
        <v>237</v>
      </c>
      <c r="K342" s="8">
        <v>299</v>
      </c>
      <c r="L342" s="8">
        <v>120</v>
      </c>
      <c r="M342" t="s">
        <v>1306</v>
      </c>
      <c r="N342" s="16" t="s">
        <v>22</v>
      </c>
      <c r="O342" s="16" t="s">
        <v>23</v>
      </c>
      <c r="P342" s="16" t="s">
        <v>28</v>
      </c>
      <c r="Q342" s="10" t="s">
        <v>348</v>
      </c>
      <c r="R342" s="3" t="str">
        <f t="shared" si="10"/>
        <v>125</v>
      </c>
      <c r="S342" s="3" t="str">
        <f t="shared" si="11"/>
        <v>61</v>
      </c>
      <c r="T342" s="16" t="s">
        <v>25</v>
      </c>
      <c r="U342" s="3">
        <v>17.350000000000001</v>
      </c>
      <c r="V342" s="16" t="str">
        <f>PROPER(Table1[[#This Row],[CVD Risk Level]])</f>
        <v>High</v>
      </c>
    </row>
    <row r="343" spans="1:22" x14ac:dyDescent="0.3">
      <c r="A343" t="s">
        <v>20</v>
      </c>
      <c r="B343" s="8">
        <v>40</v>
      </c>
      <c r="C343" s="8">
        <v>61.8</v>
      </c>
      <c r="D343" s="5">
        <v>1.87</v>
      </c>
      <c r="E343" s="5">
        <v>17.7</v>
      </c>
      <c r="F343" s="16" t="s">
        <v>1304</v>
      </c>
      <c r="G343" s="11">
        <v>0.504</v>
      </c>
      <c r="H343" s="5">
        <v>94.3</v>
      </c>
      <c r="I343" s="8">
        <v>77</v>
      </c>
      <c r="J343" s="8">
        <v>81</v>
      </c>
      <c r="K343" s="8">
        <v>188</v>
      </c>
      <c r="L343" s="8">
        <v>125</v>
      </c>
      <c r="M343" t="s">
        <v>1306</v>
      </c>
      <c r="N343" s="16" t="s">
        <v>22</v>
      </c>
      <c r="O343" s="16" t="s">
        <v>23</v>
      </c>
      <c r="P343" s="16" t="s">
        <v>37</v>
      </c>
      <c r="Q343" s="10" t="s">
        <v>349</v>
      </c>
      <c r="R343" s="3" t="str">
        <f t="shared" si="10"/>
        <v>93</v>
      </c>
      <c r="S343" s="3" t="str">
        <f t="shared" si="11"/>
        <v>63</v>
      </c>
      <c r="T343" s="16" t="s">
        <v>33</v>
      </c>
      <c r="U343" s="3">
        <v>13.95</v>
      </c>
      <c r="V343" s="16" t="str">
        <f>PROPER(Table1[[#This Row],[CVD Risk Level]])</f>
        <v>Low</v>
      </c>
    </row>
    <row r="344" spans="1:22" x14ac:dyDescent="0.3">
      <c r="A344" t="s">
        <v>20</v>
      </c>
      <c r="B344" s="8">
        <v>30</v>
      </c>
      <c r="C344" s="8">
        <v>64.900000000000006</v>
      </c>
      <c r="D344" s="5">
        <v>1.77</v>
      </c>
      <c r="E344" s="5">
        <v>20.7</v>
      </c>
      <c r="F344" s="16" t="s">
        <v>33</v>
      </c>
      <c r="G344" s="11">
        <v>0.55500000000000005</v>
      </c>
      <c r="H344" s="5">
        <v>98.2</v>
      </c>
      <c r="I344" s="8">
        <v>45</v>
      </c>
      <c r="J344" s="8">
        <v>103</v>
      </c>
      <c r="K344" s="8">
        <v>178</v>
      </c>
      <c r="L344" s="8">
        <v>77</v>
      </c>
      <c r="M344" t="s">
        <v>33</v>
      </c>
      <c r="N344" s="16" t="s">
        <v>22</v>
      </c>
      <c r="O344" s="16" t="s">
        <v>22</v>
      </c>
      <c r="P344" s="16" t="s">
        <v>24</v>
      </c>
      <c r="Q344" s="10" t="s">
        <v>350</v>
      </c>
      <c r="R344" s="3" t="str">
        <f t="shared" si="10"/>
        <v>141</v>
      </c>
      <c r="S344" s="3" t="str">
        <f t="shared" si="11"/>
        <v>79</v>
      </c>
      <c r="T344" s="16" t="s">
        <v>38</v>
      </c>
      <c r="U344" s="3">
        <v>14.75</v>
      </c>
      <c r="V344" s="16" t="str">
        <f>PROPER(Table1[[#This Row],[CVD Risk Level]])</f>
        <v>Low</v>
      </c>
    </row>
    <row r="345" spans="1:22" x14ac:dyDescent="0.3">
      <c r="A345" t="s">
        <v>31</v>
      </c>
      <c r="B345" s="8">
        <v>54</v>
      </c>
      <c r="C345" s="8">
        <v>91.5</v>
      </c>
      <c r="D345" s="5">
        <v>1.84</v>
      </c>
      <c r="E345" s="5">
        <v>27</v>
      </c>
      <c r="F345" s="16" t="s">
        <v>1303</v>
      </c>
      <c r="G345" s="11">
        <v>0.57934782608695645</v>
      </c>
      <c r="H345" s="5">
        <v>106.6</v>
      </c>
      <c r="I345" s="8">
        <v>35</v>
      </c>
      <c r="J345" s="8">
        <v>144</v>
      </c>
      <c r="K345" s="8">
        <v>209</v>
      </c>
      <c r="L345" s="8">
        <v>107</v>
      </c>
      <c r="M345" t="s">
        <v>1306</v>
      </c>
      <c r="N345" s="16" t="s">
        <v>22</v>
      </c>
      <c r="O345" s="16" t="s">
        <v>23</v>
      </c>
      <c r="P345" s="16" t="s">
        <v>28</v>
      </c>
      <c r="Q345" s="10" t="s">
        <v>351</v>
      </c>
      <c r="R345" s="3" t="str">
        <f t="shared" si="10"/>
        <v>138</v>
      </c>
      <c r="S345" s="3" t="str">
        <f t="shared" si="11"/>
        <v>100</v>
      </c>
      <c r="T345" s="16" t="s">
        <v>29</v>
      </c>
      <c r="U345" s="3">
        <v>18.48</v>
      </c>
      <c r="V345" s="16" t="str">
        <f>PROPER(Table1[[#This Row],[CVD Risk Level]])</f>
        <v>High</v>
      </c>
    </row>
    <row r="346" spans="1:22" x14ac:dyDescent="0.3">
      <c r="A346" t="s">
        <v>20</v>
      </c>
      <c r="B346" s="8">
        <v>36</v>
      </c>
      <c r="C346" s="8">
        <v>99.2</v>
      </c>
      <c r="D346" s="5">
        <v>1.8</v>
      </c>
      <c r="E346" s="5">
        <v>30.6</v>
      </c>
      <c r="F346" s="16" t="s">
        <v>1302</v>
      </c>
      <c r="G346" s="11">
        <v>0.39777777777777773</v>
      </c>
      <c r="H346" s="5">
        <v>71.599999999999994</v>
      </c>
      <c r="I346" s="8">
        <v>78</v>
      </c>
      <c r="J346" s="8">
        <v>98</v>
      </c>
      <c r="K346" s="8">
        <v>206</v>
      </c>
      <c r="L346" s="8">
        <v>95</v>
      </c>
      <c r="M346" t="s">
        <v>33</v>
      </c>
      <c r="N346" s="16" t="s">
        <v>23</v>
      </c>
      <c r="O346" s="16" t="s">
        <v>22</v>
      </c>
      <c r="P346" s="16" t="s">
        <v>28</v>
      </c>
      <c r="Q346" s="10" t="s">
        <v>352</v>
      </c>
      <c r="R346" s="3" t="str">
        <f t="shared" si="10"/>
        <v>108</v>
      </c>
      <c r="S346" s="3" t="str">
        <f t="shared" si="11"/>
        <v>65</v>
      </c>
      <c r="T346" s="16" t="s">
        <v>33</v>
      </c>
      <c r="U346" s="3">
        <v>15.64</v>
      </c>
      <c r="V346" s="16" t="str">
        <f>PROPER(Table1[[#This Row],[CVD Risk Level]])</f>
        <v>High</v>
      </c>
    </row>
    <row r="347" spans="1:22" x14ac:dyDescent="0.3">
      <c r="A347" t="s">
        <v>31</v>
      </c>
      <c r="B347" s="8">
        <v>34</v>
      </c>
      <c r="C347" s="8">
        <v>102.6</v>
      </c>
      <c r="D347" s="5">
        <v>1.75</v>
      </c>
      <c r="E347" s="5">
        <v>33.502040816326527</v>
      </c>
      <c r="F347" s="16" t="s">
        <v>1302</v>
      </c>
      <c r="G347" s="11">
        <v>0.58699999999999997</v>
      </c>
      <c r="H347" s="5">
        <v>96.9</v>
      </c>
      <c r="I347" s="8">
        <v>77</v>
      </c>
      <c r="J347" s="8">
        <v>133</v>
      </c>
      <c r="K347" s="8">
        <v>240</v>
      </c>
      <c r="L347" s="8">
        <v>120</v>
      </c>
      <c r="M347" t="s">
        <v>1306</v>
      </c>
      <c r="N347" s="16" t="s">
        <v>23</v>
      </c>
      <c r="O347" s="16" t="s">
        <v>22</v>
      </c>
      <c r="P347" s="16" t="s">
        <v>28</v>
      </c>
      <c r="Q347" s="10" t="s">
        <v>353</v>
      </c>
      <c r="R347" s="3" t="str">
        <f t="shared" si="10"/>
        <v>137</v>
      </c>
      <c r="S347" s="3" t="str">
        <f t="shared" si="11"/>
        <v>81</v>
      </c>
      <c r="T347" s="16" t="s">
        <v>29</v>
      </c>
      <c r="U347" s="3">
        <v>19.190000000000001</v>
      </c>
      <c r="V347" s="16" t="str">
        <f>PROPER(Table1[[#This Row],[CVD Risk Level]])</f>
        <v>Intermediary</v>
      </c>
    </row>
    <row r="348" spans="1:22" x14ac:dyDescent="0.3">
      <c r="A348" t="s">
        <v>31</v>
      </c>
      <c r="B348" s="8">
        <v>35</v>
      </c>
      <c r="C348" s="8">
        <v>87.7</v>
      </c>
      <c r="D348" s="5">
        <v>1.86</v>
      </c>
      <c r="E348" s="5">
        <v>25.3</v>
      </c>
      <c r="F348" s="16" t="s">
        <v>1303</v>
      </c>
      <c r="G348" s="11">
        <v>0.47299999999999998</v>
      </c>
      <c r="H348" s="5">
        <v>87.9</v>
      </c>
      <c r="I348" s="8">
        <v>74</v>
      </c>
      <c r="J348" s="8">
        <v>149</v>
      </c>
      <c r="K348" s="8">
        <v>253</v>
      </c>
      <c r="L348" s="8">
        <v>124</v>
      </c>
      <c r="M348" t="s">
        <v>1306</v>
      </c>
      <c r="N348" s="16" t="s">
        <v>23</v>
      </c>
      <c r="O348" s="16" t="s">
        <v>22</v>
      </c>
      <c r="P348" s="16" t="s">
        <v>28</v>
      </c>
      <c r="Q348" s="10" t="s">
        <v>354</v>
      </c>
      <c r="R348" s="3" t="str">
        <f t="shared" si="10"/>
        <v>135</v>
      </c>
      <c r="S348" s="3" t="str">
        <f t="shared" si="11"/>
        <v>91</v>
      </c>
      <c r="T348" s="16" t="s">
        <v>29</v>
      </c>
      <c r="U348" s="3">
        <v>16.87</v>
      </c>
      <c r="V348" s="16" t="str">
        <f>PROPER(Table1[[#This Row],[CVD Risk Level]])</f>
        <v>High</v>
      </c>
    </row>
    <row r="349" spans="1:22" x14ac:dyDescent="0.3">
      <c r="A349" t="s">
        <v>20</v>
      </c>
      <c r="B349" s="8">
        <v>30</v>
      </c>
      <c r="C349" s="8">
        <v>103.1</v>
      </c>
      <c r="D349" s="5">
        <v>1.81</v>
      </c>
      <c r="E349" s="5">
        <v>31.5</v>
      </c>
      <c r="F349" s="16" t="s">
        <v>1302</v>
      </c>
      <c r="G349" s="11">
        <v>0.40899999999999997</v>
      </c>
      <c r="H349" s="5">
        <v>74</v>
      </c>
      <c r="I349" s="8">
        <v>56.197377501725327</v>
      </c>
      <c r="J349" s="8">
        <v>53</v>
      </c>
      <c r="K349" s="8">
        <v>120</v>
      </c>
      <c r="L349" s="8">
        <v>144</v>
      </c>
      <c r="M349" t="s">
        <v>1307</v>
      </c>
      <c r="N349" s="16" t="s">
        <v>23</v>
      </c>
      <c r="O349" s="16" t="s">
        <v>23</v>
      </c>
      <c r="P349" s="16" t="s">
        <v>28</v>
      </c>
      <c r="Q349" s="10" t="s">
        <v>355</v>
      </c>
      <c r="R349" s="3" t="str">
        <f t="shared" si="10"/>
        <v>109</v>
      </c>
      <c r="S349" s="3" t="str">
        <f t="shared" si="11"/>
        <v>70</v>
      </c>
      <c r="T349" s="16" t="s">
        <v>33</v>
      </c>
      <c r="U349" s="3">
        <v>16.149999999999999</v>
      </c>
      <c r="V349" s="16" t="str">
        <f>PROPER(Table1[[#This Row],[CVD Risk Level]])</f>
        <v>High</v>
      </c>
    </row>
    <row r="350" spans="1:22" x14ac:dyDescent="0.3">
      <c r="A350" t="s">
        <v>20</v>
      </c>
      <c r="B350" s="8">
        <v>47.025499655410059</v>
      </c>
      <c r="C350" s="8">
        <v>59.8</v>
      </c>
      <c r="D350" s="5">
        <v>1.67</v>
      </c>
      <c r="E350" s="5">
        <v>21.4</v>
      </c>
      <c r="F350" s="16" t="s">
        <v>33</v>
      </c>
      <c r="G350" s="11">
        <v>0.58099999999999996</v>
      </c>
      <c r="H350" s="5">
        <v>97.1</v>
      </c>
      <c r="I350" s="8">
        <v>41</v>
      </c>
      <c r="J350" s="8">
        <v>125</v>
      </c>
      <c r="K350" s="8">
        <v>196</v>
      </c>
      <c r="L350" s="8">
        <v>125</v>
      </c>
      <c r="M350" t="s">
        <v>1306</v>
      </c>
      <c r="N350" s="16" t="s">
        <v>23</v>
      </c>
      <c r="O350" s="16" t="s">
        <v>22</v>
      </c>
      <c r="P350" s="16" t="s">
        <v>24</v>
      </c>
      <c r="Q350" s="10" t="s">
        <v>356</v>
      </c>
      <c r="R350" s="3" t="str">
        <f t="shared" si="10"/>
        <v>129</v>
      </c>
      <c r="S350" s="3" t="str">
        <f t="shared" si="11"/>
        <v>80</v>
      </c>
      <c r="T350" s="16" t="s">
        <v>29</v>
      </c>
      <c r="U350" s="3">
        <v>14.65</v>
      </c>
      <c r="V350" s="16" t="str">
        <f>PROPER(Table1[[#This Row],[CVD Risk Level]])</f>
        <v>Intermediary</v>
      </c>
    </row>
    <row r="351" spans="1:22" x14ac:dyDescent="0.3">
      <c r="A351" t="s">
        <v>31</v>
      </c>
      <c r="B351" s="8">
        <v>35</v>
      </c>
      <c r="C351" s="8">
        <v>53.9</v>
      </c>
      <c r="D351" s="5">
        <v>1.79</v>
      </c>
      <c r="E351" s="5">
        <v>16.8</v>
      </c>
      <c r="F351" s="16" t="s">
        <v>1304</v>
      </c>
      <c r="G351" s="11">
        <v>0.41499999999999998</v>
      </c>
      <c r="H351" s="5">
        <v>74.3</v>
      </c>
      <c r="I351" s="8">
        <v>47</v>
      </c>
      <c r="J351" s="8">
        <v>52</v>
      </c>
      <c r="K351" s="8">
        <v>129</v>
      </c>
      <c r="L351" s="8">
        <v>138</v>
      </c>
      <c r="M351" t="s">
        <v>1307</v>
      </c>
      <c r="N351" s="16" t="s">
        <v>22</v>
      </c>
      <c r="O351" s="16" t="s">
        <v>23</v>
      </c>
      <c r="P351" s="16" t="s">
        <v>28</v>
      </c>
      <c r="Q351" s="10" t="s">
        <v>357</v>
      </c>
      <c r="R351" s="3" t="str">
        <f t="shared" si="10"/>
        <v>136</v>
      </c>
      <c r="S351" s="3" t="str">
        <f t="shared" si="11"/>
        <v>97</v>
      </c>
      <c r="T351" s="16" t="s">
        <v>29</v>
      </c>
      <c r="U351" s="3">
        <v>14.74</v>
      </c>
      <c r="V351" s="16" t="str">
        <f>PROPER(Table1[[#This Row],[CVD Risk Level]])</f>
        <v>Low</v>
      </c>
    </row>
    <row r="352" spans="1:22" x14ac:dyDescent="0.3">
      <c r="A352" t="s">
        <v>31</v>
      </c>
      <c r="B352" s="8">
        <v>51</v>
      </c>
      <c r="C352" s="8">
        <v>108.8</v>
      </c>
      <c r="D352" s="5">
        <v>1.77</v>
      </c>
      <c r="E352" s="5">
        <v>34.700000000000003</v>
      </c>
      <c r="F352" s="16" t="s">
        <v>1302</v>
      </c>
      <c r="G352" s="11">
        <v>0.58870056497175138</v>
      </c>
      <c r="H352" s="5">
        <v>104.2</v>
      </c>
      <c r="I352" s="8">
        <v>38</v>
      </c>
      <c r="J352" s="8">
        <v>209</v>
      </c>
      <c r="K352" s="8">
        <v>277</v>
      </c>
      <c r="L352" s="8">
        <v>113</v>
      </c>
      <c r="M352" t="s">
        <v>1306</v>
      </c>
      <c r="N352" s="16" t="s">
        <v>23</v>
      </c>
      <c r="O352" s="16" t="s">
        <v>23</v>
      </c>
      <c r="P352" s="16" t="s">
        <v>37</v>
      </c>
      <c r="Q352" s="10" t="s">
        <v>358</v>
      </c>
      <c r="R352" s="3" t="str">
        <f t="shared" si="10"/>
        <v>96</v>
      </c>
      <c r="S352" s="3" t="str">
        <f t="shared" si="11"/>
        <v>93</v>
      </c>
      <c r="T352" s="16" t="s">
        <v>38</v>
      </c>
      <c r="U352" s="3">
        <v>19.28</v>
      </c>
      <c r="V352" s="16" t="str">
        <f>PROPER(Table1[[#This Row],[CVD Risk Level]])</f>
        <v>High</v>
      </c>
    </row>
    <row r="353" spans="1:22" x14ac:dyDescent="0.3">
      <c r="A353" t="s">
        <v>20</v>
      </c>
      <c r="B353" s="8">
        <v>32</v>
      </c>
      <c r="C353" s="8">
        <v>51.3</v>
      </c>
      <c r="D353" s="5">
        <v>1.6</v>
      </c>
      <c r="E353" s="5">
        <v>20</v>
      </c>
      <c r="F353" s="16" t="s">
        <v>33</v>
      </c>
      <c r="G353" s="11">
        <v>0.54200000000000004</v>
      </c>
      <c r="H353" s="5">
        <v>86.8</v>
      </c>
      <c r="I353" s="8">
        <v>46</v>
      </c>
      <c r="J353" s="8">
        <v>86</v>
      </c>
      <c r="K353" s="8">
        <v>162</v>
      </c>
      <c r="L353" s="8">
        <v>88</v>
      </c>
      <c r="M353" t="s">
        <v>33</v>
      </c>
      <c r="N353" s="16" t="s">
        <v>23</v>
      </c>
      <c r="O353" s="16" t="s">
        <v>22</v>
      </c>
      <c r="P353" s="16" t="s">
        <v>28</v>
      </c>
      <c r="Q353" s="10" t="s">
        <v>183</v>
      </c>
      <c r="R353" s="3" t="str">
        <f t="shared" si="10"/>
        <v>136</v>
      </c>
      <c r="S353" s="3" t="str">
        <f t="shared" si="11"/>
        <v>61</v>
      </c>
      <c r="T353" s="16" t="s">
        <v>29</v>
      </c>
      <c r="U353" s="3">
        <v>14.04</v>
      </c>
      <c r="V353" s="16" t="str">
        <f>PROPER(Table1[[#This Row],[CVD Risk Level]])</f>
        <v>Low</v>
      </c>
    </row>
    <row r="354" spans="1:22" x14ac:dyDescent="0.3">
      <c r="A354" t="s">
        <v>31</v>
      </c>
      <c r="B354" s="8">
        <v>47</v>
      </c>
      <c r="C354" s="8">
        <v>90.9</v>
      </c>
      <c r="D354" s="5">
        <v>1.61</v>
      </c>
      <c r="E354" s="5">
        <v>35.068091508815243</v>
      </c>
      <c r="F354" s="16" t="s">
        <v>1302</v>
      </c>
      <c r="G354" s="11">
        <v>0.60799999999999998</v>
      </c>
      <c r="H354" s="5">
        <v>97.9</v>
      </c>
      <c r="I354" s="8">
        <v>72</v>
      </c>
      <c r="J354" s="8">
        <v>131</v>
      </c>
      <c r="K354" s="8">
        <v>233</v>
      </c>
      <c r="L354" s="8">
        <v>138</v>
      </c>
      <c r="M354" t="s">
        <v>1307</v>
      </c>
      <c r="N354" s="16" t="s">
        <v>23</v>
      </c>
      <c r="O354" s="16" t="s">
        <v>22</v>
      </c>
      <c r="P354" s="16" t="s">
        <v>37</v>
      </c>
      <c r="Q354" s="10" t="s">
        <v>359</v>
      </c>
      <c r="R354" s="3" t="str">
        <f t="shared" si="10"/>
        <v>103</v>
      </c>
      <c r="S354" s="3" t="str">
        <f t="shared" si="11"/>
        <v>69</v>
      </c>
      <c r="T354" s="16" t="s">
        <v>33</v>
      </c>
      <c r="U354" s="3">
        <v>16.829999999999998</v>
      </c>
      <c r="V354" s="16" t="str">
        <f>PROPER(Table1[[#This Row],[CVD Risk Level]])</f>
        <v>High</v>
      </c>
    </row>
    <row r="355" spans="1:22" x14ac:dyDescent="0.3">
      <c r="A355" t="s">
        <v>31</v>
      </c>
      <c r="B355" s="8">
        <v>58</v>
      </c>
      <c r="C355" s="8">
        <v>108.5</v>
      </c>
      <c r="D355" s="5">
        <v>1.6307402385083274</v>
      </c>
      <c r="E355" s="5">
        <v>40.799999999999997</v>
      </c>
      <c r="F355" s="16" t="s">
        <v>1302</v>
      </c>
      <c r="G355" s="11">
        <v>0.55400000000000005</v>
      </c>
      <c r="H355" s="5">
        <v>90.3</v>
      </c>
      <c r="I355" s="8">
        <v>40</v>
      </c>
      <c r="J355" s="8">
        <v>138</v>
      </c>
      <c r="K355" s="8">
        <v>208</v>
      </c>
      <c r="L355" s="8">
        <v>142</v>
      </c>
      <c r="M355" t="s">
        <v>1307</v>
      </c>
      <c r="N355" s="16" t="s">
        <v>23</v>
      </c>
      <c r="O355" s="16" t="s">
        <v>23</v>
      </c>
      <c r="P355" s="16" t="s">
        <v>37</v>
      </c>
      <c r="Q355" s="10" t="s">
        <v>360</v>
      </c>
      <c r="R355" s="3" t="str">
        <f t="shared" si="10"/>
        <v>135</v>
      </c>
      <c r="S355" s="3" t="str">
        <f t="shared" si="11"/>
        <v>90</v>
      </c>
      <c r="T355" s="16" t="s">
        <v>29</v>
      </c>
      <c r="U355" s="3">
        <v>21.07</v>
      </c>
      <c r="V355" s="16" t="str">
        <f>PROPER(Table1[[#This Row],[CVD Risk Level]])</f>
        <v>High</v>
      </c>
    </row>
    <row r="356" spans="1:22" x14ac:dyDescent="0.3">
      <c r="A356" t="s">
        <v>31</v>
      </c>
      <c r="B356" s="8">
        <v>41</v>
      </c>
      <c r="C356" s="8">
        <v>59.3</v>
      </c>
      <c r="D356" s="5">
        <v>1.61</v>
      </c>
      <c r="E356" s="5">
        <v>22.9</v>
      </c>
      <c r="F356" s="16" t="s">
        <v>33</v>
      </c>
      <c r="G356" s="11">
        <v>0.54409937888198756</v>
      </c>
      <c r="H356" s="5">
        <v>87.6</v>
      </c>
      <c r="I356" s="8">
        <v>34</v>
      </c>
      <c r="J356" s="8">
        <v>104</v>
      </c>
      <c r="K356" s="8">
        <v>168</v>
      </c>
      <c r="L356" s="8">
        <v>124</v>
      </c>
      <c r="M356" t="s">
        <v>1306</v>
      </c>
      <c r="N356" s="16" t="s">
        <v>22</v>
      </c>
      <c r="O356" s="16" t="s">
        <v>23</v>
      </c>
      <c r="P356" s="16" t="s">
        <v>28</v>
      </c>
      <c r="Q356" s="10" t="s">
        <v>268</v>
      </c>
      <c r="R356" s="3" t="str">
        <f t="shared" si="10"/>
        <v>121</v>
      </c>
      <c r="S356" s="3" t="str">
        <f t="shared" si="11"/>
        <v>68</v>
      </c>
      <c r="T356" s="16" t="s">
        <v>25</v>
      </c>
      <c r="U356" s="3">
        <v>15.99</v>
      </c>
      <c r="V356" s="16" t="str">
        <f>PROPER(Table1[[#This Row],[CVD Risk Level]])</f>
        <v>Intermediary</v>
      </c>
    </row>
    <row r="357" spans="1:22" x14ac:dyDescent="0.3">
      <c r="A357" t="s">
        <v>31</v>
      </c>
      <c r="B357" s="8">
        <v>36</v>
      </c>
      <c r="C357" s="8">
        <v>110.5</v>
      </c>
      <c r="D357" s="5">
        <v>1.88</v>
      </c>
      <c r="E357" s="5">
        <v>31.3</v>
      </c>
      <c r="F357" s="16" t="s">
        <v>1302</v>
      </c>
      <c r="G357" s="11">
        <v>0.56699999999999995</v>
      </c>
      <c r="H357" s="5">
        <v>106.6</v>
      </c>
      <c r="I357" s="8">
        <v>52</v>
      </c>
      <c r="J357" s="8">
        <v>126</v>
      </c>
      <c r="K357" s="8">
        <v>208</v>
      </c>
      <c r="L357" s="8">
        <v>135</v>
      </c>
      <c r="M357" t="s">
        <v>1307</v>
      </c>
      <c r="N357" s="16" t="s">
        <v>22</v>
      </c>
      <c r="O357" s="16" t="s">
        <v>22</v>
      </c>
      <c r="P357" s="16" t="s">
        <v>28</v>
      </c>
      <c r="Q357" s="10" t="s">
        <v>361</v>
      </c>
      <c r="R357" s="3" t="str">
        <f t="shared" si="10"/>
        <v>148</v>
      </c>
      <c r="S357" s="3" t="str">
        <f t="shared" si="11"/>
        <v>64</v>
      </c>
      <c r="T357" s="16" t="s">
        <v>38</v>
      </c>
      <c r="U357" s="3">
        <v>17.82</v>
      </c>
      <c r="V357" s="16" t="str">
        <f>PROPER(Table1[[#This Row],[CVD Risk Level]])</f>
        <v>Intermediary</v>
      </c>
    </row>
    <row r="358" spans="1:22" x14ac:dyDescent="0.3">
      <c r="A358" t="s">
        <v>31</v>
      </c>
      <c r="B358" s="8">
        <v>39</v>
      </c>
      <c r="C358" s="8">
        <v>69.209070000000011</v>
      </c>
      <c r="D358" s="5">
        <v>1.61</v>
      </c>
      <c r="E358" s="5">
        <v>26.7</v>
      </c>
      <c r="F358" s="16" t="s">
        <v>1303</v>
      </c>
      <c r="G358" s="11">
        <v>0.61199999999999999</v>
      </c>
      <c r="H358" s="5">
        <v>98.531999999999996</v>
      </c>
      <c r="I358" s="8">
        <v>43</v>
      </c>
      <c r="J358" s="8">
        <v>196</v>
      </c>
      <c r="K358" s="8">
        <v>269</v>
      </c>
      <c r="L358" s="8">
        <v>122</v>
      </c>
      <c r="M358" t="s">
        <v>1306</v>
      </c>
      <c r="N358" s="16" t="s">
        <v>22</v>
      </c>
      <c r="O358" s="16" t="s">
        <v>23</v>
      </c>
      <c r="P358" s="16" t="s">
        <v>28</v>
      </c>
      <c r="Q358" s="10" t="s">
        <v>362</v>
      </c>
      <c r="R358" s="3" t="str">
        <f t="shared" si="10"/>
        <v>150</v>
      </c>
      <c r="S358" s="3" t="str">
        <f t="shared" si="11"/>
        <v>78</v>
      </c>
      <c r="T358" s="16" t="s">
        <v>38</v>
      </c>
      <c r="U358" s="3">
        <v>20.22</v>
      </c>
      <c r="V358" s="16" t="str">
        <f>PROPER(Table1[[#This Row],[CVD Risk Level]])</f>
        <v>High</v>
      </c>
    </row>
    <row r="359" spans="1:22" x14ac:dyDescent="0.3">
      <c r="A359" t="s">
        <v>20</v>
      </c>
      <c r="B359" s="8">
        <v>53</v>
      </c>
      <c r="C359" s="8">
        <v>59.8</v>
      </c>
      <c r="D359" s="5">
        <v>1.74</v>
      </c>
      <c r="E359" s="5">
        <v>19.751618443651736</v>
      </c>
      <c r="F359" s="16" t="s">
        <v>33</v>
      </c>
      <c r="G359" s="11">
        <v>0.59699999999999998</v>
      </c>
      <c r="H359" s="5">
        <v>103.9</v>
      </c>
      <c r="I359" s="8">
        <v>73</v>
      </c>
      <c r="J359" s="8">
        <v>105</v>
      </c>
      <c r="K359" s="8">
        <v>208</v>
      </c>
      <c r="L359" s="8">
        <v>143</v>
      </c>
      <c r="M359" t="s">
        <v>1307</v>
      </c>
      <c r="N359" s="16" t="s">
        <v>22</v>
      </c>
      <c r="O359" s="16" t="s">
        <v>22</v>
      </c>
      <c r="P359" s="16" t="s">
        <v>28</v>
      </c>
      <c r="Q359" s="10" t="s">
        <v>363</v>
      </c>
      <c r="R359" s="3" t="str">
        <f t="shared" si="10"/>
        <v>127</v>
      </c>
      <c r="S359" s="3" t="str">
        <f t="shared" si="11"/>
        <v>78</v>
      </c>
      <c r="T359" s="16" t="s">
        <v>25</v>
      </c>
      <c r="U359" s="3">
        <v>14.47</v>
      </c>
      <c r="V359" s="16" t="str">
        <f>PROPER(Table1[[#This Row],[CVD Risk Level]])</f>
        <v>Intermediary</v>
      </c>
    </row>
    <row r="360" spans="1:22" x14ac:dyDescent="0.3">
      <c r="A360" t="s">
        <v>20</v>
      </c>
      <c r="B360" s="8">
        <v>43</v>
      </c>
      <c r="C360" s="8">
        <v>54.2</v>
      </c>
      <c r="D360" s="5">
        <v>1.78</v>
      </c>
      <c r="E360" s="5">
        <v>17.100000000000001</v>
      </c>
      <c r="F360" s="16" t="s">
        <v>1304</v>
      </c>
      <c r="G360" s="11">
        <v>0.51600000000000001</v>
      </c>
      <c r="H360" s="5">
        <v>91.8</v>
      </c>
      <c r="I360" s="8">
        <v>38</v>
      </c>
      <c r="J360" s="8">
        <v>206</v>
      </c>
      <c r="K360" s="8">
        <v>274</v>
      </c>
      <c r="L360" s="8">
        <v>144</v>
      </c>
      <c r="M360" t="s">
        <v>1307</v>
      </c>
      <c r="N360" s="16" t="s">
        <v>23</v>
      </c>
      <c r="O360" s="16" t="s">
        <v>23</v>
      </c>
      <c r="P360" s="16" t="s">
        <v>28</v>
      </c>
      <c r="Q360" s="10" t="s">
        <v>364</v>
      </c>
      <c r="R360" s="3" t="str">
        <f t="shared" si="10"/>
        <v>117</v>
      </c>
      <c r="S360" s="3" t="str">
        <f t="shared" si="11"/>
        <v>81</v>
      </c>
      <c r="T360" s="16" t="s">
        <v>29</v>
      </c>
      <c r="U360" s="3">
        <v>16.75</v>
      </c>
      <c r="V360" s="16" t="str">
        <f>PROPER(Table1[[#This Row],[CVD Risk Level]])</f>
        <v>High</v>
      </c>
    </row>
    <row r="361" spans="1:22" x14ac:dyDescent="0.3">
      <c r="A361" t="s">
        <v>31</v>
      </c>
      <c r="B361" s="8">
        <v>58</v>
      </c>
      <c r="C361" s="8">
        <v>91.2</v>
      </c>
      <c r="D361" s="5">
        <v>1.78</v>
      </c>
      <c r="E361" s="5">
        <v>28.784244413584144</v>
      </c>
      <c r="F361" s="16" t="s">
        <v>1303</v>
      </c>
      <c r="G361" s="11">
        <v>0.442</v>
      </c>
      <c r="H361" s="5">
        <v>78.599999999999994</v>
      </c>
      <c r="I361" s="8">
        <v>74</v>
      </c>
      <c r="J361" s="8">
        <v>86</v>
      </c>
      <c r="K361" s="8">
        <v>190</v>
      </c>
      <c r="L361" s="8">
        <v>89</v>
      </c>
      <c r="M361" t="s">
        <v>33</v>
      </c>
      <c r="N361" s="16" t="s">
        <v>23</v>
      </c>
      <c r="O361" s="16" t="s">
        <v>23</v>
      </c>
      <c r="P361" s="16" t="s">
        <v>24</v>
      </c>
      <c r="Q361" s="10" t="s">
        <v>365</v>
      </c>
      <c r="R361" s="3" t="str">
        <f t="shared" si="10"/>
        <v>125</v>
      </c>
      <c r="S361" s="3" t="str">
        <f t="shared" si="11"/>
        <v>100</v>
      </c>
      <c r="T361" s="16" t="s">
        <v>38</v>
      </c>
      <c r="U361" s="3">
        <v>17.809999999999999</v>
      </c>
      <c r="V361" s="16" t="str">
        <f>PROPER(Table1[[#This Row],[CVD Risk Level]])</f>
        <v>High</v>
      </c>
    </row>
    <row r="362" spans="1:22" x14ac:dyDescent="0.3">
      <c r="A362" t="s">
        <v>31</v>
      </c>
      <c r="B362" s="8">
        <v>59</v>
      </c>
      <c r="C362" s="8">
        <v>98.7</v>
      </c>
      <c r="D362" s="5">
        <v>1.64</v>
      </c>
      <c r="E362" s="5">
        <v>36.696906603212383</v>
      </c>
      <c r="F362" s="16" t="s">
        <v>1302</v>
      </c>
      <c r="G362" s="11">
        <v>0.443</v>
      </c>
      <c r="H362" s="5">
        <v>72.599999999999994</v>
      </c>
      <c r="I362" s="8">
        <v>30</v>
      </c>
      <c r="J362" s="8">
        <v>174</v>
      </c>
      <c r="K362" s="8">
        <v>234</v>
      </c>
      <c r="L362" s="8">
        <v>95</v>
      </c>
      <c r="M362" t="s">
        <v>33</v>
      </c>
      <c r="N362" s="16" t="s">
        <v>23</v>
      </c>
      <c r="O362" s="16" t="s">
        <v>22</v>
      </c>
      <c r="P362" s="16" t="s">
        <v>28</v>
      </c>
      <c r="Q362" s="10" t="s">
        <v>366</v>
      </c>
      <c r="R362" s="3" t="str">
        <f t="shared" si="10"/>
        <v>126</v>
      </c>
      <c r="S362" s="3" t="str">
        <f t="shared" si="11"/>
        <v>80</v>
      </c>
      <c r="T362" s="16" t="s">
        <v>29</v>
      </c>
      <c r="U362" s="3">
        <v>18.32</v>
      </c>
      <c r="V362" s="16" t="str">
        <f>PROPER(Table1[[#This Row],[CVD Risk Level]])</f>
        <v>High</v>
      </c>
    </row>
    <row r="363" spans="1:22" x14ac:dyDescent="0.3">
      <c r="A363" t="s">
        <v>20</v>
      </c>
      <c r="B363" s="8">
        <v>42</v>
      </c>
      <c r="C363" s="8">
        <v>104.1</v>
      </c>
      <c r="D363" s="5">
        <v>1.88</v>
      </c>
      <c r="E363" s="5">
        <v>29.5</v>
      </c>
      <c r="F363" s="16" t="s">
        <v>1303</v>
      </c>
      <c r="G363" s="11">
        <v>0.4436170212765958</v>
      </c>
      <c r="H363" s="5">
        <v>83.4</v>
      </c>
      <c r="I363" s="8">
        <v>68</v>
      </c>
      <c r="J363" s="8">
        <v>98</v>
      </c>
      <c r="K363" s="8">
        <v>196</v>
      </c>
      <c r="L363" s="8">
        <v>110</v>
      </c>
      <c r="M363" t="s">
        <v>1306</v>
      </c>
      <c r="N363" s="16" t="s">
        <v>23</v>
      </c>
      <c r="O363" s="16" t="s">
        <v>22</v>
      </c>
      <c r="P363" s="16" t="s">
        <v>24</v>
      </c>
      <c r="Q363" s="10" t="s">
        <v>367</v>
      </c>
      <c r="R363" s="3" t="str">
        <f t="shared" si="10"/>
        <v>132</v>
      </c>
      <c r="S363" s="3" t="str">
        <f t="shared" si="11"/>
        <v>86</v>
      </c>
      <c r="T363" s="16" t="s">
        <v>29</v>
      </c>
      <c r="U363" s="3">
        <v>16.420000000000002</v>
      </c>
      <c r="V363" s="16" t="str">
        <f>PROPER(Table1[[#This Row],[CVD Risk Level]])</f>
        <v>High</v>
      </c>
    </row>
    <row r="364" spans="1:22" x14ac:dyDescent="0.3">
      <c r="A364" t="s">
        <v>20</v>
      </c>
      <c r="B364" s="8">
        <v>46</v>
      </c>
      <c r="C364" s="8">
        <v>73.7</v>
      </c>
      <c r="D364" s="5">
        <v>1.66</v>
      </c>
      <c r="E364" s="5">
        <v>26.7</v>
      </c>
      <c r="F364" s="16" t="s">
        <v>1303</v>
      </c>
      <c r="G364" s="11">
        <v>0.65600000000000003</v>
      </c>
      <c r="H364" s="5">
        <v>108.9</v>
      </c>
      <c r="I364" s="8">
        <v>45</v>
      </c>
      <c r="J364" s="8">
        <v>98</v>
      </c>
      <c r="K364" s="8">
        <v>173</v>
      </c>
      <c r="L364" s="8">
        <v>80</v>
      </c>
      <c r="M364" t="s">
        <v>33</v>
      </c>
      <c r="N364" s="16" t="s">
        <v>23</v>
      </c>
      <c r="O364" s="16" t="s">
        <v>23</v>
      </c>
      <c r="P364" s="16" t="s">
        <v>28</v>
      </c>
      <c r="Q364" s="10" t="s">
        <v>368</v>
      </c>
      <c r="R364" s="3" t="str">
        <f t="shared" si="10"/>
        <v>92</v>
      </c>
      <c r="S364" s="3" t="str">
        <f t="shared" si="11"/>
        <v>74</v>
      </c>
      <c r="T364" s="16" t="s">
        <v>33</v>
      </c>
      <c r="U364" s="3">
        <v>15.4</v>
      </c>
      <c r="V364" s="16" t="str">
        <f>PROPER(Table1[[#This Row],[CVD Risk Level]])</f>
        <v>High</v>
      </c>
    </row>
    <row r="365" spans="1:22" x14ac:dyDescent="0.3">
      <c r="A365" t="s">
        <v>20</v>
      </c>
      <c r="B365" s="8">
        <v>42</v>
      </c>
      <c r="C365" s="8">
        <v>114.1</v>
      </c>
      <c r="D365" s="5">
        <v>1.66</v>
      </c>
      <c r="E365" s="5">
        <v>41.4</v>
      </c>
      <c r="F365" s="16" t="s">
        <v>1302</v>
      </c>
      <c r="G365" s="11">
        <v>0.46700000000000003</v>
      </c>
      <c r="H365" s="5">
        <v>77.522000000000006</v>
      </c>
      <c r="I365" s="8">
        <v>59</v>
      </c>
      <c r="J365" s="8">
        <v>133</v>
      </c>
      <c r="K365" s="8">
        <v>222</v>
      </c>
      <c r="L365" s="8">
        <v>146</v>
      </c>
      <c r="M365" t="s">
        <v>1307</v>
      </c>
      <c r="N365" s="16" t="s">
        <v>23</v>
      </c>
      <c r="O365" s="16" t="s">
        <v>23</v>
      </c>
      <c r="P365" s="16" t="s">
        <v>28</v>
      </c>
      <c r="Q365" s="10" t="s">
        <v>369</v>
      </c>
      <c r="R365" s="3" t="str">
        <f t="shared" si="10"/>
        <v>93</v>
      </c>
      <c r="S365" s="3" t="str">
        <f t="shared" si="11"/>
        <v>88</v>
      </c>
      <c r="T365" s="16" t="s">
        <v>29</v>
      </c>
      <c r="U365" s="3">
        <v>19.37</v>
      </c>
      <c r="V365" s="16" t="str">
        <f>PROPER(Table1[[#This Row],[CVD Risk Level]])</f>
        <v>High</v>
      </c>
    </row>
    <row r="366" spans="1:22" x14ac:dyDescent="0.3">
      <c r="A366" t="s">
        <v>31</v>
      </c>
      <c r="B366" s="8">
        <v>54</v>
      </c>
      <c r="C366" s="8">
        <v>98.5</v>
      </c>
      <c r="D366" s="5">
        <v>1.69</v>
      </c>
      <c r="E366" s="5">
        <v>34.5</v>
      </c>
      <c r="F366" s="16" t="s">
        <v>1302</v>
      </c>
      <c r="G366" s="11">
        <v>0.626</v>
      </c>
      <c r="H366" s="5">
        <v>105.8</v>
      </c>
      <c r="I366" s="8">
        <v>34</v>
      </c>
      <c r="J366" s="8">
        <v>193</v>
      </c>
      <c r="K366" s="8">
        <v>257</v>
      </c>
      <c r="L366" s="8">
        <v>109</v>
      </c>
      <c r="M366" t="s">
        <v>1306</v>
      </c>
      <c r="N366" s="16" t="s">
        <v>23</v>
      </c>
      <c r="O366" s="16" t="s">
        <v>23</v>
      </c>
      <c r="P366" s="16" t="s">
        <v>37</v>
      </c>
      <c r="Q366" s="10" t="s">
        <v>370</v>
      </c>
      <c r="R366" s="3" t="str">
        <f t="shared" si="10"/>
        <v>126</v>
      </c>
      <c r="S366" s="3" t="str">
        <f t="shared" si="11"/>
        <v>60</v>
      </c>
      <c r="T366" s="16" t="s">
        <v>25</v>
      </c>
      <c r="U366" s="3">
        <v>20.34</v>
      </c>
      <c r="V366" s="16" t="str">
        <f>PROPER(Table1[[#This Row],[CVD Risk Level]])</f>
        <v>High</v>
      </c>
    </row>
    <row r="367" spans="1:22" x14ac:dyDescent="0.3">
      <c r="A367" t="s">
        <v>31</v>
      </c>
      <c r="B367" s="8">
        <v>59</v>
      </c>
      <c r="C367" s="8">
        <v>75.3</v>
      </c>
      <c r="D367" s="5">
        <v>1.65</v>
      </c>
      <c r="E367" s="5">
        <v>27.7</v>
      </c>
      <c r="F367" s="16" t="s">
        <v>1303</v>
      </c>
      <c r="G367" s="11">
        <v>0.57899999999999996</v>
      </c>
      <c r="H367" s="5">
        <v>95.6</v>
      </c>
      <c r="I367" s="8">
        <v>53</v>
      </c>
      <c r="J367" s="8">
        <v>48</v>
      </c>
      <c r="K367" s="8">
        <v>131</v>
      </c>
      <c r="L367" s="8">
        <v>81</v>
      </c>
      <c r="M367" t="s">
        <v>33</v>
      </c>
      <c r="N367" s="16" t="s">
        <v>22</v>
      </c>
      <c r="O367" s="16" t="s">
        <v>23</v>
      </c>
      <c r="P367" s="16" t="s">
        <v>37</v>
      </c>
      <c r="Q367" s="10" t="s">
        <v>371</v>
      </c>
      <c r="R367" s="3" t="str">
        <f t="shared" si="10"/>
        <v>120</v>
      </c>
      <c r="S367" s="3" t="str">
        <f t="shared" si="11"/>
        <v>83</v>
      </c>
      <c r="T367" s="16" t="s">
        <v>29</v>
      </c>
      <c r="U367" s="3">
        <v>16.960925291295425</v>
      </c>
      <c r="V367" s="16" t="str">
        <f>PROPER(Table1[[#This Row],[CVD Risk Level]])</f>
        <v>Intermediary</v>
      </c>
    </row>
    <row r="368" spans="1:22" x14ac:dyDescent="0.3">
      <c r="A368" t="s">
        <v>20</v>
      </c>
      <c r="B368" s="8">
        <v>54</v>
      </c>
      <c r="C368" s="8">
        <v>106.6</v>
      </c>
      <c r="D368" s="5">
        <v>1.69</v>
      </c>
      <c r="E368" s="5">
        <v>37.299999999999997</v>
      </c>
      <c r="F368" s="16" t="s">
        <v>1302</v>
      </c>
      <c r="G368" s="11">
        <v>0.59799999999999998</v>
      </c>
      <c r="H368" s="5">
        <v>101</v>
      </c>
      <c r="I368" s="8">
        <v>44</v>
      </c>
      <c r="J368" s="8">
        <v>109</v>
      </c>
      <c r="K368" s="8">
        <v>252</v>
      </c>
      <c r="L368" s="8">
        <v>124</v>
      </c>
      <c r="M368" t="s">
        <v>1306</v>
      </c>
      <c r="N368" s="16" t="s">
        <v>22</v>
      </c>
      <c r="O368" s="16" t="s">
        <v>22</v>
      </c>
      <c r="P368" s="16" t="s">
        <v>24</v>
      </c>
      <c r="Q368" s="10" t="s">
        <v>372</v>
      </c>
      <c r="R368" s="3" t="str">
        <f t="shared" si="10"/>
        <v>134</v>
      </c>
      <c r="S368" s="3" t="str">
        <f t="shared" si="11"/>
        <v>82</v>
      </c>
      <c r="T368" s="16" t="s">
        <v>29</v>
      </c>
      <c r="U368" s="3">
        <v>19.2</v>
      </c>
      <c r="V368" s="16" t="str">
        <f>PROPER(Table1[[#This Row],[CVD Risk Level]])</f>
        <v>High</v>
      </c>
    </row>
    <row r="369" spans="1:22" x14ac:dyDescent="0.3">
      <c r="A369" t="s">
        <v>31</v>
      </c>
      <c r="B369" s="8">
        <v>47</v>
      </c>
      <c r="C369" s="8">
        <v>118.1</v>
      </c>
      <c r="D369" s="5">
        <v>1.8188246889955391</v>
      </c>
      <c r="E369" s="5">
        <v>35.700000000000003</v>
      </c>
      <c r="F369" s="16" t="s">
        <v>1302</v>
      </c>
      <c r="G369" s="11">
        <v>0.51300000000000001</v>
      </c>
      <c r="H369" s="5">
        <v>93.4</v>
      </c>
      <c r="I369" s="8">
        <v>39</v>
      </c>
      <c r="J369" s="8">
        <v>82</v>
      </c>
      <c r="K369" s="8">
        <v>151</v>
      </c>
      <c r="L369" s="8">
        <v>117.48563611491107</v>
      </c>
      <c r="M369" t="s">
        <v>1306</v>
      </c>
      <c r="N369" s="16" t="s">
        <v>23</v>
      </c>
      <c r="O369" s="16" t="s">
        <v>23</v>
      </c>
      <c r="P369" s="16" t="s">
        <v>24</v>
      </c>
      <c r="Q369" s="10" t="s">
        <v>373</v>
      </c>
      <c r="R369" s="3" t="str">
        <f t="shared" si="10"/>
        <v>130</v>
      </c>
      <c r="S369" s="3" t="str">
        <f t="shared" si="11"/>
        <v>87</v>
      </c>
      <c r="T369" s="16" t="s">
        <v>29</v>
      </c>
      <c r="U369" s="3">
        <v>18.66</v>
      </c>
      <c r="V369" s="16" t="str">
        <f>PROPER(Table1[[#This Row],[CVD Risk Level]])</f>
        <v>High</v>
      </c>
    </row>
    <row r="370" spans="1:22" x14ac:dyDescent="0.3">
      <c r="A370" t="s">
        <v>31</v>
      </c>
      <c r="B370" s="8">
        <v>46</v>
      </c>
      <c r="C370" s="8">
        <v>73</v>
      </c>
      <c r="D370" s="5">
        <v>1.79</v>
      </c>
      <c r="E370" s="5">
        <v>22.8</v>
      </c>
      <c r="F370" s="16" t="s">
        <v>33</v>
      </c>
      <c r="G370" s="11">
        <v>0.434</v>
      </c>
      <c r="H370" s="5">
        <v>77.685999999999993</v>
      </c>
      <c r="I370" s="8">
        <v>61</v>
      </c>
      <c r="J370" s="8">
        <v>169</v>
      </c>
      <c r="K370" s="8">
        <v>260</v>
      </c>
      <c r="L370" s="8">
        <v>72</v>
      </c>
      <c r="M370" t="s">
        <v>33</v>
      </c>
      <c r="N370" s="16" t="s">
        <v>23</v>
      </c>
      <c r="O370" s="16" t="s">
        <v>22</v>
      </c>
      <c r="P370" s="16" t="s">
        <v>37</v>
      </c>
      <c r="Q370" s="10" t="s">
        <v>374</v>
      </c>
      <c r="R370" s="3" t="str">
        <f t="shared" si="10"/>
        <v>95</v>
      </c>
      <c r="S370" s="3" t="str">
        <f t="shared" si="11"/>
        <v>60</v>
      </c>
      <c r="T370" s="16" t="s">
        <v>33</v>
      </c>
      <c r="U370" s="3">
        <v>14.51</v>
      </c>
      <c r="V370" s="16" t="str">
        <f>PROPER(Table1[[#This Row],[CVD Risk Level]])</f>
        <v>High</v>
      </c>
    </row>
    <row r="371" spans="1:22" x14ac:dyDescent="0.3">
      <c r="A371" t="s">
        <v>31</v>
      </c>
      <c r="B371" s="8">
        <v>52</v>
      </c>
      <c r="C371" s="8">
        <v>89.327250000000006</v>
      </c>
      <c r="D371" s="5">
        <v>1.85</v>
      </c>
      <c r="E371" s="5">
        <v>26.1</v>
      </c>
      <c r="F371" s="16" t="s">
        <v>1303</v>
      </c>
      <c r="G371" s="11">
        <v>0.53200000000000003</v>
      </c>
      <c r="H371" s="5">
        <v>98.5</v>
      </c>
      <c r="I371" s="8">
        <v>39</v>
      </c>
      <c r="J371" s="8">
        <v>226</v>
      </c>
      <c r="K371" s="8">
        <v>295</v>
      </c>
      <c r="L371" s="8">
        <v>117.48563611491107</v>
      </c>
      <c r="M371" t="s">
        <v>1306</v>
      </c>
      <c r="N371" s="16" t="s">
        <v>22</v>
      </c>
      <c r="O371" s="16" t="s">
        <v>22</v>
      </c>
      <c r="P371" s="16" t="s">
        <v>37</v>
      </c>
      <c r="Q371" s="10" t="s">
        <v>233</v>
      </c>
      <c r="R371" s="3" t="str">
        <f t="shared" si="10"/>
        <v>114</v>
      </c>
      <c r="S371" s="3" t="str">
        <f t="shared" si="11"/>
        <v>92</v>
      </c>
      <c r="T371" s="16" t="s">
        <v>38</v>
      </c>
      <c r="U371" s="3">
        <v>16.82</v>
      </c>
      <c r="V371" s="16" t="str">
        <f>PROPER(Table1[[#This Row],[CVD Risk Level]])</f>
        <v>High</v>
      </c>
    </row>
    <row r="372" spans="1:22" x14ac:dyDescent="0.3">
      <c r="A372" t="s">
        <v>31</v>
      </c>
      <c r="B372" s="8">
        <v>43</v>
      </c>
      <c r="C372" s="8">
        <v>108.8</v>
      </c>
      <c r="D372" s="5">
        <v>1.87</v>
      </c>
      <c r="E372" s="5">
        <v>31.1</v>
      </c>
      <c r="F372" s="16" t="s">
        <v>1302</v>
      </c>
      <c r="G372" s="11">
        <v>0.39700000000000002</v>
      </c>
      <c r="H372" s="5">
        <v>74.2</v>
      </c>
      <c r="I372" s="8">
        <v>55</v>
      </c>
      <c r="J372" s="8">
        <v>131</v>
      </c>
      <c r="K372" s="8">
        <v>216</v>
      </c>
      <c r="L372" s="8">
        <v>115</v>
      </c>
      <c r="M372" t="s">
        <v>1306</v>
      </c>
      <c r="N372" s="16" t="s">
        <v>22</v>
      </c>
      <c r="O372" s="16" t="s">
        <v>22</v>
      </c>
      <c r="P372" s="16" t="s">
        <v>28</v>
      </c>
      <c r="Q372" s="10" t="s">
        <v>375</v>
      </c>
      <c r="R372" s="3" t="str">
        <f t="shared" si="10"/>
        <v>128</v>
      </c>
      <c r="S372" s="3" t="str">
        <f t="shared" si="11"/>
        <v>75</v>
      </c>
      <c r="T372" s="16" t="s">
        <v>25</v>
      </c>
      <c r="U372" s="3">
        <v>16.940000000000001</v>
      </c>
      <c r="V372" s="16" t="str">
        <f>PROPER(Table1[[#This Row],[CVD Risk Level]])</f>
        <v>Intermediary</v>
      </c>
    </row>
    <row r="373" spans="1:22" x14ac:dyDescent="0.3">
      <c r="A373" t="s">
        <v>20</v>
      </c>
      <c r="B373" s="8">
        <v>42</v>
      </c>
      <c r="C373" s="8">
        <v>68.5</v>
      </c>
      <c r="D373" s="5">
        <v>1.83</v>
      </c>
      <c r="E373" s="5">
        <v>20.5</v>
      </c>
      <c r="F373" s="16" t="s">
        <v>33</v>
      </c>
      <c r="G373" s="11">
        <v>0.46</v>
      </c>
      <c r="H373" s="5">
        <v>84.1</v>
      </c>
      <c r="I373" s="8">
        <v>77</v>
      </c>
      <c r="J373" s="8">
        <v>77</v>
      </c>
      <c r="K373" s="8">
        <v>184</v>
      </c>
      <c r="L373" s="8">
        <v>122</v>
      </c>
      <c r="M373" t="s">
        <v>1306</v>
      </c>
      <c r="N373" s="16" t="s">
        <v>23</v>
      </c>
      <c r="O373" s="16" t="s">
        <v>23</v>
      </c>
      <c r="P373" s="16" t="s">
        <v>28</v>
      </c>
      <c r="Q373" s="10" t="s">
        <v>376</v>
      </c>
      <c r="R373" s="3" t="str">
        <f t="shared" si="10"/>
        <v>140</v>
      </c>
      <c r="S373" s="3" t="str">
        <f t="shared" si="11"/>
        <v>89</v>
      </c>
      <c r="T373" s="16" t="s">
        <v>29</v>
      </c>
      <c r="U373" s="3">
        <v>16.78</v>
      </c>
      <c r="V373" s="16" t="str">
        <f>PROPER(Table1[[#This Row],[CVD Risk Level]])</f>
        <v>Intermediary</v>
      </c>
    </row>
    <row r="374" spans="1:22" x14ac:dyDescent="0.3">
      <c r="A374" t="s">
        <v>20</v>
      </c>
      <c r="B374" s="8">
        <v>37</v>
      </c>
      <c r="C374" s="8">
        <v>60.7</v>
      </c>
      <c r="D374" s="5">
        <v>1.63</v>
      </c>
      <c r="E374" s="5">
        <v>22.8</v>
      </c>
      <c r="F374" s="16" t="s">
        <v>33</v>
      </c>
      <c r="G374" s="11">
        <v>0.48399999999999999</v>
      </c>
      <c r="H374" s="5">
        <v>78.900000000000006</v>
      </c>
      <c r="I374" s="8">
        <v>68</v>
      </c>
      <c r="J374" s="8">
        <v>102</v>
      </c>
      <c r="K374" s="8">
        <v>200</v>
      </c>
      <c r="L374" s="8">
        <v>136</v>
      </c>
      <c r="M374" t="s">
        <v>1307</v>
      </c>
      <c r="N374" s="16" t="s">
        <v>23</v>
      </c>
      <c r="O374" s="16" t="s">
        <v>22</v>
      </c>
      <c r="P374" s="16" t="s">
        <v>37</v>
      </c>
      <c r="Q374" s="10" t="s">
        <v>377</v>
      </c>
      <c r="R374" s="3" t="str">
        <f t="shared" si="10"/>
        <v>116</v>
      </c>
      <c r="S374" s="3" t="str">
        <f t="shared" si="11"/>
        <v>100</v>
      </c>
      <c r="T374" s="16" t="s">
        <v>38</v>
      </c>
      <c r="U374" s="3">
        <v>14.36</v>
      </c>
      <c r="V374" s="16" t="str">
        <f>PROPER(Table1[[#This Row],[CVD Risk Level]])</f>
        <v>Low</v>
      </c>
    </row>
    <row r="375" spans="1:22" x14ac:dyDescent="0.3">
      <c r="A375" t="s">
        <v>31</v>
      </c>
      <c r="B375" s="8">
        <v>33</v>
      </c>
      <c r="C375" s="8">
        <v>99.5</v>
      </c>
      <c r="D375" s="5">
        <v>1.75</v>
      </c>
      <c r="E375" s="5">
        <v>32.5</v>
      </c>
      <c r="F375" s="16" t="s">
        <v>1302</v>
      </c>
      <c r="G375" s="11">
        <v>0.41799999999999998</v>
      </c>
      <c r="H375" s="5">
        <v>73.2</v>
      </c>
      <c r="I375" s="8">
        <v>78</v>
      </c>
      <c r="J375" s="8">
        <v>41</v>
      </c>
      <c r="K375" s="8">
        <v>149</v>
      </c>
      <c r="L375" s="8">
        <v>73</v>
      </c>
      <c r="M375" t="s">
        <v>33</v>
      </c>
      <c r="N375" s="16" t="s">
        <v>23</v>
      </c>
      <c r="O375" s="16" t="s">
        <v>22</v>
      </c>
      <c r="P375" s="16" t="s">
        <v>24</v>
      </c>
      <c r="Q375" s="10" t="s">
        <v>335</v>
      </c>
      <c r="R375" s="3" t="str">
        <f t="shared" si="10"/>
        <v>100</v>
      </c>
      <c r="S375" s="3" t="str">
        <f t="shared" si="11"/>
        <v>80</v>
      </c>
      <c r="T375" s="16" t="s">
        <v>29</v>
      </c>
      <c r="U375" s="3">
        <v>14.48</v>
      </c>
      <c r="V375" s="16" t="str">
        <f>PROPER(Table1[[#This Row],[CVD Risk Level]])</f>
        <v>High</v>
      </c>
    </row>
    <row r="376" spans="1:22" x14ac:dyDescent="0.3">
      <c r="A376" t="s">
        <v>31</v>
      </c>
      <c r="B376" s="8">
        <v>48</v>
      </c>
      <c r="C376" s="8">
        <v>95.2</v>
      </c>
      <c r="D376" s="5">
        <v>1.89</v>
      </c>
      <c r="E376" s="5">
        <v>26.7</v>
      </c>
      <c r="F376" s="16" t="s">
        <v>1303</v>
      </c>
      <c r="G376" s="11">
        <v>0.432</v>
      </c>
      <c r="H376" s="5">
        <v>81.599999999999994</v>
      </c>
      <c r="I376" s="8">
        <v>53</v>
      </c>
      <c r="J376" s="8">
        <v>109</v>
      </c>
      <c r="K376" s="8">
        <v>249</v>
      </c>
      <c r="L376" s="8">
        <v>134</v>
      </c>
      <c r="M376" t="s">
        <v>1307</v>
      </c>
      <c r="N376" s="16" t="s">
        <v>22</v>
      </c>
      <c r="O376" s="16" t="s">
        <v>22</v>
      </c>
      <c r="P376" s="16" t="s">
        <v>37</v>
      </c>
      <c r="Q376" s="10" t="s">
        <v>378</v>
      </c>
      <c r="R376" s="3" t="str">
        <f t="shared" si="10"/>
        <v>133</v>
      </c>
      <c r="S376" s="3" t="str">
        <f t="shared" si="11"/>
        <v>94</v>
      </c>
      <c r="T376" s="16" t="s">
        <v>29</v>
      </c>
      <c r="U376" s="3">
        <v>16.97</v>
      </c>
      <c r="V376" s="16" t="str">
        <f>PROPER(Table1[[#This Row],[CVD Risk Level]])</f>
        <v>High</v>
      </c>
    </row>
    <row r="377" spans="1:22" x14ac:dyDescent="0.3">
      <c r="A377" t="s">
        <v>20</v>
      </c>
      <c r="B377" s="8">
        <v>40</v>
      </c>
      <c r="C377" s="8">
        <v>83.9</v>
      </c>
      <c r="D377" s="5">
        <v>1.85</v>
      </c>
      <c r="E377" s="5">
        <v>24.5</v>
      </c>
      <c r="F377" s="16" t="s">
        <v>33</v>
      </c>
      <c r="G377" s="11">
        <v>0.59</v>
      </c>
      <c r="H377" s="5">
        <v>109.2</v>
      </c>
      <c r="I377" s="8">
        <v>56.197377501725327</v>
      </c>
      <c r="J377" s="8">
        <v>107</v>
      </c>
      <c r="K377" s="8">
        <v>179</v>
      </c>
      <c r="L377" s="8">
        <v>105</v>
      </c>
      <c r="M377" t="s">
        <v>1306</v>
      </c>
      <c r="N377" s="16" t="s">
        <v>22</v>
      </c>
      <c r="O377" s="16" t="s">
        <v>23</v>
      </c>
      <c r="P377" s="16" t="s">
        <v>24</v>
      </c>
      <c r="Q377" s="10" t="s">
        <v>379</v>
      </c>
      <c r="R377" s="3" t="str">
        <f t="shared" si="10"/>
        <v>143</v>
      </c>
      <c r="S377" s="3" t="str">
        <f t="shared" si="11"/>
        <v>93</v>
      </c>
      <c r="T377" s="16" t="s">
        <v>38</v>
      </c>
      <c r="U377" s="3">
        <v>17.63</v>
      </c>
      <c r="V377" s="16" t="str">
        <f>PROPER(Table1[[#This Row],[CVD Risk Level]])</f>
        <v>Intermediary</v>
      </c>
    </row>
    <row r="378" spans="1:22" x14ac:dyDescent="0.3">
      <c r="A378" t="s">
        <v>31</v>
      </c>
      <c r="B378" s="8">
        <v>31</v>
      </c>
      <c r="C378" s="8">
        <v>73.7</v>
      </c>
      <c r="D378" s="5">
        <v>1.7</v>
      </c>
      <c r="E378" s="5">
        <v>25.5</v>
      </c>
      <c r="F378" s="16" t="s">
        <v>1303</v>
      </c>
      <c r="G378" s="11">
        <v>0.51900000000000002</v>
      </c>
      <c r="H378" s="5">
        <v>88.2</v>
      </c>
      <c r="I378" s="8">
        <v>66</v>
      </c>
      <c r="J378" s="8">
        <v>94</v>
      </c>
      <c r="K378" s="8">
        <v>190</v>
      </c>
      <c r="L378" s="8">
        <v>89</v>
      </c>
      <c r="M378" t="s">
        <v>33</v>
      </c>
      <c r="N378" s="16" t="s">
        <v>22</v>
      </c>
      <c r="O378" s="16" t="s">
        <v>22</v>
      </c>
      <c r="P378" s="16" t="s">
        <v>24</v>
      </c>
      <c r="Q378" s="10" t="s">
        <v>380</v>
      </c>
      <c r="R378" s="3" t="str">
        <f t="shared" si="10"/>
        <v>146</v>
      </c>
      <c r="S378" s="3" t="str">
        <f t="shared" si="11"/>
        <v>61</v>
      </c>
      <c r="T378" s="16" t="s">
        <v>38</v>
      </c>
      <c r="U378" s="3">
        <v>16.2</v>
      </c>
      <c r="V378" s="16" t="str">
        <f>PROPER(Table1[[#This Row],[CVD Risk Level]])</f>
        <v>Intermediary</v>
      </c>
    </row>
    <row r="379" spans="1:22" x14ac:dyDescent="0.3">
      <c r="A379" t="s">
        <v>31</v>
      </c>
      <c r="B379" s="8">
        <v>47</v>
      </c>
      <c r="C379" s="8">
        <v>67.5</v>
      </c>
      <c r="D379" s="5">
        <v>1.83</v>
      </c>
      <c r="E379" s="5">
        <v>20.2</v>
      </c>
      <c r="F379" s="16" t="s">
        <v>33</v>
      </c>
      <c r="G379" s="11">
        <v>0.54600000000000004</v>
      </c>
      <c r="H379" s="5">
        <v>100</v>
      </c>
      <c r="I379" s="8">
        <v>49</v>
      </c>
      <c r="J379" s="8">
        <v>106</v>
      </c>
      <c r="K379" s="8">
        <v>185</v>
      </c>
      <c r="L379" s="8">
        <v>79</v>
      </c>
      <c r="M379" t="s">
        <v>33</v>
      </c>
      <c r="N379" s="16" t="s">
        <v>22</v>
      </c>
      <c r="O379" s="16" t="s">
        <v>22</v>
      </c>
      <c r="P379" s="16" t="s">
        <v>37</v>
      </c>
      <c r="Q379" s="10" t="s">
        <v>381</v>
      </c>
      <c r="R379" s="3" t="str">
        <f t="shared" si="10"/>
        <v>119</v>
      </c>
      <c r="S379" s="3" t="str">
        <f t="shared" si="11"/>
        <v>75</v>
      </c>
      <c r="T379" s="16" t="s">
        <v>33</v>
      </c>
      <c r="U379" s="3">
        <v>13.69</v>
      </c>
      <c r="V379" s="16" t="str">
        <f>PROPER(Table1[[#This Row],[CVD Risk Level]])</f>
        <v>Intermediary</v>
      </c>
    </row>
    <row r="380" spans="1:22" x14ac:dyDescent="0.3">
      <c r="A380" t="s">
        <v>31</v>
      </c>
      <c r="B380" s="8">
        <v>49</v>
      </c>
      <c r="C380" s="8">
        <v>88.7</v>
      </c>
      <c r="D380" s="5">
        <v>1.62</v>
      </c>
      <c r="E380" s="5">
        <v>33.799999999999997</v>
      </c>
      <c r="F380" s="16" t="s">
        <v>1302</v>
      </c>
      <c r="G380" s="11">
        <v>0.61699999999999999</v>
      </c>
      <c r="H380" s="5">
        <v>99.9</v>
      </c>
      <c r="I380" s="8">
        <v>76</v>
      </c>
      <c r="J380" s="8">
        <v>151</v>
      </c>
      <c r="K380" s="8">
        <v>257</v>
      </c>
      <c r="L380" s="8">
        <v>138</v>
      </c>
      <c r="M380" t="s">
        <v>1307</v>
      </c>
      <c r="N380" s="16" t="s">
        <v>22</v>
      </c>
      <c r="O380" s="16" t="s">
        <v>23</v>
      </c>
      <c r="P380" s="16" t="s">
        <v>24</v>
      </c>
      <c r="Q380" s="10" t="s">
        <v>382</v>
      </c>
      <c r="R380" s="3" t="str">
        <f t="shared" si="10"/>
        <v>139</v>
      </c>
      <c r="S380" s="3" t="str">
        <f t="shared" si="11"/>
        <v>85</v>
      </c>
      <c r="T380" s="16" t="s">
        <v>29</v>
      </c>
      <c r="U380" s="3">
        <v>20.85</v>
      </c>
      <c r="V380" s="16" t="str">
        <f>PROPER(Table1[[#This Row],[CVD Risk Level]])</f>
        <v>High</v>
      </c>
    </row>
    <row r="381" spans="1:22" x14ac:dyDescent="0.3">
      <c r="A381" t="s">
        <v>31</v>
      </c>
      <c r="B381" s="8">
        <v>42</v>
      </c>
      <c r="C381" s="8">
        <v>57.2</v>
      </c>
      <c r="D381" s="5">
        <v>1.61</v>
      </c>
      <c r="E381" s="5">
        <v>22.1</v>
      </c>
      <c r="F381" s="16" t="s">
        <v>33</v>
      </c>
      <c r="G381" s="11">
        <v>0.60899999999999999</v>
      </c>
      <c r="H381" s="5">
        <v>98.1</v>
      </c>
      <c r="I381" s="8">
        <v>54</v>
      </c>
      <c r="J381" s="8">
        <v>53</v>
      </c>
      <c r="K381" s="8">
        <v>137</v>
      </c>
      <c r="L381" s="8">
        <v>75</v>
      </c>
      <c r="M381" t="s">
        <v>33</v>
      </c>
      <c r="N381" s="16" t="s">
        <v>23</v>
      </c>
      <c r="O381" s="16" t="s">
        <v>23</v>
      </c>
      <c r="P381" s="16" t="s">
        <v>24</v>
      </c>
      <c r="Q381" s="10" t="s">
        <v>147</v>
      </c>
      <c r="R381" s="3" t="str">
        <f t="shared" si="10"/>
        <v>139</v>
      </c>
      <c r="S381" s="3" t="str">
        <f t="shared" si="11"/>
        <v>61</v>
      </c>
      <c r="T381" s="16" t="s">
        <v>29</v>
      </c>
      <c r="U381" s="3">
        <v>16.11</v>
      </c>
      <c r="V381" s="16" t="str">
        <f>PROPER(Table1[[#This Row],[CVD Risk Level]])</f>
        <v>Intermediary</v>
      </c>
    </row>
    <row r="382" spans="1:22" x14ac:dyDescent="0.3">
      <c r="A382" t="s">
        <v>31</v>
      </c>
      <c r="B382" s="8">
        <v>58</v>
      </c>
      <c r="C382" s="8">
        <v>87.348480000000009</v>
      </c>
      <c r="D382" s="5">
        <v>1.84</v>
      </c>
      <c r="E382" s="5">
        <v>25.8</v>
      </c>
      <c r="F382" s="16" t="s">
        <v>1303</v>
      </c>
      <c r="G382" s="11">
        <v>0.38400000000000001</v>
      </c>
      <c r="H382" s="5">
        <v>70.599999999999994</v>
      </c>
      <c r="I382" s="8">
        <v>48</v>
      </c>
      <c r="J382" s="8">
        <v>198</v>
      </c>
      <c r="K382" s="8">
        <v>276</v>
      </c>
      <c r="L382" s="8">
        <v>89</v>
      </c>
      <c r="M382" t="s">
        <v>33</v>
      </c>
      <c r="N382" s="16" t="s">
        <v>22</v>
      </c>
      <c r="O382" s="16" t="s">
        <v>22</v>
      </c>
      <c r="P382" s="16" t="s">
        <v>28</v>
      </c>
      <c r="Q382" s="10" t="s">
        <v>383</v>
      </c>
      <c r="R382" s="3" t="str">
        <f t="shared" si="10"/>
        <v>113</v>
      </c>
      <c r="S382" s="3" t="str">
        <f t="shared" si="11"/>
        <v>96</v>
      </c>
      <c r="T382" s="16" t="s">
        <v>38</v>
      </c>
      <c r="U382" s="3">
        <v>16.329999999999998</v>
      </c>
      <c r="V382" s="16" t="str">
        <f>PROPER(Table1[[#This Row],[CVD Risk Level]])</f>
        <v>Intermediary</v>
      </c>
    </row>
    <row r="383" spans="1:22" x14ac:dyDescent="0.3">
      <c r="A383" t="s">
        <v>31</v>
      </c>
      <c r="B383" s="8">
        <v>53</v>
      </c>
      <c r="C383" s="8">
        <v>51.5</v>
      </c>
      <c r="D383" s="5">
        <v>1.85</v>
      </c>
      <c r="E383" s="5">
        <v>15</v>
      </c>
      <c r="F383" s="16" t="s">
        <v>1304</v>
      </c>
      <c r="G383" s="11">
        <v>0.59299999999999997</v>
      </c>
      <c r="H383" s="5">
        <v>109.705</v>
      </c>
      <c r="I383" s="8">
        <v>50</v>
      </c>
      <c r="J383" s="8">
        <v>87</v>
      </c>
      <c r="K383" s="8">
        <v>167</v>
      </c>
      <c r="L383" s="8">
        <v>117</v>
      </c>
      <c r="M383" t="s">
        <v>1306</v>
      </c>
      <c r="N383" s="16" t="s">
        <v>22</v>
      </c>
      <c r="O383" s="16" t="s">
        <v>22</v>
      </c>
      <c r="P383" s="16" t="s">
        <v>24</v>
      </c>
      <c r="Q383" s="10" t="s">
        <v>384</v>
      </c>
      <c r="R383" s="3" t="str">
        <f t="shared" si="10"/>
        <v>108</v>
      </c>
      <c r="S383" s="3" t="str">
        <f t="shared" si="11"/>
        <v>61</v>
      </c>
      <c r="T383" s="16" t="s">
        <v>33</v>
      </c>
      <c r="U383" s="3">
        <v>11.74</v>
      </c>
      <c r="V383" s="16" t="str">
        <f>PROPER(Table1[[#This Row],[CVD Risk Level]])</f>
        <v>Intermediary</v>
      </c>
    </row>
    <row r="384" spans="1:22" x14ac:dyDescent="0.3">
      <c r="A384" t="s">
        <v>31</v>
      </c>
      <c r="B384" s="8">
        <v>47.025499655410059</v>
      </c>
      <c r="C384" s="8">
        <v>82.2</v>
      </c>
      <c r="D384" s="5">
        <v>1.77</v>
      </c>
      <c r="E384" s="5">
        <v>26.2</v>
      </c>
      <c r="F384" s="16" t="s">
        <v>1303</v>
      </c>
      <c r="G384" s="11">
        <v>0.61199999999999999</v>
      </c>
      <c r="H384" s="5">
        <v>108.4</v>
      </c>
      <c r="I384" s="8">
        <v>72</v>
      </c>
      <c r="J384" s="8">
        <v>135</v>
      </c>
      <c r="K384" s="8">
        <v>237</v>
      </c>
      <c r="L384" s="8">
        <v>128</v>
      </c>
      <c r="M384" t="s">
        <v>1307</v>
      </c>
      <c r="N384" s="16" t="s">
        <v>23</v>
      </c>
      <c r="O384" s="16" t="s">
        <v>23</v>
      </c>
      <c r="P384" s="16" t="s">
        <v>24</v>
      </c>
      <c r="Q384" s="10" t="s">
        <v>385</v>
      </c>
      <c r="R384" s="3" t="str">
        <f t="shared" si="10"/>
        <v>105</v>
      </c>
      <c r="S384" s="3" t="str">
        <f t="shared" si="11"/>
        <v>88</v>
      </c>
      <c r="T384" s="16" t="s">
        <v>29</v>
      </c>
      <c r="U384" s="3">
        <v>17.23</v>
      </c>
      <c r="V384" s="16" t="str">
        <f>PROPER(Table1[[#This Row],[CVD Risk Level]])</f>
        <v>High</v>
      </c>
    </row>
    <row r="385" spans="1:22" x14ac:dyDescent="0.3">
      <c r="A385" t="s">
        <v>20</v>
      </c>
      <c r="B385" s="8">
        <v>35</v>
      </c>
      <c r="C385" s="8">
        <v>101.7</v>
      </c>
      <c r="D385" s="5">
        <v>1.68</v>
      </c>
      <c r="E385" s="5">
        <v>36</v>
      </c>
      <c r="F385" s="16" t="s">
        <v>1302</v>
      </c>
      <c r="G385" s="11">
        <v>0.63800000000000001</v>
      </c>
      <c r="H385" s="5">
        <v>107.2</v>
      </c>
      <c r="I385" s="8">
        <v>41</v>
      </c>
      <c r="J385" s="8">
        <v>89</v>
      </c>
      <c r="K385" s="8">
        <v>160</v>
      </c>
      <c r="L385" s="8">
        <v>86</v>
      </c>
      <c r="M385" t="s">
        <v>33</v>
      </c>
      <c r="N385" s="16" t="s">
        <v>22</v>
      </c>
      <c r="O385" s="16" t="s">
        <v>22</v>
      </c>
      <c r="P385" s="16" t="s">
        <v>28</v>
      </c>
      <c r="Q385" s="10" t="s">
        <v>386</v>
      </c>
      <c r="R385" s="3" t="str">
        <f t="shared" si="10"/>
        <v>143</v>
      </c>
      <c r="S385" s="3" t="str">
        <f t="shared" si="11"/>
        <v>98</v>
      </c>
      <c r="T385" s="16" t="s">
        <v>38</v>
      </c>
      <c r="U385" s="3">
        <v>17.55</v>
      </c>
      <c r="V385" s="16" t="str">
        <f>PROPER(Table1[[#This Row],[CVD Risk Level]])</f>
        <v>Intermediary</v>
      </c>
    </row>
    <row r="386" spans="1:22" x14ac:dyDescent="0.3">
      <c r="A386" t="s">
        <v>20</v>
      </c>
      <c r="B386" s="8">
        <v>60</v>
      </c>
      <c r="C386" s="8">
        <v>93</v>
      </c>
      <c r="D386" s="5">
        <v>1.89</v>
      </c>
      <c r="E386" s="5">
        <v>26</v>
      </c>
      <c r="F386" s="16" t="s">
        <v>1303</v>
      </c>
      <c r="G386" s="11">
        <v>0.45100000000000001</v>
      </c>
      <c r="H386" s="5">
        <v>85.3</v>
      </c>
      <c r="I386" s="8">
        <v>49</v>
      </c>
      <c r="J386" s="8">
        <v>45</v>
      </c>
      <c r="K386" s="8">
        <v>124</v>
      </c>
      <c r="L386" s="8">
        <v>103</v>
      </c>
      <c r="M386" t="s">
        <v>1306</v>
      </c>
      <c r="N386" s="16" t="s">
        <v>23</v>
      </c>
      <c r="O386" s="16" t="s">
        <v>23</v>
      </c>
      <c r="P386" s="16" t="s">
        <v>37</v>
      </c>
      <c r="Q386" s="10" t="s">
        <v>387</v>
      </c>
      <c r="R386" s="3" t="str">
        <f t="shared" si="10"/>
        <v>117</v>
      </c>
      <c r="S386" s="3" t="str">
        <f t="shared" si="11"/>
        <v>84</v>
      </c>
      <c r="T386" s="16" t="s">
        <v>29</v>
      </c>
      <c r="U386" s="3">
        <v>15.53</v>
      </c>
      <c r="V386" s="16" t="str">
        <f>PROPER(Table1[[#This Row],[CVD Risk Level]])</f>
        <v>High</v>
      </c>
    </row>
    <row r="387" spans="1:22" x14ac:dyDescent="0.3">
      <c r="A387" t="s">
        <v>20</v>
      </c>
      <c r="B387" s="8">
        <v>30</v>
      </c>
      <c r="C387" s="8">
        <v>115</v>
      </c>
      <c r="D387" s="5">
        <v>1.83</v>
      </c>
      <c r="E387" s="5">
        <v>34.299999999999997</v>
      </c>
      <c r="F387" s="16" t="s">
        <v>1302</v>
      </c>
      <c r="G387" s="11">
        <v>0.51100000000000001</v>
      </c>
      <c r="H387" s="5">
        <v>93.6</v>
      </c>
      <c r="I387" s="8">
        <v>31</v>
      </c>
      <c r="J387" s="8">
        <v>39</v>
      </c>
      <c r="K387" s="8">
        <v>100</v>
      </c>
      <c r="L387" s="8">
        <v>125</v>
      </c>
      <c r="M387" t="s">
        <v>1306</v>
      </c>
      <c r="N387" s="16" t="s">
        <v>23</v>
      </c>
      <c r="O387" s="16" t="s">
        <v>22</v>
      </c>
      <c r="P387" s="16" t="s">
        <v>37</v>
      </c>
      <c r="Q387" s="10" t="s">
        <v>388</v>
      </c>
      <c r="R387" s="3" t="str">
        <f t="shared" ref="R387:R450" si="12">LEFT(Q387,FIND("/",Q387)-1)</f>
        <v>139</v>
      </c>
      <c r="S387" s="3" t="str">
        <f t="shared" ref="S387:S450" si="13">RIGHT(Q387,LEN(Q387)-FIND("/",Q387))</f>
        <v>79</v>
      </c>
      <c r="T387" s="16" t="s">
        <v>29</v>
      </c>
      <c r="U387" s="3">
        <v>15.81</v>
      </c>
      <c r="V387" s="16" t="str">
        <f>PROPER(Table1[[#This Row],[CVD Risk Level]])</f>
        <v>Intermediary</v>
      </c>
    </row>
    <row r="388" spans="1:22" x14ac:dyDescent="0.3">
      <c r="A388" t="s">
        <v>31</v>
      </c>
      <c r="B388" s="8">
        <v>58</v>
      </c>
      <c r="C388" s="8">
        <v>77.400000000000006</v>
      </c>
      <c r="D388" s="5">
        <v>1.65</v>
      </c>
      <c r="E388" s="5">
        <v>28.4</v>
      </c>
      <c r="F388" s="16" t="s">
        <v>1303</v>
      </c>
      <c r="G388" s="11">
        <v>0.48799999999999999</v>
      </c>
      <c r="H388" s="5">
        <v>80.5</v>
      </c>
      <c r="I388" s="8">
        <v>31</v>
      </c>
      <c r="J388" s="8">
        <v>204</v>
      </c>
      <c r="K388" s="8">
        <v>265</v>
      </c>
      <c r="L388" s="8">
        <v>79</v>
      </c>
      <c r="M388" t="s">
        <v>33</v>
      </c>
      <c r="N388" s="16" t="s">
        <v>22</v>
      </c>
      <c r="O388" s="16" t="s">
        <v>22</v>
      </c>
      <c r="P388" s="16" t="s">
        <v>37</v>
      </c>
      <c r="Q388" s="10" t="s">
        <v>109</v>
      </c>
      <c r="R388" s="3" t="str">
        <f t="shared" si="12"/>
        <v>98</v>
      </c>
      <c r="S388" s="3" t="str">
        <f t="shared" si="13"/>
        <v>63</v>
      </c>
      <c r="T388" s="16" t="s">
        <v>33</v>
      </c>
      <c r="U388" s="3">
        <v>15.88</v>
      </c>
      <c r="V388" s="16" t="str">
        <f>PROPER(Table1[[#This Row],[CVD Risk Level]])</f>
        <v>High</v>
      </c>
    </row>
    <row r="389" spans="1:22" x14ac:dyDescent="0.3">
      <c r="A389" t="s">
        <v>31</v>
      </c>
      <c r="B389" s="8">
        <v>48</v>
      </c>
      <c r="C389" s="8">
        <v>110.8</v>
      </c>
      <c r="D389" s="5">
        <v>1.82</v>
      </c>
      <c r="E389" s="5">
        <v>33.5</v>
      </c>
      <c r="F389" s="16" t="s">
        <v>1302</v>
      </c>
      <c r="G389" s="11">
        <v>0.59499999999999997</v>
      </c>
      <c r="H389" s="5">
        <v>108.3</v>
      </c>
      <c r="I389" s="8">
        <v>39</v>
      </c>
      <c r="J389" s="8">
        <v>108</v>
      </c>
      <c r="K389" s="8">
        <v>177</v>
      </c>
      <c r="L389" s="8">
        <v>82</v>
      </c>
      <c r="M389" t="s">
        <v>33</v>
      </c>
      <c r="N389" s="16" t="s">
        <v>22</v>
      </c>
      <c r="O389" s="16" t="s">
        <v>23</v>
      </c>
      <c r="P389" s="16" t="s">
        <v>28</v>
      </c>
      <c r="Q389" s="10" t="s">
        <v>389</v>
      </c>
      <c r="R389" s="3" t="str">
        <f t="shared" si="12"/>
        <v>120</v>
      </c>
      <c r="S389" s="3" t="str">
        <f t="shared" si="13"/>
        <v>72</v>
      </c>
      <c r="T389" s="16" t="s">
        <v>25</v>
      </c>
      <c r="U389" s="3">
        <v>18.239999999999998</v>
      </c>
      <c r="V389" s="16" t="str">
        <f>PROPER(Table1[[#This Row],[CVD Risk Level]])</f>
        <v>High</v>
      </c>
    </row>
    <row r="390" spans="1:22" x14ac:dyDescent="0.3">
      <c r="A390" t="s">
        <v>20</v>
      </c>
      <c r="B390" s="8">
        <v>58</v>
      </c>
      <c r="C390" s="8">
        <v>97.387500000000003</v>
      </c>
      <c r="D390" s="5">
        <v>1.75</v>
      </c>
      <c r="E390" s="5">
        <v>31.8</v>
      </c>
      <c r="F390" s="16" t="s">
        <v>1302</v>
      </c>
      <c r="G390" s="11">
        <v>0.40799999999999997</v>
      </c>
      <c r="H390" s="5">
        <v>71.400000000000006</v>
      </c>
      <c r="I390" s="8">
        <v>58</v>
      </c>
      <c r="J390" s="8">
        <v>184</v>
      </c>
      <c r="K390" s="8">
        <v>272</v>
      </c>
      <c r="L390" s="8">
        <v>132</v>
      </c>
      <c r="M390" t="s">
        <v>1307</v>
      </c>
      <c r="N390" s="16" t="s">
        <v>22</v>
      </c>
      <c r="O390" s="16" t="s">
        <v>22</v>
      </c>
      <c r="P390" s="16" t="s">
        <v>24</v>
      </c>
      <c r="Q390" s="10" t="s">
        <v>390</v>
      </c>
      <c r="R390" s="3" t="str">
        <f t="shared" si="12"/>
        <v>135</v>
      </c>
      <c r="S390" s="3" t="str">
        <f t="shared" si="13"/>
        <v>88</v>
      </c>
      <c r="T390" s="16" t="s">
        <v>29</v>
      </c>
      <c r="U390" s="3">
        <v>18.55</v>
      </c>
      <c r="V390" s="16" t="str">
        <f>PROPER(Table1[[#This Row],[CVD Risk Level]])</f>
        <v>High</v>
      </c>
    </row>
    <row r="391" spans="1:22" x14ac:dyDescent="0.3">
      <c r="A391" t="s">
        <v>31</v>
      </c>
      <c r="B391" s="8">
        <v>53</v>
      </c>
      <c r="C391" s="8">
        <v>82.4</v>
      </c>
      <c r="D391" s="5">
        <v>1.74</v>
      </c>
      <c r="E391" s="5">
        <v>27.2</v>
      </c>
      <c r="F391" s="16" t="s">
        <v>1303</v>
      </c>
      <c r="G391" s="11">
        <v>0.57899999999999996</v>
      </c>
      <c r="H391" s="5">
        <v>100.7</v>
      </c>
      <c r="I391" s="8">
        <v>37</v>
      </c>
      <c r="J391" s="8">
        <v>226</v>
      </c>
      <c r="K391" s="8">
        <v>526</v>
      </c>
      <c r="L391" s="8">
        <v>140</v>
      </c>
      <c r="M391" t="s">
        <v>1307</v>
      </c>
      <c r="N391" s="16" t="s">
        <v>22</v>
      </c>
      <c r="O391" s="16" t="s">
        <v>23</v>
      </c>
      <c r="P391" s="16" t="s">
        <v>28</v>
      </c>
      <c r="Q391" s="10" t="s">
        <v>391</v>
      </c>
      <c r="R391" s="3" t="str">
        <f t="shared" si="12"/>
        <v>139</v>
      </c>
      <c r="S391" s="3" t="str">
        <f t="shared" si="13"/>
        <v>63</v>
      </c>
      <c r="T391" s="16" t="s">
        <v>29</v>
      </c>
      <c r="U391" s="3">
        <v>20.25</v>
      </c>
      <c r="V391" s="16" t="str">
        <f>PROPER(Table1[[#This Row],[CVD Risk Level]])</f>
        <v>High</v>
      </c>
    </row>
    <row r="392" spans="1:22" x14ac:dyDescent="0.3">
      <c r="A392" t="s">
        <v>31</v>
      </c>
      <c r="B392" s="8">
        <v>52</v>
      </c>
      <c r="C392" s="8">
        <v>50.7</v>
      </c>
      <c r="D392" s="5">
        <v>1.69</v>
      </c>
      <c r="E392" s="5">
        <v>17.8</v>
      </c>
      <c r="F392" s="16" t="s">
        <v>1304</v>
      </c>
      <c r="G392" s="11">
        <v>0.43</v>
      </c>
      <c r="H392" s="5">
        <v>72.7</v>
      </c>
      <c r="I392" s="8">
        <v>33</v>
      </c>
      <c r="J392" s="8">
        <v>211</v>
      </c>
      <c r="K392" s="8">
        <v>274</v>
      </c>
      <c r="L392" s="8">
        <v>143</v>
      </c>
      <c r="M392" t="s">
        <v>1307</v>
      </c>
      <c r="N392" s="16" t="s">
        <v>22</v>
      </c>
      <c r="O392" s="16" t="s">
        <v>23</v>
      </c>
      <c r="P392" s="16" t="s">
        <v>24</v>
      </c>
      <c r="Q392" s="10" t="s">
        <v>392</v>
      </c>
      <c r="R392" s="3" t="str">
        <f t="shared" si="12"/>
        <v>107</v>
      </c>
      <c r="S392" s="3" t="str">
        <f t="shared" si="13"/>
        <v>74</v>
      </c>
      <c r="T392" s="16" t="s">
        <v>33</v>
      </c>
      <c r="U392" s="3">
        <v>16.39</v>
      </c>
      <c r="V392" s="16" t="str">
        <f>PROPER(Table1[[#This Row],[CVD Risk Level]])</f>
        <v>High</v>
      </c>
    </row>
    <row r="393" spans="1:22" x14ac:dyDescent="0.3">
      <c r="A393" t="s">
        <v>31</v>
      </c>
      <c r="B393" s="8">
        <v>36</v>
      </c>
      <c r="C393" s="8">
        <v>110.4</v>
      </c>
      <c r="D393" s="5">
        <v>1.6</v>
      </c>
      <c r="E393" s="5">
        <v>43.1</v>
      </c>
      <c r="F393" s="16" t="s">
        <v>1302</v>
      </c>
      <c r="G393" s="11">
        <v>0.57799999999999996</v>
      </c>
      <c r="H393" s="5">
        <v>92.5</v>
      </c>
      <c r="I393" s="8">
        <v>38</v>
      </c>
      <c r="J393" s="8">
        <v>91</v>
      </c>
      <c r="K393" s="8">
        <v>159</v>
      </c>
      <c r="L393" s="8">
        <v>95</v>
      </c>
      <c r="M393" t="s">
        <v>33</v>
      </c>
      <c r="N393" s="16" t="s">
        <v>23</v>
      </c>
      <c r="O393" s="16" t="s">
        <v>23</v>
      </c>
      <c r="P393" s="16" t="s">
        <v>37</v>
      </c>
      <c r="Q393" s="10" t="s">
        <v>393</v>
      </c>
      <c r="R393" s="3" t="str">
        <f t="shared" si="12"/>
        <v>123</v>
      </c>
      <c r="S393" s="3" t="str">
        <f t="shared" si="13"/>
        <v>93</v>
      </c>
      <c r="T393" s="16" t="s">
        <v>38</v>
      </c>
      <c r="U393" s="3">
        <v>19.95</v>
      </c>
      <c r="V393" s="16" t="str">
        <f>PROPER(Table1[[#This Row],[CVD Risk Level]])</f>
        <v>High</v>
      </c>
    </row>
    <row r="394" spans="1:22" x14ac:dyDescent="0.3">
      <c r="A394" t="s">
        <v>20</v>
      </c>
      <c r="B394" s="8">
        <v>43</v>
      </c>
      <c r="C394" s="8">
        <v>62.7</v>
      </c>
      <c r="D394" s="5">
        <v>1.83</v>
      </c>
      <c r="E394" s="5">
        <v>18.722565618561315</v>
      </c>
      <c r="F394" s="16" t="s">
        <v>33</v>
      </c>
      <c r="G394" s="11">
        <v>0.39617486338797814</v>
      </c>
      <c r="H394" s="5">
        <v>72.5</v>
      </c>
      <c r="I394" s="8">
        <v>55</v>
      </c>
      <c r="J394" s="8">
        <v>49</v>
      </c>
      <c r="K394" s="8">
        <v>134</v>
      </c>
      <c r="L394" s="8">
        <v>92</v>
      </c>
      <c r="M394" t="s">
        <v>33</v>
      </c>
      <c r="N394" s="16" t="s">
        <v>23</v>
      </c>
      <c r="O394" s="16" t="s">
        <v>23</v>
      </c>
      <c r="P394" s="16" t="s">
        <v>24</v>
      </c>
      <c r="Q394" s="10" t="s">
        <v>394</v>
      </c>
      <c r="R394" s="3" t="str">
        <f t="shared" si="12"/>
        <v>148</v>
      </c>
      <c r="S394" s="3" t="str">
        <f t="shared" si="13"/>
        <v>85</v>
      </c>
      <c r="T394" s="16" t="s">
        <v>29</v>
      </c>
      <c r="U394" s="3">
        <v>15.82</v>
      </c>
      <c r="V394" s="16" t="str">
        <f>PROPER(Table1[[#This Row],[CVD Risk Level]])</f>
        <v>Intermediary</v>
      </c>
    </row>
    <row r="395" spans="1:22" x14ac:dyDescent="0.3">
      <c r="A395" t="s">
        <v>20</v>
      </c>
      <c r="B395" s="8">
        <v>60</v>
      </c>
      <c r="C395" s="8">
        <v>96.7</v>
      </c>
      <c r="D395" s="5">
        <v>1.82</v>
      </c>
      <c r="E395" s="5">
        <v>29.2</v>
      </c>
      <c r="F395" s="16" t="s">
        <v>1303</v>
      </c>
      <c r="G395" s="11">
        <v>0.40100000000000002</v>
      </c>
      <c r="H395" s="5">
        <v>72.981999999999999</v>
      </c>
      <c r="I395" s="8">
        <v>57</v>
      </c>
      <c r="J395" s="8">
        <v>108</v>
      </c>
      <c r="K395" s="8">
        <v>195</v>
      </c>
      <c r="L395" s="8">
        <v>120</v>
      </c>
      <c r="M395" t="s">
        <v>1306</v>
      </c>
      <c r="N395" s="16" t="s">
        <v>23</v>
      </c>
      <c r="O395" s="16" t="s">
        <v>22</v>
      </c>
      <c r="P395" s="16" t="s">
        <v>28</v>
      </c>
      <c r="Q395" s="10" t="s">
        <v>395</v>
      </c>
      <c r="R395" s="3" t="str">
        <f t="shared" si="12"/>
        <v>122</v>
      </c>
      <c r="S395" s="3" t="str">
        <f t="shared" si="13"/>
        <v>71</v>
      </c>
      <c r="T395" s="16" t="s">
        <v>25</v>
      </c>
      <c r="U395" s="3">
        <v>15.84</v>
      </c>
      <c r="V395" s="16" t="str">
        <f>PROPER(Table1[[#This Row],[CVD Risk Level]])</f>
        <v>Intermediary</v>
      </c>
    </row>
    <row r="396" spans="1:22" x14ac:dyDescent="0.3">
      <c r="A396" t="s">
        <v>20</v>
      </c>
      <c r="B396" s="8">
        <v>49</v>
      </c>
      <c r="C396" s="8">
        <v>110.5</v>
      </c>
      <c r="D396" s="5">
        <v>1.72</v>
      </c>
      <c r="E396" s="5">
        <v>37.4</v>
      </c>
      <c r="F396" s="16" t="s">
        <v>1302</v>
      </c>
      <c r="G396" s="11">
        <v>0.41199999999999998</v>
      </c>
      <c r="H396" s="5">
        <v>70.8</v>
      </c>
      <c r="I396" s="8">
        <v>33</v>
      </c>
      <c r="J396" s="8">
        <v>91</v>
      </c>
      <c r="K396" s="8">
        <v>248</v>
      </c>
      <c r="L396" s="8">
        <v>104</v>
      </c>
      <c r="M396" t="s">
        <v>1306</v>
      </c>
      <c r="N396" s="16" t="s">
        <v>23</v>
      </c>
      <c r="O396" s="16" t="s">
        <v>22</v>
      </c>
      <c r="P396" s="16" t="s">
        <v>28</v>
      </c>
      <c r="Q396" s="10" t="s">
        <v>396</v>
      </c>
      <c r="R396" s="3" t="str">
        <f t="shared" si="12"/>
        <v>96</v>
      </c>
      <c r="S396" s="3" t="str">
        <f t="shared" si="13"/>
        <v>72</v>
      </c>
      <c r="T396" s="16" t="s">
        <v>33</v>
      </c>
      <c r="U396" s="3">
        <v>15.36</v>
      </c>
      <c r="V396" s="16" t="str">
        <f>PROPER(Table1[[#This Row],[CVD Risk Level]])</f>
        <v>High</v>
      </c>
    </row>
    <row r="397" spans="1:22" x14ac:dyDescent="0.3">
      <c r="A397" t="s">
        <v>20</v>
      </c>
      <c r="B397" s="8">
        <v>39</v>
      </c>
      <c r="C397" s="8">
        <v>94.1</v>
      </c>
      <c r="D397" s="5">
        <v>1.79</v>
      </c>
      <c r="E397" s="5">
        <v>29.4</v>
      </c>
      <c r="F397" s="16" t="s">
        <v>1303</v>
      </c>
      <c r="G397" s="11">
        <v>0.56799999999999995</v>
      </c>
      <c r="H397" s="5">
        <v>101.6</v>
      </c>
      <c r="I397" s="8">
        <v>36</v>
      </c>
      <c r="J397" s="8">
        <v>210</v>
      </c>
      <c r="K397" s="8">
        <v>276</v>
      </c>
      <c r="L397" s="8">
        <v>98</v>
      </c>
      <c r="M397" t="s">
        <v>33</v>
      </c>
      <c r="N397" s="16" t="s">
        <v>23</v>
      </c>
      <c r="O397" s="16" t="s">
        <v>22</v>
      </c>
      <c r="P397" s="16" t="s">
        <v>37</v>
      </c>
      <c r="Q397" s="10" t="s">
        <v>397</v>
      </c>
      <c r="R397" s="3" t="str">
        <f t="shared" si="12"/>
        <v>119</v>
      </c>
      <c r="S397" s="3" t="str">
        <f t="shared" si="13"/>
        <v>69</v>
      </c>
      <c r="T397" s="16" t="s">
        <v>33</v>
      </c>
      <c r="U397" s="3">
        <v>16.960925291295425</v>
      </c>
      <c r="V397" s="16" t="str">
        <f>PROPER(Table1[[#This Row],[CVD Risk Level]])</f>
        <v>High</v>
      </c>
    </row>
    <row r="398" spans="1:22" x14ac:dyDescent="0.3">
      <c r="A398" t="s">
        <v>31</v>
      </c>
      <c r="B398" s="8">
        <v>36</v>
      </c>
      <c r="C398" s="8">
        <v>117.6</v>
      </c>
      <c r="D398" s="5">
        <v>1.89</v>
      </c>
      <c r="E398" s="5">
        <v>32.9</v>
      </c>
      <c r="F398" s="16" t="s">
        <v>1302</v>
      </c>
      <c r="G398" s="11">
        <v>0.40200000000000002</v>
      </c>
      <c r="H398" s="5">
        <v>76</v>
      </c>
      <c r="I398" s="8">
        <v>45</v>
      </c>
      <c r="J398" s="8">
        <v>197</v>
      </c>
      <c r="K398" s="8">
        <v>272</v>
      </c>
      <c r="L398" s="8">
        <v>143</v>
      </c>
      <c r="M398" t="s">
        <v>1307</v>
      </c>
      <c r="N398" s="16" t="s">
        <v>22</v>
      </c>
      <c r="O398" s="16" t="s">
        <v>22</v>
      </c>
      <c r="P398" s="16" t="s">
        <v>37</v>
      </c>
      <c r="Q398" s="10" t="s">
        <v>398</v>
      </c>
      <c r="R398" s="3" t="str">
        <f t="shared" si="12"/>
        <v>97</v>
      </c>
      <c r="S398" s="3" t="str">
        <f t="shared" si="13"/>
        <v>87</v>
      </c>
      <c r="T398" s="16" t="s">
        <v>29</v>
      </c>
      <c r="U398" s="3">
        <v>16.87</v>
      </c>
      <c r="V398" s="16" t="str">
        <f>PROPER(Table1[[#This Row],[CVD Risk Level]])</f>
        <v>Intermediary</v>
      </c>
    </row>
    <row r="399" spans="1:22" x14ac:dyDescent="0.3">
      <c r="A399" t="s">
        <v>20</v>
      </c>
      <c r="B399" s="8">
        <v>49</v>
      </c>
      <c r="C399" s="8">
        <v>93.4</v>
      </c>
      <c r="D399" s="5">
        <v>1.73</v>
      </c>
      <c r="E399" s="5">
        <v>31.2</v>
      </c>
      <c r="F399" s="16" t="s">
        <v>1302</v>
      </c>
      <c r="G399" s="11">
        <v>0.502</v>
      </c>
      <c r="H399" s="5">
        <v>86.9</v>
      </c>
      <c r="I399" s="8">
        <v>36</v>
      </c>
      <c r="J399" s="8">
        <v>101</v>
      </c>
      <c r="K399" s="8">
        <v>167</v>
      </c>
      <c r="L399" s="8">
        <v>106</v>
      </c>
      <c r="M399" t="s">
        <v>1306</v>
      </c>
      <c r="N399" s="16" t="s">
        <v>22</v>
      </c>
      <c r="O399" s="16" t="s">
        <v>23</v>
      </c>
      <c r="P399" s="16" t="s">
        <v>37</v>
      </c>
      <c r="Q399" s="10" t="s">
        <v>399</v>
      </c>
      <c r="R399" s="3" t="str">
        <f t="shared" si="12"/>
        <v>111</v>
      </c>
      <c r="S399" s="3" t="str">
        <f t="shared" si="13"/>
        <v>90</v>
      </c>
      <c r="T399" s="16" t="s">
        <v>38</v>
      </c>
      <c r="U399" s="3">
        <v>17.13</v>
      </c>
      <c r="V399" s="16" t="str">
        <f>PROPER(Table1[[#This Row],[CVD Risk Level]])</f>
        <v>High</v>
      </c>
    </row>
    <row r="400" spans="1:22" x14ac:dyDescent="0.3">
      <c r="A400" t="s">
        <v>31</v>
      </c>
      <c r="B400" s="8">
        <v>38</v>
      </c>
      <c r="C400" s="8">
        <v>74.860240000000005</v>
      </c>
      <c r="D400" s="5">
        <v>1.82</v>
      </c>
      <c r="E400" s="5">
        <v>22.6</v>
      </c>
      <c r="F400" s="16" t="s">
        <v>33</v>
      </c>
      <c r="G400" s="11">
        <v>0.54100000000000004</v>
      </c>
      <c r="H400" s="5">
        <v>98.462000000000003</v>
      </c>
      <c r="I400" s="8">
        <v>56</v>
      </c>
      <c r="J400" s="8">
        <v>79</v>
      </c>
      <c r="K400" s="8">
        <v>165</v>
      </c>
      <c r="L400" s="8">
        <v>137</v>
      </c>
      <c r="M400" t="s">
        <v>1307</v>
      </c>
      <c r="N400" s="16" t="s">
        <v>23</v>
      </c>
      <c r="O400" s="16" t="s">
        <v>22</v>
      </c>
      <c r="P400" s="16" t="s">
        <v>37</v>
      </c>
      <c r="Q400" s="10" t="s">
        <v>219</v>
      </c>
      <c r="R400" s="3" t="str">
        <f t="shared" si="12"/>
        <v>113</v>
      </c>
      <c r="S400" s="3" t="str">
        <f t="shared" si="13"/>
        <v>94</v>
      </c>
      <c r="T400" s="16" t="s">
        <v>38</v>
      </c>
      <c r="U400" s="3">
        <v>13.47</v>
      </c>
      <c r="V400" s="16" t="str">
        <f>PROPER(Table1[[#This Row],[CVD Risk Level]])</f>
        <v>Intermediary</v>
      </c>
    </row>
    <row r="401" spans="1:22" x14ac:dyDescent="0.3">
      <c r="A401" t="s">
        <v>20</v>
      </c>
      <c r="B401" s="8">
        <v>49</v>
      </c>
      <c r="C401" s="8">
        <v>52.5</v>
      </c>
      <c r="D401" s="5">
        <v>1.83</v>
      </c>
      <c r="E401" s="5">
        <v>15.7</v>
      </c>
      <c r="F401" s="16" t="s">
        <v>1304</v>
      </c>
      <c r="G401" s="11">
        <v>0.41</v>
      </c>
      <c r="H401" s="5">
        <v>75</v>
      </c>
      <c r="I401" s="8">
        <v>38</v>
      </c>
      <c r="J401" s="8">
        <v>175</v>
      </c>
      <c r="K401" s="8">
        <v>243</v>
      </c>
      <c r="L401" s="8">
        <v>115</v>
      </c>
      <c r="M401" t="s">
        <v>1306</v>
      </c>
      <c r="N401" s="16" t="s">
        <v>23</v>
      </c>
      <c r="O401" s="16" t="s">
        <v>22</v>
      </c>
      <c r="P401" s="16" t="s">
        <v>37</v>
      </c>
      <c r="Q401" s="10" t="s">
        <v>400</v>
      </c>
      <c r="R401" s="3" t="str">
        <f t="shared" si="12"/>
        <v>113</v>
      </c>
      <c r="S401" s="3" t="str">
        <f t="shared" si="13"/>
        <v>95</v>
      </c>
      <c r="T401" s="16" t="s">
        <v>38</v>
      </c>
      <c r="U401" s="3">
        <v>13.65</v>
      </c>
      <c r="V401" s="16" t="str">
        <f>PROPER(Table1[[#This Row],[CVD Risk Level]])</f>
        <v>High</v>
      </c>
    </row>
    <row r="402" spans="1:22" x14ac:dyDescent="0.3">
      <c r="A402" t="s">
        <v>31</v>
      </c>
      <c r="B402" s="8">
        <v>50</v>
      </c>
      <c r="C402" s="8">
        <v>66.2</v>
      </c>
      <c r="D402" s="5">
        <v>1.86</v>
      </c>
      <c r="E402" s="5">
        <v>19.100000000000001</v>
      </c>
      <c r="F402" s="16" t="s">
        <v>33</v>
      </c>
      <c r="G402" s="11">
        <v>0.501</v>
      </c>
      <c r="H402" s="5">
        <v>93.1</v>
      </c>
      <c r="I402" s="8">
        <v>30</v>
      </c>
      <c r="J402" s="8">
        <v>106</v>
      </c>
      <c r="K402" s="8">
        <v>166</v>
      </c>
      <c r="L402" s="8">
        <v>132</v>
      </c>
      <c r="M402" t="s">
        <v>1307</v>
      </c>
      <c r="N402" s="16" t="s">
        <v>22</v>
      </c>
      <c r="O402" s="16" t="s">
        <v>23</v>
      </c>
      <c r="P402" s="16" t="s">
        <v>24</v>
      </c>
      <c r="Q402" s="10" t="s">
        <v>401</v>
      </c>
      <c r="R402" s="3" t="str">
        <f t="shared" si="12"/>
        <v>133</v>
      </c>
      <c r="S402" s="3" t="str">
        <f t="shared" si="13"/>
        <v>87</v>
      </c>
      <c r="T402" s="16" t="s">
        <v>29</v>
      </c>
      <c r="U402" s="3">
        <v>15.79</v>
      </c>
      <c r="V402" s="16" t="str">
        <f>PROPER(Table1[[#This Row],[CVD Risk Level]])</f>
        <v>High</v>
      </c>
    </row>
    <row r="403" spans="1:22" x14ac:dyDescent="0.3">
      <c r="A403" t="s">
        <v>31</v>
      </c>
      <c r="B403" s="8">
        <v>43</v>
      </c>
      <c r="C403" s="8">
        <v>111.9</v>
      </c>
      <c r="D403" s="5">
        <v>1.71</v>
      </c>
      <c r="E403" s="5">
        <v>38.299999999999997</v>
      </c>
      <c r="F403" s="16" t="s">
        <v>1302</v>
      </c>
      <c r="G403" s="11">
        <v>0.64</v>
      </c>
      <c r="H403" s="5">
        <v>109.4</v>
      </c>
      <c r="I403" s="8">
        <v>49</v>
      </c>
      <c r="J403" s="8">
        <v>162</v>
      </c>
      <c r="K403" s="8">
        <v>241</v>
      </c>
      <c r="L403" s="8">
        <v>96</v>
      </c>
      <c r="M403" t="s">
        <v>33</v>
      </c>
      <c r="N403" s="16" t="s">
        <v>22</v>
      </c>
      <c r="O403" s="16" t="s">
        <v>23</v>
      </c>
      <c r="P403" s="16" t="s">
        <v>24</v>
      </c>
      <c r="Q403" s="10" t="s">
        <v>402</v>
      </c>
      <c r="R403" s="3" t="str">
        <f t="shared" si="12"/>
        <v>102</v>
      </c>
      <c r="S403" s="3" t="str">
        <f t="shared" si="13"/>
        <v>91</v>
      </c>
      <c r="T403" s="16" t="s">
        <v>38</v>
      </c>
      <c r="U403" s="3">
        <v>19.579999999999998</v>
      </c>
      <c r="V403" s="16" t="str">
        <f>PROPER(Table1[[#This Row],[CVD Risk Level]])</f>
        <v>High</v>
      </c>
    </row>
    <row r="404" spans="1:22" x14ac:dyDescent="0.3">
      <c r="A404" t="s">
        <v>31</v>
      </c>
      <c r="B404" s="8">
        <v>39</v>
      </c>
      <c r="C404" s="8">
        <v>54.7</v>
      </c>
      <c r="D404" s="5">
        <v>1.83</v>
      </c>
      <c r="E404" s="5">
        <v>16.3</v>
      </c>
      <c r="F404" s="16" t="s">
        <v>1304</v>
      </c>
      <c r="G404" s="11">
        <v>0.55200000000000005</v>
      </c>
      <c r="H404" s="5">
        <v>101.1</v>
      </c>
      <c r="I404" s="8">
        <v>31</v>
      </c>
      <c r="J404" s="8">
        <v>209</v>
      </c>
      <c r="K404" s="8">
        <v>270</v>
      </c>
      <c r="L404" s="8">
        <v>97</v>
      </c>
      <c r="M404" t="s">
        <v>33</v>
      </c>
      <c r="N404" s="16" t="s">
        <v>22</v>
      </c>
      <c r="O404" s="16" t="s">
        <v>23</v>
      </c>
      <c r="P404" s="16" t="s">
        <v>24</v>
      </c>
      <c r="Q404" s="10" t="s">
        <v>403</v>
      </c>
      <c r="R404" s="3" t="str">
        <f t="shared" si="12"/>
        <v>103</v>
      </c>
      <c r="S404" s="3" t="str">
        <f t="shared" si="13"/>
        <v>88</v>
      </c>
      <c r="T404" s="16" t="s">
        <v>29</v>
      </c>
      <c r="U404" s="3">
        <v>15.81</v>
      </c>
      <c r="V404" s="16" t="str">
        <f>PROPER(Table1[[#This Row],[CVD Risk Level]])</f>
        <v>High</v>
      </c>
    </row>
    <row r="405" spans="1:22" x14ac:dyDescent="0.3">
      <c r="A405" t="s">
        <v>31</v>
      </c>
      <c r="B405" s="8">
        <v>50</v>
      </c>
      <c r="C405" s="8">
        <v>66</v>
      </c>
      <c r="D405" s="5">
        <v>1.75</v>
      </c>
      <c r="E405" s="5">
        <v>21.6</v>
      </c>
      <c r="F405" s="16" t="s">
        <v>33</v>
      </c>
      <c r="G405" s="11">
        <v>0.436</v>
      </c>
      <c r="H405" s="5">
        <v>76.3</v>
      </c>
      <c r="I405" s="8">
        <v>41</v>
      </c>
      <c r="J405" s="8">
        <v>170</v>
      </c>
      <c r="K405" s="8">
        <v>241</v>
      </c>
      <c r="L405" s="8">
        <v>141</v>
      </c>
      <c r="M405" t="s">
        <v>1307</v>
      </c>
      <c r="N405" s="16" t="s">
        <v>22</v>
      </c>
      <c r="O405" s="16" t="s">
        <v>23</v>
      </c>
      <c r="P405" s="16" t="s">
        <v>37</v>
      </c>
      <c r="Q405" s="10" t="s">
        <v>404</v>
      </c>
      <c r="R405" s="3" t="str">
        <f t="shared" si="12"/>
        <v>135</v>
      </c>
      <c r="S405" s="3" t="str">
        <f t="shared" si="13"/>
        <v>85</v>
      </c>
      <c r="T405" s="16" t="s">
        <v>29</v>
      </c>
      <c r="U405" s="3">
        <v>17.89</v>
      </c>
      <c r="V405" s="16" t="str">
        <f>PROPER(Table1[[#This Row],[CVD Risk Level]])</f>
        <v>High</v>
      </c>
    </row>
    <row r="406" spans="1:22" x14ac:dyDescent="0.3">
      <c r="A406" t="s">
        <v>31</v>
      </c>
      <c r="B406" s="8">
        <v>60</v>
      </c>
      <c r="C406" s="8">
        <v>95.2</v>
      </c>
      <c r="D406" s="5">
        <v>1.67</v>
      </c>
      <c r="E406" s="5">
        <v>34.1</v>
      </c>
      <c r="F406" s="16" t="s">
        <v>1302</v>
      </c>
      <c r="G406" s="11">
        <v>0.54900000000000004</v>
      </c>
      <c r="H406" s="5">
        <v>91.6</v>
      </c>
      <c r="I406" s="8">
        <v>42</v>
      </c>
      <c r="J406" s="8">
        <v>109</v>
      </c>
      <c r="K406" s="8">
        <v>279</v>
      </c>
      <c r="L406" s="8">
        <v>98</v>
      </c>
      <c r="M406" t="s">
        <v>33</v>
      </c>
      <c r="N406" s="16" t="s">
        <v>23</v>
      </c>
      <c r="O406" s="16" t="s">
        <v>22</v>
      </c>
      <c r="P406" s="16" t="s">
        <v>37</v>
      </c>
      <c r="Q406" s="10" t="s">
        <v>405</v>
      </c>
      <c r="R406" s="3" t="str">
        <f t="shared" si="12"/>
        <v>97</v>
      </c>
      <c r="S406" s="3" t="str">
        <f t="shared" si="13"/>
        <v>71</v>
      </c>
      <c r="T406" s="16" t="s">
        <v>33</v>
      </c>
      <c r="U406" s="3">
        <v>17.25</v>
      </c>
      <c r="V406" s="16" t="str">
        <f>PROPER(Table1[[#This Row],[CVD Risk Level]])</f>
        <v>High</v>
      </c>
    </row>
    <row r="407" spans="1:22" x14ac:dyDescent="0.3">
      <c r="A407" t="s">
        <v>20</v>
      </c>
      <c r="B407" s="8">
        <v>38</v>
      </c>
      <c r="C407" s="8">
        <v>61.8</v>
      </c>
      <c r="D407" s="5">
        <v>1.78</v>
      </c>
      <c r="E407" s="5">
        <v>19.5</v>
      </c>
      <c r="F407" s="16" t="s">
        <v>33</v>
      </c>
      <c r="G407" s="11">
        <v>0.39900000000000002</v>
      </c>
      <c r="H407" s="5">
        <v>71</v>
      </c>
      <c r="I407" s="8">
        <v>75</v>
      </c>
      <c r="J407" s="8">
        <v>120</v>
      </c>
      <c r="K407" s="8">
        <v>225</v>
      </c>
      <c r="L407" s="8">
        <v>138</v>
      </c>
      <c r="M407" t="s">
        <v>1307</v>
      </c>
      <c r="N407" s="16" t="s">
        <v>23</v>
      </c>
      <c r="O407" s="16" t="s">
        <v>22</v>
      </c>
      <c r="P407" s="16" t="s">
        <v>28</v>
      </c>
      <c r="Q407" s="10" t="s">
        <v>406</v>
      </c>
      <c r="R407" s="3" t="str">
        <f t="shared" si="12"/>
        <v>108</v>
      </c>
      <c r="S407" s="3" t="str">
        <f t="shared" si="13"/>
        <v>87</v>
      </c>
      <c r="T407" s="16" t="s">
        <v>29</v>
      </c>
      <c r="U407" s="3">
        <v>13.8</v>
      </c>
      <c r="V407" s="16" t="str">
        <f>PROPER(Table1[[#This Row],[CVD Risk Level]])</f>
        <v>Intermediary</v>
      </c>
    </row>
    <row r="408" spans="1:22" x14ac:dyDescent="0.3">
      <c r="A408" t="s">
        <v>31</v>
      </c>
      <c r="B408" s="8">
        <v>51</v>
      </c>
      <c r="C408" s="8">
        <v>100.3</v>
      </c>
      <c r="D408" s="5">
        <v>1.66</v>
      </c>
      <c r="E408" s="5">
        <v>36.4</v>
      </c>
      <c r="F408" s="16" t="s">
        <v>1302</v>
      </c>
      <c r="G408" s="11">
        <v>0.61</v>
      </c>
      <c r="H408" s="5">
        <v>101.3</v>
      </c>
      <c r="I408" s="8">
        <v>64</v>
      </c>
      <c r="J408" s="8">
        <v>119</v>
      </c>
      <c r="K408" s="8">
        <v>213</v>
      </c>
      <c r="L408" s="8">
        <v>135</v>
      </c>
      <c r="M408" t="s">
        <v>1307</v>
      </c>
      <c r="N408" s="16" t="s">
        <v>22</v>
      </c>
      <c r="O408" s="16" t="s">
        <v>22</v>
      </c>
      <c r="P408" s="16" t="s">
        <v>24</v>
      </c>
      <c r="Q408" s="10" t="s">
        <v>384</v>
      </c>
      <c r="R408" s="3" t="str">
        <f t="shared" si="12"/>
        <v>108</v>
      </c>
      <c r="S408" s="3" t="str">
        <f t="shared" si="13"/>
        <v>61</v>
      </c>
      <c r="T408" s="16" t="s">
        <v>33</v>
      </c>
      <c r="U408" s="3">
        <v>16.940000000000001</v>
      </c>
      <c r="V408" s="16" t="str">
        <f>PROPER(Table1[[#This Row],[CVD Risk Level]])</f>
        <v>High</v>
      </c>
    </row>
    <row r="409" spans="1:22" x14ac:dyDescent="0.3">
      <c r="A409" t="s">
        <v>20</v>
      </c>
      <c r="B409" s="8">
        <v>50</v>
      </c>
      <c r="C409" s="8">
        <v>66.5</v>
      </c>
      <c r="D409" s="5">
        <v>1.83</v>
      </c>
      <c r="E409" s="5">
        <v>19.899999999999999</v>
      </c>
      <c r="F409" s="16" t="s">
        <v>33</v>
      </c>
      <c r="G409" s="11">
        <v>0.53600000000000003</v>
      </c>
      <c r="H409" s="5">
        <v>98</v>
      </c>
      <c r="I409" s="8">
        <v>39</v>
      </c>
      <c r="J409" s="8">
        <v>131</v>
      </c>
      <c r="K409" s="8">
        <v>200</v>
      </c>
      <c r="L409" s="8">
        <v>98</v>
      </c>
      <c r="M409" t="s">
        <v>33</v>
      </c>
      <c r="N409" s="16" t="s">
        <v>22</v>
      </c>
      <c r="O409" s="16" t="s">
        <v>23</v>
      </c>
      <c r="P409" s="16" t="s">
        <v>28</v>
      </c>
      <c r="Q409" s="10" t="s">
        <v>407</v>
      </c>
      <c r="R409" s="3" t="str">
        <f t="shared" si="12"/>
        <v>127</v>
      </c>
      <c r="S409" s="3" t="str">
        <f t="shared" si="13"/>
        <v>75</v>
      </c>
      <c r="T409" s="16" t="s">
        <v>25</v>
      </c>
      <c r="U409" s="3">
        <v>16.329999999999998</v>
      </c>
      <c r="V409" s="16" t="str">
        <f>PROPER(Table1[[#This Row],[CVD Risk Level]])</f>
        <v>High</v>
      </c>
    </row>
    <row r="410" spans="1:22" x14ac:dyDescent="0.3">
      <c r="A410" t="s">
        <v>20</v>
      </c>
      <c r="B410" s="8">
        <v>37</v>
      </c>
      <c r="C410" s="8">
        <v>75.400000000000006</v>
      </c>
      <c r="D410" s="5">
        <v>1.8</v>
      </c>
      <c r="E410" s="5">
        <v>23.3</v>
      </c>
      <c r="F410" s="16" t="s">
        <v>33</v>
      </c>
      <c r="G410" s="11">
        <v>0.48099999999999998</v>
      </c>
      <c r="H410" s="5">
        <v>86.5</v>
      </c>
      <c r="I410" s="8">
        <v>56.197377501725327</v>
      </c>
      <c r="J410" s="8">
        <v>209</v>
      </c>
      <c r="K410" s="8">
        <v>296</v>
      </c>
      <c r="L410" s="8">
        <v>137</v>
      </c>
      <c r="M410" t="s">
        <v>1307</v>
      </c>
      <c r="N410" s="16" t="s">
        <v>22</v>
      </c>
      <c r="O410" s="16" t="s">
        <v>23</v>
      </c>
      <c r="P410" s="16" t="s">
        <v>28</v>
      </c>
      <c r="Q410" s="10" t="s">
        <v>408</v>
      </c>
      <c r="R410" s="3" t="str">
        <f t="shared" si="12"/>
        <v>149</v>
      </c>
      <c r="S410" s="3" t="str">
        <f t="shared" si="13"/>
        <v>78</v>
      </c>
      <c r="T410" s="16" t="s">
        <v>38</v>
      </c>
      <c r="U410" s="3">
        <v>20.03</v>
      </c>
      <c r="V410" s="16" t="str">
        <f>PROPER(Table1[[#This Row],[CVD Risk Level]])</f>
        <v>Intermediary</v>
      </c>
    </row>
    <row r="411" spans="1:22" x14ac:dyDescent="0.3">
      <c r="A411" t="s">
        <v>20</v>
      </c>
      <c r="B411" s="8">
        <v>38</v>
      </c>
      <c r="C411" s="8">
        <v>108.3</v>
      </c>
      <c r="D411" s="5">
        <v>1.8</v>
      </c>
      <c r="E411" s="5">
        <v>33.4</v>
      </c>
      <c r="F411" s="16" t="s">
        <v>1302</v>
      </c>
      <c r="G411" s="11">
        <v>0.42299999999999999</v>
      </c>
      <c r="H411" s="5">
        <v>76.2</v>
      </c>
      <c r="I411" s="8">
        <v>61</v>
      </c>
      <c r="J411" s="8">
        <v>187</v>
      </c>
      <c r="K411" s="8">
        <v>278</v>
      </c>
      <c r="L411" s="8">
        <v>106</v>
      </c>
      <c r="M411" t="s">
        <v>1306</v>
      </c>
      <c r="N411" s="16" t="s">
        <v>23</v>
      </c>
      <c r="O411" s="16" t="s">
        <v>22</v>
      </c>
      <c r="P411" s="16" t="s">
        <v>28</v>
      </c>
      <c r="Q411" s="10" t="s">
        <v>409</v>
      </c>
      <c r="R411" s="3" t="str">
        <f t="shared" si="12"/>
        <v>149</v>
      </c>
      <c r="S411" s="3" t="str">
        <f t="shared" si="13"/>
        <v>91</v>
      </c>
      <c r="T411" s="16" t="s">
        <v>38</v>
      </c>
      <c r="U411" s="3">
        <v>19.690000000000001</v>
      </c>
      <c r="V411" s="16" t="str">
        <f>PROPER(Table1[[#This Row],[CVD Risk Level]])</f>
        <v>High</v>
      </c>
    </row>
    <row r="412" spans="1:22" x14ac:dyDescent="0.3">
      <c r="A412" t="s">
        <v>31</v>
      </c>
      <c r="B412" s="8">
        <v>59</v>
      </c>
      <c r="C412" s="8">
        <v>69.2</v>
      </c>
      <c r="D412" s="5">
        <v>1.87</v>
      </c>
      <c r="E412" s="5">
        <v>19.8</v>
      </c>
      <c r="F412" s="16" t="s">
        <v>33</v>
      </c>
      <c r="G412" s="11">
        <v>0.51800000000000002</v>
      </c>
      <c r="H412" s="5">
        <v>96.8</v>
      </c>
      <c r="I412" s="8">
        <v>56</v>
      </c>
      <c r="J412" s="8">
        <v>132</v>
      </c>
      <c r="K412" s="8">
        <v>218</v>
      </c>
      <c r="L412" s="8">
        <v>71</v>
      </c>
      <c r="M412" t="s">
        <v>33</v>
      </c>
      <c r="N412" s="16" t="s">
        <v>22</v>
      </c>
      <c r="O412" s="16" t="s">
        <v>23</v>
      </c>
      <c r="P412" s="16" t="s">
        <v>37</v>
      </c>
      <c r="Q412" s="10" t="s">
        <v>410</v>
      </c>
      <c r="R412" s="3" t="str">
        <f t="shared" si="12"/>
        <v>93</v>
      </c>
      <c r="S412" s="3" t="str">
        <f t="shared" si="13"/>
        <v>78</v>
      </c>
      <c r="T412" s="16" t="s">
        <v>33</v>
      </c>
      <c r="U412" s="3">
        <v>14.97</v>
      </c>
      <c r="V412" s="16" t="str">
        <f>PROPER(Table1[[#This Row],[CVD Risk Level]])</f>
        <v>Intermediary</v>
      </c>
    </row>
    <row r="413" spans="1:22" x14ac:dyDescent="0.3">
      <c r="A413" t="s">
        <v>20</v>
      </c>
      <c r="B413" s="8">
        <v>43</v>
      </c>
      <c r="C413" s="8">
        <v>90.5</v>
      </c>
      <c r="D413" s="5">
        <v>1.79</v>
      </c>
      <c r="E413" s="5">
        <v>28.2</v>
      </c>
      <c r="F413" s="16" t="s">
        <v>1303</v>
      </c>
      <c r="G413" s="11">
        <v>0.45900000000000002</v>
      </c>
      <c r="H413" s="5">
        <v>82.1</v>
      </c>
      <c r="I413" s="8">
        <v>34</v>
      </c>
      <c r="J413" s="8">
        <v>218</v>
      </c>
      <c r="K413" s="8">
        <v>282</v>
      </c>
      <c r="L413" s="8">
        <v>101</v>
      </c>
      <c r="M413" t="s">
        <v>1306</v>
      </c>
      <c r="N413" s="16" t="s">
        <v>22</v>
      </c>
      <c r="O413" s="16" t="s">
        <v>23</v>
      </c>
      <c r="P413" s="16" t="s">
        <v>37</v>
      </c>
      <c r="Q413" s="10" t="s">
        <v>411</v>
      </c>
      <c r="R413" s="3" t="str">
        <f t="shared" si="12"/>
        <v>141</v>
      </c>
      <c r="S413" s="3" t="str">
        <f t="shared" si="13"/>
        <v>95</v>
      </c>
      <c r="T413" s="16" t="s">
        <v>38</v>
      </c>
      <c r="U413" s="3">
        <v>20.329999999999998</v>
      </c>
      <c r="V413" s="16" t="str">
        <f>PROPER(Table1[[#This Row],[CVD Risk Level]])</f>
        <v>High</v>
      </c>
    </row>
    <row r="414" spans="1:22" x14ac:dyDescent="0.3">
      <c r="A414" t="s">
        <v>31</v>
      </c>
      <c r="B414" s="8">
        <v>47.025499655410059</v>
      </c>
      <c r="C414" s="8">
        <v>100.8</v>
      </c>
      <c r="D414" s="5">
        <v>1.87</v>
      </c>
      <c r="E414" s="5">
        <v>28.8</v>
      </c>
      <c r="F414" s="16" t="s">
        <v>1303</v>
      </c>
      <c r="G414" s="11">
        <v>0.51600000000000001</v>
      </c>
      <c r="H414" s="5">
        <v>96.5</v>
      </c>
      <c r="I414" s="8">
        <v>41</v>
      </c>
      <c r="J414" s="8">
        <v>59</v>
      </c>
      <c r="K414" s="8">
        <v>130</v>
      </c>
      <c r="L414" s="8">
        <v>84</v>
      </c>
      <c r="M414" t="s">
        <v>33</v>
      </c>
      <c r="N414" s="16" t="s">
        <v>23</v>
      </c>
      <c r="O414" s="16" t="s">
        <v>23</v>
      </c>
      <c r="P414" s="16" t="s">
        <v>28</v>
      </c>
      <c r="Q414" s="10" t="s">
        <v>412</v>
      </c>
      <c r="R414" s="3" t="str">
        <f t="shared" si="12"/>
        <v>112</v>
      </c>
      <c r="S414" s="3" t="str">
        <f t="shared" si="13"/>
        <v>97</v>
      </c>
      <c r="T414" s="16" t="s">
        <v>38</v>
      </c>
      <c r="U414" s="3">
        <v>15.96</v>
      </c>
      <c r="V414" s="16" t="str">
        <f>PROPER(Table1[[#This Row],[CVD Risk Level]])</f>
        <v>High</v>
      </c>
    </row>
    <row r="415" spans="1:22" x14ac:dyDescent="0.3">
      <c r="A415" t="s">
        <v>31</v>
      </c>
      <c r="B415" s="8">
        <v>32</v>
      </c>
      <c r="C415" s="8">
        <v>98.5</v>
      </c>
      <c r="D415" s="5">
        <v>1.72</v>
      </c>
      <c r="E415" s="5">
        <v>33.299999999999997</v>
      </c>
      <c r="F415" s="16" t="s">
        <v>1302</v>
      </c>
      <c r="G415" s="11">
        <v>0.50900000000000001</v>
      </c>
      <c r="H415" s="5">
        <v>87.6</v>
      </c>
      <c r="I415" s="8">
        <v>60</v>
      </c>
      <c r="J415" s="8">
        <v>155</v>
      </c>
      <c r="K415" s="8">
        <v>245</v>
      </c>
      <c r="L415" s="8">
        <v>131</v>
      </c>
      <c r="M415" t="s">
        <v>1307</v>
      </c>
      <c r="N415" s="16" t="s">
        <v>23</v>
      </c>
      <c r="O415" s="16" t="s">
        <v>23</v>
      </c>
      <c r="P415" s="16" t="s">
        <v>37</v>
      </c>
      <c r="Q415" s="10" t="s">
        <v>177</v>
      </c>
      <c r="R415" s="3" t="str">
        <f t="shared" si="12"/>
        <v>127</v>
      </c>
      <c r="S415" s="3" t="str">
        <f t="shared" si="13"/>
        <v>77</v>
      </c>
      <c r="T415" s="16" t="s">
        <v>25</v>
      </c>
      <c r="U415" s="3">
        <v>19.91</v>
      </c>
      <c r="V415" s="16" t="str">
        <f>PROPER(Table1[[#This Row],[CVD Risk Level]])</f>
        <v>High</v>
      </c>
    </row>
    <row r="416" spans="1:22" x14ac:dyDescent="0.3">
      <c r="A416" t="s">
        <v>31</v>
      </c>
      <c r="B416" s="8">
        <v>32</v>
      </c>
      <c r="C416" s="8">
        <v>68.099999999999994</v>
      </c>
      <c r="D416" s="5">
        <v>1.88</v>
      </c>
      <c r="E416" s="5">
        <v>19.3</v>
      </c>
      <c r="F416" s="16" t="s">
        <v>33</v>
      </c>
      <c r="G416" s="11">
        <v>0.377</v>
      </c>
      <c r="H416" s="5">
        <v>70.900000000000006</v>
      </c>
      <c r="I416" s="8">
        <v>32</v>
      </c>
      <c r="J416" s="8">
        <v>223</v>
      </c>
      <c r="K416" s="8">
        <v>285</v>
      </c>
      <c r="L416" s="8">
        <v>77</v>
      </c>
      <c r="M416" t="s">
        <v>33</v>
      </c>
      <c r="N416" s="16" t="s">
        <v>22</v>
      </c>
      <c r="O416" s="16" t="s">
        <v>23</v>
      </c>
      <c r="P416" s="16" t="s">
        <v>37</v>
      </c>
      <c r="Q416" s="10" t="s">
        <v>176</v>
      </c>
      <c r="R416" s="3" t="str">
        <f t="shared" si="12"/>
        <v>145</v>
      </c>
      <c r="S416" s="3" t="str">
        <f t="shared" si="13"/>
        <v>96</v>
      </c>
      <c r="T416" s="16" t="s">
        <v>38</v>
      </c>
      <c r="U416" s="3">
        <v>18.809999999999999</v>
      </c>
      <c r="V416" s="16" t="str">
        <f>PROPER(Table1[[#This Row],[CVD Risk Level]])</f>
        <v>High</v>
      </c>
    </row>
    <row r="417" spans="1:22" x14ac:dyDescent="0.3">
      <c r="A417" t="s">
        <v>20</v>
      </c>
      <c r="B417" s="8">
        <v>32</v>
      </c>
      <c r="C417" s="8">
        <v>54.2</v>
      </c>
      <c r="D417" s="5">
        <v>1.85</v>
      </c>
      <c r="E417" s="5">
        <v>15.8</v>
      </c>
      <c r="F417" s="16" t="s">
        <v>1304</v>
      </c>
      <c r="G417" s="11">
        <v>0.48499999999999999</v>
      </c>
      <c r="H417" s="5">
        <v>89.8</v>
      </c>
      <c r="I417" s="8">
        <v>78</v>
      </c>
      <c r="J417" s="8">
        <v>115</v>
      </c>
      <c r="K417" s="8">
        <v>223</v>
      </c>
      <c r="L417" s="8">
        <v>71</v>
      </c>
      <c r="M417" t="s">
        <v>33</v>
      </c>
      <c r="N417" s="16" t="s">
        <v>22</v>
      </c>
      <c r="O417" s="16" t="s">
        <v>23</v>
      </c>
      <c r="P417" s="16" t="s">
        <v>37</v>
      </c>
      <c r="Q417" s="10" t="s">
        <v>112</v>
      </c>
      <c r="R417" s="3" t="str">
        <f t="shared" si="12"/>
        <v>94</v>
      </c>
      <c r="S417" s="3" t="str">
        <f t="shared" si="13"/>
        <v>78</v>
      </c>
      <c r="T417" s="16" t="s">
        <v>33</v>
      </c>
      <c r="U417" s="3">
        <v>14.32</v>
      </c>
      <c r="V417" s="16" t="str">
        <f>PROPER(Table1[[#This Row],[CVD Risk Level]])</f>
        <v>Intermediary</v>
      </c>
    </row>
    <row r="418" spans="1:22" x14ac:dyDescent="0.3">
      <c r="A418" t="s">
        <v>31</v>
      </c>
      <c r="B418" s="8">
        <v>47</v>
      </c>
      <c r="C418" s="8">
        <v>89.7</v>
      </c>
      <c r="D418" s="5">
        <v>1.6</v>
      </c>
      <c r="E418" s="5">
        <v>35</v>
      </c>
      <c r="F418" s="16" t="s">
        <v>1302</v>
      </c>
      <c r="G418" s="11">
        <v>0.59699999999999998</v>
      </c>
      <c r="H418" s="5">
        <v>95.5</v>
      </c>
      <c r="I418" s="8">
        <v>45</v>
      </c>
      <c r="J418" s="8">
        <v>97</v>
      </c>
      <c r="K418" s="8">
        <v>172</v>
      </c>
      <c r="L418" s="8">
        <v>142</v>
      </c>
      <c r="M418" t="s">
        <v>1307</v>
      </c>
      <c r="N418" s="16" t="s">
        <v>22</v>
      </c>
      <c r="O418" s="16" t="s">
        <v>22</v>
      </c>
      <c r="P418" s="16" t="s">
        <v>24</v>
      </c>
      <c r="Q418" s="10" t="s">
        <v>413</v>
      </c>
      <c r="R418" s="3" t="str">
        <f t="shared" si="12"/>
        <v>133</v>
      </c>
      <c r="S418" s="3" t="str">
        <f t="shared" si="13"/>
        <v>64</v>
      </c>
      <c r="T418" s="16" t="s">
        <v>29</v>
      </c>
      <c r="U418" s="3">
        <v>17.09</v>
      </c>
      <c r="V418" s="16" t="str">
        <f>PROPER(Table1[[#This Row],[CVD Risk Level]])</f>
        <v>High</v>
      </c>
    </row>
    <row r="419" spans="1:22" x14ac:dyDescent="0.3">
      <c r="A419" t="s">
        <v>20</v>
      </c>
      <c r="B419" s="8">
        <v>37</v>
      </c>
      <c r="C419" s="8">
        <v>85.1</v>
      </c>
      <c r="D419" s="5">
        <v>1.73</v>
      </c>
      <c r="E419" s="5">
        <v>28.4</v>
      </c>
      <c r="F419" s="16" t="s">
        <v>1303</v>
      </c>
      <c r="G419" s="11">
        <v>0.434</v>
      </c>
      <c r="H419" s="5">
        <v>75.099999999999994</v>
      </c>
      <c r="I419" s="8">
        <v>59</v>
      </c>
      <c r="J419" s="8">
        <v>203</v>
      </c>
      <c r="K419" s="8">
        <v>292</v>
      </c>
      <c r="L419" s="8">
        <v>89</v>
      </c>
      <c r="M419" t="s">
        <v>33</v>
      </c>
      <c r="N419" s="16" t="s">
        <v>23</v>
      </c>
      <c r="O419" s="16" t="s">
        <v>22</v>
      </c>
      <c r="P419" s="16" t="s">
        <v>37</v>
      </c>
      <c r="Q419" s="10" t="s">
        <v>414</v>
      </c>
      <c r="R419" s="3" t="str">
        <f t="shared" si="12"/>
        <v>150</v>
      </c>
      <c r="S419" s="3" t="str">
        <f t="shared" si="13"/>
        <v>64</v>
      </c>
      <c r="T419" s="16" t="s">
        <v>38</v>
      </c>
      <c r="U419" s="3">
        <v>19.02</v>
      </c>
      <c r="V419" s="16" t="str">
        <f>PROPER(Table1[[#This Row],[CVD Risk Level]])</f>
        <v>High</v>
      </c>
    </row>
    <row r="420" spans="1:22" x14ac:dyDescent="0.3">
      <c r="A420" t="s">
        <v>20</v>
      </c>
      <c r="B420" s="8">
        <v>33</v>
      </c>
      <c r="C420" s="8">
        <v>94.7</v>
      </c>
      <c r="D420" s="5">
        <v>1.82</v>
      </c>
      <c r="E420" s="5">
        <v>28.6</v>
      </c>
      <c r="F420" s="16" t="s">
        <v>1303</v>
      </c>
      <c r="G420" s="11">
        <v>0.42099999999999999</v>
      </c>
      <c r="H420" s="5">
        <v>76.7</v>
      </c>
      <c r="I420" s="8">
        <v>34</v>
      </c>
      <c r="J420" s="8">
        <v>179</v>
      </c>
      <c r="K420" s="8">
        <v>243</v>
      </c>
      <c r="L420" s="8">
        <v>121</v>
      </c>
      <c r="M420" t="s">
        <v>1306</v>
      </c>
      <c r="N420" s="16" t="s">
        <v>23</v>
      </c>
      <c r="O420" s="16" t="s">
        <v>22</v>
      </c>
      <c r="P420" s="16" t="s">
        <v>37</v>
      </c>
      <c r="Q420" s="10" t="s">
        <v>54</v>
      </c>
      <c r="R420" s="3" t="str">
        <f t="shared" si="12"/>
        <v>132</v>
      </c>
      <c r="S420" s="3" t="str">
        <f t="shared" si="13"/>
        <v>92</v>
      </c>
      <c r="T420" s="16" t="s">
        <v>29</v>
      </c>
      <c r="U420" s="3">
        <v>17.18</v>
      </c>
      <c r="V420" s="16" t="str">
        <f>PROPER(Table1[[#This Row],[CVD Risk Level]])</f>
        <v>High</v>
      </c>
    </row>
    <row r="421" spans="1:22" x14ac:dyDescent="0.3">
      <c r="A421" t="s">
        <v>20</v>
      </c>
      <c r="B421" s="8">
        <v>47</v>
      </c>
      <c r="C421" s="8">
        <v>110.2</v>
      </c>
      <c r="D421" s="5">
        <v>1.75</v>
      </c>
      <c r="E421" s="5">
        <v>36</v>
      </c>
      <c r="F421" s="16" t="s">
        <v>1302</v>
      </c>
      <c r="G421" s="11">
        <v>0.53400000000000003</v>
      </c>
      <c r="H421" s="5">
        <v>93.4</v>
      </c>
      <c r="I421" s="8">
        <v>73</v>
      </c>
      <c r="J421" s="8">
        <v>109</v>
      </c>
      <c r="K421" s="8">
        <v>269</v>
      </c>
      <c r="L421" s="8">
        <v>77</v>
      </c>
      <c r="M421" t="s">
        <v>33</v>
      </c>
      <c r="N421" s="16" t="s">
        <v>22</v>
      </c>
      <c r="O421" s="16" t="s">
        <v>23</v>
      </c>
      <c r="P421" s="16" t="s">
        <v>24</v>
      </c>
      <c r="Q421" s="10" t="s">
        <v>227</v>
      </c>
      <c r="R421" s="3" t="str">
        <f t="shared" si="12"/>
        <v>143</v>
      </c>
      <c r="S421" s="3" t="str">
        <f t="shared" si="13"/>
        <v>89</v>
      </c>
      <c r="T421" s="16" t="s">
        <v>29</v>
      </c>
      <c r="U421" s="3">
        <v>21.73</v>
      </c>
      <c r="V421" s="16" t="str">
        <f>PROPER(Table1[[#This Row],[CVD Risk Level]])</f>
        <v>High</v>
      </c>
    </row>
    <row r="422" spans="1:22" x14ac:dyDescent="0.3">
      <c r="A422" t="s">
        <v>20</v>
      </c>
      <c r="B422" s="8">
        <v>58</v>
      </c>
      <c r="C422" s="8">
        <v>91.2</v>
      </c>
      <c r="D422" s="5">
        <v>1.6499660783487315</v>
      </c>
      <c r="E422" s="5">
        <v>33.5</v>
      </c>
      <c r="F422" s="16" t="s">
        <v>1302</v>
      </c>
      <c r="G422" s="11">
        <v>0.46300000000000002</v>
      </c>
      <c r="H422" s="5">
        <v>76.400000000000006</v>
      </c>
      <c r="I422" s="8">
        <v>45</v>
      </c>
      <c r="J422" s="8">
        <v>114</v>
      </c>
      <c r="K422" s="8">
        <v>189</v>
      </c>
      <c r="L422" s="8">
        <v>141</v>
      </c>
      <c r="M422" t="s">
        <v>1307</v>
      </c>
      <c r="N422" s="16" t="s">
        <v>22</v>
      </c>
      <c r="O422" s="16" t="s">
        <v>23</v>
      </c>
      <c r="P422" s="16" t="s">
        <v>24</v>
      </c>
      <c r="Q422" s="10" t="s">
        <v>415</v>
      </c>
      <c r="R422" s="3" t="str">
        <f t="shared" si="12"/>
        <v>98</v>
      </c>
      <c r="S422" s="3" t="str">
        <f t="shared" si="13"/>
        <v>88</v>
      </c>
      <c r="T422" s="16" t="s">
        <v>29</v>
      </c>
      <c r="U422" s="3">
        <v>17.38</v>
      </c>
      <c r="V422" s="16" t="str">
        <f>PROPER(Table1[[#This Row],[CVD Risk Level]])</f>
        <v>High</v>
      </c>
    </row>
    <row r="423" spans="1:22" x14ac:dyDescent="0.3">
      <c r="A423" t="s">
        <v>31</v>
      </c>
      <c r="B423" s="8">
        <v>42</v>
      </c>
      <c r="C423" s="8">
        <v>61.7</v>
      </c>
      <c r="D423" s="5">
        <v>1.86</v>
      </c>
      <c r="E423" s="5">
        <v>17.8</v>
      </c>
      <c r="F423" s="16" t="s">
        <v>1304</v>
      </c>
      <c r="G423" s="11">
        <v>0.4</v>
      </c>
      <c r="H423" s="5">
        <v>74.400000000000006</v>
      </c>
      <c r="I423" s="8">
        <v>46</v>
      </c>
      <c r="J423" s="8">
        <v>105</v>
      </c>
      <c r="K423" s="8">
        <v>181</v>
      </c>
      <c r="L423" s="8">
        <v>71</v>
      </c>
      <c r="M423" t="s">
        <v>33</v>
      </c>
      <c r="N423" s="16" t="s">
        <v>22</v>
      </c>
      <c r="O423" s="16" t="s">
        <v>23</v>
      </c>
      <c r="P423" s="16" t="s">
        <v>37</v>
      </c>
      <c r="Q423" s="10" t="s">
        <v>416</v>
      </c>
      <c r="R423" s="3" t="str">
        <f t="shared" si="12"/>
        <v>128</v>
      </c>
      <c r="S423" s="3" t="str">
        <f t="shared" si="13"/>
        <v>64</v>
      </c>
      <c r="T423" s="16" t="s">
        <v>25</v>
      </c>
      <c r="U423" s="3">
        <v>16.960925291295425</v>
      </c>
      <c r="V423" s="16" t="str">
        <f>PROPER(Table1[[#This Row],[CVD Risk Level]])</f>
        <v>Low</v>
      </c>
    </row>
    <row r="424" spans="1:22" x14ac:dyDescent="0.3">
      <c r="A424" t="s">
        <v>20</v>
      </c>
      <c r="B424" s="8">
        <v>59</v>
      </c>
      <c r="C424" s="8">
        <v>87</v>
      </c>
      <c r="D424" s="5">
        <v>1.62</v>
      </c>
      <c r="E424" s="5">
        <v>33.200000000000003</v>
      </c>
      <c r="F424" s="16" t="s">
        <v>1302</v>
      </c>
      <c r="G424" s="11">
        <v>0.67800000000000005</v>
      </c>
      <c r="H424" s="5">
        <v>109.8</v>
      </c>
      <c r="I424" s="8">
        <v>78</v>
      </c>
      <c r="J424" s="8">
        <v>12</v>
      </c>
      <c r="K424" s="8">
        <v>120</v>
      </c>
      <c r="L424" s="8">
        <v>85</v>
      </c>
      <c r="M424" t="s">
        <v>33</v>
      </c>
      <c r="N424" s="16" t="s">
        <v>23</v>
      </c>
      <c r="O424" s="16" t="s">
        <v>22</v>
      </c>
      <c r="P424" s="16" t="s">
        <v>28</v>
      </c>
      <c r="Q424" s="10" t="s">
        <v>417</v>
      </c>
      <c r="R424" s="3" t="str">
        <f t="shared" si="12"/>
        <v>142</v>
      </c>
      <c r="S424" s="3" t="str">
        <f t="shared" si="13"/>
        <v>87</v>
      </c>
      <c r="T424" s="16" t="s">
        <v>29</v>
      </c>
      <c r="U424" s="3">
        <v>16.14</v>
      </c>
      <c r="V424" s="16" t="str">
        <f>PROPER(Table1[[#This Row],[CVD Risk Level]])</f>
        <v>High</v>
      </c>
    </row>
    <row r="425" spans="1:22" x14ac:dyDescent="0.3">
      <c r="A425" t="s">
        <v>31</v>
      </c>
      <c r="B425" s="8">
        <v>56</v>
      </c>
      <c r="C425" s="8">
        <v>77</v>
      </c>
      <c r="D425" s="5">
        <v>1.61</v>
      </c>
      <c r="E425" s="5">
        <v>29.7</v>
      </c>
      <c r="F425" s="16" t="s">
        <v>1303</v>
      </c>
      <c r="G425" s="11">
        <v>0.61899999999999999</v>
      </c>
      <c r="H425" s="5">
        <v>99.7</v>
      </c>
      <c r="I425" s="8">
        <v>55</v>
      </c>
      <c r="J425" s="8">
        <v>135</v>
      </c>
      <c r="K425" s="8">
        <v>220</v>
      </c>
      <c r="L425" s="8">
        <v>105</v>
      </c>
      <c r="M425" t="s">
        <v>1306</v>
      </c>
      <c r="N425" s="16" t="s">
        <v>23</v>
      </c>
      <c r="O425" s="16" t="s">
        <v>22</v>
      </c>
      <c r="P425" s="16" t="s">
        <v>24</v>
      </c>
      <c r="Q425" s="10" t="s">
        <v>418</v>
      </c>
      <c r="R425" s="3" t="str">
        <f t="shared" si="12"/>
        <v>96</v>
      </c>
      <c r="S425" s="3" t="str">
        <f t="shared" si="13"/>
        <v>85</v>
      </c>
      <c r="T425" s="16" t="s">
        <v>29</v>
      </c>
      <c r="U425" s="3">
        <v>15.14</v>
      </c>
      <c r="V425" s="16" t="str">
        <f>PROPER(Table1[[#This Row],[CVD Risk Level]])</f>
        <v>High</v>
      </c>
    </row>
    <row r="426" spans="1:22" x14ac:dyDescent="0.3">
      <c r="A426" t="s">
        <v>31</v>
      </c>
      <c r="B426" s="8">
        <v>33</v>
      </c>
      <c r="C426" s="8">
        <v>79.8</v>
      </c>
      <c r="D426" s="5">
        <v>1.67</v>
      </c>
      <c r="E426" s="5">
        <v>28.6</v>
      </c>
      <c r="F426" s="16" t="s">
        <v>1303</v>
      </c>
      <c r="G426" s="11">
        <v>0.56000000000000005</v>
      </c>
      <c r="H426" s="5">
        <v>93.5</v>
      </c>
      <c r="I426" s="8">
        <v>56</v>
      </c>
      <c r="J426" s="8">
        <v>88</v>
      </c>
      <c r="K426" s="8">
        <v>174</v>
      </c>
      <c r="L426" s="8">
        <v>119</v>
      </c>
      <c r="M426" t="s">
        <v>1306</v>
      </c>
      <c r="N426" s="16" t="s">
        <v>23</v>
      </c>
      <c r="O426" s="16" t="s">
        <v>23</v>
      </c>
      <c r="P426" s="16" t="s">
        <v>37</v>
      </c>
      <c r="Q426" s="10" t="s">
        <v>419</v>
      </c>
      <c r="R426" s="3" t="str">
        <f t="shared" si="12"/>
        <v>104</v>
      </c>
      <c r="S426" s="3" t="str">
        <f t="shared" si="13"/>
        <v>84</v>
      </c>
      <c r="T426" s="16" t="s">
        <v>29</v>
      </c>
      <c r="U426" s="3">
        <v>16.399999999999999</v>
      </c>
      <c r="V426" s="16" t="str">
        <f>PROPER(Table1[[#This Row],[CVD Risk Level]])</f>
        <v>High</v>
      </c>
    </row>
    <row r="427" spans="1:22" x14ac:dyDescent="0.3">
      <c r="A427" t="s">
        <v>31</v>
      </c>
      <c r="B427" s="8">
        <v>56</v>
      </c>
      <c r="C427" s="8">
        <v>70.400000000000006</v>
      </c>
      <c r="D427" s="5">
        <v>1.69</v>
      </c>
      <c r="E427" s="5">
        <v>24.6</v>
      </c>
      <c r="F427" s="16" t="s">
        <v>33</v>
      </c>
      <c r="G427" s="11">
        <v>0.44900000000000001</v>
      </c>
      <c r="H427" s="5">
        <v>75.900000000000006</v>
      </c>
      <c r="I427" s="8">
        <v>33</v>
      </c>
      <c r="J427" s="8">
        <v>50</v>
      </c>
      <c r="K427" s="8">
        <v>113</v>
      </c>
      <c r="L427" s="8">
        <v>130</v>
      </c>
      <c r="M427" t="s">
        <v>1307</v>
      </c>
      <c r="N427" s="16" t="s">
        <v>22</v>
      </c>
      <c r="O427" s="16" t="s">
        <v>22</v>
      </c>
      <c r="P427" s="16" t="s">
        <v>24</v>
      </c>
      <c r="Q427" s="10" t="s">
        <v>420</v>
      </c>
      <c r="R427" s="3" t="str">
        <f t="shared" si="12"/>
        <v>132</v>
      </c>
      <c r="S427" s="3" t="str">
        <f t="shared" si="13"/>
        <v>87</v>
      </c>
      <c r="T427" s="16" t="s">
        <v>29</v>
      </c>
      <c r="U427" s="3">
        <v>13.78</v>
      </c>
      <c r="V427" s="16" t="str">
        <f>PROPER(Table1[[#This Row],[CVD Risk Level]])</f>
        <v>High</v>
      </c>
    </row>
    <row r="428" spans="1:22" x14ac:dyDescent="0.3">
      <c r="A428" t="s">
        <v>20</v>
      </c>
      <c r="B428" s="8">
        <v>44</v>
      </c>
      <c r="C428" s="8">
        <v>113.6</v>
      </c>
      <c r="D428" s="5">
        <v>1.85</v>
      </c>
      <c r="E428" s="5">
        <v>33.200000000000003</v>
      </c>
      <c r="F428" s="16" t="s">
        <v>1302</v>
      </c>
      <c r="G428" s="11">
        <v>0.58199999999999996</v>
      </c>
      <c r="H428" s="5">
        <v>107.6</v>
      </c>
      <c r="I428" s="8">
        <v>56.197377501725327</v>
      </c>
      <c r="J428" s="8">
        <v>15</v>
      </c>
      <c r="K428" s="8">
        <v>123</v>
      </c>
      <c r="L428" s="8">
        <v>132</v>
      </c>
      <c r="M428" t="s">
        <v>1307</v>
      </c>
      <c r="N428" s="16" t="s">
        <v>22</v>
      </c>
      <c r="O428" s="16" t="s">
        <v>23</v>
      </c>
      <c r="P428" s="16" t="s">
        <v>28</v>
      </c>
      <c r="Q428" s="10" t="s">
        <v>421</v>
      </c>
      <c r="R428" s="3" t="str">
        <f t="shared" si="12"/>
        <v>131</v>
      </c>
      <c r="S428" s="3" t="str">
        <f t="shared" si="13"/>
        <v>88</v>
      </c>
      <c r="T428" s="16" t="s">
        <v>29</v>
      </c>
      <c r="U428" s="3">
        <v>17.649999999999999</v>
      </c>
      <c r="V428" s="16" t="str">
        <f>PROPER(Table1[[#This Row],[CVD Risk Level]])</f>
        <v>Intermediary</v>
      </c>
    </row>
    <row r="429" spans="1:22" x14ac:dyDescent="0.3">
      <c r="A429" t="s">
        <v>31</v>
      </c>
      <c r="B429" s="8">
        <v>32</v>
      </c>
      <c r="C429" s="8">
        <v>108.8</v>
      </c>
      <c r="D429" s="5">
        <v>1.89</v>
      </c>
      <c r="E429" s="5">
        <v>30.5</v>
      </c>
      <c r="F429" s="16" t="s">
        <v>1302</v>
      </c>
      <c r="G429" s="11">
        <v>0.439</v>
      </c>
      <c r="H429" s="5">
        <v>83</v>
      </c>
      <c r="I429" s="8">
        <v>46</v>
      </c>
      <c r="J429" s="8">
        <v>152</v>
      </c>
      <c r="K429" s="8">
        <v>228</v>
      </c>
      <c r="L429" s="8">
        <v>116</v>
      </c>
      <c r="M429" t="s">
        <v>1306</v>
      </c>
      <c r="N429" s="16" t="s">
        <v>23</v>
      </c>
      <c r="O429" s="16" t="s">
        <v>23</v>
      </c>
      <c r="P429" s="16" t="s">
        <v>24</v>
      </c>
      <c r="Q429" s="10" t="s">
        <v>422</v>
      </c>
      <c r="R429" s="3" t="str">
        <f t="shared" si="12"/>
        <v>122</v>
      </c>
      <c r="S429" s="3" t="str">
        <f t="shared" si="13"/>
        <v>75</v>
      </c>
      <c r="T429" s="16" t="s">
        <v>25</v>
      </c>
      <c r="U429" s="3">
        <v>18.760000000000002</v>
      </c>
      <c r="V429" s="16" t="str">
        <f>PROPER(Table1[[#This Row],[CVD Risk Level]])</f>
        <v>High</v>
      </c>
    </row>
    <row r="430" spans="1:22" x14ac:dyDescent="0.3">
      <c r="A430" t="s">
        <v>31</v>
      </c>
      <c r="B430" s="8">
        <v>58</v>
      </c>
      <c r="C430" s="8">
        <v>118.1</v>
      </c>
      <c r="D430" s="5">
        <v>1.66</v>
      </c>
      <c r="E430" s="5">
        <v>42.9</v>
      </c>
      <c r="F430" s="16" t="s">
        <v>1302</v>
      </c>
      <c r="G430" s="11">
        <v>0.60199999999999998</v>
      </c>
      <c r="H430" s="5">
        <v>99.9</v>
      </c>
      <c r="I430" s="8">
        <v>60</v>
      </c>
      <c r="J430" s="8">
        <v>205</v>
      </c>
      <c r="K430" s="8">
        <v>295</v>
      </c>
      <c r="L430" s="8">
        <v>115</v>
      </c>
      <c r="M430" t="s">
        <v>1306</v>
      </c>
      <c r="N430" s="16" t="s">
        <v>22</v>
      </c>
      <c r="O430" s="16" t="s">
        <v>23</v>
      </c>
      <c r="P430" s="16" t="s">
        <v>28</v>
      </c>
      <c r="Q430" s="10" t="s">
        <v>195</v>
      </c>
      <c r="R430" s="3" t="str">
        <f t="shared" si="12"/>
        <v>142</v>
      </c>
      <c r="S430" s="3" t="str">
        <f t="shared" si="13"/>
        <v>79</v>
      </c>
      <c r="T430" s="16" t="s">
        <v>38</v>
      </c>
      <c r="U430" s="3">
        <v>23.58</v>
      </c>
      <c r="V430" s="16" t="str">
        <f>PROPER(Table1[[#This Row],[CVD Risk Level]])</f>
        <v>High</v>
      </c>
    </row>
    <row r="431" spans="1:22" x14ac:dyDescent="0.3">
      <c r="A431" t="s">
        <v>20</v>
      </c>
      <c r="B431" s="8">
        <v>60</v>
      </c>
      <c r="C431" s="8">
        <v>85.7</v>
      </c>
      <c r="D431" s="5">
        <v>1.62</v>
      </c>
      <c r="E431" s="5">
        <v>32.655083066605698</v>
      </c>
      <c r="F431" s="16" t="s">
        <v>1302</v>
      </c>
      <c r="G431" s="11">
        <v>0.53800000000000003</v>
      </c>
      <c r="H431" s="5">
        <v>87.2</v>
      </c>
      <c r="I431" s="8">
        <v>71</v>
      </c>
      <c r="J431" s="8">
        <v>73</v>
      </c>
      <c r="K431" s="8">
        <v>174</v>
      </c>
      <c r="L431" s="8">
        <v>94</v>
      </c>
      <c r="M431" t="s">
        <v>33</v>
      </c>
      <c r="N431" s="16" t="s">
        <v>22</v>
      </c>
      <c r="O431" s="16" t="s">
        <v>23</v>
      </c>
      <c r="P431" s="16" t="s">
        <v>24</v>
      </c>
      <c r="Q431" s="10" t="s">
        <v>423</v>
      </c>
      <c r="R431" s="3" t="str">
        <f t="shared" si="12"/>
        <v>141</v>
      </c>
      <c r="S431" s="3" t="str">
        <f t="shared" si="13"/>
        <v>70</v>
      </c>
      <c r="T431" s="16" t="s">
        <v>38</v>
      </c>
      <c r="U431" s="3">
        <v>17.89</v>
      </c>
      <c r="V431" s="16" t="str">
        <f>PROPER(Table1[[#This Row],[CVD Risk Level]])</f>
        <v>High</v>
      </c>
    </row>
    <row r="432" spans="1:22" x14ac:dyDescent="0.3">
      <c r="A432" t="s">
        <v>31</v>
      </c>
      <c r="B432" s="8">
        <v>35</v>
      </c>
      <c r="C432" s="8">
        <v>105.7</v>
      </c>
      <c r="D432" s="5">
        <v>1.7111334954746167</v>
      </c>
      <c r="E432" s="5">
        <v>36.1</v>
      </c>
      <c r="F432" s="16" t="s">
        <v>1302</v>
      </c>
      <c r="G432" s="11">
        <v>0.46100000000000002</v>
      </c>
      <c r="H432" s="5">
        <v>78.8</v>
      </c>
      <c r="I432" s="8">
        <v>79</v>
      </c>
      <c r="J432" s="8">
        <v>123</v>
      </c>
      <c r="K432" s="8">
        <v>232</v>
      </c>
      <c r="L432" s="8">
        <v>82</v>
      </c>
      <c r="M432" t="s">
        <v>33</v>
      </c>
      <c r="N432" s="16" t="s">
        <v>22</v>
      </c>
      <c r="O432" s="16" t="s">
        <v>22</v>
      </c>
      <c r="P432" s="16" t="s">
        <v>37</v>
      </c>
      <c r="Q432" s="10" t="s">
        <v>105</v>
      </c>
      <c r="R432" s="3" t="str">
        <f t="shared" si="12"/>
        <v>101</v>
      </c>
      <c r="S432" s="3" t="str">
        <f t="shared" si="13"/>
        <v>81</v>
      </c>
      <c r="T432" s="16" t="s">
        <v>29</v>
      </c>
      <c r="U432" s="3">
        <v>16.91</v>
      </c>
      <c r="V432" s="16" t="str">
        <f>PROPER(Table1[[#This Row],[CVD Risk Level]])</f>
        <v>Intermediary</v>
      </c>
    </row>
    <row r="433" spans="1:22" x14ac:dyDescent="0.3">
      <c r="A433" t="s">
        <v>31</v>
      </c>
      <c r="B433" s="8">
        <v>55</v>
      </c>
      <c r="C433" s="8">
        <v>67.400000000000006</v>
      </c>
      <c r="D433" s="5">
        <v>1.75</v>
      </c>
      <c r="E433" s="5">
        <v>22</v>
      </c>
      <c r="F433" s="16" t="s">
        <v>33</v>
      </c>
      <c r="G433" s="11">
        <v>0.40600000000000003</v>
      </c>
      <c r="H433" s="5">
        <v>71.099999999999994</v>
      </c>
      <c r="I433" s="8">
        <v>70</v>
      </c>
      <c r="J433" s="8">
        <v>193</v>
      </c>
      <c r="K433" s="8">
        <v>293</v>
      </c>
      <c r="L433" s="8">
        <v>87</v>
      </c>
      <c r="M433" t="s">
        <v>33</v>
      </c>
      <c r="N433" s="16" t="s">
        <v>23</v>
      </c>
      <c r="O433" s="16" t="s">
        <v>22</v>
      </c>
      <c r="P433" s="16" t="s">
        <v>37</v>
      </c>
      <c r="Q433" s="10" t="s">
        <v>424</v>
      </c>
      <c r="R433" s="3" t="str">
        <f t="shared" si="12"/>
        <v>95</v>
      </c>
      <c r="S433" s="3" t="str">
        <f t="shared" si="13"/>
        <v>97</v>
      </c>
      <c r="T433" s="16" t="s">
        <v>38</v>
      </c>
      <c r="U433" s="3">
        <v>15.01</v>
      </c>
      <c r="V433" s="16" t="str">
        <f>PROPER(Table1[[#This Row],[CVD Risk Level]])</f>
        <v>High</v>
      </c>
    </row>
    <row r="434" spans="1:22" x14ac:dyDescent="0.3">
      <c r="A434" t="s">
        <v>20</v>
      </c>
      <c r="B434" s="8">
        <v>42</v>
      </c>
      <c r="C434" s="8">
        <v>107.6</v>
      </c>
      <c r="D434" s="5">
        <v>1.87</v>
      </c>
      <c r="E434" s="5">
        <v>30.8</v>
      </c>
      <c r="F434" s="16" t="s">
        <v>1302</v>
      </c>
      <c r="G434" s="11">
        <v>0.52300000000000002</v>
      </c>
      <c r="H434" s="5">
        <v>97.8</v>
      </c>
      <c r="I434" s="8">
        <v>73</v>
      </c>
      <c r="J434" s="8">
        <v>73</v>
      </c>
      <c r="K434" s="8">
        <v>176</v>
      </c>
      <c r="L434" s="8">
        <v>98</v>
      </c>
      <c r="M434" t="s">
        <v>33</v>
      </c>
      <c r="N434" s="16" t="s">
        <v>23</v>
      </c>
      <c r="O434" s="16" t="s">
        <v>22</v>
      </c>
      <c r="P434" s="16" t="s">
        <v>24</v>
      </c>
      <c r="Q434" s="10" t="s">
        <v>425</v>
      </c>
      <c r="R434" s="3" t="str">
        <f t="shared" si="12"/>
        <v>108</v>
      </c>
      <c r="S434" s="3" t="str">
        <f t="shared" si="13"/>
        <v>64</v>
      </c>
      <c r="T434" s="16" t="s">
        <v>33</v>
      </c>
      <c r="U434" s="3">
        <v>15.08</v>
      </c>
      <c r="V434" s="16" t="str">
        <f>PROPER(Table1[[#This Row],[CVD Risk Level]])</f>
        <v>Intermediary</v>
      </c>
    </row>
    <row r="435" spans="1:22" x14ac:dyDescent="0.3">
      <c r="A435" t="s">
        <v>20</v>
      </c>
      <c r="B435" s="8">
        <v>39</v>
      </c>
      <c r="C435" s="8">
        <v>89.8</v>
      </c>
      <c r="D435" s="5">
        <v>1.84</v>
      </c>
      <c r="E435" s="5">
        <v>26.5</v>
      </c>
      <c r="F435" s="16" t="s">
        <v>1303</v>
      </c>
      <c r="G435" s="11">
        <v>0.53100000000000003</v>
      </c>
      <c r="H435" s="5">
        <v>97.7</v>
      </c>
      <c r="I435" s="8">
        <v>75</v>
      </c>
      <c r="J435" s="8">
        <v>155</v>
      </c>
      <c r="K435" s="8">
        <v>260</v>
      </c>
      <c r="L435" s="8">
        <v>85</v>
      </c>
      <c r="M435" t="s">
        <v>33</v>
      </c>
      <c r="N435" s="16" t="s">
        <v>23</v>
      </c>
      <c r="O435" s="16" t="s">
        <v>23</v>
      </c>
      <c r="P435" s="16" t="s">
        <v>37</v>
      </c>
      <c r="Q435" s="10" t="s">
        <v>426</v>
      </c>
      <c r="R435" s="3" t="str">
        <f t="shared" si="12"/>
        <v>91</v>
      </c>
      <c r="S435" s="3" t="str">
        <f t="shared" si="13"/>
        <v>65</v>
      </c>
      <c r="T435" s="16" t="s">
        <v>33</v>
      </c>
      <c r="U435" s="3">
        <v>17.05</v>
      </c>
      <c r="V435" s="16" t="str">
        <f>PROPER(Table1[[#This Row],[CVD Risk Level]])</f>
        <v>High</v>
      </c>
    </row>
    <row r="436" spans="1:22" x14ac:dyDescent="0.3">
      <c r="A436" t="s">
        <v>31</v>
      </c>
      <c r="B436" s="8">
        <v>50</v>
      </c>
      <c r="C436" s="8">
        <v>116.2</v>
      </c>
      <c r="D436" s="5">
        <v>1.9</v>
      </c>
      <c r="E436" s="5">
        <v>32.200000000000003</v>
      </c>
      <c r="F436" s="16" t="s">
        <v>1302</v>
      </c>
      <c r="G436" s="11">
        <v>0.50600000000000001</v>
      </c>
      <c r="H436" s="5">
        <v>96.2</v>
      </c>
      <c r="I436" s="8">
        <v>40</v>
      </c>
      <c r="J436" s="8">
        <v>35</v>
      </c>
      <c r="K436" s="8">
        <v>105</v>
      </c>
      <c r="L436" s="8">
        <v>130</v>
      </c>
      <c r="M436" t="s">
        <v>1307</v>
      </c>
      <c r="N436" s="16" t="s">
        <v>23</v>
      </c>
      <c r="O436" s="16" t="s">
        <v>23</v>
      </c>
      <c r="P436" s="16" t="s">
        <v>24</v>
      </c>
      <c r="Q436" s="10" t="s">
        <v>427</v>
      </c>
      <c r="R436" s="3" t="str">
        <f t="shared" si="12"/>
        <v>143</v>
      </c>
      <c r="S436" s="3" t="str">
        <f t="shared" si="13"/>
        <v>70</v>
      </c>
      <c r="T436" s="16" t="s">
        <v>38</v>
      </c>
      <c r="U436" s="3">
        <v>17.690000000000001</v>
      </c>
      <c r="V436" s="16" t="str">
        <f>PROPER(Table1[[#This Row],[CVD Risk Level]])</f>
        <v>High</v>
      </c>
    </row>
    <row r="437" spans="1:22" x14ac:dyDescent="0.3">
      <c r="A437" t="s">
        <v>20</v>
      </c>
      <c r="B437" s="8">
        <v>30</v>
      </c>
      <c r="C437" s="8">
        <v>105</v>
      </c>
      <c r="D437" s="5">
        <v>1.73</v>
      </c>
      <c r="E437" s="5">
        <v>35.1</v>
      </c>
      <c r="F437" s="16" t="s">
        <v>1302</v>
      </c>
      <c r="G437" s="11">
        <v>0.54</v>
      </c>
      <c r="H437" s="5">
        <v>93.4</v>
      </c>
      <c r="I437" s="8">
        <v>34</v>
      </c>
      <c r="J437" s="8">
        <v>66</v>
      </c>
      <c r="K437" s="8">
        <v>200</v>
      </c>
      <c r="L437" s="8">
        <v>94</v>
      </c>
      <c r="M437" t="s">
        <v>33</v>
      </c>
      <c r="N437" s="16" t="s">
        <v>22</v>
      </c>
      <c r="O437" s="16" t="s">
        <v>23</v>
      </c>
      <c r="P437" s="16" t="s">
        <v>24</v>
      </c>
      <c r="Q437" s="10" t="s">
        <v>428</v>
      </c>
      <c r="R437" s="3" t="str">
        <f t="shared" si="12"/>
        <v>126</v>
      </c>
      <c r="S437" s="3" t="str">
        <f t="shared" si="13"/>
        <v>74</v>
      </c>
      <c r="T437" s="16" t="s">
        <v>25</v>
      </c>
      <c r="U437" s="3">
        <v>17.920000000000002</v>
      </c>
      <c r="V437" s="16" t="str">
        <f>PROPER(Table1[[#This Row],[CVD Risk Level]])</f>
        <v>High</v>
      </c>
    </row>
    <row r="438" spans="1:22" x14ac:dyDescent="0.3">
      <c r="A438" t="s">
        <v>31</v>
      </c>
      <c r="B438" s="8">
        <v>37</v>
      </c>
      <c r="C438" s="8">
        <v>74.099999999999994</v>
      </c>
      <c r="D438" s="5">
        <v>1.89</v>
      </c>
      <c r="E438" s="5">
        <v>20.7</v>
      </c>
      <c r="F438" s="16" t="s">
        <v>33</v>
      </c>
      <c r="G438" s="11">
        <v>0.56000000000000005</v>
      </c>
      <c r="H438" s="5">
        <v>105.9</v>
      </c>
      <c r="I438" s="8">
        <v>64</v>
      </c>
      <c r="J438" s="8">
        <v>53</v>
      </c>
      <c r="K438" s="8">
        <v>147</v>
      </c>
      <c r="L438" s="8">
        <v>142</v>
      </c>
      <c r="M438" t="s">
        <v>1307</v>
      </c>
      <c r="N438" s="16" t="s">
        <v>22</v>
      </c>
      <c r="O438" s="16" t="s">
        <v>22</v>
      </c>
      <c r="P438" s="16" t="s">
        <v>24</v>
      </c>
      <c r="Q438" s="10" t="s">
        <v>429</v>
      </c>
      <c r="R438" s="3" t="str">
        <f t="shared" si="12"/>
        <v>135</v>
      </c>
      <c r="S438" s="3" t="str">
        <f t="shared" si="13"/>
        <v>66</v>
      </c>
      <c r="T438" s="16" t="s">
        <v>29</v>
      </c>
      <c r="U438" s="3">
        <v>13.83</v>
      </c>
      <c r="V438" s="16" t="str">
        <f>PROPER(Table1[[#This Row],[CVD Risk Level]])</f>
        <v>Low</v>
      </c>
    </row>
    <row r="439" spans="1:22" x14ac:dyDescent="0.3">
      <c r="A439" t="s">
        <v>31</v>
      </c>
      <c r="B439" s="8">
        <v>44</v>
      </c>
      <c r="C439" s="8">
        <v>112.6</v>
      </c>
      <c r="D439" s="5">
        <v>1.87</v>
      </c>
      <c r="E439" s="5">
        <v>32.200000000000003</v>
      </c>
      <c r="F439" s="16" t="s">
        <v>1302</v>
      </c>
      <c r="G439" s="11">
        <v>0.443</v>
      </c>
      <c r="H439" s="5">
        <v>82.8</v>
      </c>
      <c r="I439" s="8">
        <v>33</v>
      </c>
      <c r="J439" s="8">
        <v>163</v>
      </c>
      <c r="K439" s="8">
        <v>226</v>
      </c>
      <c r="L439" s="8">
        <v>112</v>
      </c>
      <c r="M439" t="s">
        <v>1306</v>
      </c>
      <c r="N439" s="16" t="s">
        <v>22</v>
      </c>
      <c r="O439" s="16" t="s">
        <v>23</v>
      </c>
      <c r="P439" s="16" t="s">
        <v>37</v>
      </c>
      <c r="Q439" s="10" t="s">
        <v>430</v>
      </c>
      <c r="R439" s="3" t="str">
        <f t="shared" si="12"/>
        <v>115</v>
      </c>
      <c r="S439" s="3" t="str">
        <f t="shared" si="13"/>
        <v>64</v>
      </c>
      <c r="T439" s="16" t="s">
        <v>33</v>
      </c>
      <c r="U439" s="3">
        <v>18.71</v>
      </c>
      <c r="V439" s="16" t="str">
        <f>PROPER(Table1[[#This Row],[CVD Risk Level]])</f>
        <v>High</v>
      </c>
    </row>
    <row r="440" spans="1:22" x14ac:dyDescent="0.3">
      <c r="A440" t="s">
        <v>31</v>
      </c>
      <c r="B440" s="8">
        <v>47</v>
      </c>
      <c r="C440" s="8">
        <v>71.900000000000006</v>
      </c>
      <c r="D440" s="5">
        <v>1.86</v>
      </c>
      <c r="E440" s="5">
        <v>20.8</v>
      </c>
      <c r="F440" s="16" t="s">
        <v>33</v>
      </c>
      <c r="G440" s="11">
        <v>0.47599999999999998</v>
      </c>
      <c r="H440" s="5">
        <v>88.6</v>
      </c>
      <c r="I440" s="8">
        <v>45</v>
      </c>
      <c r="J440" s="8">
        <v>136</v>
      </c>
      <c r="K440" s="8">
        <v>211</v>
      </c>
      <c r="L440" s="8">
        <v>106</v>
      </c>
      <c r="M440" t="s">
        <v>1306</v>
      </c>
      <c r="N440" s="16" t="s">
        <v>23</v>
      </c>
      <c r="O440" s="16" t="s">
        <v>23</v>
      </c>
      <c r="P440" s="16" t="s">
        <v>37</v>
      </c>
      <c r="Q440" s="10" t="s">
        <v>431</v>
      </c>
      <c r="R440" s="3" t="str">
        <f t="shared" si="12"/>
        <v>121</v>
      </c>
      <c r="S440" s="3" t="str">
        <f t="shared" si="13"/>
        <v>92</v>
      </c>
      <c r="T440" s="16" t="s">
        <v>38</v>
      </c>
      <c r="U440" s="3">
        <v>16.43</v>
      </c>
      <c r="V440" s="16" t="str">
        <f>PROPER(Table1[[#This Row],[CVD Risk Level]])</f>
        <v>High</v>
      </c>
    </row>
    <row r="441" spans="1:22" x14ac:dyDescent="0.3">
      <c r="A441" t="s">
        <v>31</v>
      </c>
      <c r="B441" s="8">
        <v>47</v>
      </c>
      <c r="C441" s="8">
        <v>102.85104</v>
      </c>
      <c r="D441" s="5">
        <v>1.88</v>
      </c>
      <c r="E441" s="5">
        <v>29.1</v>
      </c>
      <c r="F441" s="16" t="s">
        <v>1303</v>
      </c>
      <c r="G441" s="11">
        <v>0.41699999999999998</v>
      </c>
      <c r="H441" s="5">
        <v>78.400000000000006</v>
      </c>
      <c r="I441" s="8">
        <v>54</v>
      </c>
      <c r="J441" s="8">
        <v>129</v>
      </c>
      <c r="K441" s="8">
        <v>213</v>
      </c>
      <c r="L441" s="8">
        <v>117.48563611491107</v>
      </c>
      <c r="M441" t="s">
        <v>1306</v>
      </c>
      <c r="N441" s="16" t="s">
        <v>22</v>
      </c>
      <c r="O441" s="16" t="s">
        <v>23</v>
      </c>
      <c r="P441" s="16" t="s">
        <v>37</v>
      </c>
      <c r="Q441" s="10" t="s">
        <v>432</v>
      </c>
      <c r="R441" s="3" t="str">
        <f t="shared" si="12"/>
        <v>119</v>
      </c>
      <c r="S441" s="3" t="str">
        <f t="shared" si="13"/>
        <v>99</v>
      </c>
      <c r="T441" s="16" t="s">
        <v>38</v>
      </c>
      <c r="U441" s="3">
        <v>18.03</v>
      </c>
      <c r="V441" s="16" t="str">
        <f>PROPER(Table1[[#This Row],[CVD Risk Level]])</f>
        <v>High</v>
      </c>
    </row>
    <row r="442" spans="1:22" x14ac:dyDescent="0.3">
      <c r="A442" t="s">
        <v>31</v>
      </c>
      <c r="B442" s="8">
        <v>39</v>
      </c>
      <c r="C442" s="8">
        <v>112.8</v>
      </c>
      <c r="D442" s="5">
        <v>1.88</v>
      </c>
      <c r="E442" s="5">
        <v>31.9</v>
      </c>
      <c r="F442" s="16" t="s">
        <v>1302</v>
      </c>
      <c r="G442" s="11">
        <v>0.48199999999999998</v>
      </c>
      <c r="H442" s="5">
        <v>90.6</v>
      </c>
      <c r="I442" s="8">
        <v>30</v>
      </c>
      <c r="J442" s="8">
        <v>63</v>
      </c>
      <c r="K442" s="8">
        <v>123</v>
      </c>
      <c r="L442" s="8">
        <v>131</v>
      </c>
      <c r="M442" t="s">
        <v>1307</v>
      </c>
      <c r="N442" s="16" t="s">
        <v>23</v>
      </c>
      <c r="O442" s="16" t="s">
        <v>22</v>
      </c>
      <c r="P442" s="16" t="s">
        <v>28</v>
      </c>
      <c r="Q442" s="10" t="s">
        <v>433</v>
      </c>
      <c r="R442" s="3" t="str">
        <f t="shared" si="12"/>
        <v>134</v>
      </c>
      <c r="S442" s="3" t="str">
        <f t="shared" si="13"/>
        <v>89</v>
      </c>
      <c r="T442" s="16" t="s">
        <v>29</v>
      </c>
      <c r="U442" s="3">
        <v>15.54</v>
      </c>
      <c r="V442" s="16" t="str">
        <f>PROPER(Table1[[#This Row],[CVD Risk Level]])</f>
        <v>High</v>
      </c>
    </row>
    <row r="443" spans="1:22" x14ac:dyDescent="0.3">
      <c r="A443" t="s">
        <v>20</v>
      </c>
      <c r="B443" s="8">
        <v>36</v>
      </c>
      <c r="C443" s="8">
        <v>81.2</v>
      </c>
      <c r="D443" s="5">
        <v>1.75</v>
      </c>
      <c r="E443" s="5">
        <v>26.5</v>
      </c>
      <c r="F443" s="16" t="s">
        <v>1303</v>
      </c>
      <c r="G443" s="11">
        <v>0.42299999999999999</v>
      </c>
      <c r="H443" s="5">
        <v>74</v>
      </c>
      <c r="I443" s="8">
        <v>31</v>
      </c>
      <c r="J443" s="8">
        <v>164</v>
      </c>
      <c r="K443" s="8">
        <v>225</v>
      </c>
      <c r="L443" s="8">
        <v>124</v>
      </c>
      <c r="M443" t="s">
        <v>1306</v>
      </c>
      <c r="N443" s="16" t="s">
        <v>23</v>
      </c>
      <c r="O443" s="16" t="s">
        <v>22</v>
      </c>
      <c r="P443" s="16" t="s">
        <v>37</v>
      </c>
      <c r="Q443" s="10" t="s">
        <v>434</v>
      </c>
      <c r="R443" s="3" t="str">
        <f t="shared" si="12"/>
        <v>141</v>
      </c>
      <c r="S443" s="3" t="str">
        <f t="shared" si="13"/>
        <v>76</v>
      </c>
      <c r="T443" s="16" t="s">
        <v>38</v>
      </c>
      <c r="U443" s="3">
        <v>16.850000000000001</v>
      </c>
      <c r="V443" s="16" t="str">
        <f>PROPER(Table1[[#This Row],[CVD Risk Level]])</f>
        <v>High</v>
      </c>
    </row>
    <row r="444" spans="1:22" x14ac:dyDescent="0.3">
      <c r="A444" t="s">
        <v>20</v>
      </c>
      <c r="B444" s="8">
        <v>50</v>
      </c>
      <c r="C444" s="8">
        <v>73.900000000000006</v>
      </c>
      <c r="D444" s="5">
        <v>1.75</v>
      </c>
      <c r="E444" s="5">
        <v>24.1</v>
      </c>
      <c r="F444" s="16" t="s">
        <v>33</v>
      </c>
      <c r="G444" s="11">
        <v>0.54700000000000004</v>
      </c>
      <c r="H444" s="5">
        <v>95.8</v>
      </c>
      <c r="I444" s="8">
        <v>56.197377501725327</v>
      </c>
      <c r="J444" s="8">
        <v>31</v>
      </c>
      <c r="K444" s="8">
        <v>174.39475500345065</v>
      </c>
      <c r="L444" s="8">
        <v>144</v>
      </c>
      <c r="M444" t="s">
        <v>1307</v>
      </c>
      <c r="N444" s="16" t="s">
        <v>23</v>
      </c>
      <c r="O444" s="16" t="s">
        <v>22</v>
      </c>
      <c r="P444" s="16" t="s">
        <v>28</v>
      </c>
      <c r="Q444" s="10" t="s">
        <v>435</v>
      </c>
      <c r="R444" s="3" t="str">
        <f t="shared" si="12"/>
        <v>145</v>
      </c>
      <c r="S444" s="3" t="str">
        <f t="shared" si="13"/>
        <v>71</v>
      </c>
      <c r="T444" s="16" t="s">
        <v>38</v>
      </c>
      <c r="U444" s="3">
        <v>14.67</v>
      </c>
      <c r="V444" s="16" t="str">
        <f>PROPER(Table1[[#This Row],[CVD Risk Level]])</f>
        <v>Intermediary</v>
      </c>
    </row>
    <row r="445" spans="1:22" x14ac:dyDescent="0.3">
      <c r="A445" t="s">
        <v>31</v>
      </c>
      <c r="B445" s="8">
        <v>40</v>
      </c>
      <c r="C445" s="8">
        <v>110.6</v>
      </c>
      <c r="D445" s="5">
        <v>1.7</v>
      </c>
      <c r="E445" s="5">
        <v>38.299999999999997</v>
      </c>
      <c r="F445" s="16" t="s">
        <v>1302</v>
      </c>
      <c r="G445" s="11">
        <v>0.47199999999999998</v>
      </c>
      <c r="H445" s="5">
        <v>80.3</v>
      </c>
      <c r="I445" s="8">
        <v>65</v>
      </c>
      <c r="J445" s="8">
        <v>82</v>
      </c>
      <c r="K445" s="8">
        <v>177</v>
      </c>
      <c r="L445" s="8">
        <v>121</v>
      </c>
      <c r="M445" t="s">
        <v>1306</v>
      </c>
      <c r="N445" s="16" t="s">
        <v>23</v>
      </c>
      <c r="O445" s="16" t="s">
        <v>23</v>
      </c>
      <c r="P445" s="16" t="s">
        <v>24</v>
      </c>
      <c r="Q445" s="10" t="s">
        <v>436</v>
      </c>
      <c r="R445" s="3" t="str">
        <f t="shared" si="12"/>
        <v>148</v>
      </c>
      <c r="S445" s="3" t="str">
        <f t="shared" si="13"/>
        <v>95</v>
      </c>
      <c r="T445" s="16" t="s">
        <v>38</v>
      </c>
      <c r="U445" s="3">
        <v>20.6</v>
      </c>
      <c r="V445" s="16" t="str">
        <f>PROPER(Table1[[#This Row],[CVD Risk Level]])</f>
        <v>High</v>
      </c>
    </row>
    <row r="446" spans="1:22" x14ac:dyDescent="0.3">
      <c r="A446" t="s">
        <v>20</v>
      </c>
      <c r="B446" s="8">
        <v>52</v>
      </c>
      <c r="C446" s="8">
        <v>107.8</v>
      </c>
      <c r="D446" s="5">
        <v>1.78</v>
      </c>
      <c r="E446" s="5">
        <v>34</v>
      </c>
      <c r="F446" s="16" t="s">
        <v>1302</v>
      </c>
      <c r="G446" s="11">
        <v>0.58099999999999996</v>
      </c>
      <c r="H446" s="5">
        <v>103.5</v>
      </c>
      <c r="I446" s="8">
        <v>73</v>
      </c>
      <c r="J446" s="8">
        <v>76</v>
      </c>
      <c r="K446" s="8">
        <v>179</v>
      </c>
      <c r="L446" s="8">
        <v>132</v>
      </c>
      <c r="M446" t="s">
        <v>1307</v>
      </c>
      <c r="N446" s="16" t="s">
        <v>22</v>
      </c>
      <c r="O446" s="16" t="s">
        <v>22</v>
      </c>
      <c r="P446" s="16" t="s">
        <v>24</v>
      </c>
      <c r="Q446" s="10" t="s">
        <v>437</v>
      </c>
      <c r="R446" s="3" t="str">
        <f t="shared" si="12"/>
        <v>111</v>
      </c>
      <c r="S446" s="3" t="str">
        <f t="shared" si="13"/>
        <v>69</v>
      </c>
      <c r="T446" s="16" t="s">
        <v>33</v>
      </c>
      <c r="U446" s="3">
        <v>15.93</v>
      </c>
      <c r="V446" s="16" t="str">
        <f>PROPER(Table1[[#This Row],[CVD Risk Level]])</f>
        <v>High</v>
      </c>
    </row>
    <row r="447" spans="1:22" x14ac:dyDescent="0.3">
      <c r="A447" t="s">
        <v>20</v>
      </c>
      <c r="B447" s="8">
        <v>39</v>
      </c>
      <c r="C447" s="8">
        <v>61.4</v>
      </c>
      <c r="D447" s="5">
        <v>1.71</v>
      </c>
      <c r="E447" s="5">
        <v>21</v>
      </c>
      <c r="F447" s="16" t="s">
        <v>33</v>
      </c>
      <c r="G447" s="11">
        <v>0.48899999999999999</v>
      </c>
      <c r="H447" s="5">
        <v>83.6</v>
      </c>
      <c r="I447" s="8">
        <v>72</v>
      </c>
      <c r="J447" s="8">
        <v>144</v>
      </c>
      <c r="K447" s="8">
        <v>246</v>
      </c>
      <c r="L447" s="8">
        <v>136</v>
      </c>
      <c r="M447" t="s">
        <v>1307</v>
      </c>
      <c r="N447" s="16" t="s">
        <v>22</v>
      </c>
      <c r="O447" s="16" t="s">
        <v>23</v>
      </c>
      <c r="P447" s="16" t="s">
        <v>28</v>
      </c>
      <c r="Q447" s="10" t="s">
        <v>438</v>
      </c>
      <c r="R447" s="3" t="str">
        <f t="shared" si="12"/>
        <v>134</v>
      </c>
      <c r="S447" s="3" t="str">
        <f t="shared" si="13"/>
        <v>69</v>
      </c>
      <c r="T447" s="16" t="s">
        <v>29</v>
      </c>
      <c r="U447" s="3">
        <v>17.82</v>
      </c>
      <c r="V447" s="16" t="str">
        <f>PROPER(Table1[[#This Row],[CVD Risk Level]])</f>
        <v>Intermediary</v>
      </c>
    </row>
    <row r="448" spans="1:22" x14ac:dyDescent="0.3">
      <c r="A448" t="s">
        <v>20</v>
      </c>
      <c r="B448" s="8">
        <v>46</v>
      </c>
      <c r="C448" s="8">
        <v>118.58391999999999</v>
      </c>
      <c r="D448" s="5">
        <v>1.82</v>
      </c>
      <c r="E448" s="5">
        <v>35.799999999999997</v>
      </c>
      <c r="F448" s="16" t="s">
        <v>1302</v>
      </c>
      <c r="G448" s="11">
        <v>0.51400000000000001</v>
      </c>
      <c r="H448" s="5">
        <v>93.5</v>
      </c>
      <c r="I448" s="8">
        <v>37</v>
      </c>
      <c r="J448" s="8">
        <v>193</v>
      </c>
      <c r="K448" s="8">
        <v>260</v>
      </c>
      <c r="L448" s="8">
        <v>125</v>
      </c>
      <c r="M448" t="s">
        <v>1306</v>
      </c>
      <c r="N448" s="16" t="s">
        <v>23</v>
      </c>
      <c r="O448" s="16" t="s">
        <v>22</v>
      </c>
      <c r="P448" s="16" t="s">
        <v>28</v>
      </c>
      <c r="Q448" s="10" t="s">
        <v>439</v>
      </c>
      <c r="R448" s="3" t="str">
        <f t="shared" si="12"/>
        <v>120</v>
      </c>
      <c r="S448" s="3" t="str">
        <f t="shared" si="13"/>
        <v>70</v>
      </c>
      <c r="T448" s="16" t="s">
        <v>25</v>
      </c>
      <c r="U448" s="3">
        <v>18.36</v>
      </c>
      <c r="V448" s="16" t="str">
        <f>PROPER(Table1[[#This Row],[CVD Risk Level]])</f>
        <v>High</v>
      </c>
    </row>
    <row r="449" spans="1:22" x14ac:dyDescent="0.3">
      <c r="A449" t="s">
        <v>31</v>
      </c>
      <c r="B449" s="8">
        <v>39</v>
      </c>
      <c r="C449" s="8">
        <v>80</v>
      </c>
      <c r="D449" s="5">
        <v>1.64</v>
      </c>
      <c r="E449" s="5">
        <v>29.7</v>
      </c>
      <c r="F449" s="16" t="s">
        <v>1303</v>
      </c>
      <c r="G449" s="11">
        <v>0.63200000000000001</v>
      </c>
      <c r="H449" s="5">
        <v>103.6</v>
      </c>
      <c r="I449" s="8">
        <v>46</v>
      </c>
      <c r="J449" s="8">
        <v>223</v>
      </c>
      <c r="K449" s="8">
        <v>299</v>
      </c>
      <c r="L449" s="8">
        <v>148</v>
      </c>
      <c r="M449" t="s">
        <v>1307</v>
      </c>
      <c r="N449" s="16" t="s">
        <v>22</v>
      </c>
      <c r="O449" s="16" t="s">
        <v>22</v>
      </c>
      <c r="P449" s="16" t="s">
        <v>24</v>
      </c>
      <c r="Q449" s="10" t="s">
        <v>440</v>
      </c>
      <c r="R449" s="3" t="str">
        <f t="shared" si="12"/>
        <v>114</v>
      </c>
      <c r="S449" s="3" t="str">
        <f t="shared" si="13"/>
        <v>70</v>
      </c>
      <c r="T449" s="16" t="s">
        <v>33</v>
      </c>
      <c r="U449" s="3">
        <v>17.62</v>
      </c>
      <c r="V449" s="16" t="str">
        <f>PROPER(Table1[[#This Row],[CVD Risk Level]])</f>
        <v>High</v>
      </c>
    </row>
    <row r="450" spans="1:22" x14ac:dyDescent="0.3">
      <c r="A450" t="s">
        <v>20</v>
      </c>
      <c r="B450" s="8">
        <v>35</v>
      </c>
      <c r="C450" s="8">
        <v>64.2</v>
      </c>
      <c r="D450" s="5">
        <v>1.87</v>
      </c>
      <c r="E450" s="5">
        <v>18.399999999999999</v>
      </c>
      <c r="F450" s="16" t="s">
        <v>1304</v>
      </c>
      <c r="G450" s="11">
        <v>0.53900000000000003</v>
      </c>
      <c r="H450" s="5">
        <v>100.8</v>
      </c>
      <c r="I450" s="8">
        <v>49</v>
      </c>
      <c r="J450" s="8">
        <v>114</v>
      </c>
      <c r="K450" s="8">
        <v>193</v>
      </c>
      <c r="L450" s="8">
        <v>134</v>
      </c>
      <c r="M450" t="s">
        <v>1307</v>
      </c>
      <c r="N450" s="16" t="s">
        <v>23</v>
      </c>
      <c r="O450" s="16" t="s">
        <v>23</v>
      </c>
      <c r="P450" s="16" t="s">
        <v>37</v>
      </c>
      <c r="Q450" s="10" t="s">
        <v>441</v>
      </c>
      <c r="R450" s="3" t="str">
        <f t="shared" si="12"/>
        <v>134</v>
      </c>
      <c r="S450" s="3" t="str">
        <f t="shared" si="13"/>
        <v>67</v>
      </c>
      <c r="T450" s="16" t="s">
        <v>29</v>
      </c>
      <c r="U450" s="3">
        <v>16.239999999999998</v>
      </c>
      <c r="V450" s="16" t="str">
        <f>PROPER(Table1[[#This Row],[CVD Risk Level]])</f>
        <v>Intermediary</v>
      </c>
    </row>
    <row r="451" spans="1:22" x14ac:dyDescent="0.3">
      <c r="A451" t="s">
        <v>31</v>
      </c>
      <c r="B451" s="8">
        <v>53</v>
      </c>
      <c r="C451" s="8">
        <v>62.3</v>
      </c>
      <c r="D451" s="5">
        <v>1.84</v>
      </c>
      <c r="E451" s="5">
        <v>18.399999999999999</v>
      </c>
      <c r="F451" s="16" t="s">
        <v>1304</v>
      </c>
      <c r="G451" s="11">
        <v>0.49399999999999999</v>
      </c>
      <c r="H451" s="5">
        <v>90.9</v>
      </c>
      <c r="I451" s="8">
        <v>30</v>
      </c>
      <c r="J451" s="8">
        <v>148</v>
      </c>
      <c r="K451" s="8">
        <v>208</v>
      </c>
      <c r="L451" s="8">
        <v>101</v>
      </c>
      <c r="M451" t="s">
        <v>1306</v>
      </c>
      <c r="N451" s="16" t="s">
        <v>23</v>
      </c>
      <c r="O451" s="16" t="s">
        <v>22</v>
      </c>
      <c r="P451" s="16" t="s">
        <v>24</v>
      </c>
      <c r="Q451" s="10" t="s">
        <v>442</v>
      </c>
      <c r="R451" s="3" t="str">
        <f t="shared" ref="R451:R514" si="14">LEFT(Q451,FIND("/",Q451)-1)</f>
        <v>95</v>
      </c>
      <c r="S451" s="3" t="str">
        <f t="shared" ref="S451:S514" si="15">RIGHT(Q451,LEN(Q451)-FIND("/",Q451))</f>
        <v>94</v>
      </c>
      <c r="T451" s="16" t="s">
        <v>38</v>
      </c>
      <c r="U451" s="3">
        <v>12.59</v>
      </c>
      <c r="V451" s="16" t="str">
        <f>PROPER(Table1[[#This Row],[CVD Risk Level]])</f>
        <v>High</v>
      </c>
    </row>
    <row r="452" spans="1:22" x14ac:dyDescent="0.3">
      <c r="A452" t="s">
        <v>20</v>
      </c>
      <c r="B452" s="8">
        <v>54</v>
      </c>
      <c r="C452" s="8">
        <v>78.2</v>
      </c>
      <c r="D452" s="5">
        <v>1.83</v>
      </c>
      <c r="E452" s="5">
        <v>23.4</v>
      </c>
      <c r="F452" s="16" t="s">
        <v>33</v>
      </c>
      <c r="G452" s="11">
        <v>0.45200000000000001</v>
      </c>
      <c r="H452" s="5">
        <v>82.8</v>
      </c>
      <c r="I452" s="8">
        <v>33</v>
      </c>
      <c r="J452" s="8">
        <v>117</v>
      </c>
      <c r="K452" s="8">
        <v>180</v>
      </c>
      <c r="L452" s="8">
        <v>89</v>
      </c>
      <c r="M452" t="s">
        <v>33</v>
      </c>
      <c r="N452" s="16" t="s">
        <v>23</v>
      </c>
      <c r="O452" s="16" t="s">
        <v>22</v>
      </c>
      <c r="P452" s="16" t="s">
        <v>37</v>
      </c>
      <c r="Q452" s="10" t="s">
        <v>443</v>
      </c>
      <c r="R452" s="3" t="str">
        <f t="shared" si="14"/>
        <v>116</v>
      </c>
      <c r="S452" s="3" t="str">
        <f t="shared" si="15"/>
        <v>86</v>
      </c>
      <c r="T452" s="16" t="s">
        <v>29</v>
      </c>
      <c r="U452" s="3">
        <v>14.08</v>
      </c>
      <c r="V452" s="16" t="str">
        <f>PROPER(Table1[[#This Row],[CVD Risk Level]])</f>
        <v>High</v>
      </c>
    </row>
    <row r="453" spans="1:22" x14ac:dyDescent="0.3">
      <c r="A453" t="s">
        <v>31</v>
      </c>
      <c r="B453" s="8">
        <v>48</v>
      </c>
      <c r="C453" s="8">
        <v>50.1</v>
      </c>
      <c r="D453" s="5">
        <v>1.77</v>
      </c>
      <c r="E453" s="5">
        <v>16</v>
      </c>
      <c r="F453" s="16" t="s">
        <v>1304</v>
      </c>
      <c r="G453" s="11">
        <v>0.58799999999999997</v>
      </c>
      <c r="H453" s="5">
        <v>104.1</v>
      </c>
      <c r="I453" s="8">
        <v>70</v>
      </c>
      <c r="J453" s="8">
        <v>110</v>
      </c>
      <c r="K453" s="8">
        <v>210</v>
      </c>
      <c r="L453" s="8">
        <v>108</v>
      </c>
      <c r="M453" t="s">
        <v>1306</v>
      </c>
      <c r="N453" s="16" t="s">
        <v>22</v>
      </c>
      <c r="O453" s="16" t="s">
        <v>22</v>
      </c>
      <c r="P453" s="16" t="s">
        <v>24</v>
      </c>
      <c r="Q453" s="10" t="s">
        <v>444</v>
      </c>
      <c r="R453" s="3" t="str">
        <f t="shared" si="14"/>
        <v>146</v>
      </c>
      <c r="S453" s="3" t="str">
        <f t="shared" si="15"/>
        <v>95</v>
      </c>
      <c r="T453" s="16" t="s">
        <v>38</v>
      </c>
      <c r="U453" s="3">
        <v>16.960925291295425</v>
      </c>
      <c r="V453" s="16" t="str">
        <f>PROPER(Table1[[#This Row],[CVD Risk Level]])</f>
        <v>High</v>
      </c>
    </row>
    <row r="454" spans="1:22" x14ac:dyDescent="0.3">
      <c r="A454" t="s">
        <v>31</v>
      </c>
      <c r="B454" s="8">
        <v>36</v>
      </c>
      <c r="C454" s="8">
        <v>53.9</v>
      </c>
      <c r="D454" s="5">
        <v>1.67</v>
      </c>
      <c r="E454" s="5">
        <v>19.3</v>
      </c>
      <c r="F454" s="16" t="s">
        <v>33</v>
      </c>
      <c r="G454" s="11">
        <v>0.47499999999999998</v>
      </c>
      <c r="H454" s="5">
        <v>79.3</v>
      </c>
      <c r="I454" s="8">
        <v>69</v>
      </c>
      <c r="J454" s="8">
        <v>94</v>
      </c>
      <c r="K454" s="8">
        <v>193</v>
      </c>
      <c r="L454" s="8">
        <v>131</v>
      </c>
      <c r="M454" t="s">
        <v>1307</v>
      </c>
      <c r="N454" s="16" t="s">
        <v>23</v>
      </c>
      <c r="O454" s="16" t="s">
        <v>23</v>
      </c>
      <c r="P454" s="16" t="s">
        <v>24</v>
      </c>
      <c r="Q454" s="10" t="s">
        <v>32</v>
      </c>
      <c r="R454" s="3" t="str">
        <f t="shared" si="14"/>
        <v>104</v>
      </c>
      <c r="S454" s="3" t="str">
        <f t="shared" si="15"/>
        <v>77</v>
      </c>
      <c r="T454" s="16" t="s">
        <v>33</v>
      </c>
      <c r="U454" s="3">
        <v>14.92</v>
      </c>
      <c r="V454" s="16" t="str">
        <f>PROPER(Table1[[#This Row],[CVD Risk Level]])</f>
        <v>High</v>
      </c>
    </row>
    <row r="455" spans="1:22" x14ac:dyDescent="0.3">
      <c r="A455" t="s">
        <v>31</v>
      </c>
      <c r="B455" s="8">
        <v>52</v>
      </c>
      <c r="C455" s="8">
        <v>59</v>
      </c>
      <c r="D455" s="5">
        <v>1.86</v>
      </c>
      <c r="E455" s="5">
        <v>17.100000000000001</v>
      </c>
      <c r="F455" s="16" t="s">
        <v>1304</v>
      </c>
      <c r="G455" s="11">
        <v>0.495</v>
      </c>
      <c r="H455" s="5">
        <v>92</v>
      </c>
      <c r="I455" s="8">
        <v>56.197377501725327</v>
      </c>
      <c r="J455" s="8">
        <v>81</v>
      </c>
      <c r="K455" s="8">
        <v>156</v>
      </c>
      <c r="L455" s="8">
        <v>134</v>
      </c>
      <c r="M455" t="s">
        <v>1307</v>
      </c>
      <c r="N455" s="16" t="s">
        <v>22</v>
      </c>
      <c r="O455" s="16" t="s">
        <v>23</v>
      </c>
      <c r="P455" s="16" t="s">
        <v>24</v>
      </c>
      <c r="Q455" s="10" t="s">
        <v>92</v>
      </c>
      <c r="R455" s="3" t="str">
        <f t="shared" si="14"/>
        <v>98</v>
      </c>
      <c r="S455" s="3" t="str">
        <f t="shared" si="15"/>
        <v>73</v>
      </c>
      <c r="T455" s="16" t="s">
        <v>33</v>
      </c>
      <c r="U455" s="3">
        <v>13.44</v>
      </c>
      <c r="V455" s="16" t="str">
        <f>PROPER(Table1[[#This Row],[CVD Risk Level]])</f>
        <v>Intermediary</v>
      </c>
    </row>
    <row r="456" spans="1:22" x14ac:dyDescent="0.3">
      <c r="A456" t="s">
        <v>31</v>
      </c>
      <c r="B456" s="8">
        <v>39</v>
      </c>
      <c r="C456" s="8">
        <v>109.9</v>
      </c>
      <c r="D456" s="5">
        <v>1.8</v>
      </c>
      <c r="E456" s="5">
        <v>33.9</v>
      </c>
      <c r="F456" s="16" t="s">
        <v>1302</v>
      </c>
      <c r="G456" s="11">
        <v>0.497</v>
      </c>
      <c r="H456" s="5">
        <v>89.4</v>
      </c>
      <c r="I456" s="8">
        <v>35</v>
      </c>
      <c r="J456" s="8">
        <v>202</v>
      </c>
      <c r="K456" s="8">
        <v>267</v>
      </c>
      <c r="L456" s="8">
        <v>116</v>
      </c>
      <c r="M456" t="s">
        <v>1306</v>
      </c>
      <c r="N456" s="16" t="s">
        <v>23</v>
      </c>
      <c r="O456" s="16" t="s">
        <v>22</v>
      </c>
      <c r="P456" s="16" t="s">
        <v>24</v>
      </c>
      <c r="Q456" s="10" t="s">
        <v>445</v>
      </c>
      <c r="R456" s="3" t="str">
        <f t="shared" si="14"/>
        <v>130</v>
      </c>
      <c r="S456" s="3" t="str">
        <f t="shared" si="15"/>
        <v>94</v>
      </c>
      <c r="T456" s="16" t="s">
        <v>29</v>
      </c>
      <c r="U456" s="3">
        <v>18.62</v>
      </c>
      <c r="V456" s="16" t="str">
        <f>PROPER(Table1[[#This Row],[CVD Risk Level]])</f>
        <v>High</v>
      </c>
    </row>
    <row r="457" spans="1:22" x14ac:dyDescent="0.3">
      <c r="A457" t="s">
        <v>31</v>
      </c>
      <c r="B457" s="8">
        <v>38</v>
      </c>
      <c r="C457" s="8">
        <v>109.2</v>
      </c>
      <c r="D457" s="5">
        <v>1.87</v>
      </c>
      <c r="E457" s="5">
        <v>31.2</v>
      </c>
      <c r="F457" s="16" t="s">
        <v>1302</v>
      </c>
      <c r="G457" s="11">
        <v>0.433</v>
      </c>
      <c r="H457" s="5">
        <v>81</v>
      </c>
      <c r="I457" s="8">
        <v>51</v>
      </c>
      <c r="J457" s="8">
        <v>78</v>
      </c>
      <c r="K457" s="8">
        <v>159</v>
      </c>
      <c r="L457" s="8">
        <v>123</v>
      </c>
      <c r="M457" t="s">
        <v>1306</v>
      </c>
      <c r="N457" s="16" t="s">
        <v>22</v>
      </c>
      <c r="O457" s="16" t="s">
        <v>22</v>
      </c>
      <c r="P457" s="16" t="s">
        <v>28</v>
      </c>
      <c r="Q457" s="10" t="s">
        <v>446</v>
      </c>
      <c r="R457" s="3" t="str">
        <f t="shared" si="14"/>
        <v>129</v>
      </c>
      <c r="S457" s="3" t="str">
        <f t="shared" si="15"/>
        <v>61</v>
      </c>
      <c r="T457" s="16" t="s">
        <v>25</v>
      </c>
      <c r="U457" s="3">
        <v>15.87</v>
      </c>
      <c r="V457" s="16" t="str">
        <f>PROPER(Table1[[#This Row],[CVD Risk Level]])</f>
        <v>Intermediary</v>
      </c>
    </row>
    <row r="458" spans="1:22" x14ac:dyDescent="0.3">
      <c r="A458" t="s">
        <v>31</v>
      </c>
      <c r="B458" s="8">
        <v>38</v>
      </c>
      <c r="C458" s="8">
        <v>58.8</v>
      </c>
      <c r="D458" s="5">
        <v>1.79</v>
      </c>
      <c r="E458" s="5">
        <v>18.399999999999999</v>
      </c>
      <c r="F458" s="16" t="s">
        <v>1304</v>
      </c>
      <c r="G458" s="11">
        <v>0.52300000000000002</v>
      </c>
      <c r="H458" s="5">
        <v>93.6</v>
      </c>
      <c r="I458" s="8">
        <v>57</v>
      </c>
      <c r="J458" s="8">
        <v>114</v>
      </c>
      <c r="K458" s="8">
        <v>201</v>
      </c>
      <c r="L458" s="8">
        <v>103</v>
      </c>
      <c r="M458" t="s">
        <v>1306</v>
      </c>
      <c r="N458" s="16" t="s">
        <v>23</v>
      </c>
      <c r="O458" s="16" t="s">
        <v>22</v>
      </c>
      <c r="P458" s="16" t="s">
        <v>37</v>
      </c>
      <c r="Q458" s="10" t="s">
        <v>447</v>
      </c>
      <c r="R458" s="3" t="str">
        <f t="shared" si="14"/>
        <v>112</v>
      </c>
      <c r="S458" s="3" t="str">
        <f t="shared" si="15"/>
        <v>85</v>
      </c>
      <c r="T458" s="16" t="s">
        <v>29</v>
      </c>
      <c r="U458" s="3">
        <v>13.3</v>
      </c>
      <c r="V458" s="16" t="str">
        <f>PROPER(Table1[[#This Row],[CVD Risk Level]])</f>
        <v>Intermediary</v>
      </c>
    </row>
    <row r="459" spans="1:22" x14ac:dyDescent="0.3">
      <c r="A459" t="s">
        <v>20</v>
      </c>
      <c r="B459" s="8">
        <v>57</v>
      </c>
      <c r="C459" s="8">
        <v>80</v>
      </c>
      <c r="D459" s="5">
        <v>1.61</v>
      </c>
      <c r="E459" s="5">
        <v>30.9</v>
      </c>
      <c r="F459" s="16" t="s">
        <v>1302</v>
      </c>
      <c r="G459" s="11">
        <v>0.57799999999999996</v>
      </c>
      <c r="H459" s="5">
        <v>93</v>
      </c>
      <c r="I459" s="8">
        <v>67</v>
      </c>
      <c r="J459" s="8">
        <v>199</v>
      </c>
      <c r="K459" s="8">
        <v>296</v>
      </c>
      <c r="L459" s="8">
        <v>101</v>
      </c>
      <c r="M459" t="s">
        <v>1306</v>
      </c>
      <c r="N459" s="16" t="s">
        <v>23</v>
      </c>
      <c r="O459" s="16" t="s">
        <v>22</v>
      </c>
      <c r="P459" s="16" t="s">
        <v>24</v>
      </c>
      <c r="Q459" s="10" t="s">
        <v>448</v>
      </c>
      <c r="R459" s="3" t="str">
        <f t="shared" si="14"/>
        <v>112</v>
      </c>
      <c r="S459" s="3" t="str">
        <f t="shared" si="15"/>
        <v>71</v>
      </c>
      <c r="T459" s="16" t="s">
        <v>33</v>
      </c>
      <c r="U459" s="3">
        <v>17.7</v>
      </c>
      <c r="V459" s="16" t="str">
        <f>PROPER(Table1[[#This Row],[CVD Risk Level]])</f>
        <v>High</v>
      </c>
    </row>
    <row r="460" spans="1:22" x14ac:dyDescent="0.3">
      <c r="A460" t="s">
        <v>31</v>
      </c>
      <c r="B460" s="8">
        <v>44</v>
      </c>
      <c r="C460" s="8">
        <v>63.7</v>
      </c>
      <c r="D460" s="5">
        <v>1.86</v>
      </c>
      <c r="E460" s="5">
        <v>18.412533240837089</v>
      </c>
      <c r="F460" s="16" t="s">
        <v>1304</v>
      </c>
      <c r="G460" s="11">
        <v>0.379</v>
      </c>
      <c r="H460" s="5">
        <v>70.5</v>
      </c>
      <c r="I460" s="8">
        <v>48</v>
      </c>
      <c r="J460" s="8">
        <v>184</v>
      </c>
      <c r="K460" s="8">
        <v>262</v>
      </c>
      <c r="L460" s="8">
        <v>106</v>
      </c>
      <c r="M460" t="s">
        <v>1306</v>
      </c>
      <c r="N460" s="16" t="s">
        <v>23</v>
      </c>
      <c r="O460" s="16" t="s">
        <v>22</v>
      </c>
      <c r="P460" s="16" t="s">
        <v>28</v>
      </c>
      <c r="Q460" s="10" t="s">
        <v>449</v>
      </c>
      <c r="R460" s="3" t="str">
        <f t="shared" si="14"/>
        <v>123</v>
      </c>
      <c r="S460" s="3" t="str">
        <f t="shared" si="15"/>
        <v>83</v>
      </c>
      <c r="T460" s="16" t="s">
        <v>29</v>
      </c>
      <c r="U460" s="3">
        <v>15.07</v>
      </c>
      <c r="V460" s="16" t="str">
        <f>PROPER(Table1[[#This Row],[CVD Risk Level]])</f>
        <v>Intermediary</v>
      </c>
    </row>
    <row r="461" spans="1:22" x14ac:dyDescent="0.3">
      <c r="A461" t="s">
        <v>20</v>
      </c>
      <c r="B461" s="8">
        <v>47.025499655410059</v>
      </c>
      <c r="C461" s="8">
        <v>65.8</v>
      </c>
      <c r="D461" s="5">
        <v>1.9</v>
      </c>
      <c r="E461" s="5">
        <v>18.2</v>
      </c>
      <c r="F461" s="16" t="s">
        <v>1304</v>
      </c>
      <c r="G461" s="11">
        <v>0.54100000000000004</v>
      </c>
      <c r="H461" s="5">
        <v>102.8</v>
      </c>
      <c r="I461" s="8">
        <v>35</v>
      </c>
      <c r="J461" s="8">
        <v>71</v>
      </c>
      <c r="K461" s="8">
        <v>136</v>
      </c>
      <c r="L461" s="8">
        <v>128</v>
      </c>
      <c r="M461" t="s">
        <v>1307</v>
      </c>
      <c r="N461" s="16" t="s">
        <v>22</v>
      </c>
      <c r="O461" s="16" t="s">
        <v>22</v>
      </c>
      <c r="P461" s="16" t="s">
        <v>37</v>
      </c>
      <c r="Q461" s="10" t="s">
        <v>450</v>
      </c>
      <c r="R461" s="3" t="str">
        <f t="shared" si="14"/>
        <v>116</v>
      </c>
      <c r="S461" s="3" t="str">
        <f t="shared" si="15"/>
        <v>89</v>
      </c>
      <c r="T461" s="16" t="s">
        <v>29</v>
      </c>
      <c r="U461" s="3">
        <v>12.16</v>
      </c>
      <c r="V461" s="16" t="str">
        <f>PROPER(Table1[[#This Row],[CVD Risk Level]])</f>
        <v>Intermediary</v>
      </c>
    </row>
    <row r="462" spans="1:22" x14ac:dyDescent="0.3">
      <c r="A462" t="s">
        <v>20</v>
      </c>
      <c r="B462" s="8">
        <v>46</v>
      </c>
      <c r="C462" s="8">
        <v>96.9</v>
      </c>
      <c r="D462" s="5">
        <v>1.81</v>
      </c>
      <c r="E462" s="5">
        <v>29.6</v>
      </c>
      <c r="F462" s="16" t="s">
        <v>1303</v>
      </c>
      <c r="G462" s="11">
        <v>0.42899999999999999</v>
      </c>
      <c r="H462" s="5">
        <v>77.599999999999994</v>
      </c>
      <c r="I462" s="8">
        <v>49</v>
      </c>
      <c r="J462" s="8">
        <v>88</v>
      </c>
      <c r="K462" s="8">
        <v>167</v>
      </c>
      <c r="L462" s="8">
        <v>111</v>
      </c>
      <c r="M462" t="s">
        <v>1306</v>
      </c>
      <c r="N462" s="16" t="s">
        <v>23</v>
      </c>
      <c r="O462" s="16" t="s">
        <v>22</v>
      </c>
      <c r="P462" s="16" t="s">
        <v>28</v>
      </c>
      <c r="Q462" s="10" t="s">
        <v>451</v>
      </c>
      <c r="R462" s="3" t="str">
        <f t="shared" si="14"/>
        <v>122</v>
      </c>
      <c r="S462" s="3" t="str">
        <f t="shared" si="15"/>
        <v>91</v>
      </c>
      <c r="T462" s="16" t="s">
        <v>38</v>
      </c>
      <c r="U462" s="3">
        <v>15.36</v>
      </c>
      <c r="V462" s="16" t="str">
        <f>PROPER(Table1[[#This Row],[CVD Risk Level]])</f>
        <v>High</v>
      </c>
    </row>
    <row r="463" spans="1:22" x14ac:dyDescent="0.3">
      <c r="A463" t="s">
        <v>31</v>
      </c>
      <c r="B463" s="8">
        <v>39</v>
      </c>
      <c r="C463" s="8">
        <v>102.5</v>
      </c>
      <c r="D463" s="5">
        <v>1.87</v>
      </c>
      <c r="E463" s="5">
        <v>29.3</v>
      </c>
      <c r="F463" s="16" t="s">
        <v>1303</v>
      </c>
      <c r="G463" s="11">
        <v>0.52</v>
      </c>
      <c r="H463" s="5">
        <v>97.3</v>
      </c>
      <c r="I463" s="8">
        <v>41</v>
      </c>
      <c r="J463" s="8">
        <v>109</v>
      </c>
      <c r="K463" s="8">
        <v>239</v>
      </c>
      <c r="L463" s="8">
        <v>118</v>
      </c>
      <c r="M463" t="s">
        <v>1306</v>
      </c>
      <c r="N463" s="16" t="s">
        <v>23</v>
      </c>
      <c r="O463" s="16" t="s">
        <v>22</v>
      </c>
      <c r="P463" s="16" t="s">
        <v>37</v>
      </c>
      <c r="Q463" s="10" t="s">
        <v>452</v>
      </c>
      <c r="R463" s="3" t="str">
        <f t="shared" si="14"/>
        <v>99</v>
      </c>
      <c r="S463" s="3" t="str">
        <f t="shared" si="15"/>
        <v>89</v>
      </c>
      <c r="T463" s="16" t="s">
        <v>29</v>
      </c>
      <c r="U463" s="3">
        <v>15.59</v>
      </c>
      <c r="V463" s="16" t="str">
        <f>PROPER(Table1[[#This Row],[CVD Risk Level]])</f>
        <v>Intermediary</v>
      </c>
    </row>
    <row r="464" spans="1:22" x14ac:dyDescent="0.3">
      <c r="A464" t="s">
        <v>31</v>
      </c>
      <c r="B464" s="8">
        <v>60</v>
      </c>
      <c r="C464" s="8">
        <v>102.75912</v>
      </c>
      <c r="D464" s="5">
        <v>1.77</v>
      </c>
      <c r="E464" s="5">
        <v>32.799999999999997</v>
      </c>
      <c r="F464" s="16" t="s">
        <v>1302</v>
      </c>
      <c r="G464" s="11">
        <v>0.58099999999999996</v>
      </c>
      <c r="H464" s="5">
        <v>102.9</v>
      </c>
      <c r="I464" s="8">
        <v>68</v>
      </c>
      <c r="J464" s="8">
        <v>137</v>
      </c>
      <c r="K464" s="8">
        <v>235</v>
      </c>
      <c r="L464" s="8">
        <v>126</v>
      </c>
      <c r="M464" t="s">
        <v>1307</v>
      </c>
      <c r="N464" s="16" t="s">
        <v>23</v>
      </c>
      <c r="O464" s="16" t="s">
        <v>23</v>
      </c>
      <c r="P464" s="16" t="s">
        <v>28</v>
      </c>
      <c r="Q464" s="10" t="s">
        <v>453</v>
      </c>
      <c r="R464" s="3" t="str">
        <f t="shared" si="14"/>
        <v>102</v>
      </c>
      <c r="S464" s="3" t="str">
        <f t="shared" si="15"/>
        <v>93</v>
      </c>
      <c r="T464" s="16" t="s">
        <v>38</v>
      </c>
      <c r="U464" s="3">
        <v>18.36</v>
      </c>
      <c r="V464" s="16" t="str">
        <f>PROPER(Table1[[#This Row],[CVD Risk Level]])</f>
        <v>High</v>
      </c>
    </row>
    <row r="465" spans="1:22" x14ac:dyDescent="0.3">
      <c r="A465" t="s">
        <v>20</v>
      </c>
      <c r="B465" s="8">
        <v>58</v>
      </c>
      <c r="C465" s="8">
        <v>111.7</v>
      </c>
      <c r="D465" s="5">
        <v>1.88</v>
      </c>
      <c r="E465" s="5">
        <v>31.6</v>
      </c>
      <c r="F465" s="16" t="s">
        <v>1302</v>
      </c>
      <c r="G465" s="11">
        <v>0.57074468085106378</v>
      </c>
      <c r="H465" s="5">
        <v>107.3</v>
      </c>
      <c r="I465" s="8">
        <v>46</v>
      </c>
      <c r="J465" s="8">
        <v>214</v>
      </c>
      <c r="K465" s="8">
        <v>290</v>
      </c>
      <c r="L465" s="8">
        <v>148</v>
      </c>
      <c r="M465" t="s">
        <v>1307</v>
      </c>
      <c r="N465" s="16" t="s">
        <v>22</v>
      </c>
      <c r="O465" s="16" t="s">
        <v>22</v>
      </c>
      <c r="P465" s="16" t="s">
        <v>28</v>
      </c>
      <c r="Q465" s="10" t="s">
        <v>454</v>
      </c>
      <c r="R465" s="3" t="str">
        <f t="shared" si="14"/>
        <v>126</v>
      </c>
      <c r="S465" s="3" t="str">
        <f t="shared" si="15"/>
        <v>66</v>
      </c>
      <c r="T465" s="16" t="s">
        <v>25</v>
      </c>
      <c r="U465" s="3">
        <v>18.420000000000002</v>
      </c>
      <c r="V465" s="16" t="str">
        <f>PROPER(Table1[[#This Row],[CVD Risk Level]])</f>
        <v>High</v>
      </c>
    </row>
    <row r="466" spans="1:22" x14ac:dyDescent="0.3">
      <c r="A466" t="s">
        <v>31</v>
      </c>
      <c r="B466" s="8">
        <v>51</v>
      </c>
      <c r="C466" s="8">
        <v>116</v>
      </c>
      <c r="D466" s="5">
        <v>1.64</v>
      </c>
      <c r="E466" s="5">
        <v>43.1</v>
      </c>
      <c r="F466" s="16" t="s">
        <v>1302</v>
      </c>
      <c r="G466" s="11">
        <v>0.49</v>
      </c>
      <c r="H466" s="5">
        <v>80.3</v>
      </c>
      <c r="I466" s="8">
        <v>49</v>
      </c>
      <c r="J466" s="8">
        <v>173</v>
      </c>
      <c r="K466" s="8">
        <v>252</v>
      </c>
      <c r="L466" s="8">
        <v>119</v>
      </c>
      <c r="M466" t="s">
        <v>1306</v>
      </c>
      <c r="N466" s="16" t="s">
        <v>23</v>
      </c>
      <c r="O466" s="16" t="s">
        <v>23</v>
      </c>
      <c r="P466" s="16" t="s">
        <v>28</v>
      </c>
      <c r="Q466" s="10" t="s">
        <v>410</v>
      </c>
      <c r="R466" s="3" t="str">
        <f t="shared" si="14"/>
        <v>93</v>
      </c>
      <c r="S466" s="3" t="str">
        <f t="shared" si="15"/>
        <v>78</v>
      </c>
      <c r="T466" s="16" t="s">
        <v>33</v>
      </c>
      <c r="U466" s="3">
        <v>20.309999999999999</v>
      </c>
      <c r="V466" s="16" t="str">
        <f>PROPER(Table1[[#This Row],[CVD Risk Level]])</f>
        <v>High</v>
      </c>
    </row>
    <row r="467" spans="1:22" x14ac:dyDescent="0.3">
      <c r="A467" t="s">
        <v>20</v>
      </c>
      <c r="B467" s="8">
        <v>39</v>
      </c>
      <c r="C467" s="8">
        <v>91</v>
      </c>
      <c r="D467" s="5">
        <v>1.78</v>
      </c>
      <c r="E467" s="5">
        <v>28.7</v>
      </c>
      <c r="F467" s="16" t="s">
        <v>1303</v>
      </c>
      <c r="G467" s="11">
        <v>0.5112359550561798</v>
      </c>
      <c r="H467" s="5">
        <v>91</v>
      </c>
      <c r="I467" s="8">
        <v>62</v>
      </c>
      <c r="J467" s="8">
        <v>182</v>
      </c>
      <c r="K467" s="8">
        <v>274</v>
      </c>
      <c r="L467" s="8">
        <v>81</v>
      </c>
      <c r="M467" t="s">
        <v>33</v>
      </c>
      <c r="N467" s="16" t="s">
        <v>23</v>
      </c>
      <c r="O467" s="16" t="s">
        <v>23</v>
      </c>
      <c r="P467" s="16" t="s">
        <v>28</v>
      </c>
      <c r="Q467" s="10" t="s">
        <v>55</v>
      </c>
      <c r="R467" s="3" t="str">
        <f t="shared" si="14"/>
        <v>120</v>
      </c>
      <c r="S467" s="3" t="str">
        <f t="shared" si="15"/>
        <v>89</v>
      </c>
      <c r="T467" s="16" t="s">
        <v>29</v>
      </c>
      <c r="U467" s="3">
        <v>16.960925291295425</v>
      </c>
      <c r="V467" s="16" t="str">
        <f>PROPER(Table1[[#This Row],[CVD Risk Level]])</f>
        <v>High</v>
      </c>
    </row>
    <row r="468" spans="1:22" x14ac:dyDescent="0.3">
      <c r="A468" t="s">
        <v>20</v>
      </c>
      <c r="B468" s="8">
        <v>42</v>
      </c>
      <c r="C468" s="8">
        <v>106.3</v>
      </c>
      <c r="D468" s="5">
        <v>1.84</v>
      </c>
      <c r="E468" s="5">
        <v>31.4</v>
      </c>
      <c r="F468" s="16" t="s">
        <v>1302</v>
      </c>
      <c r="G468" s="11">
        <v>0.53</v>
      </c>
      <c r="H468" s="5">
        <v>97.5</v>
      </c>
      <c r="I468" s="8">
        <v>75</v>
      </c>
      <c r="J468" s="8">
        <v>109</v>
      </c>
      <c r="K468" s="8">
        <v>203</v>
      </c>
      <c r="L468" s="8">
        <v>146</v>
      </c>
      <c r="M468" t="s">
        <v>1307</v>
      </c>
      <c r="N468" s="16" t="s">
        <v>22</v>
      </c>
      <c r="O468" s="16" t="s">
        <v>23</v>
      </c>
      <c r="P468" s="16" t="s">
        <v>24</v>
      </c>
      <c r="Q468" s="10" t="s">
        <v>154</v>
      </c>
      <c r="R468" s="3" t="str">
        <f t="shared" si="14"/>
        <v>149</v>
      </c>
      <c r="S468" s="3" t="str">
        <f t="shared" si="15"/>
        <v>66</v>
      </c>
      <c r="T468" s="16" t="s">
        <v>38</v>
      </c>
      <c r="U468" s="3">
        <v>19.79</v>
      </c>
      <c r="V468" s="16" t="str">
        <f>PROPER(Table1[[#This Row],[CVD Risk Level]])</f>
        <v>High</v>
      </c>
    </row>
    <row r="469" spans="1:22" x14ac:dyDescent="0.3">
      <c r="A469" t="s">
        <v>31</v>
      </c>
      <c r="B469" s="8">
        <v>31</v>
      </c>
      <c r="C469" s="8">
        <v>112.9</v>
      </c>
      <c r="D469" s="5">
        <v>1.69</v>
      </c>
      <c r="E469" s="5">
        <v>39.5</v>
      </c>
      <c r="F469" s="16" t="s">
        <v>1302</v>
      </c>
      <c r="G469" s="11">
        <v>0.499</v>
      </c>
      <c r="H469" s="5">
        <v>84.4</v>
      </c>
      <c r="I469" s="8">
        <v>74</v>
      </c>
      <c r="J469" s="8">
        <v>28</v>
      </c>
      <c r="K469" s="8">
        <v>132</v>
      </c>
      <c r="L469" s="8">
        <v>92</v>
      </c>
      <c r="M469" t="s">
        <v>33</v>
      </c>
      <c r="N469" s="16" t="s">
        <v>22</v>
      </c>
      <c r="O469" s="16" t="s">
        <v>23</v>
      </c>
      <c r="P469" s="16" t="s">
        <v>24</v>
      </c>
      <c r="Q469" s="10" t="s">
        <v>198</v>
      </c>
      <c r="R469" s="3" t="str">
        <f t="shared" si="14"/>
        <v>125</v>
      </c>
      <c r="S469" s="3" t="str">
        <f t="shared" si="15"/>
        <v>73</v>
      </c>
      <c r="T469" s="16" t="s">
        <v>25</v>
      </c>
      <c r="U469" s="3">
        <v>18.79</v>
      </c>
      <c r="V469" s="16" t="str">
        <f>PROPER(Table1[[#This Row],[CVD Risk Level]])</f>
        <v>High</v>
      </c>
    </row>
    <row r="470" spans="1:22" x14ac:dyDescent="0.3">
      <c r="A470" t="s">
        <v>31</v>
      </c>
      <c r="B470" s="8">
        <v>31</v>
      </c>
      <c r="C470" s="8">
        <v>67.5</v>
      </c>
      <c r="D470" s="5">
        <v>1.86</v>
      </c>
      <c r="E470" s="5">
        <v>19.5</v>
      </c>
      <c r="F470" s="16" t="s">
        <v>33</v>
      </c>
      <c r="G470" s="11">
        <v>0.47199999999999998</v>
      </c>
      <c r="H470" s="5">
        <v>87.7</v>
      </c>
      <c r="I470" s="8">
        <v>67</v>
      </c>
      <c r="J470" s="8">
        <v>109</v>
      </c>
      <c r="K470" s="8">
        <v>101</v>
      </c>
      <c r="L470" s="8">
        <v>103</v>
      </c>
      <c r="M470" t="s">
        <v>1306</v>
      </c>
      <c r="N470" s="16" t="s">
        <v>23</v>
      </c>
      <c r="O470" s="16" t="s">
        <v>22</v>
      </c>
      <c r="P470" s="16" t="s">
        <v>24</v>
      </c>
      <c r="Q470" s="10" t="s">
        <v>455</v>
      </c>
      <c r="R470" s="3" t="str">
        <f t="shared" si="14"/>
        <v>139</v>
      </c>
      <c r="S470" s="3" t="str">
        <f t="shared" si="15"/>
        <v>82</v>
      </c>
      <c r="T470" s="16" t="s">
        <v>29</v>
      </c>
      <c r="U470" s="3">
        <v>12.87</v>
      </c>
      <c r="V470" s="16" t="str">
        <f>PROPER(Table1[[#This Row],[CVD Risk Level]])</f>
        <v>Intermediary</v>
      </c>
    </row>
    <row r="471" spans="1:22" x14ac:dyDescent="0.3">
      <c r="A471" t="s">
        <v>20</v>
      </c>
      <c r="B471" s="8">
        <v>37</v>
      </c>
      <c r="C471" s="8">
        <v>73.2</v>
      </c>
      <c r="D471" s="5">
        <v>1.65</v>
      </c>
      <c r="E471" s="5">
        <v>26.9</v>
      </c>
      <c r="F471" s="16" t="s">
        <v>1303</v>
      </c>
      <c r="G471" s="11">
        <v>0.55200000000000005</v>
      </c>
      <c r="H471" s="5">
        <v>91</v>
      </c>
      <c r="I471" s="8">
        <v>69</v>
      </c>
      <c r="J471" s="8">
        <v>10</v>
      </c>
      <c r="K471" s="8">
        <v>109</v>
      </c>
      <c r="L471" s="8">
        <v>90</v>
      </c>
      <c r="M471" t="s">
        <v>33</v>
      </c>
      <c r="N471" s="16" t="s">
        <v>23</v>
      </c>
      <c r="O471" s="16" t="s">
        <v>23</v>
      </c>
      <c r="P471" s="16" t="s">
        <v>24</v>
      </c>
      <c r="Q471" s="10" t="s">
        <v>456</v>
      </c>
      <c r="R471" s="3" t="str">
        <f t="shared" si="14"/>
        <v>141</v>
      </c>
      <c r="S471" s="3" t="str">
        <f t="shared" si="15"/>
        <v>82</v>
      </c>
      <c r="T471" s="16" t="s">
        <v>29</v>
      </c>
      <c r="U471" s="3">
        <v>16.61</v>
      </c>
      <c r="V471" s="16" t="str">
        <f>PROPER(Table1[[#This Row],[CVD Risk Level]])</f>
        <v>High</v>
      </c>
    </row>
    <row r="472" spans="1:22" x14ac:dyDescent="0.3">
      <c r="A472" t="s">
        <v>20</v>
      </c>
      <c r="B472" s="8">
        <v>47.025499655410059</v>
      </c>
      <c r="C472" s="8">
        <v>73.7</v>
      </c>
      <c r="D472" s="5">
        <v>1.7</v>
      </c>
      <c r="E472" s="5">
        <v>25.5</v>
      </c>
      <c r="F472" s="16" t="s">
        <v>1303</v>
      </c>
      <c r="G472" s="11">
        <v>0.495</v>
      </c>
      <c r="H472" s="5">
        <v>84.2</v>
      </c>
      <c r="I472" s="8">
        <v>74</v>
      </c>
      <c r="J472" s="8">
        <v>88</v>
      </c>
      <c r="K472" s="8">
        <v>192</v>
      </c>
      <c r="L472" s="8">
        <v>144</v>
      </c>
      <c r="M472" t="s">
        <v>1307</v>
      </c>
      <c r="N472" s="16" t="s">
        <v>23</v>
      </c>
      <c r="O472" s="16" t="s">
        <v>23</v>
      </c>
      <c r="P472" s="16" t="s">
        <v>37</v>
      </c>
      <c r="Q472" s="10" t="s">
        <v>457</v>
      </c>
      <c r="R472" s="3" t="str">
        <f t="shared" si="14"/>
        <v>129</v>
      </c>
      <c r="S472" s="3" t="str">
        <f t="shared" si="15"/>
        <v>92</v>
      </c>
      <c r="T472" s="16" t="s">
        <v>38</v>
      </c>
      <c r="U472" s="3">
        <v>17.39</v>
      </c>
      <c r="V472" s="16" t="str">
        <f>PROPER(Table1[[#This Row],[CVD Risk Level]])</f>
        <v>High</v>
      </c>
    </row>
    <row r="473" spans="1:22" x14ac:dyDescent="0.3">
      <c r="A473" t="s">
        <v>31</v>
      </c>
      <c r="B473" s="8">
        <v>32</v>
      </c>
      <c r="C473" s="8">
        <v>111.8</v>
      </c>
      <c r="D473" s="5">
        <v>1.6393596310755001</v>
      </c>
      <c r="E473" s="5">
        <v>41.6</v>
      </c>
      <c r="F473" s="16" t="s">
        <v>1302</v>
      </c>
      <c r="G473" s="11">
        <v>0.58399999999999996</v>
      </c>
      <c r="H473" s="5">
        <v>95.8</v>
      </c>
      <c r="I473" s="8">
        <v>41</v>
      </c>
      <c r="J473" s="8">
        <v>128</v>
      </c>
      <c r="K473" s="8">
        <v>199</v>
      </c>
      <c r="L473" s="8">
        <v>122</v>
      </c>
      <c r="M473" t="s">
        <v>1306</v>
      </c>
      <c r="N473" s="16" t="s">
        <v>23</v>
      </c>
      <c r="O473" s="16" t="s">
        <v>22</v>
      </c>
      <c r="P473" s="16" t="s">
        <v>28</v>
      </c>
      <c r="Q473" s="10" t="s">
        <v>458</v>
      </c>
      <c r="R473" s="3" t="str">
        <f t="shared" si="14"/>
        <v>95</v>
      </c>
      <c r="S473" s="3" t="str">
        <f t="shared" si="15"/>
        <v>96</v>
      </c>
      <c r="T473" s="16" t="s">
        <v>38</v>
      </c>
      <c r="U473" s="3">
        <v>17.05</v>
      </c>
      <c r="V473" s="16" t="str">
        <f>PROPER(Table1[[#This Row],[CVD Risk Level]])</f>
        <v>Intermediary</v>
      </c>
    </row>
    <row r="474" spans="1:22" x14ac:dyDescent="0.3">
      <c r="A474" t="s">
        <v>20</v>
      </c>
      <c r="B474" s="8">
        <v>37</v>
      </c>
      <c r="C474" s="8">
        <v>92.9</v>
      </c>
      <c r="D474" s="5">
        <v>1.87</v>
      </c>
      <c r="E474" s="5">
        <v>26.6</v>
      </c>
      <c r="F474" s="16" t="s">
        <v>1303</v>
      </c>
      <c r="G474" s="11">
        <v>0.38400000000000001</v>
      </c>
      <c r="H474" s="5">
        <v>71.8</v>
      </c>
      <c r="I474" s="8">
        <v>79</v>
      </c>
      <c r="J474" s="8">
        <v>6</v>
      </c>
      <c r="K474" s="8">
        <v>115</v>
      </c>
      <c r="L474" s="8">
        <v>125</v>
      </c>
      <c r="M474" t="s">
        <v>1306</v>
      </c>
      <c r="N474" s="16" t="s">
        <v>22</v>
      </c>
      <c r="O474" s="16" t="s">
        <v>22</v>
      </c>
      <c r="P474" s="16" t="s">
        <v>28</v>
      </c>
      <c r="Q474" s="10" t="s">
        <v>459</v>
      </c>
      <c r="R474" s="3" t="str">
        <f t="shared" si="14"/>
        <v>113</v>
      </c>
      <c r="S474" s="3" t="str">
        <f t="shared" si="15"/>
        <v>79</v>
      </c>
      <c r="T474" s="16" t="s">
        <v>33</v>
      </c>
      <c r="U474" s="3">
        <v>13.27</v>
      </c>
      <c r="V474" s="16" t="str">
        <f>PROPER(Table1[[#This Row],[CVD Risk Level]])</f>
        <v>Intermediary</v>
      </c>
    </row>
    <row r="475" spans="1:22" x14ac:dyDescent="0.3">
      <c r="A475" t="s">
        <v>20</v>
      </c>
      <c r="B475" s="8">
        <v>57</v>
      </c>
      <c r="C475" s="8">
        <v>106.3</v>
      </c>
      <c r="D475" s="5">
        <v>1.88</v>
      </c>
      <c r="E475" s="5">
        <v>30.1</v>
      </c>
      <c r="F475" s="16" t="s">
        <v>1302</v>
      </c>
      <c r="G475" s="11">
        <v>0.54400000000000004</v>
      </c>
      <c r="H475" s="5">
        <v>102.2</v>
      </c>
      <c r="I475" s="8">
        <v>40</v>
      </c>
      <c r="J475" s="8">
        <v>74</v>
      </c>
      <c r="K475" s="8">
        <v>228</v>
      </c>
      <c r="L475" s="8">
        <v>82</v>
      </c>
      <c r="M475" t="s">
        <v>33</v>
      </c>
      <c r="N475" s="16" t="s">
        <v>22</v>
      </c>
      <c r="O475" s="16" t="s">
        <v>23</v>
      </c>
      <c r="P475" s="16" t="s">
        <v>28</v>
      </c>
      <c r="Q475" s="10" t="s">
        <v>460</v>
      </c>
      <c r="R475" s="3" t="str">
        <f t="shared" si="14"/>
        <v>140</v>
      </c>
      <c r="S475" s="3" t="str">
        <f t="shared" si="15"/>
        <v>98</v>
      </c>
      <c r="T475" s="16" t="s">
        <v>38</v>
      </c>
      <c r="U475" s="3">
        <v>17.899999999999999</v>
      </c>
      <c r="V475" s="16" t="str">
        <f>PROPER(Table1[[#This Row],[CVD Risk Level]])</f>
        <v>Intermediary</v>
      </c>
    </row>
    <row r="476" spans="1:22" x14ac:dyDescent="0.3">
      <c r="A476" t="s">
        <v>20</v>
      </c>
      <c r="B476" s="8">
        <v>56</v>
      </c>
      <c r="C476" s="8">
        <v>50.4</v>
      </c>
      <c r="D476" s="5">
        <v>1.61</v>
      </c>
      <c r="E476" s="5">
        <v>19.399999999999999</v>
      </c>
      <c r="F476" s="16" t="s">
        <v>33</v>
      </c>
      <c r="G476" s="11">
        <v>0.60399999999999998</v>
      </c>
      <c r="H476" s="5">
        <v>97.3</v>
      </c>
      <c r="I476" s="8">
        <v>39</v>
      </c>
      <c r="J476" s="8">
        <v>35</v>
      </c>
      <c r="K476" s="8">
        <v>104</v>
      </c>
      <c r="L476" s="8">
        <v>117</v>
      </c>
      <c r="M476" t="s">
        <v>1306</v>
      </c>
      <c r="N476" s="16" t="s">
        <v>22</v>
      </c>
      <c r="O476" s="16" t="s">
        <v>23</v>
      </c>
      <c r="P476" s="16" t="s">
        <v>28</v>
      </c>
      <c r="Q476" s="10" t="s">
        <v>461</v>
      </c>
      <c r="R476" s="3" t="str">
        <f t="shared" si="14"/>
        <v>106</v>
      </c>
      <c r="S476" s="3" t="str">
        <f t="shared" si="15"/>
        <v>73</v>
      </c>
      <c r="T476" s="16" t="s">
        <v>33</v>
      </c>
      <c r="U476" s="3">
        <v>13.26</v>
      </c>
      <c r="V476" s="16" t="str">
        <f>PROPER(Table1[[#This Row],[CVD Risk Level]])</f>
        <v>Intermediary</v>
      </c>
    </row>
    <row r="477" spans="1:22" x14ac:dyDescent="0.3">
      <c r="A477" t="s">
        <v>31</v>
      </c>
      <c r="B477" s="8">
        <v>60</v>
      </c>
      <c r="C477" s="8">
        <v>110.4</v>
      </c>
      <c r="D477" s="5">
        <v>1.68</v>
      </c>
      <c r="E477" s="5">
        <v>39.1</v>
      </c>
      <c r="F477" s="16" t="s">
        <v>1302</v>
      </c>
      <c r="G477" s="11">
        <v>0.60799999999999998</v>
      </c>
      <c r="H477" s="5">
        <v>102.1</v>
      </c>
      <c r="I477" s="8">
        <v>59</v>
      </c>
      <c r="J477" s="8">
        <v>24</v>
      </c>
      <c r="K477" s="8">
        <v>113</v>
      </c>
      <c r="L477" s="8">
        <v>136</v>
      </c>
      <c r="M477" t="s">
        <v>1307</v>
      </c>
      <c r="N477" s="16" t="s">
        <v>23</v>
      </c>
      <c r="O477" s="16" t="s">
        <v>23</v>
      </c>
      <c r="P477" s="16" t="s">
        <v>28</v>
      </c>
      <c r="Q477" s="10" t="s">
        <v>462</v>
      </c>
      <c r="R477" s="3" t="str">
        <f t="shared" si="14"/>
        <v>115</v>
      </c>
      <c r="S477" s="3" t="str">
        <f t="shared" si="15"/>
        <v>94</v>
      </c>
      <c r="T477" s="16" t="s">
        <v>38</v>
      </c>
      <c r="U477" s="3">
        <v>17.829999999999998</v>
      </c>
      <c r="V477" s="16" t="str">
        <f>PROPER(Table1[[#This Row],[CVD Risk Level]])</f>
        <v>High</v>
      </c>
    </row>
    <row r="478" spans="1:22" x14ac:dyDescent="0.3">
      <c r="A478" t="s">
        <v>20</v>
      </c>
      <c r="B478" s="8">
        <v>54</v>
      </c>
      <c r="C478" s="8">
        <v>51.8</v>
      </c>
      <c r="D478" s="5">
        <v>1.61</v>
      </c>
      <c r="E478" s="5">
        <v>20</v>
      </c>
      <c r="F478" s="16" t="s">
        <v>33</v>
      </c>
      <c r="G478" s="11">
        <v>0.45700000000000002</v>
      </c>
      <c r="H478" s="5">
        <v>73.5</v>
      </c>
      <c r="I478" s="8">
        <v>41</v>
      </c>
      <c r="J478" s="8">
        <v>138</v>
      </c>
      <c r="K478" s="8">
        <v>209</v>
      </c>
      <c r="L478" s="8">
        <v>117.48563611491107</v>
      </c>
      <c r="M478" t="s">
        <v>1306</v>
      </c>
      <c r="N478" s="16" t="s">
        <v>23</v>
      </c>
      <c r="O478" s="16" t="s">
        <v>23</v>
      </c>
      <c r="P478" s="16" t="s">
        <v>37</v>
      </c>
      <c r="Q478" s="10" t="s">
        <v>227</v>
      </c>
      <c r="R478" s="3" t="str">
        <f t="shared" si="14"/>
        <v>143</v>
      </c>
      <c r="S478" s="3" t="str">
        <f t="shared" si="15"/>
        <v>89</v>
      </c>
      <c r="T478" s="16" t="s">
        <v>29</v>
      </c>
      <c r="U478" s="3">
        <v>17.329999999999998</v>
      </c>
      <c r="V478" s="16" t="str">
        <f>PROPER(Table1[[#This Row],[CVD Risk Level]])</f>
        <v>High</v>
      </c>
    </row>
    <row r="479" spans="1:22" x14ac:dyDescent="0.3">
      <c r="A479" t="s">
        <v>20</v>
      </c>
      <c r="B479" s="8">
        <v>36</v>
      </c>
      <c r="C479" s="8">
        <v>84.2</v>
      </c>
      <c r="D479" s="5">
        <v>1.66</v>
      </c>
      <c r="E479" s="5">
        <v>30.6</v>
      </c>
      <c r="F479" s="16" t="s">
        <v>1302</v>
      </c>
      <c r="G479" s="11">
        <v>0.57899999999999996</v>
      </c>
      <c r="H479" s="5">
        <v>96.1</v>
      </c>
      <c r="I479" s="8">
        <v>59</v>
      </c>
      <c r="J479" s="8">
        <v>192</v>
      </c>
      <c r="K479" s="8">
        <v>281</v>
      </c>
      <c r="L479" s="8">
        <v>136</v>
      </c>
      <c r="M479" t="s">
        <v>1307</v>
      </c>
      <c r="N479" s="16" t="s">
        <v>22</v>
      </c>
      <c r="O479" s="16" t="s">
        <v>23</v>
      </c>
      <c r="P479" s="16" t="s">
        <v>28</v>
      </c>
      <c r="Q479" s="10" t="s">
        <v>147</v>
      </c>
      <c r="R479" s="3" t="str">
        <f t="shared" si="14"/>
        <v>139</v>
      </c>
      <c r="S479" s="3" t="str">
        <f t="shared" si="15"/>
        <v>61</v>
      </c>
      <c r="T479" s="16" t="s">
        <v>29</v>
      </c>
      <c r="U479" s="3">
        <v>20.69</v>
      </c>
      <c r="V479" s="16" t="str">
        <f>PROPER(Table1[[#This Row],[CVD Risk Level]])</f>
        <v>Intermediary</v>
      </c>
    </row>
    <row r="480" spans="1:22" x14ac:dyDescent="0.3">
      <c r="A480" t="s">
        <v>31</v>
      </c>
      <c r="B480" s="8">
        <v>58</v>
      </c>
      <c r="C480" s="8">
        <v>118.19522000000001</v>
      </c>
      <c r="D480" s="5">
        <v>1.87</v>
      </c>
      <c r="E480" s="5">
        <v>33.799999999999997</v>
      </c>
      <c r="F480" s="16" t="s">
        <v>1302</v>
      </c>
      <c r="G480" s="11">
        <v>0.53300000000000003</v>
      </c>
      <c r="H480" s="5">
        <v>99.6</v>
      </c>
      <c r="I480" s="8">
        <v>56.197377501725327</v>
      </c>
      <c r="J480" s="8">
        <v>33</v>
      </c>
      <c r="K480" s="8">
        <v>106</v>
      </c>
      <c r="L480" s="8">
        <v>115</v>
      </c>
      <c r="M480" t="s">
        <v>1306</v>
      </c>
      <c r="N480" s="16" t="s">
        <v>23</v>
      </c>
      <c r="O480" s="16" t="s">
        <v>23</v>
      </c>
      <c r="P480" s="16" t="s">
        <v>24</v>
      </c>
      <c r="Q480" s="10" t="s">
        <v>463</v>
      </c>
      <c r="R480" s="3" t="str">
        <f t="shared" si="14"/>
        <v>113</v>
      </c>
      <c r="S480" s="3" t="str">
        <f t="shared" si="15"/>
        <v>91</v>
      </c>
      <c r="T480" s="16" t="s">
        <v>38</v>
      </c>
      <c r="U480" s="3">
        <v>16.53</v>
      </c>
      <c r="V480" s="16" t="str">
        <f>PROPER(Table1[[#This Row],[CVD Risk Level]])</f>
        <v>High</v>
      </c>
    </row>
    <row r="481" spans="1:22" x14ac:dyDescent="0.3">
      <c r="A481" t="s">
        <v>20</v>
      </c>
      <c r="B481" s="8">
        <v>40</v>
      </c>
      <c r="C481" s="8">
        <v>86.8</v>
      </c>
      <c r="D481" s="5">
        <v>1.81</v>
      </c>
      <c r="E481" s="5">
        <v>26.5</v>
      </c>
      <c r="F481" s="16" t="s">
        <v>1303</v>
      </c>
      <c r="G481" s="11">
        <v>0.56100000000000005</v>
      </c>
      <c r="H481" s="5">
        <v>101.6</v>
      </c>
      <c r="I481" s="8">
        <v>56.197377501725327</v>
      </c>
      <c r="J481" s="8">
        <v>49</v>
      </c>
      <c r="K481" s="8">
        <v>128</v>
      </c>
      <c r="L481" s="8">
        <v>140</v>
      </c>
      <c r="M481" t="s">
        <v>1307</v>
      </c>
      <c r="N481" s="16" t="s">
        <v>22</v>
      </c>
      <c r="O481" s="16" t="s">
        <v>22</v>
      </c>
      <c r="P481" s="16" t="s">
        <v>28</v>
      </c>
      <c r="Q481" s="10" t="s">
        <v>464</v>
      </c>
      <c r="R481" s="3" t="str">
        <f t="shared" si="14"/>
        <v>92</v>
      </c>
      <c r="S481" s="3" t="str">
        <f t="shared" si="15"/>
        <v>66</v>
      </c>
      <c r="T481" s="16" t="s">
        <v>33</v>
      </c>
      <c r="U481" s="3">
        <v>12.46</v>
      </c>
      <c r="V481" s="16" t="str">
        <f>PROPER(Table1[[#This Row],[CVD Risk Level]])</f>
        <v>Intermediary</v>
      </c>
    </row>
    <row r="482" spans="1:22" x14ac:dyDescent="0.3">
      <c r="A482" t="s">
        <v>20</v>
      </c>
      <c r="B482" s="8">
        <v>55</v>
      </c>
      <c r="C482" s="8">
        <v>82.4</v>
      </c>
      <c r="D482" s="5">
        <v>1.6</v>
      </c>
      <c r="E482" s="5">
        <v>32.200000000000003</v>
      </c>
      <c r="F482" s="16" t="s">
        <v>1302</v>
      </c>
      <c r="G482" s="11">
        <v>0.52400000000000002</v>
      </c>
      <c r="H482" s="5">
        <v>83.84</v>
      </c>
      <c r="I482" s="8">
        <v>73</v>
      </c>
      <c r="J482" s="8">
        <v>109</v>
      </c>
      <c r="K482" s="8">
        <v>175</v>
      </c>
      <c r="L482" s="8">
        <v>148</v>
      </c>
      <c r="M482" t="s">
        <v>1307</v>
      </c>
      <c r="N482" s="16" t="s">
        <v>22</v>
      </c>
      <c r="O482" s="16" t="s">
        <v>22</v>
      </c>
      <c r="P482" s="16" t="s">
        <v>37</v>
      </c>
      <c r="Q482" s="10" t="s">
        <v>465</v>
      </c>
      <c r="R482" s="3" t="str">
        <f t="shared" si="14"/>
        <v>115</v>
      </c>
      <c r="S482" s="3" t="str">
        <f t="shared" si="15"/>
        <v>75</v>
      </c>
      <c r="T482" s="16" t="s">
        <v>33</v>
      </c>
      <c r="U482" s="3">
        <v>15.69</v>
      </c>
      <c r="V482" s="16" t="str">
        <f>PROPER(Table1[[#This Row],[CVD Risk Level]])</f>
        <v>Intermediary</v>
      </c>
    </row>
    <row r="483" spans="1:22" x14ac:dyDescent="0.3">
      <c r="A483" t="s">
        <v>31</v>
      </c>
      <c r="B483" s="8">
        <v>42</v>
      </c>
      <c r="C483" s="8">
        <v>110.5</v>
      </c>
      <c r="D483" s="5">
        <v>1.61</v>
      </c>
      <c r="E483" s="5">
        <v>42.6</v>
      </c>
      <c r="F483" s="16" t="s">
        <v>1302</v>
      </c>
      <c r="G483" s="11">
        <v>0.59699999999999998</v>
      </c>
      <c r="H483" s="5">
        <v>96.1</v>
      </c>
      <c r="I483" s="8">
        <v>77</v>
      </c>
      <c r="J483" s="8">
        <v>7</v>
      </c>
      <c r="K483" s="8">
        <v>114</v>
      </c>
      <c r="L483" s="8">
        <v>115</v>
      </c>
      <c r="M483" t="s">
        <v>1306</v>
      </c>
      <c r="N483" s="16" t="s">
        <v>22</v>
      </c>
      <c r="O483" s="16" t="s">
        <v>22</v>
      </c>
      <c r="P483" s="16" t="s">
        <v>37</v>
      </c>
      <c r="Q483" s="10" t="s">
        <v>466</v>
      </c>
      <c r="R483" s="3" t="str">
        <f t="shared" si="14"/>
        <v>132</v>
      </c>
      <c r="S483" s="3" t="str">
        <f t="shared" si="15"/>
        <v>69</v>
      </c>
      <c r="T483" s="16" t="s">
        <v>29</v>
      </c>
      <c r="U483" s="3">
        <v>17.399999999999999</v>
      </c>
      <c r="V483" s="16" t="str">
        <f>PROPER(Table1[[#This Row],[CVD Risk Level]])</f>
        <v>Intermediary</v>
      </c>
    </row>
    <row r="484" spans="1:22" x14ac:dyDescent="0.3">
      <c r="A484" t="s">
        <v>31</v>
      </c>
      <c r="B484" s="8">
        <v>42</v>
      </c>
      <c r="C484" s="8">
        <v>107.5</v>
      </c>
      <c r="D484" s="5">
        <v>1.65</v>
      </c>
      <c r="E484" s="5">
        <v>39.5</v>
      </c>
      <c r="F484" s="16" t="s">
        <v>1302</v>
      </c>
      <c r="G484" s="11">
        <v>0.64700000000000002</v>
      </c>
      <c r="H484" s="5">
        <v>106.7</v>
      </c>
      <c r="I484" s="8">
        <v>79</v>
      </c>
      <c r="J484" s="8">
        <v>77</v>
      </c>
      <c r="K484" s="8">
        <v>186</v>
      </c>
      <c r="L484" s="8">
        <v>73</v>
      </c>
      <c r="M484" t="s">
        <v>33</v>
      </c>
      <c r="N484" s="16" t="s">
        <v>22</v>
      </c>
      <c r="O484" s="16" t="s">
        <v>23</v>
      </c>
      <c r="P484" s="16" t="s">
        <v>28</v>
      </c>
      <c r="Q484" s="10" t="s">
        <v>467</v>
      </c>
      <c r="R484" s="3" t="str">
        <f t="shared" si="14"/>
        <v>103</v>
      </c>
      <c r="S484" s="3" t="str">
        <f t="shared" si="15"/>
        <v>64</v>
      </c>
      <c r="T484" s="16" t="s">
        <v>33</v>
      </c>
      <c r="U484" s="3">
        <v>18.77</v>
      </c>
      <c r="V484" s="16" t="str">
        <f>PROPER(Table1[[#This Row],[CVD Risk Level]])</f>
        <v>Intermediary</v>
      </c>
    </row>
    <row r="485" spans="1:22" x14ac:dyDescent="0.3">
      <c r="A485" t="s">
        <v>31</v>
      </c>
      <c r="B485" s="8">
        <v>35</v>
      </c>
      <c r="C485" s="8">
        <v>107.8</v>
      </c>
      <c r="D485" s="5">
        <v>1.82</v>
      </c>
      <c r="E485" s="5">
        <v>32.5</v>
      </c>
      <c r="F485" s="16" t="s">
        <v>1302</v>
      </c>
      <c r="G485" s="11">
        <v>0.48199999999999998</v>
      </c>
      <c r="H485" s="5">
        <v>87.8</v>
      </c>
      <c r="I485" s="8">
        <v>56.197377501725327</v>
      </c>
      <c r="J485" s="8">
        <v>39</v>
      </c>
      <c r="K485" s="8">
        <v>190.39475500345065</v>
      </c>
      <c r="L485" s="8">
        <v>103</v>
      </c>
      <c r="M485" t="s">
        <v>1306</v>
      </c>
      <c r="N485" s="16" t="s">
        <v>23</v>
      </c>
      <c r="O485" s="16" t="s">
        <v>23</v>
      </c>
      <c r="P485" s="16" t="s">
        <v>28</v>
      </c>
      <c r="Q485" s="10" t="s">
        <v>405</v>
      </c>
      <c r="R485" s="3" t="str">
        <f t="shared" si="14"/>
        <v>97</v>
      </c>
      <c r="S485" s="3" t="str">
        <f t="shared" si="15"/>
        <v>71</v>
      </c>
      <c r="T485" s="16" t="s">
        <v>33</v>
      </c>
      <c r="U485" s="3">
        <v>15.87</v>
      </c>
      <c r="V485" s="16" t="str">
        <f>PROPER(Table1[[#This Row],[CVD Risk Level]])</f>
        <v>Intermediary</v>
      </c>
    </row>
    <row r="486" spans="1:22" x14ac:dyDescent="0.3">
      <c r="A486" t="s">
        <v>20</v>
      </c>
      <c r="B486" s="8">
        <v>51</v>
      </c>
      <c r="C486" s="8">
        <v>86.9</v>
      </c>
      <c r="D486" s="5">
        <v>1.76</v>
      </c>
      <c r="E486" s="5">
        <v>28.1</v>
      </c>
      <c r="F486" s="16" t="s">
        <v>1303</v>
      </c>
      <c r="G486" s="11">
        <v>0.53200000000000003</v>
      </c>
      <c r="H486" s="5">
        <v>93.632000000000005</v>
      </c>
      <c r="I486" s="8">
        <v>37</v>
      </c>
      <c r="J486" s="8">
        <v>112</v>
      </c>
      <c r="K486" s="8">
        <v>179</v>
      </c>
      <c r="L486" s="8">
        <v>96</v>
      </c>
      <c r="M486" t="s">
        <v>33</v>
      </c>
      <c r="N486" s="16" t="s">
        <v>22</v>
      </c>
      <c r="O486" s="16" t="s">
        <v>23</v>
      </c>
      <c r="P486" s="16" t="s">
        <v>24</v>
      </c>
      <c r="Q486" s="10" t="s">
        <v>468</v>
      </c>
      <c r="R486" s="3" t="str">
        <f t="shared" si="14"/>
        <v>96</v>
      </c>
      <c r="S486" s="3" t="str">
        <f t="shared" si="15"/>
        <v>78</v>
      </c>
      <c r="T486" s="16" t="s">
        <v>33</v>
      </c>
      <c r="U486" s="3">
        <v>16</v>
      </c>
      <c r="V486" s="16" t="str">
        <f>PROPER(Table1[[#This Row],[CVD Risk Level]])</f>
        <v>High</v>
      </c>
    </row>
    <row r="487" spans="1:22" x14ac:dyDescent="0.3">
      <c r="A487" t="s">
        <v>20</v>
      </c>
      <c r="B487" s="8">
        <v>47</v>
      </c>
      <c r="C487" s="8">
        <v>55.7</v>
      </c>
      <c r="D487" s="5">
        <v>1.76</v>
      </c>
      <c r="E487" s="5">
        <v>18</v>
      </c>
      <c r="F487" s="16" t="s">
        <v>1304</v>
      </c>
      <c r="G487" s="11">
        <v>0.60699999999999998</v>
      </c>
      <c r="H487" s="5">
        <v>106.8</v>
      </c>
      <c r="I487" s="8">
        <v>31</v>
      </c>
      <c r="J487" s="8">
        <v>44</v>
      </c>
      <c r="K487" s="8">
        <v>105</v>
      </c>
      <c r="L487" s="8">
        <v>146</v>
      </c>
      <c r="M487" t="s">
        <v>1307</v>
      </c>
      <c r="N487" s="16" t="s">
        <v>23</v>
      </c>
      <c r="O487" s="16" t="s">
        <v>22</v>
      </c>
      <c r="P487" s="16" t="s">
        <v>24</v>
      </c>
      <c r="Q487" s="10" t="s">
        <v>469</v>
      </c>
      <c r="R487" s="3" t="str">
        <f t="shared" si="14"/>
        <v>111</v>
      </c>
      <c r="S487" s="3" t="str">
        <f t="shared" si="15"/>
        <v>85</v>
      </c>
      <c r="T487" s="16" t="s">
        <v>29</v>
      </c>
      <c r="U487" s="3">
        <v>11.25</v>
      </c>
      <c r="V487" s="16" t="str">
        <f>PROPER(Table1[[#This Row],[CVD Risk Level]])</f>
        <v>High</v>
      </c>
    </row>
    <row r="488" spans="1:22" x14ac:dyDescent="0.3">
      <c r="A488" t="s">
        <v>20</v>
      </c>
      <c r="B488" s="8">
        <v>34</v>
      </c>
      <c r="C488" s="8">
        <v>52.9</v>
      </c>
      <c r="D488" s="5">
        <v>1.88</v>
      </c>
      <c r="E488" s="5">
        <v>15</v>
      </c>
      <c r="F488" s="16" t="s">
        <v>1304</v>
      </c>
      <c r="G488" s="11">
        <v>0.39900000000000002</v>
      </c>
      <c r="H488" s="5">
        <v>75.099999999999994</v>
      </c>
      <c r="I488" s="8">
        <v>70</v>
      </c>
      <c r="J488" s="8">
        <v>103</v>
      </c>
      <c r="K488" s="8">
        <v>203</v>
      </c>
      <c r="L488" s="8">
        <v>124</v>
      </c>
      <c r="M488" t="s">
        <v>1306</v>
      </c>
      <c r="N488" s="16" t="s">
        <v>23</v>
      </c>
      <c r="O488" s="16" t="s">
        <v>22</v>
      </c>
      <c r="P488" s="16" t="s">
        <v>28</v>
      </c>
      <c r="Q488" s="10" t="s">
        <v>470</v>
      </c>
      <c r="R488" s="3" t="str">
        <f t="shared" si="14"/>
        <v>132</v>
      </c>
      <c r="S488" s="3" t="str">
        <f t="shared" si="15"/>
        <v>95</v>
      </c>
      <c r="T488" s="16" t="s">
        <v>29</v>
      </c>
      <c r="U488" s="3">
        <v>13.66</v>
      </c>
      <c r="V488" s="16" t="str">
        <f>PROPER(Table1[[#This Row],[CVD Risk Level]])</f>
        <v>Intermediary</v>
      </c>
    </row>
    <row r="489" spans="1:22" x14ac:dyDescent="0.3">
      <c r="A489" t="s">
        <v>20</v>
      </c>
      <c r="B489" s="8">
        <v>57</v>
      </c>
      <c r="C489" s="8">
        <v>58.5</v>
      </c>
      <c r="D489" s="5">
        <v>1.82</v>
      </c>
      <c r="E489" s="5">
        <v>17.7</v>
      </c>
      <c r="F489" s="16" t="s">
        <v>1304</v>
      </c>
      <c r="G489" s="11">
        <v>0.46100000000000002</v>
      </c>
      <c r="H489" s="5">
        <v>83.9</v>
      </c>
      <c r="I489" s="8">
        <v>55</v>
      </c>
      <c r="J489" s="8">
        <v>206</v>
      </c>
      <c r="K489" s="8">
        <v>522</v>
      </c>
      <c r="L489" s="8">
        <v>112</v>
      </c>
      <c r="M489" t="s">
        <v>1306</v>
      </c>
      <c r="N489" s="16" t="s">
        <v>22</v>
      </c>
      <c r="O489" s="16" t="s">
        <v>22</v>
      </c>
      <c r="P489" s="16" t="s">
        <v>37</v>
      </c>
      <c r="Q489" s="10" t="s">
        <v>471</v>
      </c>
      <c r="R489" s="3" t="str">
        <f t="shared" si="14"/>
        <v>97</v>
      </c>
      <c r="S489" s="3" t="str">
        <f t="shared" si="15"/>
        <v>80</v>
      </c>
      <c r="T489" s="16" t="s">
        <v>29</v>
      </c>
      <c r="U489" s="3">
        <v>14.21</v>
      </c>
      <c r="V489" s="16" t="str">
        <f>PROPER(Table1[[#This Row],[CVD Risk Level]])</f>
        <v>Intermediary</v>
      </c>
    </row>
    <row r="490" spans="1:22" x14ac:dyDescent="0.3">
      <c r="A490" t="s">
        <v>20</v>
      </c>
      <c r="B490" s="8">
        <v>39</v>
      </c>
      <c r="C490" s="8">
        <v>65.7</v>
      </c>
      <c r="D490" s="5">
        <v>1.81</v>
      </c>
      <c r="E490" s="5">
        <v>20.100000000000001</v>
      </c>
      <c r="F490" s="16" t="s">
        <v>33</v>
      </c>
      <c r="G490" s="11">
        <v>0.56599999999999995</v>
      </c>
      <c r="H490" s="5">
        <v>102.4</v>
      </c>
      <c r="I490" s="8">
        <v>65</v>
      </c>
      <c r="J490" s="8">
        <v>202</v>
      </c>
      <c r="K490" s="8">
        <v>297</v>
      </c>
      <c r="L490" s="8">
        <v>115</v>
      </c>
      <c r="M490" t="s">
        <v>1306</v>
      </c>
      <c r="N490" s="16" t="s">
        <v>22</v>
      </c>
      <c r="O490" s="16" t="s">
        <v>23</v>
      </c>
      <c r="P490" s="16" t="s">
        <v>24</v>
      </c>
      <c r="Q490" s="10" t="s">
        <v>472</v>
      </c>
      <c r="R490" s="3" t="str">
        <f t="shared" si="14"/>
        <v>92</v>
      </c>
      <c r="S490" s="3" t="str">
        <f t="shared" si="15"/>
        <v>96</v>
      </c>
      <c r="T490" s="16" t="s">
        <v>38</v>
      </c>
      <c r="U490" s="3">
        <v>16.559999999999999</v>
      </c>
      <c r="V490" s="16" t="str">
        <f>PROPER(Table1[[#This Row],[CVD Risk Level]])</f>
        <v>High</v>
      </c>
    </row>
    <row r="491" spans="1:22" x14ac:dyDescent="0.3">
      <c r="A491" t="s">
        <v>31</v>
      </c>
      <c r="B491" s="8">
        <v>57</v>
      </c>
      <c r="C491" s="8">
        <v>53.1</v>
      </c>
      <c r="D491" s="5">
        <v>1.63</v>
      </c>
      <c r="E491" s="5">
        <v>20</v>
      </c>
      <c r="F491" s="16" t="s">
        <v>33</v>
      </c>
      <c r="G491" s="11">
        <v>0.65</v>
      </c>
      <c r="H491" s="5">
        <v>105.9</v>
      </c>
      <c r="I491" s="8">
        <v>80</v>
      </c>
      <c r="J491" s="8">
        <v>43</v>
      </c>
      <c r="K491" s="8">
        <v>153</v>
      </c>
      <c r="L491" s="8">
        <v>114</v>
      </c>
      <c r="M491" t="s">
        <v>1306</v>
      </c>
      <c r="N491" s="16" t="s">
        <v>22</v>
      </c>
      <c r="O491" s="16" t="s">
        <v>23</v>
      </c>
      <c r="P491" s="16" t="s">
        <v>24</v>
      </c>
      <c r="Q491" s="10" t="s">
        <v>166</v>
      </c>
      <c r="R491" s="3" t="str">
        <f t="shared" si="14"/>
        <v>140</v>
      </c>
      <c r="S491" s="3" t="str">
        <f t="shared" si="15"/>
        <v>85</v>
      </c>
      <c r="T491" s="16" t="s">
        <v>29</v>
      </c>
      <c r="U491" s="3">
        <v>16.960925291295425</v>
      </c>
      <c r="V491" s="16" t="str">
        <f>PROPER(Table1[[#This Row],[CVD Risk Level]])</f>
        <v>High</v>
      </c>
    </row>
    <row r="492" spans="1:22" x14ac:dyDescent="0.3">
      <c r="A492" t="s">
        <v>31</v>
      </c>
      <c r="B492" s="8">
        <v>30</v>
      </c>
      <c r="C492" s="8">
        <v>106.2</v>
      </c>
      <c r="D492" s="5">
        <v>1.87</v>
      </c>
      <c r="E492" s="5">
        <v>30.4</v>
      </c>
      <c r="F492" s="16" t="s">
        <v>1302</v>
      </c>
      <c r="G492" s="11">
        <v>0.56399999999999995</v>
      </c>
      <c r="H492" s="5">
        <v>105.5</v>
      </c>
      <c r="I492" s="8">
        <v>50</v>
      </c>
      <c r="J492" s="8">
        <v>188</v>
      </c>
      <c r="K492" s="8">
        <v>268</v>
      </c>
      <c r="L492" s="8">
        <v>139</v>
      </c>
      <c r="M492" t="s">
        <v>1307</v>
      </c>
      <c r="N492" s="16" t="s">
        <v>23</v>
      </c>
      <c r="O492" s="16" t="s">
        <v>23</v>
      </c>
      <c r="P492" s="16" t="s">
        <v>37</v>
      </c>
      <c r="Q492" s="10" t="s">
        <v>190</v>
      </c>
      <c r="R492" s="3" t="str">
        <f t="shared" si="14"/>
        <v>119</v>
      </c>
      <c r="S492" s="3" t="str">
        <f t="shared" si="15"/>
        <v>92</v>
      </c>
      <c r="T492" s="16" t="s">
        <v>38</v>
      </c>
      <c r="U492" s="3">
        <v>19.39</v>
      </c>
      <c r="V492" s="16" t="str">
        <f>PROPER(Table1[[#This Row],[CVD Risk Level]])</f>
        <v>High</v>
      </c>
    </row>
    <row r="493" spans="1:22" x14ac:dyDescent="0.3">
      <c r="A493" t="s">
        <v>20</v>
      </c>
      <c r="B493" s="8">
        <v>51</v>
      </c>
      <c r="C493" s="8">
        <v>118.4</v>
      </c>
      <c r="D493" s="5">
        <v>1.9</v>
      </c>
      <c r="E493" s="5">
        <v>32.799999999999997</v>
      </c>
      <c r="F493" s="16" t="s">
        <v>1302</v>
      </c>
      <c r="G493" s="11">
        <v>0.42599999999999999</v>
      </c>
      <c r="H493" s="5">
        <v>80.900000000000006</v>
      </c>
      <c r="I493" s="8">
        <v>48</v>
      </c>
      <c r="J493" s="8">
        <v>124</v>
      </c>
      <c r="K493" s="8">
        <v>202</v>
      </c>
      <c r="L493" s="8">
        <v>148</v>
      </c>
      <c r="M493" t="s">
        <v>1307</v>
      </c>
      <c r="N493" s="16" t="s">
        <v>22</v>
      </c>
      <c r="O493" s="16" t="s">
        <v>23</v>
      </c>
      <c r="P493" s="16" t="s">
        <v>28</v>
      </c>
      <c r="Q493" s="10" t="s">
        <v>473</v>
      </c>
      <c r="R493" s="3" t="str">
        <f t="shared" si="14"/>
        <v>91</v>
      </c>
      <c r="S493" s="3" t="str">
        <f t="shared" si="15"/>
        <v>71</v>
      </c>
      <c r="T493" s="16" t="s">
        <v>33</v>
      </c>
      <c r="U493" s="3">
        <v>17.149999999999999</v>
      </c>
      <c r="V493" s="16" t="str">
        <f>PROPER(Table1[[#This Row],[CVD Risk Level]])</f>
        <v>High</v>
      </c>
    </row>
    <row r="494" spans="1:22" x14ac:dyDescent="0.3">
      <c r="A494" t="s">
        <v>31</v>
      </c>
      <c r="B494" s="8">
        <v>55</v>
      </c>
      <c r="C494" s="8">
        <v>70.2</v>
      </c>
      <c r="D494" s="5">
        <v>1.72</v>
      </c>
      <c r="E494" s="5">
        <v>23.7</v>
      </c>
      <c r="F494" s="16" t="s">
        <v>33</v>
      </c>
      <c r="G494" s="11">
        <v>0.40699999999999997</v>
      </c>
      <c r="H494" s="5">
        <v>70</v>
      </c>
      <c r="I494" s="8">
        <v>77</v>
      </c>
      <c r="J494" s="8">
        <v>193</v>
      </c>
      <c r="K494" s="8">
        <v>300</v>
      </c>
      <c r="L494" s="8">
        <v>141</v>
      </c>
      <c r="M494" t="s">
        <v>1307</v>
      </c>
      <c r="N494" s="16" t="s">
        <v>23</v>
      </c>
      <c r="O494" s="16" t="s">
        <v>22</v>
      </c>
      <c r="P494" s="16" t="s">
        <v>28</v>
      </c>
      <c r="Q494" s="10" t="s">
        <v>268</v>
      </c>
      <c r="R494" s="3" t="str">
        <f t="shared" si="14"/>
        <v>121</v>
      </c>
      <c r="S494" s="3" t="str">
        <f t="shared" si="15"/>
        <v>68</v>
      </c>
      <c r="T494" s="16" t="s">
        <v>25</v>
      </c>
      <c r="U494" s="3">
        <v>16.79</v>
      </c>
      <c r="V494" s="16" t="str">
        <f>PROPER(Table1[[#This Row],[CVD Risk Level]])</f>
        <v>High</v>
      </c>
    </row>
    <row r="495" spans="1:22" x14ac:dyDescent="0.3">
      <c r="A495" t="s">
        <v>20</v>
      </c>
      <c r="B495" s="8">
        <v>46</v>
      </c>
      <c r="C495" s="8">
        <v>76.099999999999994</v>
      </c>
      <c r="D495" s="5">
        <v>1.88</v>
      </c>
      <c r="E495" s="5">
        <v>21.5</v>
      </c>
      <c r="F495" s="16" t="s">
        <v>33</v>
      </c>
      <c r="G495" s="11">
        <v>0.52200000000000002</v>
      </c>
      <c r="H495" s="5">
        <v>98.2</v>
      </c>
      <c r="I495" s="8">
        <v>64</v>
      </c>
      <c r="J495" s="8">
        <v>55</v>
      </c>
      <c r="K495" s="8">
        <v>149</v>
      </c>
      <c r="L495" s="8">
        <v>105</v>
      </c>
      <c r="M495" t="s">
        <v>1306</v>
      </c>
      <c r="N495" s="16" t="s">
        <v>23</v>
      </c>
      <c r="O495" s="16" t="s">
        <v>22</v>
      </c>
      <c r="P495" s="16" t="s">
        <v>24</v>
      </c>
      <c r="Q495" s="10" t="s">
        <v>474</v>
      </c>
      <c r="R495" s="3" t="str">
        <f t="shared" si="14"/>
        <v>98</v>
      </c>
      <c r="S495" s="3" t="str">
        <f t="shared" si="15"/>
        <v>90</v>
      </c>
      <c r="T495" s="16" t="s">
        <v>38</v>
      </c>
      <c r="U495" s="3">
        <v>12.18</v>
      </c>
      <c r="V495" s="16" t="str">
        <f>PROPER(Table1[[#This Row],[CVD Risk Level]])</f>
        <v>High</v>
      </c>
    </row>
    <row r="496" spans="1:22" x14ac:dyDescent="0.3">
      <c r="A496" t="s">
        <v>20</v>
      </c>
      <c r="B496" s="8">
        <v>57</v>
      </c>
      <c r="C496" s="8">
        <v>104.8</v>
      </c>
      <c r="D496" s="5">
        <v>1.84</v>
      </c>
      <c r="E496" s="5">
        <v>31</v>
      </c>
      <c r="F496" s="16" t="s">
        <v>1302</v>
      </c>
      <c r="G496" s="11">
        <v>0.56799999999999995</v>
      </c>
      <c r="H496" s="5">
        <v>104.6</v>
      </c>
      <c r="I496" s="8">
        <v>78</v>
      </c>
      <c r="J496" s="8">
        <v>84</v>
      </c>
      <c r="K496" s="8">
        <v>192</v>
      </c>
      <c r="L496" s="8">
        <v>106</v>
      </c>
      <c r="M496" t="s">
        <v>1306</v>
      </c>
      <c r="N496" s="16" t="s">
        <v>23</v>
      </c>
      <c r="O496" s="16" t="s">
        <v>23</v>
      </c>
      <c r="P496" s="16" t="s">
        <v>28</v>
      </c>
      <c r="Q496" s="10" t="s">
        <v>475</v>
      </c>
      <c r="R496" s="3" t="str">
        <f t="shared" si="14"/>
        <v>150</v>
      </c>
      <c r="S496" s="3" t="str">
        <f t="shared" si="15"/>
        <v>97</v>
      </c>
      <c r="T496" s="16" t="s">
        <v>38</v>
      </c>
      <c r="U496" s="3">
        <v>19.54</v>
      </c>
      <c r="V496" s="16" t="str">
        <f>PROPER(Table1[[#This Row],[CVD Risk Level]])</f>
        <v>High</v>
      </c>
    </row>
    <row r="497" spans="1:22" x14ac:dyDescent="0.3">
      <c r="A497" t="s">
        <v>31</v>
      </c>
      <c r="B497" s="8">
        <v>35</v>
      </c>
      <c r="C497" s="8">
        <v>50.4</v>
      </c>
      <c r="D497" s="5">
        <v>1.67</v>
      </c>
      <c r="E497" s="5">
        <v>18.100000000000001</v>
      </c>
      <c r="F497" s="16" t="s">
        <v>1304</v>
      </c>
      <c r="G497" s="11">
        <v>0.65100000000000002</v>
      </c>
      <c r="H497" s="5">
        <v>108.8</v>
      </c>
      <c r="I497" s="8">
        <v>39</v>
      </c>
      <c r="J497" s="8">
        <v>188</v>
      </c>
      <c r="K497" s="8">
        <v>454</v>
      </c>
      <c r="L497" s="8">
        <v>144</v>
      </c>
      <c r="M497" t="s">
        <v>1307</v>
      </c>
      <c r="N497" s="16" t="s">
        <v>23</v>
      </c>
      <c r="O497" s="16" t="s">
        <v>22</v>
      </c>
      <c r="P497" s="16" t="s">
        <v>37</v>
      </c>
      <c r="Q497" s="10" t="s">
        <v>476</v>
      </c>
      <c r="R497" s="3" t="str">
        <f t="shared" si="14"/>
        <v>133</v>
      </c>
      <c r="S497" s="3" t="str">
        <f t="shared" si="15"/>
        <v>71</v>
      </c>
      <c r="T497" s="16" t="s">
        <v>29</v>
      </c>
      <c r="U497" s="3">
        <v>15.41</v>
      </c>
      <c r="V497" s="16" t="str">
        <f>PROPER(Table1[[#This Row],[CVD Risk Level]])</f>
        <v>High</v>
      </c>
    </row>
    <row r="498" spans="1:22" x14ac:dyDescent="0.3">
      <c r="A498" t="s">
        <v>31</v>
      </c>
      <c r="B498" s="8">
        <v>51</v>
      </c>
      <c r="C498" s="8">
        <v>113.8</v>
      </c>
      <c r="D498" s="5">
        <v>1.8</v>
      </c>
      <c r="E498" s="5">
        <v>35.1</v>
      </c>
      <c r="F498" s="16" t="s">
        <v>1302</v>
      </c>
      <c r="G498" s="11">
        <v>0.60599999999999998</v>
      </c>
      <c r="H498" s="5">
        <v>109</v>
      </c>
      <c r="I498" s="8">
        <v>40</v>
      </c>
      <c r="J498" s="8">
        <v>167</v>
      </c>
      <c r="K498" s="8">
        <v>237</v>
      </c>
      <c r="L498" s="8">
        <v>129</v>
      </c>
      <c r="M498" t="s">
        <v>1307</v>
      </c>
      <c r="N498" s="16" t="s">
        <v>23</v>
      </c>
      <c r="O498" s="16" t="s">
        <v>23</v>
      </c>
      <c r="P498" s="16" t="s">
        <v>28</v>
      </c>
      <c r="Q498" s="10" t="s">
        <v>477</v>
      </c>
      <c r="R498" s="3" t="str">
        <f t="shared" si="14"/>
        <v>127</v>
      </c>
      <c r="S498" s="3" t="str">
        <f t="shared" si="15"/>
        <v>80</v>
      </c>
      <c r="T498" s="16" t="s">
        <v>29</v>
      </c>
      <c r="U498" s="3">
        <v>20.11</v>
      </c>
      <c r="V498" s="16" t="str">
        <f>PROPER(Table1[[#This Row],[CVD Risk Level]])</f>
        <v>High</v>
      </c>
    </row>
    <row r="499" spans="1:22" x14ac:dyDescent="0.3">
      <c r="A499" t="s">
        <v>20</v>
      </c>
      <c r="B499" s="8">
        <v>58</v>
      </c>
      <c r="C499" s="8">
        <v>73.3</v>
      </c>
      <c r="D499" s="5">
        <v>1.87</v>
      </c>
      <c r="E499" s="5">
        <v>20.961422974634672</v>
      </c>
      <c r="F499" s="16" t="s">
        <v>33</v>
      </c>
      <c r="G499" s="11">
        <v>0.39900000000000002</v>
      </c>
      <c r="H499" s="5">
        <v>74.599999999999994</v>
      </c>
      <c r="I499" s="8">
        <v>73</v>
      </c>
      <c r="J499" s="8">
        <v>41</v>
      </c>
      <c r="K499" s="8">
        <v>144</v>
      </c>
      <c r="L499" s="8">
        <v>129</v>
      </c>
      <c r="M499" t="s">
        <v>1307</v>
      </c>
      <c r="N499" s="16" t="s">
        <v>22</v>
      </c>
      <c r="O499" s="16" t="s">
        <v>23</v>
      </c>
      <c r="P499" s="16" t="s">
        <v>37</v>
      </c>
      <c r="Q499" s="10" t="s">
        <v>459</v>
      </c>
      <c r="R499" s="3" t="str">
        <f t="shared" si="14"/>
        <v>113</v>
      </c>
      <c r="S499" s="3" t="str">
        <f t="shared" si="15"/>
        <v>79</v>
      </c>
      <c r="T499" s="16" t="s">
        <v>33</v>
      </c>
      <c r="U499" s="3">
        <v>14.73</v>
      </c>
      <c r="V499" s="16" t="str">
        <f>PROPER(Table1[[#This Row],[CVD Risk Level]])</f>
        <v>Intermediary</v>
      </c>
    </row>
    <row r="500" spans="1:22" x14ac:dyDescent="0.3">
      <c r="A500" t="s">
        <v>20</v>
      </c>
      <c r="B500" s="8">
        <v>36</v>
      </c>
      <c r="C500" s="8">
        <v>78.400000000000006</v>
      </c>
      <c r="D500" s="5">
        <v>1.89</v>
      </c>
      <c r="E500" s="5">
        <v>21.9</v>
      </c>
      <c r="F500" s="16" t="s">
        <v>33</v>
      </c>
      <c r="G500" s="11">
        <v>0.56299999999999994</v>
      </c>
      <c r="H500" s="5">
        <v>106.4</v>
      </c>
      <c r="I500" s="8">
        <v>36</v>
      </c>
      <c r="J500" s="8">
        <v>229</v>
      </c>
      <c r="K500" s="8">
        <v>295</v>
      </c>
      <c r="L500" s="8">
        <v>77</v>
      </c>
      <c r="M500" t="s">
        <v>33</v>
      </c>
      <c r="N500" s="16" t="s">
        <v>23</v>
      </c>
      <c r="O500" s="16" t="s">
        <v>23</v>
      </c>
      <c r="P500" s="16" t="s">
        <v>28</v>
      </c>
      <c r="Q500" s="10" t="s">
        <v>478</v>
      </c>
      <c r="R500" s="3" t="str">
        <f t="shared" si="14"/>
        <v>143</v>
      </c>
      <c r="S500" s="3" t="str">
        <f t="shared" si="15"/>
        <v>75</v>
      </c>
      <c r="T500" s="16" t="s">
        <v>38</v>
      </c>
      <c r="U500" s="3">
        <v>19.43</v>
      </c>
      <c r="V500" s="16" t="str">
        <f>PROPER(Table1[[#This Row],[CVD Risk Level]])</f>
        <v>High</v>
      </c>
    </row>
    <row r="501" spans="1:22" x14ac:dyDescent="0.3">
      <c r="A501" t="s">
        <v>31</v>
      </c>
      <c r="B501" s="8">
        <v>34</v>
      </c>
      <c r="C501" s="8">
        <v>103.8</v>
      </c>
      <c r="D501" s="5">
        <v>1.84</v>
      </c>
      <c r="E501" s="5">
        <v>30.7</v>
      </c>
      <c r="F501" s="16" t="s">
        <v>1302</v>
      </c>
      <c r="G501" s="11">
        <v>0.44600000000000001</v>
      </c>
      <c r="H501" s="5">
        <v>82.1</v>
      </c>
      <c r="I501" s="8">
        <v>68</v>
      </c>
      <c r="J501" s="8">
        <v>169</v>
      </c>
      <c r="K501" s="8">
        <v>267</v>
      </c>
      <c r="L501" s="8">
        <v>75</v>
      </c>
      <c r="M501" t="s">
        <v>33</v>
      </c>
      <c r="N501" s="16" t="s">
        <v>22</v>
      </c>
      <c r="O501" s="16" t="s">
        <v>22</v>
      </c>
      <c r="P501" s="16" t="s">
        <v>37</v>
      </c>
      <c r="Q501" s="10" t="s">
        <v>479</v>
      </c>
      <c r="R501" s="3" t="str">
        <f t="shared" si="14"/>
        <v>123</v>
      </c>
      <c r="S501" s="3" t="str">
        <f t="shared" si="15"/>
        <v>87</v>
      </c>
      <c r="T501" s="16" t="s">
        <v>29</v>
      </c>
      <c r="U501" s="3">
        <v>17.63</v>
      </c>
      <c r="V501" s="16" t="str">
        <f>PROPER(Table1[[#This Row],[CVD Risk Level]])</f>
        <v>Intermediary</v>
      </c>
    </row>
    <row r="502" spans="1:22" x14ac:dyDescent="0.3">
      <c r="A502" t="s">
        <v>20</v>
      </c>
      <c r="B502" s="8">
        <v>30</v>
      </c>
      <c r="C502" s="8">
        <v>68</v>
      </c>
      <c r="D502" s="5">
        <v>1.86</v>
      </c>
      <c r="E502" s="5">
        <v>19.7</v>
      </c>
      <c r="F502" s="16" t="s">
        <v>33</v>
      </c>
      <c r="G502" s="11">
        <v>0.39</v>
      </c>
      <c r="H502" s="5">
        <v>72.5</v>
      </c>
      <c r="I502" s="8">
        <v>69</v>
      </c>
      <c r="J502" s="8">
        <v>168</v>
      </c>
      <c r="K502" s="8">
        <v>267</v>
      </c>
      <c r="L502" s="8">
        <v>101</v>
      </c>
      <c r="M502" t="s">
        <v>1306</v>
      </c>
      <c r="N502" s="16" t="s">
        <v>23</v>
      </c>
      <c r="O502" s="16" t="s">
        <v>23</v>
      </c>
      <c r="P502" s="16" t="s">
        <v>24</v>
      </c>
      <c r="Q502" s="10" t="s">
        <v>480</v>
      </c>
      <c r="R502" s="3" t="str">
        <f t="shared" si="14"/>
        <v>125</v>
      </c>
      <c r="S502" s="3" t="str">
        <f t="shared" si="15"/>
        <v>63</v>
      </c>
      <c r="T502" s="16" t="s">
        <v>25</v>
      </c>
      <c r="U502" s="3">
        <v>17.53</v>
      </c>
      <c r="V502" s="16" t="str">
        <f>PROPER(Table1[[#This Row],[CVD Risk Level]])</f>
        <v>High</v>
      </c>
    </row>
    <row r="503" spans="1:22" x14ac:dyDescent="0.3">
      <c r="A503" t="s">
        <v>31</v>
      </c>
      <c r="B503" s="8">
        <v>38</v>
      </c>
      <c r="C503" s="8">
        <v>58.3</v>
      </c>
      <c r="D503" s="5">
        <v>1.81</v>
      </c>
      <c r="E503" s="5">
        <v>17.8</v>
      </c>
      <c r="F503" s="16" t="s">
        <v>1304</v>
      </c>
      <c r="G503" s="11">
        <v>0.52200000000000002</v>
      </c>
      <c r="H503" s="5">
        <v>94.4</v>
      </c>
      <c r="I503" s="8">
        <v>61</v>
      </c>
      <c r="J503" s="8">
        <v>91</v>
      </c>
      <c r="K503" s="8">
        <v>182</v>
      </c>
      <c r="L503" s="8">
        <v>125</v>
      </c>
      <c r="M503" t="s">
        <v>1306</v>
      </c>
      <c r="N503" s="16" t="s">
        <v>22</v>
      </c>
      <c r="O503" s="16" t="s">
        <v>23</v>
      </c>
      <c r="P503" s="16" t="s">
        <v>24</v>
      </c>
      <c r="Q503" s="10" t="s">
        <v>481</v>
      </c>
      <c r="R503" s="3" t="str">
        <f t="shared" si="14"/>
        <v>115</v>
      </c>
      <c r="S503" s="3" t="str">
        <f t="shared" si="15"/>
        <v>71</v>
      </c>
      <c r="T503" s="16" t="s">
        <v>33</v>
      </c>
      <c r="U503" s="3">
        <v>14.95</v>
      </c>
      <c r="V503" s="16" t="str">
        <f>PROPER(Table1[[#This Row],[CVD Risk Level]])</f>
        <v>Intermediary</v>
      </c>
    </row>
    <row r="504" spans="1:22" x14ac:dyDescent="0.3">
      <c r="A504" t="s">
        <v>31</v>
      </c>
      <c r="B504" s="8">
        <v>51</v>
      </c>
      <c r="C504" s="8">
        <v>75.8</v>
      </c>
      <c r="D504" s="5">
        <v>1.9</v>
      </c>
      <c r="E504" s="5">
        <v>21</v>
      </c>
      <c r="F504" s="16" t="s">
        <v>33</v>
      </c>
      <c r="G504" s="11">
        <v>0.50900000000000001</v>
      </c>
      <c r="H504" s="5">
        <v>96.8</v>
      </c>
      <c r="I504" s="8">
        <v>52</v>
      </c>
      <c r="J504" s="8">
        <v>198</v>
      </c>
      <c r="K504" s="8">
        <v>280</v>
      </c>
      <c r="L504" s="8">
        <v>91</v>
      </c>
      <c r="M504" t="s">
        <v>33</v>
      </c>
      <c r="N504" s="16" t="s">
        <v>22</v>
      </c>
      <c r="O504" s="16" t="s">
        <v>23</v>
      </c>
      <c r="P504" s="16" t="s">
        <v>24</v>
      </c>
      <c r="Q504" s="10" t="s">
        <v>100</v>
      </c>
      <c r="R504" s="3" t="str">
        <f t="shared" si="14"/>
        <v>142</v>
      </c>
      <c r="S504" s="3" t="str">
        <f t="shared" si="15"/>
        <v>66</v>
      </c>
      <c r="T504" s="16" t="s">
        <v>38</v>
      </c>
      <c r="U504" s="3">
        <v>18.899999999999999</v>
      </c>
      <c r="V504" s="16" t="str">
        <f>PROPER(Table1[[#This Row],[CVD Risk Level]])</f>
        <v>High</v>
      </c>
    </row>
    <row r="505" spans="1:22" x14ac:dyDescent="0.3">
      <c r="A505" t="s">
        <v>20</v>
      </c>
      <c r="B505" s="8">
        <v>35</v>
      </c>
      <c r="C505" s="8">
        <v>66.599999999999994</v>
      </c>
      <c r="D505" s="5">
        <v>1.75</v>
      </c>
      <c r="E505" s="5">
        <v>21.7</v>
      </c>
      <c r="F505" s="16" t="s">
        <v>33</v>
      </c>
      <c r="G505" s="11">
        <v>0.623</v>
      </c>
      <c r="H505" s="5">
        <v>109</v>
      </c>
      <c r="I505" s="8">
        <v>73</v>
      </c>
      <c r="J505" s="8">
        <v>57</v>
      </c>
      <c r="K505" s="8">
        <v>160</v>
      </c>
      <c r="L505" s="8">
        <v>114</v>
      </c>
      <c r="M505" t="s">
        <v>1306</v>
      </c>
      <c r="N505" s="16" t="s">
        <v>23</v>
      </c>
      <c r="O505" s="16" t="s">
        <v>22</v>
      </c>
      <c r="P505" s="16" t="s">
        <v>28</v>
      </c>
      <c r="Q505" s="10" t="s">
        <v>283</v>
      </c>
      <c r="R505" s="3" t="str">
        <f t="shared" si="14"/>
        <v>124</v>
      </c>
      <c r="S505" s="3" t="str">
        <f t="shared" si="15"/>
        <v>66</v>
      </c>
      <c r="T505" s="16" t="s">
        <v>25</v>
      </c>
      <c r="U505" s="3">
        <v>13.74</v>
      </c>
      <c r="V505" s="16" t="str">
        <f>PROPER(Table1[[#This Row],[CVD Risk Level]])</f>
        <v>Low</v>
      </c>
    </row>
    <row r="506" spans="1:22" x14ac:dyDescent="0.3">
      <c r="A506" t="s">
        <v>31</v>
      </c>
      <c r="B506" s="8">
        <v>47.025499655410059</v>
      </c>
      <c r="C506" s="8">
        <v>92.5</v>
      </c>
      <c r="D506" s="5">
        <v>1.66</v>
      </c>
      <c r="E506" s="5">
        <v>33.6</v>
      </c>
      <c r="F506" s="16" t="s">
        <v>1302</v>
      </c>
      <c r="G506" s="11">
        <v>0.57699999999999996</v>
      </c>
      <c r="H506" s="5">
        <v>95.8</v>
      </c>
      <c r="I506" s="8">
        <v>37</v>
      </c>
      <c r="J506" s="8">
        <v>150</v>
      </c>
      <c r="K506" s="8">
        <v>217</v>
      </c>
      <c r="L506" s="8">
        <v>148</v>
      </c>
      <c r="M506" t="s">
        <v>1307</v>
      </c>
      <c r="N506" s="16" t="s">
        <v>23</v>
      </c>
      <c r="O506" s="16" t="s">
        <v>23</v>
      </c>
      <c r="P506" s="16" t="s">
        <v>37</v>
      </c>
      <c r="Q506" s="10" t="s">
        <v>482</v>
      </c>
      <c r="R506" s="3" t="str">
        <f t="shared" si="14"/>
        <v>147</v>
      </c>
      <c r="S506" s="3" t="str">
        <f t="shared" si="15"/>
        <v>63</v>
      </c>
      <c r="T506" s="16" t="s">
        <v>38</v>
      </c>
      <c r="U506" s="3">
        <v>20.41</v>
      </c>
      <c r="V506" s="16" t="str">
        <f>PROPER(Table1[[#This Row],[CVD Risk Level]])</f>
        <v>High</v>
      </c>
    </row>
    <row r="507" spans="1:22" x14ac:dyDescent="0.3">
      <c r="A507" t="s">
        <v>20</v>
      </c>
      <c r="B507" s="8">
        <v>56</v>
      </c>
      <c r="C507" s="8">
        <v>94</v>
      </c>
      <c r="D507" s="5">
        <v>1.9</v>
      </c>
      <c r="E507" s="5">
        <v>26</v>
      </c>
      <c r="F507" s="16" t="s">
        <v>1303</v>
      </c>
      <c r="G507" s="11">
        <v>0.41499999999999998</v>
      </c>
      <c r="H507" s="5">
        <v>78.8</v>
      </c>
      <c r="I507" s="8">
        <v>30</v>
      </c>
      <c r="J507" s="8">
        <v>124</v>
      </c>
      <c r="K507" s="8">
        <v>184</v>
      </c>
      <c r="L507" s="8">
        <v>102</v>
      </c>
      <c r="M507" t="s">
        <v>1306</v>
      </c>
      <c r="N507" s="16" t="s">
        <v>23</v>
      </c>
      <c r="O507" s="16" t="s">
        <v>22</v>
      </c>
      <c r="P507" s="16" t="s">
        <v>37</v>
      </c>
      <c r="Q507" s="10" t="s">
        <v>483</v>
      </c>
      <c r="R507" s="3" t="str">
        <f t="shared" si="14"/>
        <v>149</v>
      </c>
      <c r="S507" s="3" t="str">
        <f t="shared" si="15"/>
        <v>89</v>
      </c>
      <c r="T507" s="16" t="s">
        <v>29</v>
      </c>
      <c r="U507" s="3">
        <v>16.329999999999998</v>
      </c>
      <c r="V507" s="16" t="str">
        <f>PROPER(Table1[[#This Row],[CVD Risk Level]])</f>
        <v>High</v>
      </c>
    </row>
    <row r="508" spans="1:22" x14ac:dyDescent="0.3">
      <c r="A508" t="s">
        <v>31</v>
      </c>
      <c r="B508" s="8">
        <v>43</v>
      </c>
      <c r="C508" s="8">
        <v>92.9</v>
      </c>
      <c r="D508" s="5">
        <v>1.82</v>
      </c>
      <c r="E508" s="5">
        <v>28</v>
      </c>
      <c r="F508" s="16" t="s">
        <v>1303</v>
      </c>
      <c r="G508" s="11">
        <v>0.52400000000000002</v>
      </c>
      <c r="H508" s="5">
        <v>95.4</v>
      </c>
      <c r="I508" s="8">
        <v>71</v>
      </c>
      <c r="J508" s="8">
        <v>31</v>
      </c>
      <c r="K508" s="8">
        <v>132</v>
      </c>
      <c r="L508" s="8">
        <v>86</v>
      </c>
      <c r="M508" t="s">
        <v>33</v>
      </c>
      <c r="N508" s="16" t="s">
        <v>22</v>
      </c>
      <c r="O508" s="16" t="s">
        <v>22</v>
      </c>
      <c r="P508" s="16" t="s">
        <v>24</v>
      </c>
      <c r="Q508" s="10" t="s">
        <v>484</v>
      </c>
      <c r="R508" s="3" t="str">
        <f t="shared" si="14"/>
        <v>145</v>
      </c>
      <c r="S508" s="3" t="str">
        <f t="shared" si="15"/>
        <v>63</v>
      </c>
      <c r="T508" s="16" t="s">
        <v>38</v>
      </c>
      <c r="U508" s="3">
        <v>15.49</v>
      </c>
      <c r="V508" s="16" t="str">
        <f>PROPER(Table1[[#This Row],[CVD Risk Level]])</f>
        <v>Intermediary</v>
      </c>
    </row>
    <row r="509" spans="1:22" x14ac:dyDescent="0.3">
      <c r="A509" t="s">
        <v>31</v>
      </c>
      <c r="B509" s="8">
        <v>49</v>
      </c>
      <c r="C509" s="8">
        <v>53.660879999999999</v>
      </c>
      <c r="D509" s="5">
        <v>1.82</v>
      </c>
      <c r="E509" s="5">
        <v>16.2</v>
      </c>
      <c r="F509" s="16" t="s">
        <v>1304</v>
      </c>
      <c r="G509" s="11">
        <v>0.45200000000000001</v>
      </c>
      <c r="H509" s="5">
        <v>82.2</v>
      </c>
      <c r="I509" s="8">
        <v>32</v>
      </c>
      <c r="J509" s="8">
        <v>136</v>
      </c>
      <c r="K509" s="8">
        <v>336</v>
      </c>
      <c r="L509" s="8">
        <v>124</v>
      </c>
      <c r="M509" t="s">
        <v>1306</v>
      </c>
      <c r="N509" s="16" t="s">
        <v>23</v>
      </c>
      <c r="O509" s="16" t="s">
        <v>22</v>
      </c>
      <c r="P509" s="16" t="s">
        <v>28</v>
      </c>
      <c r="Q509" s="10" t="s">
        <v>485</v>
      </c>
      <c r="R509" s="3" t="str">
        <f t="shared" si="14"/>
        <v>136</v>
      </c>
      <c r="S509" s="3" t="str">
        <f t="shared" si="15"/>
        <v>95</v>
      </c>
      <c r="T509" s="16" t="s">
        <v>29</v>
      </c>
      <c r="U509" s="3">
        <v>14</v>
      </c>
      <c r="V509" s="16" t="str">
        <f>PROPER(Table1[[#This Row],[CVD Risk Level]])</f>
        <v>Intermediary</v>
      </c>
    </row>
    <row r="510" spans="1:22" x14ac:dyDescent="0.3">
      <c r="A510" t="s">
        <v>20</v>
      </c>
      <c r="B510" s="8">
        <v>36</v>
      </c>
      <c r="C510" s="8">
        <v>51.9</v>
      </c>
      <c r="D510" s="5">
        <v>1.67</v>
      </c>
      <c r="E510" s="5">
        <v>18.600000000000001</v>
      </c>
      <c r="F510" s="16" t="s">
        <v>33</v>
      </c>
      <c r="G510" s="11">
        <v>0.60599999999999998</v>
      </c>
      <c r="H510" s="5">
        <v>101.2</v>
      </c>
      <c r="I510" s="8">
        <v>58</v>
      </c>
      <c r="J510" s="8">
        <v>137</v>
      </c>
      <c r="K510" s="8">
        <v>225</v>
      </c>
      <c r="L510" s="8">
        <v>117.48563611491107</v>
      </c>
      <c r="M510" t="s">
        <v>1306</v>
      </c>
      <c r="N510" s="16" t="s">
        <v>23</v>
      </c>
      <c r="O510" s="16" t="s">
        <v>22</v>
      </c>
      <c r="P510" s="16" t="s">
        <v>28</v>
      </c>
      <c r="Q510" s="10" t="s">
        <v>486</v>
      </c>
      <c r="R510" s="3" t="str">
        <f t="shared" si="14"/>
        <v>103</v>
      </c>
      <c r="S510" s="3" t="str">
        <f t="shared" si="15"/>
        <v>80</v>
      </c>
      <c r="T510" s="16" t="s">
        <v>29</v>
      </c>
      <c r="U510" s="3">
        <v>13.37</v>
      </c>
      <c r="V510" s="16" t="str">
        <f>PROPER(Table1[[#This Row],[CVD Risk Level]])</f>
        <v>Intermediary</v>
      </c>
    </row>
    <row r="511" spans="1:22" x14ac:dyDescent="0.3">
      <c r="A511" t="s">
        <v>20</v>
      </c>
      <c r="B511" s="8">
        <v>44</v>
      </c>
      <c r="C511" s="8">
        <v>65.8</v>
      </c>
      <c r="D511" s="5">
        <v>1.89</v>
      </c>
      <c r="E511" s="5">
        <v>18.399999999999999</v>
      </c>
      <c r="F511" s="16" t="s">
        <v>1304</v>
      </c>
      <c r="G511" s="11">
        <v>0.57699999999999996</v>
      </c>
      <c r="H511" s="5">
        <v>109</v>
      </c>
      <c r="I511" s="8">
        <v>33</v>
      </c>
      <c r="J511" s="8">
        <v>208</v>
      </c>
      <c r="K511" s="8">
        <v>271</v>
      </c>
      <c r="L511" s="8">
        <v>147</v>
      </c>
      <c r="M511" t="s">
        <v>1307</v>
      </c>
      <c r="N511" s="16" t="s">
        <v>23</v>
      </c>
      <c r="O511" s="16" t="s">
        <v>23</v>
      </c>
      <c r="P511" s="16" t="s">
        <v>24</v>
      </c>
      <c r="Q511" s="10" t="s">
        <v>487</v>
      </c>
      <c r="R511" s="3" t="str">
        <f t="shared" si="14"/>
        <v>107</v>
      </c>
      <c r="S511" s="3" t="str">
        <f t="shared" si="15"/>
        <v>64</v>
      </c>
      <c r="T511" s="16" t="s">
        <v>33</v>
      </c>
      <c r="U511" s="3">
        <v>16.45</v>
      </c>
      <c r="V511" s="16" t="str">
        <f>PROPER(Table1[[#This Row],[CVD Risk Level]])</f>
        <v>High</v>
      </c>
    </row>
    <row r="512" spans="1:22" x14ac:dyDescent="0.3">
      <c r="A512" t="s">
        <v>31</v>
      </c>
      <c r="B512" s="8">
        <v>35</v>
      </c>
      <c r="C512" s="8">
        <v>83.6</v>
      </c>
      <c r="D512" s="5">
        <v>1.7</v>
      </c>
      <c r="E512" s="5">
        <v>28.9</v>
      </c>
      <c r="F512" s="16" t="s">
        <v>1303</v>
      </c>
      <c r="G512" s="11">
        <v>0.59899999999999998</v>
      </c>
      <c r="H512" s="5">
        <v>101.8</v>
      </c>
      <c r="I512" s="8">
        <v>58</v>
      </c>
      <c r="J512" s="8">
        <v>30</v>
      </c>
      <c r="K512" s="8">
        <v>118</v>
      </c>
      <c r="L512" s="8">
        <v>91</v>
      </c>
      <c r="M512" t="s">
        <v>33</v>
      </c>
      <c r="N512" s="16" t="s">
        <v>22</v>
      </c>
      <c r="O512" s="16" t="s">
        <v>22</v>
      </c>
      <c r="P512" s="16" t="s">
        <v>28</v>
      </c>
      <c r="Q512" s="10" t="s">
        <v>488</v>
      </c>
      <c r="R512" s="3" t="str">
        <f t="shared" si="14"/>
        <v>141</v>
      </c>
      <c r="S512" s="3" t="str">
        <f t="shared" si="15"/>
        <v>81</v>
      </c>
      <c r="T512" s="16" t="s">
        <v>29</v>
      </c>
      <c r="U512" s="3">
        <v>15.19</v>
      </c>
      <c r="V512" s="16" t="str">
        <f>PROPER(Table1[[#This Row],[CVD Risk Level]])</f>
        <v>Intermediary</v>
      </c>
    </row>
    <row r="513" spans="1:22" x14ac:dyDescent="0.3">
      <c r="A513" t="s">
        <v>20</v>
      </c>
      <c r="B513" s="8">
        <v>43</v>
      </c>
      <c r="C513" s="8">
        <v>119.9</v>
      </c>
      <c r="D513" s="5">
        <v>1.85</v>
      </c>
      <c r="E513" s="5">
        <v>35.032870708546383</v>
      </c>
      <c r="F513" s="16" t="s">
        <v>1302</v>
      </c>
      <c r="G513" s="11">
        <v>0.41399999999999998</v>
      </c>
      <c r="H513" s="5">
        <v>76.589999999999989</v>
      </c>
      <c r="I513" s="8">
        <v>44</v>
      </c>
      <c r="J513" s="8">
        <v>146</v>
      </c>
      <c r="K513" s="8">
        <v>220</v>
      </c>
      <c r="L513" s="8">
        <v>85</v>
      </c>
      <c r="M513" t="s">
        <v>33</v>
      </c>
      <c r="N513" s="16" t="s">
        <v>22</v>
      </c>
      <c r="O513" s="16" t="s">
        <v>22</v>
      </c>
      <c r="P513" s="16" t="s">
        <v>37</v>
      </c>
      <c r="Q513" s="10" t="s">
        <v>489</v>
      </c>
      <c r="R513" s="3" t="str">
        <f t="shared" si="14"/>
        <v>126</v>
      </c>
      <c r="S513" s="3" t="str">
        <f t="shared" si="15"/>
        <v>62</v>
      </c>
      <c r="T513" s="16" t="s">
        <v>25</v>
      </c>
      <c r="U513" s="3">
        <v>17.7</v>
      </c>
      <c r="V513" s="16" t="str">
        <f>PROPER(Table1[[#This Row],[CVD Risk Level]])</f>
        <v>Intermediary</v>
      </c>
    </row>
    <row r="514" spans="1:22" x14ac:dyDescent="0.3">
      <c r="A514" t="s">
        <v>31</v>
      </c>
      <c r="B514" s="8">
        <v>34</v>
      </c>
      <c r="C514" s="8">
        <v>118.2</v>
      </c>
      <c r="D514" s="5">
        <v>1.72</v>
      </c>
      <c r="E514" s="5">
        <v>40</v>
      </c>
      <c r="F514" s="16" t="s">
        <v>1302</v>
      </c>
      <c r="G514" s="11">
        <v>0.45100000000000001</v>
      </c>
      <c r="H514" s="5">
        <v>77.5</v>
      </c>
      <c r="I514" s="8">
        <v>68</v>
      </c>
      <c r="J514" s="8">
        <v>192</v>
      </c>
      <c r="K514" s="8">
        <v>290</v>
      </c>
      <c r="L514" s="8">
        <v>92</v>
      </c>
      <c r="M514" t="s">
        <v>33</v>
      </c>
      <c r="N514" s="16" t="s">
        <v>23</v>
      </c>
      <c r="O514" s="16" t="s">
        <v>22</v>
      </c>
      <c r="P514" s="16" t="s">
        <v>24</v>
      </c>
      <c r="Q514" s="10" t="s">
        <v>490</v>
      </c>
      <c r="R514" s="3" t="str">
        <f t="shared" si="14"/>
        <v>136</v>
      </c>
      <c r="S514" s="3" t="str">
        <f t="shared" si="15"/>
        <v>83</v>
      </c>
      <c r="T514" s="16" t="s">
        <v>29</v>
      </c>
      <c r="U514" s="3">
        <v>20.6</v>
      </c>
      <c r="V514" s="16" t="str">
        <f>PROPER(Table1[[#This Row],[CVD Risk Level]])</f>
        <v>High</v>
      </c>
    </row>
    <row r="515" spans="1:22" x14ac:dyDescent="0.3">
      <c r="A515" t="s">
        <v>31</v>
      </c>
      <c r="B515" s="8">
        <v>48</v>
      </c>
      <c r="C515" s="8">
        <v>116.5</v>
      </c>
      <c r="D515" s="5">
        <v>1.81</v>
      </c>
      <c r="E515" s="5">
        <v>35.6</v>
      </c>
      <c r="F515" s="16" t="s">
        <v>1302</v>
      </c>
      <c r="G515" s="11">
        <v>0.59599999999999997</v>
      </c>
      <c r="H515" s="5">
        <v>107.9</v>
      </c>
      <c r="I515" s="8">
        <v>32</v>
      </c>
      <c r="J515" s="8">
        <v>208</v>
      </c>
      <c r="K515" s="8">
        <v>270</v>
      </c>
      <c r="L515" s="8">
        <v>135</v>
      </c>
      <c r="M515" t="s">
        <v>1307</v>
      </c>
      <c r="N515" s="16" t="s">
        <v>22</v>
      </c>
      <c r="O515" s="16" t="s">
        <v>23</v>
      </c>
      <c r="P515" s="16" t="s">
        <v>28</v>
      </c>
      <c r="Q515" s="10" t="s">
        <v>491</v>
      </c>
      <c r="R515" s="3" t="str">
        <f t="shared" ref="R515:R578" si="16">LEFT(Q515,FIND("/",Q515)-1)</f>
        <v>135</v>
      </c>
      <c r="S515" s="3" t="str">
        <f t="shared" ref="S515:S578" si="17">RIGHT(Q515,LEN(Q515)-FIND("/",Q515))</f>
        <v>87</v>
      </c>
      <c r="T515" s="16" t="s">
        <v>29</v>
      </c>
      <c r="U515" s="3">
        <v>21.27</v>
      </c>
      <c r="V515" s="16" t="str">
        <f>PROPER(Table1[[#This Row],[CVD Risk Level]])</f>
        <v>High</v>
      </c>
    </row>
    <row r="516" spans="1:22" x14ac:dyDescent="0.3">
      <c r="A516" t="s">
        <v>31</v>
      </c>
      <c r="B516" s="8">
        <v>34</v>
      </c>
      <c r="C516" s="8">
        <v>94.4</v>
      </c>
      <c r="D516" s="5">
        <v>1.62</v>
      </c>
      <c r="E516" s="5">
        <v>36</v>
      </c>
      <c r="F516" s="16" t="s">
        <v>1302</v>
      </c>
      <c r="G516" s="11">
        <v>0.56200000000000006</v>
      </c>
      <c r="H516" s="5">
        <v>91</v>
      </c>
      <c r="I516" s="8">
        <v>63</v>
      </c>
      <c r="J516" s="8">
        <v>114</v>
      </c>
      <c r="K516" s="8">
        <v>207</v>
      </c>
      <c r="L516" s="8">
        <v>93</v>
      </c>
      <c r="M516" t="s">
        <v>33</v>
      </c>
      <c r="N516" s="16" t="s">
        <v>22</v>
      </c>
      <c r="O516" s="16" t="s">
        <v>22</v>
      </c>
      <c r="P516" s="16" t="s">
        <v>28</v>
      </c>
      <c r="Q516" s="10" t="s">
        <v>492</v>
      </c>
      <c r="R516" s="3" t="str">
        <f t="shared" si="16"/>
        <v>100</v>
      </c>
      <c r="S516" s="3" t="str">
        <f t="shared" si="17"/>
        <v>63</v>
      </c>
      <c r="T516" s="16" t="s">
        <v>33</v>
      </c>
      <c r="U516" s="3">
        <v>16.34</v>
      </c>
      <c r="V516" s="16" t="str">
        <f>PROPER(Table1[[#This Row],[CVD Risk Level]])</f>
        <v>Intermediary</v>
      </c>
    </row>
    <row r="517" spans="1:22" x14ac:dyDescent="0.3">
      <c r="A517" t="s">
        <v>20</v>
      </c>
      <c r="B517" s="8">
        <v>48</v>
      </c>
      <c r="C517" s="8">
        <v>66.3</v>
      </c>
      <c r="D517" s="5">
        <v>1.72</v>
      </c>
      <c r="E517" s="5">
        <v>22.4</v>
      </c>
      <c r="F517" s="16" t="s">
        <v>33</v>
      </c>
      <c r="G517" s="11">
        <v>0.50600000000000001</v>
      </c>
      <c r="H517" s="5">
        <v>87</v>
      </c>
      <c r="I517" s="8">
        <v>42</v>
      </c>
      <c r="J517" s="8">
        <v>183</v>
      </c>
      <c r="K517" s="8">
        <v>255</v>
      </c>
      <c r="L517" s="8">
        <v>80</v>
      </c>
      <c r="M517" t="s">
        <v>33</v>
      </c>
      <c r="N517" s="16" t="s">
        <v>23</v>
      </c>
      <c r="O517" s="16" t="s">
        <v>23</v>
      </c>
      <c r="P517" s="16" t="s">
        <v>28</v>
      </c>
      <c r="Q517" s="10" t="s">
        <v>493</v>
      </c>
      <c r="R517" s="3" t="str">
        <f t="shared" si="16"/>
        <v>94</v>
      </c>
      <c r="S517" s="3" t="str">
        <f t="shared" si="17"/>
        <v>86</v>
      </c>
      <c r="T517" s="16" t="s">
        <v>29</v>
      </c>
      <c r="U517" s="3">
        <v>16.28</v>
      </c>
      <c r="V517" s="16" t="str">
        <f>PROPER(Table1[[#This Row],[CVD Risk Level]])</f>
        <v>High</v>
      </c>
    </row>
    <row r="518" spans="1:22" x14ac:dyDescent="0.3">
      <c r="A518" t="s">
        <v>20</v>
      </c>
      <c r="B518" s="8">
        <v>33</v>
      </c>
      <c r="C518" s="8">
        <v>66.400000000000006</v>
      </c>
      <c r="D518" s="5">
        <v>1.7</v>
      </c>
      <c r="E518" s="5">
        <v>23</v>
      </c>
      <c r="F518" s="16" t="s">
        <v>33</v>
      </c>
      <c r="G518" s="11">
        <v>0.498</v>
      </c>
      <c r="H518" s="5">
        <v>84.7</v>
      </c>
      <c r="I518" s="8">
        <v>71</v>
      </c>
      <c r="J518" s="8">
        <v>103</v>
      </c>
      <c r="K518" s="8">
        <v>204</v>
      </c>
      <c r="L518" s="8">
        <v>150</v>
      </c>
      <c r="M518" t="s">
        <v>1307</v>
      </c>
      <c r="N518" s="16" t="s">
        <v>22</v>
      </c>
      <c r="O518" s="16" t="s">
        <v>22</v>
      </c>
      <c r="P518" s="16" t="s">
        <v>24</v>
      </c>
      <c r="Q518" s="10" t="s">
        <v>494</v>
      </c>
      <c r="R518" s="3" t="str">
        <f t="shared" si="16"/>
        <v>102</v>
      </c>
      <c r="S518" s="3" t="str">
        <f t="shared" si="17"/>
        <v>62</v>
      </c>
      <c r="T518" s="16" t="s">
        <v>33</v>
      </c>
      <c r="U518" s="3">
        <v>13.78</v>
      </c>
      <c r="V518" s="16" t="str">
        <f>PROPER(Table1[[#This Row],[CVD Risk Level]])</f>
        <v>Intermediary</v>
      </c>
    </row>
    <row r="519" spans="1:22" x14ac:dyDescent="0.3">
      <c r="A519" t="s">
        <v>20</v>
      </c>
      <c r="B519" s="8">
        <v>46</v>
      </c>
      <c r="C519" s="8">
        <v>91</v>
      </c>
      <c r="D519" s="5">
        <v>1.84</v>
      </c>
      <c r="E519" s="5">
        <v>26.9</v>
      </c>
      <c r="F519" s="16" t="s">
        <v>1303</v>
      </c>
      <c r="G519" s="11">
        <v>0.54100000000000004</v>
      </c>
      <c r="H519" s="5">
        <v>99.6</v>
      </c>
      <c r="I519" s="8">
        <v>74</v>
      </c>
      <c r="J519" s="8">
        <v>81</v>
      </c>
      <c r="K519" s="8">
        <v>185</v>
      </c>
      <c r="L519" s="8">
        <v>123</v>
      </c>
      <c r="M519" t="s">
        <v>1306</v>
      </c>
      <c r="N519" s="16" t="s">
        <v>22</v>
      </c>
      <c r="O519" s="16" t="s">
        <v>23</v>
      </c>
      <c r="P519" s="16" t="s">
        <v>24</v>
      </c>
      <c r="Q519" s="10" t="s">
        <v>495</v>
      </c>
      <c r="R519" s="3" t="str">
        <f t="shared" si="16"/>
        <v>135</v>
      </c>
      <c r="S519" s="3" t="str">
        <f t="shared" si="17"/>
        <v>76</v>
      </c>
      <c r="T519" s="16" t="s">
        <v>29</v>
      </c>
      <c r="U519" s="3">
        <v>17.829999999999998</v>
      </c>
      <c r="V519" s="16" t="str">
        <f>PROPER(Table1[[#This Row],[CVD Risk Level]])</f>
        <v>High</v>
      </c>
    </row>
    <row r="520" spans="1:22" x14ac:dyDescent="0.3">
      <c r="A520" t="s">
        <v>31</v>
      </c>
      <c r="B520" s="8">
        <v>60</v>
      </c>
      <c r="C520" s="8">
        <v>113.4</v>
      </c>
      <c r="D520" s="5">
        <v>1.79</v>
      </c>
      <c r="E520" s="5">
        <v>35.4</v>
      </c>
      <c r="F520" s="16" t="s">
        <v>1302</v>
      </c>
      <c r="G520" s="11">
        <v>0.40699999999999997</v>
      </c>
      <c r="H520" s="5">
        <v>72.900000000000006</v>
      </c>
      <c r="I520" s="8">
        <v>42</v>
      </c>
      <c r="J520" s="8">
        <v>158</v>
      </c>
      <c r="K520" s="8">
        <v>230</v>
      </c>
      <c r="L520" s="8">
        <v>145</v>
      </c>
      <c r="M520" t="s">
        <v>1307</v>
      </c>
      <c r="N520" s="16" t="s">
        <v>23</v>
      </c>
      <c r="O520" s="16" t="s">
        <v>22</v>
      </c>
      <c r="P520" s="16" t="s">
        <v>37</v>
      </c>
      <c r="Q520" s="10" t="s">
        <v>132</v>
      </c>
      <c r="R520" s="3" t="str">
        <f t="shared" si="16"/>
        <v>103</v>
      </c>
      <c r="S520" s="3" t="str">
        <f t="shared" si="17"/>
        <v>96</v>
      </c>
      <c r="T520" s="16" t="s">
        <v>38</v>
      </c>
      <c r="U520" s="3">
        <v>16.829999999999998</v>
      </c>
      <c r="V520" s="16" t="str">
        <f>PROPER(Table1[[#This Row],[CVD Risk Level]])</f>
        <v>High</v>
      </c>
    </row>
    <row r="521" spans="1:22" x14ac:dyDescent="0.3">
      <c r="A521" t="s">
        <v>20</v>
      </c>
      <c r="B521" s="8">
        <v>54</v>
      </c>
      <c r="C521" s="8">
        <v>87.4</v>
      </c>
      <c r="D521" s="5">
        <v>1.85</v>
      </c>
      <c r="E521" s="5">
        <v>25.5</v>
      </c>
      <c r="F521" s="16" t="s">
        <v>1303</v>
      </c>
      <c r="G521" s="11">
        <v>0.57899999999999996</v>
      </c>
      <c r="H521" s="5">
        <v>107.2</v>
      </c>
      <c r="I521" s="8">
        <v>32</v>
      </c>
      <c r="J521" s="8">
        <v>51</v>
      </c>
      <c r="K521" s="8">
        <v>113</v>
      </c>
      <c r="L521" s="8">
        <v>92</v>
      </c>
      <c r="M521" t="s">
        <v>33</v>
      </c>
      <c r="N521" s="16" t="s">
        <v>22</v>
      </c>
      <c r="O521" s="16" t="s">
        <v>22</v>
      </c>
      <c r="P521" s="16" t="s">
        <v>24</v>
      </c>
      <c r="Q521" s="10" t="s">
        <v>496</v>
      </c>
      <c r="R521" s="3" t="str">
        <f t="shared" si="16"/>
        <v>126</v>
      </c>
      <c r="S521" s="3" t="str">
        <f t="shared" si="17"/>
        <v>76</v>
      </c>
      <c r="T521" s="16" t="s">
        <v>25</v>
      </c>
      <c r="U521" s="3">
        <v>13.66</v>
      </c>
      <c r="V521" s="16" t="str">
        <f>PROPER(Table1[[#This Row],[CVD Risk Level]])</f>
        <v>High</v>
      </c>
    </row>
    <row r="522" spans="1:22" x14ac:dyDescent="0.3">
      <c r="A522" t="s">
        <v>31</v>
      </c>
      <c r="B522" s="8">
        <v>34</v>
      </c>
      <c r="C522" s="8">
        <v>119.6</v>
      </c>
      <c r="D522" s="5">
        <v>1.75</v>
      </c>
      <c r="E522" s="5">
        <v>39.1</v>
      </c>
      <c r="F522" s="16" t="s">
        <v>1302</v>
      </c>
      <c r="G522" s="11">
        <v>0.60299999999999998</v>
      </c>
      <c r="H522" s="5">
        <v>105.6</v>
      </c>
      <c r="I522" s="8">
        <v>79</v>
      </c>
      <c r="J522" s="8">
        <v>125</v>
      </c>
      <c r="K522" s="8">
        <v>234</v>
      </c>
      <c r="L522" s="8">
        <v>109</v>
      </c>
      <c r="M522" t="s">
        <v>1306</v>
      </c>
      <c r="N522" s="16" t="s">
        <v>22</v>
      </c>
      <c r="O522" s="16" t="s">
        <v>23</v>
      </c>
      <c r="P522" s="16" t="s">
        <v>37</v>
      </c>
      <c r="Q522" s="10" t="s">
        <v>497</v>
      </c>
      <c r="R522" s="3" t="str">
        <f t="shared" si="16"/>
        <v>90</v>
      </c>
      <c r="S522" s="3" t="str">
        <f t="shared" si="17"/>
        <v>82</v>
      </c>
      <c r="T522" s="16" t="s">
        <v>29</v>
      </c>
      <c r="U522" s="3">
        <v>19</v>
      </c>
      <c r="V522" s="16" t="str">
        <f>PROPER(Table1[[#This Row],[CVD Risk Level]])</f>
        <v>High</v>
      </c>
    </row>
    <row r="523" spans="1:22" x14ac:dyDescent="0.3">
      <c r="A523" t="s">
        <v>20</v>
      </c>
      <c r="B523" s="8">
        <v>37</v>
      </c>
      <c r="C523" s="8">
        <v>95</v>
      </c>
      <c r="D523" s="5">
        <v>1.86</v>
      </c>
      <c r="E523" s="5">
        <v>27.5</v>
      </c>
      <c r="F523" s="16" t="s">
        <v>1303</v>
      </c>
      <c r="G523" s="11">
        <v>0.56100000000000005</v>
      </c>
      <c r="H523" s="5">
        <v>104.4</v>
      </c>
      <c r="I523" s="8">
        <v>35</v>
      </c>
      <c r="J523" s="8">
        <v>116</v>
      </c>
      <c r="K523" s="8">
        <v>181</v>
      </c>
      <c r="L523" s="8">
        <v>96</v>
      </c>
      <c r="M523" t="s">
        <v>33</v>
      </c>
      <c r="N523" s="16" t="s">
        <v>22</v>
      </c>
      <c r="O523" s="16" t="s">
        <v>22</v>
      </c>
      <c r="P523" s="16" t="s">
        <v>28</v>
      </c>
      <c r="Q523" s="10" t="s">
        <v>498</v>
      </c>
      <c r="R523" s="3" t="str">
        <f t="shared" si="16"/>
        <v>131</v>
      </c>
      <c r="S523" s="3" t="str">
        <f t="shared" si="17"/>
        <v>80</v>
      </c>
      <c r="T523" s="16" t="s">
        <v>29</v>
      </c>
      <c r="U523" s="3">
        <v>15.67</v>
      </c>
      <c r="V523" s="16" t="str">
        <f>PROPER(Table1[[#This Row],[CVD Risk Level]])</f>
        <v>Intermediary</v>
      </c>
    </row>
    <row r="524" spans="1:22" x14ac:dyDescent="0.3">
      <c r="A524" t="s">
        <v>20</v>
      </c>
      <c r="B524" s="8">
        <v>54</v>
      </c>
      <c r="C524" s="8">
        <v>73.900000000000006</v>
      </c>
      <c r="D524" s="5">
        <v>1.82</v>
      </c>
      <c r="E524" s="5">
        <v>22.3</v>
      </c>
      <c r="F524" s="16" t="s">
        <v>33</v>
      </c>
      <c r="G524" s="11">
        <v>0.39900000000000002</v>
      </c>
      <c r="H524" s="5">
        <v>72.7</v>
      </c>
      <c r="I524" s="8">
        <v>56.197377501725327</v>
      </c>
      <c r="J524" s="8">
        <v>140</v>
      </c>
      <c r="K524" s="8">
        <v>247</v>
      </c>
      <c r="L524" s="8">
        <v>107</v>
      </c>
      <c r="M524" t="s">
        <v>1306</v>
      </c>
      <c r="N524" s="16" t="s">
        <v>23</v>
      </c>
      <c r="O524" s="16" t="s">
        <v>23</v>
      </c>
      <c r="P524" s="16" t="s">
        <v>24</v>
      </c>
      <c r="Q524" s="10" t="s">
        <v>89</v>
      </c>
      <c r="R524" s="3" t="str">
        <f t="shared" si="16"/>
        <v>94</v>
      </c>
      <c r="S524" s="3" t="str">
        <f t="shared" si="17"/>
        <v>81</v>
      </c>
      <c r="T524" s="16" t="s">
        <v>29</v>
      </c>
      <c r="U524" s="3">
        <v>16.100000000000001</v>
      </c>
      <c r="V524" s="16" t="str">
        <f>PROPER(Table1[[#This Row],[CVD Risk Level]])</f>
        <v>High</v>
      </c>
    </row>
    <row r="525" spans="1:22" x14ac:dyDescent="0.3">
      <c r="A525" t="s">
        <v>20</v>
      </c>
      <c r="B525" s="8">
        <v>47.025499655410059</v>
      </c>
      <c r="C525" s="8">
        <v>100.6</v>
      </c>
      <c r="D525" s="5">
        <v>1.6</v>
      </c>
      <c r="E525" s="5">
        <v>39.299999999999997</v>
      </c>
      <c r="F525" s="16" t="s">
        <v>1302</v>
      </c>
      <c r="G525" s="11">
        <v>0.54500000000000004</v>
      </c>
      <c r="H525" s="5">
        <v>87.2</v>
      </c>
      <c r="I525" s="8">
        <v>60</v>
      </c>
      <c r="J525" s="8">
        <v>208</v>
      </c>
      <c r="K525" s="8">
        <v>298</v>
      </c>
      <c r="L525" s="8">
        <v>76</v>
      </c>
      <c r="M525" t="s">
        <v>33</v>
      </c>
      <c r="N525" s="16" t="s">
        <v>23</v>
      </c>
      <c r="O525" s="16" t="s">
        <v>22</v>
      </c>
      <c r="P525" s="16" t="s">
        <v>37</v>
      </c>
      <c r="Q525" s="10" t="s">
        <v>499</v>
      </c>
      <c r="R525" s="3" t="str">
        <f t="shared" si="16"/>
        <v>91</v>
      </c>
      <c r="S525" s="3" t="str">
        <f t="shared" si="17"/>
        <v>66</v>
      </c>
      <c r="T525" s="16" t="s">
        <v>33</v>
      </c>
      <c r="U525" s="3">
        <v>18.37</v>
      </c>
      <c r="V525" s="16" t="str">
        <f>PROPER(Table1[[#This Row],[CVD Risk Level]])</f>
        <v>High</v>
      </c>
    </row>
    <row r="526" spans="1:22" x14ac:dyDescent="0.3">
      <c r="A526" t="s">
        <v>20</v>
      </c>
      <c r="B526" s="8">
        <v>49</v>
      </c>
      <c r="C526" s="8">
        <v>95.7</v>
      </c>
      <c r="D526" s="5">
        <v>1.65</v>
      </c>
      <c r="E526" s="5">
        <v>35.200000000000003</v>
      </c>
      <c r="F526" s="16" t="s">
        <v>1302</v>
      </c>
      <c r="G526" s="11">
        <v>0.51500000000000001</v>
      </c>
      <c r="H526" s="5">
        <v>84.9</v>
      </c>
      <c r="I526" s="8">
        <v>34</v>
      </c>
      <c r="J526" s="8">
        <v>227</v>
      </c>
      <c r="K526" s="8">
        <v>291</v>
      </c>
      <c r="L526" s="8">
        <v>111</v>
      </c>
      <c r="M526" t="s">
        <v>1306</v>
      </c>
      <c r="N526" s="16" t="s">
        <v>23</v>
      </c>
      <c r="O526" s="16" t="s">
        <v>23</v>
      </c>
      <c r="P526" s="16" t="s">
        <v>24</v>
      </c>
      <c r="Q526" s="10" t="s">
        <v>500</v>
      </c>
      <c r="R526" s="3" t="str">
        <f t="shared" si="16"/>
        <v>104</v>
      </c>
      <c r="S526" s="3" t="str">
        <f t="shared" si="17"/>
        <v>93</v>
      </c>
      <c r="T526" s="16" t="s">
        <v>38</v>
      </c>
      <c r="U526" s="3">
        <v>20.059999999999999</v>
      </c>
      <c r="V526" s="16" t="str">
        <f>PROPER(Table1[[#This Row],[CVD Risk Level]])</f>
        <v>High</v>
      </c>
    </row>
    <row r="527" spans="1:22" x14ac:dyDescent="0.3">
      <c r="A527" t="s">
        <v>31</v>
      </c>
      <c r="B527" s="8">
        <v>32</v>
      </c>
      <c r="C527" s="8">
        <v>108</v>
      </c>
      <c r="D527" s="5">
        <v>1.79</v>
      </c>
      <c r="E527" s="5">
        <v>33.700000000000003</v>
      </c>
      <c r="F527" s="16" t="s">
        <v>1302</v>
      </c>
      <c r="G527" s="11">
        <v>0.41399999999999998</v>
      </c>
      <c r="H527" s="5">
        <v>74.099999999999994</v>
      </c>
      <c r="I527" s="8">
        <v>55</v>
      </c>
      <c r="J527" s="8">
        <v>89</v>
      </c>
      <c r="K527" s="8">
        <v>174</v>
      </c>
      <c r="L527" s="8">
        <v>139</v>
      </c>
      <c r="M527" t="s">
        <v>1307</v>
      </c>
      <c r="N527" s="16" t="s">
        <v>22</v>
      </c>
      <c r="O527" s="16" t="s">
        <v>22</v>
      </c>
      <c r="P527" s="16" t="s">
        <v>28</v>
      </c>
      <c r="Q527" s="10" t="s">
        <v>501</v>
      </c>
      <c r="R527" s="3" t="str">
        <f t="shared" si="16"/>
        <v>148</v>
      </c>
      <c r="S527" s="3" t="str">
        <f t="shared" si="17"/>
        <v>87</v>
      </c>
      <c r="T527" s="16" t="s">
        <v>29</v>
      </c>
      <c r="U527" s="3">
        <v>17.62</v>
      </c>
      <c r="V527" s="16" t="str">
        <f>PROPER(Table1[[#This Row],[CVD Risk Level]])</f>
        <v>Intermediary</v>
      </c>
    </row>
    <row r="528" spans="1:22" x14ac:dyDescent="0.3">
      <c r="A528" t="s">
        <v>31</v>
      </c>
      <c r="B528" s="8">
        <v>58</v>
      </c>
      <c r="C528" s="8">
        <v>85.5</v>
      </c>
      <c r="D528" s="5">
        <v>1.83</v>
      </c>
      <c r="E528" s="5">
        <v>25.5</v>
      </c>
      <c r="F528" s="16" t="s">
        <v>1303</v>
      </c>
      <c r="G528" s="11">
        <v>0.55800000000000005</v>
      </c>
      <c r="H528" s="5">
        <v>102.1</v>
      </c>
      <c r="I528" s="8">
        <v>56.197377501725327</v>
      </c>
      <c r="J528" s="8">
        <v>48</v>
      </c>
      <c r="K528" s="8">
        <v>111</v>
      </c>
      <c r="L528" s="8">
        <v>124</v>
      </c>
      <c r="M528" t="s">
        <v>1306</v>
      </c>
      <c r="N528" s="16" t="s">
        <v>23</v>
      </c>
      <c r="O528" s="16" t="s">
        <v>23</v>
      </c>
      <c r="P528" s="16" t="s">
        <v>24</v>
      </c>
      <c r="Q528" s="10" t="s">
        <v>178</v>
      </c>
      <c r="R528" s="3" t="str">
        <f t="shared" si="16"/>
        <v>98</v>
      </c>
      <c r="S528" s="3" t="str">
        <f t="shared" si="17"/>
        <v>60</v>
      </c>
      <c r="T528" s="16" t="s">
        <v>33</v>
      </c>
      <c r="U528" s="3">
        <v>14.22</v>
      </c>
      <c r="V528" s="16" t="str">
        <f>PROPER(Table1[[#This Row],[CVD Risk Level]])</f>
        <v>High</v>
      </c>
    </row>
    <row r="529" spans="1:22" x14ac:dyDescent="0.3">
      <c r="A529" t="s">
        <v>31</v>
      </c>
      <c r="B529" s="8">
        <v>52</v>
      </c>
      <c r="C529" s="8">
        <v>83.6</v>
      </c>
      <c r="D529" s="5">
        <v>1.64</v>
      </c>
      <c r="E529" s="5">
        <v>31.1</v>
      </c>
      <c r="F529" s="16" t="s">
        <v>1302</v>
      </c>
      <c r="G529" s="11">
        <v>0.59899999999999998</v>
      </c>
      <c r="H529" s="5">
        <v>98.2</v>
      </c>
      <c r="I529" s="8">
        <v>78</v>
      </c>
      <c r="J529" s="8">
        <v>1</v>
      </c>
      <c r="K529" s="8">
        <v>109</v>
      </c>
      <c r="L529" s="8">
        <v>107</v>
      </c>
      <c r="M529" t="s">
        <v>1306</v>
      </c>
      <c r="N529" s="16" t="s">
        <v>22</v>
      </c>
      <c r="O529" s="16" t="s">
        <v>22</v>
      </c>
      <c r="P529" s="16" t="s">
        <v>37</v>
      </c>
      <c r="Q529" s="10" t="s">
        <v>502</v>
      </c>
      <c r="R529" s="3" t="str">
        <f t="shared" si="16"/>
        <v>120</v>
      </c>
      <c r="S529" s="3" t="str">
        <f t="shared" si="17"/>
        <v>94</v>
      </c>
      <c r="T529" s="16" t="s">
        <v>38</v>
      </c>
      <c r="U529" s="3">
        <v>14.4</v>
      </c>
      <c r="V529" s="16" t="str">
        <f>PROPER(Table1[[#This Row],[CVD Risk Level]])</f>
        <v>Intermediary</v>
      </c>
    </row>
    <row r="530" spans="1:22" x14ac:dyDescent="0.3">
      <c r="A530" t="s">
        <v>20</v>
      </c>
      <c r="B530" s="8">
        <v>58</v>
      </c>
      <c r="C530" s="8">
        <v>110.1</v>
      </c>
      <c r="D530" s="5">
        <v>1.63</v>
      </c>
      <c r="E530" s="5">
        <v>41.4</v>
      </c>
      <c r="F530" s="16" t="s">
        <v>1302</v>
      </c>
      <c r="G530" s="11">
        <v>0.49399999999999999</v>
      </c>
      <c r="H530" s="5">
        <v>80.5</v>
      </c>
      <c r="I530" s="8">
        <v>53</v>
      </c>
      <c r="J530" s="8">
        <v>45</v>
      </c>
      <c r="K530" s="8">
        <v>196</v>
      </c>
      <c r="L530" s="8">
        <v>115</v>
      </c>
      <c r="M530" t="s">
        <v>1306</v>
      </c>
      <c r="N530" s="16" t="s">
        <v>22</v>
      </c>
      <c r="O530" s="16" t="s">
        <v>22</v>
      </c>
      <c r="P530" s="16" t="s">
        <v>37</v>
      </c>
      <c r="Q530" s="10" t="s">
        <v>503</v>
      </c>
      <c r="R530" s="3" t="str">
        <f t="shared" si="16"/>
        <v>96</v>
      </c>
      <c r="S530" s="3" t="str">
        <f t="shared" si="17"/>
        <v>98</v>
      </c>
      <c r="T530" s="16" t="s">
        <v>38</v>
      </c>
      <c r="U530" s="3">
        <v>15.64</v>
      </c>
      <c r="V530" s="16" t="str">
        <f>PROPER(Table1[[#This Row],[CVD Risk Level]])</f>
        <v>Intermediary</v>
      </c>
    </row>
    <row r="531" spans="1:22" x14ac:dyDescent="0.3">
      <c r="A531" t="s">
        <v>31</v>
      </c>
      <c r="B531" s="8">
        <v>36</v>
      </c>
      <c r="C531" s="8">
        <v>83.6</v>
      </c>
      <c r="D531" s="5">
        <v>1.86</v>
      </c>
      <c r="E531" s="5">
        <v>24.2</v>
      </c>
      <c r="F531" s="16" t="s">
        <v>33</v>
      </c>
      <c r="G531" s="11">
        <v>0.53400000000000003</v>
      </c>
      <c r="H531" s="5">
        <v>99.3</v>
      </c>
      <c r="I531" s="8">
        <v>46</v>
      </c>
      <c r="J531" s="8">
        <v>124</v>
      </c>
      <c r="K531" s="8">
        <v>200</v>
      </c>
      <c r="L531" s="8">
        <v>118</v>
      </c>
      <c r="M531" t="s">
        <v>1306</v>
      </c>
      <c r="N531" s="16" t="s">
        <v>22</v>
      </c>
      <c r="O531" s="16" t="s">
        <v>22</v>
      </c>
      <c r="P531" s="16" t="s">
        <v>28</v>
      </c>
      <c r="Q531" s="10" t="s">
        <v>385</v>
      </c>
      <c r="R531" s="3" t="str">
        <f t="shared" si="16"/>
        <v>105</v>
      </c>
      <c r="S531" s="3" t="str">
        <f t="shared" si="17"/>
        <v>88</v>
      </c>
      <c r="T531" s="16" t="s">
        <v>29</v>
      </c>
      <c r="U531" s="3">
        <v>14.09</v>
      </c>
      <c r="V531" s="16" t="str">
        <f>PROPER(Table1[[#This Row],[CVD Risk Level]])</f>
        <v>Low</v>
      </c>
    </row>
    <row r="532" spans="1:22" x14ac:dyDescent="0.3">
      <c r="A532" t="s">
        <v>20</v>
      </c>
      <c r="B532" s="8">
        <v>41</v>
      </c>
      <c r="C532" s="8">
        <v>114.6</v>
      </c>
      <c r="D532" s="5">
        <v>1.7</v>
      </c>
      <c r="E532" s="5">
        <v>39.653979238754324</v>
      </c>
      <c r="F532" s="16" t="s">
        <v>1302</v>
      </c>
      <c r="G532" s="11">
        <v>0.55300000000000005</v>
      </c>
      <c r="H532" s="5">
        <v>94</v>
      </c>
      <c r="I532" s="8">
        <v>78</v>
      </c>
      <c r="J532" s="8">
        <v>131</v>
      </c>
      <c r="K532" s="8">
        <v>418</v>
      </c>
      <c r="L532" s="8">
        <v>120</v>
      </c>
      <c r="M532" t="s">
        <v>1306</v>
      </c>
      <c r="N532" s="16" t="s">
        <v>22</v>
      </c>
      <c r="O532" s="16" t="s">
        <v>22</v>
      </c>
      <c r="P532" s="16" t="s">
        <v>28</v>
      </c>
      <c r="Q532" s="10" t="s">
        <v>417</v>
      </c>
      <c r="R532" s="3" t="str">
        <f t="shared" si="16"/>
        <v>142</v>
      </c>
      <c r="S532" s="3" t="str">
        <f t="shared" si="17"/>
        <v>87</v>
      </c>
      <c r="T532" s="16" t="s">
        <v>29</v>
      </c>
      <c r="U532" s="3">
        <v>19.82</v>
      </c>
      <c r="V532" s="16" t="str">
        <f>PROPER(Table1[[#This Row],[CVD Risk Level]])</f>
        <v>Intermediary</v>
      </c>
    </row>
    <row r="533" spans="1:22" x14ac:dyDescent="0.3">
      <c r="A533" t="s">
        <v>31</v>
      </c>
      <c r="B533" s="8">
        <v>46</v>
      </c>
      <c r="C533" s="8">
        <v>109</v>
      </c>
      <c r="D533" s="5">
        <v>1.7</v>
      </c>
      <c r="E533" s="5">
        <v>37.716262975778548</v>
      </c>
      <c r="F533" s="16" t="s">
        <v>1302</v>
      </c>
      <c r="G533" s="11">
        <v>0.56299999999999994</v>
      </c>
      <c r="H533" s="5">
        <v>95.7</v>
      </c>
      <c r="I533" s="8">
        <v>67</v>
      </c>
      <c r="J533" s="8">
        <v>67</v>
      </c>
      <c r="K533" s="8">
        <v>164</v>
      </c>
      <c r="L533" s="8">
        <v>84</v>
      </c>
      <c r="M533" t="s">
        <v>33</v>
      </c>
      <c r="N533" s="16" t="s">
        <v>23</v>
      </c>
      <c r="O533" s="16" t="s">
        <v>22</v>
      </c>
      <c r="P533" s="16" t="s">
        <v>37</v>
      </c>
      <c r="Q533" s="10" t="s">
        <v>504</v>
      </c>
      <c r="R533" s="3" t="str">
        <f t="shared" si="16"/>
        <v>117</v>
      </c>
      <c r="S533" s="3" t="str">
        <f t="shared" si="17"/>
        <v>98</v>
      </c>
      <c r="T533" s="16" t="s">
        <v>38</v>
      </c>
      <c r="U533" s="3">
        <v>16.670000000000002</v>
      </c>
      <c r="V533" s="16" t="str">
        <f>PROPER(Table1[[#This Row],[CVD Risk Level]])</f>
        <v>Intermediary</v>
      </c>
    </row>
    <row r="534" spans="1:22" x14ac:dyDescent="0.3">
      <c r="A534" t="s">
        <v>20</v>
      </c>
      <c r="B534" s="8">
        <v>40</v>
      </c>
      <c r="C534" s="8">
        <v>112.9</v>
      </c>
      <c r="D534" s="5">
        <v>1.85</v>
      </c>
      <c r="E534" s="5">
        <v>33</v>
      </c>
      <c r="F534" s="16" t="s">
        <v>1302</v>
      </c>
      <c r="G534" s="11">
        <v>0.49099999999999999</v>
      </c>
      <c r="H534" s="5">
        <v>90.9</v>
      </c>
      <c r="I534" s="8">
        <v>36</v>
      </c>
      <c r="J534" s="8">
        <v>87</v>
      </c>
      <c r="K534" s="8">
        <v>153</v>
      </c>
      <c r="L534" s="8">
        <v>133</v>
      </c>
      <c r="M534" t="s">
        <v>1307</v>
      </c>
      <c r="N534" s="16" t="s">
        <v>23</v>
      </c>
      <c r="O534" s="16" t="s">
        <v>22</v>
      </c>
      <c r="P534" s="16" t="s">
        <v>24</v>
      </c>
      <c r="Q534" s="10" t="s">
        <v>378</v>
      </c>
      <c r="R534" s="3" t="str">
        <f t="shared" si="16"/>
        <v>133</v>
      </c>
      <c r="S534" s="3" t="str">
        <f t="shared" si="17"/>
        <v>94</v>
      </c>
      <c r="T534" s="16" t="s">
        <v>29</v>
      </c>
      <c r="U534" s="3">
        <v>16.309999999999999</v>
      </c>
      <c r="V534" s="16" t="str">
        <f>PROPER(Table1[[#This Row],[CVD Risk Level]])</f>
        <v>High</v>
      </c>
    </row>
    <row r="535" spans="1:22" x14ac:dyDescent="0.3">
      <c r="A535" t="s">
        <v>20</v>
      </c>
      <c r="B535" s="8">
        <v>60</v>
      </c>
      <c r="C535" s="8">
        <v>76.2</v>
      </c>
      <c r="D535" s="5">
        <v>1.63</v>
      </c>
      <c r="E535" s="5">
        <v>28.7</v>
      </c>
      <c r="F535" s="16" t="s">
        <v>1303</v>
      </c>
      <c r="G535" s="11">
        <v>0.51300000000000001</v>
      </c>
      <c r="H535" s="5">
        <v>83.6</v>
      </c>
      <c r="I535" s="8">
        <v>37</v>
      </c>
      <c r="J535" s="8">
        <v>150</v>
      </c>
      <c r="K535" s="8">
        <v>217</v>
      </c>
      <c r="L535" s="8">
        <v>118</v>
      </c>
      <c r="M535" t="s">
        <v>1306</v>
      </c>
      <c r="N535" s="16" t="s">
        <v>22</v>
      </c>
      <c r="O535" s="16" t="s">
        <v>22</v>
      </c>
      <c r="P535" s="16" t="s">
        <v>37</v>
      </c>
      <c r="Q535" s="10" t="s">
        <v>505</v>
      </c>
      <c r="R535" s="3" t="str">
        <f t="shared" si="16"/>
        <v>144</v>
      </c>
      <c r="S535" s="3" t="str">
        <f t="shared" si="17"/>
        <v>86</v>
      </c>
      <c r="T535" s="16" t="s">
        <v>29</v>
      </c>
      <c r="U535" s="3">
        <v>17.28</v>
      </c>
      <c r="V535" s="16" t="str">
        <f>PROPER(Table1[[#This Row],[CVD Risk Level]])</f>
        <v>High</v>
      </c>
    </row>
    <row r="536" spans="1:22" x14ac:dyDescent="0.3">
      <c r="A536" t="s">
        <v>20</v>
      </c>
      <c r="B536" s="8">
        <v>47</v>
      </c>
      <c r="C536" s="8">
        <v>57.004139999999992</v>
      </c>
      <c r="D536" s="5">
        <v>1.81</v>
      </c>
      <c r="E536" s="5">
        <v>17.399999999999999</v>
      </c>
      <c r="F536" s="16" t="s">
        <v>1304</v>
      </c>
      <c r="G536" s="11">
        <v>0.497</v>
      </c>
      <c r="H536" s="5">
        <v>90</v>
      </c>
      <c r="I536" s="8">
        <v>52</v>
      </c>
      <c r="J536" s="8">
        <v>66</v>
      </c>
      <c r="K536" s="8">
        <v>148</v>
      </c>
      <c r="L536" s="8">
        <v>130</v>
      </c>
      <c r="M536" t="s">
        <v>1307</v>
      </c>
      <c r="N536" s="16" t="s">
        <v>22</v>
      </c>
      <c r="O536" s="16" t="s">
        <v>23</v>
      </c>
      <c r="P536" s="16" t="s">
        <v>28</v>
      </c>
      <c r="Q536" s="10" t="s">
        <v>506</v>
      </c>
      <c r="R536" s="3" t="str">
        <f t="shared" si="16"/>
        <v>102</v>
      </c>
      <c r="S536" s="3" t="str">
        <f t="shared" si="17"/>
        <v>86</v>
      </c>
      <c r="T536" s="16" t="s">
        <v>29</v>
      </c>
      <c r="U536" s="3">
        <v>13.54</v>
      </c>
      <c r="V536" s="16" t="str">
        <f>PROPER(Table1[[#This Row],[CVD Risk Level]])</f>
        <v>Intermediary</v>
      </c>
    </row>
    <row r="537" spans="1:22" x14ac:dyDescent="0.3">
      <c r="A537" t="s">
        <v>31</v>
      </c>
      <c r="B537" s="8">
        <v>49</v>
      </c>
      <c r="C537" s="8">
        <v>73.8</v>
      </c>
      <c r="D537" s="5">
        <v>1.74</v>
      </c>
      <c r="E537" s="5">
        <v>24.4</v>
      </c>
      <c r="F537" s="16" t="s">
        <v>33</v>
      </c>
      <c r="G537" s="11">
        <v>0.57599999999999996</v>
      </c>
      <c r="H537" s="5">
        <v>100.3</v>
      </c>
      <c r="I537" s="8">
        <v>78</v>
      </c>
      <c r="J537" s="8">
        <v>183</v>
      </c>
      <c r="K537" s="8">
        <v>291</v>
      </c>
      <c r="L537" s="8">
        <v>92</v>
      </c>
      <c r="M537" t="s">
        <v>33</v>
      </c>
      <c r="N537" s="16" t="s">
        <v>23</v>
      </c>
      <c r="O537" s="16" t="s">
        <v>23</v>
      </c>
      <c r="P537" s="16" t="s">
        <v>28</v>
      </c>
      <c r="Q537" s="10" t="s">
        <v>507</v>
      </c>
      <c r="R537" s="3" t="str">
        <f t="shared" si="16"/>
        <v>111</v>
      </c>
      <c r="S537" s="3" t="str">
        <f t="shared" si="17"/>
        <v>83</v>
      </c>
      <c r="T537" s="16" t="s">
        <v>29</v>
      </c>
      <c r="U537" s="3">
        <v>16.960925291295425</v>
      </c>
      <c r="V537" s="16" t="str">
        <f>PROPER(Table1[[#This Row],[CVD Risk Level]])</f>
        <v>High</v>
      </c>
    </row>
    <row r="538" spans="1:22" x14ac:dyDescent="0.3">
      <c r="A538" t="s">
        <v>31</v>
      </c>
      <c r="B538" s="8">
        <v>49</v>
      </c>
      <c r="C538" s="8">
        <v>115.6</v>
      </c>
      <c r="D538" s="5">
        <v>1.74</v>
      </c>
      <c r="E538" s="5">
        <v>38.200000000000003</v>
      </c>
      <c r="F538" s="16" t="s">
        <v>1302</v>
      </c>
      <c r="G538" s="11">
        <v>0.63</v>
      </c>
      <c r="H538" s="5">
        <v>109.7</v>
      </c>
      <c r="I538" s="8">
        <v>73</v>
      </c>
      <c r="J538" s="8">
        <v>187</v>
      </c>
      <c r="K538" s="8">
        <v>290</v>
      </c>
      <c r="L538" s="8">
        <v>119</v>
      </c>
      <c r="M538" t="s">
        <v>1306</v>
      </c>
      <c r="N538" s="16" t="s">
        <v>23</v>
      </c>
      <c r="O538" s="16" t="s">
        <v>22</v>
      </c>
      <c r="P538" s="16" t="s">
        <v>24</v>
      </c>
      <c r="Q538" s="10" t="s">
        <v>262</v>
      </c>
      <c r="R538" s="3" t="str">
        <f t="shared" si="16"/>
        <v>126</v>
      </c>
      <c r="S538" s="3" t="str">
        <f t="shared" si="17"/>
        <v>86</v>
      </c>
      <c r="T538" s="16" t="s">
        <v>29</v>
      </c>
      <c r="U538" s="3">
        <v>19.739999999999998</v>
      </c>
      <c r="V538" s="16" t="str">
        <f>PROPER(Table1[[#This Row],[CVD Risk Level]])</f>
        <v>High</v>
      </c>
    </row>
    <row r="539" spans="1:22" x14ac:dyDescent="0.3">
      <c r="A539" t="s">
        <v>20</v>
      </c>
      <c r="B539" s="8">
        <v>58</v>
      </c>
      <c r="C539" s="8">
        <v>98.3</v>
      </c>
      <c r="D539" s="5">
        <v>1.9</v>
      </c>
      <c r="E539" s="5">
        <v>27.229916897506925</v>
      </c>
      <c r="F539" s="16" t="s">
        <v>1303</v>
      </c>
      <c r="G539" s="11">
        <v>0.45700000000000002</v>
      </c>
      <c r="H539" s="5">
        <v>86.9</v>
      </c>
      <c r="I539" s="8">
        <v>74</v>
      </c>
      <c r="J539" s="8">
        <v>64</v>
      </c>
      <c r="K539" s="8">
        <v>168</v>
      </c>
      <c r="L539" s="8">
        <v>78</v>
      </c>
      <c r="M539" t="s">
        <v>33</v>
      </c>
      <c r="N539" s="16" t="s">
        <v>22</v>
      </c>
      <c r="O539" s="16" t="s">
        <v>22</v>
      </c>
      <c r="P539" s="16" t="s">
        <v>28</v>
      </c>
      <c r="Q539" s="10" t="s">
        <v>508</v>
      </c>
      <c r="R539" s="3" t="str">
        <f t="shared" si="16"/>
        <v>112</v>
      </c>
      <c r="S539" s="3" t="str">
        <f t="shared" si="17"/>
        <v>84</v>
      </c>
      <c r="T539" s="16" t="s">
        <v>29</v>
      </c>
      <c r="U539" s="3">
        <v>14.4</v>
      </c>
      <c r="V539" s="16" t="str">
        <f>PROPER(Table1[[#This Row],[CVD Risk Level]])</f>
        <v>Intermediary</v>
      </c>
    </row>
    <row r="540" spans="1:22" x14ac:dyDescent="0.3">
      <c r="A540" t="s">
        <v>20</v>
      </c>
      <c r="B540" s="8">
        <v>56</v>
      </c>
      <c r="C540" s="8">
        <v>100.4</v>
      </c>
      <c r="D540" s="5">
        <v>1.65</v>
      </c>
      <c r="E540" s="5">
        <v>36.9</v>
      </c>
      <c r="F540" s="16" t="s">
        <v>1302</v>
      </c>
      <c r="G540" s="11">
        <v>0.45</v>
      </c>
      <c r="H540" s="5">
        <v>74.3</v>
      </c>
      <c r="I540" s="8">
        <v>63</v>
      </c>
      <c r="J540" s="8">
        <v>100</v>
      </c>
      <c r="K540" s="8">
        <v>193</v>
      </c>
      <c r="L540" s="8">
        <v>81</v>
      </c>
      <c r="M540" t="s">
        <v>33</v>
      </c>
      <c r="N540" s="16" t="s">
        <v>23</v>
      </c>
      <c r="O540" s="16" t="s">
        <v>22</v>
      </c>
      <c r="P540" s="16" t="s">
        <v>37</v>
      </c>
      <c r="Q540" s="10" t="s">
        <v>509</v>
      </c>
      <c r="R540" s="3" t="str">
        <f t="shared" si="16"/>
        <v>108</v>
      </c>
      <c r="S540" s="3" t="str">
        <f t="shared" si="17"/>
        <v>66</v>
      </c>
      <c r="T540" s="16" t="s">
        <v>33</v>
      </c>
      <c r="U540" s="3">
        <v>16.64</v>
      </c>
      <c r="V540" s="16" t="str">
        <f>PROPER(Table1[[#This Row],[CVD Risk Level]])</f>
        <v>High</v>
      </c>
    </row>
    <row r="541" spans="1:22" x14ac:dyDescent="0.3">
      <c r="A541" t="s">
        <v>31</v>
      </c>
      <c r="B541" s="8">
        <v>47</v>
      </c>
      <c r="C541" s="8">
        <v>72.3</v>
      </c>
      <c r="D541" s="5">
        <v>1.86</v>
      </c>
      <c r="E541" s="5">
        <v>20.9</v>
      </c>
      <c r="F541" s="16" t="s">
        <v>33</v>
      </c>
      <c r="G541" s="11">
        <v>0.51800000000000002</v>
      </c>
      <c r="H541" s="5">
        <v>96.3</v>
      </c>
      <c r="I541" s="8">
        <v>40</v>
      </c>
      <c r="J541" s="8">
        <v>137</v>
      </c>
      <c r="K541" s="8">
        <v>207</v>
      </c>
      <c r="L541" s="8">
        <v>87</v>
      </c>
      <c r="M541" t="s">
        <v>33</v>
      </c>
      <c r="N541" s="16" t="s">
        <v>22</v>
      </c>
      <c r="O541" s="16" t="s">
        <v>23</v>
      </c>
      <c r="P541" s="16" t="s">
        <v>37</v>
      </c>
      <c r="Q541" s="10" t="s">
        <v>510</v>
      </c>
      <c r="R541" s="3" t="str">
        <f t="shared" si="16"/>
        <v>125</v>
      </c>
      <c r="S541" s="3" t="str">
        <f t="shared" si="17"/>
        <v>99</v>
      </c>
      <c r="T541" s="16" t="s">
        <v>38</v>
      </c>
      <c r="U541" s="3">
        <v>16.57</v>
      </c>
      <c r="V541" s="16" t="str">
        <f>PROPER(Table1[[#This Row],[CVD Risk Level]])</f>
        <v>High</v>
      </c>
    </row>
    <row r="542" spans="1:22" x14ac:dyDescent="0.3">
      <c r="A542" t="s">
        <v>31</v>
      </c>
      <c r="B542" s="8">
        <v>54</v>
      </c>
      <c r="C542" s="8">
        <v>58.9</v>
      </c>
      <c r="D542" s="5">
        <v>1.73</v>
      </c>
      <c r="E542" s="5">
        <v>19.7</v>
      </c>
      <c r="F542" s="16" t="s">
        <v>33</v>
      </c>
      <c r="G542" s="11">
        <v>0.58599999999999997</v>
      </c>
      <c r="H542" s="5">
        <v>101.4</v>
      </c>
      <c r="I542" s="8">
        <v>35</v>
      </c>
      <c r="J542" s="8">
        <v>46</v>
      </c>
      <c r="K542" s="8">
        <v>162</v>
      </c>
      <c r="L542" s="8">
        <v>118</v>
      </c>
      <c r="M542" t="s">
        <v>1306</v>
      </c>
      <c r="N542" s="16" t="s">
        <v>23</v>
      </c>
      <c r="O542" s="16" t="s">
        <v>23</v>
      </c>
      <c r="P542" s="16" t="s">
        <v>28</v>
      </c>
      <c r="Q542" s="10" t="s">
        <v>511</v>
      </c>
      <c r="R542" s="3" t="str">
        <f t="shared" si="16"/>
        <v>119</v>
      </c>
      <c r="S542" s="3" t="str">
        <f t="shared" si="17"/>
        <v>88</v>
      </c>
      <c r="T542" s="16" t="s">
        <v>29</v>
      </c>
      <c r="U542" s="3">
        <v>14.11</v>
      </c>
      <c r="V542" s="16" t="str">
        <f>PROPER(Table1[[#This Row],[CVD Risk Level]])</f>
        <v>High</v>
      </c>
    </row>
    <row r="543" spans="1:22" x14ac:dyDescent="0.3">
      <c r="A543" t="s">
        <v>20</v>
      </c>
      <c r="B543" s="8">
        <v>51</v>
      </c>
      <c r="C543" s="8">
        <v>117.3</v>
      </c>
      <c r="D543" s="5">
        <v>1.88</v>
      </c>
      <c r="E543" s="5">
        <v>33.188094160253513</v>
      </c>
      <c r="F543" s="16" t="s">
        <v>1302</v>
      </c>
      <c r="G543" s="11">
        <v>0.51300000000000001</v>
      </c>
      <c r="H543" s="5">
        <v>96.5</v>
      </c>
      <c r="I543" s="8">
        <v>56.197377501725327</v>
      </c>
      <c r="J543" s="8">
        <v>114</v>
      </c>
      <c r="K543" s="8">
        <v>224</v>
      </c>
      <c r="L543" s="8">
        <v>120</v>
      </c>
      <c r="M543" t="s">
        <v>1306</v>
      </c>
      <c r="N543" s="16" t="s">
        <v>22</v>
      </c>
      <c r="O543" s="16" t="s">
        <v>23</v>
      </c>
      <c r="P543" s="16" t="s">
        <v>28</v>
      </c>
      <c r="Q543" s="10" t="s">
        <v>439</v>
      </c>
      <c r="R543" s="3" t="str">
        <f t="shared" si="16"/>
        <v>120</v>
      </c>
      <c r="S543" s="3" t="str">
        <f t="shared" si="17"/>
        <v>70</v>
      </c>
      <c r="T543" s="16" t="s">
        <v>25</v>
      </c>
      <c r="U543" s="3">
        <v>19.12</v>
      </c>
      <c r="V543" s="16" t="str">
        <f>PROPER(Table1[[#This Row],[CVD Risk Level]])</f>
        <v>High</v>
      </c>
    </row>
    <row r="544" spans="1:22" x14ac:dyDescent="0.3">
      <c r="A544" t="s">
        <v>20</v>
      </c>
      <c r="B544" s="8">
        <v>55</v>
      </c>
      <c r="C544" s="8">
        <v>111.9</v>
      </c>
      <c r="D544" s="5">
        <v>1.81</v>
      </c>
      <c r="E544" s="5">
        <v>34.200000000000003</v>
      </c>
      <c r="F544" s="16" t="s">
        <v>1302</v>
      </c>
      <c r="G544" s="11">
        <v>0.52600000000000002</v>
      </c>
      <c r="H544" s="5">
        <v>95.2</v>
      </c>
      <c r="I544" s="8">
        <v>78</v>
      </c>
      <c r="J544" s="8">
        <v>21</v>
      </c>
      <c r="K544" s="8">
        <v>129</v>
      </c>
      <c r="L544" s="8">
        <v>131</v>
      </c>
      <c r="M544" t="s">
        <v>1307</v>
      </c>
      <c r="N544" s="16" t="s">
        <v>23</v>
      </c>
      <c r="O544" s="16" t="s">
        <v>23</v>
      </c>
      <c r="P544" s="16" t="s">
        <v>37</v>
      </c>
      <c r="Q544" s="10" t="s">
        <v>512</v>
      </c>
      <c r="R544" s="3" t="str">
        <f t="shared" si="16"/>
        <v>132</v>
      </c>
      <c r="S544" s="3" t="str">
        <f t="shared" si="17"/>
        <v>71</v>
      </c>
      <c r="T544" s="16" t="s">
        <v>29</v>
      </c>
      <c r="U544" s="3">
        <v>18.02</v>
      </c>
      <c r="V544" s="16" t="str">
        <f>PROPER(Table1[[#This Row],[CVD Risk Level]])</f>
        <v>High</v>
      </c>
    </row>
    <row r="545" spans="1:22" x14ac:dyDescent="0.3">
      <c r="A545" t="s">
        <v>20</v>
      </c>
      <c r="B545" s="8">
        <v>47.025499655410059</v>
      </c>
      <c r="C545" s="8">
        <v>57.5</v>
      </c>
      <c r="D545" s="5">
        <v>1.62</v>
      </c>
      <c r="E545" s="5">
        <v>21.9</v>
      </c>
      <c r="F545" s="16" t="s">
        <v>33</v>
      </c>
      <c r="G545" s="11">
        <v>0.52</v>
      </c>
      <c r="H545" s="5">
        <v>84.2</v>
      </c>
      <c r="I545" s="8">
        <v>73</v>
      </c>
      <c r="J545" s="8">
        <v>135</v>
      </c>
      <c r="K545" s="8">
        <v>238</v>
      </c>
      <c r="L545" s="8">
        <v>126</v>
      </c>
      <c r="M545" t="s">
        <v>1307</v>
      </c>
      <c r="N545" s="16" t="s">
        <v>23</v>
      </c>
      <c r="O545" s="16" t="s">
        <v>22</v>
      </c>
      <c r="P545" s="16" t="s">
        <v>28</v>
      </c>
      <c r="Q545" s="10" t="s">
        <v>513</v>
      </c>
      <c r="R545" s="3" t="str">
        <f t="shared" si="16"/>
        <v>118</v>
      </c>
      <c r="S545" s="3" t="str">
        <f t="shared" si="17"/>
        <v>76</v>
      </c>
      <c r="T545" s="16" t="s">
        <v>33</v>
      </c>
      <c r="U545" s="3">
        <v>15.04</v>
      </c>
      <c r="V545" s="16" t="str">
        <f>PROPER(Table1[[#This Row],[CVD Risk Level]])</f>
        <v>High</v>
      </c>
    </row>
    <row r="546" spans="1:22" x14ac:dyDescent="0.3">
      <c r="A546" t="s">
        <v>31</v>
      </c>
      <c r="B546" s="8">
        <v>49</v>
      </c>
      <c r="C546" s="8">
        <v>112.53033999999998</v>
      </c>
      <c r="D546" s="5">
        <v>1.69</v>
      </c>
      <c r="E546" s="5">
        <v>39.4</v>
      </c>
      <c r="F546" s="16" t="s">
        <v>1302</v>
      </c>
      <c r="G546" s="11">
        <v>0.60699999999999998</v>
      </c>
      <c r="H546" s="5">
        <v>102.6</v>
      </c>
      <c r="I546" s="8">
        <v>77</v>
      </c>
      <c r="J546" s="8">
        <v>14</v>
      </c>
      <c r="K546" s="8">
        <v>121</v>
      </c>
      <c r="L546" s="8">
        <v>88</v>
      </c>
      <c r="M546" t="s">
        <v>33</v>
      </c>
      <c r="N546" s="16" t="s">
        <v>22</v>
      </c>
      <c r="O546" s="16" t="s">
        <v>23</v>
      </c>
      <c r="P546" s="16" t="s">
        <v>24</v>
      </c>
      <c r="Q546" s="10" t="s">
        <v>302</v>
      </c>
      <c r="R546" s="3" t="str">
        <f t="shared" si="16"/>
        <v>110</v>
      </c>
      <c r="S546" s="3" t="str">
        <f t="shared" si="17"/>
        <v>77</v>
      </c>
      <c r="T546" s="16" t="s">
        <v>33</v>
      </c>
      <c r="U546" s="3">
        <v>17.8</v>
      </c>
      <c r="V546" s="16" t="str">
        <f>PROPER(Table1[[#This Row],[CVD Risk Level]])</f>
        <v>High</v>
      </c>
    </row>
    <row r="547" spans="1:22" x14ac:dyDescent="0.3">
      <c r="A547" t="s">
        <v>31</v>
      </c>
      <c r="B547" s="8">
        <v>51</v>
      </c>
      <c r="C547" s="8">
        <v>106.9</v>
      </c>
      <c r="D547" s="5">
        <v>1.68</v>
      </c>
      <c r="E547" s="5">
        <v>37.9</v>
      </c>
      <c r="F547" s="16" t="s">
        <v>1302</v>
      </c>
      <c r="G547" s="11">
        <v>0.60499999999999998</v>
      </c>
      <c r="H547" s="5">
        <v>101.7</v>
      </c>
      <c r="I547" s="8">
        <v>58</v>
      </c>
      <c r="J547" s="8">
        <v>178</v>
      </c>
      <c r="K547" s="8">
        <v>266</v>
      </c>
      <c r="L547" s="8">
        <v>120</v>
      </c>
      <c r="M547" t="s">
        <v>1306</v>
      </c>
      <c r="N547" s="16" t="s">
        <v>23</v>
      </c>
      <c r="O547" s="16" t="s">
        <v>23</v>
      </c>
      <c r="P547" s="16" t="s">
        <v>24</v>
      </c>
      <c r="Q547" s="10" t="s">
        <v>514</v>
      </c>
      <c r="R547" s="3" t="str">
        <f t="shared" si="16"/>
        <v>102</v>
      </c>
      <c r="S547" s="3" t="str">
        <f t="shared" si="17"/>
        <v>99</v>
      </c>
      <c r="T547" s="16" t="s">
        <v>38</v>
      </c>
      <c r="U547" s="3">
        <v>20</v>
      </c>
      <c r="V547" s="16" t="str">
        <f>PROPER(Table1[[#This Row],[CVD Risk Level]])</f>
        <v>High</v>
      </c>
    </row>
    <row r="548" spans="1:22" x14ac:dyDescent="0.3">
      <c r="A548" t="s">
        <v>31</v>
      </c>
      <c r="B548" s="8">
        <v>37</v>
      </c>
      <c r="C548" s="8">
        <v>91.524329999999992</v>
      </c>
      <c r="D548" s="5">
        <v>1.71</v>
      </c>
      <c r="E548" s="5">
        <v>31.3</v>
      </c>
      <c r="F548" s="16" t="s">
        <v>1302</v>
      </c>
      <c r="G548" s="11">
        <v>0.60899999999999999</v>
      </c>
      <c r="H548" s="5">
        <v>104.2</v>
      </c>
      <c r="I548" s="8">
        <v>63</v>
      </c>
      <c r="J548" s="8">
        <v>100</v>
      </c>
      <c r="K548" s="8">
        <v>193</v>
      </c>
      <c r="L548" s="8">
        <v>117.48563611491107</v>
      </c>
      <c r="M548" t="s">
        <v>1306</v>
      </c>
      <c r="N548" s="16" t="s">
        <v>22</v>
      </c>
      <c r="O548" s="16" t="s">
        <v>23</v>
      </c>
      <c r="P548" s="16" t="s">
        <v>28</v>
      </c>
      <c r="Q548" s="10" t="s">
        <v>515</v>
      </c>
      <c r="R548" s="3" t="str">
        <f t="shared" si="16"/>
        <v>130</v>
      </c>
      <c r="S548" s="3" t="str">
        <f t="shared" si="17"/>
        <v>89</v>
      </c>
      <c r="T548" s="16" t="s">
        <v>29</v>
      </c>
      <c r="U548" s="3">
        <v>18.62</v>
      </c>
      <c r="V548" s="16" t="str">
        <f>PROPER(Table1[[#This Row],[CVD Risk Level]])</f>
        <v>Intermediary</v>
      </c>
    </row>
    <row r="549" spans="1:22" x14ac:dyDescent="0.3">
      <c r="A549" t="s">
        <v>20</v>
      </c>
      <c r="B549" s="8">
        <v>42</v>
      </c>
      <c r="C549" s="8">
        <v>85.9</v>
      </c>
      <c r="D549" s="5">
        <v>1.8</v>
      </c>
      <c r="E549" s="5">
        <v>26.5</v>
      </c>
      <c r="F549" s="16" t="s">
        <v>1303</v>
      </c>
      <c r="G549" s="11">
        <v>0.498</v>
      </c>
      <c r="H549" s="5">
        <v>89.7</v>
      </c>
      <c r="I549" s="8">
        <v>49</v>
      </c>
      <c r="J549" s="8">
        <v>192</v>
      </c>
      <c r="K549" s="8">
        <v>271</v>
      </c>
      <c r="L549" s="8">
        <v>124</v>
      </c>
      <c r="M549" t="s">
        <v>1306</v>
      </c>
      <c r="N549" s="16" t="s">
        <v>23</v>
      </c>
      <c r="O549" s="16" t="s">
        <v>22</v>
      </c>
      <c r="P549" s="16" t="s">
        <v>37</v>
      </c>
      <c r="Q549" s="10" t="s">
        <v>250</v>
      </c>
      <c r="R549" s="3" t="str">
        <f t="shared" si="16"/>
        <v>141</v>
      </c>
      <c r="S549" s="3" t="str">
        <f t="shared" si="17"/>
        <v>78</v>
      </c>
      <c r="T549" s="16" t="s">
        <v>38</v>
      </c>
      <c r="U549" s="3">
        <v>17.77</v>
      </c>
      <c r="V549" s="16" t="str">
        <f>PROPER(Table1[[#This Row],[CVD Risk Level]])</f>
        <v>High</v>
      </c>
    </row>
    <row r="550" spans="1:22" x14ac:dyDescent="0.3">
      <c r="A550" t="s">
        <v>20</v>
      </c>
      <c r="B550" s="8">
        <v>60</v>
      </c>
      <c r="C550" s="8">
        <v>51.8</v>
      </c>
      <c r="D550" s="5">
        <v>1.67</v>
      </c>
      <c r="E550" s="5">
        <v>18.600000000000001</v>
      </c>
      <c r="F550" s="16" t="s">
        <v>33</v>
      </c>
      <c r="G550" s="11">
        <v>0.52600000000000002</v>
      </c>
      <c r="H550" s="5">
        <v>87.8</v>
      </c>
      <c r="I550" s="8">
        <v>53</v>
      </c>
      <c r="J550" s="8">
        <v>115</v>
      </c>
      <c r="K550" s="8">
        <v>198</v>
      </c>
      <c r="L550" s="8">
        <v>117</v>
      </c>
      <c r="M550" t="s">
        <v>1306</v>
      </c>
      <c r="N550" s="16" t="s">
        <v>22</v>
      </c>
      <c r="O550" s="16" t="s">
        <v>23</v>
      </c>
      <c r="P550" s="16" t="s">
        <v>28</v>
      </c>
      <c r="Q550" s="10" t="s">
        <v>442</v>
      </c>
      <c r="R550" s="3" t="str">
        <f t="shared" si="16"/>
        <v>95</v>
      </c>
      <c r="S550" s="3" t="str">
        <f t="shared" si="17"/>
        <v>94</v>
      </c>
      <c r="T550" s="16" t="s">
        <v>38</v>
      </c>
      <c r="U550" s="3">
        <v>14.43</v>
      </c>
      <c r="V550" s="16" t="str">
        <f>PROPER(Table1[[#This Row],[CVD Risk Level]])</f>
        <v>Intermediary</v>
      </c>
    </row>
    <row r="551" spans="1:22" x14ac:dyDescent="0.3">
      <c r="A551" t="s">
        <v>20</v>
      </c>
      <c r="B551" s="8">
        <v>50</v>
      </c>
      <c r="C551" s="8">
        <v>87.5</v>
      </c>
      <c r="D551" s="5">
        <v>1.69</v>
      </c>
      <c r="E551" s="5">
        <v>30.6</v>
      </c>
      <c r="F551" s="16" t="s">
        <v>1302</v>
      </c>
      <c r="G551" s="11">
        <v>0.498</v>
      </c>
      <c r="H551" s="5">
        <v>84.1</v>
      </c>
      <c r="I551" s="8">
        <v>42</v>
      </c>
      <c r="J551" s="8">
        <v>145</v>
      </c>
      <c r="K551" s="8">
        <v>217</v>
      </c>
      <c r="L551" s="8">
        <v>93</v>
      </c>
      <c r="M551" t="s">
        <v>33</v>
      </c>
      <c r="N551" s="16" t="s">
        <v>23</v>
      </c>
      <c r="O551" s="16" t="s">
        <v>22</v>
      </c>
      <c r="P551" s="16" t="s">
        <v>37</v>
      </c>
      <c r="Q551" s="10" t="s">
        <v>234</v>
      </c>
      <c r="R551" s="3" t="str">
        <f t="shared" si="16"/>
        <v>110</v>
      </c>
      <c r="S551" s="3" t="str">
        <f t="shared" si="17"/>
        <v>81</v>
      </c>
      <c r="T551" s="16" t="s">
        <v>29</v>
      </c>
      <c r="U551" s="3">
        <v>15.96</v>
      </c>
      <c r="V551" s="16" t="str">
        <f>PROPER(Table1[[#This Row],[CVD Risk Level]])</f>
        <v>High</v>
      </c>
    </row>
    <row r="552" spans="1:22" x14ac:dyDescent="0.3">
      <c r="A552" t="s">
        <v>20</v>
      </c>
      <c r="B552" s="8">
        <v>48</v>
      </c>
      <c r="C552" s="8">
        <v>117.8</v>
      </c>
      <c r="D552" s="5">
        <v>1.86</v>
      </c>
      <c r="E552" s="5">
        <v>34.1</v>
      </c>
      <c r="F552" s="16" t="s">
        <v>1302</v>
      </c>
      <c r="G552" s="11">
        <v>0.39400000000000002</v>
      </c>
      <c r="H552" s="5">
        <v>73.3</v>
      </c>
      <c r="I552" s="8">
        <v>69</v>
      </c>
      <c r="J552" s="8">
        <v>1</v>
      </c>
      <c r="K552" s="8">
        <v>100</v>
      </c>
      <c r="L552" s="8">
        <v>150</v>
      </c>
      <c r="M552" t="s">
        <v>1307</v>
      </c>
      <c r="N552" s="16" t="s">
        <v>22</v>
      </c>
      <c r="O552" s="16" t="s">
        <v>22</v>
      </c>
      <c r="P552" s="16" t="s">
        <v>24</v>
      </c>
      <c r="Q552" s="10" t="s">
        <v>516</v>
      </c>
      <c r="R552" s="3" t="str">
        <f t="shared" si="16"/>
        <v>116</v>
      </c>
      <c r="S552" s="3" t="str">
        <f t="shared" si="17"/>
        <v>91</v>
      </c>
      <c r="T552" s="16" t="s">
        <v>38</v>
      </c>
      <c r="U552" s="3">
        <v>14.62</v>
      </c>
      <c r="V552" s="16" t="str">
        <f>PROPER(Table1[[#This Row],[CVD Risk Level]])</f>
        <v>Intermediary</v>
      </c>
    </row>
    <row r="553" spans="1:22" x14ac:dyDescent="0.3">
      <c r="A553" t="s">
        <v>31</v>
      </c>
      <c r="B553" s="8">
        <v>57</v>
      </c>
      <c r="C553" s="8">
        <v>117.4</v>
      </c>
      <c r="D553" s="5">
        <v>1.82</v>
      </c>
      <c r="E553" s="5">
        <v>35.4</v>
      </c>
      <c r="F553" s="16" t="s">
        <v>1302</v>
      </c>
      <c r="G553" s="11">
        <v>0.57399999999999995</v>
      </c>
      <c r="H553" s="5">
        <v>104.5</v>
      </c>
      <c r="I553" s="8">
        <v>66</v>
      </c>
      <c r="J553" s="8">
        <v>85</v>
      </c>
      <c r="K553" s="8">
        <v>181</v>
      </c>
      <c r="L553" s="8">
        <v>101</v>
      </c>
      <c r="M553" t="s">
        <v>1306</v>
      </c>
      <c r="N553" s="16" t="s">
        <v>22</v>
      </c>
      <c r="O553" s="16" t="s">
        <v>23</v>
      </c>
      <c r="P553" s="16" t="s">
        <v>28</v>
      </c>
      <c r="Q553" s="10" t="s">
        <v>517</v>
      </c>
      <c r="R553" s="3" t="str">
        <f t="shared" si="16"/>
        <v>109</v>
      </c>
      <c r="S553" s="3" t="str">
        <f t="shared" si="17"/>
        <v>76</v>
      </c>
      <c r="T553" s="16" t="s">
        <v>33</v>
      </c>
      <c r="U553" s="3">
        <v>18.149999999999999</v>
      </c>
      <c r="V553" s="16" t="str">
        <f>PROPER(Table1[[#This Row],[CVD Risk Level]])</f>
        <v>High</v>
      </c>
    </row>
    <row r="554" spans="1:22" x14ac:dyDescent="0.3">
      <c r="A554" t="s">
        <v>20</v>
      </c>
      <c r="B554" s="8">
        <v>47</v>
      </c>
      <c r="C554" s="8">
        <v>57.2</v>
      </c>
      <c r="D554" s="5">
        <v>1.74</v>
      </c>
      <c r="E554" s="5">
        <v>18.899999999999999</v>
      </c>
      <c r="F554" s="16" t="s">
        <v>33</v>
      </c>
      <c r="G554" s="11">
        <v>0.502</v>
      </c>
      <c r="H554" s="5">
        <v>87.3</v>
      </c>
      <c r="I554" s="8">
        <v>59</v>
      </c>
      <c r="J554" s="8">
        <v>142</v>
      </c>
      <c r="K554" s="8">
        <v>231</v>
      </c>
      <c r="L554" s="8">
        <v>77</v>
      </c>
      <c r="M554" t="s">
        <v>33</v>
      </c>
      <c r="N554" s="16" t="s">
        <v>23</v>
      </c>
      <c r="O554" s="16" t="s">
        <v>22</v>
      </c>
      <c r="P554" s="16" t="s">
        <v>28</v>
      </c>
      <c r="Q554" s="10" t="s">
        <v>412</v>
      </c>
      <c r="R554" s="3" t="str">
        <f t="shared" si="16"/>
        <v>112</v>
      </c>
      <c r="S554" s="3" t="str">
        <f t="shared" si="17"/>
        <v>97</v>
      </c>
      <c r="T554" s="16" t="s">
        <v>38</v>
      </c>
      <c r="U554" s="3">
        <v>14</v>
      </c>
      <c r="V554" s="16" t="str">
        <f>PROPER(Table1[[#This Row],[CVD Risk Level]])</f>
        <v>High</v>
      </c>
    </row>
    <row r="555" spans="1:22" x14ac:dyDescent="0.3">
      <c r="A555" t="s">
        <v>20</v>
      </c>
      <c r="B555" s="8">
        <v>38</v>
      </c>
      <c r="C555" s="8">
        <v>72.7</v>
      </c>
      <c r="D555" s="5">
        <v>1.77</v>
      </c>
      <c r="E555" s="5">
        <v>23.2</v>
      </c>
      <c r="F555" s="16" t="s">
        <v>33</v>
      </c>
      <c r="G555" s="11">
        <v>0.46400000000000002</v>
      </c>
      <c r="H555" s="5">
        <v>82.2</v>
      </c>
      <c r="I555" s="8">
        <v>73</v>
      </c>
      <c r="J555" s="8">
        <v>160</v>
      </c>
      <c r="K555" s="8">
        <v>263</v>
      </c>
      <c r="L555" s="8">
        <v>109</v>
      </c>
      <c r="M555" t="s">
        <v>1306</v>
      </c>
      <c r="N555" s="16" t="s">
        <v>22</v>
      </c>
      <c r="O555" s="16" t="s">
        <v>23</v>
      </c>
      <c r="P555" s="16" t="s">
        <v>37</v>
      </c>
      <c r="Q555" s="10" t="s">
        <v>518</v>
      </c>
      <c r="R555" s="3" t="str">
        <f t="shared" si="16"/>
        <v>142</v>
      </c>
      <c r="S555" s="3" t="str">
        <f t="shared" si="17"/>
        <v>73</v>
      </c>
      <c r="T555" s="16" t="s">
        <v>38</v>
      </c>
      <c r="U555" s="3">
        <v>19</v>
      </c>
      <c r="V555" s="16" t="str">
        <f>PROPER(Table1[[#This Row],[CVD Risk Level]])</f>
        <v>Intermediary</v>
      </c>
    </row>
    <row r="556" spans="1:22" x14ac:dyDescent="0.3">
      <c r="A556" t="s">
        <v>20</v>
      </c>
      <c r="B556" s="8">
        <v>52</v>
      </c>
      <c r="C556" s="8">
        <v>97.8</v>
      </c>
      <c r="D556" s="5">
        <v>1.7592432204958923</v>
      </c>
      <c r="E556" s="5">
        <v>31.6</v>
      </c>
      <c r="F556" s="16" t="s">
        <v>1302</v>
      </c>
      <c r="G556" s="11">
        <v>0.53900000000000003</v>
      </c>
      <c r="H556" s="5">
        <v>94.8</v>
      </c>
      <c r="I556" s="8">
        <v>50</v>
      </c>
      <c r="J556" s="8">
        <v>136</v>
      </c>
      <c r="K556" s="8">
        <v>216</v>
      </c>
      <c r="L556" s="8">
        <v>101</v>
      </c>
      <c r="M556" t="s">
        <v>1306</v>
      </c>
      <c r="N556" s="16" t="s">
        <v>22</v>
      </c>
      <c r="O556" s="16" t="s">
        <v>23</v>
      </c>
      <c r="P556" s="16" t="s">
        <v>28</v>
      </c>
      <c r="Q556" s="10" t="s">
        <v>519</v>
      </c>
      <c r="R556" s="3" t="str">
        <f t="shared" si="16"/>
        <v>124</v>
      </c>
      <c r="S556" s="3" t="str">
        <f t="shared" si="17"/>
        <v>92</v>
      </c>
      <c r="T556" s="16" t="s">
        <v>38</v>
      </c>
      <c r="U556" s="3">
        <v>18.84</v>
      </c>
      <c r="V556" s="16" t="str">
        <f>PROPER(Table1[[#This Row],[CVD Risk Level]])</f>
        <v>High</v>
      </c>
    </row>
    <row r="557" spans="1:22" x14ac:dyDescent="0.3">
      <c r="A557" t="s">
        <v>31</v>
      </c>
      <c r="B557" s="8">
        <v>41</v>
      </c>
      <c r="C557" s="8">
        <v>59</v>
      </c>
      <c r="D557" s="5">
        <v>1.74</v>
      </c>
      <c r="E557" s="5">
        <v>19.5</v>
      </c>
      <c r="F557" s="16" t="s">
        <v>33</v>
      </c>
      <c r="G557" s="11">
        <v>0.62</v>
      </c>
      <c r="H557" s="5">
        <v>107.88</v>
      </c>
      <c r="I557" s="8">
        <v>58</v>
      </c>
      <c r="J557" s="8">
        <v>112</v>
      </c>
      <c r="K557" s="8">
        <v>200</v>
      </c>
      <c r="L557" s="8">
        <v>104</v>
      </c>
      <c r="M557" t="s">
        <v>1306</v>
      </c>
      <c r="N557" s="16" t="s">
        <v>23</v>
      </c>
      <c r="O557" s="16" t="s">
        <v>23</v>
      </c>
      <c r="P557" s="16" t="s">
        <v>24</v>
      </c>
      <c r="Q557" s="10" t="s">
        <v>520</v>
      </c>
      <c r="R557" s="3" t="str">
        <f t="shared" si="16"/>
        <v>91</v>
      </c>
      <c r="S557" s="3" t="str">
        <f t="shared" si="17"/>
        <v>81</v>
      </c>
      <c r="T557" s="16" t="s">
        <v>29</v>
      </c>
      <c r="U557" s="3">
        <v>14.45</v>
      </c>
      <c r="V557" s="16" t="str">
        <f>PROPER(Table1[[#This Row],[CVD Risk Level]])</f>
        <v>Intermediary</v>
      </c>
    </row>
    <row r="558" spans="1:22" x14ac:dyDescent="0.3">
      <c r="A558" t="s">
        <v>31</v>
      </c>
      <c r="B558" s="8">
        <v>30</v>
      </c>
      <c r="C558" s="8">
        <v>70.900000000000006</v>
      </c>
      <c r="D558" s="5">
        <v>1.82</v>
      </c>
      <c r="E558" s="5">
        <v>21.4</v>
      </c>
      <c r="F558" s="16" t="s">
        <v>33</v>
      </c>
      <c r="G558" s="11">
        <v>0.51800000000000002</v>
      </c>
      <c r="H558" s="5">
        <v>94.3</v>
      </c>
      <c r="I558" s="8">
        <v>46</v>
      </c>
      <c r="J558" s="8">
        <v>178</v>
      </c>
      <c r="K558" s="8">
        <v>254</v>
      </c>
      <c r="L558" s="8">
        <v>89</v>
      </c>
      <c r="M558" t="s">
        <v>33</v>
      </c>
      <c r="N558" s="16" t="s">
        <v>22</v>
      </c>
      <c r="O558" s="16" t="s">
        <v>23</v>
      </c>
      <c r="P558" s="16" t="s">
        <v>28</v>
      </c>
      <c r="Q558" s="10" t="s">
        <v>394</v>
      </c>
      <c r="R558" s="3" t="str">
        <f t="shared" si="16"/>
        <v>148</v>
      </c>
      <c r="S558" s="3" t="str">
        <f t="shared" si="17"/>
        <v>85</v>
      </c>
      <c r="T558" s="16" t="s">
        <v>29</v>
      </c>
      <c r="U558" s="3">
        <v>18.760000000000002</v>
      </c>
      <c r="V558" s="16" t="str">
        <f>PROPER(Table1[[#This Row],[CVD Risk Level]])</f>
        <v>Intermediary</v>
      </c>
    </row>
    <row r="559" spans="1:22" x14ac:dyDescent="0.3">
      <c r="A559" t="s">
        <v>20</v>
      </c>
      <c r="B559" s="8">
        <v>33</v>
      </c>
      <c r="C559" s="8">
        <v>64.099999999999994</v>
      </c>
      <c r="D559" s="5">
        <v>1.86</v>
      </c>
      <c r="E559" s="5">
        <v>18.5</v>
      </c>
      <c r="F559" s="16" t="s">
        <v>33</v>
      </c>
      <c r="G559" s="11">
        <v>0.45600000000000002</v>
      </c>
      <c r="H559" s="5">
        <v>84.816000000000003</v>
      </c>
      <c r="I559" s="8">
        <v>46</v>
      </c>
      <c r="J559" s="8">
        <v>177</v>
      </c>
      <c r="K559" s="8">
        <v>253</v>
      </c>
      <c r="L559" s="8">
        <v>103</v>
      </c>
      <c r="M559" t="s">
        <v>1306</v>
      </c>
      <c r="N559" s="16" t="s">
        <v>22</v>
      </c>
      <c r="O559" s="16" t="s">
        <v>22</v>
      </c>
      <c r="P559" s="16" t="s">
        <v>24</v>
      </c>
      <c r="Q559" s="10" t="s">
        <v>521</v>
      </c>
      <c r="R559" s="3" t="str">
        <f t="shared" si="16"/>
        <v>130</v>
      </c>
      <c r="S559" s="3" t="str">
        <f t="shared" si="17"/>
        <v>99</v>
      </c>
      <c r="T559" s="16" t="s">
        <v>29</v>
      </c>
      <c r="U559" s="3">
        <v>15.26</v>
      </c>
      <c r="V559" s="16" t="str">
        <f>PROPER(Table1[[#This Row],[CVD Risk Level]])</f>
        <v>Intermediary</v>
      </c>
    </row>
    <row r="560" spans="1:22" x14ac:dyDescent="0.3">
      <c r="A560" t="s">
        <v>20</v>
      </c>
      <c r="B560" s="8">
        <v>54</v>
      </c>
      <c r="C560" s="8">
        <v>53.3</v>
      </c>
      <c r="D560" s="5">
        <v>1.84</v>
      </c>
      <c r="E560" s="5">
        <v>15.7</v>
      </c>
      <c r="F560" s="16" t="s">
        <v>1304</v>
      </c>
      <c r="G560" s="11">
        <v>0.58299999999999996</v>
      </c>
      <c r="H560" s="5">
        <v>107.3</v>
      </c>
      <c r="I560" s="8">
        <v>47</v>
      </c>
      <c r="J560" s="8">
        <v>80</v>
      </c>
      <c r="K560" s="8">
        <v>157</v>
      </c>
      <c r="L560" s="8">
        <v>75</v>
      </c>
      <c r="M560" t="s">
        <v>33</v>
      </c>
      <c r="N560" s="16" t="s">
        <v>23</v>
      </c>
      <c r="O560" s="16" t="s">
        <v>23</v>
      </c>
      <c r="P560" s="16" t="s">
        <v>24</v>
      </c>
      <c r="Q560" s="10" t="s">
        <v>522</v>
      </c>
      <c r="R560" s="3" t="str">
        <f t="shared" si="16"/>
        <v>142</v>
      </c>
      <c r="S560" s="3" t="str">
        <f t="shared" si="17"/>
        <v>72</v>
      </c>
      <c r="T560" s="16" t="s">
        <v>38</v>
      </c>
      <c r="U560" s="3">
        <v>15.38</v>
      </c>
      <c r="V560" s="16" t="str">
        <f>PROPER(Table1[[#This Row],[CVD Risk Level]])</f>
        <v>High</v>
      </c>
    </row>
    <row r="561" spans="1:22" x14ac:dyDescent="0.3">
      <c r="A561" t="s">
        <v>20</v>
      </c>
      <c r="B561" s="8">
        <v>35</v>
      </c>
      <c r="C561" s="8">
        <v>54.5</v>
      </c>
      <c r="D561" s="5">
        <v>1.83</v>
      </c>
      <c r="E561" s="5">
        <v>16.3</v>
      </c>
      <c r="F561" s="16" t="s">
        <v>1304</v>
      </c>
      <c r="G561" s="11">
        <v>0.42299999999999999</v>
      </c>
      <c r="H561" s="5">
        <v>77.400000000000006</v>
      </c>
      <c r="I561" s="8">
        <v>30</v>
      </c>
      <c r="J561" s="8">
        <v>129</v>
      </c>
      <c r="K561" s="8">
        <v>189</v>
      </c>
      <c r="L561" s="8">
        <v>92</v>
      </c>
      <c r="M561" t="s">
        <v>33</v>
      </c>
      <c r="N561" s="16" t="s">
        <v>23</v>
      </c>
      <c r="O561" s="16" t="s">
        <v>22</v>
      </c>
      <c r="P561" s="16" t="s">
        <v>37</v>
      </c>
      <c r="Q561" s="10" t="s">
        <v>523</v>
      </c>
      <c r="R561" s="3" t="str">
        <f t="shared" si="16"/>
        <v>119</v>
      </c>
      <c r="S561" s="3" t="str">
        <f t="shared" si="17"/>
        <v>83</v>
      </c>
      <c r="T561" s="16" t="s">
        <v>29</v>
      </c>
      <c r="U561" s="3">
        <v>12.99</v>
      </c>
      <c r="V561" s="16" t="str">
        <f>PROPER(Table1[[#This Row],[CVD Risk Level]])</f>
        <v>Intermediary</v>
      </c>
    </row>
    <row r="562" spans="1:22" x14ac:dyDescent="0.3">
      <c r="A562" t="s">
        <v>31</v>
      </c>
      <c r="B562" s="8">
        <v>41</v>
      </c>
      <c r="C562" s="8">
        <v>64.5</v>
      </c>
      <c r="D562" s="5">
        <v>1.84</v>
      </c>
      <c r="E562" s="5">
        <v>19.100000000000001</v>
      </c>
      <c r="F562" s="16" t="s">
        <v>33</v>
      </c>
      <c r="G562" s="11">
        <v>0.42599999999999999</v>
      </c>
      <c r="H562" s="5">
        <v>78.400000000000006</v>
      </c>
      <c r="I562" s="8">
        <v>79</v>
      </c>
      <c r="J562" s="8">
        <v>54</v>
      </c>
      <c r="K562" s="8">
        <v>163</v>
      </c>
      <c r="L562" s="8">
        <v>143</v>
      </c>
      <c r="M562" t="s">
        <v>1307</v>
      </c>
      <c r="N562" s="16" t="s">
        <v>22</v>
      </c>
      <c r="O562" s="16" t="s">
        <v>22</v>
      </c>
      <c r="P562" s="16" t="s">
        <v>28</v>
      </c>
      <c r="Q562" s="10" t="s">
        <v>524</v>
      </c>
      <c r="R562" s="3" t="str">
        <f t="shared" si="16"/>
        <v>118</v>
      </c>
      <c r="S562" s="3" t="str">
        <f t="shared" si="17"/>
        <v>100</v>
      </c>
      <c r="T562" s="16" t="s">
        <v>38</v>
      </c>
      <c r="U562" s="3">
        <v>12.98</v>
      </c>
      <c r="V562" s="16" t="str">
        <f>PROPER(Table1[[#This Row],[CVD Risk Level]])</f>
        <v>Low</v>
      </c>
    </row>
    <row r="563" spans="1:22" x14ac:dyDescent="0.3">
      <c r="A563" t="s">
        <v>20</v>
      </c>
      <c r="B563" s="8">
        <v>49</v>
      </c>
      <c r="C563" s="8">
        <v>100.4</v>
      </c>
      <c r="D563" s="5">
        <v>1.68</v>
      </c>
      <c r="E563" s="5">
        <v>35.6</v>
      </c>
      <c r="F563" s="16" t="s">
        <v>1302</v>
      </c>
      <c r="G563" s="11">
        <v>0.56399999999999995</v>
      </c>
      <c r="H563" s="5">
        <v>94.7</v>
      </c>
      <c r="I563" s="8">
        <v>65</v>
      </c>
      <c r="J563" s="8">
        <v>166</v>
      </c>
      <c r="K563" s="8">
        <v>261</v>
      </c>
      <c r="L563" s="8">
        <v>96</v>
      </c>
      <c r="M563" t="s">
        <v>33</v>
      </c>
      <c r="N563" s="16" t="s">
        <v>22</v>
      </c>
      <c r="O563" s="16" t="s">
        <v>23</v>
      </c>
      <c r="P563" s="16" t="s">
        <v>24</v>
      </c>
      <c r="Q563" s="10" t="s">
        <v>525</v>
      </c>
      <c r="R563" s="3" t="str">
        <f t="shared" si="16"/>
        <v>147</v>
      </c>
      <c r="S563" s="3" t="str">
        <f t="shared" si="17"/>
        <v>74</v>
      </c>
      <c r="T563" s="16" t="s">
        <v>38</v>
      </c>
      <c r="U563" s="3">
        <v>21.69</v>
      </c>
      <c r="V563" s="16" t="str">
        <f>PROPER(Table1[[#This Row],[CVD Risk Level]])</f>
        <v>High</v>
      </c>
    </row>
    <row r="564" spans="1:22" x14ac:dyDescent="0.3">
      <c r="A564" t="s">
        <v>20</v>
      </c>
      <c r="B564" s="8">
        <v>45</v>
      </c>
      <c r="C564" s="8">
        <v>109.1</v>
      </c>
      <c r="D564" s="5">
        <v>1.7</v>
      </c>
      <c r="E564" s="5">
        <v>37.799999999999997</v>
      </c>
      <c r="F564" s="16" t="s">
        <v>1302</v>
      </c>
      <c r="G564" s="11">
        <v>0.61399999999999999</v>
      </c>
      <c r="H564" s="5">
        <v>104.3</v>
      </c>
      <c r="I564" s="8">
        <v>78</v>
      </c>
      <c r="J564" s="8">
        <v>188</v>
      </c>
      <c r="K564" s="8">
        <v>296</v>
      </c>
      <c r="L564" s="8">
        <v>132</v>
      </c>
      <c r="M564" t="s">
        <v>1307</v>
      </c>
      <c r="N564" s="16" t="s">
        <v>23</v>
      </c>
      <c r="O564" s="16" t="s">
        <v>22</v>
      </c>
      <c r="P564" s="16" t="s">
        <v>24</v>
      </c>
      <c r="Q564" s="10" t="s">
        <v>526</v>
      </c>
      <c r="R564" s="3" t="str">
        <f t="shared" si="16"/>
        <v>142</v>
      </c>
      <c r="S564" s="3" t="str">
        <f t="shared" si="17"/>
        <v>76</v>
      </c>
      <c r="T564" s="16" t="s">
        <v>38</v>
      </c>
      <c r="U564" s="3">
        <v>20.58</v>
      </c>
      <c r="V564" s="16" t="str">
        <f>PROPER(Table1[[#This Row],[CVD Risk Level]])</f>
        <v>High</v>
      </c>
    </row>
    <row r="565" spans="1:22" x14ac:dyDescent="0.3">
      <c r="A565" t="s">
        <v>31</v>
      </c>
      <c r="B565" s="8">
        <v>48</v>
      </c>
      <c r="C565" s="8">
        <v>100.6</v>
      </c>
      <c r="D565" s="5">
        <v>1.66</v>
      </c>
      <c r="E565" s="5">
        <v>36.5</v>
      </c>
      <c r="F565" s="16" t="s">
        <v>1302</v>
      </c>
      <c r="G565" s="11">
        <v>0.64900000000000002</v>
      </c>
      <c r="H565" s="5">
        <v>107.8</v>
      </c>
      <c r="I565" s="8">
        <v>56</v>
      </c>
      <c r="J565" s="8">
        <v>171</v>
      </c>
      <c r="K565" s="8">
        <v>257</v>
      </c>
      <c r="L565" s="8">
        <v>150</v>
      </c>
      <c r="M565" t="s">
        <v>1307</v>
      </c>
      <c r="N565" s="16" t="s">
        <v>22</v>
      </c>
      <c r="O565" s="16" t="s">
        <v>22</v>
      </c>
      <c r="P565" s="16" t="s">
        <v>37</v>
      </c>
      <c r="Q565" s="10" t="s">
        <v>527</v>
      </c>
      <c r="R565" s="3" t="str">
        <f t="shared" si="16"/>
        <v>127</v>
      </c>
      <c r="S565" s="3" t="str">
        <f t="shared" si="17"/>
        <v>93</v>
      </c>
      <c r="T565" s="16" t="s">
        <v>38</v>
      </c>
      <c r="U565" s="3">
        <v>18.79</v>
      </c>
      <c r="V565" s="16" t="str">
        <f>PROPER(Table1[[#This Row],[CVD Risk Level]])</f>
        <v>Intermediary</v>
      </c>
    </row>
    <row r="566" spans="1:22" x14ac:dyDescent="0.3">
      <c r="A566" t="s">
        <v>20</v>
      </c>
      <c r="B566" s="8">
        <v>30</v>
      </c>
      <c r="C566" s="8">
        <v>60.5</v>
      </c>
      <c r="D566" s="5">
        <v>1.87</v>
      </c>
      <c r="E566" s="5">
        <v>17.3</v>
      </c>
      <c r="F566" s="16" t="s">
        <v>1304</v>
      </c>
      <c r="G566" s="11">
        <v>0.42780748663101603</v>
      </c>
      <c r="H566" s="5">
        <v>80</v>
      </c>
      <c r="I566" s="8">
        <v>38</v>
      </c>
      <c r="J566" s="8">
        <v>111</v>
      </c>
      <c r="K566" s="8">
        <v>179</v>
      </c>
      <c r="L566" s="8">
        <v>144</v>
      </c>
      <c r="M566" t="s">
        <v>1307</v>
      </c>
      <c r="N566" s="16" t="s">
        <v>23</v>
      </c>
      <c r="O566" s="16" t="s">
        <v>23</v>
      </c>
      <c r="P566" s="16" t="s">
        <v>37</v>
      </c>
      <c r="Q566" s="10" t="s">
        <v>528</v>
      </c>
      <c r="R566" s="3" t="str">
        <f t="shared" si="16"/>
        <v>91</v>
      </c>
      <c r="S566" s="3" t="str">
        <f t="shared" si="17"/>
        <v>70</v>
      </c>
      <c r="T566" s="16" t="s">
        <v>33</v>
      </c>
      <c r="U566" s="3">
        <v>13.59</v>
      </c>
      <c r="V566" s="16" t="str">
        <f>PROPER(Table1[[#This Row],[CVD Risk Level]])</f>
        <v>High</v>
      </c>
    </row>
    <row r="567" spans="1:22" x14ac:dyDescent="0.3">
      <c r="A567" t="s">
        <v>20</v>
      </c>
      <c r="B567" s="8">
        <v>46</v>
      </c>
      <c r="C567" s="8">
        <v>112.3</v>
      </c>
      <c r="D567" s="5">
        <v>1.73</v>
      </c>
      <c r="E567" s="5">
        <v>37.5</v>
      </c>
      <c r="F567" s="16" t="s">
        <v>1302</v>
      </c>
      <c r="G567" s="11">
        <v>0.50800000000000001</v>
      </c>
      <c r="H567" s="5">
        <v>87.9</v>
      </c>
      <c r="I567" s="8">
        <v>66</v>
      </c>
      <c r="J567" s="8">
        <v>109</v>
      </c>
      <c r="K567" s="8">
        <v>207</v>
      </c>
      <c r="L567" s="8">
        <v>138</v>
      </c>
      <c r="M567" t="s">
        <v>1307</v>
      </c>
      <c r="N567" s="16" t="s">
        <v>23</v>
      </c>
      <c r="O567" s="16" t="s">
        <v>23</v>
      </c>
      <c r="P567" s="16" t="s">
        <v>24</v>
      </c>
      <c r="Q567" s="10" t="s">
        <v>529</v>
      </c>
      <c r="R567" s="3" t="str">
        <f t="shared" si="16"/>
        <v>116</v>
      </c>
      <c r="S567" s="3" t="str">
        <f t="shared" si="17"/>
        <v>87</v>
      </c>
      <c r="T567" s="16" t="s">
        <v>29</v>
      </c>
      <c r="U567" s="3">
        <v>19.440000000000001</v>
      </c>
      <c r="V567" s="16" t="str">
        <f>PROPER(Table1[[#This Row],[CVD Risk Level]])</f>
        <v>High</v>
      </c>
    </row>
    <row r="568" spans="1:22" x14ac:dyDescent="0.3">
      <c r="A568" t="s">
        <v>20</v>
      </c>
      <c r="B568" s="8">
        <v>49</v>
      </c>
      <c r="C568" s="8">
        <v>92.3</v>
      </c>
      <c r="D568" s="5">
        <v>1.69</v>
      </c>
      <c r="E568" s="5">
        <v>32.299999999999997</v>
      </c>
      <c r="F568" s="16" t="s">
        <v>1302</v>
      </c>
      <c r="G568" s="11">
        <v>0.63400000000000001</v>
      </c>
      <c r="H568" s="5">
        <v>107.1</v>
      </c>
      <c r="I568" s="8">
        <v>70</v>
      </c>
      <c r="J568" s="8">
        <v>130</v>
      </c>
      <c r="K568" s="8">
        <v>230</v>
      </c>
      <c r="L568" s="8">
        <v>74</v>
      </c>
      <c r="M568" t="s">
        <v>33</v>
      </c>
      <c r="N568" s="16" t="s">
        <v>23</v>
      </c>
      <c r="O568" s="16" t="s">
        <v>22</v>
      </c>
      <c r="P568" s="16" t="s">
        <v>24</v>
      </c>
      <c r="Q568" s="10" t="s">
        <v>530</v>
      </c>
      <c r="R568" s="3" t="str">
        <f t="shared" si="16"/>
        <v>147</v>
      </c>
      <c r="S568" s="3" t="str">
        <f t="shared" si="17"/>
        <v>79</v>
      </c>
      <c r="T568" s="16" t="s">
        <v>38</v>
      </c>
      <c r="U568" s="3">
        <v>18.41</v>
      </c>
      <c r="V568" s="16" t="str">
        <f>PROPER(Table1[[#This Row],[CVD Risk Level]])</f>
        <v>High</v>
      </c>
    </row>
    <row r="569" spans="1:22" x14ac:dyDescent="0.3">
      <c r="A569" t="s">
        <v>31</v>
      </c>
      <c r="B569" s="8">
        <v>47</v>
      </c>
      <c r="C569" s="8">
        <v>117.28044000000001</v>
      </c>
      <c r="D569" s="5">
        <v>1.86</v>
      </c>
      <c r="E569" s="5">
        <v>33.9</v>
      </c>
      <c r="F569" s="16" t="s">
        <v>1302</v>
      </c>
      <c r="G569" s="11">
        <v>0.53500000000000003</v>
      </c>
      <c r="H569" s="5">
        <v>99.5</v>
      </c>
      <c r="I569" s="8">
        <v>56.197377501725327</v>
      </c>
      <c r="J569" s="8">
        <v>152</v>
      </c>
      <c r="K569" s="8">
        <v>218</v>
      </c>
      <c r="L569" s="8">
        <v>108</v>
      </c>
      <c r="M569" t="s">
        <v>1306</v>
      </c>
      <c r="N569" s="16" t="s">
        <v>23</v>
      </c>
      <c r="O569" s="16" t="s">
        <v>22</v>
      </c>
      <c r="P569" s="16" t="s">
        <v>24</v>
      </c>
      <c r="Q569" s="10" t="s">
        <v>531</v>
      </c>
      <c r="R569" s="3" t="str">
        <f t="shared" si="16"/>
        <v>97</v>
      </c>
      <c r="S569" s="3" t="str">
        <f t="shared" si="17"/>
        <v>72</v>
      </c>
      <c r="T569" s="16" t="s">
        <v>33</v>
      </c>
      <c r="U569" s="3">
        <v>15.99</v>
      </c>
      <c r="V569" s="16" t="str">
        <f>PROPER(Table1[[#This Row],[CVD Risk Level]])</f>
        <v>High</v>
      </c>
    </row>
    <row r="570" spans="1:22" x14ac:dyDescent="0.3">
      <c r="A570" t="s">
        <v>20</v>
      </c>
      <c r="B570" s="8">
        <v>40</v>
      </c>
      <c r="C570" s="8">
        <v>115.2</v>
      </c>
      <c r="D570" s="5">
        <v>1.66</v>
      </c>
      <c r="E570" s="5">
        <v>41.8</v>
      </c>
      <c r="F570" s="16" t="s">
        <v>1302</v>
      </c>
      <c r="G570" s="11">
        <v>0.45300000000000001</v>
      </c>
      <c r="H570" s="5">
        <v>75.2</v>
      </c>
      <c r="I570" s="8">
        <v>40</v>
      </c>
      <c r="J570" s="8">
        <v>230</v>
      </c>
      <c r="K570" s="8">
        <v>300</v>
      </c>
      <c r="L570" s="8">
        <v>146</v>
      </c>
      <c r="M570" t="s">
        <v>1307</v>
      </c>
      <c r="N570" s="16" t="s">
        <v>22</v>
      </c>
      <c r="O570" s="16" t="s">
        <v>22</v>
      </c>
      <c r="P570" s="16" t="s">
        <v>37</v>
      </c>
      <c r="Q570" s="10" t="s">
        <v>532</v>
      </c>
      <c r="R570" s="3" t="str">
        <f t="shared" si="16"/>
        <v>119</v>
      </c>
      <c r="S570" s="3" t="str">
        <f t="shared" si="17"/>
        <v>72</v>
      </c>
      <c r="T570" s="16" t="s">
        <v>33</v>
      </c>
      <c r="U570" s="3">
        <v>16.960925291295425</v>
      </c>
      <c r="V570" s="16" t="str">
        <f>PROPER(Table1[[#This Row],[CVD Risk Level]])</f>
        <v>Intermediary</v>
      </c>
    </row>
    <row r="571" spans="1:22" x14ac:dyDescent="0.3">
      <c r="A571" t="s">
        <v>20</v>
      </c>
      <c r="B571" s="8">
        <v>50</v>
      </c>
      <c r="C571" s="8">
        <v>72.8</v>
      </c>
      <c r="D571" s="5">
        <v>1.79</v>
      </c>
      <c r="E571" s="5">
        <v>22.7</v>
      </c>
      <c r="F571" s="16" t="s">
        <v>33</v>
      </c>
      <c r="G571" s="11">
        <v>0.42899999999999999</v>
      </c>
      <c r="H571" s="5">
        <v>76.8</v>
      </c>
      <c r="I571" s="8">
        <v>36</v>
      </c>
      <c r="J571" s="8">
        <v>210</v>
      </c>
      <c r="K571" s="8">
        <v>276</v>
      </c>
      <c r="L571" s="8">
        <v>75</v>
      </c>
      <c r="M571" t="s">
        <v>33</v>
      </c>
      <c r="N571" s="16" t="s">
        <v>23</v>
      </c>
      <c r="O571" s="16" t="s">
        <v>22</v>
      </c>
      <c r="P571" s="16" t="s">
        <v>37</v>
      </c>
      <c r="Q571" s="10" t="s">
        <v>182</v>
      </c>
      <c r="R571" s="3" t="str">
        <f t="shared" si="16"/>
        <v>119</v>
      </c>
      <c r="S571" s="3" t="str">
        <f t="shared" si="17"/>
        <v>81</v>
      </c>
      <c r="T571" s="16" t="s">
        <v>29</v>
      </c>
      <c r="U571" s="3">
        <v>16.010000000000002</v>
      </c>
      <c r="V571" s="16" t="str">
        <f>PROPER(Table1[[#This Row],[CVD Risk Level]])</f>
        <v>High</v>
      </c>
    </row>
    <row r="572" spans="1:22" x14ac:dyDescent="0.3">
      <c r="A572" t="s">
        <v>31</v>
      </c>
      <c r="B572" s="8">
        <v>47.025499655410059</v>
      </c>
      <c r="C572" s="8">
        <v>70.900000000000006</v>
      </c>
      <c r="D572" s="5">
        <v>1.8</v>
      </c>
      <c r="E572" s="5">
        <v>21.9</v>
      </c>
      <c r="F572" s="16" t="s">
        <v>33</v>
      </c>
      <c r="G572" s="11">
        <v>0.48899999999999999</v>
      </c>
      <c r="H572" s="5">
        <v>88</v>
      </c>
      <c r="I572" s="8">
        <v>67</v>
      </c>
      <c r="J572" s="8">
        <v>174</v>
      </c>
      <c r="K572" s="8">
        <v>271</v>
      </c>
      <c r="L572" s="8">
        <v>150</v>
      </c>
      <c r="M572" t="s">
        <v>1307</v>
      </c>
      <c r="N572" s="16" t="s">
        <v>22</v>
      </c>
      <c r="O572" s="16" t="s">
        <v>23</v>
      </c>
      <c r="P572" s="16" t="s">
        <v>24</v>
      </c>
      <c r="Q572" s="10" t="s">
        <v>533</v>
      </c>
      <c r="R572" s="3" t="str">
        <f t="shared" si="16"/>
        <v>137</v>
      </c>
      <c r="S572" s="3" t="str">
        <f t="shared" si="17"/>
        <v>91</v>
      </c>
      <c r="T572" s="16" t="s">
        <v>29</v>
      </c>
      <c r="U572" s="3">
        <v>18.649999999999999</v>
      </c>
      <c r="V572" s="16" t="str">
        <f>PROPER(Table1[[#This Row],[CVD Risk Level]])</f>
        <v>High</v>
      </c>
    </row>
    <row r="573" spans="1:22" x14ac:dyDescent="0.3">
      <c r="A573" t="s">
        <v>20</v>
      </c>
      <c r="B573" s="8">
        <v>44</v>
      </c>
      <c r="C573" s="8">
        <v>58.1</v>
      </c>
      <c r="D573" s="5">
        <v>1.78</v>
      </c>
      <c r="E573" s="5">
        <v>18.337331145057441</v>
      </c>
      <c r="F573" s="16" t="s">
        <v>1304</v>
      </c>
      <c r="G573" s="11">
        <v>0.55600000000000005</v>
      </c>
      <c r="H573" s="5">
        <v>98.9</v>
      </c>
      <c r="I573" s="8">
        <v>36</v>
      </c>
      <c r="J573" s="8">
        <v>107</v>
      </c>
      <c r="K573" s="8">
        <v>173</v>
      </c>
      <c r="L573" s="8">
        <v>130</v>
      </c>
      <c r="M573" t="s">
        <v>1307</v>
      </c>
      <c r="N573" s="16" t="s">
        <v>23</v>
      </c>
      <c r="O573" s="16" t="s">
        <v>23</v>
      </c>
      <c r="P573" s="16" t="s">
        <v>24</v>
      </c>
      <c r="Q573" s="10" t="s">
        <v>534</v>
      </c>
      <c r="R573" s="3" t="str">
        <f t="shared" si="16"/>
        <v>93</v>
      </c>
      <c r="S573" s="3" t="str">
        <f t="shared" si="17"/>
        <v>61</v>
      </c>
      <c r="T573" s="16" t="s">
        <v>33</v>
      </c>
      <c r="U573" s="3">
        <v>13.77</v>
      </c>
      <c r="V573" s="16" t="str">
        <f>PROPER(Table1[[#This Row],[CVD Risk Level]])</f>
        <v>High</v>
      </c>
    </row>
    <row r="574" spans="1:22" x14ac:dyDescent="0.3">
      <c r="A574" t="s">
        <v>31</v>
      </c>
      <c r="B574" s="8">
        <v>47</v>
      </c>
      <c r="C574" s="8">
        <v>54.6</v>
      </c>
      <c r="D574" s="5">
        <v>1.68</v>
      </c>
      <c r="E574" s="5">
        <v>19.3</v>
      </c>
      <c r="F574" s="16" t="s">
        <v>33</v>
      </c>
      <c r="G574" s="11">
        <v>0.59299999999999997</v>
      </c>
      <c r="H574" s="5">
        <v>99.6</v>
      </c>
      <c r="I574" s="8">
        <v>36</v>
      </c>
      <c r="J574" s="8">
        <v>106</v>
      </c>
      <c r="K574" s="8">
        <v>172</v>
      </c>
      <c r="L574" s="8">
        <v>150</v>
      </c>
      <c r="M574" t="s">
        <v>1307</v>
      </c>
      <c r="N574" s="16" t="s">
        <v>23</v>
      </c>
      <c r="O574" s="16" t="s">
        <v>23</v>
      </c>
      <c r="P574" s="16" t="s">
        <v>24</v>
      </c>
      <c r="Q574" s="10" t="s">
        <v>535</v>
      </c>
      <c r="R574" s="3" t="str">
        <f t="shared" si="16"/>
        <v>134</v>
      </c>
      <c r="S574" s="3" t="str">
        <f t="shared" si="17"/>
        <v>72</v>
      </c>
      <c r="T574" s="16" t="s">
        <v>29</v>
      </c>
      <c r="U574" s="3">
        <v>16</v>
      </c>
      <c r="V574" s="16" t="str">
        <f>PROPER(Table1[[#This Row],[CVD Risk Level]])</f>
        <v>High</v>
      </c>
    </row>
    <row r="575" spans="1:22" x14ac:dyDescent="0.3">
      <c r="A575" t="s">
        <v>31</v>
      </c>
      <c r="B575" s="8">
        <v>53</v>
      </c>
      <c r="C575" s="8">
        <v>75.7</v>
      </c>
      <c r="D575" s="5">
        <v>1.7</v>
      </c>
      <c r="E575" s="5">
        <v>26.2</v>
      </c>
      <c r="F575" s="16" t="s">
        <v>1303</v>
      </c>
      <c r="G575" s="11">
        <v>0.53529411764705881</v>
      </c>
      <c r="H575" s="5">
        <v>91</v>
      </c>
      <c r="I575" s="8">
        <v>52</v>
      </c>
      <c r="J575" s="8">
        <v>198</v>
      </c>
      <c r="K575" s="8">
        <v>280</v>
      </c>
      <c r="L575" s="8">
        <v>72</v>
      </c>
      <c r="M575" t="s">
        <v>33</v>
      </c>
      <c r="N575" s="16" t="s">
        <v>22</v>
      </c>
      <c r="O575" s="16" t="s">
        <v>23</v>
      </c>
      <c r="P575" s="16" t="s">
        <v>37</v>
      </c>
      <c r="Q575" s="10" t="s">
        <v>359</v>
      </c>
      <c r="R575" s="3" t="str">
        <f t="shared" si="16"/>
        <v>103</v>
      </c>
      <c r="S575" s="3" t="str">
        <f t="shared" si="17"/>
        <v>69</v>
      </c>
      <c r="T575" s="16" t="s">
        <v>33</v>
      </c>
      <c r="U575" s="3">
        <v>17.989999999999998</v>
      </c>
      <c r="V575" s="16" t="str">
        <f>PROPER(Table1[[#This Row],[CVD Risk Level]])</f>
        <v>High</v>
      </c>
    </row>
    <row r="576" spans="1:22" x14ac:dyDescent="0.3">
      <c r="A576" t="s">
        <v>20</v>
      </c>
      <c r="B576" s="8">
        <v>51</v>
      </c>
      <c r="C576" s="8">
        <v>116.2</v>
      </c>
      <c r="D576" s="5">
        <v>1.89</v>
      </c>
      <c r="E576" s="5">
        <v>32.5</v>
      </c>
      <c r="F576" s="16" t="s">
        <v>1302</v>
      </c>
      <c r="G576" s="11">
        <v>0.43</v>
      </c>
      <c r="H576" s="5">
        <v>81.3</v>
      </c>
      <c r="I576" s="8">
        <v>43</v>
      </c>
      <c r="J576" s="8">
        <v>35</v>
      </c>
      <c r="K576" s="8">
        <v>108</v>
      </c>
      <c r="L576" s="8">
        <v>103</v>
      </c>
      <c r="M576" t="s">
        <v>1306</v>
      </c>
      <c r="N576" s="16" t="s">
        <v>22</v>
      </c>
      <c r="O576" s="16" t="s">
        <v>23</v>
      </c>
      <c r="P576" s="16" t="s">
        <v>28</v>
      </c>
      <c r="Q576" s="10" t="s">
        <v>226</v>
      </c>
      <c r="R576" s="3" t="str">
        <f t="shared" si="16"/>
        <v>118</v>
      </c>
      <c r="S576" s="3" t="str">
        <f t="shared" si="17"/>
        <v>84</v>
      </c>
      <c r="T576" s="16" t="s">
        <v>29</v>
      </c>
      <c r="U576" s="3">
        <v>16.559999999999999</v>
      </c>
      <c r="V576" s="16" t="str">
        <f>PROPER(Table1[[#This Row],[CVD Risk Level]])</f>
        <v>High</v>
      </c>
    </row>
    <row r="577" spans="1:22" x14ac:dyDescent="0.3">
      <c r="A577" t="s">
        <v>31</v>
      </c>
      <c r="B577" s="8">
        <v>33</v>
      </c>
      <c r="C577" s="8">
        <v>116.5</v>
      </c>
      <c r="D577" s="5">
        <v>1.63</v>
      </c>
      <c r="E577" s="5">
        <v>43.8</v>
      </c>
      <c r="F577" s="16" t="s">
        <v>1302</v>
      </c>
      <c r="G577" s="11">
        <v>0.53200000000000003</v>
      </c>
      <c r="H577" s="5">
        <v>86.7</v>
      </c>
      <c r="I577" s="8">
        <v>66</v>
      </c>
      <c r="J577" s="8">
        <v>185</v>
      </c>
      <c r="K577" s="8">
        <v>281</v>
      </c>
      <c r="L577" s="8">
        <v>130</v>
      </c>
      <c r="M577" t="s">
        <v>1307</v>
      </c>
      <c r="N577" s="16" t="s">
        <v>23</v>
      </c>
      <c r="O577" s="16" t="s">
        <v>23</v>
      </c>
      <c r="P577" s="16" t="s">
        <v>24</v>
      </c>
      <c r="Q577" s="10" t="s">
        <v>536</v>
      </c>
      <c r="R577" s="3" t="str">
        <f t="shared" si="16"/>
        <v>150</v>
      </c>
      <c r="S577" s="3" t="str">
        <f t="shared" si="17"/>
        <v>80</v>
      </c>
      <c r="T577" s="16" t="s">
        <v>29</v>
      </c>
      <c r="U577" s="3">
        <v>23.88</v>
      </c>
      <c r="V577" s="16" t="str">
        <f>PROPER(Table1[[#This Row],[CVD Risk Level]])</f>
        <v>High</v>
      </c>
    </row>
    <row r="578" spans="1:22" x14ac:dyDescent="0.3">
      <c r="A578" t="s">
        <v>31</v>
      </c>
      <c r="B578" s="8">
        <v>39</v>
      </c>
      <c r="C578" s="8">
        <v>62.3</v>
      </c>
      <c r="D578" s="5">
        <v>1.89</v>
      </c>
      <c r="E578" s="5">
        <v>17.399999999999999</v>
      </c>
      <c r="F578" s="16" t="s">
        <v>1304</v>
      </c>
      <c r="G578" s="11">
        <v>0.51200000000000001</v>
      </c>
      <c r="H578" s="5">
        <v>96.8</v>
      </c>
      <c r="I578" s="8">
        <v>60</v>
      </c>
      <c r="J578" s="8">
        <v>166</v>
      </c>
      <c r="K578" s="8">
        <v>256</v>
      </c>
      <c r="L578" s="8">
        <v>93</v>
      </c>
      <c r="M578" t="s">
        <v>33</v>
      </c>
      <c r="N578" s="16" t="s">
        <v>23</v>
      </c>
      <c r="O578" s="16" t="s">
        <v>23</v>
      </c>
      <c r="P578" s="16" t="s">
        <v>24</v>
      </c>
      <c r="Q578" s="10" t="s">
        <v>537</v>
      </c>
      <c r="R578" s="3" t="str">
        <f t="shared" si="16"/>
        <v>125</v>
      </c>
      <c r="S578" s="3" t="str">
        <f t="shared" si="17"/>
        <v>64</v>
      </c>
      <c r="T578" s="16" t="s">
        <v>25</v>
      </c>
      <c r="U578" s="3">
        <v>16.850000000000001</v>
      </c>
      <c r="V578" s="16" t="str">
        <f>PROPER(Table1[[#This Row],[CVD Risk Level]])</f>
        <v>High</v>
      </c>
    </row>
    <row r="579" spans="1:22" x14ac:dyDescent="0.3">
      <c r="A579" t="s">
        <v>20</v>
      </c>
      <c r="B579" s="8">
        <v>48</v>
      </c>
      <c r="C579" s="8">
        <v>59.4</v>
      </c>
      <c r="D579" s="5">
        <v>1.88</v>
      </c>
      <c r="E579" s="5">
        <v>16.8</v>
      </c>
      <c r="F579" s="16" t="s">
        <v>1304</v>
      </c>
      <c r="G579" s="11">
        <v>0.48499999999999999</v>
      </c>
      <c r="H579" s="5">
        <v>91.2</v>
      </c>
      <c r="I579" s="8">
        <v>69</v>
      </c>
      <c r="J579" s="8">
        <v>115</v>
      </c>
      <c r="K579" s="8">
        <v>214</v>
      </c>
      <c r="L579" s="8">
        <v>77</v>
      </c>
      <c r="M579" t="s">
        <v>33</v>
      </c>
      <c r="N579" s="16" t="s">
        <v>22</v>
      </c>
      <c r="O579" s="16" t="s">
        <v>22</v>
      </c>
      <c r="P579" s="16" t="s">
        <v>24</v>
      </c>
      <c r="Q579" s="10" t="s">
        <v>538</v>
      </c>
      <c r="R579" s="3" t="str">
        <f t="shared" ref="R579:R642" si="18">LEFT(Q579,FIND("/",Q579)-1)</f>
        <v>102</v>
      </c>
      <c r="S579" s="3" t="str">
        <f t="shared" ref="S579:S642" si="19">RIGHT(Q579,LEN(Q579)-FIND("/",Q579))</f>
        <v>84</v>
      </c>
      <c r="T579" s="16" t="s">
        <v>29</v>
      </c>
      <c r="U579" s="3">
        <v>12.74</v>
      </c>
      <c r="V579" s="16" t="str">
        <f>PROPER(Table1[[#This Row],[CVD Risk Level]])</f>
        <v>High</v>
      </c>
    </row>
    <row r="580" spans="1:22" x14ac:dyDescent="0.3">
      <c r="A580" t="s">
        <v>20</v>
      </c>
      <c r="B580" s="8">
        <v>40</v>
      </c>
      <c r="C580" s="8">
        <v>59.944049999999997</v>
      </c>
      <c r="D580" s="5">
        <v>1.71</v>
      </c>
      <c r="E580" s="5">
        <v>20.5</v>
      </c>
      <c r="F580" s="16" t="s">
        <v>33</v>
      </c>
      <c r="G580" s="11">
        <v>0.59399999999999997</v>
      </c>
      <c r="H580" s="5">
        <v>101.5</v>
      </c>
      <c r="I580" s="8">
        <v>34</v>
      </c>
      <c r="J580" s="8">
        <v>63</v>
      </c>
      <c r="K580" s="8">
        <v>127</v>
      </c>
      <c r="L580" s="8">
        <v>88</v>
      </c>
      <c r="M580" t="s">
        <v>33</v>
      </c>
      <c r="N580" s="16" t="s">
        <v>23</v>
      </c>
      <c r="O580" s="16" t="s">
        <v>23</v>
      </c>
      <c r="P580" s="16" t="s">
        <v>24</v>
      </c>
      <c r="Q580" s="10" t="s">
        <v>539</v>
      </c>
      <c r="R580" s="3" t="str">
        <f t="shared" si="18"/>
        <v>117</v>
      </c>
      <c r="S580" s="3" t="str">
        <f t="shared" si="19"/>
        <v>86</v>
      </c>
      <c r="T580" s="16" t="s">
        <v>29</v>
      </c>
      <c r="U580" s="3">
        <v>14.49</v>
      </c>
      <c r="V580" s="16" t="str">
        <f>PROPER(Table1[[#This Row],[CVD Risk Level]])</f>
        <v>High</v>
      </c>
    </row>
    <row r="581" spans="1:22" x14ac:dyDescent="0.3">
      <c r="A581" t="s">
        <v>20</v>
      </c>
      <c r="B581" s="8">
        <v>47.025499655410059</v>
      </c>
      <c r="C581" s="8">
        <v>86.2</v>
      </c>
      <c r="D581" s="5">
        <v>1.72</v>
      </c>
      <c r="E581" s="5">
        <v>29.1</v>
      </c>
      <c r="F581" s="16" t="s">
        <v>1303</v>
      </c>
      <c r="G581" s="11">
        <v>0.63700000000000001</v>
      </c>
      <c r="H581" s="5">
        <v>109.5</v>
      </c>
      <c r="I581" s="8">
        <v>53</v>
      </c>
      <c r="J581" s="8">
        <v>109</v>
      </c>
      <c r="K581" s="8">
        <v>282</v>
      </c>
      <c r="L581" s="8">
        <v>107</v>
      </c>
      <c r="M581" t="s">
        <v>1306</v>
      </c>
      <c r="N581" s="16" t="s">
        <v>23</v>
      </c>
      <c r="O581" s="16" t="s">
        <v>23</v>
      </c>
      <c r="P581" s="16" t="s">
        <v>37</v>
      </c>
      <c r="Q581" s="10" t="s">
        <v>540</v>
      </c>
      <c r="R581" s="3" t="str">
        <f t="shared" si="18"/>
        <v>112</v>
      </c>
      <c r="S581" s="3" t="str">
        <f t="shared" si="19"/>
        <v>79</v>
      </c>
      <c r="T581" s="16" t="s">
        <v>33</v>
      </c>
      <c r="U581" s="3">
        <v>19.059999999999999</v>
      </c>
      <c r="V581" s="16" t="str">
        <f>PROPER(Table1[[#This Row],[CVD Risk Level]])</f>
        <v>High</v>
      </c>
    </row>
    <row r="582" spans="1:22" x14ac:dyDescent="0.3">
      <c r="A582" t="s">
        <v>20</v>
      </c>
      <c r="B582" s="8">
        <v>43</v>
      </c>
      <c r="C582" s="8">
        <v>80.569080000000014</v>
      </c>
      <c r="D582" s="5">
        <v>1.62</v>
      </c>
      <c r="E582" s="5">
        <v>30.7</v>
      </c>
      <c r="F582" s="16" t="s">
        <v>1302</v>
      </c>
      <c r="G582" s="11">
        <v>0.55200000000000005</v>
      </c>
      <c r="H582" s="5">
        <v>89.4</v>
      </c>
      <c r="I582" s="8">
        <v>66</v>
      </c>
      <c r="J582" s="8">
        <v>113</v>
      </c>
      <c r="K582" s="8">
        <v>209</v>
      </c>
      <c r="L582" s="8">
        <v>111</v>
      </c>
      <c r="M582" t="s">
        <v>1306</v>
      </c>
      <c r="N582" s="16" t="s">
        <v>22</v>
      </c>
      <c r="O582" s="16" t="s">
        <v>22</v>
      </c>
      <c r="P582" s="16" t="s">
        <v>28</v>
      </c>
      <c r="Q582" s="10" t="s">
        <v>541</v>
      </c>
      <c r="R582" s="3" t="str">
        <f t="shared" si="18"/>
        <v>120</v>
      </c>
      <c r="S582" s="3" t="str">
        <f t="shared" si="19"/>
        <v>100</v>
      </c>
      <c r="T582" s="16" t="s">
        <v>38</v>
      </c>
      <c r="U582" s="3">
        <v>16.32</v>
      </c>
      <c r="V582" s="16" t="str">
        <f>PROPER(Table1[[#This Row],[CVD Risk Level]])</f>
        <v>Intermediary</v>
      </c>
    </row>
    <row r="583" spans="1:22" x14ac:dyDescent="0.3">
      <c r="A583" t="s">
        <v>31</v>
      </c>
      <c r="B583" s="8">
        <v>47.025499655410059</v>
      </c>
      <c r="C583" s="8">
        <v>52.8</v>
      </c>
      <c r="D583" s="5">
        <v>1.8</v>
      </c>
      <c r="E583" s="5">
        <v>16.3</v>
      </c>
      <c r="F583" s="16" t="s">
        <v>1304</v>
      </c>
      <c r="G583" s="11">
        <v>0.42899999999999999</v>
      </c>
      <c r="H583" s="5">
        <v>77.3</v>
      </c>
      <c r="I583" s="8">
        <v>32</v>
      </c>
      <c r="J583" s="8">
        <v>105</v>
      </c>
      <c r="K583" s="8">
        <v>167</v>
      </c>
      <c r="L583" s="8">
        <v>135</v>
      </c>
      <c r="M583" t="s">
        <v>1307</v>
      </c>
      <c r="N583" s="16" t="s">
        <v>22</v>
      </c>
      <c r="O583" s="16" t="s">
        <v>23</v>
      </c>
      <c r="P583" s="16" t="s">
        <v>24</v>
      </c>
      <c r="Q583" s="10" t="s">
        <v>383</v>
      </c>
      <c r="R583" s="3" t="str">
        <f t="shared" si="18"/>
        <v>113</v>
      </c>
      <c r="S583" s="3" t="str">
        <f t="shared" si="19"/>
        <v>96</v>
      </c>
      <c r="T583" s="16" t="s">
        <v>38</v>
      </c>
      <c r="U583" s="3">
        <v>14.25</v>
      </c>
      <c r="V583" s="16" t="str">
        <f>PROPER(Table1[[#This Row],[CVD Risk Level]])</f>
        <v>Intermediary</v>
      </c>
    </row>
    <row r="584" spans="1:22" x14ac:dyDescent="0.3">
      <c r="A584" t="s">
        <v>31</v>
      </c>
      <c r="B584" s="8">
        <v>41</v>
      </c>
      <c r="C584" s="8">
        <v>92</v>
      </c>
      <c r="D584" s="5">
        <v>1.77</v>
      </c>
      <c r="E584" s="5">
        <v>29.4</v>
      </c>
      <c r="F584" s="16" t="s">
        <v>1303</v>
      </c>
      <c r="G584" s="11">
        <v>0.55700000000000005</v>
      </c>
      <c r="H584" s="5">
        <v>98.6</v>
      </c>
      <c r="I584" s="8">
        <v>49</v>
      </c>
      <c r="J584" s="8">
        <v>177</v>
      </c>
      <c r="K584" s="8">
        <v>256</v>
      </c>
      <c r="L584" s="8">
        <v>75</v>
      </c>
      <c r="M584" t="s">
        <v>33</v>
      </c>
      <c r="N584" s="16" t="s">
        <v>22</v>
      </c>
      <c r="O584" s="16" t="s">
        <v>22</v>
      </c>
      <c r="P584" s="16" t="s">
        <v>28</v>
      </c>
      <c r="Q584" s="10" t="s">
        <v>542</v>
      </c>
      <c r="R584" s="3" t="str">
        <f t="shared" si="18"/>
        <v>113</v>
      </c>
      <c r="S584" s="3" t="str">
        <f t="shared" si="19"/>
        <v>87</v>
      </c>
      <c r="T584" s="16" t="s">
        <v>29</v>
      </c>
      <c r="U584" s="3">
        <v>16.649999999999999</v>
      </c>
      <c r="V584" s="16" t="str">
        <f>PROPER(Table1[[#This Row],[CVD Risk Level]])</f>
        <v>Intermediary</v>
      </c>
    </row>
    <row r="585" spans="1:22" x14ac:dyDescent="0.3">
      <c r="A585" t="s">
        <v>31</v>
      </c>
      <c r="B585" s="8">
        <v>32</v>
      </c>
      <c r="C585" s="8">
        <v>106.7</v>
      </c>
      <c r="D585" s="5">
        <v>1.85</v>
      </c>
      <c r="E585" s="5">
        <v>31.2</v>
      </c>
      <c r="F585" s="16" t="s">
        <v>1302</v>
      </c>
      <c r="G585" s="11">
        <v>0.39200000000000002</v>
      </c>
      <c r="H585" s="5">
        <v>72.599999999999994</v>
      </c>
      <c r="I585" s="8">
        <v>55</v>
      </c>
      <c r="J585" s="8">
        <v>15</v>
      </c>
      <c r="K585" s="8">
        <v>100</v>
      </c>
      <c r="L585" s="8">
        <v>95</v>
      </c>
      <c r="M585" t="s">
        <v>33</v>
      </c>
      <c r="N585" s="16" t="s">
        <v>23</v>
      </c>
      <c r="O585" s="16" t="s">
        <v>23</v>
      </c>
      <c r="P585" s="16" t="s">
        <v>37</v>
      </c>
      <c r="Q585" s="10" t="s">
        <v>57</v>
      </c>
      <c r="R585" s="3" t="str">
        <f t="shared" si="18"/>
        <v>102</v>
      </c>
      <c r="S585" s="3" t="str">
        <f t="shared" si="19"/>
        <v>74</v>
      </c>
      <c r="T585" s="16" t="s">
        <v>33</v>
      </c>
      <c r="U585" s="3">
        <v>15.34</v>
      </c>
      <c r="V585" s="16" t="str">
        <f>PROPER(Table1[[#This Row],[CVD Risk Level]])</f>
        <v>High</v>
      </c>
    </row>
    <row r="586" spans="1:22" x14ac:dyDescent="0.3">
      <c r="A586" t="s">
        <v>20</v>
      </c>
      <c r="B586" s="8">
        <v>43</v>
      </c>
      <c r="C586" s="8">
        <v>62.2</v>
      </c>
      <c r="D586" s="5">
        <v>1.66</v>
      </c>
      <c r="E586" s="5">
        <v>22.6</v>
      </c>
      <c r="F586" s="16" t="s">
        <v>33</v>
      </c>
      <c r="G586" s="11">
        <v>0.56599999999999995</v>
      </c>
      <c r="H586" s="5">
        <v>93.9</v>
      </c>
      <c r="I586" s="8">
        <v>38</v>
      </c>
      <c r="J586" s="8">
        <v>96</v>
      </c>
      <c r="K586" s="8">
        <v>164</v>
      </c>
      <c r="L586" s="8">
        <v>88</v>
      </c>
      <c r="M586" t="s">
        <v>33</v>
      </c>
      <c r="N586" s="16" t="s">
        <v>22</v>
      </c>
      <c r="O586" s="16" t="s">
        <v>23</v>
      </c>
      <c r="P586" s="16" t="s">
        <v>28</v>
      </c>
      <c r="Q586" s="10" t="s">
        <v>226</v>
      </c>
      <c r="R586" s="3" t="str">
        <f t="shared" si="18"/>
        <v>118</v>
      </c>
      <c r="S586" s="3" t="str">
        <f t="shared" si="19"/>
        <v>84</v>
      </c>
      <c r="T586" s="16" t="s">
        <v>29</v>
      </c>
      <c r="U586" s="3">
        <v>15.7</v>
      </c>
      <c r="V586" s="16" t="str">
        <f>PROPER(Table1[[#This Row],[CVD Risk Level]])</f>
        <v>Intermediary</v>
      </c>
    </row>
    <row r="587" spans="1:22" x14ac:dyDescent="0.3">
      <c r="A587" t="s">
        <v>20</v>
      </c>
      <c r="B587" s="8">
        <v>37</v>
      </c>
      <c r="C587" s="8">
        <v>99.6</v>
      </c>
      <c r="D587" s="5">
        <v>1.8</v>
      </c>
      <c r="E587" s="5">
        <v>30.7</v>
      </c>
      <c r="F587" s="16" t="s">
        <v>1302</v>
      </c>
      <c r="G587" s="11">
        <v>0.56899999999999995</v>
      </c>
      <c r="H587" s="5">
        <v>102.4</v>
      </c>
      <c r="I587" s="8">
        <v>73</v>
      </c>
      <c r="J587" s="8">
        <v>129</v>
      </c>
      <c r="K587" s="8">
        <v>232</v>
      </c>
      <c r="L587" s="8">
        <v>117.48563611491107</v>
      </c>
      <c r="M587" t="s">
        <v>1306</v>
      </c>
      <c r="N587" s="16" t="s">
        <v>22</v>
      </c>
      <c r="O587" s="16" t="s">
        <v>22</v>
      </c>
      <c r="P587" s="16" t="s">
        <v>24</v>
      </c>
      <c r="Q587" s="10" t="s">
        <v>543</v>
      </c>
      <c r="R587" s="3" t="str">
        <f t="shared" si="18"/>
        <v>120</v>
      </c>
      <c r="S587" s="3" t="str">
        <f t="shared" si="19"/>
        <v>97</v>
      </c>
      <c r="T587" s="16" t="s">
        <v>38</v>
      </c>
      <c r="U587" s="3">
        <v>16.78</v>
      </c>
      <c r="V587" s="16" t="str">
        <f>PROPER(Table1[[#This Row],[CVD Risk Level]])</f>
        <v>Intermediary</v>
      </c>
    </row>
    <row r="588" spans="1:22" x14ac:dyDescent="0.3">
      <c r="A588" t="s">
        <v>20</v>
      </c>
      <c r="B588" s="8">
        <v>59</v>
      </c>
      <c r="C588" s="8">
        <v>52.4</v>
      </c>
      <c r="D588" s="5">
        <v>1.66</v>
      </c>
      <c r="E588" s="5">
        <v>19</v>
      </c>
      <c r="F588" s="16" t="s">
        <v>33</v>
      </c>
      <c r="G588" s="11">
        <v>0.57599999999999996</v>
      </c>
      <c r="H588" s="5">
        <v>95.6</v>
      </c>
      <c r="I588" s="8">
        <v>37</v>
      </c>
      <c r="J588" s="8">
        <v>36</v>
      </c>
      <c r="K588" s="8">
        <v>103</v>
      </c>
      <c r="L588" s="8">
        <v>144</v>
      </c>
      <c r="M588" t="s">
        <v>1307</v>
      </c>
      <c r="N588" s="16" t="s">
        <v>23</v>
      </c>
      <c r="O588" s="16" t="s">
        <v>23</v>
      </c>
      <c r="P588" s="16" t="s">
        <v>24</v>
      </c>
      <c r="Q588" s="10" t="s">
        <v>544</v>
      </c>
      <c r="R588" s="3" t="str">
        <f t="shared" si="18"/>
        <v>93</v>
      </c>
      <c r="S588" s="3" t="str">
        <f t="shared" si="19"/>
        <v>73</v>
      </c>
      <c r="T588" s="16" t="s">
        <v>33</v>
      </c>
      <c r="U588" s="3">
        <v>16.960925291295425</v>
      </c>
      <c r="V588" s="16" t="str">
        <f>PROPER(Table1[[#This Row],[CVD Risk Level]])</f>
        <v>High</v>
      </c>
    </row>
    <row r="589" spans="1:22" x14ac:dyDescent="0.3">
      <c r="A589" t="s">
        <v>31</v>
      </c>
      <c r="B589" s="8">
        <v>35</v>
      </c>
      <c r="C589" s="8">
        <v>118.4</v>
      </c>
      <c r="D589" s="5">
        <v>1.76</v>
      </c>
      <c r="E589" s="5">
        <v>38.200000000000003</v>
      </c>
      <c r="F589" s="16" t="s">
        <v>1302</v>
      </c>
      <c r="G589" s="11">
        <v>0.42299999999999999</v>
      </c>
      <c r="H589" s="5">
        <v>74.400000000000006</v>
      </c>
      <c r="I589" s="8">
        <v>32</v>
      </c>
      <c r="J589" s="8">
        <v>100</v>
      </c>
      <c r="K589" s="8">
        <v>162</v>
      </c>
      <c r="L589" s="8">
        <v>107</v>
      </c>
      <c r="M589" t="s">
        <v>1306</v>
      </c>
      <c r="N589" s="16" t="s">
        <v>23</v>
      </c>
      <c r="O589" s="16" t="s">
        <v>23</v>
      </c>
      <c r="P589" s="16" t="s">
        <v>28</v>
      </c>
      <c r="Q589" s="10" t="s">
        <v>545</v>
      </c>
      <c r="R589" s="3" t="str">
        <f t="shared" si="18"/>
        <v>96</v>
      </c>
      <c r="S589" s="3" t="str">
        <f t="shared" si="19"/>
        <v>71</v>
      </c>
      <c r="T589" s="16" t="s">
        <v>33</v>
      </c>
      <c r="U589" s="3">
        <v>17.68</v>
      </c>
      <c r="V589" s="16" t="str">
        <f>PROPER(Table1[[#This Row],[CVD Risk Level]])</f>
        <v>High</v>
      </c>
    </row>
    <row r="590" spans="1:22" x14ac:dyDescent="0.3">
      <c r="A590" t="s">
        <v>31</v>
      </c>
      <c r="B590" s="8">
        <v>34</v>
      </c>
      <c r="C590" s="8">
        <v>60.4</v>
      </c>
      <c r="D590" s="5">
        <v>1.81</v>
      </c>
      <c r="E590" s="5">
        <v>18.399999999999999</v>
      </c>
      <c r="F590" s="16" t="s">
        <v>1304</v>
      </c>
      <c r="G590" s="11">
        <v>0.52300000000000002</v>
      </c>
      <c r="H590" s="5">
        <v>94.6</v>
      </c>
      <c r="I590" s="8">
        <v>56</v>
      </c>
      <c r="J590" s="8">
        <v>182</v>
      </c>
      <c r="K590" s="8">
        <v>268</v>
      </c>
      <c r="L590" s="8">
        <v>85</v>
      </c>
      <c r="M590" t="s">
        <v>33</v>
      </c>
      <c r="N590" s="16" t="s">
        <v>23</v>
      </c>
      <c r="O590" s="16" t="s">
        <v>22</v>
      </c>
      <c r="P590" s="16" t="s">
        <v>28</v>
      </c>
      <c r="Q590" s="10" t="s">
        <v>546</v>
      </c>
      <c r="R590" s="3" t="str">
        <f t="shared" si="18"/>
        <v>136</v>
      </c>
      <c r="S590" s="3" t="str">
        <f t="shared" si="19"/>
        <v>67</v>
      </c>
      <c r="T590" s="16" t="s">
        <v>29</v>
      </c>
      <c r="U590" s="3">
        <v>15.84</v>
      </c>
      <c r="V590" s="16" t="str">
        <f>PROPER(Table1[[#This Row],[CVD Risk Level]])</f>
        <v>Intermediary</v>
      </c>
    </row>
    <row r="591" spans="1:22" x14ac:dyDescent="0.3">
      <c r="A591" t="s">
        <v>31</v>
      </c>
      <c r="B591" s="8">
        <v>57</v>
      </c>
      <c r="C591" s="8">
        <v>109.7</v>
      </c>
      <c r="D591" s="5">
        <v>1.73</v>
      </c>
      <c r="E591" s="5">
        <v>36.700000000000003</v>
      </c>
      <c r="F591" s="16" t="s">
        <v>1302</v>
      </c>
      <c r="G591" s="11">
        <v>0.436</v>
      </c>
      <c r="H591" s="5">
        <v>75.427999999999997</v>
      </c>
      <c r="I591" s="8">
        <v>32</v>
      </c>
      <c r="J591" s="8">
        <v>80</v>
      </c>
      <c r="K591" s="8">
        <v>142</v>
      </c>
      <c r="L591" s="8">
        <v>114</v>
      </c>
      <c r="M591" t="s">
        <v>1306</v>
      </c>
      <c r="N591" s="16" t="s">
        <v>22</v>
      </c>
      <c r="O591" s="16" t="s">
        <v>23</v>
      </c>
      <c r="P591" s="16" t="s">
        <v>24</v>
      </c>
      <c r="Q591" s="10" t="s">
        <v>547</v>
      </c>
      <c r="R591" s="3" t="str">
        <f t="shared" si="18"/>
        <v>94</v>
      </c>
      <c r="S591" s="3" t="str">
        <f t="shared" si="19"/>
        <v>85</v>
      </c>
      <c r="T591" s="16" t="s">
        <v>29</v>
      </c>
      <c r="U591" s="3">
        <v>16.88</v>
      </c>
      <c r="V591" s="16" t="str">
        <f>PROPER(Table1[[#This Row],[CVD Risk Level]])</f>
        <v>High</v>
      </c>
    </row>
    <row r="592" spans="1:22" x14ac:dyDescent="0.3">
      <c r="A592" t="s">
        <v>20</v>
      </c>
      <c r="B592" s="8">
        <v>32</v>
      </c>
      <c r="C592" s="8">
        <v>110.3</v>
      </c>
      <c r="D592" s="5">
        <v>1.7</v>
      </c>
      <c r="E592" s="5">
        <v>38.200000000000003</v>
      </c>
      <c r="F592" s="16" t="s">
        <v>1302</v>
      </c>
      <c r="G592" s="11">
        <v>0.432</v>
      </c>
      <c r="H592" s="5">
        <v>73.5</v>
      </c>
      <c r="I592" s="8">
        <v>78</v>
      </c>
      <c r="J592" s="8">
        <v>182</v>
      </c>
      <c r="K592" s="8">
        <v>290</v>
      </c>
      <c r="L592" s="8">
        <v>117.48563611491107</v>
      </c>
      <c r="M592" t="s">
        <v>1306</v>
      </c>
      <c r="N592" s="16" t="s">
        <v>23</v>
      </c>
      <c r="O592" s="16" t="s">
        <v>23</v>
      </c>
      <c r="P592" s="16" t="s">
        <v>24</v>
      </c>
      <c r="Q592" s="10" t="s">
        <v>548</v>
      </c>
      <c r="R592" s="3" t="str">
        <f t="shared" si="18"/>
        <v>112</v>
      </c>
      <c r="S592" s="3" t="str">
        <f t="shared" si="19"/>
        <v>63</v>
      </c>
      <c r="T592" s="16" t="s">
        <v>33</v>
      </c>
      <c r="U592" s="3">
        <v>21.04</v>
      </c>
      <c r="V592" s="16" t="str">
        <f>PROPER(Table1[[#This Row],[CVD Risk Level]])</f>
        <v>High</v>
      </c>
    </row>
    <row r="593" spans="1:22" x14ac:dyDescent="0.3">
      <c r="A593" t="s">
        <v>20</v>
      </c>
      <c r="B593" s="8">
        <v>42</v>
      </c>
      <c r="C593" s="8">
        <v>109.2</v>
      </c>
      <c r="D593" s="5">
        <v>1.86</v>
      </c>
      <c r="E593" s="5">
        <v>31.6</v>
      </c>
      <c r="F593" s="16" t="s">
        <v>1302</v>
      </c>
      <c r="G593" s="11">
        <v>0.48899999999999999</v>
      </c>
      <c r="H593" s="5">
        <v>91</v>
      </c>
      <c r="I593" s="8">
        <v>30</v>
      </c>
      <c r="J593" s="8">
        <v>217</v>
      </c>
      <c r="K593" s="8">
        <v>277</v>
      </c>
      <c r="L593" s="8">
        <v>107</v>
      </c>
      <c r="M593" t="s">
        <v>1306</v>
      </c>
      <c r="N593" s="16" t="s">
        <v>22</v>
      </c>
      <c r="O593" s="16" t="s">
        <v>22</v>
      </c>
      <c r="P593" s="16" t="s">
        <v>28</v>
      </c>
      <c r="Q593" s="10" t="s">
        <v>549</v>
      </c>
      <c r="R593" s="3" t="str">
        <f t="shared" si="18"/>
        <v>146</v>
      </c>
      <c r="S593" s="3" t="str">
        <f t="shared" si="19"/>
        <v>74</v>
      </c>
      <c r="T593" s="16" t="s">
        <v>38</v>
      </c>
      <c r="U593" s="3">
        <v>19.16</v>
      </c>
      <c r="V593" s="16" t="str">
        <f>PROPER(Table1[[#This Row],[CVD Risk Level]])</f>
        <v>Intermediary</v>
      </c>
    </row>
    <row r="594" spans="1:22" x14ac:dyDescent="0.3">
      <c r="A594" t="s">
        <v>20</v>
      </c>
      <c r="B594" s="8">
        <v>57</v>
      </c>
      <c r="C594" s="8">
        <v>118.9</v>
      </c>
      <c r="D594" s="5">
        <v>1.89</v>
      </c>
      <c r="E594" s="5">
        <v>33.299999999999997</v>
      </c>
      <c r="F594" s="16" t="s">
        <v>1302</v>
      </c>
      <c r="G594" s="11">
        <v>0.40600000000000003</v>
      </c>
      <c r="H594" s="5">
        <v>76.7</v>
      </c>
      <c r="I594" s="8">
        <v>43</v>
      </c>
      <c r="J594" s="8">
        <v>120</v>
      </c>
      <c r="K594" s="8">
        <v>193</v>
      </c>
      <c r="L594" s="8">
        <v>81</v>
      </c>
      <c r="M594" t="s">
        <v>33</v>
      </c>
      <c r="N594" s="16" t="s">
        <v>23</v>
      </c>
      <c r="O594" s="16" t="s">
        <v>22</v>
      </c>
      <c r="P594" s="16" t="s">
        <v>37</v>
      </c>
      <c r="Q594" s="10" t="s">
        <v>525</v>
      </c>
      <c r="R594" s="3" t="str">
        <f t="shared" si="18"/>
        <v>147</v>
      </c>
      <c r="S594" s="3" t="str">
        <f t="shared" si="19"/>
        <v>74</v>
      </c>
      <c r="T594" s="16" t="s">
        <v>38</v>
      </c>
      <c r="U594" s="3">
        <v>17.87</v>
      </c>
      <c r="V594" s="16" t="str">
        <f>PROPER(Table1[[#This Row],[CVD Risk Level]])</f>
        <v>Intermediary</v>
      </c>
    </row>
    <row r="595" spans="1:22" x14ac:dyDescent="0.3">
      <c r="A595" t="s">
        <v>31</v>
      </c>
      <c r="B595" s="8">
        <v>35</v>
      </c>
      <c r="C595" s="8">
        <v>63</v>
      </c>
      <c r="D595" s="5">
        <v>1.76</v>
      </c>
      <c r="E595" s="5">
        <v>20.3</v>
      </c>
      <c r="F595" s="16" t="s">
        <v>33</v>
      </c>
      <c r="G595" s="11">
        <v>0.52200000000000002</v>
      </c>
      <c r="H595" s="5">
        <v>91.9</v>
      </c>
      <c r="I595" s="8">
        <v>74</v>
      </c>
      <c r="J595" s="8">
        <v>83</v>
      </c>
      <c r="K595" s="8">
        <v>187</v>
      </c>
      <c r="L595" s="8">
        <v>146</v>
      </c>
      <c r="M595" t="s">
        <v>1307</v>
      </c>
      <c r="N595" s="16" t="s">
        <v>23</v>
      </c>
      <c r="O595" s="16" t="s">
        <v>22</v>
      </c>
      <c r="P595" s="16" t="s">
        <v>37</v>
      </c>
      <c r="Q595" s="10" t="s">
        <v>550</v>
      </c>
      <c r="R595" s="3" t="str">
        <f t="shared" si="18"/>
        <v>139</v>
      </c>
      <c r="S595" s="3" t="str">
        <f t="shared" si="19"/>
        <v>89</v>
      </c>
      <c r="T595" s="16" t="s">
        <v>29</v>
      </c>
      <c r="U595" s="3">
        <v>14.75</v>
      </c>
      <c r="V595" s="16" t="str">
        <f>PROPER(Table1[[#This Row],[CVD Risk Level]])</f>
        <v>Intermediary</v>
      </c>
    </row>
    <row r="596" spans="1:22" x14ac:dyDescent="0.3">
      <c r="A596" t="s">
        <v>20</v>
      </c>
      <c r="B596" s="8">
        <v>47</v>
      </c>
      <c r="C596" s="8">
        <v>77.2</v>
      </c>
      <c r="D596" s="5">
        <v>1.61</v>
      </c>
      <c r="E596" s="5">
        <v>29.8</v>
      </c>
      <c r="F596" s="16" t="s">
        <v>1303</v>
      </c>
      <c r="G596" s="11">
        <v>0.54</v>
      </c>
      <c r="H596" s="5">
        <v>86.9</v>
      </c>
      <c r="I596" s="8">
        <v>78</v>
      </c>
      <c r="J596" s="8">
        <v>168</v>
      </c>
      <c r="K596" s="8">
        <v>276</v>
      </c>
      <c r="L596" s="8">
        <v>86</v>
      </c>
      <c r="M596" t="s">
        <v>33</v>
      </c>
      <c r="N596" s="16" t="s">
        <v>22</v>
      </c>
      <c r="O596" s="16" t="s">
        <v>22</v>
      </c>
      <c r="P596" s="16" t="s">
        <v>24</v>
      </c>
      <c r="Q596" s="10" t="s">
        <v>551</v>
      </c>
      <c r="R596" s="3" t="str">
        <f t="shared" si="18"/>
        <v>129</v>
      </c>
      <c r="S596" s="3" t="str">
        <f t="shared" si="19"/>
        <v>88</v>
      </c>
      <c r="T596" s="16" t="s">
        <v>29</v>
      </c>
      <c r="U596" s="3">
        <v>17.93</v>
      </c>
      <c r="V596" s="16" t="str">
        <f>PROPER(Table1[[#This Row],[CVD Risk Level]])</f>
        <v>High</v>
      </c>
    </row>
    <row r="597" spans="1:22" x14ac:dyDescent="0.3">
      <c r="A597" t="s">
        <v>31</v>
      </c>
      <c r="B597" s="8">
        <v>55</v>
      </c>
      <c r="C597" s="8">
        <v>52.9</v>
      </c>
      <c r="D597" s="5">
        <v>1.69</v>
      </c>
      <c r="E597" s="5">
        <v>18.5</v>
      </c>
      <c r="F597" s="16" t="s">
        <v>33</v>
      </c>
      <c r="G597" s="11">
        <v>0.45600000000000002</v>
      </c>
      <c r="H597" s="5">
        <v>77.064000000000007</v>
      </c>
      <c r="I597" s="8">
        <v>59</v>
      </c>
      <c r="J597" s="8">
        <v>81</v>
      </c>
      <c r="K597" s="8">
        <v>170</v>
      </c>
      <c r="L597" s="8">
        <v>130</v>
      </c>
      <c r="M597" t="s">
        <v>1307</v>
      </c>
      <c r="N597" s="16" t="s">
        <v>22</v>
      </c>
      <c r="O597" s="16" t="s">
        <v>23</v>
      </c>
      <c r="P597" s="16" t="s">
        <v>28</v>
      </c>
      <c r="Q597" s="10" t="s">
        <v>552</v>
      </c>
      <c r="R597" s="3" t="str">
        <f t="shared" si="18"/>
        <v>106</v>
      </c>
      <c r="S597" s="3" t="str">
        <f t="shared" si="19"/>
        <v>66</v>
      </c>
      <c r="T597" s="16" t="s">
        <v>33</v>
      </c>
      <c r="U597" s="3">
        <v>14.4</v>
      </c>
      <c r="V597" s="16" t="str">
        <f>PROPER(Table1[[#This Row],[CVD Risk Level]])</f>
        <v>Intermediary</v>
      </c>
    </row>
    <row r="598" spans="1:22" x14ac:dyDescent="0.3">
      <c r="A598" t="s">
        <v>31</v>
      </c>
      <c r="B598" s="8">
        <v>32</v>
      </c>
      <c r="C598" s="8">
        <v>75.8</v>
      </c>
      <c r="D598" s="5">
        <v>1.9</v>
      </c>
      <c r="E598" s="5">
        <v>21</v>
      </c>
      <c r="F598" s="16" t="s">
        <v>33</v>
      </c>
      <c r="G598" s="11">
        <v>0.54700000000000004</v>
      </c>
      <c r="H598" s="5">
        <v>104</v>
      </c>
      <c r="I598" s="8">
        <v>47</v>
      </c>
      <c r="J598" s="8">
        <v>162</v>
      </c>
      <c r="K598" s="8">
        <v>239</v>
      </c>
      <c r="L598" s="8">
        <v>116</v>
      </c>
      <c r="M598" t="s">
        <v>1306</v>
      </c>
      <c r="N598" s="16" t="s">
        <v>23</v>
      </c>
      <c r="O598" s="16" t="s">
        <v>23</v>
      </c>
      <c r="P598" s="16" t="s">
        <v>24</v>
      </c>
      <c r="Q598" s="10" t="s">
        <v>553</v>
      </c>
      <c r="R598" s="3" t="str">
        <f t="shared" si="18"/>
        <v>138</v>
      </c>
      <c r="S598" s="3" t="str">
        <f t="shared" si="19"/>
        <v>81</v>
      </c>
      <c r="T598" s="16" t="s">
        <v>29</v>
      </c>
      <c r="U598" s="3">
        <v>17.88</v>
      </c>
      <c r="V598" s="16" t="str">
        <f>PROPER(Table1[[#This Row],[CVD Risk Level]])</f>
        <v>High</v>
      </c>
    </row>
    <row r="599" spans="1:22" x14ac:dyDescent="0.3">
      <c r="A599" t="s">
        <v>20</v>
      </c>
      <c r="B599" s="8">
        <v>47.025499655410059</v>
      </c>
      <c r="C599" s="8">
        <v>76.3</v>
      </c>
      <c r="D599" s="5">
        <v>1.63</v>
      </c>
      <c r="E599" s="5">
        <v>28.7</v>
      </c>
      <c r="F599" s="16" t="s">
        <v>1303</v>
      </c>
      <c r="G599" s="11">
        <v>0.438</v>
      </c>
      <c r="H599" s="5">
        <v>71.400000000000006</v>
      </c>
      <c r="I599" s="8">
        <v>50</v>
      </c>
      <c r="J599" s="8">
        <v>103</v>
      </c>
      <c r="K599" s="8">
        <v>183</v>
      </c>
      <c r="L599" s="8">
        <v>84</v>
      </c>
      <c r="M599" t="s">
        <v>33</v>
      </c>
      <c r="N599" s="16" t="s">
        <v>23</v>
      </c>
      <c r="O599" s="16" t="s">
        <v>22</v>
      </c>
      <c r="P599" s="16" t="s">
        <v>37</v>
      </c>
      <c r="Q599" s="10" t="s">
        <v>554</v>
      </c>
      <c r="R599" s="3" t="str">
        <f t="shared" si="18"/>
        <v>91</v>
      </c>
      <c r="S599" s="3" t="str">
        <f t="shared" si="19"/>
        <v>80</v>
      </c>
      <c r="T599" s="16" t="s">
        <v>29</v>
      </c>
      <c r="U599" s="3">
        <v>13.95</v>
      </c>
      <c r="V599" s="16" t="str">
        <f>PROPER(Table1[[#This Row],[CVD Risk Level]])</f>
        <v>High</v>
      </c>
    </row>
    <row r="600" spans="1:22" x14ac:dyDescent="0.3">
      <c r="A600" t="s">
        <v>31</v>
      </c>
      <c r="B600" s="8">
        <v>34</v>
      </c>
      <c r="C600" s="8">
        <v>55</v>
      </c>
      <c r="D600" s="5">
        <v>1.73</v>
      </c>
      <c r="E600" s="5">
        <v>18.376825152861773</v>
      </c>
      <c r="F600" s="16" t="s">
        <v>1304</v>
      </c>
      <c r="G600" s="11">
        <v>0.45500000000000002</v>
      </c>
      <c r="H600" s="5">
        <v>78.8</v>
      </c>
      <c r="I600" s="8">
        <v>56</v>
      </c>
      <c r="J600" s="8">
        <v>88</v>
      </c>
      <c r="K600" s="8">
        <v>174</v>
      </c>
      <c r="L600" s="8">
        <v>95</v>
      </c>
      <c r="M600" t="s">
        <v>33</v>
      </c>
      <c r="N600" s="16" t="s">
        <v>23</v>
      </c>
      <c r="O600" s="16" t="s">
        <v>22</v>
      </c>
      <c r="P600" s="16" t="s">
        <v>24</v>
      </c>
      <c r="Q600" s="10" t="s">
        <v>555</v>
      </c>
      <c r="R600" s="3" t="str">
        <f t="shared" si="18"/>
        <v>140</v>
      </c>
      <c r="S600" s="3" t="str">
        <f t="shared" si="19"/>
        <v>88</v>
      </c>
      <c r="T600" s="16" t="s">
        <v>29</v>
      </c>
      <c r="U600" s="3">
        <v>14.16</v>
      </c>
      <c r="V600" s="16" t="str">
        <f>PROPER(Table1[[#This Row],[CVD Risk Level]])</f>
        <v>Intermediary</v>
      </c>
    </row>
    <row r="601" spans="1:22" x14ac:dyDescent="0.3">
      <c r="A601" t="s">
        <v>20</v>
      </c>
      <c r="B601" s="8">
        <v>43</v>
      </c>
      <c r="C601" s="8">
        <v>59.6</v>
      </c>
      <c r="D601" s="5">
        <v>1.78</v>
      </c>
      <c r="E601" s="5">
        <v>18.8</v>
      </c>
      <c r="F601" s="16" t="s">
        <v>33</v>
      </c>
      <c r="G601" s="11">
        <v>0.39500000000000002</v>
      </c>
      <c r="H601" s="5">
        <v>70.3</v>
      </c>
      <c r="I601" s="8">
        <v>34</v>
      </c>
      <c r="J601" s="8">
        <v>172</v>
      </c>
      <c r="K601" s="8">
        <v>412</v>
      </c>
      <c r="L601" s="8">
        <v>84</v>
      </c>
      <c r="M601" t="s">
        <v>33</v>
      </c>
      <c r="N601" s="16" t="s">
        <v>23</v>
      </c>
      <c r="O601" s="16" t="s">
        <v>23</v>
      </c>
      <c r="P601" s="16" t="s">
        <v>28</v>
      </c>
      <c r="Q601" s="10" t="s">
        <v>556</v>
      </c>
      <c r="R601" s="3" t="str">
        <f t="shared" si="18"/>
        <v>128</v>
      </c>
      <c r="S601" s="3" t="str">
        <f t="shared" si="19"/>
        <v>94</v>
      </c>
      <c r="T601" s="16" t="s">
        <v>38</v>
      </c>
      <c r="U601" s="3">
        <v>16.88</v>
      </c>
      <c r="V601" s="16" t="str">
        <f>PROPER(Table1[[#This Row],[CVD Risk Level]])</f>
        <v>High</v>
      </c>
    </row>
    <row r="602" spans="1:22" x14ac:dyDescent="0.3">
      <c r="A602" t="s">
        <v>20</v>
      </c>
      <c r="B602" s="8">
        <v>31</v>
      </c>
      <c r="C602" s="8">
        <v>94.7</v>
      </c>
      <c r="D602" s="5">
        <v>1.7</v>
      </c>
      <c r="E602" s="5">
        <v>32.799999999999997</v>
      </c>
      <c r="F602" s="16" t="s">
        <v>1302</v>
      </c>
      <c r="G602" s="11">
        <v>0.53</v>
      </c>
      <c r="H602" s="5">
        <v>90.1</v>
      </c>
      <c r="I602" s="8">
        <v>31</v>
      </c>
      <c r="J602" s="8">
        <v>44</v>
      </c>
      <c r="K602" s="8">
        <v>105</v>
      </c>
      <c r="L602" s="8">
        <v>79</v>
      </c>
      <c r="M602" t="s">
        <v>33</v>
      </c>
      <c r="N602" s="16" t="s">
        <v>23</v>
      </c>
      <c r="O602" s="16" t="s">
        <v>23</v>
      </c>
      <c r="P602" s="16" t="s">
        <v>24</v>
      </c>
      <c r="Q602" s="10" t="s">
        <v>557</v>
      </c>
      <c r="R602" s="3" t="str">
        <f t="shared" si="18"/>
        <v>115</v>
      </c>
      <c r="S602" s="3" t="str">
        <f t="shared" si="19"/>
        <v>60</v>
      </c>
      <c r="T602" s="16" t="s">
        <v>33</v>
      </c>
      <c r="U602" s="3">
        <v>16.41</v>
      </c>
      <c r="V602" s="16" t="str">
        <f>PROPER(Table1[[#This Row],[CVD Risk Level]])</f>
        <v>High</v>
      </c>
    </row>
    <row r="603" spans="1:22" x14ac:dyDescent="0.3">
      <c r="A603" t="s">
        <v>31</v>
      </c>
      <c r="B603" s="8">
        <v>52</v>
      </c>
      <c r="C603" s="8">
        <v>105.5</v>
      </c>
      <c r="D603" s="5">
        <v>1.88</v>
      </c>
      <c r="E603" s="5">
        <v>29.8</v>
      </c>
      <c r="F603" s="16" t="s">
        <v>1303</v>
      </c>
      <c r="G603" s="11">
        <v>0.48099999999999998</v>
      </c>
      <c r="H603" s="5">
        <v>90.4</v>
      </c>
      <c r="I603" s="8">
        <v>67</v>
      </c>
      <c r="J603" s="8">
        <v>144</v>
      </c>
      <c r="K603" s="8">
        <v>241</v>
      </c>
      <c r="L603" s="8">
        <v>134</v>
      </c>
      <c r="M603" t="s">
        <v>1307</v>
      </c>
      <c r="N603" s="16" t="s">
        <v>23</v>
      </c>
      <c r="O603" s="16" t="s">
        <v>22</v>
      </c>
      <c r="P603" s="16" t="s">
        <v>24</v>
      </c>
      <c r="Q603" s="10" t="s">
        <v>558</v>
      </c>
      <c r="R603" s="3" t="str">
        <f t="shared" si="18"/>
        <v>102</v>
      </c>
      <c r="S603" s="3" t="str">
        <f t="shared" si="19"/>
        <v>82</v>
      </c>
      <c r="T603" s="16" t="s">
        <v>29</v>
      </c>
      <c r="U603" s="3">
        <v>15.88</v>
      </c>
      <c r="V603" s="16" t="str">
        <f>PROPER(Table1[[#This Row],[CVD Risk Level]])</f>
        <v>High</v>
      </c>
    </row>
    <row r="604" spans="1:22" x14ac:dyDescent="0.3">
      <c r="A604" t="s">
        <v>31</v>
      </c>
      <c r="B604" s="8">
        <v>55</v>
      </c>
      <c r="C604" s="8">
        <v>84.6</v>
      </c>
      <c r="D604" s="5">
        <v>1.77</v>
      </c>
      <c r="E604" s="5">
        <v>27</v>
      </c>
      <c r="F604" s="16" t="s">
        <v>1303</v>
      </c>
      <c r="G604" s="11">
        <v>0.45</v>
      </c>
      <c r="H604" s="5">
        <v>79.599999999999994</v>
      </c>
      <c r="I604" s="8">
        <v>33</v>
      </c>
      <c r="J604" s="8">
        <v>210</v>
      </c>
      <c r="K604" s="8">
        <v>273</v>
      </c>
      <c r="L604" s="8">
        <v>100</v>
      </c>
      <c r="M604" t="s">
        <v>1306</v>
      </c>
      <c r="N604" s="16" t="s">
        <v>23</v>
      </c>
      <c r="O604" s="16" t="s">
        <v>22</v>
      </c>
      <c r="P604" s="16" t="s">
        <v>28</v>
      </c>
      <c r="Q604" s="10" t="s">
        <v>559</v>
      </c>
      <c r="R604" s="3" t="str">
        <f t="shared" si="18"/>
        <v>101</v>
      </c>
      <c r="S604" s="3" t="str">
        <f t="shared" si="19"/>
        <v>96</v>
      </c>
      <c r="T604" s="16" t="s">
        <v>38</v>
      </c>
      <c r="U604" s="3">
        <v>15.91</v>
      </c>
      <c r="V604" s="16" t="str">
        <f>PROPER(Table1[[#This Row],[CVD Risk Level]])</f>
        <v>High</v>
      </c>
    </row>
    <row r="605" spans="1:22" x14ac:dyDescent="0.3">
      <c r="A605" t="s">
        <v>20</v>
      </c>
      <c r="B605" s="8">
        <v>31</v>
      </c>
      <c r="C605" s="8">
        <v>105.5</v>
      </c>
      <c r="D605" s="5">
        <v>1.77</v>
      </c>
      <c r="E605" s="5">
        <v>33.700000000000003</v>
      </c>
      <c r="F605" s="16" t="s">
        <v>1302</v>
      </c>
      <c r="G605" s="11">
        <v>0.44</v>
      </c>
      <c r="H605" s="5">
        <v>77.900000000000006</v>
      </c>
      <c r="I605" s="8">
        <v>63</v>
      </c>
      <c r="J605" s="8">
        <v>41</v>
      </c>
      <c r="K605" s="8">
        <v>134</v>
      </c>
      <c r="L605" s="8">
        <v>85</v>
      </c>
      <c r="M605" t="s">
        <v>33</v>
      </c>
      <c r="N605" s="16" t="s">
        <v>22</v>
      </c>
      <c r="O605" s="16" t="s">
        <v>22</v>
      </c>
      <c r="P605" s="16" t="s">
        <v>28</v>
      </c>
      <c r="Q605" s="10" t="s">
        <v>329</v>
      </c>
      <c r="R605" s="3" t="str">
        <f t="shared" si="18"/>
        <v>142</v>
      </c>
      <c r="S605" s="3" t="str">
        <f t="shared" si="19"/>
        <v>67</v>
      </c>
      <c r="T605" s="16" t="s">
        <v>38</v>
      </c>
      <c r="U605" s="3">
        <v>16.52</v>
      </c>
      <c r="V605" s="16" t="str">
        <f>PROPER(Table1[[#This Row],[CVD Risk Level]])</f>
        <v>Intermediary</v>
      </c>
    </row>
    <row r="606" spans="1:22" x14ac:dyDescent="0.3">
      <c r="A606" t="s">
        <v>31</v>
      </c>
      <c r="B606" s="8">
        <v>43</v>
      </c>
      <c r="C606" s="8">
        <v>83.6</v>
      </c>
      <c r="D606" s="5">
        <v>1.88</v>
      </c>
      <c r="E606" s="5">
        <v>23.7</v>
      </c>
      <c r="F606" s="16" t="s">
        <v>33</v>
      </c>
      <c r="G606" s="11">
        <v>0.48399999999999999</v>
      </c>
      <c r="H606" s="5">
        <v>91</v>
      </c>
      <c r="I606" s="8">
        <v>38</v>
      </c>
      <c r="J606" s="8">
        <v>177</v>
      </c>
      <c r="K606" s="8">
        <v>245</v>
      </c>
      <c r="L606" s="8">
        <v>138</v>
      </c>
      <c r="M606" t="s">
        <v>1307</v>
      </c>
      <c r="N606" s="16" t="s">
        <v>23</v>
      </c>
      <c r="O606" s="16" t="s">
        <v>23</v>
      </c>
      <c r="P606" s="16" t="s">
        <v>24</v>
      </c>
      <c r="Q606" s="10" t="s">
        <v>560</v>
      </c>
      <c r="R606" s="3" t="str">
        <f t="shared" si="18"/>
        <v>106</v>
      </c>
      <c r="S606" s="3" t="str">
        <f t="shared" si="19"/>
        <v>92</v>
      </c>
      <c r="T606" s="16" t="s">
        <v>38</v>
      </c>
      <c r="U606" s="3">
        <v>16.940000000000001</v>
      </c>
      <c r="V606" s="16" t="str">
        <f>PROPER(Table1[[#This Row],[CVD Risk Level]])</f>
        <v>High</v>
      </c>
    </row>
    <row r="607" spans="1:22" x14ac:dyDescent="0.3">
      <c r="A607" t="s">
        <v>20</v>
      </c>
      <c r="B607" s="8">
        <v>31</v>
      </c>
      <c r="C607" s="8">
        <v>119.5</v>
      </c>
      <c r="D607" s="5">
        <v>1.61</v>
      </c>
      <c r="E607" s="5">
        <v>46.1</v>
      </c>
      <c r="F607" s="16" t="s">
        <v>1302</v>
      </c>
      <c r="G607" s="11">
        <v>0.51400000000000001</v>
      </c>
      <c r="H607" s="5">
        <v>82.7</v>
      </c>
      <c r="I607" s="8">
        <v>58</v>
      </c>
      <c r="J607" s="8">
        <v>164</v>
      </c>
      <c r="K607" s="8">
        <v>252</v>
      </c>
      <c r="L607" s="8">
        <v>93</v>
      </c>
      <c r="M607" t="s">
        <v>33</v>
      </c>
      <c r="N607" s="16" t="s">
        <v>22</v>
      </c>
      <c r="O607" s="16" t="s">
        <v>23</v>
      </c>
      <c r="P607" s="16" t="s">
        <v>28</v>
      </c>
      <c r="Q607" s="10" t="s">
        <v>561</v>
      </c>
      <c r="R607" s="3" t="str">
        <f t="shared" si="18"/>
        <v>145</v>
      </c>
      <c r="S607" s="3" t="str">
        <f t="shared" si="19"/>
        <v>93</v>
      </c>
      <c r="T607" s="16" t="s">
        <v>38</v>
      </c>
      <c r="U607" s="3">
        <v>23.51</v>
      </c>
      <c r="V607" s="16" t="str">
        <f>PROPER(Table1[[#This Row],[CVD Risk Level]])</f>
        <v>Intermediary</v>
      </c>
    </row>
    <row r="608" spans="1:22" x14ac:dyDescent="0.3">
      <c r="A608" t="s">
        <v>31</v>
      </c>
      <c r="B608" s="8">
        <v>40</v>
      </c>
      <c r="C608" s="8">
        <v>56.4</v>
      </c>
      <c r="D608" s="5">
        <v>1.85</v>
      </c>
      <c r="E608" s="5">
        <v>16.5</v>
      </c>
      <c r="F608" s="16" t="s">
        <v>1304</v>
      </c>
      <c r="G608" s="11">
        <v>0.45500000000000002</v>
      </c>
      <c r="H608" s="5">
        <v>84.2</v>
      </c>
      <c r="I608" s="8">
        <v>53</v>
      </c>
      <c r="J608" s="8">
        <v>72</v>
      </c>
      <c r="K608" s="8">
        <v>155</v>
      </c>
      <c r="L608" s="8">
        <v>104</v>
      </c>
      <c r="M608" t="s">
        <v>1306</v>
      </c>
      <c r="N608" s="16" t="s">
        <v>22</v>
      </c>
      <c r="O608" s="16" t="s">
        <v>22</v>
      </c>
      <c r="P608" s="16" t="s">
        <v>37</v>
      </c>
      <c r="Q608" s="10" t="s">
        <v>562</v>
      </c>
      <c r="R608" s="3" t="str">
        <f t="shared" si="18"/>
        <v>144</v>
      </c>
      <c r="S608" s="3" t="str">
        <f t="shared" si="19"/>
        <v>85</v>
      </c>
      <c r="T608" s="16" t="s">
        <v>29</v>
      </c>
      <c r="U608" s="3">
        <v>13.6</v>
      </c>
      <c r="V608" s="16" t="str">
        <f>PROPER(Table1[[#This Row],[CVD Risk Level]])</f>
        <v>Low</v>
      </c>
    </row>
    <row r="609" spans="1:22" x14ac:dyDescent="0.3">
      <c r="A609" t="s">
        <v>20</v>
      </c>
      <c r="B609" s="8">
        <v>41</v>
      </c>
      <c r="C609" s="8">
        <v>97</v>
      </c>
      <c r="D609" s="5">
        <v>1.87</v>
      </c>
      <c r="E609" s="5">
        <v>27.7</v>
      </c>
      <c r="F609" s="16" t="s">
        <v>1303</v>
      </c>
      <c r="G609" s="11">
        <v>0.52100000000000002</v>
      </c>
      <c r="H609" s="5">
        <v>97.4</v>
      </c>
      <c r="I609" s="8">
        <v>73</v>
      </c>
      <c r="J609" s="8">
        <v>44</v>
      </c>
      <c r="K609" s="8">
        <v>147</v>
      </c>
      <c r="L609" s="8">
        <v>92</v>
      </c>
      <c r="M609" t="s">
        <v>33</v>
      </c>
      <c r="N609" s="16" t="s">
        <v>22</v>
      </c>
      <c r="O609" s="16" t="s">
        <v>23</v>
      </c>
      <c r="P609" s="16" t="s">
        <v>24</v>
      </c>
      <c r="Q609" s="10" t="s">
        <v>563</v>
      </c>
      <c r="R609" s="3" t="str">
        <f t="shared" si="18"/>
        <v>143</v>
      </c>
      <c r="S609" s="3" t="str">
        <f t="shared" si="19"/>
        <v>100</v>
      </c>
      <c r="T609" s="16" t="s">
        <v>38</v>
      </c>
      <c r="U609" s="3">
        <v>17.63</v>
      </c>
      <c r="V609" s="16" t="str">
        <f>PROPER(Table1[[#This Row],[CVD Risk Level]])</f>
        <v>Intermediary</v>
      </c>
    </row>
    <row r="610" spans="1:22" x14ac:dyDescent="0.3">
      <c r="A610" t="s">
        <v>31</v>
      </c>
      <c r="B610" s="8">
        <v>50</v>
      </c>
      <c r="C610" s="8">
        <v>74.7</v>
      </c>
      <c r="D610" s="5">
        <v>1.66</v>
      </c>
      <c r="E610" s="5">
        <v>27.1</v>
      </c>
      <c r="F610" s="16" t="s">
        <v>1303</v>
      </c>
      <c r="G610" s="11">
        <v>0.433</v>
      </c>
      <c r="H610" s="5">
        <v>71.900000000000006</v>
      </c>
      <c r="I610" s="8">
        <v>46</v>
      </c>
      <c r="J610" s="8">
        <v>43</v>
      </c>
      <c r="K610" s="8">
        <v>119</v>
      </c>
      <c r="L610" s="8">
        <v>104</v>
      </c>
      <c r="M610" t="s">
        <v>1306</v>
      </c>
      <c r="N610" s="16" t="s">
        <v>22</v>
      </c>
      <c r="O610" s="16" t="s">
        <v>23</v>
      </c>
      <c r="P610" s="16" t="s">
        <v>28</v>
      </c>
      <c r="Q610" s="10" t="s">
        <v>564</v>
      </c>
      <c r="R610" s="3" t="str">
        <f t="shared" si="18"/>
        <v>92</v>
      </c>
      <c r="S610" s="3" t="str">
        <f t="shared" si="19"/>
        <v>60</v>
      </c>
      <c r="T610" s="16" t="s">
        <v>33</v>
      </c>
      <c r="U610" s="3">
        <v>14.4</v>
      </c>
      <c r="V610" s="16" t="str">
        <f>PROPER(Table1[[#This Row],[CVD Risk Level]])</f>
        <v>High</v>
      </c>
    </row>
    <row r="611" spans="1:22" x14ac:dyDescent="0.3">
      <c r="A611" t="s">
        <v>20</v>
      </c>
      <c r="B611" s="8">
        <v>34</v>
      </c>
      <c r="C611" s="8">
        <v>85.3</v>
      </c>
      <c r="D611" s="5">
        <v>1.65</v>
      </c>
      <c r="E611" s="5">
        <v>31.3</v>
      </c>
      <c r="F611" s="16" t="s">
        <v>1302</v>
      </c>
      <c r="G611" s="11">
        <v>0.49</v>
      </c>
      <c r="H611" s="5">
        <v>80.8</v>
      </c>
      <c r="I611" s="8">
        <v>55</v>
      </c>
      <c r="J611" s="8">
        <v>148</v>
      </c>
      <c r="K611" s="8">
        <v>233</v>
      </c>
      <c r="L611" s="8">
        <v>137</v>
      </c>
      <c r="M611" t="s">
        <v>1307</v>
      </c>
      <c r="N611" s="16" t="s">
        <v>23</v>
      </c>
      <c r="O611" s="16" t="s">
        <v>23</v>
      </c>
      <c r="P611" s="16" t="s">
        <v>37</v>
      </c>
      <c r="Q611" s="10" t="s">
        <v>316</v>
      </c>
      <c r="R611" s="3" t="str">
        <f t="shared" si="18"/>
        <v>104</v>
      </c>
      <c r="S611" s="3" t="str">
        <f t="shared" si="19"/>
        <v>85</v>
      </c>
      <c r="T611" s="16" t="s">
        <v>29</v>
      </c>
      <c r="U611" s="3">
        <v>18.12</v>
      </c>
      <c r="V611" s="16" t="str">
        <f>PROPER(Table1[[#This Row],[CVD Risk Level]])</f>
        <v>High</v>
      </c>
    </row>
    <row r="612" spans="1:22" x14ac:dyDescent="0.3">
      <c r="A612" t="s">
        <v>31</v>
      </c>
      <c r="B612" s="8">
        <v>35</v>
      </c>
      <c r="C612" s="8">
        <v>91.231919999999988</v>
      </c>
      <c r="D612" s="5">
        <v>1.71</v>
      </c>
      <c r="E612" s="5">
        <v>31.2</v>
      </c>
      <c r="F612" s="16" t="s">
        <v>1302</v>
      </c>
      <c r="G612" s="11">
        <v>0.51500000000000001</v>
      </c>
      <c r="H612" s="5">
        <v>88.1</v>
      </c>
      <c r="I612" s="8">
        <v>56.197377501725327</v>
      </c>
      <c r="J612" s="8">
        <v>138</v>
      </c>
      <c r="K612" s="8">
        <v>218</v>
      </c>
      <c r="L612" s="8">
        <v>137</v>
      </c>
      <c r="M612" t="s">
        <v>1307</v>
      </c>
      <c r="N612" s="16" t="s">
        <v>23</v>
      </c>
      <c r="O612" s="16" t="s">
        <v>22</v>
      </c>
      <c r="P612" s="16" t="s">
        <v>37</v>
      </c>
      <c r="Q612" s="10" t="s">
        <v>565</v>
      </c>
      <c r="R612" s="3" t="str">
        <f t="shared" si="18"/>
        <v>140</v>
      </c>
      <c r="S612" s="3" t="str">
        <f t="shared" si="19"/>
        <v>66</v>
      </c>
      <c r="T612" s="16" t="s">
        <v>38</v>
      </c>
      <c r="U612" s="3">
        <v>17.600000000000001</v>
      </c>
      <c r="V612" s="16" t="str">
        <f>PROPER(Table1[[#This Row],[CVD Risk Level]])</f>
        <v>High</v>
      </c>
    </row>
    <row r="613" spans="1:22" x14ac:dyDescent="0.3">
      <c r="A613" t="s">
        <v>20</v>
      </c>
      <c r="B613" s="8">
        <v>54</v>
      </c>
      <c r="C613" s="8">
        <v>109.4</v>
      </c>
      <c r="D613" s="5">
        <v>1.83</v>
      </c>
      <c r="E613" s="5">
        <v>32.700000000000003</v>
      </c>
      <c r="F613" s="16" t="s">
        <v>1302</v>
      </c>
      <c r="G613" s="11">
        <v>0.48399999999999999</v>
      </c>
      <c r="H613" s="5">
        <v>88.5</v>
      </c>
      <c r="I613" s="8">
        <v>46</v>
      </c>
      <c r="J613" s="8">
        <v>74</v>
      </c>
      <c r="K613" s="8">
        <v>150</v>
      </c>
      <c r="L613" s="8">
        <v>78</v>
      </c>
      <c r="M613" t="s">
        <v>33</v>
      </c>
      <c r="N613" s="16" t="s">
        <v>23</v>
      </c>
      <c r="O613" s="16" t="s">
        <v>23</v>
      </c>
      <c r="P613" s="16" t="s">
        <v>37</v>
      </c>
      <c r="Q613" s="10" t="s">
        <v>256</v>
      </c>
      <c r="R613" s="3" t="str">
        <f t="shared" si="18"/>
        <v>127</v>
      </c>
      <c r="S613" s="3" t="str">
        <f t="shared" si="19"/>
        <v>84</v>
      </c>
      <c r="T613" s="16" t="s">
        <v>29</v>
      </c>
      <c r="U613" s="3">
        <v>17.89</v>
      </c>
      <c r="V613" s="16" t="str">
        <f>PROPER(Table1[[#This Row],[CVD Risk Level]])</f>
        <v>High</v>
      </c>
    </row>
    <row r="614" spans="1:22" x14ac:dyDescent="0.3">
      <c r="A614" t="s">
        <v>31</v>
      </c>
      <c r="B614" s="8">
        <v>47.025499655410059</v>
      </c>
      <c r="C614" s="8">
        <v>98.7</v>
      </c>
      <c r="D614" s="5">
        <v>1.63</v>
      </c>
      <c r="E614" s="5">
        <v>37.1</v>
      </c>
      <c r="F614" s="16" t="s">
        <v>1302</v>
      </c>
      <c r="G614" s="11">
        <v>0.55000000000000004</v>
      </c>
      <c r="H614" s="5">
        <v>89.7</v>
      </c>
      <c r="I614" s="8">
        <v>64</v>
      </c>
      <c r="J614" s="8">
        <v>64</v>
      </c>
      <c r="K614" s="8">
        <v>158</v>
      </c>
      <c r="L614" s="8">
        <v>131</v>
      </c>
      <c r="M614" t="s">
        <v>1307</v>
      </c>
      <c r="N614" s="16" t="s">
        <v>23</v>
      </c>
      <c r="O614" s="16" t="s">
        <v>23</v>
      </c>
      <c r="P614" s="16" t="s">
        <v>37</v>
      </c>
      <c r="Q614" s="10" t="s">
        <v>566</v>
      </c>
      <c r="R614" s="3" t="str">
        <f t="shared" si="18"/>
        <v>139</v>
      </c>
      <c r="S614" s="3" t="str">
        <f t="shared" si="19"/>
        <v>93</v>
      </c>
      <c r="T614" s="16" t="s">
        <v>29</v>
      </c>
      <c r="U614" s="3">
        <v>19.53</v>
      </c>
      <c r="V614" s="16" t="str">
        <f>PROPER(Table1[[#This Row],[CVD Risk Level]])</f>
        <v>High</v>
      </c>
    </row>
    <row r="615" spans="1:22" x14ac:dyDescent="0.3">
      <c r="A615" t="s">
        <v>20</v>
      </c>
      <c r="B615" s="8">
        <v>39</v>
      </c>
      <c r="C615" s="8">
        <v>116.3</v>
      </c>
      <c r="D615" s="5">
        <v>1.72</v>
      </c>
      <c r="E615" s="5">
        <v>39.299999999999997</v>
      </c>
      <c r="F615" s="16" t="s">
        <v>1302</v>
      </c>
      <c r="G615" s="11">
        <v>0.53400000000000003</v>
      </c>
      <c r="H615" s="5">
        <v>91.8</v>
      </c>
      <c r="I615" s="8">
        <v>31</v>
      </c>
      <c r="J615" s="8">
        <v>82</v>
      </c>
      <c r="K615" s="8">
        <v>143</v>
      </c>
      <c r="L615" s="8">
        <v>101</v>
      </c>
      <c r="M615" t="s">
        <v>1306</v>
      </c>
      <c r="N615" s="16" t="s">
        <v>23</v>
      </c>
      <c r="O615" s="16" t="s">
        <v>23</v>
      </c>
      <c r="P615" s="16" t="s">
        <v>24</v>
      </c>
      <c r="Q615" s="10" t="s">
        <v>567</v>
      </c>
      <c r="R615" s="3" t="str">
        <f t="shared" si="18"/>
        <v>148</v>
      </c>
      <c r="S615" s="3" t="str">
        <f t="shared" si="19"/>
        <v>100</v>
      </c>
      <c r="T615" s="16" t="s">
        <v>38</v>
      </c>
      <c r="U615" s="3">
        <v>20.12</v>
      </c>
      <c r="V615" s="16" t="str">
        <f>PROPER(Table1[[#This Row],[CVD Risk Level]])</f>
        <v>High</v>
      </c>
    </row>
    <row r="616" spans="1:22" x14ac:dyDescent="0.3">
      <c r="A616" t="s">
        <v>20</v>
      </c>
      <c r="B616" s="8">
        <v>42</v>
      </c>
      <c r="C616" s="8">
        <v>89.7</v>
      </c>
      <c r="D616" s="5">
        <v>1.7</v>
      </c>
      <c r="E616" s="5">
        <v>31</v>
      </c>
      <c r="F616" s="16" t="s">
        <v>1302</v>
      </c>
      <c r="G616" s="11">
        <v>0.49099999999999999</v>
      </c>
      <c r="H616" s="5">
        <v>83.5</v>
      </c>
      <c r="I616" s="8">
        <v>66</v>
      </c>
      <c r="J616" s="8">
        <v>121</v>
      </c>
      <c r="K616" s="8">
        <v>217</v>
      </c>
      <c r="L616" s="8">
        <v>132</v>
      </c>
      <c r="M616" t="s">
        <v>1307</v>
      </c>
      <c r="N616" s="16" t="s">
        <v>22</v>
      </c>
      <c r="O616" s="16" t="s">
        <v>23</v>
      </c>
      <c r="P616" s="16" t="s">
        <v>28</v>
      </c>
      <c r="Q616" s="10" t="s">
        <v>568</v>
      </c>
      <c r="R616" s="3" t="str">
        <f t="shared" si="18"/>
        <v>146</v>
      </c>
      <c r="S616" s="3" t="str">
        <f t="shared" si="19"/>
        <v>91</v>
      </c>
      <c r="T616" s="16" t="s">
        <v>38</v>
      </c>
      <c r="U616" s="3">
        <v>19.84</v>
      </c>
      <c r="V616" s="16" t="str">
        <f>PROPER(Table1[[#This Row],[CVD Risk Level]])</f>
        <v>High</v>
      </c>
    </row>
    <row r="617" spans="1:22" x14ac:dyDescent="0.3">
      <c r="A617" t="s">
        <v>31</v>
      </c>
      <c r="B617" s="8">
        <v>48</v>
      </c>
      <c r="C617" s="8">
        <v>95.7</v>
      </c>
      <c r="D617" s="5">
        <v>1.61</v>
      </c>
      <c r="E617" s="5">
        <v>36.9</v>
      </c>
      <c r="F617" s="16" t="s">
        <v>1302</v>
      </c>
      <c r="G617" s="11">
        <v>0.61099999999999999</v>
      </c>
      <c r="H617" s="5">
        <v>98.4</v>
      </c>
      <c r="I617" s="8">
        <v>47</v>
      </c>
      <c r="J617" s="8">
        <v>37</v>
      </c>
      <c r="K617" s="8">
        <v>114</v>
      </c>
      <c r="L617" s="8">
        <v>117.48563611491107</v>
      </c>
      <c r="M617" t="s">
        <v>1306</v>
      </c>
      <c r="N617" s="16" t="s">
        <v>22</v>
      </c>
      <c r="O617" s="16" t="s">
        <v>22</v>
      </c>
      <c r="P617" s="16" t="s">
        <v>37</v>
      </c>
      <c r="Q617" s="10" t="s">
        <v>116</v>
      </c>
      <c r="R617" s="3" t="str">
        <f t="shared" si="18"/>
        <v>114</v>
      </c>
      <c r="S617" s="3" t="str">
        <f t="shared" si="19"/>
        <v>63</v>
      </c>
      <c r="T617" s="16" t="s">
        <v>33</v>
      </c>
      <c r="U617" s="3">
        <v>15.36</v>
      </c>
      <c r="V617" s="16" t="str">
        <f>PROPER(Table1[[#This Row],[CVD Risk Level]])</f>
        <v>Intermediary</v>
      </c>
    </row>
    <row r="618" spans="1:22" x14ac:dyDescent="0.3">
      <c r="A618" t="s">
        <v>31</v>
      </c>
      <c r="B618" s="8">
        <v>40</v>
      </c>
      <c r="C618" s="8">
        <v>59.8</v>
      </c>
      <c r="D618" s="5">
        <v>1.78</v>
      </c>
      <c r="E618" s="5">
        <v>18.899999999999999</v>
      </c>
      <c r="F618" s="16" t="s">
        <v>33</v>
      </c>
      <c r="G618" s="11">
        <v>0.434</v>
      </c>
      <c r="H618" s="5">
        <v>77.3</v>
      </c>
      <c r="I618" s="8">
        <v>78</v>
      </c>
      <c r="J618" s="8">
        <v>39</v>
      </c>
      <c r="K618" s="8">
        <v>147</v>
      </c>
      <c r="L618" s="8">
        <v>123</v>
      </c>
      <c r="M618" t="s">
        <v>1306</v>
      </c>
      <c r="N618" s="16" t="s">
        <v>23</v>
      </c>
      <c r="O618" s="16" t="s">
        <v>22</v>
      </c>
      <c r="P618" s="16" t="s">
        <v>28</v>
      </c>
      <c r="Q618" s="10" t="s">
        <v>569</v>
      </c>
      <c r="R618" s="3" t="str">
        <f t="shared" si="18"/>
        <v>107</v>
      </c>
      <c r="S618" s="3" t="str">
        <f t="shared" si="19"/>
        <v>75</v>
      </c>
      <c r="T618" s="16" t="s">
        <v>33</v>
      </c>
      <c r="U618" s="3">
        <v>12.07</v>
      </c>
      <c r="V618" s="16" t="str">
        <f>PROPER(Table1[[#This Row],[CVD Risk Level]])</f>
        <v>Intermediary</v>
      </c>
    </row>
    <row r="619" spans="1:22" x14ac:dyDescent="0.3">
      <c r="A619" t="s">
        <v>31</v>
      </c>
      <c r="B619" s="8">
        <v>48</v>
      </c>
      <c r="C619" s="8">
        <v>59.5</v>
      </c>
      <c r="D619" s="5">
        <v>1.82</v>
      </c>
      <c r="E619" s="5">
        <v>18</v>
      </c>
      <c r="F619" s="16" t="s">
        <v>1304</v>
      </c>
      <c r="G619" s="11">
        <v>0.49199999999999999</v>
      </c>
      <c r="H619" s="5">
        <v>89.6</v>
      </c>
      <c r="I619" s="8">
        <v>68</v>
      </c>
      <c r="J619" s="8">
        <v>38</v>
      </c>
      <c r="K619" s="8">
        <v>136</v>
      </c>
      <c r="L619" s="8">
        <v>148</v>
      </c>
      <c r="M619" t="s">
        <v>1307</v>
      </c>
      <c r="N619" s="16" t="s">
        <v>22</v>
      </c>
      <c r="O619" s="16" t="s">
        <v>22</v>
      </c>
      <c r="P619" s="16" t="s">
        <v>28</v>
      </c>
      <c r="Q619" s="10" t="s">
        <v>570</v>
      </c>
      <c r="R619" s="3" t="str">
        <f t="shared" si="18"/>
        <v>119</v>
      </c>
      <c r="S619" s="3" t="str">
        <f t="shared" si="19"/>
        <v>70</v>
      </c>
      <c r="T619" s="16" t="s">
        <v>33</v>
      </c>
      <c r="U619" s="3">
        <v>12.27</v>
      </c>
      <c r="V619" s="16" t="str">
        <f>PROPER(Table1[[#This Row],[CVD Risk Level]])</f>
        <v>Low</v>
      </c>
    </row>
    <row r="620" spans="1:22" x14ac:dyDescent="0.3">
      <c r="A620" t="s">
        <v>20</v>
      </c>
      <c r="B620" s="8">
        <v>36</v>
      </c>
      <c r="C620" s="8">
        <v>52.04898</v>
      </c>
      <c r="D620" s="5">
        <v>1.71</v>
      </c>
      <c r="E620" s="5">
        <v>17.8</v>
      </c>
      <c r="F620" s="16" t="s">
        <v>1304</v>
      </c>
      <c r="G620" s="11">
        <v>0.60499999999999998</v>
      </c>
      <c r="H620" s="5">
        <v>103.4</v>
      </c>
      <c r="I620" s="8">
        <v>43</v>
      </c>
      <c r="J620" s="8">
        <v>109</v>
      </c>
      <c r="K620" s="8">
        <v>215</v>
      </c>
      <c r="L620" s="8">
        <v>110</v>
      </c>
      <c r="M620" t="s">
        <v>1306</v>
      </c>
      <c r="N620" s="16" t="s">
        <v>22</v>
      </c>
      <c r="O620" s="16" t="s">
        <v>22</v>
      </c>
      <c r="P620" s="16" t="s">
        <v>24</v>
      </c>
      <c r="Q620" s="10" t="s">
        <v>571</v>
      </c>
      <c r="R620" s="3" t="str">
        <f t="shared" si="18"/>
        <v>106</v>
      </c>
      <c r="S620" s="3" t="str">
        <f t="shared" si="19"/>
        <v>88</v>
      </c>
      <c r="T620" s="16" t="s">
        <v>29</v>
      </c>
      <c r="U620" s="3">
        <v>13.16</v>
      </c>
      <c r="V620" s="16" t="str">
        <f>PROPER(Table1[[#This Row],[CVD Risk Level]])</f>
        <v>Intermediary</v>
      </c>
    </row>
    <row r="621" spans="1:22" x14ac:dyDescent="0.3">
      <c r="A621" t="s">
        <v>31</v>
      </c>
      <c r="B621" s="8">
        <v>36</v>
      </c>
      <c r="C621" s="8">
        <v>91.883600000000001</v>
      </c>
      <c r="D621" s="5">
        <v>1.78</v>
      </c>
      <c r="E621" s="5">
        <v>29</v>
      </c>
      <c r="F621" s="16" t="s">
        <v>1303</v>
      </c>
      <c r="G621" s="11">
        <v>0.44800000000000001</v>
      </c>
      <c r="H621" s="5">
        <v>79.8</v>
      </c>
      <c r="I621" s="8">
        <v>64</v>
      </c>
      <c r="J621" s="8">
        <v>52</v>
      </c>
      <c r="K621" s="8">
        <v>146</v>
      </c>
      <c r="L621" s="8">
        <v>71</v>
      </c>
      <c r="M621" t="s">
        <v>33</v>
      </c>
      <c r="N621" s="16" t="s">
        <v>22</v>
      </c>
      <c r="O621" s="16" t="s">
        <v>23</v>
      </c>
      <c r="P621" s="16" t="s">
        <v>24</v>
      </c>
      <c r="Q621" s="10" t="s">
        <v>572</v>
      </c>
      <c r="R621" s="3" t="str">
        <f t="shared" si="18"/>
        <v>116</v>
      </c>
      <c r="S621" s="3" t="str">
        <f t="shared" si="19"/>
        <v>70</v>
      </c>
      <c r="T621" s="16" t="s">
        <v>33</v>
      </c>
      <c r="U621" s="3">
        <v>16.52</v>
      </c>
      <c r="V621" s="16" t="str">
        <f>PROPER(Table1[[#This Row],[CVD Risk Level]])</f>
        <v>High</v>
      </c>
    </row>
    <row r="622" spans="1:22" x14ac:dyDescent="0.3">
      <c r="A622" t="s">
        <v>20</v>
      </c>
      <c r="B622" s="8">
        <v>51</v>
      </c>
      <c r="C622" s="8">
        <v>104.2</v>
      </c>
      <c r="D622" s="5">
        <v>1.64</v>
      </c>
      <c r="E622" s="5">
        <v>38.700000000000003</v>
      </c>
      <c r="F622" s="16" t="s">
        <v>1302</v>
      </c>
      <c r="G622" s="11">
        <v>0.505</v>
      </c>
      <c r="H622" s="5">
        <v>82.9</v>
      </c>
      <c r="I622" s="8">
        <v>56.197377501725327</v>
      </c>
      <c r="J622" s="8">
        <v>74</v>
      </c>
      <c r="K622" s="8">
        <v>134</v>
      </c>
      <c r="L622" s="8">
        <v>91</v>
      </c>
      <c r="M622" t="s">
        <v>33</v>
      </c>
      <c r="N622" s="16" t="s">
        <v>22</v>
      </c>
      <c r="O622" s="16" t="s">
        <v>22</v>
      </c>
      <c r="P622" s="16" t="s">
        <v>28</v>
      </c>
      <c r="Q622" s="10" t="s">
        <v>573</v>
      </c>
      <c r="R622" s="3" t="str">
        <f t="shared" si="18"/>
        <v>118</v>
      </c>
      <c r="S622" s="3" t="str">
        <f t="shared" si="19"/>
        <v>97</v>
      </c>
      <c r="T622" s="16" t="s">
        <v>38</v>
      </c>
      <c r="U622" s="3">
        <v>16.32</v>
      </c>
      <c r="V622" s="16" t="str">
        <f>PROPER(Table1[[#This Row],[CVD Risk Level]])</f>
        <v>High</v>
      </c>
    </row>
    <row r="623" spans="1:22" x14ac:dyDescent="0.3">
      <c r="A623" t="s">
        <v>31</v>
      </c>
      <c r="B623" s="8">
        <v>48</v>
      </c>
      <c r="C623" s="8">
        <v>76.8</v>
      </c>
      <c r="D623" s="5">
        <v>1.64</v>
      </c>
      <c r="E623" s="5">
        <v>28.6</v>
      </c>
      <c r="F623" s="16" t="s">
        <v>1303</v>
      </c>
      <c r="G623" s="11">
        <v>0.55000000000000004</v>
      </c>
      <c r="H623" s="5">
        <v>90.2</v>
      </c>
      <c r="I623" s="8">
        <v>80</v>
      </c>
      <c r="J623" s="8">
        <v>58</v>
      </c>
      <c r="K623" s="8">
        <v>168</v>
      </c>
      <c r="L623" s="8">
        <v>117</v>
      </c>
      <c r="M623" t="s">
        <v>1306</v>
      </c>
      <c r="N623" s="16" t="s">
        <v>23</v>
      </c>
      <c r="O623" s="16" t="s">
        <v>22</v>
      </c>
      <c r="P623" s="16" t="s">
        <v>28</v>
      </c>
      <c r="Q623" s="10" t="s">
        <v>61</v>
      </c>
      <c r="R623" s="3" t="str">
        <f t="shared" si="18"/>
        <v>128</v>
      </c>
      <c r="S623" s="3" t="str">
        <f t="shared" si="19"/>
        <v>66</v>
      </c>
      <c r="T623" s="16" t="s">
        <v>25</v>
      </c>
      <c r="U623" s="3">
        <v>15.48</v>
      </c>
      <c r="V623" s="16" t="str">
        <f>PROPER(Table1[[#This Row],[CVD Risk Level]])</f>
        <v>Intermediary</v>
      </c>
    </row>
    <row r="624" spans="1:22" x14ac:dyDescent="0.3">
      <c r="A624" t="s">
        <v>20</v>
      </c>
      <c r="B624" s="8">
        <v>49</v>
      </c>
      <c r="C624" s="8">
        <v>97.2</v>
      </c>
      <c r="D624" s="5">
        <v>1.66</v>
      </c>
      <c r="E624" s="5">
        <v>35.299999999999997</v>
      </c>
      <c r="F624" s="16" t="s">
        <v>1302</v>
      </c>
      <c r="G624" s="11">
        <v>0.623</v>
      </c>
      <c r="H624" s="5">
        <v>103.4</v>
      </c>
      <c r="I624" s="8">
        <v>64</v>
      </c>
      <c r="J624" s="8">
        <v>109</v>
      </c>
      <c r="K624" s="8">
        <v>203</v>
      </c>
      <c r="L624" s="8">
        <v>102</v>
      </c>
      <c r="M624" t="s">
        <v>1306</v>
      </c>
      <c r="N624" s="16" t="s">
        <v>23</v>
      </c>
      <c r="O624" s="16" t="s">
        <v>22</v>
      </c>
      <c r="P624" s="16" t="s">
        <v>28</v>
      </c>
      <c r="Q624" s="10" t="s">
        <v>574</v>
      </c>
      <c r="R624" s="3" t="str">
        <f t="shared" si="18"/>
        <v>121</v>
      </c>
      <c r="S624" s="3" t="str">
        <f t="shared" si="19"/>
        <v>66</v>
      </c>
      <c r="T624" s="16" t="s">
        <v>25</v>
      </c>
      <c r="U624" s="3">
        <v>17.170000000000002</v>
      </c>
      <c r="V624" s="16" t="str">
        <f>PROPER(Table1[[#This Row],[CVD Risk Level]])</f>
        <v>High</v>
      </c>
    </row>
    <row r="625" spans="1:22" x14ac:dyDescent="0.3">
      <c r="A625" t="s">
        <v>20</v>
      </c>
      <c r="B625" s="8">
        <v>33</v>
      </c>
      <c r="C625" s="8">
        <v>74.7</v>
      </c>
      <c r="D625" s="5">
        <v>1.6511442614934571</v>
      </c>
      <c r="E625" s="5">
        <v>27.4</v>
      </c>
      <c r="F625" s="16" t="s">
        <v>1303</v>
      </c>
      <c r="G625" s="11">
        <v>0.56499999999999995</v>
      </c>
      <c r="H625" s="5">
        <v>93.3</v>
      </c>
      <c r="I625" s="8">
        <v>36</v>
      </c>
      <c r="J625" s="8">
        <v>45</v>
      </c>
      <c r="K625" s="8">
        <v>111</v>
      </c>
      <c r="L625" s="8">
        <v>99</v>
      </c>
      <c r="M625" t="s">
        <v>33</v>
      </c>
      <c r="N625" s="16" t="s">
        <v>23</v>
      </c>
      <c r="O625" s="16" t="s">
        <v>22</v>
      </c>
      <c r="P625" s="16" t="s">
        <v>37</v>
      </c>
      <c r="Q625" s="10" t="s">
        <v>575</v>
      </c>
      <c r="R625" s="3" t="str">
        <f t="shared" si="18"/>
        <v>113</v>
      </c>
      <c r="S625" s="3" t="str">
        <f t="shared" si="19"/>
        <v>89</v>
      </c>
      <c r="T625" s="16" t="s">
        <v>29</v>
      </c>
      <c r="U625" s="3">
        <v>13.35</v>
      </c>
      <c r="V625" s="16" t="str">
        <f>PROPER(Table1[[#This Row],[CVD Risk Level]])</f>
        <v>High</v>
      </c>
    </row>
    <row r="626" spans="1:22" x14ac:dyDescent="0.3">
      <c r="A626" t="s">
        <v>31</v>
      </c>
      <c r="B626" s="8">
        <v>37</v>
      </c>
      <c r="C626" s="8">
        <v>116.7</v>
      </c>
      <c r="D626" s="5">
        <v>1.87</v>
      </c>
      <c r="E626" s="5">
        <v>33.4</v>
      </c>
      <c r="F626" s="16" t="s">
        <v>1302</v>
      </c>
      <c r="G626" s="11">
        <v>0.57499999999999996</v>
      </c>
      <c r="H626" s="5">
        <v>107.6</v>
      </c>
      <c r="I626" s="8">
        <v>33</v>
      </c>
      <c r="J626" s="8">
        <v>152</v>
      </c>
      <c r="K626" s="8">
        <v>215</v>
      </c>
      <c r="L626" s="8">
        <v>70</v>
      </c>
      <c r="M626" t="s">
        <v>33</v>
      </c>
      <c r="N626" s="16" t="s">
        <v>22</v>
      </c>
      <c r="O626" s="16" t="s">
        <v>23</v>
      </c>
      <c r="P626" s="16" t="s">
        <v>37</v>
      </c>
      <c r="Q626" s="10" t="s">
        <v>576</v>
      </c>
      <c r="R626" s="3" t="str">
        <f t="shared" si="18"/>
        <v>131</v>
      </c>
      <c r="S626" s="3" t="str">
        <f t="shared" si="19"/>
        <v>69</v>
      </c>
      <c r="T626" s="16" t="s">
        <v>29</v>
      </c>
      <c r="U626" s="3">
        <v>19.53</v>
      </c>
      <c r="V626" s="16" t="str">
        <f>PROPER(Table1[[#This Row],[CVD Risk Level]])</f>
        <v>High</v>
      </c>
    </row>
    <row r="627" spans="1:22" x14ac:dyDescent="0.3">
      <c r="A627" t="s">
        <v>20</v>
      </c>
      <c r="B627" s="8">
        <v>58</v>
      </c>
      <c r="C627" s="8">
        <v>59.3</v>
      </c>
      <c r="D627" s="5">
        <v>1.75</v>
      </c>
      <c r="E627" s="5">
        <v>19.399999999999999</v>
      </c>
      <c r="F627" s="16" t="s">
        <v>33</v>
      </c>
      <c r="G627" s="11">
        <v>0.59699999999999998</v>
      </c>
      <c r="H627" s="5">
        <v>104.4</v>
      </c>
      <c r="I627" s="8">
        <v>47</v>
      </c>
      <c r="J627" s="8">
        <v>198</v>
      </c>
      <c r="K627" s="8">
        <v>275</v>
      </c>
      <c r="L627" s="8">
        <v>95</v>
      </c>
      <c r="M627" t="s">
        <v>33</v>
      </c>
      <c r="N627" s="16" t="s">
        <v>23</v>
      </c>
      <c r="O627" s="16" t="s">
        <v>23</v>
      </c>
      <c r="P627" s="16" t="s">
        <v>28</v>
      </c>
      <c r="Q627" s="10" t="s">
        <v>577</v>
      </c>
      <c r="R627" s="3" t="str">
        <f t="shared" si="18"/>
        <v>119</v>
      </c>
      <c r="S627" s="3" t="str">
        <f t="shared" si="19"/>
        <v>63</v>
      </c>
      <c r="T627" s="16" t="s">
        <v>33</v>
      </c>
      <c r="U627" s="3">
        <v>17.329999999999998</v>
      </c>
      <c r="V627" s="16" t="str">
        <f>PROPER(Table1[[#This Row],[CVD Risk Level]])</f>
        <v>High</v>
      </c>
    </row>
    <row r="628" spans="1:22" x14ac:dyDescent="0.3">
      <c r="A628" t="s">
        <v>31</v>
      </c>
      <c r="B628" s="8">
        <v>47</v>
      </c>
      <c r="C628" s="8">
        <v>68.7</v>
      </c>
      <c r="D628" s="5">
        <v>1.64</v>
      </c>
      <c r="E628" s="5">
        <v>25.5</v>
      </c>
      <c r="F628" s="16" t="s">
        <v>1303</v>
      </c>
      <c r="G628" s="11">
        <v>0.46</v>
      </c>
      <c r="H628" s="5">
        <v>75.5</v>
      </c>
      <c r="I628" s="8">
        <v>44</v>
      </c>
      <c r="J628" s="8">
        <v>90</v>
      </c>
      <c r="K628" s="8">
        <v>164</v>
      </c>
      <c r="L628" s="8">
        <v>117.48563611491107</v>
      </c>
      <c r="M628" t="s">
        <v>1306</v>
      </c>
      <c r="N628" s="16" t="s">
        <v>22</v>
      </c>
      <c r="O628" s="16" t="s">
        <v>23</v>
      </c>
      <c r="P628" s="16" t="s">
        <v>24</v>
      </c>
      <c r="Q628" s="10" t="s">
        <v>345</v>
      </c>
      <c r="R628" s="3" t="str">
        <f t="shared" si="18"/>
        <v>116</v>
      </c>
      <c r="S628" s="3" t="str">
        <f t="shared" si="19"/>
        <v>72</v>
      </c>
      <c r="T628" s="16" t="s">
        <v>33</v>
      </c>
      <c r="U628" s="3">
        <v>16.18</v>
      </c>
      <c r="V628" s="16" t="str">
        <f>PROPER(Table1[[#This Row],[CVD Risk Level]])</f>
        <v>High</v>
      </c>
    </row>
    <row r="629" spans="1:22" x14ac:dyDescent="0.3">
      <c r="A629" t="s">
        <v>20</v>
      </c>
      <c r="B629" s="8">
        <v>30</v>
      </c>
      <c r="C629" s="8">
        <v>116.4</v>
      </c>
      <c r="D629" s="5">
        <v>1.64</v>
      </c>
      <c r="E629" s="5">
        <v>43.3</v>
      </c>
      <c r="F629" s="16" t="s">
        <v>1302</v>
      </c>
      <c r="G629" s="11">
        <v>0.66700000000000004</v>
      </c>
      <c r="H629" s="5">
        <v>109.4</v>
      </c>
      <c r="I629" s="8">
        <v>39</v>
      </c>
      <c r="J629" s="8">
        <v>129</v>
      </c>
      <c r="K629" s="8">
        <v>198</v>
      </c>
      <c r="L629" s="8">
        <v>148</v>
      </c>
      <c r="M629" t="s">
        <v>1307</v>
      </c>
      <c r="N629" s="16" t="s">
        <v>23</v>
      </c>
      <c r="O629" s="16" t="s">
        <v>23</v>
      </c>
      <c r="P629" s="16" t="s">
        <v>28</v>
      </c>
      <c r="Q629" s="10" t="s">
        <v>578</v>
      </c>
      <c r="R629" s="3" t="str">
        <f t="shared" si="18"/>
        <v>124</v>
      </c>
      <c r="S629" s="3" t="str">
        <f t="shared" si="19"/>
        <v>65</v>
      </c>
      <c r="T629" s="16" t="s">
        <v>25</v>
      </c>
      <c r="U629" s="3">
        <v>20.82</v>
      </c>
      <c r="V629" s="16" t="str">
        <f>PROPER(Table1[[#This Row],[CVD Risk Level]])</f>
        <v>High</v>
      </c>
    </row>
    <row r="630" spans="1:22" x14ac:dyDescent="0.3">
      <c r="A630" t="s">
        <v>31</v>
      </c>
      <c r="B630" s="8">
        <v>50</v>
      </c>
      <c r="C630" s="8">
        <v>119.1</v>
      </c>
      <c r="D630" s="5">
        <v>1.66</v>
      </c>
      <c r="E630" s="5">
        <v>43.2</v>
      </c>
      <c r="F630" s="16" t="s">
        <v>1302</v>
      </c>
      <c r="G630" s="11">
        <v>0.495</v>
      </c>
      <c r="H630" s="5">
        <v>82.17</v>
      </c>
      <c r="I630" s="8">
        <v>67</v>
      </c>
      <c r="J630" s="8">
        <v>150</v>
      </c>
      <c r="K630" s="8">
        <v>247</v>
      </c>
      <c r="L630" s="8">
        <v>100</v>
      </c>
      <c r="M630" t="s">
        <v>1306</v>
      </c>
      <c r="N630" s="16" t="s">
        <v>23</v>
      </c>
      <c r="O630" s="16" t="s">
        <v>23</v>
      </c>
      <c r="P630" s="16" t="s">
        <v>37</v>
      </c>
      <c r="Q630" s="10" t="s">
        <v>579</v>
      </c>
      <c r="R630" s="3" t="str">
        <f t="shared" si="18"/>
        <v>101</v>
      </c>
      <c r="S630" s="3" t="str">
        <f t="shared" si="19"/>
        <v>65</v>
      </c>
      <c r="T630" s="16" t="s">
        <v>33</v>
      </c>
      <c r="U630" s="3">
        <v>20.63</v>
      </c>
      <c r="V630" s="16" t="str">
        <f>PROPER(Table1[[#This Row],[CVD Risk Level]])</f>
        <v>High</v>
      </c>
    </row>
    <row r="631" spans="1:22" x14ac:dyDescent="0.3">
      <c r="A631" t="s">
        <v>31</v>
      </c>
      <c r="B631" s="8">
        <v>34</v>
      </c>
      <c r="C631" s="8">
        <v>86</v>
      </c>
      <c r="D631" s="5">
        <v>1.71</v>
      </c>
      <c r="E631" s="5">
        <v>29.4</v>
      </c>
      <c r="F631" s="16" t="s">
        <v>1303</v>
      </c>
      <c r="G631" s="11">
        <v>0.5169590643274854</v>
      </c>
      <c r="H631" s="5">
        <v>88.4</v>
      </c>
      <c r="I631" s="8">
        <v>38</v>
      </c>
      <c r="J631" s="8">
        <v>141</v>
      </c>
      <c r="K631" s="8">
        <v>209</v>
      </c>
      <c r="L631" s="8">
        <v>148</v>
      </c>
      <c r="M631" t="s">
        <v>1307</v>
      </c>
      <c r="N631" s="16" t="s">
        <v>22</v>
      </c>
      <c r="O631" s="16" t="s">
        <v>22</v>
      </c>
      <c r="P631" s="16" t="s">
        <v>37</v>
      </c>
      <c r="Q631" s="10" t="s">
        <v>580</v>
      </c>
      <c r="R631" s="3" t="str">
        <f t="shared" si="18"/>
        <v>115</v>
      </c>
      <c r="S631" s="3" t="str">
        <f t="shared" si="19"/>
        <v>90</v>
      </c>
      <c r="T631" s="16" t="s">
        <v>38</v>
      </c>
      <c r="U631" s="3">
        <v>15.81</v>
      </c>
      <c r="V631" s="16" t="str">
        <f>PROPER(Table1[[#This Row],[CVD Risk Level]])</f>
        <v>High</v>
      </c>
    </row>
    <row r="632" spans="1:22" x14ac:dyDescent="0.3">
      <c r="A632" t="s">
        <v>31</v>
      </c>
      <c r="B632" s="8">
        <v>37</v>
      </c>
      <c r="C632" s="8">
        <v>78.099999999999994</v>
      </c>
      <c r="D632" s="5">
        <v>1.85</v>
      </c>
      <c r="E632" s="5">
        <v>22.8</v>
      </c>
      <c r="F632" s="16" t="s">
        <v>33</v>
      </c>
      <c r="G632" s="11">
        <v>0.40100000000000002</v>
      </c>
      <c r="H632" s="5">
        <v>74.2</v>
      </c>
      <c r="I632" s="8">
        <v>70</v>
      </c>
      <c r="J632" s="8">
        <v>18</v>
      </c>
      <c r="K632" s="8">
        <v>118</v>
      </c>
      <c r="L632" s="8">
        <v>72</v>
      </c>
      <c r="M632" t="s">
        <v>33</v>
      </c>
      <c r="N632" s="16" t="s">
        <v>22</v>
      </c>
      <c r="O632" s="16" t="s">
        <v>23</v>
      </c>
      <c r="P632" s="16" t="s">
        <v>37</v>
      </c>
      <c r="Q632" s="10" t="s">
        <v>156</v>
      </c>
      <c r="R632" s="3" t="str">
        <f t="shared" si="18"/>
        <v>100</v>
      </c>
      <c r="S632" s="3" t="str">
        <f t="shared" si="19"/>
        <v>76</v>
      </c>
      <c r="T632" s="16" t="s">
        <v>33</v>
      </c>
      <c r="U632" s="3">
        <v>13.92</v>
      </c>
      <c r="V632" s="16" t="str">
        <f>PROPER(Table1[[#This Row],[CVD Risk Level]])</f>
        <v>Low</v>
      </c>
    </row>
    <row r="633" spans="1:22" x14ac:dyDescent="0.3">
      <c r="A633" t="s">
        <v>31</v>
      </c>
      <c r="B633" s="8">
        <v>45</v>
      </c>
      <c r="C633" s="8">
        <v>107.38991999999998</v>
      </c>
      <c r="D633" s="5">
        <v>1.72</v>
      </c>
      <c r="E633" s="5">
        <v>36.299999999999997</v>
      </c>
      <c r="F633" s="16" t="s">
        <v>1302</v>
      </c>
      <c r="G633" s="11">
        <v>0.54800000000000004</v>
      </c>
      <c r="H633" s="5">
        <v>94.256</v>
      </c>
      <c r="I633" s="8">
        <v>33</v>
      </c>
      <c r="J633" s="8">
        <v>41</v>
      </c>
      <c r="K633" s="8">
        <v>104</v>
      </c>
      <c r="L633" s="8">
        <v>126</v>
      </c>
      <c r="M633" t="s">
        <v>1307</v>
      </c>
      <c r="N633" s="16" t="s">
        <v>22</v>
      </c>
      <c r="O633" s="16" t="s">
        <v>22</v>
      </c>
      <c r="P633" s="16" t="s">
        <v>24</v>
      </c>
      <c r="Q633" s="10" t="s">
        <v>459</v>
      </c>
      <c r="R633" s="3" t="str">
        <f t="shared" si="18"/>
        <v>113</v>
      </c>
      <c r="S633" s="3" t="str">
        <f t="shared" si="19"/>
        <v>79</v>
      </c>
      <c r="T633" s="16" t="s">
        <v>33</v>
      </c>
      <c r="U633" s="3">
        <v>14.99</v>
      </c>
      <c r="V633" s="16" t="str">
        <f>PROPER(Table1[[#This Row],[CVD Risk Level]])</f>
        <v>Intermediary</v>
      </c>
    </row>
    <row r="634" spans="1:22" x14ac:dyDescent="0.3">
      <c r="A634" t="s">
        <v>20</v>
      </c>
      <c r="B634" s="8">
        <v>42</v>
      </c>
      <c r="C634" s="8">
        <v>70.2</v>
      </c>
      <c r="D634" s="5">
        <v>1.8</v>
      </c>
      <c r="E634" s="5">
        <v>21.666666666666668</v>
      </c>
      <c r="F634" s="16" t="s">
        <v>33</v>
      </c>
      <c r="G634" s="11">
        <v>0.51900000000000002</v>
      </c>
      <c r="H634" s="5">
        <v>93.4</v>
      </c>
      <c r="I634" s="8">
        <v>32</v>
      </c>
      <c r="J634" s="8">
        <v>109</v>
      </c>
      <c r="K634" s="8">
        <v>208</v>
      </c>
      <c r="L634" s="8">
        <v>148</v>
      </c>
      <c r="M634" t="s">
        <v>1307</v>
      </c>
      <c r="N634" s="16" t="s">
        <v>23</v>
      </c>
      <c r="O634" s="16" t="s">
        <v>22</v>
      </c>
      <c r="P634" s="16" t="s">
        <v>24</v>
      </c>
      <c r="Q634" s="10" t="s">
        <v>581</v>
      </c>
      <c r="R634" s="3" t="str">
        <f t="shared" si="18"/>
        <v>134</v>
      </c>
      <c r="S634" s="3" t="str">
        <f t="shared" si="19"/>
        <v>85</v>
      </c>
      <c r="T634" s="16" t="s">
        <v>29</v>
      </c>
      <c r="U634" s="3">
        <v>15.2</v>
      </c>
      <c r="V634" s="16" t="str">
        <f>PROPER(Table1[[#This Row],[CVD Risk Level]])</f>
        <v>High</v>
      </c>
    </row>
    <row r="635" spans="1:22" x14ac:dyDescent="0.3">
      <c r="A635" t="s">
        <v>20</v>
      </c>
      <c r="B635" s="8">
        <v>37</v>
      </c>
      <c r="C635" s="8">
        <v>83.2</v>
      </c>
      <c r="D635" s="5">
        <v>1.71</v>
      </c>
      <c r="E635" s="5">
        <v>28.5</v>
      </c>
      <c r="F635" s="16" t="s">
        <v>1303</v>
      </c>
      <c r="G635" s="11">
        <v>0.55200000000000005</v>
      </c>
      <c r="H635" s="5">
        <v>94.4</v>
      </c>
      <c r="I635" s="8">
        <v>48</v>
      </c>
      <c r="J635" s="8">
        <v>145</v>
      </c>
      <c r="K635" s="8">
        <v>223</v>
      </c>
      <c r="L635" s="8">
        <v>70</v>
      </c>
      <c r="M635" t="s">
        <v>33</v>
      </c>
      <c r="N635" s="16" t="s">
        <v>23</v>
      </c>
      <c r="O635" s="16" t="s">
        <v>23</v>
      </c>
      <c r="P635" s="16" t="s">
        <v>24</v>
      </c>
      <c r="Q635" s="10" t="s">
        <v>582</v>
      </c>
      <c r="R635" s="3" t="str">
        <f t="shared" si="18"/>
        <v>106</v>
      </c>
      <c r="S635" s="3" t="str">
        <f t="shared" si="19"/>
        <v>94</v>
      </c>
      <c r="T635" s="16" t="s">
        <v>38</v>
      </c>
      <c r="U635" s="3">
        <v>17.46</v>
      </c>
      <c r="V635" s="16" t="str">
        <f>PROPER(Table1[[#This Row],[CVD Risk Level]])</f>
        <v>High</v>
      </c>
    </row>
    <row r="636" spans="1:22" x14ac:dyDescent="0.3">
      <c r="A636" t="s">
        <v>20</v>
      </c>
      <c r="B636" s="8">
        <v>36</v>
      </c>
      <c r="C636" s="8">
        <v>58.4</v>
      </c>
      <c r="D636" s="5">
        <v>1.87</v>
      </c>
      <c r="E636" s="5">
        <v>16.7</v>
      </c>
      <c r="F636" s="16" t="s">
        <v>1304</v>
      </c>
      <c r="G636" s="11">
        <v>0.38100000000000001</v>
      </c>
      <c r="H636" s="5">
        <v>71.2</v>
      </c>
      <c r="I636" s="8">
        <v>56.197377501725327</v>
      </c>
      <c r="J636" s="8">
        <v>44</v>
      </c>
      <c r="K636" s="8">
        <v>143</v>
      </c>
      <c r="L636" s="8">
        <v>134</v>
      </c>
      <c r="M636" t="s">
        <v>1307</v>
      </c>
      <c r="N636" s="16" t="s">
        <v>22</v>
      </c>
      <c r="O636" s="16" t="s">
        <v>23</v>
      </c>
      <c r="P636" s="16" t="s">
        <v>24</v>
      </c>
      <c r="Q636" s="10" t="s">
        <v>583</v>
      </c>
      <c r="R636" s="3" t="str">
        <f t="shared" si="18"/>
        <v>142</v>
      </c>
      <c r="S636" s="3" t="str">
        <f t="shared" si="19"/>
        <v>96</v>
      </c>
      <c r="T636" s="16" t="s">
        <v>38</v>
      </c>
      <c r="U636" s="3">
        <v>15.3</v>
      </c>
      <c r="V636" s="16" t="str">
        <f>PROPER(Table1[[#This Row],[CVD Risk Level]])</f>
        <v>Intermediary</v>
      </c>
    </row>
    <row r="637" spans="1:22" x14ac:dyDescent="0.3">
      <c r="A637" t="s">
        <v>20</v>
      </c>
      <c r="B637" s="8">
        <v>52</v>
      </c>
      <c r="C637" s="8">
        <v>89.7</v>
      </c>
      <c r="D637" s="5">
        <v>1.88</v>
      </c>
      <c r="E637" s="5">
        <v>25.4</v>
      </c>
      <c r="F637" s="16" t="s">
        <v>1303</v>
      </c>
      <c r="G637" s="11">
        <v>0.57199999999999995</v>
      </c>
      <c r="H637" s="5">
        <v>107.5</v>
      </c>
      <c r="I637" s="8">
        <v>56.197377501725327</v>
      </c>
      <c r="J637" s="8">
        <v>42</v>
      </c>
      <c r="K637" s="8">
        <v>142</v>
      </c>
      <c r="L637" s="8">
        <v>96</v>
      </c>
      <c r="M637" t="s">
        <v>33</v>
      </c>
      <c r="N637" s="16" t="s">
        <v>23</v>
      </c>
      <c r="O637" s="16" t="s">
        <v>23</v>
      </c>
      <c r="P637" s="16" t="s">
        <v>24</v>
      </c>
      <c r="Q637" s="10" t="s">
        <v>584</v>
      </c>
      <c r="R637" s="3" t="str">
        <f t="shared" si="18"/>
        <v>145</v>
      </c>
      <c r="S637" s="3" t="str">
        <f t="shared" si="19"/>
        <v>92</v>
      </c>
      <c r="T637" s="16" t="s">
        <v>38</v>
      </c>
      <c r="U637" s="3">
        <v>17.170000000000002</v>
      </c>
      <c r="V637" s="16" t="str">
        <f>PROPER(Table1[[#This Row],[CVD Risk Level]])</f>
        <v>High</v>
      </c>
    </row>
    <row r="638" spans="1:22" x14ac:dyDescent="0.3">
      <c r="A638" t="s">
        <v>20</v>
      </c>
      <c r="B638" s="8">
        <v>38</v>
      </c>
      <c r="C638" s="8">
        <v>112.4</v>
      </c>
      <c r="D638" s="5">
        <v>1.69</v>
      </c>
      <c r="E638" s="5">
        <v>39.4</v>
      </c>
      <c r="F638" s="16" t="s">
        <v>1302</v>
      </c>
      <c r="G638" s="11">
        <v>0.59899999999999998</v>
      </c>
      <c r="H638" s="5">
        <v>101.2</v>
      </c>
      <c r="I638" s="8">
        <v>40</v>
      </c>
      <c r="J638" s="8">
        <v>139</v>
      </c>
      <c r="K638" s="8">
        <v>209</v>
      </c>
      <c r="L638" s="8">
        <v>98</v>
      </c>
      <c r="M638" t="s">
        <v>33</v>
      </c>
      <c r="N638" s="16" t="s">
        <v>22</v>
      </c>
      <c r="O638" s="16" t="s">
        <v>22</v>
      </c>
      <c r="P638" s="16" t="s">
        <v>28</v>
      </c>
      <c r="Q638" s="10" t="s">
        <v>585</v>
      </c>
      <c r="R638" s="3" t="str">
        <f t="shared" si="18"/>
        <v>139</v>
      </c>
      <c r="S638" s="3" t="str">
        <f t="shared" si="19"/>
        <v>77</v>
      </c>
      <c r="T638" s="16" t="s">
        <v>29</v>
      </c>
      <c r="U638" s="3">
        <v>19.010000000000002</v>
      </c>
      <c r="V638" s="16" t="str">
        <f>PROPER(Table1[[#This Row],[CVD Risk Level]])</f>
        <v>Intermediary</v>
      </c>
    </row>
    <row r="639" spans="1:22" x14ac:dyDescent="0.3">
      <c r="A639" t="s">
        <v>31</v>
      </c>
      <c r="B639" s="8">
        <v>50</v>
      </c>
      <c r="C639" s="8">
        <v>56.5</v>
      </c>
      <c r="D639" s="5">
        <v>1.83</v>
      </c>
      <c r="E639" s="5">
        <v>16.899999999999999</v>
      </c>
      <c r="F639" s="16" t="s">
        <v>1304</v>
      </c>
      <c r="G639" s="11">
        <v>0.47499999999999998</v>
      </c>
      <c r="H639" s="5">
        <v>86.9</v>
      </c>
      <c r="I639" s="8">
        <v>35</v>
      </c>
      <c r="J639" s="8">
        <v>197</v>
      </c>
      <c r="K639" s="8">
        <v>262</v>
      </c>
      <c r="L639" s="8">
        <v>117.48563611491107</v>
      </c>
      <c r="M639" t="s">
        <v>1306</v>
      </c>
      <c r="N639" s="16" t="s">
        <v>22</v>
      </c>
      <c r="O639" s="16" t="s">
        <v>23</v>
      </c>
      <c r="P639" s="16" t="s">
        <v>37</v>
      </c>
      <c r="Q639" s="10" t="s">
        <v>586</v>
      </c>
      <c r="R639" s="3" t="str">
        <f t="shared" si="18"/>
        <v>118</v>
      </c>
      <c r="S639" s="3" t="str">
        <f t="shared" si="19"/>
        <v>95</v>
      </c>
      <c r="T639" s="16" t="s">
        <v>38</v>
      </c>
      <c r="U639" s="3">
        <v>16.52</v>
      </c>
      <c r="V639" s="16" t="str">
        <f>PROPER(Table1[[#This Row],[CVD Risk Level]])</f>
        <v>High</v>
      </c>
    </row>
    <row r="640" spans="1:22" x14ac:dyDescent="0.3">
      <c r="A640" t="s">
        <v>20</v>
      </c>
      <c r="B640" s="8">
        <v>42</v>
      </c>
      <c r="C640" s="8">
        <v>94.5</v>
      </c>
      <c r="D640" s="5">
        <v>1.64</v>
      </c>
      <c r="E640" s="5">
        <v>35.1</v>
      </c>
      <c r="F640" s="16" t="s">
        <v>1302</v>
      </c>
      <c r="G640" s="11">
        <v>0.47</v>
      </c>
      <c r="H640" s="5">
        <v>77.099999999999994</v>
      </c>
      <c r="I640" s="8">
        <v>36</v>
      </c>
      <c r="J640" s="8">
        <v>38</v>
      </c>
      <c r="K640" s="8">
        <v>104</v>
      </c>
      <c r="L640" s="8">
        <v>144</v>
      </c>
      <c r="M640" t="s">
        <v>1307</v>
      </c>
      <c r="N640" s="16" t="s">
        <v>23</v>
      </c>
      <c r="O640" s="16" t="s">
        <v>23</v>
      </c>
      <c r="P640" s="16" t="s">
        <v>28</v>
      </c>
      <c r="Q640" s="10" t="s">
        <v>587</v>
      </c>
      <c r="R640" s="3" t="str">
        <f t="shared" si="18"/>
        <v>119</v>
      </c>
      <c r="S640" s="3" t="str">
        <f t="shared" si="19"/>
        <v>95</v>
      </c>
      <c r="T640" s="16" t="s">
        <v>38</v>
      </c>
      <c r="U640" s="3">
        <v>17.05</v>
      </c>
      <c r="V640" s="16" t="str">
        <f>PROPER(Table1[[#This Row],[CVD Risk Level]])</f>
        <v>High</v>
      </c>
    </row>
    <row r="641" spans="1:22" x14ac:dyDescent="0.3">
      <c r="A641" t="s">
        <v>31</v>
      </c>
      <c r="B641" s="8">
        <v>33</v>
      </c>
      <c r="C641" s="8">
        <v>86.2</v>
      </c>
      <c r="D641" s="5">
        <v>1.86</v>
      </c>
      <c r="E641" s="5">
        <v>24.9</v>
      </c>
      <c r="F641" s="16" t="s">
        <v>33</v>
      </c>
      <c r="G641" s="11">
        <v>0.47299999999999998</v>
      </c>
      <c r="H641" s="5">
        <v>88</v>
      </c>
      <c r="I641" s="8">
        <v>65</v>
      </c>
      <c r="J641" s="8">
        <v>124</v>
      </c>
      <c r="K641" s="8">
        <v>219</v>
      </c>
      <c r="L641" s="8">
        <v>104</v>
      </c>
      <c r="M641" t="s">
        <v>1306</v>
      </c>
      <c r="N641" s="16" t="s">
        <v>23</v>
      </c>
      <c r="O641" s="16" t="s">
        <v>22</v>
      </c>
      <c r="P641" s="16" t="s">
        <v>24</v>
      </c>
      <c r="Q641" s="10" t="s">
        <v>588</v>
      </c>
      <c r="R641" s="3" t="str">
        <f t="shared" si="18"/>
        <v>139</v>
      </c>
      <c r="S641" s="3" t="str">
        <f t="shared" si="19"/>
        <v>98</v>
      </c>
      <c r="T641" s="16" t="s">
        <v>29</v>
      </c>
      <c r="U641" s="3">
        <v>16.309999999999999</v>
      </c>
      <c r="V641" s="16" t="str">
        <f>PROPER(Table1[[#This Row],[CVD Risk Level]])</f>
        <v>Intermediary</v>
      </c>
    </row>
    <row r="642" spans="1:22" x14ac:dyDescent="0.3">
      <c r="A642" t="s">
        <v>31</v>
      </c>
      <c r="B642" s="8">
        <v>33</v>
      </c>
      <c r="C642" s="8">
        <v>114</v>
      </c>
      <c r="D642" s="5">
        <v>1.75</v>
      </c>
      <c r="E642" s="5">
        <v>37.200000000000003</v>
      </c>
      <c r="F642" s="16" t="s">
        <v>1302</v>
      </c>
      <c r="G642" s="11">
        <v>0.438</v>
      </c>
      <c r="H642" s="5">
        <v>76.7</v>
      </c>
      <c r="I642" s="8">
        <v>77</v>
      </c>
      <c r="J642" s="8">
        <v>90</v>
      </c>
      <c r="K642" s="8">
        <v>197</v>
      </c>
      <c r="L642" s="8">
        <v>122</v>
      </c>
      <c r="M642" t="s">
        <v>1306</v>
      </c>
      <c r="N642" s="16" t="s">
        <v>23</v>
      </c>
      <c r="O642" s="16" t="s">
        <v>23</v>
      </c>
      <c r="P642" s="16" t="s">
        <v>37</v>
      </c>
      <c r="Q642" s="10" t="s">
        <v>589</v>
      </c>
      <c r="R642" s="3" t="str">
        <f t="shared" si="18"/>
        <v>105</v>
      </c>
      <c r="S642" s="3" t="str">
        <f t="shared" si="19"/>
        <v>95</v>
      </c>
      <c r="T642" s="16" t="s">
        <v>38</v>
      </c>
      <c r="U642" s="3">
        <v>18.63</v>
      </c>
      <c r="V642" s="16" t="str">
        <f>PROPER(Table1[[#This Row],[CVD Risk Level]])</f>
        <v>High</v>
      </c>
    </row>
    <row r="643" spans="1:22" x14ac:dyDescent="0.3">
      <c r="A643" t="s">
        <v>31</v>
      </c>
      <c r="B643" s="8">
        <v>41</v>
      </c>
      <c r="C643" s="8">
        <v>105.4</v>
      </c>
      <c r="D643" s="5">
        <v>1.88</v>
      </c>
      <c r="E643" s="5">
        <v>29.8</v>
      </c>
      <c r="F643" s="16" t="s">
        <v>1303</v>
      </c>
      <c r="G643" s="11">
        <v>0.57499999999999996</v>
      </c>
      <c r="H643" s="5">
        <v>108.1</v>
      </c>
      <c r="I643" s="8">
        <v>69</v>
      </c>
      <c r="J643" s="8">
        <v>96</v>
      </c>
      <c r="K643" s="8">
        <v>195</v>
      </c>
      <c r="L643" s="8">
        <v>141</v>
      </c>
      <c r="M643" t="s">
        <v>1307</v>
      </c>
      <c r="N643" s="16" t="s">
        <v>22</v>
      </c>
      <c r="O643" s="16" t="s">
        <v>23</v>
      </c>
      <c r="P643" s="16" t="s">
        <v>37</v>
      </c>
      <c r="Q643" s="10" t="s">
        <v>590</v>
      </c>
      <c r="R643" s="3" t="str">
        <f t="shared" ref="R643:R706" si="20">LEFT(Q643,FIND("/",Q643)-1)</f>
        <v>125</v>
      </c>
      <c r="S643" s="3" t="str">
        <f t="shared" ref="S643:S706" si="21">RIGHT(Q643,LEN(Q643)-FIND("/",Q643))</f>
        <v>88</v>
      </c>
      <c r="T643" s="16" t="s">
        <v>29</v>
      </c>
      <c r="U643" s="3">
        <v>18.11</v>
      </c>
      <c r="V643" s="16" t="str">
        <f>PROPER(Table1[[#This Row],[CVD Risk Level]])</f>
        <v>Intermediary</v>
      </c>
    </row>
    <row r="644" spans="1:22" x14ac:dyDescent="0.3">
      <c r="A644" t="s">
        <v>31</v>
      </c>
      <c r="B644" s="8">
        <v>47.025499655410059</v>
      </c>
      <c r="C644" s="8">
        <v>77.7</v>
      </c>
      <c r="D644" s="5">
        <v>1.63</v>
      </c>
      <c r="E644" s="5">
        <v>29.2</v>
      </c>
      <c r="F644" s="16" t="s">
        <v>1303</v>
      </c>
      <c r="G644" s="11">
        <v>0.55600000000000005</v>
      </c>
      <c r="H644" s="5">
        <v>90.7</v>
      </c>
      <c r="I644" s="8">
        <v>74</v>
      </c>
      <c r="J644" s="8">
        <v>154</v>
      </c>
      <c r="K644" s="8">
        <v>258</v>
      </c>
      <c r="L644" s="8">
        <v>109</v>
      </c>
      <c r="M644" t="s">
        <v>1306</v>
      </c>
      <c r="N644" s="16" t="s">
        <v>22</v>
      </c>
      <c r="O644" s="16" t="s">
        <v>23</v>
      </c>
      <c r="P644" s="16" t="s">
        <v>28</v>
      </c>
      <c r="Q644" s="10" t="s">
        <v>123</v>
      </c>
      <c r="R644" s="3" t="str">
        <f t="shared" si="20"/>
        <v>120</v>
      </c>
      <c r="S644" s="3" t="str">
        <f t="shared" si="21"/>
        <v>96</v>
      </c>
      <c r="T644" s="16" t="s">
        <v>38</v>
      </c>
      <c r="U644" s="3">
        <v>19</v>
      </c>
      <c r="V644" s="16" t="str">
        <f>PROPER(Table1[[#This Row],[CVD Risk Level]])</f>
        <v>High</v>
      </c>
    </row>
    <row r="645" spans="1:22" x14ac:dyDescent="0.3">
      <c r="A645" t="s">
        <v>31</v>
      </c>
      <c r="B645" s="8">
        <v>41</v>
      </c>
      <c r="C645" s="8">
        <v>62.2</v>
      </c>
      <c r="D645" s="5">
        <v>1.82</v>
      </c>
      <c r="E645" s="5">
        <v>18.8</v>
      </c>
      <c r="F645" s="16" t="s">
        <v>33</v>
      </c>
      <c r="G645" s="11">
        <v>0.59099999999999997</v>
      </c>
      <c r="H645" s="5">
        <v>107.5</v>
      </c>
      <c r="I645" s="8">
        <v>47</v>
      </c>
      <c r="J645" s="8">
        <v>164</v>
      </c>
      <c r="K645" s="8">
        <v>241</v>
      </c>
      <c r="L645" s="8">
        <v>79</v>
      </c>
      <c r="M645" t="s">
        <v>33</v>
      </c>
      <c r="N645" s="16" t="s">
        <v>22</v>
      </c>
      <c r="O645" s="16" t="s">
        <v>22</v>
      </c>
      <c r="P645" s="16" t="s">
        <v>24</v>
      </c>
      <c r="Q645" s="10" t="s">
        <v>591</v>
      </c>
      <c r="R645" s="3" t="str">
        <f t="shared" si="20"/>
        <v>131</v>
      </c>
      <c r="S645" s="3" t="str">
        <f t="shared" si="21"/>
        <v>81</v>
      </c>
      <c r="T645" s="16" t="s">
        <v>29</v>
      </c>
      <c r="U645" s="3">
        <v>15.13</v>
      </c>
      <c r="V645" s="16" t="str">
        <f>PROPER(Table1[[#This Row],[CVD Risk Level]])</f>
        <v>Intermediary</v>
      </c>
    </row>
    <row r="646" spans="1:22" x14ac:dyDescent="0.3">
      <c r="A646" t="s">
        <v>31</v>
      </c>
      <c r="B646" s="8">
        <v>47</v>
      </c>
      <c r="C646" s="8">
        <v>77.5</v>
      </c>
      <c r="D646" s="5">
        <v>1.75</v>
      </c>
      <c r="E646" s="5">
        <v>25.3</v>
      </c>
      <c r="F646" s="16" t="s">
        <v>1303</v>
      </c>
      <c r="G646" s="11">
        <v>0.4925714285714286</v>
      </c>
      <c r="H646" s="5">
        <v>86.2</v>
      </c>
      <c r="I646" s="8">
        <v>66</v>
      </c>
      <c r="J646" s="8">
        <v>33</v>
      </c>
      <c r="K646" s="8">
        <v>129</v>
      </c>
      <c r="L646" s="8">
        <v>119</v>
      </c>
      <c r="M646" t="s">
        <v>1306</v>
      </c>
      <c r="N646" s="16" t="s">
        <v>23</v>
      </c>
      <c r="O646" s="16" t="s">
        <v>23</v>
      </c>
      <c r="P646" s="16" t="s">
        <v>28</v>
      </c>
      <c r="Q646" s="10" t="s">
        <v>296</v>
      </c>
      <c r="R646" s="3" t="str">
        <f t="shared" si="20"/>
        <v>139</v>
      </c>
      <c r="S646" s="3" t="str">
        <f t="shared" si="21"/>
        <v>81</v>
      </c>
      <c r="T646" s="16" t="s">
        <v>29</v>
      </c>
      <c r="U646" s="3">
        <v>16.59</v>
      </c>
      <c r="V646" s="16" t="str">
        <f>PROPER(Table1[[#This Row],[CVD Risk Level]])</f>
        <v>High</v>
      </c>
    </row>
    <row r="647" spans="1:22" x14ac:dyDescent="0.3">
      <c r="A647" t="s">
        <v>20</v>
      </c>
      <c r="B647" s="8">
        <v>51</v>
      </c>
      <c r="C647" s="8">
        <v>58.1</v>
      </c>
      <c r="D647" s="5">
        <v>1.71</v>
      </c>
      <c r="E647" s="5">
        <v>19.899999999999999</v>
      </c>
      <c r="F647" s="16" t="s">
        <v>33</v>
      </c>
      <c r="G647" s="11">
        <v>0.57799999999999996</v>
      </c>
      <c r="H647" s="5">
        <v>98.9</v>
      </c>
      <c r="I647" s="8">
        <v>64</v>
      </c>
      <c r="J647" s="8">
        <v>132</v>
      </c>
      <c r="K647" s="8">
        <v>226</v>
      </c>
      <c r="L647" s="8">
        <v>99</v>
      </c>
      <c r="M647" t="s">
        <v>33</v>
      </c>
      <c r="N647" s="16" t="s">
        <v>23</v>
      </c>
      <c r="O647" s="16" t="s">
        <v>22</v>
      </c>
      <c r="P647" s="16" t="s">
        <v>28</v>
      </c>
      <c r="Q647" s="10" t="s">
        <v>592</v>
      </c>
      <c r="R647" s="3" t="str">
        <f t="shared" si="20"/>
        <v>98</v>
      </c>
      <c r="S647" s="3" t="str">
        <f t="shared" si="21"/>
        <v>83</v>
      </c>
      <c r="T647" s="16" t="s">
        <v>29</v>
      </c>
      <c r="U647" s="3">
        <v>13.4</v>
      </c>
      <c r="V647" s="16" t="str">
        <f>PROPER(Table1[[#This Row],[CVD Risk Level]])</f>
        <v>Intermediary</v>
      </c>
    </row>
    <row r="648" spans="1:22" x14ac:dyDescent="0.3">
      <c r="A648" t="s">
        <v>20</v>
      </c>
      <c r="B648" s="8">
        <v>47</v>
      </c>
      <c r="C648" s="8">
        <v>97.2</v>
      </c>
      <c r="D648" s="5">
        <v>1.81</v>
      </c>
      <c r="E648" s="5">
        <v>29.7</v>
      </c>
      <c r="F648" s="16" t="s">
        <v>1303</v>
      </c>
      <c r="G648" s="11">
        <v>0.41299999999999998</v>
      </c>
      <c r="H648" s="5">
        <v>74.8</v>
      </c>
      <c r="I648" s="8">
        <v>39</v>
      </c>
      <c r="J648" s="8">
        <v>68</v>
      </c>
      <c r="K648" s="8">
        <v>137</v>
      </c>
      <c r="L648" s="8">
        <v>113</v>
      </c>
      <c r="M648" t="s">
        <v>1306</v>
      </c>
      <c r="N648" s="16" t="s">
        <v>22</v>
      </c>
      <c r="O648" s="16" t="s">
        <v>22</v>
      </c>
      <c r="P648" s="16" t="s">
        <v>37</v>
      </c>
      <c r="Q648" s="10" t="s">
        <v>253</v>
      </c>
      <c r="R648" s="3" t="str">
        <f t="shared" si="20"/>
        <v>131</v>
      </c>
      <c r="S648" s="3" t="str">
        <f t="shared" si="21"/>
        <v>95</v>
      </c>
      <c r="T648" s="16" t="s">
        <v>29</v>
      </c>
      <c r="U648" s="3">
        <v>15.23</v>
      </c>
      <c r="V648" s="16" t="str">
        <f>PROPER(Table1[[#This Row],[CVD Risk Level]])</f>
        <v>Intermediary</v>
      </c>
    </row>
    <row r="649" spans="1:22" x14ac:dyDescent="0.3">
      <c r="A649" t="s">
        <v>20</v>
      </c>
      <c r="B649" s="8">
        <v>33</v>
      </c>
      <c r="C649" s="8">
        <v>63.2</v>
      </c>
      <c r="D649" s="5">
        <v>1.65</v>
      </c>
      <c r="E649" s="5">
        <v>23.21395775941231</v>
      </c>
      <c r="F649" s="16" t="s">
        <v>33</v>
      </c>
      <c r="G649" s="11">
        <v>0.59499999999999997</v>
      </c>
      <c r="H649" s="5">
        <v>98.2</v>
      </c>
      <c r="I649" s="8">
        <v>56.197377501725327</v>
      </c>
      <c r="J649" s="8">
        <v>212</v>
      </c>
      <c r="K649" s="8">
        <v>286</v>
      </c>
      <c r="L649" s="8">
        <v>128</v>
      </c>
      <c r="M649" t="s">
        <v>1307</v>
      </c>
      <c r="N649" s="16" t="s">
        <v>22</v>
      </c>
      <c r="O649" s="16" t="s">
        <v>22</v>
      </c>
      <c r="P649" s="16" t="s">
        <v>24</v>
      </c>
      <c r="Q649" s="10" t="s">
        <v>320</v>
      </c>
      <c r="R649" s="3" t="str">
        <f t="shared" si="20"/>
        <v>131</v>
      </c>
      <c r="S649" s="3" t="str">
        <f t="shared" si="21"/>
        <v>67</v>
      </c>
      <c r="T649" s="16" t="s">
        <v>29</v>
      </c>
      <c r="U649" s="3">
        <v>16.91</v>
      </c>
      <c r="V649" s="16" t="str">
        <f>PROPER(Table1[[#This Row],[CVD Risk Level]])</f>
        <v>Intermediary</v>
      </c>
    </row>
    <row r="650" spans="1:22" x14ac:dyDescent="0.3">
      <c r="A650" t="s">
        <v>20</v>
      </c>
      <c r="B650" s="8">
        <v>44</v>
      </c>
      <c r="C650" s="8">
        <v>66</v>
      </c>
      <c r="D650" s="5">
        <v>1.69</v>
      </c>
      <c r="E650" s="5">
        <v>23.1</v>
      </c>
      <c r="F650" s="16" t="s">
        <v>33</v>
      </c>
      <c r="G650" s="11">
        <v>0.54</v>
      </c>
      <c r="H650" s="5">
        <v>91.2</v>
      </c>
      <c r="I650" s="8">
        <v>50</v>
      </c>
      <c r="J650" s="8">
        <v>46</v>
      </c>
      <c r="K650" s="8">
        <v>126</v>
      </c>
      <c r="L650" s="8">
        <v>79</v>
      </c>
      <c r="M650" t="s">
        <v>33</v>
      </c>
      <c r="N650" s="16" t="s">
        <v>22</v>
      </c>
      <c r="O650" s="16" t="s">
        <v>23</v>
      </c>
      <c r="P650" s="16" t="s">
        <v>28</v>
      </c>
      <c r="Q650" s="10" t="s">
        <v>340</v>
      </c>
      <c r="R650" s="3" t="str">
        <f t="shared" si="20"/>
        <v>123</v>
      </c>
      <c r="S650" s="3" t="str">
        <f t="shared" si="21"/>
        <v>89</v>
      </c>
      <c r="T650" s="16" t="s">
        <v>29</v>
      </c>
      <c r="U650" s="3">
        <v>15.29</v>
      </c>
      <c r="V650" s="16" t="str">
        <f>PROPER(Table1[[#This Row],[CVD Risk Level]])</f>
        <v>Intermediary</v>
      </c>
    </row>
    <row r="651" spans="1:22" x14ac:dyDescent="0.3">
      <c r="A651" t="s">
        <v>31</v>
      </c>
      <c r="B651" s="8">
        <v>45</v>
      </c>
      <c r="C651" s="8">
        <v>117.2</v>
      </c>
      <c r="D651" s="5">
        <v>1.87</v>
      </c>
      <c r="E651" s="5">
        <v>33.5</v>
      </c>
      <c r="F651" s="16" t="s">
        <v>1302</v>
      </c>
      <c r="G651" s="11">
        <v>0.54900000000000004</v>
      </c>
      <c r="H651" s="5">
        <v>102.7</v>
      </c>
      <c r="I651" s="8">
        <v>74</v>
      </c>
      <c r="J651" s="8">
        <v>39</v>
      </c>
      <c r="K651" s="8">
        <v>143</v>
      </c>
      <c r="L651" s="8">
        <v>86</v>
      </c>
      <c r="M651" t="s">
        <v>33</v>
      </c>
      <c r="N651" s="16" t="s">
        <v>22</v>
      </c>
      <c r="O651" s="16" t="s">
        <v>23</v>
      </c>
      <c r="P651" s="16" t="s">
        <v>28</v>
      </c>
      <c r="Q651" s="10" t="s">
        <v>593</v>
      </c>
      <c r="R651" s="3" t="str">
        <f t="shared" si="20"/>
        <v>147</v>
      </c>
      <c r="S651" s="3" t="str">
        <f t="shared" si="21"/>
        <v>77</v>
      </c>
      <c r="T651" s="16" t="s">
        <v>38</v>
      </c>
      <c r="U651" s="3">
        <v>18.91</v>
      </c>
      <c r="V651" s="16" t="str">
        <f>PROPER(Table1[[#This Row],[CVD Risk Level]])</f>
        <v>Intermediary</v>
      </c>
    </row>
    <row r="652" spans="1:22" x14ac:dyDescent="0.3">
      <c r="A652" t="s">
        <v>31</v>
      </c>
      <c r="B652" s="8">
        <v>36</v>
      </c>
      <c r="C652" s="8">
        <v>52.8</v>
      </c>
      <c r="D652" s="5">
        <v>1.64</v>
      </c>
      <c r="E652" s="5">
        <v>19.600000000000001</v>
      </c>
      <c r="F652" s="16" t="s">
        <v>33</v>
      </c>
      <c r="G652" s="11">
        <v>0.45200000000000001</v>
      </c>
      <c r="H652" s="5">
        <v>74.2</v>
      </c>
      <c r="I652" s="8">
        <v>76</v>
      </c>
      <c r="J652" s="8">
        <v>119</v>
      </c>
      <c r="K652" s="8">
        <v>225</v>
      </c>
      <c r="L652" s="8">
        <v>86</v>
      </c>
      <c r="M652" t="s">
        <v>33</v>
      </c>
      <c r="N652" s="16" t="s">
        <v>22</v>
      </c>
      <c r="O652" s="16" t="s">
        <v>22</v>
      </c>
      <c r="P652" s="16" t="s">
        <v>24</v>
      </c>
      <c r="Q652" s="10" t="s">
        <v>594</v>
      </c>
      <c r="R652" s="3" t="str">
        <f t="shared" si="20"/>
        <v>139</v>
      </c>
      <c r="S652" s="3" t="str">
        <f t="shared" si="21"/>
        <v>78</v>
      </c>
      <c r="T652" s="16" t="s">
        <v>29</v>
      </c>
      <c r="U652" s="3">
        <v>15.37</v>
      </c>
      <c r="V652" s="16" t="str">
        <f>PROPER(Table1[[#This Row],[CVD Risk Level]])</f>
        <v>Intermediary</v>
      </c>
    </row>
    <row r="653" spans="1:22" x14ac:dyDescent="0.3">
      <c r="A653" t="s">
        <v>20</v>
      </c>
      <c r="B653" s="8">
        <v>41</v>
      </c>
      <c r="C653" s="8">
        <v>104.3</v>
      </c>
      <c r="D653" s="5">
        <v>1.86</v>
      </c>
      <c r="E653" s="5">
        <v>30.1</v>
      </c>
      <c r="F653" s="16" t="s">
        <v>1302</v>
      </c>
      <c r="G653" s="11">
        <v>0.45300000000000001</v>
      </c>
      <c r="H653" s="5">
        <v>84.3</v>
      </c>
      <c r="I653" s="8">
        <v>64</v>
      </c>
      <c r="J653" s="8">
        <v>109</v>
      </c>
      <c r="K653" s="8">
        <v>346</v>
      </c>
      <c r="L653" s="8">
        <v>119</v>
      </c>
      <c r="M653" t="s">
        <v>1306</v>
      </c>
      <c r="N653" s="16" t="s">
        <v>22</v>
      </c>
      <c r="O653" s="16" t="s">
        <v>22</v>
      </c>
      <c r="P653" s="16" t="s">
        <v>37</v>
      </c>
      <c r="Q653" s="10" t="s">
        <v>348</v>
      </c>
      <c r="R653" s="3" t="str">
        <f t="shared" si="20"/>
        <v>125</v>
      </c>
      <c r="S653" s="3" t="str">
        <f t="shared" si="21"/>
        <v>61</v>
      </c>
      <c r="T653" s="16" t="s">
        <v>25</v>
      </c>
      <c r="U653" s="3">
        <v>17.71</v>
      </c>
      <c r="V653" s="16" t="str">
        <f>PROPER(Table1[[#This Row],[CVD Risk Level]])</f>
        <v>Intermediary</v>
      </c>
    </row>
    <row r="654" spans="1:22" x14ac:dyDescent="0.3">
      <c r="A654" t="s">
        <v>20</v>
      </c>
      <c r="B654" s="8">
        <v>37</v>
      </c>
      <c r="C654" s="8">
        <v>100</v>
      </c>
      <c r="D654" s="5">
        <v>1.75</v>
      </c>
      <c r="E654" s="5">
        <v>32.653061224489797</v>
      </c>
      <c r="F654" s="16" t="s">
        <v>1302</v>
      </c>
      <c r="G654" s="11">
        <v>0.52342857142857135</v>
      </c>
      <c r="H654" s="5">
        <v>91.6</v>
      </c>
      <c r="I654" s="8">
        <v>36</v>
      </c>
      <c r="J654" s="8">
        <v>62</v>
      </c>
      <c r="K654" s="8">
        <v>128</v>
      </c>
      <c r="L654" s="8">
        <v>131</v>
      </c>
      <c r="M654" t="s">
        <v>1307</v>
      </c>
      <c r="N654" s="16" t="s">
        <v>22</v>
      </c>
      <c r="O654" s="16" t="s">
        <v>23</v>
      </c>
      <c r="P654" s="16" t="s">
        <v>37</v>
      </c>
      <c r="Q654" s="10" t="s">
        <v>595</v>
      </c>
      <c r="R654" s="3" t="str">
        <f t="shared" si="20"/>
        <v>131</v>
      </c>
      <c r="S654" s="3" t="str">
        <f t="shared" si="21"/>
        <v>100</v>
      </c>
      <c r="T654" s="16" t="s">
        <v>29</v>
      </c>
      <c r="U654" s="3">
        <v>17.649999999999999</v>
      </c>
      <c r="V654" s="16" t="str">
        <f>PROPER(Table1[[#This Row],[CVD Risk Level]])</f>
        <v>High</v>
      </c>
    </row>
    <row r="655" spans="1:22" x14ac:dyDescent="0.3">
      <c r="A655" t="s">
        <v>20</v>
      </c>
      <c r="B655" s="8">
        <v>58</v>
      </c>
      <c r="C655" s="8">
        <v>51.6</v>
      </c>
      <c r="D655" s="5">
        <v>1.73</v>
      </c>
      <c r="E655" s="5">
        <v>17.2</v>
      </c>
      <c r="F655" s="16" t="s">
        <v>1304</v>
      </c>
      <c r="G655" s="11">
        <v>0.46100000000000002</v>
      </c>
      <c r="H655" s="5">
        <v>79.7</v>
      </c>
      <c r="I655" s="8">
        <v>71</v>
      </c>
      <c r="J655" s="8">
        <v>50</v>
      </c>
      <c r="K655" s="8">
        <v>151</v>
      </c>
      <c r="L655" s="8">
        <v>88</v>
      </c>
      <c r="M655" t="s">
        <v>33</v>
      </c>
      <c r="N655" s="16" t="s">
        <v>23</v>
      </c>
      <c r="O655" s="16" t="s">
        <v>22</v>
      </c>
      <c r="P655" s="16" t="s">
        <v>28</v>
      </c>
      <c r="Q655" s="10" t="s">
        <v>596</v>
      </c>
      <c r="R655" s="3" t="str">
        <f t="shared" si="20"/>
        <v>103</v>
      </c>
      <c r="S655" s="3" t="str">
        <f t="shared" si="21"/>
        <v>83</v>
      </c>
      <c r="T655" s="16" t="s">
        <v>29</v>
      </c>
      <c r="U655" s="3">
        <v>11.61</v>
      </c>
      <c r="V655" s="16" t="str">
        <f>PROPER(Table1[[#This Row],[CVD Risk Level]])</f>
        <v>Intermediary</v>
      </c>
    </row>
    <row r="656" spans="1:22" x14ac:dyDescent="0.3">
      <c r="A656" t="s">
        <v>20</v>
      </c>
      <c r="B656" s="8">
        <v>38</v>
      </c>
      <c r="C656" s="8">
        <v>58.6</v>
      </c>
      <c r="D656" s="5">
        <v>1.72</v>
      </c>
      <c r="E656" s="5">
        <v>19.8</v>
      </c>
      <c r="F656" s="16" t="s">
        <v>33</v>
      </c>
      <c r="G656" s="11">
        <v>0.59299999999999997</v>
      </c>
      <c r="H656" s="5">
        <v>102</v>
      </c>
      <c r="I656" s="8">
        <v>78</v>
      </c>
      <c r="J656" s="8">
        <v>109</v>
      </c>
      <c r="K656" s="8">
        <v>102</v>
      </c>
      <c r="L656" s="8">
        <v>141</v>
      </c>
      <c r="M656" t="s">
        <v>1307</v>
      </c>
      <c r="N656" s="16" t="s">
        <v>22</v>
      </c>
      <c r="O656" s="16" t="s">
        <v>22</v>
      </c>
      <c r="P656" s="16" t="s">
        <v>28</v>
      </c>
      <c r="Q656" s="10" t="s">
        <v>597</v>
      </c>
      <c r="R656" s="3" t="str">
        <f t="shared" si="20"/>
        <v>117</v>
      </c>
      <c r="S656" s="3" t="str">
        <f t="shared" si="21"/>
        <v>92</v>
      </c>
      <c r="T656" s="16" t="s">
        <v>38</v>
      </c>
      <c r="U656" s="3">
        <v>16.960925291295425</v>
      </c>
      <c r="V656" s="16" t="str">
        <f>PROPER(Table1[[#This Row],[CVD Risk Level]])</f>
        <v>Low</v>
      </c>
    </row>
    <row r="657" spans="1:22" x14ac:dyDescent="0.3">
      <c r="A657" t="s">
        <v>31</v>
      </c>
      <c r="B657" s="8">
        <v>47.025499655410059</v>
      </c>
      <c r="C657" s="8">
        <v>117.8</v>
      </c>
      <c r="D657" s="5">
        <v>1.8</v>
      </c>
      <c r="E657" s="5">
        <v>36.4</v>
      </c>
      <c r="F657" s="16" t="s">
        <v>1302</v>
      </c>
      <c r="G657" s="11">
        <v>0.52800000000000002</v>
      </c>
      <c r="H657" s="5">
        <v>95</v>
      </c>
      <c r="I657" s="8">
        <v>41</v>
      </c>
      <c r="J657" s="8">
        <v>227</v>
      </c>
      <c r="K657" s="8">
        <v>298</v>
      </c>
      <c r="L657" s="8">
        <v>149</v>
      </c>
      <c r="M657" t="s">
        <v>1307</v>
      </c>
      <c r="N657" s="16" t="s">
        <v>22</v>
      </c>
      <c r="O657" s="16" t="s">
        <v>23</v>
      </c>
      <c r="P657" s="16" t="s">
        <v>24</v>
      </c>
      <c r="Q657" s="10" t="s">
        <v>72</v>
      </c>
      <c r="R657" s="3" t="str">
        <f t="shared" si="20"/>
        <v>130</v>
      </c>
      <c r="S657" s="3" t="str">
        <f t="shared" si="21"/>
        <v>75</v>
      </c>
      <c r="T657" s="16" t="s">
        <v>29</v>
      </c>
      <c r="U657" s="3">
        <v>21.74</v>
      </c>
      <c r="V657" s="16" t="str">
        <f>PROPER(Table1[[#This Row],[CVD Risk Level]])</f>
        <v>High</v>
      </c>
    </row>
    <row r="658" spans="1:22" x14ac:dyDescent="0.3">
      <c r="A658" t="s">
        <v>20</v>
      </c>
      <c r="B658" s="8">
        <v>56</v>
      </c>
      <c r="C658" s="8">
        <v>110</v>
      </c>
      <c r="D658" s="5">
        <v>1.89</v>
      </c>
      <c r="E658" s="5">
        <v>30.8</v>
      </c>
      <c r="F658" s="16" t="s">
        <v>1302</v>
      </c>
      <c r="G658" s="11">
        <v>0.51300000000000001</v>
      </c>
      <c r="H658" s="5">
        <v>97</v>
      </c>
      <c r="I658" s="8">
        <v>44</v>
      </c>
      <c r="J658" s="8">
        <v>190</v>
      </c>
      <c r="K658" s="8">
        <v>264</v>
      </c>
      <c r="L658" s="8">
        <v>108</v>
      </c>
      <c r="M658" t="s">
        <v>1306</v>
      </c>
      <c r="N658" s="16" t="s">
        <v>22</v>
      </c>
      <c r="O658" s="16" t="s">
        <v>23</v>
      </c>
      <c r="P658" s="16" t="s">
        <v>37</v>
      </c>
      <c r="Q658" s="10" t="s">
        <v>185</v>
      </c>
      <c r="R658" s="3" t="str">
        <f t="shared" si="20"/>
        <v>97</v>
      </c>
      <c r="S658" s="3" t="str">
        <f t="shared" si="21"/>
        <v>79</v>
      </c>
      <c r="T658" s="16" t="s">
        <v>33</v>
      </c>
      <c r="U658" s="3">
        <v>18.29</v>
      </c>
      <c r="V658" s="16" t="str">
        <f>PROPER(Table1[[#This Row],[CVD Risk Level]])</f>
        <v>High</v>
      </c>
    </row>
    <row r="659" spans="1:22" x14ac:dyDescent="0.3">
      <c r="A659" t="s">
        <v>20</v>
      </c>
      <c r="B659" s="8">
        <v>34</v>
      </c>
      <c r="C659" s="8">
        <v>66.8</v>
      </c>
      <c r="D659" s="5">
        <v>1.71</v>
      </c>
      <c r="E659" s="5">
        <v>22.8</v>
      </c>
      <c r="F659" s="16" t="s">
        <v>33</v>
      </c>
      <c r="G659" s="11">
        <v>0.51300000000000001</v>
      </c>
      <c r="H659" s="5">
        <v>87.7</v>
      </c>
      <c r="I659" s="8">
        <v>58</v>
      </c>
      <c r="J659" s="8">
        <v>147</v>
      </c>
      <c r="K659" s="8">
        <v>235</v>
      </c>
      <c r="L659" s="8">
        <v>85</v>
      </c>
      <c r="M659" t="s">
        <v>33</v>
      </c>
      <c r="N659" s="16" t="s">
        <v>22</v>
      </c>
      <c r="O659" s="16" t="s">
        <v>23</v>
      </c>
      <c r="P659" s="16" t="s">
        <v>24</v>
      </c>
      <c r="Q659" s="10" t="s">
        <v>541</v>
      </c>
      <c r="R659" s="3" t="str">
        <f t="shared" si="20"/>
        <v>120</v>
      </c>
      <c r="S659" s="3" t="str">
        <f t="shared" si="21"/>
        <v>100</v>
      </c>
      <c r="T659" s="16" t="s">
        <v>38</v>
      </c>
      <c r="U659" s="3">
        <v>17.260000000000002</v>
      </c>
      <c r="V659" s="16" t="str">
        <f>PROPER(Table1[[#This Row],[CVD Risk Level]])</f>
        <v>High</v>
      </c>
    </row>
    <row r="660" spans="1:22" x14ac:dyDescent="0.3">
      <c r="A660" t="s">
        <v>20</v>
      </c>
      <c r="B660" s="8">
        <v>59</v>
      </c>
      <c r="C660" s="8">
        <v>60.6</v>
      </c>
      <c r="D660" s="5">
        <v>1.75</v>
      </c>
      <c r="E660" s="5">
        <v>19.8</v>
      </c>
      <c r="F660" s="16" t="s">
        <v>33</v>
      </c>
      <c r="G660" s="11">
        <v>0.44600000000000001</v>
      </c>
      <c r="H660" s="5">
        <v>78.099999999999994</v>
      </c>
      <c r="I660" s="8">
        <v>58</v>
      </c>
      <c r="J660" s="8">
        <v>65</v>
      </c>
      <c r="K660" s="8">
        <v>153</v>
      </c>
      <c r="L660" s="8">
        <v>144</v>
      </c>
      <c r="M660" t="s">
        <v>1307</v>
      </c>
      <c r="N660" s="16" t="s">
        <v>22</v>
      </c>
      <c r="O660" s="16" t="s">
        <v>23</v>
      </c>
      <c r="P660" s="16" t="s">
        <v>24</v>
      </c>
      <c r="Q660" s="10" t="s">
        <v>598</v>
      </c>
      <c r="R660" s="3" t="str">
        <f t="shared" si="20"/>
        <v>130</v>
      </c>
      <c r="S660" s="3" t="str">
        <f t="shared" si="21"/>
        <v>98</v>
      </c>
      <c r="T660" s="16" t="s">
        <v>29</v>
      </c>
      <c r="U660" s="3">
        <v>15.52</v>
      </c>
      <c r="V660" s="16" t="str">
        <f>PROPER(Table1[[#This Row],[CVD Risk Level]])</f>
        <v>High</v>
      </c>
    </row>
    <row r="661" spans="1:22" x14ac:dyDescent="0.3">
      <c r="A661" t="s">
        <v>31</v>
      </c>
      <c r="B661" s="8">
        <v>58</v>
      </c>
      <c r="C661" s="8">
        <v>109.5</v>
      </c>
      <c r="D661" s="5">
        <v>1.79</v>
      </c>
      <c r="E661" s="5">
        <v>34.200000000000003</v>
      </c>
      <c r="F661" s="16" t="s">
        <v>1302</v>
      </c>
      <c r="G661" s="11">
        <v>0.57799999999999996</v>
      </c>
      <c r="H661" s="5">
        <v>103.4</v>
      </c>
      <c r="I661" s="8">
        <v>56.197377501725327</v>
      </c>
      <c r="J661" s="8">
        <v>31</v>
      </c>
      <c r="K661" s="8">
        <v>109</v>
      </c>
      <c r="L661" s="8">
        <v>92</v>
      </c>
      <c r="M661" t="s">
        <v>33</v>
      </c>
      <c r="N661" s="16" t="s">
        <v>23</v>
      </c>
      <c r="O661" s="16" t="s">
        <v>23</v>
      </c>
      <c r="P661" s="16" t="s">
        <v>28</v>
      </c>
      <c r="Q661" s="10" t="s">
        <v>364</v>
      </c>
      <c r="R661" s="3" t="str">
        <f t="shared" si="20"/>
        <v>117</v>
      </c>
      <c r="S661" s="3" t="str">
        <f t="shared" si="21"/>
        <v>81</v>
      </c>
      <c r="T661" s="16" t="s">
        <v>29</v>
      </c>
      <c r="U661" s="3">
        <v>16.87</v>
      </c>
      <c r="V661" s="16" t="str">
        <f>PROPER(Table1[[#This Row],[CVD Risk Level]])</f>
        <v>High</v>
      </c>
    </row>
    <row r="662" spans="1:22" x14ac:dyDescent="0.3">
      <c r="A662" t="s">
        <v>20</v>
      </c>
      <c r="B662" s="8">
        <v>51</v>
      </c>
      <c r="C662" s="8">
        <v>112.1</v>
      </c>
      <c r="D662" s="5">
        <v>1.81</v>
      </c>
      <c r="E662" s="5">
        <v>34.200000000000003</v>
      </c>
      <c r="F662" s="16" t="s">
        <v>1302</v>
      </c>
      <c r="G662" s="11">
        <v>0.55400000000000005</v>
      </c>
      <c r="H662" s="5">
        <v>100.2</v>
      </c>
      <c r="I662" s="8">
        <v>43</v>
      </c>
      <c r="J662" s="8">
        <v>216</v>
      </c>
      <c r="K662" s="8">
        <v>289</v>
      </c>
      <c r="L662" s="8">
        <v>117.48563611491107</v>
      </c>
      <c r="M662" t="s">
        <v>1306</v>
      </c>
      <c r="N662" s="16" t="s">
        <v>22</v>
      </c>
      <c r="O662" s="16" t="s">
        <v>22</v>
      </c>
      <c r="P662" s="16" t="s">
        <v>37</v>
      </c>
      <c r="Q662" s="10" t="s">
        <v>599</v>
      </c>
      <c r="R662" s="3" t="str">
        <f t="shared" si="20"/>
        <v>103</v>
      </c>
      <c r="S662" s="3" t="str">
        <f t="shared" si="21"/>
        <v>85</v>
      </c>
      <c r="T662" s="16" t="s">
        <v>29</v>
      </c>
      <c r="U662" s="3">
        <v>17.77</v>
      </c>
      <c r="V662" s="16" t="str">
        <f>PROPER(Table1[[#This Row],[CVD Risk Level]])</f>
        <v>Intermediary</v>
      </c>
    </row>
    <row r="663" spans="1:22" x14ac:dyDescent="0.3">
      <c r="A663" t="s">
        <v>31</v>
      </c>
      <c r="B663" s="8">
        <v>41</v>
      </c>
      <c r="C663" s="8">
        <v>59.2</v>
      </c>
      <c r="D663" s="5">
        <v>1.65</v>
      </c>
      <c r="E663" s="5">
        <v>21.74471992653811</v>
      </c>
      <c r="F663" s="16" t="s">
        <v>33</v>
      </c>
      <c r="G663" s="11">
        <v>0.54800000000000004</v>
      </c>
      <c r="H663" s="5">
        <v>90.4</v>
      </c>
      <c r="I663" s="8">
        <v>56</v>
      </c>
      <c r="J663" s="8">
        <v>28</v>
      </c>
      <c r="K663" s="8">
        <v>114</v>
      </c>
      <c r="L663" s="8">
        <v>134</v>
      </c>
      <c r="M663" t="s">
        <v>1307</v>
      </c>
      <c r="N663" s="16" t="s">
        <v>23</v>
      </c>
      <c r="O663" s="16" t="s">
        <v>22</v>
      </c>
      <c r="P663" s="16" t="s">
        <v>28</v>
      </c>
      <c r="Q663" s="10" t="s">
        <v>600</v>
      </c>
      <c r="R663" s="3" t="str">
        <f t="shared" si="20"/>
        <v>150</v>
      </c>
      <c r="S663" s="3" t="str">
        <f t="shared" si="21"/>
        <v>98</v>
      </c>
      <c r="T663" s="16" t="s">
        <v>38</v>
      </c>
      <c r="U663" s="3">
        <v>14.12</v>
      </c>
      <c r="V663" s="16" t="str">
        <f>PROPER(Table1[[#This Row],[CVD Risk Level]])</f>
        <v>Intermediary</v>
      </c>
    </row>
    <row r="664" spans="1:22" x14ac:dyDescent="0.3">
      <c r="A664" t="s">
        <v>20</v>
      </c>
      <c r="B664" s="8">
        <v>32</v>
      </c>
      <c r="C664" s="8">
        <v>73.3</v>
      </c>
      <c r="D664" s="5">
        <v>1.61</v>
      </c>
      <c r="E664" s="5">
        <v>28.3</v>
      </c>
      <c r="F664" s="16" t="s">
        <v>1303</v>
      </c>
      <c r="G664" s="11">
        <v>0.62857142857142856</v>
      </c>
      <c r="H664" s="5">
        <v>101.2</v>
      </c>
      <c r="I664" s="8">
        <v>78</v>
      </c>
      <c r="J664" s="8">
        <v>152</v>
      </c>
      <c r="K664" s="8">
        <v>260</v>
      </c>
      <c r="L664" s="8">
        <v>74</v>
      </c>
      <c r="M664" t="s">
        <v>33</v>
      </c>
      <c r="N664" s="16" t="s">
        <v>22</v>
      </c>
      <c r="O664" s="16" t="s">
        <v>23</v>
      </c>
      <c r="P664" s="16" t="s">
        <v>37</v>
      </c>
      <c r="Q664" s="10" t="s">
        <v>69</v>
      </c>
      <c r="R664" s="3" t="str">
        <f t="shared" si="20"/>
        <v>136</v>
      </c>
      <c r="S664" s="3" t="str">
        <f t="shared" si="21"/>
        <v>80</v>
      </c>
      <c r="T664" s="16" t="s">
        <v>29</v>
      </c>
      <c r="U664" s="3">
        <v>19.66</v>
      </c>
      <c r="V664" s="16" t="str">
        <f>PROPER(Table1[[#This Row],[CVD Risk Level]])</f>
        <v>Intermediary</v>
      </c>
    </row>
    <row r="665" spans="1:22" x14ac:dyDescent="0.3">
      <c r="A665" t="s">
        <v>31</v>
      </c>
      <c r="B665" s="8">
        <v>41</v>
      </c>
      <c r="C665" s="8">
        <v>110.9</v>
      </c>
      <c r="D665" s="5">
        <v>1.74</v>
      </c>
      <c r="E665" s="5">
        <v>36.6</v>
      </c>
      <c r="F665" s="16" t="s">
        <v>1302</v>
      </c>
      <c r="G665" s="11">
        <v>0.53300000000000003</v>
      </c>
      <c r="H665" s="5">
        <v>92.8</v>
      </c>
      <c r="I665" s="8">
        <v>70</v>
      </c>
      <c r="J665" s="8">
        <v>25</v>
      </c>
      <c r="K665" s="8">
        <v>125</v>
      </c>
      <c r="L665" s="8">
        <v>85</v>
      </c>
      <c r="M665" t="s">
        <v>33</v>
      </c>
      <c r="N665" s="16" t="s">
        <v>23</v>
      </c>
      <c r="O665" s="16" t="s">
        <v>23</v>
      </c>
      <c r="P665" s="16" t="s">
        <v>24</v>
      </c>
      <c r="Q665" s="10" t="s">
        <v>601</v>
      </c>
      <c r="R665" s="3" t="str">
        <f t="shared" si="20"/>
        <v>114</v>
      </c>
      <c r="S665" s="3" t="str">
        <f t="shared" si="21"/>
        <v>89</v>
      </c>
      <c r="T665" s="16" t="s">
        <v>29</v>
      </c>
      <c r="U665" s="3">
        <v>17.52</v>
      </c>
      <c r="V665" s="16" t="str">
        <f>PROPER(Table1[[#This Row],[CVD Risk Level]])</f>
        <v>High</v>
      </c>
    </row>
    <row r="666" spans="1:22" x14ac:dyDescent="0.3">
      <c r="A666" t="s">
        <v>20</v>
      </c>
      <c r="B666" s="8">
        <v>35</v>
      </c>
      <c r="C666" s="8">
        <v>50.1</v>
      </c>
      <c r="D666" s="5">
        <v>1.8</v>
      </c>
      <c r="E666" s="5">
        <v>15.5</v>
      </c>
      <c r="F666" s="16" t="s">
        <v>1304</v>
      </c>
      <c r="G666" s="11">
        <v>0.49399999999999999</v>
      </c>
      <c r="H666" s="5">
        <v>89</v>
      </c>
      <c r="I666" s="8">
        <v>54</v>
      </c>
      <c r="J666" s="8">
        <v>178</v>
      </c>
      <c r="K666" s="8">
        <v>262</v>
      </c>
      <c r="L666" s="8">
        <v>121</v>
      </c>
      <c r="M666" t="s">
        <v>1306</v>
      </c>
      <c r="N666" s="16" t="s">
        <v>22</v>
      </c>
      <c r="O666" s="16" t="s">
        <v>22</v>
      </c>
      <c r="P666" s="16" t="s">
        <v>24</v>
      </c>
      <c r="Q666" s="10" t="s">
        <v>602</v>
      </c>
      <c r="R666" s="3" t="str">
        <f t="shared" si="20"/>
        <v>127</v>
      </c>
      <c r="S666" s="3" t="str">
        <f t="shared" si="21"/>
        <v>74</v>
      </c>
      <c r="T666" s="16" t="s">
        <v>25</v>
      </c>
      <c r="U666" s="3">
        <v>14.69</v>
      </c>
      <c r="V666" s="16" t="str">
        <f>PROPER(Table1[[#This Row],[CVD Risk Level]])</f>
        <v>Intermediary</v>
      </c>
    </row>
    <row r="667" spans="1:22" x14ac:dyDescent="0.3">
      <c r="A667" t="s">
        <v>31</v>
      </c>
      <c r="B667" s="8">
        <v>36</v>
      </c>
      <c r="C667" s="8">
        <v>58.7</v>
      </c>
      <c r="D667" s="5">
        <v>1.74</v>
      </c>
      <c r="E667" s="5">
        <v>19.388294358567844</v>
      </c>
      <c r="F667" s="16" t="s">
        <v>33</v>
      </c>
      <c r="G667" s="11">
        <v>0.56699999999999995</v>
      </c>
      <c r="H667" s="5">
        <v>98.7</v>
      </c>
      <c r="I667" s="8">
        <v>74</v>
      </c>
      <c r="J667" s="8">
        <v>55</v>
      </c>
      <c r="K667" s="8">
        <v>159</v>
      </c>
      <c r="L667" s="8">
        <v>139</v>
      </c>
      <c r="M667" t="s">
        <v>1307</v>
      </c>
      <c r="N667" s="16" t="s">
        <v>22</v>
      </c>
      <c r="O667" s="16" t="s">
        <v>23</v>
      </c>
      <c r="P667" s="16" t="s">
        <v>28</v>
      </c>
      <c r="Q667" s="10" t="s">
        <v>103</v>
      </c>
      <c r="R667" s="3" t="str">
        <f t="shared" si="20"/>
        <v>102</v>
      </c>
      <c r="S667" s="3" t="str">
        <f t="shared" si="21"/>
        <v>79</v>
      </c>
      <c r="T667" s="16" t="s">
        <v>33</v>
      </c>
      <c r="U667" s="3">
        <v>14.16</v>
      </c>
      <c r="V667" s="16" t="str">
        <f>PROPER(Table1[[#This Row],[CVD Risk Level]])</f>
        <v>Low</v>
      </c>
    </row>
    <row r="668" spans="1:22" x14ac:dyDescent="0.3">
      <c r="A668" t="s">
        <v>31</v>
      </c>
      <c r="B668" s="8">
        <v>53</v>
      </c>
      <c r="C668" s="8">
        <v>87.9</v>
      </c>
      <c r="D668" s="5">
        <v>1.75</v>
      </c>
      <c r="E668" s="5">
        <v>28.7</v>
      </c>
      <c r="F668" s="16" t="s">
        <v>1303</v>
      </c>
      <c r="G668" s="11">
        <v>0.51400000000000001</v>
      </c>
      <c r="H668" s="5">
        <v>89.9</v>
      </c>
      <c r="I668" s="8">
        <v>34</v>
      </c>
      <c r="J668" s="8">
        <v>166</v>
      </c>
      <c r="K668" s="8">
        <v>230</v>
      </c>
      <c r="L668" s="8">
        <v>112</v>
      </c>
      <c r="M668" t="s">
        <v>1306</v>
      </c>
      <c r="N668" s="16" t="s">
        <v>22</v>
      </c>
      <c r="O668" s="16" t="s">
        <v>22</v>
      </c>
      <c r="P668" s="16" t="s">
        <v>37</v>
      </c>
      <c r="Q668" s="10" t="s">
        <v>603</v>
      </c>
      <c r="R668" s="3" t="str">
        <f t="shared" si="20"/>
        <v>140</v>
      </c>
      <c r="S668" s="3" t="str">
        <f t="shared" si="21"/>
        <v>72</v>
      </c>
      <c r="T668" s="16" t="s">
        <v>38</v>
      </c>
      <c r="U668" s="3">
        <v>17.34</v>
      </c>
      <c r="V668" s="16" t="str">
        <f>PROPER(Table1[[#This Row],[CVD Risk Level]])</f>
        <v>High</v>
      </c>
    </row>
    <row r="669" spans="1:22" x14ac:dyDescent="0.3">
      <c r="A669" t="s">
        <v>31</v>
      </c>
      <c r="B669" s="8">
        <v>50</v>
      </c>
      <c r="C669" s="8">
        <v>52.1</v>
      </c>
      <c r="D669" s="5">
        <v>1.79</v>
      </c>
      <c r="E669" s="5">
        <v>16.3</v>
      </c>
      <c r="F669" s="16" t="s">
        <v>1304</v>
      </c>
      <c r="G669" s="11">
        <v>0.41199999999999998</v>
      </c>
      <c r="H669" s="5">
        <v>73.7</v>
      </c>
      <c r="I669" s="8">
        <v>54</v>
      </c>
      <c r="J669" s="8">
        <v>212</v>
      </c>
      <c r="K669" s="8">
        <v>296</v>
      </c>
      <c r="L669" s="8">
        <v>106</v>
      </c>
      <c r="M669" t="s">
        <v>1306</v>
      </c>
      <c r="N669" s="16" t="s">
        <v>23</v>
      </c>
      <c r="O669" s="16" t="s">
        <v>22</v>
      </c>
      <c r="P669" s="16" t="s">
        <v>24</v>
      </c>
      <c r="Q669" s="10" t="s">
        <v>573</v>
      </c>
      <c r="R669" s="3" t="str">
        <f t="shared" si="20"/>
        <v>118</v>
      </c>
      <c r="S669" s="3" t="str">
        <f t="shared" si="21"/>
        <v>97</v>
      </c>
      <c r="T669" s="16" t="s">
        <v>38</v>
      </c>
      <c r="U669" s="3">
        <v>15.08</v>
      </c>
      <c r="V669" s="16" t="str">
        <f>PROPER(Table1[[#This Row],[CVD Risk Level]])</f>
        <v>High</v>
      </c>
    </row>
    <row r="670" spans="1:22" x14ac:dyDescent="0.3">
      <c r="A670" t="s">
        <v>20</v>
      </c>
      <c r="B670" s="8">
        <v>30</v>
      </c>
      <c r="C670" s="8">
        <v>99.915750000000003</v>
      </c>
      <c r="D670" s="5">
        <v>1.65</v>
      </c>
      <c r="E670" s="5">
        <v>36.700000000000003</v>
      </c>
      <c r="F670" s="16" t="s">
        <v>1302</v>
      </c>
      <c r="G670" s="11">
        <v>0.65500000000000003</v>
      </c>
      <c r="H670" s="5">
        <v>108.1</v>
      </c>
      <c r="I670" s="8">
        <v>31</v>
      </c>
      <c r="J670" s="8">
        <v>40</v>
      </c>
      <c r="K670" s="8">
        <v>101</v>
      </c>
      <c r="L670" s="8">
        <v>83</v>
      </c>
      <c r="M670" t="s">
        <v>33</v>
      </c>
      <c r="N670" s="16" t="s">
        <v>22</v>
      </c>
      <c r="O670" s="16" t="s">
        <v>23</v>
      </c>
      <c r="P670" s="16" t="s">
        <v>37</v>
      </c>
      <c r="Q670" s="10" t="s">
        <v>604</v>
      </c>
      <c r="R670" s="3" t="str">
        <f t="shared" si="20"/>
        <v>130</v>
      </c>
      <c r="S670" s="3" t="str">
        <f t="shared" si="21"/>
        <v>81</v>
      </c>
      <c r="T670" s="16" t="s">
        <v>29</v>
      </c>
      <c r="U670" s="3">
        <v>17.86</v>
      </c>
      <c r="V670" s="16" t="str">
        <f>PROPER(Table1[[#This Row],[CVD Risk Level]])</f>
        <v>Intermediary</v>
      </c>
    </row>
    <row r="671" spans="1:22" x14ac:dyDescent="0.3">
      <c r="A671" t="s">
        <v>20</v>
      </c>
      <c r="B671" s="8">
        <v>59</v>
      </c>
      <c r="C671" s="8">
        <v>85.6</v>
      </c>
      <c r="D671" s="5">
        <v>1.89</v>
      </c>
      <c r="E671" s="5">
        <v>24</v>
      </c>
      <c r="F671" s="16" t="s">
        <v>33</v>
      </c>
      <c r="G671" s="11">
        <v>0.47099999999999997</v>
      </c>
      <c r="H671" s="5">
        <v>89.1</v>
      </c>
      <c r="I671" s="8">
        <v>79</v>
      </c>
      <c r="J671" s="8">
        <v>134</v>
      </c>
      <c r="K671" s="8">
        <v>243</v>
      </c>
      <c r="L671" s="8">
        <v>104</v>
      </c>
      <c r="M671" t="s">
        <v>1306</v>
      </c>
      <c r="N671" s="16" t="s">
        <v>23</v>
      </c>
      <c r="O671" s="16" t="s">
        <v>22</v>
      </c>
      <c r="P671" s="16" t="s">
        <v>28</v>
      </c>
      <c r="Q671" s="10" t="s">
        <v>605</v>
      </c>
      <c r="R671" s="3" t="str">
        <f t="shared" si="20"/>
        <v>91</v>
      </c>
      <c r="S671" s="3" t="str">
        <f t="shared" si="21"/>
        <v>69</v>
      </c>
      <c r="T671" s="16" t="s">
        <v>33</v>
      </c>
      <c r="U671" s="3">
        <v>14.21</v>
      </c>
      <c r="V671" s="16" t="str">
        <f>PROPER(Table1[[#This Row],[CVD Risk Level]])</f>
        <v>Intermediary</v>
      </c>
    </row>
    <row r="672" spans="1:22" x14ac:dyDescent="0.3">
      <c r="A672" t="s">
        <v>31</v>
      </c>
      <c r="B672" s="8">
        <v>39</v>
      </c>
      <c r="C672" s="8">
        <v>95.5</v>
      </c>
      <c r="D672" s="5">
        <v>1.61</v>
      </c>
      <c r="E672" s="5">
        <v>36.842714401450557</v>
      </c>
      <c r="F672" s="16" t="s">
        <v>1302</v>
      </c>
      <c r="G672" s="11">
        <v>0.66800000000000004</v>
      </c>
      <c r="H672" s="5">
        <v>107.5</v>
      </c>
      <c r="I672" s="8">
        <v>34</v>
      </c>
      <c r="J672" s="8">
        <v>230</v>
      </c>
      <c r="K672" s="8">
        <v>294</v>
      </c>
      <c r="L672" s="8">
        <v>125</v>
      </c>
      <c r="M672" t="s">
        <v>1306</v>
      </c>
      <c r="N672" s="16" t="s">
        <v>22</v>
      </c>
      <c r="O672" s="16" t="s">
        <v>22</v>
      </c>
      <c r="P672" s="16" t="s">
        <v>24</v>
      </c>
      <c r="Q672" s="10" t="s">
        <v>606</v>
      </c>
      <c r="R672" s="3" t="str">
        <f t="shared" si="20"/>
        <v>121</v>
      </c>
      <c r="S672" s="3" t="str">
        <f t="shared" si="21"/>
        <v>61</v>
      </c>
      <c r="T672" s="16" t="s">
        <v>25</v>
      </c>
      <c r="U672" s="3">
        <v>19.29</v>
      </c>
      <c r="V672" s="16" t="str">
        <f>PROPER(Table1[[#This Row],[CVD Risk Level]])</f>
        <v>High</v>
      </c>
    </row>
    <row r="673" spans="1:22" x14ac:dyDescent="0.3">
      <c r="A673" t="s">
        <v>20</v>
      </c>
      <c r="B673" s="8">
        <v>35</v>
      </c>
      <c r="C673" s="8">
        <v>71.3</v>
      </c>
      <c r="D673" s="5">
        <v>1.72</v>
      </c>
      <c r="E673" s="5">
        <v>24.1</v>
      </c>
      <c r="F673" s="16" t="s">
        <v>33</v>
      </c>
      <c r="G673" s="11">
        <v>0.47799999999999998</v>
      </c>
      <c r="H673" s="5">
        <v>82.2</v>
      </c>
      <c r="I673" s="8">
        <v>39</v>
      </c>
      <c r="J673" s="8">
        <v>37</v>
      </c>
      <c r="K673" s="8">
        <v>106</v>
      </c>
      <c r="L673" s="8">
        <v>95</v>
      </c>
      <c r="M673" t="s">
        <v>33</v>
      </c>
      <c r="N673" s="16" t="s">
        <v>23</v>
      </c>
      <c r="O673" s="16" t="s">
        <v>22</v>
      </c>
      <c r="P673" s="16" t="s">
        <v>28</v>
      </c>
      <c r="Q673" s="10" t="s">
        <v>607</v>
      </c>
      <c r="R673" s="3" t="str">
        <f t="shared" si="20"/>
        <v>113</v>
      </c>
      <c r="S673" s="3" t="str">
        <f t="shared" si="21"/>
        <v>77</v>
      </c>
      <c r="T673" s="16" t="s">
        <v>33</v>
      </c>
      <c r="U673" s="3">
        <v>12.59</v>
      </c>
      <c r="V673" s="16" t="str">
        <f>PROPER(Table1[[#This Row],[CVD Risk Level]])</f>
        <v>Intermediary</v>
      </c>
    </row>
    <row r="674" spans="1:22" x14ac:dyDescent="0.3">
      <c r="A674" t="s">
        <v>31</v>
      </c>
      <c r="B674" s="8">
        <v>31</v>
      </c>
      <c r="C674" s="8">
        <v>64.2</v>
      </c>
      <c r="D674" s="5">
        <v>1.84</v>
      </c>
      <c r="E674" s="5">
        <v>18.96266540642722</v>
      </c>
      <c r="F674" s="16" t="s">
        <v>33</v>
      </c>
      <c r="G674" s="11">
        <v>0.41</v>
      </c>
      <c r="H674" s="5">
        <v>75.5</v>
      </c>
      <c r="I674" s="8">
        <v>74</v>
      </c>
      <c r="J674" s="8">
        <v>190</v>
      </c>
      <c r="K674" s="8">
        <v>294</v>
      </c>
      <c r="L674" s="8">
        <v>74</v>
      </c>
      <c r="M674" t="s">
        <v>33</v>
      </c>
      <c r="N674" s="16" t="s">
        <v>22</v>
      </c>
      <c r="O674" s="16" t="s">
        <v>23</v>
      </c>
      <c r="P674" s="16" t="s">
        <v>37</v>
      </c>
      <c r="Q674" s="10" t="s">
        <v>189</v>
      </c>
      <c r="R674" s="3" t="str">
        <f t="shared" si="20"/>
        <v>131</v>
      </c>
      <c r="S674" s="3" t="str">
        <f t="shared" si="21"/>
        <v>79</v>
      </c>
      <c r="T674" s="16" t="s">
        <v>29</v>
      </c>
      <c r="U674" s="3">
        <v>18.23</v>
      </c>
      <c r="V674" s="16" t="str">
        <f>PROPER(Table1[[#This Row],[CVD Risk Level]])</f>
        <v>Intermediary</v>
      </c>
    </row>
    <row r="675" spans="1:22" x14ac:dyDescent="0.3">
      <c r="A675" t="s">
        <v>31</v>
      </c>
      <c r="B675" s="8">
        <v>33</v>
      </c>
      <c r="C675" s="8">
        <v>105.1</v>
      </c>
      <c r="D675" s="5">
        <v>1.83</v>
      </c>
      <c r="E675" s="5">
        <v>31.4</v>
      </c>
      <c r="F675" s="16" t="s">
        <v>1302</v>
      </c>
      <c r="G675" s="11">
        <v>0.42699999999999999</v>
      </c>
      <c r="H675" s="5">
        <v>78.099999999999994</v>
      </c>
      <c r="I675" s="8">
        <v>70</v>
      </c>
      <c r="J675" s="8">
        <v>46</v>
      </c>
      <c r="K675" s="8">
        <v>146</v>
      </c>
      <c r="L675" s="8">
        <v>117.48563611491107</v>
      </c>
      <c r="M675" t="s">
        <v>1306</v>
      </c>
      <c r="N675" s="16" t="s">
        <v>22</v>
      </c>
      <c r="O675" s="16" t="s">
        <v>22</v>
      </c>
      <c r="P675" s="16" t="s">
        <v>37</v>
      </c>
      <c r="Q675" s="10" t="s">
        <v>608</v>
      </c>
      <c r="R675" s="3" t="str">
        <f t="shared" si="20"/>
        <v>119</v>
      </c>
      <c r="S675" s="3" t="str">
        <f t="shared" si="21"/>
        <v>97</v>
      </c>
      <c r="T675" s="16" t="s">
        <v>38</v>
      </c>
      <c r="U675" s="3">
        <v>15.15</v>
      </c>
      <c r="V675" s="16" t="str">
        <f>PROPER(Table1[[#This Row],[CVD Risk Level]])</f>
        <v>Intermediary</v>
      </c>
    </row>
    <row r="676" spans="1:22" x14ac:dyDescent="0.3">
      <c r="A676" t="s">
        <v>20</v>
      </c>
      <c r="B676" s="8">
        <v>55</v>
      </c>
      <c r="C676" s="8">
        <v>81.5</v>
      </c>
      <c r="D676" s="5">
        <v>1.8</v>
      </c>
      <c r="E676" s="5">
        <v>25.2</v>
      </c>
      <c r="F676" s="16" t="s">
        <v>1303</v>
      </c>
      <c r="G676" s="11">
        <v>0.58099999999999996</v>
      </c>
      <c r="H676" s="5">
        <v>104.6</v>
      </c>
      <c r="I676" s="8">
        <v>40</v>
      </c>
      <c r="J676" s="8">
        <v>79</v>
      </c>
      <c r="K676" s="8">
        <v>149</v>
      </c>
      <c r="L676" s="8">
        <v>140</v>
      </c>
      <c r="M676" t="s">
        <v>1307</v>
      </c>
      <c r="N676" s="16" t="s">
        <v>23</v>
      </c>
      <c r="O676" s="16" t="s">
        <v>23</v>
      </c>
      <c r="P676" s="16" t="s">
        <v>28</v>
      </c>
      <c r="Q676" s="10" t="s">
        <v>401</v>
      </c>
      <c r="R676" s="3" t="str">
        <f t="shared" si="20"/>
        <v>133</v>
      </c>
      <c r="S676" s="3" t="str">
        <f t="shared" si="21"/>
        <v>87</v>
      </c>
      <c r="T676" s="16" t="s">
        <v>29</v>
      </c>
      <c r="U676" s="3">
        <v>16.670000000000002</v>
      </c>
      <c r="V676" s="16" t="str">
        <f>PROPER(Table1[[#This Row],[CVD Risk Level]])</f>
        <v>High</v>
      </c>
    </row>
    <row r="677" spans="1:22" x14ac:dyDescent="0.3">
      <c r="A677" t="s">
        <v>31</v>
      </c>
      <c r="B677" s="8">
        <v>50</v>
      </c>
      <c r="C677" s="8">
        <v>57</v>
      </c>
      <c r="D677" s="5">
        <v>1.79</v>
      </c>
      <c r="E677" s="5">
        <v>17.8</v>
      </c>
      <c r="F677" s="16" t="s">
        <v>1304</v>
      </c>
      <c r="G677" s="11">
        <v>0.48299999999999998</v>
      </c>
      <c r="H677" s="5">
        <v>86.4</v>
      </c>
      <c r="I677" s="8">
        <v>48</v>
      </c>
      <c r="J677" s="8">
        <v>191</v>
      </c>
      <c r="K677" s="8">
        <v>269</v>
      </c>
      <c r="L677" s="8">
        <v>70</v>
      </c>
      <c r="M677" t="s">
        <v>33</v>
      </c>
      <c r="N677" s="16" t="s">
        <v>22</v>
      </c>
      <c r="O677" s="16" t="s">
        <v>23</v>
      </c>
      <c r="P677" s="16" t="s">
        <v>24</v>
      </c>
      <c r="Q677" s="10" t="s">
        <v>609</v>
      </c>
      <c r="R677" s="3" t="str">
        <f t="shared" si="20"/>
        <v>109</v>
      </c>
      <c r="S677" s="3" t="str">
        <f t="shared" si="21"/>
        <v>84</v>
      </c>
      <c r="T677" s="16" t="s">
        <v>29</v>
      </c>
      <c r="U677" s="3">
        <v>16.39</v>
      </c>
      <c r="V677" s="16" t="str">
        <f>PROPER(Table1[[#This Row],[CVD Risk Level]])</f>
        <v>High</v>
      </c>
    </row>
    <row r="678" spans="1:22" x14ac:dyDescent="0.3">
      <c r="A678" t="s">
        <v>31</v>
      </c>
      <c r="B678" s="8">
        <v>36</v>
      </c>
      <c r="C678" s="8">
        <v>71.099999999999994</v>
      </c>
      <c r="D678" s="5">
        <v>1.87</v>
      </c>
      <c r="E678" s="5">
        <v>20.3</v>
      </c>
      <c r="F678" s="16" t="s">
        <v>33</v>
      </c>
      <c r="G678" s="11">
        <v>0.436</v>
      </c>
      <c r="H678" s="5">
        <v>81.599999999999994</v>
      </c>
      <c r="I678" s="8">
        <v>31</v>
      </c>
      <c r="J678" s="8">
        <v>228</v>
      </c>
      <c r="K678" s="8">
        <v>289</v>
      </c>
      <c r="L678" s="8">
        <v>92</v>
      </c>
      <c r="M678" t="s">
        <v>33</v>
      </c>
      <c r="N678" s="16" t="s">
        <v>23</v>
      </c>
      <c r="O678" s="16" t="s">
        <v>23</v>
      </c>
      <c r="P678" s="16" t="s">
        <v>37</v>
      </c>
      <c r="Q678" s="10" t="s">
        <v>610</v>
      </c>
      <c r="R678" s="3" t="str">
        <f t="shared" si="20"/>
        <v>126</v>
      </c>
      <c r="S678" s="3" t="str">
        <f t="shared" si="21"/>
        <v>91</v>
      </c>
      <c r="T678" s="16" t="s">
        <v>38</v>
      </c>
      <c r="U678" s="3">
        <v>18.14</v>
      </c>
      <c r="V678" s="16" t="str">
        <f>PROPER(Table1[[#This Row],[CVD Risk Level]])</f>
        <v>High</v>
      </c>
    </row>
    <row r="679" spans="1:22" x14ac:dyDescent="0.3">
      <c r="A679" t="s">
        <v>20</v>
      </c>
      <c r="B679" s="8">
        <v>48</v>
      </c>
      <c r="C679" s="8">
        <v>106.4</v>
      </c>
      <c r="D679" s="5">
        <v>1.73</v>
      </c>
      <c r="E679" s="5">
        <v>35.6</v>
      </c>
      <c r="F679" s="16" t="s">
        <v>1302</v>
      </c>
      <c r="G679" s="11">
        <v>0.624</v>
      </c>
      <c r="H679" s="5">
        <v>108</v>
      </c>
      <c r="I679" s="8">
        <v>56</v>
      </c>
      <c r="J679" s="8">
        <v>95</v>
      </c>
      <c r="K679" s="8">
        <v>181</v>
      </c>
      <c r="L679" s="8">
        <v>96</v>
      </c>
      <c r="M679" t="s">
        <v>33</v>
      </c>
      <c r="N679" s="16" t="s">
        <v>22</v>
      </c>
      <c r="O679" s="16" t="s">
        <v>22</v>
      </c>
      <c r="P679" s="16" t="s">
        <v>37</v>
      </c>
      <c r="Q679" s="10" t="s">
        <v>611</v>
      </c>
      <c r="R679" s="3" t="str">
        <f t="shared" si="20"/>
        <v>128</v>
      </c>
      <c r="S679" s="3" t="str">
        <f t="shared" si="21"/>
        <v>67</v>
      </c>
      <c r="T679" s="16" t="s">
        <v>25</v>
      </c>
      <c r="U679" s="3">
        <v>17.14</v>
      </c>
      <c r="V679" s="16" t="str">
        <f>PROPER(Table1[[#This Row],[CVD Risk Level]])</f>
        <v>Intermediary</v>
      </c>
    </row>
    <row r="680" spans="1:22" x14ac:dyDescent="0.3">
      <c r="A680" t="s">
        <v>20</v>
      </c>
      <c r="B680" s="8">
        <v>51</v>
      </c>
      <c r="C680" s="8">
        <v>118.8</v>
      </c>
      <c r="D680" s="5">
        <v>1.88</v>
      </c>
      <c r="E680" s="5">
        <v>33.6</v>
      </c>
      <c r="F680" s="16" t="s">
        <v>1302</v>
      </c>
      <c r="G680" s="11">
        <v>0.47799999999999998</v>
      </c>
      <c r="H680" s="5">
        <v>89.9</v>
      </c>
      <c r="I680" s="8">
        <v>53</v>
      </c>
      <c r="J680" s="8">
        <v>67</v>
      </c>
      <c r="K680" s="8">
        <v>150</v>
      </c>
      <c r="L680" s="8">
        <v>85</v>
      </c>
      <c r="M680" t="s">
        <v>33</v>
      </c>
      <c r="N680" s="16" t="s">
        <v>23</v>
      </c>
      <c r="O680" s="16" t="s">
        <v>22</v>
      </c>
      <c r="P680" s="16" t="s">
        <v>28</v>
      </c>
      <c r="Q680" s="10" t="s">
        <v>597</v>
      </c>
      <c r="R680" s="3" t="str">
        <f t="shared" si="20"/>
        <v>117</v>
      </c>
      <c r="S680" s="3" t="str">
        <f t="shared" si="21"/>
        <v>92</v>
      </c>
      <c r="T680" s="16" t="s">
        <v>38</v>
      </c>
      <c r="U680" s="3">
        <v>15.57</v>
      </c>
      <c r="V680" s="16" t="str">
        <f>PROPER(Table1[[#This Row],[CVD Risk Level]])</f>
        <v>High</v>
      </c>
    </row>
    <row r="681" spans="1:22" x14ac:dyDescent="0.3">
      <c r="A681" t="s">
        <v>20</v>
      </c>
      <c r="B681" s="8">
        <v>44</v>
      </c>
      <c r="C681" s="8">
        <v>105.8</v>
      </c>
      <c r="D681" s="5">
        <v>1.8</v>
      </c>
      <c r="E681" s="5">
        <v>32.700000000000003</v>
      </c>
      <c r="F681" s="16" t="s">
        <v>1302</v>
      </c>
      <c r="G681" s="11">
        <v>0.55100000000000005</v>
      </c>
      <c r="H681" s="5">
        <v>99.1</v>
      </c>
      <c r="I681" s="8">
        <v>36</v>
      </c>
      <c r="J681" s="8">
        <v>178</v>
      </c>
      <c r="K681" s="8">
        <v>244</v>
      </c>
      <c r="L681" s="8">
        <v>146</v>
      </c>
      <c r="M681" t="s">
        <v>1307</v>
      </c>
      <c r="N681" s="16" t="s">
        <v>23</v>
      </c>
      <c r="O681" s="16" t="s">
        <v>22</v>
      </c>
      <c r="P681" s="16" t="s">
        <v>37</v>
      </c>
      <c r="Q681" s="10" t="s">
        <v>612</v>
      </c>
      <c r="R681" s="3" t="str">
        <f t="shared" si="20"/>
        <v>91</v>
      </c>
      <c r="S681" s="3" t="str">
        <f t="shared" si="21"/>
        <v>98</v>
      </c>
      <c r="T681" s="16" t="s">
        <v>38</v>
      </c>
      <c r="U681" s="3">
        <v>15.97</v>
      </c>
      <c r="V681" s="16" t="str">
        <f>PROPER(Table1[[#This Row],[CVD Risk Level]])</f>
        <v>High</v>
      </c>
    </row>
    <row r="682" spans="1:22" x14ac:dyDescent="0.3">
      <c r="A682" t="s">
        <v>20</v>
      </c>
      <c r="B682" s="8">
        <v>52</v>
      </c>
      <c r="C682" s="8">
        <v>69.2</v>
      </c>
      <c r="D682" s="5">
        <v>1.82</v>
      </c>
      <c r="E682" s="5">
        <v>20.9</v>
      </c>
      <c r="F682" s="16" t="s">
        <v>33</v>
      </c>
      <c r="G682" s="11">
        <v>0.57399999999999995</v>
      </c>
      <c r="H682" s="5">
        <v>104.5</v>
      </c>
      <c r="I682" s="8">
        <v>46</v>
      </c>
      <c r="J682" s="8">
        <v>178</v>
      </c>
      <c r="K682" s="8">
        <v>254</v>
      </c>
      <c r="L682" s="8">
        <v>117</v>
      </c>
      <c r="M682" t="s">
        <v>1306</v>
      </c>
      <c r="N682" s="16" t="s">
        <v>22</v>
      </c>
      <c r="O682" s="16" t="s">
        <v>23</v>
      </c>
      <c r="P682" s="16" t="s">
        <v>24</v>
      </c>
      <c r="Q682" s="10" t="s">
        <v>613</v>
      </c>
      <c r="R682" s="3" t="str">
        <f t="shared" si="20"/>
        <v>105</v>
      </c>
      <c r="S682" s="3" t="str">
        <f t="shared" si="21"/>
        <v>72</v>
      </c>
      <c r="T682" s="16" t="s">
        <v>33</v>
      </c>
      <c r="U682" s="3">
        <v>16.510000000000002</v>
      </c>
      <c r="V682" s="16" t="str">
        <f>PROPER(Table1[[#This Row],[CVD Risk Level]])</f>
        <v>High</v>
      </c>
    </row>
    <row r="683" spans="1:22" x14ac:dyDescent="0.3">
      <c r="A683" t="s">
        <v>20</v>
      </c>
      <c r="B683" s="8">
        <v>34</v>
      </c>
      <c r="C683" s="8">
        <v>108</v>
      </c>
      <c r="D683" s="5">
        <v>1.72</v>
      </c>
      <c r="E683" s="5">
        <v>36.5</v>
      </c>
      <c r="F683" s="16" t="s">
        <v>1302</v>
      </c>
      <c r="G683" s="11">
        <v>0.58799999999999997</v>
      </c>
      <c r="H683" s="5">
        <v>101.1</v>
      </c>
      <c r="I683" s="8">
        <v>52</v>
      </c>
      <c r="J683" s="8">
        <v>48</v>
      </c>
      <c r="K683" s="8">
        <v>130</v>
      </c>
      <c r="L683" s="8">
        <v>98</v>
      </c>
      <c r="M683" t="s">
        <v>33</v>
      </c>
      <c r="N683" s="16" t="s">
        <v>22</v>
      </c>
      <c r="O683" s="16" t="s">
        <v>22</v>
      </c>
      <c r="P683" s="16" t="s">
        <v>28</v>
      </c>
      <c r="Q683" s="10" t="s">
        <v>614</v>
      </c>
      <c r="R683" s="3" t="str">
        <f t="shared" si="20"/>
        <v>134</v>
      </c>
      <c r="S683" s="3" t="str">
        <f t="shared" si="21"/>
        <v>60</v>
      </c>
      <c r="T683" s="16" t="s">
        <v>29</v>
      </c>
      <c r="U683" s="3">
        <v>16.600000000000001</v>
      </c>
      <c r="V683" s="16" t="str">
        <f>PROPER(Table1[[#This Row],[CVD Risk Level]])</f>
        <v>Low</v>
      </c>
    </row>
    <row r="684" spans="1:22" x14ac:dyDescent="0.3">
      <c r="A684" t="s">
        <v>20</v>
      </c>
      <c r="B684" s="8">
        <v>35</v>
      </c>
      <c r="C684" s="8">
        <v>58</v>
      </c>
      <c r="D684" s="5">
        <v>1.63</v>
      </c>
      <c r="E684" s="5">
        <v>21.8</v>
      </c>
      <c r="F684" s="16" t="s">
        <v>33</v>
      </c>
      <c r="G684" s="11">
        <v>0.48</v>
      </c>
      <c r="H684" s="5">
        <v>78.2</v>
      </c>
      <c r="I684" s="8">
        <v>54</v>
      </c>
      <c r="J684" s="8">
        <v>178</v>
      </c>
      <c r="K684" s="8">
        <v>262</v>
      </c>
      <c r="L684" s="8">
        <v>139</v>
      </c>
      <c r="M684" t="s">
        <v>1307</v>
      </c>
      <c r="N684" s="16" t="s">
        <v>23</v>
      </c>
      <c r="O684" s="16" t="s">
        <v>23</v>
      </c>
      <c r="P684" s="16" t="s">
        <v>28</v>
      </c>
      <c r="Q684" s="10" t="s">
        <v>615</v>
      </c>
      <c r="R684" s="3" t="str">
        <f t="shared" si="20"/>
        <v>95</v>
      </c>
      <c r="S684" s="3" t="str">
        <f t="shared" si="21"/>
        <v>100</v>
      </c>
      <c r="T684" s="16" t="s">
        <v>38</v>
      </c>
      <c r="U684" s="3">
        <v>16.350000000000001</v>
      </c>
      <c r="V684" s="16" t="str">
        <f>PROPER(Table1[[#This Row],[CVD Risk Level]])</f>
        <v>High</v>
      </c>
    </row>
    <row r="685" spans="1:22" x14ac:dyDescent="0.3">
      <c r="A685" t="s">
        <v>20</v>
      </c>
      <c r="B685" s="8">
        <v>37</v>
      </c>
      <c r="C685" s="8">
        <v>116.9</v>
      </c>
      <c r="D685" s="5">
        <v>1.85</v>
      </c>
      <c r="E685" s="5">
        <v>34.200000000000003</v>
      </c>
      <c r="F685" s="16" t="s">
        <v>1302</v>
      </c>
      <c r="G685" s="11">
        <v>0.52300000000000002</v>
      </c>
      <c r="H685" s="5">
        <v>96.7</v>
      </c>
      <c r="I685" s="8">
        <v>77</v>
      </c>
      <c r="J685" s="8">
        <v>91</v>
      </c>
      <c r="K685" s="8">
        <v>198</v>
      </c>
      <c r="L685" s="8">
        <v>108</v>
      </c>
      <c r="M685" t="s">
        <v>1306</v>
      </c>
      <c r="N685" s="16" t="s">
        <v>23</v>
      </c>
      <c r="O685" s="16" t="s">
        <v>22</v>
      </c>
      <c r="P685" s="16" t="s">
        <v>24</v>
      </c>
      <c r="Q685" s="10" t="s">
        <v>104</v>
      </c>
      <c r="R685" s="3" t="str">
        <f t="shared" si="20"/>
        <v>96</v>
      </c>
      <c r="S685" s="3" t="str">
        <f t="shared" si="21"/>
        <v>65</v>
      </c>
      <c r="T685" s="16" t="s">
        <v>33</v>
      </c>
      <c r="U685" s="3">
        <v>16.960925291295425</v>
      </c>
      <c r="V685" s="16" t="str">
        <f>PROPER(Table1[[#This Row],[CVD Risk Level]])</f>
        <v>Intermediary</v>
      </c>
    </row>
    <row r="686" spans="1:22" x14ac:dyDescent="0.3">
      <c r="A686" t="s">
        <v>20</v>
      </c>
      <c r="B686" s="8">
        <v>37</v>
      </c>
      <c r="C686" s="8">
        <v>105.4</v>
      </c>
      <c r="D686" s="5">
        <v>1.6610726364806934</v>
      </c>
      <c r="E686" s="5">
        <v>38.200000000000003</v>
      </c>
      <c r="F686" s="16" t="s">
        <v>1302</v>
      </c>
      <c r="G686" s="11">
        <v>0.44500000000000001</v>
      </c>
      <c r="H686" s="5">
        <v>73.900000000000006</v>
      </c>
      <c r="I686" s="8">
        <v>44</v>
      </c>
      <c r="J686" s="8">
        <v>101</v>
      </c>
      <c r="K686" s="8">
        <v>175</v>
      </c>
      <c r="L686" s="8">
        <v>72</v>
      </c>
      <c r="M686" t="s">
        <v>33</v>
      </c>
      <c r="N686" s="16" t="s">
        <v>23</v>
      </c>
      <c r="O686" s="16" t="s">
        <v>22</v>
      </c>
      <c r="P686" s="16" t="s">
        <v>37</v>
      </c>
      <c r="Q686" s="10" t="s">
        <v>43</v>
      </c>
      <c r="R686" s="3" t="str">
        <f t="shared" si="20"/>
        <v>129</v>
      </c>
      <c r="S686" s="3" t="str">
        <f t="shared" si="21"/>
        <v>87</v>
      </c>
      <c r="T686" s="16" t="s">
        <v>29</v>
      </c>
      <c r="U686" s="3">
        <v>16.960925291295425</v>
      </c>
      <c r="V686" s="16" t="str">
        <f>PROPER(Table1[[#This Row],[CVD Risk Level]])</f>
        <v>Intermediary</v>
      </c>
    </row>
    <row r="687" spans="1:22" x14ac:dyDescent="0.3">
      <c r="A687" t="s">
        <v>31</v>
      </c>
      <c r="B687" s="8">
        <v>44</v>
      </c>
      <c r="C687" s="8">
        <v>98.7</v>
      </c>
      <c r="D687" s="5">
        <v>1.71</v>
      </c>
      <c r="E687" s="5">
        <v>33.799999999999997</v>
      </c>
      <c r="F687" s="16" t="s">
        <v>1302</v>
      </c>
      <c r="G687" s="11">
        <v>0.499</v>
      </c>
      <c r="H687" s="5">
        <v>85.3</v>
      </c>
      <c r="I687" s="8">
        <v>37</v>
      </c>
      <c r="J687" s="8">
        <v>125</v>
      </c>
      <c r="K687" s="8">
        <v>192</v>
      </c>
      <c r="L687" s="8">
        <v>76</v>
      </c>
      <c r="M687" t="s">
        <v>33</v>
      </c>
      <c r="N687" s="16" t="s">
        <v>22</v>
      </c>
      <c r="O687" s="16" t="s">
        <v>23</v>
      </c>
      <c r="P687" s="16" t="s">
        <v>37</v>
      </c>
      <c r="Q687" s="10" t="s">
        <v>533</v>
      </c>
      <c r="R687" s="3" t="str">
        <f t="shared" si="20"/>
        <v>137</v>
      </c>
      <c r="S687" s="3" t="str">
        <f t="shared" si="21"/>
        <v>91</v>
      </c>
      <c r="T687" s="16" t="s">
        <v>29</v>
      </c>
      <c r="U687" s="3">
        <v>19.45</v>
      </c>
      <c r="V687" s="16" t="str">
        <f>PROPER(Table1[[#This Row],[CVD Risk Level]])</f>
        <v>Intermediary</v>
      </c>
    </row>
    <row r="688" spans="1:22" x14ac:dyDescent="0.3">
      <c r="A688" t="s">
        <v>31</v>
      </c>
      <c r="B688" s="8">
        <v>46</v>
      </c>
      <c r="C688" s="8">
        <v>61.8</v>
      </c>
      <c r="D688" s="5">
        <v>1.67</v>
      </c>
      <c r="E688" s="5">
        <v>22.2</v>
      </c>
      <c r="F688" s="16" t="s">
        <v>33</v>
      </c>
      <c r="G688" s="11">
        <v>0.55000000000000004</v>
      </c>
      <c r="H688" s="5">
        <v>91.8</v>
      </c>
      <c r="I688" s="8">
        <v>46</v>
      </c>
      <c r="J688" s="8">
        <v>78</v>
      </c>
      <c r="K688" s="8">
        <v>154</v>
      </c>
      <c r="L688" s="8">
        <v>121</v>
      </c>
      <c r="M688" t="s">
        <v>1306</v>
      </c>
      <c r="N688" s="16" t="s">
        <v>23</v>
      </c>
      <c r="O688" s="16" t="s">
        <v>22</v>
      </c>
      <c r="P688" s="16" t="s">
        <v>28</v>
      </c>
      <c r="Q688" s="10" t="s">
        <v>616</v>
      </c>
      <c r="R688" s="3" t="str">
        <f t="shared" si="20"/>
        <v>112</v>
      </c>
      <c r="S688" s="3" t="str">
        <f t="shared" si="21"/>
        <v>61</v>
      </c>
      <c r="T688" s="16" t="s">
        <v>33</v>
      </c>
      <c r="U688" s="3">
        <v>13.12</v>
      </c>
      <c r="V688" s="16" t="str">
        <f>PROPER(Table1[[#This Row],[CVD Risk Level]])</f>
        <v>Intermediary</v>
      </c>
    </row>
    <row r="689" spans="1:22" x14ac:dyDescent="0.3">
      <c r="A689" t="s">
        <v>20</v>
      </c>
      <c r="B689" s="8">
        <v>43</v>
      </c>
      <c r="C689" s="8">
        <v>57.1</v>
      </c>
      <c r="D689" s="5">
        <v>1.8602704267407093</v>
      </c>
      <c r="E689" s="5">
        <v>16.5</v>
      </c>
      <c r="F689" s="16" t="s">
        <v>1304</v>
      </c>
      <c r="G689" s="11">
        <v>0.42299999999999999</v>
      </c>
      <c r="H689" s="5">
        <v>78.599999999999994</v>
      </c>
      <c r="I689" s="8">
        <v>56.197377501725327</v>
      </c>
      <c r="J689" s="8">
        <v>101</v>
      </c>
      <c r="K689" s="8">
        <v>314.39475500345065</v>
      </c>
      <c r="L689" s="8">
        <v>137</v>
      </c>
      <c r="M689" t="s">
        <v>1307</v>
      </c>
      <c r="N689" s="16" t="s">
        <v>23</v>
      </c>
      <c r="O689" s="16" t="s">
        <v>22</v>
      </c>
      <c r="P689" s="16" t="s">
        <v>24</v>
      </c>
      <c r="Q689" s="10" t="s">
        <v>617</v>
      </c>
      <c r="R689" s="3" t="str">
        <f t="shared" si="20"/>
        <v>104</v>
      </c>
      <c r="S689" s="3" t="str">
        <f t="shared" si="21"/>
        <v>66</v>
      </c>
      <c r="T689" s="16" t="s">
        <v>33</v>
      </c>
      <c r="U689" s="3">
        <v>12.04</v>
      </c>
      <c r="V689" s="16" t="str">
        <f>PROPER(Table1[[#This Row],[CVD Risk Level]])</f>
        <v>Intermediary</v>
      </c>
    </row>
    <row r="690" spans="1:22" x14ac:dyDescent="0.3">
      <c r="A690" t="s">
        <v>31</v>
      </c>
      <c r="B690" s="8">
        <v>32</v>
      </c>
      <c r="C690" s="8">
        <v>74.8</v>
      </c>
      <c r="D690" s="5">
        <v>1.69</v>
      </c>
      <c r="E690" s="5">
        <v>26.2</v>
      </c>
      <c r="F690" s="16" t="s">
        <v>1303</v>
      </c>
      <c r="G690" s="11">
        <v>0.60699999999999998</v>
      </c>
      <c r="H690" s="5">
        <v>102.5</v>
      </c>
      <c r="I690" s="8">
        <v>80</v>
      </c>
      <c r="J690" s="8">
        <v>97</v>
      </c>
      <c r="K690" s="8">
        <v>207</v>
      </c>
      <c r="L690" s="8">
        <v>124</v>
      </c>
      <c r="M690" t="s">
        <v>1306</v>
      </c>
      <c r="N690" s="16" t="s">
        <v>22</v>
      </c>
      <c r="O690" s="16" t="s">
        <v>23</v>
      </c>
      <c r="P690" s="16" t="s">
        <v>28</v>
      </c>
      <c r="Q690" s="10" t="s">
        <v>618</v>
      </c>
      <c r="R690" s="3" t="str">
        <f t="shared" si="20"/>
        <v>148</v>
      </c>
      <c r="S690" s="3" t="str">
        <f t="shared" si="21"/>
        <v>98</v>
      </c>
      <c r="T690" s="16" t="s">
        <v>38</v>
      </c>
      <c r="U690" s="3">
        <v>18.78</v>
      </c>
      <c r="V690" s="16" t="str">
        <f>PROPER(Table1[[#This Row],[CVD Risk Level]])</f>
        <v>Intermediary</v>
      </c>
    </row>
    <row r="691" spans="1:22" x14ac:dyDescent="0.3">
      <c r="A691" t="s">
        <v>20</v>
      </c>
      <c r="B691" s="8">
        <v>31</v>
      </c>
      <c r="C691" s="8">
        <v>89.2</v>
      </c>
      <c r="D691" s="5">
        <v>1.87</v>
      </c>
      <c r="E691" s="5">
        <v>25.5</v>
      </c>
      <c r="F691" s="16" t="s">
        <v>1303</v>
      </c>
      <c r="G691" s="11">
        <v>0.38800000000000001</v>
      </c>
      <c r="H691" s="5">
        <v>72.5</v>
      </c>
      <c r="I691" s="8">
        <v>41</v>
      </c>
      <c r="J691" s="8">
        <v>158</v>
      </c>
      <c r="K691" s="8">
        <v>229</v>
      </c>
      <c r="L691" s="8">
        <v>70</v>
      </c>
      <c r="M691" t="s">
        <v>33</v>
      </c>
      <c r="N691" s="16" t="s">
        <v>23</v>
      </c>
      <c r="O691" s="16" t="s">
        <v>23</v>
      </c>
      <c r="P691" s="16" t="s">
        <v>28</v>
      </c>
      <c r="Q691" s="10" t="s">
        <v>619</v>
      </c>
      <c r="R691" s="3" t="str">
        <f t="shared" si="20"/>
        <v>115</v>
      </c>
      <c r="S691" s="3" t="str">
        <f t="shared" si="21"/>
        <v>72</v>
      </c>
      <c r="T691" s="16" t="s">
        <v>33</v>
      </c>
      <c r="U691" s="3">
        <v>16.960925291295425</v>
      </c>
      <c r="V691" s="16" t="str">
        <f>PROPER(Table1[[#This Row],[CVD Risk Level]])</f>
        <v>High</v>
      </c>
    </row>
    <row r="692" spans="1:22" x14ac:dyDescent="0.3">
      <c r="A692" t="s">
        <v>20</v>
      </c>
      <c r="B692" s="8">
        <v>50</v>
      </c>
      <c r="C692" s="8">
        <v>63.4</v>
      </c>
      <c r="D692" s="5">
        <v>1.63</v>
      </c>
      <c r="E692" s="5">
        <v>23.9</v>
      </c>
      <c r="F692" s="16" t="s">
        <v>33</v>
      </c>
      <c r="G692" s="11">
        <v>0.46800000000000003</v>
      </c>
      <c r="H692" s="5">
        <v>76.3</v>
      </c>
      <c r="I692" s="8">
        <v>39</v>
      </c>
      <c r="J692" s="8">
        <v>72</v>
      </c>
      <c r="K692" s="8">
        <v>141</v>
      </c>
      <c r="L692" s="8">
        <v>88</v>
      </c>
      <c r="M692" t="s">
        <v>33</v>
      </c>
      <c r="N692" s="16" t="s">
        <v>23</v>
      </c>
      <c r="O692" s="16" t="s">
        <v>22</v>
      </c>
      <c r="P692" s="16" t="s">
        <v>24</v>
      </c>
      <c r="Q692" s="10" t="s">
        <v>620</v>
      </c>
      <c r="R692" s="3" t="str">
        <f t="shared" si="20"/>
        <v>125</v>
      </c>
      <c r="S692" s="3" t="str">
        <f t="shared" si="21"/>
        <v>87</v>
      </c>
      <c r="T692" s="16" t="s">
        <v>29</v>
      </c>
      <c r="U692" s="3">
        <v>13.85</v>
      </c>
      <c r="V692" s="16" t="str">
        <f>PROPER(Table1[[#This Row],[CVD Risk Level]])</f>
        <v>High</v>
      </c>
    </row>
    <row r="693" spans="1:22" x14ac:dyDescent="0.3">
      <c r="A693" t="s">
        <v>31</v>
      </c>
      <c r="B693" s="8">
        <v>32</v>
      </c>
      <c r="C693" s="8">
        <v>65.2</v>
      </c>
      <c r="D693" s="5">
        <v>1.76</v>
      </c>
      <c r="E693" s="5">
        <v>21</v>
      </c>
      <c r="F693" s="16" t="s">
        <v>33</v>
      </c>
      <c r="G693" s="11">
        <v>0.41199999999999998</v>
      </c>
      <c r="H693" s="5">
        <v>72.599999999999994</v>
      </c>
      <c r="I693" s="8">
        <v>46</v>
      </c>
      <c r="J693" s="8">
        <v>71</v>
      </c>
      <c r="K693" s="8">
        <v>147</v>
      </c>
      <c r="L693" s="8">
        <v>117.48563611491107</v>
      </c>
      <c r="M693" t="s">
        <v>1306</v>
      </c>
      <c r="N693" s="16" t="s">
        <v>22</v>
      </c>
      <c r="O693" s="16" t="s">
        <v>22</v>
      </c>
      <c r="P693" s="16" t="s">
        <v>24</v>
      </c>
      <c r="Q693" s="10" t="s">
        <v>206</v>
      </c>
      <c r="R693" s="3" t="str">
        <f t="shared" si="20"/>
        <v>141</v>
      </c>
      <c r="S693" s="3" t="str">
        <f t="shared" si="21"/>
        <v>69</v>
      </c>
      <c r="T693" s="16" t="s">
        <v>38</v>
      </c>
      <c r="U693" s="3">
        <v>14.19</v>
      </c>
      <c r="V693" s="16" t="str">
        <f>PROPER(Table1[[#This Row],[CVD Risk Level]])</f>
        <v>Low</v>
      </c>
    </row>
    <row r="694" spans="1:22" x14ac:dyDescent="0.3">
      <c r="A694" t="s">
        <v>20</v>
      </c>
      <c r="B694" s="8">
        <v>55</v>
      </c>
      <c r="C694" s="8">
        <v>91.8</v>
      </c>
      <c r="D694" s="5">
        <v>1.66</v>
      </c>
      <c r="E694" s="5">
        <v>33.299999999999997</v>
      </c>
      <c r="F694" s="16" t="s">
        <v>1302</v>
      </c>
      <c r="G694" s="11">
        <v>0.53400000000000003</v>
      </c>
      <c r="H694" s="5">
        <v>88.7</v>
      </c>
      <c r="I694" s="8">
        <v>41</v>
      </c>
      <c r="J694" s="8">
        <v>100</v>
      </c>
      <c r="K694" s="8">
        <v>171</v>
      </c>
      <c r="L694" s="8">
        <v>89</v>
      </c>
      <c r="M694" t="s">
        <v>33</v>
      </c>
      <c r="N694" s="16" t="s">
        <v>22</v>
      </c>
      <c r="O694" s="16" t="s">
        <v>22</v>
      </c>
      <c r="P694" s="16" t="s">
        <v>24</v>
      </c>
      <c r="Q694" s="10" t="s">
        <v>621</v>
      </c>
      <c r="R694" s="3" t="str">
        <f t="shared" si="20"/>
        <v>132</v>
      </c>
      <c r="S694" s="3" t="str">
        <f t="shared" si="21"/>
        <v>65</v>
      </c>
      <c r="T694" s="16" t="s">
        <v>29</v>
      </c>
      <c r="U694" s="3">
        <v>16.68</v>
      </c>
      <c r="V694" s="16" t="str">
        <f>PROPER(Table1[[#This Row],[CVD Risk Level]])</f>
        <v>High</v>
      </c>
    </row>
    <row r="695" spans="1:22" x14ac:dyDescent="0.3">
      <c r="A695" t="s">
        <v>31</v>
      </c>
      <c r="B695" s="8">
        <v>60</v>
      </c>
      <c r="C695" s="8">
        <v>69.2</v>
      </c>
      <c r="D695" s="5">
        <v>1.9</v>
      </c>
      <c r="E695" s="5">
        <v>19.2</v>
      </c>
      <c r="F695" s="16" t="s">
        <v>33</v>
      </c>
      <c r="G695" s="11">
        <v>0.46600000000000003</v>
      </c>
      <c r="H695" s="5">
        <v>88.5</v>
      </c>
      <c r="I695" s="8">
        <v>44</v>
      </c>
      <c r="J695" s="8">
        <v>47</v>
      </c>
      <c r="K695" s="8">
        <v>121</v>
      </c>
      <c r="L695" s="8">
        <v>124</v>
      </c>
      <c r="M695" t="s">
        <v>1306</v>
      </c>
      <c r="N695" s="16" t="s">
        <v>23</v>
      </c>
      <c r="O695" s="16" t="s">
        <v>23</v>
      </c>
      <c r="P695" s="16" t="s">
        <v>37</v>
      </c>
      <c r="Q695" s="10" t="s">
        <v>622</v>
      </c>
      <c r="R695" s="3" t="str">
        <f t="shared" si="20"/>
        <v>123</v>
      </c>
      <c r="S695" s="3" t="str">
        <f t="shared" si="21"/>
        <v>72</v>
      </c>
      <c r="T695" s="16" t="s">
        <v>25</v>
      </c>
      <c r="U695" s="3">
        <v>16.960925291295425</v>
      </c>
      <c r="V695" s="16" t="str">
        <f>PROPER(Table1[[#This Row],[CVD Risk Level]])</f>
        <v>Intermediary</v>
      </c>
    </row>
    <row r="696" spans="1:22" x14ac:dyDescent="0.3">
      <c r="A696" t="s">
        <v>20</v>
      </c>
      <c r="B696" s="8">
        <v>33</v>
      </c>
      <c r="C696" s="8">
        <v>89.4</v>
      </c>
      <c r="D696" s="5">
        <v>1.61</v>
      </c>
      <c r="E696" s="5">
        <v>34.5</v>
      </c>
      <c r="F696" s="16" t="s">
        <v>1302</v>
      </c>
      <c r="G696" s="11">
        <v>0.60599999999999998</v>
      </c>
      <c r="H696" s="5">
        <v>97.6</v>
      </c>
      <c r="I696" s="8">
        <v>54</v>
      </c>
      <c r="J696" s="8">
        <v>130</v>
      </c>
      <c r="K696" s="8">
        <v>214</v>
      </c>
      <c r="L696" s="8">
        <v>145</v>
      </c>
      <c r="M696" t="s">
        <v>1307</v>
      </c>
      <c r="N696" s="16" t="s">
        <v>23</v>
      </c>
      <c r="O696" s="16" t="s">
        <v>23</v>
      </c>
      <c r="P696" s="16" t="s">
        <v>37</v>
      </c>
      <c r="Q696" s="10" t="s">
        <v>623</v>
      </c>
      <c r="R696" s="3" t="str">
        <f t="shared" si="20"/>
        <v>142</v>
      </c>
      <c r="S696" s="3" t="str">
        <f t="shared" si="21"/>
        <v>61</v>
      </c>
      <c r="T696" s="16" t="s">
        <v>38</v>
      </c>
      <c r="U696" s="3">
        <v>20.28</v>
      </c>
      <c r="V696" s="16" t="str">
        <f>PROPER(Table1[[#This Row],[CVD Risk Level]])</f>
        <v>High</v>
      </c>
    </row>
    <row r="697" spans="1:22" x14ac:dyDescent="0.3">
      <c r="A697" t="s">
        <v>31</v>
      </c>
      <c r="B697" s="8">
        <v>33</v>
      </c>
      <c r="C697" s="8">
        <v>74</v>
      </c>
      <c r="D697" s="5">
        <v>1.76</v>
      </c>
      <c r="E697" s="5">
        <v>23.9</v>
      </c>
      <c r="F697" s="16" t="s">
        <v>33</v>
      </c>
      <c r="G697" s="11">
        <v>0.44</v>
      </c>
      <c r="H697" s="5">
        <v>77.400000000000006</v>
      </c>
      <c r="I697" s="8">
        <v>71</v>
      </c>
      <c r="J697" s="8">
        <v>64</v>
      </c>
      <c r="K697" s="8">
        <v>165</v>
      </c>
      <c r="L697" s="8">
        <v>90</v>
      </c>
      <c r="M697" t="s">
        <v>33</v>
      </c>
      <c r="N697" s="16" t="s">
        <v>22</v>
      </c>
      <c r="O697" s="16" t="s">
        <v>22</v>
      </c>
      <c r="P697" s="16" t="s">
        <v>28</v>
      </c>
      <c r="Q697" s="10" t="s">
        <v>624</v>
      </c>
      <c r="R697" s="3" t="str">
        <f t="shared" si="20"/>
        <v>118</v>
      </c>
      <c r="S697" s="3" t="str">
        <f t="shared" si="21"/>
        <v>86</v>
      </c>
      <c r="T697" s="16" t="s">
        <v>29</v>
      </c>
      <c r="U697" s="3">
        <v>13.98</v>
      </c>
      <c r="V697" s="16" t="str">
        <f>PROPER(Table1[[#This Row],[CVD Risk Level]])</f>
        <v>Low</v>
      </c>
    </row>
    <row r="698" spans="1:22" x14ac:dyDescent="0.3">
      <c r="A698" t="s">
        <v>31</v>
      </c>
      <c r="B698" s="8">
        <v>36</v>
      </c>
      <c r="C698" s="8">
        <v>116.9</v>
      </c>
      <c r="D698" s="5">
        <v>1.74</v>
      </c>
      <c r="E698" s="5">
        <v>38.6</v>
      </c>
      <c r="F698" s="16" t="s">
        <v>1302</v>
      </c>
      <c r="G698" s="11">
        <v>0.51300000000000001</v>
      </c>
      <c r="H698" s="5">
        <v>89.3</v>
      </c>
      <c r="I698" s="8">
        <v>41</v>
      </c>
      <c r="J698" s="8">
        <v>32</v>
      </c>
      <c r="K698" s="8">
        <v>103</v>
      </c>
      <c r="L698" s="8">
        <v>148</v>
      </c>
      <c r="M698" t="s">
        <v>1307</v>
      </c>
      <c r="N698" s="16" t="s">
        <v>22</v>
      </c>
      <c r="O698" s="16" t="s">
        <v>22</v>
      </c>
      <c r="P698" s="16" t="s">
        <v>37</v>
      </c>
      <c r="Q698" s="10" t="s">
        <v>625</v>
      </c>
      <c r="R698" s="3" t="str">
        <f t="shared" si="20"/>
        <v>126</v>
      </c>
      <c r="S698" s="3" t="str">
        <f t="shared" si="21"/>
        <v>73</v>
      </c>
      <c r="T698" s="16" t="s">
        <v>25</v>
      </c>
      <c r="U698" s="3">
        <v>16.079999999999998</v>
      </c>
      <c r="V698" s="16" t="str">
        <f>PROPER(Table1[[#This Row],[CVD Risk Level]])</f>
        <v>Intermediary</v>
      </c>
    </row>
    <row r="699" spans="1:22" x14ac:dyDescent="0.3">
      <c r="A699" t="s">
        <v>20</v>
      </c>
      <c r="B699" s="8">
        <v>32</v>
      </c>
      <c r="C699" s="8">
        <v>106.55064000000003</v>
      </c>
      <c r="D699" s="5">
        <v>1.62</v>
      </c>
      <c r="E699" s="5">
        <v>40.6</v>
      </c>
      <c r="F699" s="16" t="s">
        <v>1302</v>
      </c>
      <c r="G699" s="11">
        <v>0.60599999999999998</v>
      </c>
      <c r="H699" s="5">
        <v>98.2</v>
      </c>
      <c r="I699" s="8">
        <v>59</v>
      </c>
      <c r="J699" s="8">
        <v>166</v>
      </c>
      <c r="K699" s="8">
        <v>255</v>
      </c>
      <c r="L699" s="8">
        <v>78</v>
      </c>
      <c r="M699" t="s">
        <v>33</v>
      </c>
      <c r="N699" s="16" t="s">
        <v>22</v>
      </c>
      <c r="O699" s="16" t="s">
        <v>22</v>
      </c>
      <c r="P699" s="16" t="s">
        <v>24</v>
      </c>
      <c r="Q699" s="10" t="s">
        <v>626</v>
      </c>
      <c r="R699" s="3" t="str">
        <f t="shared" si="20"/>
        <v>113</v>
      </c>
      <c r="S699" s="3" t="str">
        <f t="shared" si="21"/>
        <v>98</v>
      </c>
      <c r="T699" s="16" t="s">
        <v>38</v>
      </c>
      <c r="U699" s="3">
        <v>18.87</v>
      </c>
      <c r="V699" s="16" t="str">
        <f>PROPER(Table1[[#This Row],[CVD Risk Level]])</f>
        <v>High</v>
      </c>
    </row>
    <row r="700" spans="1:22" x14ac:dyDescent="0.3">
      <c r="A700" t="s">
        <v>20</v>
      </c>
      <c r="B700" s="8">
        <v>37</v>
      </c>
      <c r="C700" s="8">
        <v>50.5</v>
      </c>
      <c r="D700" s="5">
        <v>1.72</v>
      </c>
      <c r="E700" s="5">
        <v>17.100000000000001</v>
      </c>
      <c r="F700" s="16" t="s">
        <v>1304</v>
      </c>
      <c r="G700" s="11">
        <v>0.44400000000000001</v>
      </c>
      <c r="H700" s="5">
        <v>76.3</v>
      </c>
      <c r="I700" s="8">
        <v>54</v>
      </c>
      <c r="J700" s="8">
        <v>190</v>
      </c>
      <c r="K700" s="8">
        <v>274</v>
      </c>
      <c r="L700" s="8">
        <v>84</v>
      </c>
      <c r="M700" t="s">
        <v>33</v>
      </c>
      <c r="N700" s="16" t="s">
        <v>22</v>
      </c>
      <c r="O700" s="16" t="s">
        <v>22</v>
      </c>
      <c r="P700" s="16" t="s">
        <v>24</v>
      </c>
      <c r="Q700" s="10" t="s">
        <v>627</v>
      </c>
      <c r="R700" s="3" t="str">
        <f t="shared" si="20"/>
        <v>146</v>
      </c>
      <c r="S700" s="3" t="str">
        <f t="shared" si="21"/>
        <v>89</v>
      </c>
      <c r="T700" s="16" t="s">
        <v>29</v>
      </c>
      <c r="U700" s="3">
        <v>16.2</v>
      </c>
      <c r="V700" s="16" t="str">
        <f>PROPER(Table1[[#This Row],[CVD Risk Level]])</f>
        <v>Intermediary</v>
      </c>
    </row>
    <row r="701" spans="1:22" x14ac:dyDescent="0.3">
      <c r="A701" t="s">
        <v>31</v>
      </c>
      <c r="B701" s="8">
        <v>54</v>
      </c>
      <c r="C701" s="8">
        <v>89.5</v>
      </c>
      <c r="D701" s="5">
        <v>1.86</v>
      </c>
      <c r="E701" s="5">
        <v>25.9</v>
      </c>
      <c r="F701" s="16" t="s">
        <v>1303</v>
      </c>
      <c r="G701" s="11">
        <v>0.39700000000000002</v>
      </c>
      <c r="H701" s="5">
        <v>73.8</v>
      </c>
      <c r="I701" s="8">
        <v>37</v>
      </c>
      <c r="J701" s="8">
        <v>231</v>
      </c>
      <c r="K701" s="8">
        <v>298</v>
      </c>
      <c r="L701" s="8">
        <v>71</v>
      </c>
      <c r="M701" t="s">
        <v>33</v>
      </c>
      <c r="N701" s="16" t="s">
        <v>23</v>
      </c>
      <c r="O701" s="16" t="s">
        <v>23</v>
      </c>
      <c r="P701" s="16" t="s">
        <v>28</v>
      </c>
      <c r="Q701" s="10" t="s">
        <v>628</v>
      </c>
      <c r="R701" s="3" t="str">
        <f t="shared" si="20"/>
        <v>107</v>
      </c>
      <c r="S701" s="3" t="str">
        <f t="shared" si="21"/>
        <v>83</v>
      </c>
      <c r="T701" s="16" t="s">
        <v>29</v>
      </c>
      <c r="U701" s="3">
        <v>18.489999999999998</v>
      </c>
      <c r="V701" s="16" t="str">
        <f>PROPER(Table1[[#This Row],[CVD Risk Level]])</f>
        <v>High</v>
      </c>
    </row>
    <row r="702" spans="1:22" x14ac:dyDescent="0.3">
      <c r="A702" t="s">
        <v>20</v>
      </c>
      <c r="B702" s="8">
        <v>60</v>
      </c>
      <c r="C702" s="8">
        <v>113.2</v>
      </c>
      <c r="D702" s="5">
        <v>1.73</v>
      </c>
      <c r="E702" s="5">
        <v>37.799999999999997</v>
      </c>
      <c r="F702" s="16" t="s">
        <v>1302</v>
      </c>
      <c r="G702" s="11">
        <v>0.47499999999999998</v>
      </c>
      <c r="H702" s="5">
        <v>82.1</v>
      </c>
      <c r="I702" s="8">
        <v>61</v>
      </c>
      <c r="J702" s="8">
        <v>125</v>
      </c>
      <c r="K702" s="8">
        <v>216</v>
      </c>
      <c r="L702" s="8">
        <v>115</v>
      </c>
      <c r="M702" t="s">
        <v>1306</v>
      </c>
      <c r="N702" s="16" t="s">
        <v>23</v>
      </c>
      <c r="O702" s="16" t="s">
        <v>23</v>
      </c>
      <c r="P702" s="16" t="s">
        <v>37</v>
      </c>
      <c r="Q702" s="10" t="s">
        <v>629</v>
      </c>
      <c r="R702" s="3" t="str">
        <f t="shared" si="20"/>
        <v>137</v>
      </c>
      <c r="S702" s="3" t="str">
        <f t="shared" si="21"/>
        <v>89</v>
      </c>
      <c r="T702" s="16" t="s">
        <v>29</v>
      </c>
      <c r="U702" s="3">
        <v>20.73</v>
      </c>
      <c r="V702" s="16" t="str">
        <f>PROPER(Table1[[#This Row],[CVD Risk Level]])</f>
        <v>High</v>
      </c>
    </row>
    <row r="703" spans="1:22" x14ac:dyDescent="0.3">
      <c r="A703" t="s">
        <v>31</v>
      </c>
      <c r="B703" s="8">
        <v>53</v>
      </c>
      <c r="C703" s="8">
        <v>57.8</v>
      </c>
      <c r="D703" s="5">
        <v>1.74</v>
      </c>
      <c r="E703" s="5">
        <v>19.100000000000001</v>
      </c>
      <c r="F703" s="16" t="s">
        <v>33</v>
      </c>
      <c r="G703" s="11">
        <v>0.51100000000000001</v>
      </c>
      <c r="H703" s="5">
        <v>89</v>
      </c>
      <c r="I703" s="8">
        <v>52</v>
      </c>
      <c r="J703" s="8">
        <v>140</v>
      </c>
      <c r="K703" s="8">
        <v>222</v>
      </c>
      <c r="L703" s="8">
        <v>137</v>
      </c>
      <c r="M703" t="s">
        <v>1307</v>
      </c>
      <c r="N703" s="16" t="s">
        <v>22</v>
      </c>
      <c r="O703" s="16" t="s">
        <v>22</v>
      </c>
      <c r="P703" s="16" t="s">
        <v>24</v>
      </c>
      <c r="Q703" s="10" t="s">
        <v>630</v>
      </c>
      <c r="R703" s="3" t="str">
        <f t="shared" si="20"/>
        <v>119</v>
      </c>
      <c r="S703" s="3" t="str">
        <f t="shared" si="21"/>
        <v>68</v>
      </c>
      <c r="T703" s="16" t="s">
        <v>33</v>
      </c>
      <c r="U703" s="3">
        <v>14.21</v>
      </c>
      <c r="V703" s="16" t="str">
        <f>PROPER(Table1[[#This Row],[CVD Risk Level]])</f>
        <v>High</v>
      </c>
    </row>
    <row r="704" spans="1:22" x14ac:dyDescent="0.3">
      <c r="A704" t="s">
        <v>20</v>
      </c>
      <c r="B704" s="8">
        <v>31</v>
      </c>
      <c r="C704" s="8">
        <v>87.7</v>
      </c>
      <c r="D704" s="5">
        <v>1.89</v>
      </c>
      <c r="E704" s="5">
        <v>24.6</v>
      </c>
      <c r="F704" s="16" t="s">
        <v>33</v>
      </c>
      <c r="G704" s="11">
        <v>0.48994708994708991</v>
      </c>
      <c r="H704" s="5">
        <v>92.6</v>
      </c>
      <c r="I704" s="8">
        <v>52</v>
      </c>
      <c r="J704" s="8">
        <v>181</v>
      </c>
      <c r="K704" s="8">
        <v>263</v>
      </c>
      <c r="L704" s="8">
        <v>126</v>
      </c>
      <c r="M704" t="s">
        <v>1307</v>
      </c>
      <c r="N704" s="16" t="s">
        <v>23</v>
      </c>
      <c r="O704" s="16" t="s">
        <v>23</v>
      </c>
      <c r="P704" s="16" t="s">
        <v>24</v>
      </c>
      <c r="Q704" s="10" t="s">
        <v>631</v>
      </c>
      <c r="R704" s="3" t="str">
        <f t="shared" si="20"/>
        <v>105</v>
      </c>
      <c r="S704" s="3" t="str">
        <f t="shared" si="21"/>
        <v>93</v>
      </c>
      <c r="T704" s="16" t="s">
        <v>38</v>
      </c>
      <c r="U704" s="3">
        <v>17.43</v>
      </c>
      <c r="V704" s="16" t="str">
        <f>PROPER(Table1[[#This Row],[CVD Risk Level]])</f>
        <v>High</v>
      </c>
    </row>
    <row r="705" spans="1:22" x14ac:dyDescent="0.3">
      <c r="A705" t="s">
        <v>31</v>
      </c>
      <c r="B705" s="8">
        <v>32</v>
      </c>
      <c r="C705" s="8">
        <v>57.7</v>
      </c>
      <c r="D705" s="5">
        <v>1.86</v>
      </c>
      <c r="E705" s="5">
        <v>16.7</v>
      </c>
      <c r="F705" s="16" t="s">
        <v>1304</v>
      </c>
      <c r="G705" s="11">
        <v>0.45300000000000001</v>
      </c>
      <c r="H705" s="5">
        <v>84.3</v>
      </c>
      <c r="I705" s="8">
        <v>79</v>
      </c>
      <c r="J705" s="8">
        <v>109</v>
      </c>
      <c r="K705" s="8">
        <v>376</v>
      </c>
      <c r="L705" s="8">
        <v>150</v>
      </c>
      <c r="M705" t="s">
        <v>1307</v>
      </c>
      <c r="N705" s="16" t="s">
        <v>23</v>
      </c>
      <c r="O705" s="16" t="s">
        <v>22</v>
      </c>
      <c r="P705" s="16" t="s">
        <v>28</v>
      </c>
      <c r="Q705" s="10" t="s">
        <v>161</v>
      </c>
      <c r="R705" s="3" t="str">
        <f t="shared" si="20"/>
        <v>107</v>
      </c>
      <c r="S705" s="3" t="str">
        <f t="shared" si="21"/>
        <v>66</v>
      </c>
      <c r="T705" s="16" t="s">
        <v>33</v>
      </c>
      <c r="U705" s="3">
        <v>13.45</v>
      </c>
      <c r="V705" s="16" t="str">
        <f>PROPER(Table1[[#This Row],[CVD Risk Level]])</f>
        <v>Intermediary</v>
      </c>
    </row>
    <row r="706" spans="1:22" x14ac:dyDescent="0.3">
      <c r="A706" t="s">
        <v>31</v>
      </c>
      <c r="B706" s="8">
        <v>46</v>
      </c>
      <c r="C706" s="8">
        <v>70.400000000000006</v>
      </c>
      <c r="D706" s="5">
        <v>1.9</v>
      </c>
      <c r="E706" s="5">
        <v>19.5</v>
      </c>
      <c r="F706" s="16" t="s">
        <v>33</v>
      </c>
      <c r="G706" s="11">
        <v>0.376</v>
      </c>
      <c r="H706" s="5">
        <v>71.5</v>
      </c>
      <c r="I706" s="8">
        <v>58</v>
      </c>
      <c r="J706" s="8">
        <v>193</v>
      </c>
      <c r="K706" s="8">
        <v>281</v>
      </c>
      <c r="L706" s="8">
        <v>113</v>
      </c>
      <c r="M706" t="s">
        <v>1306</v>
      </c>
      <c r="N706" s="16" t="s">
        <v>22</v>
      </c>
      <c r="O706" s="16" t="s">
        <v>22</v>
      </c>
      <c r="P706" s="16" t="s">
        <v>28</v>
      </c>
      <c r="Q706" s="10" t="s">
        <v>632</v>
      </c>
      <c r="R706" s="3" t="str">
        <f t="shared" si="20"/>
        <v>95</v>
      </c>
      <c r="S706" s="3" t="str">
        <f t="shared" si="21"/>
        <v>86</v>
      </c>
      <c r="T706" s="16" t="s">
        <v>29</v>
      </c>
      <c r="U706" s="3">
        <v>14.27</v>
      </c>
      <c r="V706" s="16" t="str">
        <f>PROPER(Table1[[#This Row],[CVD Risk Level]])</f>
        <v>Intermediary</v>
      </c>
    </row>
    <row r="707" spans="1:22" x14ac:dyDescent="0.3">
      <c r="A707" t="s">
        <v>20</v>
      </c>
      <c r="B707" s="8">
        <v>55</v>
      </c>
      <c r="C707" s="8">
        <v>67.400000000000006</v>
      </c>
      <c r="D707" s="5">
        <v>1.87</v>
      </c>
      <c r="E707" s="5">
        <v>19.3</v>
      </c>
      <c r="F707" s="16" t="s">
        <v>33</v>
      </c>
      <c r="G707" s="11">
        <v>0.52200000000000002</v>
      </c>
      <c r="H707" s="5">
        <v>97.614000000000004</v>
      </c>
      <c r="I707" s="8">
        <v>51</v>
      </c>
      <c r="J707" s="8">
        <v>96</v>
      </c>
      <c r="K707" s="8">
        <v>177</v>
      </c>
      <c r="L707" s="8">
        <v>93</v>
      </c>
      <c r="M707" t="s">
        <v>33</v>
      </c>
      <c r="N707" s="16" t="s">
        <v>23</v>
      </c>
      <c r="O707" s="16" t="s">
        <v>22</v>
      </c>
      <c r="P707" s="16" t="s">
        <v>28</v>
      </c>
      <c r="Q707" s="10" t="s">
        <v>89</v>
      </c>
      <c r="R707" s="3" t="str">
        <f t="shared" ref="R707:R770" si="22">LEFT(Q707,FIND("/",Q707)-1)</f>
        <v>94</v>
      </c>
      <c r="S707" s="3" t="str">
        <f t="shared" ref="S707:S770" si="23">RIGHT(Q707,LEN(Q707)-FIND("/",Q707))</f>
        <v>81</v>
      </c>
      <c r="T707" s="16" t="s">
        <v>29</v>
      </c>
      <c r="U707" s="3">
        <v>12.1</v>
      </c>
      <c r="V707" s="16" t="str">
        <f>PROPER(Table1[[#This Row],[CVD Risk Level]])</f>
        <v>Intermediary</v>
      </c>
    </row>
    <row r="708" spans="1:22" x14ac:dyDescent="0.3">
      <c r="A708" t="s">
        <v>31</v>
      </c>
      <c r="B708" s="8">
        <v>40</v>
      </c>
      <c r="C708" s="8">
        <v>84.4</v>
      </c>
      <c r="D708" s="5">
        <v>1.76</v>
      </c>
      <c r="E708" s="5">
        <v>27.2</v>
      </c>
      <c r="F708" s="16" t="s">
        <v>1303</v>
      </c>
      <c r="G708" s="11">
        <v>0.58399999999999996</v>
      </c>
      <c r="H708" s="5">
        <v>102.8</v>
      </c>
      <c r="I708" s="8">
        <v>60</v>
      </c>
      <c r="J708" s="8">
        <v>56</v>
      </c>
      <c r="K708" s="8">
        <v>232</v>
      </c>
      <c r="L708" s="8">
        <v>129</v>
      </c>
      <c r="M708" t="s">
        <v>1307</v>
      </c>
      <c r="N708" s="16" t="s">
        <v>23</v>
      </c>
      <c r="O708" s="16" t="s">
        <v>23</v>
      </c>
      <c r="P708" s="16" t="s">
        <v>28</v>
      </c>
      <c r="Q708" s="10" t="s">
        <v>633</v>
      </c>
      <c r="R708" s="3" t="str">
        <f t="shared" si="22"/>
        <v>127</v>
      </c>
      <c r="S708" s="3" t="str">
        <f t="shared" si="23"/>
        <v>89</v>
      </c>
      <c r="T708" s="16" t="s">
        <v>29</v>
      </c>
      <c r="U708" s="3">
        <v>16.71</v>
      </c>
      <c r="V708" s="16" t="str">
        <f>PROPER(Table1[[#This Row],[CVD Risk Level]])</f>
        <v>Intermediary</v>
      </c>
    </row>
    <row r="709" spans="1:22" x14ac:dyDescent="0.3">
      <c r="A709" t="s">
        <v>31</v>
      </c>
      <c r="B709" s="8">
        <v>47.025499655410059</v>
      </c>
      <c r="C709" s="8">
        <v>92</v>
      </c>
      <c r="D709" s="5">
        <v>1.84</v>
      </c>
      <c r="E709" s="5">
        <v>27.2</v>
      </c>
      <c r="F709" s="16" t="s">
        <v>1303</v>
      </c>
      <c r="G709" s="11">
        <v>0.48599999999999999</v>
      </c>
      <c r="H709" s="5">
        <v>89.5</v>
      </c>
      <c r="I709" s="8">
        <v>61</v>
      </c>
      <c r="J709" s="8">
        <v>156</v>
      </c>
      <c r="K709" s="8">
        <v>247</v>
      </c>
      <c r="L709" s="8">
        <v>103</v>
      </c>
      <c r="M709" t="s">
        <v>1306</v>
      </c>
      <c r="N709" s="16" t="s">
        <v>23</v>
      </c>
      <c r="O709" s="16" t="s">
        <v>22</v>
      </c>
      <c r="P709" s="16" t="s">
        <v>24</v>
      </c>
      <c r="Q709" s="10" t="s">
        <v>634</v>
      </c>
      <c r="R709" s="3" t="str">
        <f t="shared" si="22"/>
        <v>136</v>
      </c>
      <c r="S709" s="3" t="str">
        <f t="shared" si="23"/>
        <v>77</v>
      </c>
      <c r="T709" s="16" t="s">
        <v>29</v>
      </c>
      <c r="U709" s="3">
        <v>17.18</v>
      </c>
      <c r="V709" s="16" t="str">
        <f>PROPER(Table1[[#This Row],[CVD Risk Level]])</f>
        <v>High</v>
      </c>
    </row>
    <row r="710" spans="1:22" x14ac:dyDescent="0.3">
      <c r="A710" t="s">
        <v>31</v>
      </c>
      <c r="B710" s="8">
        <v>56</v>
      </c>
      <c r="C710" s="8">
        <v>110.6</v>
      </c>
      <c r="D710" s="5">
        <v>1.85</v>
      </c>
      <c r="E710" s="5">
        <v>32.299999999999997</v>
      </c>
      <c r="F710" s="16" t="s">
        <v>1302</v>
      </c>
      <c r="G710" s="11">
        <v>0.38300000000000001</v>
      </c>
      <c r="H710" s="5">
        <v>70.8</v>
      </c>
      <c r="I710" s="8">
        <v>40</v>
      </c>
      <c r="J710" s="8">
        <v>45</v>
      </c>
      <c r="K710" s="8">
        <v>115</v>
      </c>
      <c r="L710" s="8">
        <v>72</v>
      </c>
      <c r="M710" t="s">
        <v>33</v>
      </c>
      <c r="N710" s="16" t="s">
        <v>23</v>
      </c>
      <c r="O710" s="16" t="s">
        <v>22</v>
      </c>
      <c r="P710" s="16" t="s">
        <v>28</v>
      </c>
      <c r="Q710" s="10" t="s">
        <v>635</v>
      </c>
      <c r="R710" s="3" t="str">
        <f t="shared" si="22"/>
        <v>118</v>
      </c>
      <c r="S710" s="3" t="str">
        <f t="shared" si="23"/>
        <v>68</v>
      </c>
      <c r="T710" s="16" t="s">
        <v>33</v>
      </c>
      <c r="U710" s="3">
        <v>14.66</v>
      </c>
      <c r="V710" s="16" t="str">
        <f>PROPER(Table1[[#This Row],[CVD Risk Level]])</f>
        <v>Intermediary</v>
      </c>
    </row>
    <row r="711" spans="1:22" x14ac:dyDescent="0.3">
      <c r="A711" t="s">
        <v>31</v>
      </c>
      <c r="B711" s="8">
        <v>41</v>
      </c>
      <c r="C711" s="8">
        <v>72.8</v>
      </c>
      <c r="D711" s="5">
        <v>1.76</v>
      </c>
      <c r="E711" s="5">
        <v>23.5</v>
      </c>
      <c r="F711" s="16" t="s">
        <v>33</v>
      </c>
      <c r="G711" s="11">
        <v>0.434</v>
      </c>
      <c r="H711" s="5">
        <v>76.3</v>
      </c>
      <c r="I711" s="8">
        <v>63</v>
      </c>
      <c r="J711" s="8">
        <v>25</v>
      </c>
      <c r="K711" s="8">
        <v>118</v>
      </c>
      <c r="L711" s="8">
        <v>109</v>
      </c>
      <c r="M711" t="s">
        <v>1306</v>
      </c>
      <c r="N711" s="16" t="s">
        <v>23</v>
      </c>
      <c r="O711" s="16" t="s">
        <v>22</v>
      </c>
      <c r="P711" s="16" t="s">
        <v>37</v>
      </c>
      <c r="Q711" s="10" t="s">
        <v>636</v>
      </c>
      <c r="R711" s="3" t="str">
        <f t="shared" si="22"/>
        <v>130</v>
      </c>
      <c r="S711" s="3" t="str">
        <f t="shared" si="23"/>
        <v>66</v>
      </c>
      <c r="T711" s="16" t="s">
        <v>29</v>
      </c>
      <c r="U711" s="3">
        <v>13.56</v>
      </c>
      <c r="V711" s="16" t="str">
        <f>PROPER(Table1[[#This Row],[CVD Risk Level]])</f>
        <v>Low</v>
      </c>
    </row>
    <row r="712" spans="1:22" x14ac:dyDescent="0.3">
      <c r="A712" t="s">
        <v>31</v>
      </c>
      <c r="B712" s="8">
        <v>49</v>
      </c>
      <c r="C712" s="8">
        <v>61.1</v>
      </c>
      <c r="D712" s="5">
        <v>1.63</v>
      </c>
      <c r="E712" s="5">
        <v>23</v>
      </c>
      <c r="F712" s="16" t="s">
        <v>33</v>
      </c>
      <c r="G712" s="11">
        <v>0.56100000000000005</v>
      </c>
      <c r="H712" s="5">
        <v>91.5</v>
      </c>
      <c r="I712" s="8">
        <v>73</v>
      </c>
      <c r="J712" s="8">
        <v>8</v>
      </c>
      <c r="K712" s="8">
        <v>111</v>
      </c>
      <c r="L712" s="8">
        <v>113</v>
      </c>
      <c r="M712" t="s">
        <v>1306</v>
      </c>
      <c r="N712" s="16" t="s">
        <v>23</v>
      </c>
      <c r="O712" s="16" t="s">
        <v>23</v>
      </c>
      <c r="P712" s="16" t="s">
        <v>28</v>
      </c>
      <c r="Q712" s="10" t="s">
        <v>637</v>
      </c>
      <c r="R712" s="3" t="str">
        <f t="shared" si="22"/>
        <v>98</v>
      </c>
      <c r="S712" s="3" t="str">
        <f t="shared" si="23"/>
        <v>85</v>
      </c>
      <c r="T712" s="16" t="s">
        <v>29</v>
      </c>
      <c r="U712" s="3">
        <v>13.72</v>
      </c>
      <c r="V712" s="16" t="str">
        <f>PROPER(Table1[[#This Row],[CVD Risk Level]])</f>
        <v>High</v>
      </c>
    </row>
    <row r="713" spans="1:22" x14ac:dyDescent="0.3">
      <c r="A713" t="s">
        <v>20</v>
      </c>
      <c r="B713" s="8">
        <v>47.025499655410059</v>
      </c>
      <c r="C713" s="8">
        <v>85.6</v>
      </c>
      <c r="D713" s="5">
        <v>1.66</v>
      </c>
      <c r="E713" s="5">
        <v>31.1</v>
      </c>
      <c r="F713" s="16" t="s">
        <v>1302</v>
      </c>
      <c r="G713" s="11">
        <v>0.504</v>
      </c>
      <c r="H713" s="5">
        <v>83.6</v>
      </c>
      <c r="I713" s="8">
        <v>66</v>
      </c>
      <c r="J713" s="8">
        <v>126</v>
      </c>
      <c r="K713" s="8">
        <v>222</v>
      </c>
      <c r="L713" s="8">
        <v>99</v>
      </c>
      <c r="M713" t="s">
        <v>33</v>
      </c>
      <c r="N713" s="16" t="s">
        <v>23</v>
      </c>
      <c r="O713" s="16" t="s">
        <v>23</v>
      </c>
      <c r="P713" s="16" t="s">
        <v>28</v>
      </c>
      <c r="Q713" s="10" t="s">
        <v>286</v>
      </c>
      <c r="R713" s="3" t="str">
        <f t="shared" si="22"/>
        <v>103</v>
      </c>
      <c r="S713" s="3" t="str">
        <f t="shared" si="23"/>
        <v>99</v>
      </c>
      <c r="T713" s="16" t="s">
        <v>38</v>
      </c>
      <c r="U713" s="3">
        <v>16.960925291295425</v>
      </c>
      <c r="V713" s="16" t="str">
        <f>PROPER(Table1[[#This Row],[CVD Risk Level]])</f>
        <v>High</v>
      </c>
    </row>
    <row r="714" spans="1:22" x14ac:dyDescent="0.3">
      <c r="A714" t="s">
        <v>20</v>
      </c>
      <c r="B714" s="8">
        <v>47</v>
      </c>
      <c r="C714" s="8">
        <v>82.2</v>
      </c>
      <c r="D714" s="5">
        <v>1.87</v>
      </c>
      <c r="E714" s="5">
        <v>23.5</v>
      </c>
      <c r="F714" s="16" t="s">
        <v>33</v>
      </c>
      <c r="G714" s="11">
        <v>0.48699999999999999</v>
      </c>
      <c r="H714" s="5">
        <v>91.069000000000003</v>
      </c>
      <c r="I714" s="8">
        <v>34</v>
      </c>
      <c r="J714" s="8">
        <v>153</v>
      </c>
      <c r="K714" s="8">
        <v>217</v>
      </c>
      <c r="L714" s="8">
        <v>103</v>
      </c>
      <c r="M714" t="s">
        <v>1306</v>
      </c>
      <c r="N714" s="16" t="s">
        <v>23</v>
      </c>
      <c r="O714" s="16" t="s">
        <v>23</v>
      </c>
      <c r="P714" s="16" t="s">
        <v>24</v>
      </c>
      <c r="Q714" s="10" t="s">
        <v>278</v>
      </c>
      <c r="R714" s="3" t="str">
        <f t="shared" si="22"/>
        <v>113</v>
      </c>
      <c r="S714" s="3" t="str">
        <f t="shared" si="23"/>
        <v>69</v>
      </c>
      <c r="T714" s="16" t="s">
        <v>33</v>
      </c>
      <c r="U714" s="3">
        <v>16.690000000000001</v>
      </c>
      <c r="V714" s="16" t="str">
        <f>PROPER(Table1[[#This Row],[CVD Risk Level]])</f>
        <v>High</v>
      </c>
    </row>
    <row r="715" spans="1:22" x14ac:dyDescent="0.3">
      <c r="A715" t="s">
        <v>20</v>
      </c>
      <c r="B715" s="8">
        <v>56</v>
      </c>
      <c r="C715" s="8">
        <v>113.9</v>
      </c>
      <c r="D715" s="5">
        <v>1.89</v>
      </c>
      <c r="E715" s="5">
        <v>31.9</v>
      </c>
      <c r="F715" s="16" t="s">
        <v>1302</v>
      </c>
      <c r="G715" s="11">
        <v>0.40400000000000003</v>
      </c>
      <c r="H715" s="5">
        <v>76.356000000000009</v>
      </c>
      <c r="I715" s="8">
        <v>61</v>
      </c>
      <c r="J715" s="8">
        <v>148</v>
      </c>
      <c r="K715" s="8">
        <v>239</v>
      </c>
      <c r="L715" s="8">
        <v>90</v>
      </c>
      <c r="M715" t="s">
        <v>33</v>
      </c>
      <c r="N715" s="16" t="s">
        <v>22</v>
      </c>
      <c r="O715" s="16" t="s">
        <v>23</v>
      </c>
      <c r="P715" s="16" t="s">
        <v>28</v>
      </c>
      <c r="Q715" s="10" t="s">
        <v>638</v>
      </c>
      <c r="R715" s="3" t="str">
        <f t="shared" si="22"/>
        <v>129</v>
      </c>
      <c r="S715" s="3" t="str">
        <f t="shared" si="23"/>
        <v>82</v>
      </c>
      <c r="T715" s="16" t="s">
        <v>29</v>
      </c>
      <c r="U715" s="3">
        <v>19.61</v>
      </c>
      <c r="V715" s="16" t="str">
        <f>PROPER(Table1[[#This Row],[CVD Risk Level]])</f>
        <v>High</v>
      </c>
    </row>
    <row r="716" spans="1:22" x14ac:dyDescent="0.3">
      <c r="A716" t="s">
        <v>20</v>
      </c>
      <c r="B716" s="8">
        <v>47.025499655410059</v>
      </c>
      <c r="C716" s="8">
        <v>86.8</v>
      </c>
      <c r="D716" s="5">
        <v>1.67</v>
      </c>
      <c r="E716" s="5">
        <v>31.1</v>
      </c>
      <c r="F716" s="16" t="s">
        <v>1302</v>
      </c>
      <c r="G716" s="11">
        <v>0.42899999999999999</v>
      </c>
      <c r="H716" s="5">
        <v>71.599999999999994</v>
      </c>
      <c r="I716" s="8">
        <v>53</v>
      </c>
      <c r="J716" s="8">
        <v>22</v>
      </c>
      <c r="K716" s="8">
        <v>105</v>
      </c>
      <c r="L716" s="8">
        <v>97</v>
      </c>
      <c r="M716" t="s">
        <v>33</v>
      </c>
      <c r="N716" s="16" t="s">
        <v>23</v>
      </c>
      <c r="O716" s="16" t="s">
        <v>23</v>
      </c>
      <c r="P716" s="16" t="s">
        <v>28</v>
      </c>
      <c r="Q716" s="10" t="s">
        <v>639</v>
      </c>
      <c r="R716" s="3" t="str">
        <f t="shared" si="22"/>
        <v>120</v>
      </c>
      <c r="S716" s="3" t="str">
        <f t="shared" si="23"/>
        <v>69</v>
      </c>
      <c r="T716" s="16" t="s">
        <v>25</v>
      </c>
      <c r="U716" s="3">
        <v>16.32</v>
      </c>
      <c r="V716" s="16" t="str">
        <f>PROPER(Table1[[#This Row],[CVD Risk Level]])</f>
        <v>High</v>
      </c>
    </row>
    <row r="717" spans="1:22" x14ac:dyDescent="0.3">
      <c r="A717" t="s">
        <v>31</v>
      </c>
      <c r="B717" s="8">
        <v>32</v>
      </c>
      <c r="C717" s="8">
        <v>53.1</v>
      </c>
      <c r="D717" s="5">
        <v>1.69</v>
      </c>
      <c r="E717" s="5">
        <v>18.600000000000001</v>
      </c>
      <c r="F717" s="16" t="s">
        <v>33</v>
      </c>
      <c r="G717" s="11">
        <v>0.49099999999999999</v>
      </c>
      <c r="H717" s="5">
        <v>82.9</v>
      </c>
      <c r="I717" s="8">
        <v>76</v>
      </c>
      <c r="J717" s="8">
        <v>86</v>
      </c>
      <c r="K717" s="8">
        <v>192</v>
      </c>
      <c r="L717" s="8">
        <v>103</v>
      </c>
      <c r="M717" t="s">
        <v>1306</v>
      </c>
      <c r="N717" s="16" t="s">
        <v>22</v>
      </c>
      <c r="O717" s="16" t="s">
        <v>22</v>
      </c>
      <c r="P717" s="16" t="s">
        <v>37</v>
      </c>
      <c r="Q717" s="10" t="s">
        <v>640</v>
      </c>
      <c r="R717" s="3" t="str">
        <f t="shared" si="22"/>
        <v>124</v>
      </c>
      <c r="S717" s="3" t="str">
        <f t="shared" si="23"/>
        <v>73</v>
      </c>
      <c r="T717" s="16" t="s">
        <v>25</v>
      </c>
      <c r="U717" s="3">
        <v>13.76</v>
      </c>
      <c r="V717" s="16" t="str">
        <f>PROPER(Table1[[#This Row],[CVD Risk Level]])</f>
        <v>Low</v>
      </c>
    </row>
    <row r="718" spans="1:22" x14ac:dyDescent="0.3">
      <c r="A718" t="s">
        <v>20</v>
      </c>
      <c r="B718" s="8">
        <v>55</v>
      </c>
      <c r="C718" s="8">
        <v>79.7</v>
      </c>
      <c r="D718" s="5">
        <v>1.78</v>
      </c>
      <c r="E718" s="5">
        <v>25.2</v>
      </c>
      <c r="F718" s="16" t="s">
        <v>1303</v>
      </c>
      <c r="G718" s="11">
        <v>0.48799999999999999</v>
      </c>
      <c r="H718" s="5">
        <v>86.9</v>
      </c>
      <c r="I718" s="8">
        <v>36</v>
      </c>
      <c r="J718" s="8">
        <v>182</v>
      </c>
      <c r="K718" s="8">
        <v>248</v>
      </c>
      <c r="L718" s="8">
        <v>73</v>
      </c>
      <c r="M718" t="s">
        <v>33</v>
      </c>
      <c r="N718" s="16" t="s">
        <v>23</v>
      </c>
      <c r="O718" s="16" t="s">
        <v>23</v>
      </c>
      <c r="P718" s="16" t="s">
        <v>37</v>
      </c>
      <c r="Q718" s="10" t="s">
        <v>641</v>
      </c>
      <c r="R718" s="3" t="str">
        <f t="shared" si="22"/>
        <v>140</v>
      </c>
      <c r="S718" s="3" t="str">
        <f t="shared" si="23"/>
        <v>62</v>
      </c>
      <c r="T718" s="16" t="s">
        <v>38</v>
      </c>
      <c r="U718" s="3">
        <v>19</v>
      </c>
      <c r="V718" s="16" t="str">
        <f>PROPER(Table1[[#This Row],[CVD Risk Level]])</f>
        <v>High</v>
      </c>
    </row>
    <row r="719" spans="1:22" x14ac:dyDescent="0.3">
      <c r="A719" t="s">
        <v>31</v>
      </c>
      <c r="B719" s="8">
        <v>34</v>
      </c>
      <c r="C719" s="8">
        <v>115.8</v>
      </c>
      <c r="D719" s="5">
        <v>1.61</v>
      </c>
      <c r="E719" s="5">
        <v>44.7</v>
      </c>
      <c r="F719" s="16" t="s">
        <v>1302</v>
      </c>
      <c r="G719" s="11">
        <v>0.505</v>
      </c>
      <c r="H719" s="5">
        <v>81.3</v>
      </c>
      <c r="I719" s="8">
        <v>64</v>
      </c>
      <c r="J719" s="8">
        <v>138</v>
      </c>
      <c r="K719" s="8">
        <v>232</v>
      </c>
      <c r="L719" s="8">
        <v>89</v>
      </c>
      <c r="M719" t="s">
        <v>33</v>
      </c>
      <c r="N719" s="16" t="s">
        <v>22</v>
      </c>
      <c r="O719" s="16" t="s">
        <v>23</v>
      </c>
      <c r="P719" s="16" t="s">
        <v>37</v>
      </c>
      <c r="Q719" s="10" t="s">
        <v>55</v>
      </c>
      <c r="R719" s="3" t="str">
        <f t="shared" si="22"/>
        <v>120</v>
      </c>
      <c r="S719" s="3" t="str">
        <f t="shared" si="23"/>
        <v>89</v>
      </c>
      <c r="T719" s="16" t="s">
        <v>29</v>
      </c>
      <c r="U719" s="3">
        <v>21.58</v>
      </c>
      <c r="V719" s="16" t="str">
        <f>PROPER(Table1[[#This Row],[CVD Risk Level]])</f>
        <v>High</v>
      </c>
    </row>
    <row r="720" spans="1:22" x14ac:dyDescent="0.3">
      <c r="A720" t="s">
        <v>20</v>
      </c>
      <c r="B720" s="8">
        <v>34</v>
      </c>
      <c r="C720" s="8">
        <v>111.3</v>
      </c>
      <c r="D720" s="5">
        <v>1.63</v>
      </c>
      <c r="E720" s="5">
        <v>41.9</v>
      </c>
      <c r="F720" s="16" t="s">
        <v>1302</v>
      </c>
      <c r="G720" s="11">
        <v>0.58199999999999996</v>
      </c>
      <c r="H720" s="5">
        <v>94.9</v>
      </c>
      <c r="I720" s="8">
        <v>41</v>
      </c>
      <c r="J720" s="8">
        <v>153</v>
      </c>
      <c r="K720" s="8">
        <v>224</v>
      </c>
      <c r="L720" s="8">
        <v>78</v>
      </c>
      <c r="M720" t="s">
        <v>33</v>
      </c>
      <c r="N720" s="16" t="s">
        <v>23</v>
      </c>
      <c r="O720" s="16" t="s">
        <v>23</v>
      </c>
      <c r="P720" s="16" t="s">
        <v>37</v>
      </c>
      <c r="Q720" s="10" t="s">
        <v>640</v>
      </c>
      <c r="R720" s="3" t="str">
        <f t="shared" si="22"/>
        <v>124</v>
      </c>
      <c r="S720" s="3" t="str">
        <f t="shared" si="23"/>
        <v>73</v>
      </c>
      <c r="T720" s="16" t="s">
        <v>25</v>
      </c>
      <c r="U720" s="3">
        <v>21.06</v>
      </c>
      <c r="V720" s="16" t="str">
        <f>PROPER(Table1[[#This Row],[CVD Risk Level]])</f>
        <v>High</v>
      </c>
    </row>
    <row r="721" spans="1:22" x14ac:dyDescent="0.3">
      <c r="A721" t="s">
        <v>20</v>
      </c>
      <c r="B721" s="8">
        <v>41</v>
      </c>
      <c r="C721" s="8">
        <v>91.8</v>
      </c>
      <c r="D721" s="5">
        <v>1.76</v>
      </c>
      <c r="E721" s="5">
        <v>29.6</v>
      </c>
      <c r="F721" s="16" t="s">
        <v>1303</v>
      </c>
      <c r="G721" s="11">
        <v>0.40300000000000002</v>
      </c>
      <c r="H721" s="5">
        <v>71</v>
      </c>
      <c r="I721" s="8">
        <v>73</v>
      </c>
      <c r="J721" s="8">
        <v>153</v>
      </c>
      <c r="K721" s="8">
        <v>256</v>
      </c>
      <c r="L721" s="8">
        <v>134</v>
      </c>
      <c r="M721" t="s">
        <v>1307</v>
      </c>
      <c r="N721" s="16" t="s">
        <v>23</v>
      </c>
      <c r="O721" s="16" t="s">
        <v>23</v>
      </c>
      <c r="P721" s="16" t="s">
        <v>24</v>
      </c>
      <c r="Q721" s="10" t="s">
        <v>642</v>
      </c>
      <c r="R721" s="3" t="str">
        <f t="shared" si="22"/>
        <v>148</v>
      </c>
      <c r="S721" s="3" t="str">
        <f t="shared" si="23"/>
        <v>67</v>
      </c>
      <c r="T721" s="16" t="s">
        <v>38</v>
      </c>
      <c r="U721" s="3">
        <v>20.440000000000001</v>
      </c>
      <c r="V721" s="16" t="str">
        <f>PROPER(Table1[[#This Row],[CVD Risk Level]])</f>
        <v>High</v>
      </c>
    </row>
    <row r="722" spans="1:22" x14ac:dyDescent="0.3">
      <c r="A722" t="s">
        <v>31</v>
      </c>
      <c r="B722" s="8">
        <v>47</v>
      </c>
      <c r="C722" s="8">
        <v>117</v>
      </c>
      <c r="D722" s="5">
        <v>1.699673171197595</v>
      </c>
      <c r="E722" s="5">
        <v>40.5</v>
      </c>
      <c r="F722" s="16" t="s">
        <v>1302</v>
      </c>
      <c r="G722" s="11">
        <v>0.47799999999999998</v>
      </c>
      <c r="H722" s="5">
        <v>81.3</v>
      </c>
      <c r="I722" s="8">
        <v>67</v>
      </c>
      <c r="J722" s="8">
        <v>141</v>
      </c>
      <c r="K722" s="8">
        <v>238</v>
      </c>
      <c r="L722" s="8">
        <v>96</v>
      </c>
      <c r="M722" t="s">
        <v>33</v>
      </c>
      <c r="N722" s="16" t="s">
        <v>23</v>
      </c>
      <c r="O722" s="16" t="s">
        <v>22</v>
      </c>
      <c r="P722" s="16" t="s">
        <v>28</v>
      </c>
      <c r="Q722" s="10" t="s">
        <v>643</v>
      </c>
      <c r="R722" s="3" t="str">
        <f t="shared" si="22"/>
        <v>122</v>
      </c>
      <c r="S722" s="3" t="str">
        <f t="shared" si="23"/>
        <v>74</v>
      </c>
      <c r="T722" s="16" t="s">
        <v>25</v>
      </c>
      <c r="U722" s="3">
        <v>18.96</v>
      </c>
      <c r="V722" s="16" t="str">
        <f>PROPER(Table1[[#This Row],[CVD Risk Level]])</f>
        <v>High</v>
      </c>
    </row>
    <row r="723" spans="1:22" x14ac:dyDescent="0.3">
      <c r="A723" t="s">
        <v>31</v>
      </c>
      <c r="B723" s="8">
        <v>32</v>
      </c>
      <c r="C723" s="8">
        <v>110.5</v>
      </c>
      <c r="D723" s="5">
        <v>1.76</v>
      </c>
      <c r="E723" s="5">
        <v>35.700000000000003</v>
      </c>
      <c r="F723" s="16" t="s">
        <v>1302</v>
      </c>
      <c r="G723" s="11">
        <v>0.497</v>
      </c>
      <c r="H723" s="5">
        <v>87.5</v>
      </c>
      <c r="I723" s="8">
        <v>44</v>
      </c>
      <c r="J723" s="8">
        <v>76</v>
      </c>
      <c r="K723" s="8">
        <v>150</v>
      </c>
      <c r="L723" s="8">
        <v>136</v>
      </c>
      <c r="M723" t="s">
        <v>1307</v>
      </c>
      <c r="N723" s="16" t="s">
        <v>23</v>
      </c>
      <c r="O723" s="16" t="s">
        <v>22</v>
      </c>
      <c r="P723" s="16" t="s">
        <v>37</v>
      </c>
      <c r="Q723" s="10" t="s">
        <v>644</v>
      </c>
      <c r="R723" s="3" t="str">
        <f t="shared" si="22"/>
        <v>119</v>
      </c>
      <c r="S723" s="3" t="str">
        <f t="shared" si="23"/>
        <v>74</v>
      </c>
      <c r="T723" s="16" t="s">
        <v>33</v>
      </c>
      <c r="U723" s="3">
        <v>16.09</v>
      </c>
      <c r="V723" s="16" t="str">
        <f>PROPER(Table1[[#This Row],[CVD Risk Level]])</f>
        <v>Intermediary</v>
      </c>
    </row>
    <row r="724" spans="1:22" x14ac:dyDescent="0.3">
      <c r="A724" t="s">
        <v>31</v>
      </c>
      <c r="B724" s="8">
        <v>40</v>
      </c>
      <c r="C724" s="8">
        <v>110.52704</v>
      </c>
      <c r="D724" s="5">
        <v>1.63</v>
      </c>
      <c r="E724" s="5">
        <v>41.6</v>
      </c>
      <c r="F724" s="16" t="s">
        <v>1302</v>
      </c>
      <c r="G724" s="11">
        <v>0.66700000000000004</v>
      </c>
      <c r="H724" s="5">
        <v>108.7</v>
      </c>
      <c r="I724" s="8">
        <v>56.197377501725327</v>
      </c>
      <c r="J724" s="8">
        <v>172</v>
      </c>
      <c r="K724" s="8">
        <v>273</v>
      </c>
      <c r="L724" s="8">
        <v>71</v>
      </c>
      <c r="M724" t="s">
        <v>33</v>
      </c>
      <c r="N724" s="16" t="s">
        <v>23</v>
      </c>
      <c r="O724" s="16" t="s">
        <v>23</v>
      </c>
      <c r="P724" s="16" t="s">
        <v>37</v>
      </c>
      <c r="Q724" s="10" t="s">
        <v>645</v>
      </c>
      <c r="R724" s="3" t="str">
        <f t="shared" si="22"/>
        <v>122</v>
      </c>
      <c r="S724" s="3" t="str">
        <f t="shared" si="23"/>
        <v>73</v>
      </c>
      <c r="T724" s="16" t="s">
        <v>25</v>
      </c>
      <c r="U724" s="3">
        <v>21.88</v>
      </c>
      <c r="V724" s="16" t="str">
        <f>PROPER(Table1[[#This Row],[CVD Risk Level]])</f>
        <v>High</v>
      </c>
    </row>
    <row r="725" spans="1:22" x14ac:dyDescent="0.3">
      <c r="A725" t="s">
        <v>20</v>
      </c>
      <c r="B725" s="8">
        <v>43</v>
      </c>
      <c r="C725" s="8">
        <v>115.5</v>
      </c>
      <c r="D725" s="5">
        <v>1.88</v>
      </c>
      <c r="E725" s="5">
        <v>32.700000000000003</v>
      </c>
      <c r="F725" s="16" t="s">
        <v>1302</v>
      </c>
      <c r="G725" s="11">
        <v>0.39600000000000002</v>
      </c>
      <c r="H725" s="5">
        <v>74.5</v>
      </c>
      <c r="I725" s="8">
        <v>62</v>
      </c>
      <c r="J725" s="8">
        <v>140</v>
      </c>
      <c r="K725" s="8">
        <v>232</v>
      </c>
      <c r="L725" s="8">
        <v>142</v>
      </c>
      <c r="M725" t="s">
        <v>1307</v>
      </c>
      <c r="N725" s="16" t="s">
        <v>23</v>
      </c>
      <c r="O725" s="16" t="s">
        <v>23</v>
      </c>
      <c r="P725" s="16" t="s">
        <v>28</v>
      </c>
      <c r="Q725" s="10" t="s">
        <v>646</v>
      </c>
      <c r="R725" s="3" t="str">
        <f t="shared" si="22"/>
        <v>131</v>
      </c>
      <c r="S725" s="3" t="str">
        <f t="shared" si="23"/>
        <v>68</v>
      </c>
      <c r="T725" s="16" t="s">
        <v>29</v>
      </c>
      <c r="U725" s="3">
        <v>19.73</v>
      </c>
      <c r="V725" s="16" t="str">
        <f>PROPER(Table1[[#This Row],[CVD Risk Level]])</f>
        <v>High</v>
      </c>
    </row>
    <row r="726" spans="1:22" x14ac:dyDescent="0.3">
      <c r="A726" t="s">
        <v>31</v>
      </c>
      <c r="B726" s="8">
        <v>49</v>
      </c>
      <c r="C726" s="8">
        <v>68.2</v>
      </c>
      <c r="D726" s="5">
        <v>1.87</v>
      </c>
      <c r="E726" s="5">
        <v>19.5</v>
      </c>
      <c r="F726" s="16" t="s">
        <v>33</v>
      </c>
      <c r="G726" s="11">
        <v>0.42399999999999999</v>
      </c>
      <c r="H726" s="5">
        <v>79.3</v>
      </c>
      <c r="I726" s="8">
        <v>56</v>
      </c>
      <c r="J726" s="8">
        <v>89</v>
      </c>
      <c r="K726" s="8">
        <v>175</v>
      </c>
      <c r="L726" s="8">
        <v>139</v>
      </c>
      <c r="M726" t="s">
        <v>1307</v>
      </c>
      <c r="N726" s="16" t="s">
        <v>22</v>
      </c>
      <c r="O726" s="16" t="s">
        <v>22</v>
      </c>
      <c r="P726" s="16" t="s">
        <v>37</v>
      </c>
      <c r="Q726" s="10" t="s">
        <v>647</v>
      </c>
      <c r="R726" s="3" t="str">
        <f t="shared" si="22"/>
        <v>107</v>
      </c>
      <c r="S726" s="3" t="str">
        <f t="shared" si="23"/>
        <v>100</v>
      </c>
      <c r="T726" s="16" t="s">
        <v>38</v>
      </c>
      <c r="U726" s="3">
        <v>12.75</v>
      </c>
      <c r="V726" s="16" t="str">
        <f>PROPER(Table1[[#This Row],[CVD Risk Level]])</f>
        <v>Intermediary</v>
      </c>
    </row>
    <row r="727" spans="1:22" x14ac:dyDescent="0.3">
      <c r="A727" t="s">
        <v>31</v>
      </c>
      <c r="B727" s="8">
        <v>60</v>
      </c>
      <c r="C727" s="8">
        <v>113.3</v>
      </c>
      <c r="D727" s="5">
        <v>1.81</v>
      </c>
      <c r="E727" s="5">
        <v>34.6</v>
      </c>
      <c r="F727" s="16" t="s">
        <v>1302</v>
      </c>
      <c r="G727" s="11">
        <v>0.46200000000000002</v>
      </c>
      <c r="H727" s="5">
        <v>83.7</v>
      </c>
      <c r="I727" s="8">
        <v>44</v>
      </c>
      <c r="J727" s="8">
        <v>103</v>
      </c>
      <c r="K727" s="8">
        <v>177</v>
      </c>
      <c r="L727" s="8">
        <v>74</v>
      </c>
      <c r="M727" t="s">
        <v>33</v>
      </c>
      <c r="N727" s="16" t="s">
        <v>22</v>
      </c>
      <c r="O727" s="16" t="s">
        <v>23</v>
      </c>
      <c r="P727" s="16" t="s">
        <v>37</v>
      </c>
      <c r="Q727" s="10" t="s">
        <v>648</v>
      </c>
      <c r="R727" s="3" t="str">
        <f t="shared" si="22"/>
        <v>95</v>
      </c>
      <c r="S727" s="3" t="str">
        <f t="shared" si="23"/>
        <v>82</v>
      </c>
      <c r="T727" s="16" t="s">
        <v>29</v>
      </c>
      <c r="U727" s="3">
        <v>17.21</v>
      </c>
      <c r="V727" s="16" t="str">
        <f>PROPER(Table1[[#This Row],[CVD Risk Level]])</f>
        <v>Intermediary</v>
      </c>
    </row>
    <row r="728" spans="1:22" x14ac:dyDescent="0.3">
      <c r="A728" t="s">
        <v>20</v>
      </c>
      <c r="B728" s="8">
        <v>34</v>
      </c>
      <c r="C728" s="8">
        <v>67.2</v>
      </c>
      <c r="D728" s="5">
        <v>1.82</v>
      </c>
      <c r="E728" s="5">
        <v>20.3</v>
      </c>
      <c r="F728" s="16" t="s">
        <v>33</v>
      </c>
      <c r="G728" s="11">
        <v>0.60199999999999998</v>
      </c>
      <c r="H728" s="5">
        <v>109.5</v>
      </c>
      <c r="I728" s="8">
        <v>66</v>
      </c>
      <c r="J728" s="8">
        <v>194</v>
      </c>
      <c r="K728" s="8">
        <v>290</v>
      </c>
      <c r="L728" s="8">
        <v>96</v>
      </c>
      <c r="M728" t="s">
        <v>33</v>
      </c>
      <c r="N728" s="16" t="s">
        <v>23</v>
      </c>
      <c r="O728" s="16" t="s">
        <v>23</v>
      </c>
      <c r="P728" s="16" t="s">
        <v>37</v>
      </c>
      <c r="Q728" s="10" t="s">
        <v>649</v>
      </c>
      <c r="R728" s="3" t="str">
        <f t="shared" si="22"/>
        <v>96</v>
      </c>
      <c r="S728" s="3" t="str">
        <f t="shared" si="23"/>
        <v>60</v>
      </c>
      <c r="T728" s="16" t="s">
        <v>33</v>
      </c>
      <c r="U728" s="3">
        <v>16.66</v>
      </c>
      <c r="V728" s="16" t="str">
        <f>PROPER(Table1[[#This Row],[CVD Risk Level]])</f>
        <v>Intermediary</v>
      </c>
    </row>
    <row r="729" spans="1:22" x14ac:dyDescent="0.3">
      <c r="A729" t="s">
        <v>31</v>
      </c>
      <c r="B729" s="8">
        <v>30</v>
      </c>
      <c r="C729" s="8">
        <v>78</v>
      </c>
      <c r="D729" s="5">
        <v>1.71</v>
      </c>
      <c r="E729" s="5">
        <v>26.7</v>
      </c>
      <c r="F729" s="16" t="s">
        <v>1303</v>
      </c>
      <c r="G729" s="11">
        <v>0.59699999999999998</v>
      </c>
      <c r="H729" s="5">
        <v>102.1</v>
      </c>
      <c r="I729" s="8">
        <v>56.197377501725327</v>
      </c>
      <c r="J729" s="8">
        <v>168</v>
      </c>
      <c r="K729" s="8">
        <v>275</v>
      </c>
      <c r="L729" s="8">
        <v>108</v>
      </c>
      <c r="M729" t="s">
        <v>1306</v>
      </c>
      <c r="N729" s="16" t="s">
        <v>22</v>
      </c>
      <c r="O729" s="16" t="s">
        <v>22</v>
      </c>
      <c r="P729" s="16" t="s">
        <v>28</v>
      </c>
      <c r="Q729" s="10" t="s">
        <v>645</v>
      </c>
      <c r="R729" s="3" t="str">
        <f t="shared" si="22"/>
        <v>122</v>
      </c>
      <c r="S729" s="3" t="str">
        <f t="shared" si="23"/>
        <v>73</v>
      </c>
      <c r="T729" s="16" t="s">
        <v>25</v>
      </c>
      <c r="U729" s="3">
        <v>16.940000000000001</v>
      </c>
      <c r="V729" s="16" t="str">
        <f>PROPER(Table1[[#This Row],[CVD Risk Level]])</f>
        <v>Intermediary</v>
      </c>
    </row>
    <row r="730" spans="1:22" x14ac:dyDescent="0.3">
      <c r="A730" t="s">
        <v>31</v>
      </c>
      <c r="B730" s="8">
        <v>42</v>
      </c>
      <c r="C730" s="8">
        <v>115.8</v>
      </c>
      <c r="D730" s="5">
        <v>1.74</v>
      </c>
      <c r="E730" s="5">
        <v>38.200000000000003</v>
      </c>
      <c r="F730" s="16" t="s">
        <v>1302</v>
      </c>
      <c r="G730" s="11">
        <v>0.51</v>
      </c>
      <c r="H730" s="5">
        <v>88.8</v>
      </c>
      <c r="I730" s="8">
        <v>66</v>
      </c>
      <c r="J730" s="8">
        <v>153</v>
      </c>
      <c r="K730" s="8">
        <v>249</v>
      </c>
      <c r="L730" s="8">
        <v>92</v>
      </c>
      <c r="M730" t="s">
        <v>33</v>
      </c>
      <c r="N730" s="16" t="s">
        <v>23</v>
      </c>
      <c r="O730" s="16" t="s">
        <v>23</v>
      </c>
      <c r="P730" s="16" t="s">
        <v>37</v>
      </c>
      <c r="Q730" s="10" t="s">
        <v>650</v>
      </c>
      <c r="R730" s="3" t="str">
        <f t="shared" si="22"/>
        <v>143</v>
      </c>
      <c r="S730" s="3" t="str">
        <f t="shared" si="23"/>
        <v>82</v>
      </c>
      <c r="T730" s="16" t="s">
        <v>29</v>
      </c>
      <c r="U730" s="3">
        <v>21.77</v>
      </c>
      <c r="V730" s="16" t="str">
        <f>PROPER(Table1[[#This Row],[CVD Risk Level]])</f>
        <v>High</v>
      </c>
    </row>
    <row r="731" spans="1:22" x14ac:dyDescent="0.3">
      <c r="A731" t="s">
        <v>31</v>
      </c>
      <c r="B731" s="8">
        <v>37</v>
      </c>
      <c r="C731" s="8">
        <v>112.7</v>
      </c>
      <c r="D731" s="5">
        <v>1.64</v>
      </c>
      <c r="E731" s="5">
        <v>41.9</v>
      </c>
      <c r="F731" s="16" t="s">
        <v>1302</v>
      </c>
      <c r="G731" s="11">
        <v>0.46400000000000002</v>
      </c>
      <c r="H731" s="5">
        <v>76.099999999999994</v>
      </c>
      <c r="I731" s="8">
        <v>68</v>
      </c>
      <c r="J731" s="8">
        <v>91</v>
      </c>
      <c r="K731" s="8">
        <v>189</v>
      </c>
      <c r="L731" s="8">
        <v>111</v>
      </c>
      <c r="M731" t="s">
        <v>1306</v>
      </c>
      <c r="N731" s="16" t="s">
        <v>23</v>
      </c>
      <c r="O731" s="16" t="s">
        <v>23</v>
      </c>
      <c r="P731" s="16" t="s">
        <v>28</v>
      </c>
      <c r="Q731" s="10" t="s">
        <v>651</v>
      </c>
      <c r="R731" s="3" t="str">
        <f t="shared" si="22"/>
        <v>98</v>
      </c>
      <c r="S731" s="3" t="str">
        <f t="shared" si="23"/>
        <v>92</v>
      </c>
      <c r="T731" s="16" t="s">
        <v>38</v>
      </c>
      <c r="U731" s="3">
        <v>19.059999999999999</v>
      </c>
      <c r="V731" s="16" t="str">
        <f>PROPER(Table1[[#This Row],[CVD Risk Level]])</f>
        <v>High</v>
      </c>
    </row>
    <row r="732" spans="1:22" x14ac:dyDescent="0.3">
      <c r="A732" t="s">
        <v>31</v>
      </c>
      <c r="B732" s="8">
        <v>48</v>
      </c>
      <c r="C732" s="8">
        <v>117.8</v>
      </c>
      <c r="D732" s="5">
        <v>1.85</v>
      </c>
      <c r="E732" s="5">
        <v>34.4</v>
      </c>
      <c r="F732" s="16" t="s">
        <v>1302</v>
      </c>
      <c r="G732" s="11">
        <v>0.504</v>
      </c>
      <c r="H732" s="5">
        <v>93.3</v>
      </c>
      <c r="I732" s="8">
        <v>42</v>
      </c>
      <c r="J732" s="8">
        <v>109</v>
      </c>
      <c r="K732" s="8">
        <v>141</v>
      </c>
      <c r="L732" s="8">
        <v>106</v>
      </c>
      <c r="M732" t="s">
        <v>1306</v>
      </c>
      <c r="N732" s="16" t="s">
        <v>22</v>
      </c>
      <c r="O732" s="16" t="s">
        <v>22</v>
      </c>
      <c r="P732" s="16" t="s">
        <v>24</v>
      </c>
      <c r="Q732" s="10" t="s">
        <v>652</v>
      </c>
      <c r="R732" s="3" t="str">
        <f t="shared" si="22"/>
        <v>110</v>
      </c>
      <c r="S732" s="3" t="str">
        <f t="shared" si="23"/>
        <v>76</v>
      </c>
      <c r="T732" s="16" t="s">
        <v>33</v>
      </c>
      <c r="U732" s="3">
        <v>15.2</v>
      </c>
      <c r="V732" s="16" t="str">
        <f>PROPER(Table1[[#This Row],[CVD Risk Level]])</f>
        <v>Intermediary</v>
      </c>
    </row>
    <row r="733" spans="1:22" x14ac:dyDescent="0.3">
      <c r="A733" t="s">
        <v>20</v>
      </c>
      <c r="B733" s="8">
        <v>60</v>
      </c>
      <c r="C733" s="8">
        <v>116.2</v>
      </c>
      <c r="D733" s="5">
        <v>1.7793854371832836</v>
      </c>
      <c r="E733" s="5">
        <v>36.700000000000003</v>
      </c>
      <c r="F733" s="16" t="s">
        <v>1302</v>
      </c>
      <c r="G733" s="11">
        <v>0.54900000000000004</v>
      </c>
      <c r="H733" s="5">
        <v>97.8</v>
      </c>
      <c r="I733" s="8">
        <v>52</v>
      </c>
      <c r="J733" s="8">
        <v>106</v>
      </c>
      <c r="K733" s="8">
        <v>188</v>
      </c>
      <c r="L733" s="8">
        <v>97</v>
      </c>
      <c r="M733" t="s">
        <v>33</v>
      </c>
      <c r="N733" s="16" t="s">
        <v>23</v>
      </c>
      <c r="O733" s="16" t="s">
        <v>22</v>
      </c>
      <c r="P733" s="16" t="s">
        <v>37</v>
      </c>
      <c r="Q733" s="10" t="s">
        <v>653</v>
      </c>
      <c r="R733" s="3" t="str">
        <f t="shared" si="22"/>
        <v>112</v>
      </c>
      <c r="S733" s="3" t="str">
        <f t="shared" si="23"/>
        <v>80</v>
      </c>
      <c r="T733" s="16" t="s">
        <v>29</v>
      </c>
      <c r="U733" s="3">
        <v>16.7</v>
      </c>
      <c r="V733" s="16" t="str">
        <f>PROPER(Table1[[#This Row],[CVD Risk Level]])</f>
        <v>Intermediary</v>
      </c>
    </row>
    <row r="734" spans="1:22" x14ac:dyDescent="0.3">
      <c r="A734" t="s">
        <v>31</v>
      </c>
      <c r="B734" s="8">
        <v>44</v>
      </c>
      <c r="C734" s="8">
        <v>97.8</v>
      </c>
      <c r="D734" s="5">
        <v>1.89</v>
      </c>
      <c r="E734" s="5">
        <v>27.4</v>
      </c>
      <c r="F734" s="16" t="s">
        <v>1303</v>
      </c>
      <c r="G734" s="11">
        <v>0.48599999999999999</v>
      </c>
      <c r="H734" s="5">
        <v>91.9</v>
      </c>
      <c r="I734" s="8">
        <v>61</v>
      </c>
      <c r="J734" s="8">
        <v>75</v>
      </c>
      <c r="K734" s="8">
        <v>166</v>
      </c>
      <c r="L734" s="8">
        <v>143</v>
      </c>
      <c r="M734" t="s">
        <v>1307</v>
      </c>
      <c r="N734" s="16" t="s">
        <v>23</v>
      </c>
      <c r="O734" s="16" t="s">
        <v>23</v>
      </c>
      <c r="P734" s="16" t="s">
        <v>37</v>
      </c>
      <c r="Q734" s="10" t="s">
        <v>446</v>
      </c>
      <c r="R734" s="3" t="str">
        <f t="shared" si="22"/>
        <v>129</v>
      </c>
      <c r="S734" s="3" t="str">
        <f t="shared" si="23"/>
        <v>61</v>
      </c>
      <c r="T734" s="16" t="s">
        <v>25</v>
      </c>
      <c r="U734" s="3">
        <v>17.25</v>
      </c>
      <c r="V734" s="16" t="str">
        <f>PROPER(Table1[[#This Row],[CVD Risk Level]])</f>
        <v>High</v>
      </c>
    </row>
    <row r="735" spans="1:22" x14ac:dyDescent="0.3">
      <c r="A735" t="s">
        <v>20</v>
      </c>
      <c r="B735" s="8">
        <v>58</v>
      </c>
      <c r="C735" s="8">
        <v>115</v>
      </c>
      <c r="D735" s="5">
        <v>1.81</v>
      </c>
      <c r="E735" s="5">
        <v>35.1</v>
      </c>
      <c r="F735" s="16" t="s">
        <v>1302</v>
      </c>
      <c r="G735" s="11">
        <v>0.59199999999999997</v>
      </c>
      <c r="H735" s="5">
        <v>107.1</v>
      </c>
      <c r="I735" s="8">
        <v>68</v>
      </c>
      <c r="J735" s="8">
        <v>195</v>
      </c>
      <c r="K735" s="8">
        <v>293</v>
      </c>
      <c r="L735" s="8">
        <v>124</v>
      </c>
      <c r="M735" t="s">
        <v>1306</v>
      </c>
      <c r="N735" s="16" t="s">
        <v>23</v>
      </c>
      <c r="O735" s="16" t="s">
        <v>23</v>
      </c>
      <c r="P735" s="16" t="s">
        <v>24</v>
      </c>
      <c r="Q735" s="10" t="s">
        <v>228</v>
      </c>
      <c r="R735" s="3" t="str">
        <f t="shared" si="22"/>
        <v>139</v>
      </c>
      <c r="S735" s="3" t="str">
        <f t="shared" si="23"/>
        <v>76</v>
      </c>
      <c r="T735" s="16" t="s">
        <v>29</v>
      </c>
      <c r="U735" s="3">
        <v>21.83</v>
      </c>
      <c r="V735" s="16" t="str">
        <f>PROPER(Table1[[#This Row],[CVD Risk Level]])</f>
        <v>High</v>
      </c>
    </row>
    <row r="736" spans="1:22" x14ac:dyDescent="0.3">
      <c r="A736" t="s">
        <v>31</v>
      </c>
      <c r="B736" s="8">
        <v>60</v>
      </c>
      <c r="C736" s="8">
        <v>78.599999999999994</v>
      </c>
      <c r="D736" s="5">
        <v>1.8</v>
      </c>
      <c r="E736" s="5">
        <v>24.3</v>
      </c>
      <c r="F736" s="16" t="s">
        <v>33</v>
      </c>
      <c r="G736" s="11">
        <v>0.58699999999999997</v>
      </c>
      <c r="H736" s="5">
        <v>105.7</v>
      </c>
      <c r="I736" s="8">
        <v>37</v>
      </c>
      <c r="J736" s="8">
        <v>74</v>
      </c>
      <c r="K736" s="8">
        <v>141</v>
      </c>
      <c r="L736" s="8">
        <v>80</v>
      </c>
      <c r="M736" t="s">
        <v>33</v>
      </c>
      <c r="N736" s="16" t="s">
        <v>23</v>
      </c>
      <c r="O736" s="16" t="s">
        <v>22</v>
      </c>
      <c r="P736" s="16" t="s">
        <v>24</v>
      </c>
      <c r="Q736" s="10" t="s">
        <v>207</v>
      </c>
      <c r="R736" s="3" t="str">
        <f t="shared" si="22"/>
        <v>130</v>
      </c>
      <c r="S736" s="3" t="str">
        <f t="shared" si="23"/>
        <v>71</v>
      </c>
      <c r="T736" s="16" t="s">
        <v>29</v>
      </c>
      <c r="U736" s="3">
        <v>14.18</v>
      </c>
      <c r="V736" s="16" t="str">
        <f>PROPER(Table1[[#This Row],[CVD Risk Level]])</f>
        <v>High</v>
      </c>
    </row>
    <row r="737" spans="1:22" x14ac:dyDescent="0.3">
      <c r="A737" t="s">
        <v>20</v>
      </c>
      <c r="B737" s="8">
        <v>46</v>
      </c>
      <c r="C737" s="8">
        <v>74.5</v>
      </c>
      <c r="D737" s="5">
        <v>1.81</v>
      </c>
      <c r="E737" s="5">
        <v>22.7</v>
      </c>
      <c r="F737" s="16" t="s">
        <v>33</v>
      </c>
      <c r="G737" s="11">
        <v>0.436</v>
      </c>
      <c r="H737" s="5">
        <v>79</v>
      </c>
      <c r="I737" s="8">
        <v>56.197377501725327</v>
      </c>
      <c r="J737" s="8">
        <v>132</v>
      </c>
      <c r="K737" s="8">
        <v>231</v>
      </c>
      <c r="L737" s="8">
        <v>97</v>
      </c>
      <c r="M737" t="s">
        <v>33</v>
      </c>
      <c r="N737" s="16" t="s">
        <v>22</v>
      </c>
      <c r="O737" s="16" t="s">
        <v>22</v>
      </c>
      <c r="P737" s="16" t="s">
        <v>37</v>
      </c>
      <c r="Q737" s="10" t="s">
        <v>356</v>
      </c>
      <c r="R737" s="3" t="str">
        <f t="shared" si="22"/>
        <v>129</v>
      </c>
      <c r="S737" s="3" t="str">
        <f t="shared" si="23"/>
        <v>80</v>
      </c>
      <c r="T737" s="16" t="s">
        <v>29</v>
      </c>
      <c r="U737" s="3">
        <v>15.61</v>
      </c>
      <c r="V737" s="16" t="str">
        <f>PROPER(Table1[[#This Row],[CVD Risk Level]])</f>
        <v>Intermediary</v>
      </c>
    </row>
    <row r="738" spans="1:22" x14ac:dyDescent="0.3">
      <c r="A738" t="s">
        <v>20</v>
      </c>
      <c r="B738" s="8">
        <v>44</v>
      </c>
      <c r="C738" s="8">
        <v>81.7</v>
      </c>
      <c r="D738" s="5">
        <v>1.61</v>
      </c>
      <c r="E738" s="5">
        <v>31.5</v>
      </c>
      <c r="F738" s="16" t="s">
        <v>1302</v>
      </c>
      <c r="G738" s="11">
        <v>0.44</v>
      </c>
      <c r="H738" s="5">
        <v>70.8</v>
      </c>
      <c r="I738" s="8">
        <v>70</v>
      </c>
      <c r="J738" s="8">
        <v>40</v>
      </c>
      <c r="K738" s="8">
        <v>140</v>
      </c>
      <c r="L738" s="8">
        <v>108</v>
      </c>
      <c r="M738" t="s">
        <v>1306</v>
      </c>
      <c r="N738" s="16" t="s">
        <v>22</v>
      </c>
      <c r="O738" s="16" t="s">
        <v>23</v>
      </c>
      <c r="P738" s="16" t="s">
        <v>24</v>
      </c>
      <c r="Q738" s="10" t="s">
        <v>654</v>
      </c>
      <c r="R738" s="3" t="str">
        <f t="shared" si="22"/>
        <v>148</v>
      </c>
      <c r="S738" s="3" t="str">
        <f t="shared" si="23"/>
        <v>65</v>
      </c>
      <c r="T738" s="16" t="s">
        <v>38</v>
      </c>
      <c r="U738" s="3">
        <v>18.5</v>
      </c>
      <c r="V738" s="16" t="str">
        <f>PROPER(Table1[[#This Row],[CVD Risk Level]])</f>
        <v>High</v>
      </c>
    </row>
    <row r="739" spans="1:22" x14ac:dyDescent="0.3">
      <c r="A739" t="s">
        <v>20</v>
      </c>
      <c r="B739" s="8">
        <v>58</v>
      </c>
      <c r="C739" s="8">
        <v>88.6</v>
      </c>
      <c r="D739" s="5">
        <v>1.67</v>
      </c>
      <c r="E739" s="5">
        <v>31.8</v>
      </c>
      <c r="F739" s="16" t="s">
        <v>1302</v>
      </c>
      <c r="G739" s="11">
        <v>0.57099999999999995</v>
      </c>
      <c r="H739" s="5">
        <v>95.3</v>
      </c>
      <c r="I739" s="8">
        <v>80</v>
      </c>
      <c r="J739" s="8">
        <v>23</v>
      </c>
      <c r="K739" s="8">
        <v>133</v>
      </c>
      <c r="L739" s="8">
        <v>73</v>
      </c>
      <c r="M739" t="s">
        <v>33</v>
      </c>
      <c r="N739" s="16" t="s">
        <v>23</v>
      </c>
      <c r="O739" s="16" t="s">
        <v>23</v>
      </c>
      <c r="P739" s="16" t="s">
        <v>28</v>
      </c>
      <c r="Q739" s="10" t="s">
        <v>655</v>
      </c>
      <c r="R739" s="3" t="str">
        <f t="shared" si="22"/>
        <v>90</v>
      </c>
      <c r="S739" s="3" t="str">
        <f t="shared" si="23"/>
        <v>74</v>
      </c>
      <c r="T739" s="16" t="s">
        <v>33</v>
      </c>
      <c r="U739" s="3">
        <v>15.52</v>
      </c>
      <c r="V739" s="16" t="str">
        <f>PROPER(Table1[[#This Row],[CVD Risk Level]])</f>
        <v>High</v>
      </c>
    </row>
    <row r="740" spans="1:22" x14ac:dyDescent="0.3">
      <c r="A740" t="s">
        <v>31</v>
      </c>
      <c r="B740" s="8">
        <v>41</v>
      </c>
      <c r="C740" s="8">
        <v>92.4</v>
      </c>
      <c r="D740" s="5">
        <v>1.8</v>
      </c>
      <c r="E740" s="5">
        <v>28.5</v>
      </c>
      <c r="F740" s="16" t="s">
        <v>1303</v>
      </c>
      <c r="G740" s="11">
        <v>0.438</v>
      </c>
      <c r="H740" s="5">
        <v>78.8</v>
      </c>
      <c r="I740" s="8">
        <v>67</v>
      </c>
      <c r="J740" s="8">
        <v>38</v>
      </c>
      <c r="K740" s="8">
        <v>135</v>
      </c>
      <c r="L740" s="8">
        <v>123</v>
      </c>
      <c r="M740" t="s">
        <v>1306</v>
      </c>
      <c r="N740" s="16" t="s">
        <v>23</v>
      </c>
      <c r="O740" s="16" t="s">
        <v>23</v>
      </c>
      <c r="P740" s="16" t="s">
        <v>24</v>
      </c>
      <c r="Q740" s="10" t="s">
        <v>656</v>
      </c>
      <c r="R740" s="3" t="str">
        <f t="shared" si="22"/>
        <v>101</v>
      </c>
      <c r="S740" s="3" t="str">
        <f t="shared" si="23"/>
        <v>77</v>
      </c>
      <c r="T740" s="16" t="s">
        <v>33</v>
      </c>
      <c r="U740" s="3">
        <v>15.45</v>
      </c>
      <c r="V740" s="16" t="str">
        <f>PROPER(Table1[[#This Row],[CVD Risk Level]])</f>
        <v>High</v>
      </c>
    </row>
    <row r="741" spans="1:22" x14ac:dyDescent="0.3">
      <c r="A741" t="s">
        <v>31</v>
      </c>
      <c r="B741" s="8">
        <v>31</v>
      </c>
      <c r="C741" s="8">
        <v>119.7</v>
      </c>
      <c r="D741" s="5">
        <v>1.61</v>
      </c>
      <c r="E741" s="5">
        <v>46.2</v>
      </c>
      <c r="F741" s="16" t="s">
        <v>1302</v>
      </c>
      <c r="G741" s="11">
        <v>0.55300000000000005</v>
      </c>
      <c r="H741" s="5">
        <v>89.033000000000001</v>
      </c>
      <c r="I741" s="8">
        <v>80</v>
      </c>
      <c r="J741" s="8">
        <v>170</v>
      </c>
      <c r="K741" s="8">
        <v>280</v>
      </c>
      <c r="L741" s="8">
        <v>136</v>
      </c>
      <c r="M741" t="s">
        <v>1307</v>
      </c>
      <c r="N741" s="16" t="s">
        <v>23</v>
      </c>
      <c r="O741" s="16" t="s">
        <v>22</v>
      </c>
      <c r="P741" s="16" t="s">
        <v>37</v>
      </c>
      <c r="Q741" s="10" t="s">
        <v>657</v>
      </c>
      <c r="R741" s="3" t="str">
        <f t="shared" si="22"/>
        <v>127</v>
      </c>
      <c r="S741" s="3" t="str">
        <f t="shared" si="23"/>
        <v>70</v>
      </c>
      <c r="T741" s="16" t="s">
        <v>25</v>
      </c>
      <c r="U741" s="3">
        <v>21.19</v>
      </c>
      <c r="V741" s="16" t="str">
        <f>PROPER(Table1[[#This Row],[CVD Risk Level]])</f>
        <v>High</v>
      </c>
    </row>
    <row r="742" spans="1:22" x14ac:dyDescent="0.3">
      <c r="A742" t="s">
        <v>31</v>
      </c>
      <c r="B742" s="8">
        <v>53</v>
      </c>
      <c r="C742" s="8">
        <v>112.7</v>
      </c>
      <c r="D742" s="5">
        <v>1.7405659690092525</v>
      </c>
      <c r="E742" s="5">
        <v>37.200000000000003</v>
      </c>
      <c r="F742" s="16" t="s">
        <v>1302</v>
      </c>
      <c r="G742" s="11">
        <v>0.59799999999999998</v>
      </c>
      <c r="H742" s="5">
        <v>104.1</v>
      </c>
      <c r="I742" s="8">
        <v>30</v>
      </c>
      <c r="J742" s="8">
        <v>66</v>
      </c>
      <c r="K742" s="8">
        <v>126</v>
      </c>
      <c r="L742" s="8">
        <v>74</v>
      </c>
      <c r="M742" t="s">
        <v>33</v>
      </c>
      <c r="N742" s="16" t="s">
        <v>23</v>
      </c>
      <c r="O742" s="16" t="s">
        <v>22</v>
      </c>
      <c r="P742" s="16" t="s">
        <v>24</v>
      </c>
      <c r="Q742" s="10" t="s">
        <v>658</v>
      </c>
      <c r="R742" s="3" t="str">
        <f t="shared" si="22"/>
        <v>132</v>
      </c>
      <c r="S742" s="3" t="str">
        <f t="shared" si="23"/>
        <v>83</v>
      </c>
      <c r="T742" s="16" t="s">
        <v>29</v>
      </c>
      <c r="U742" s="3">
        <v>16.559999999999999</v>
      </c>
      <c r="V742" s="16" t="str">
        <f>PROPER(Table1[[#This Row],[CVD Risk Level]])</f>
        <v>High</v>
      </c>
    </row>
    <row r="743" spans="1:22" x14ac:dyDescent="0.3">
      <c r="A743" t="s">
        <v>31</v>
      </c>
      <c r="B743" s="8">
        <v>45</v>
      </c>
      <c r="C743" s="8">
        <v>105.6</v>
      </c>
      <c r="D743" s="5">
        <v>1.81</v>
      </c>
      <c r="E743" s="5">
        <v>32.200000000000003</v>
      </c>
      <c r="F743" s="16" t="s">
        <v>1302</v>
      </c>
      <c r="G743" s="11">
        <v>0.55600000000000005</v>
      </c>
      <c r="H743" s="5">
        <v>100.6</v>
      </c>
      <c r="I743" s="8">
        <v>36</v>
      </c>
      <c r="J743" s="8">
        <v>135</v>
      </c>
      <c r="K743" s="8">
        <v>201</v>
      </c>
      <c r="L743" s="8">
        <v>77</v>
      </c>
      <c r="M743" t="s">
        <v>33</v>
      </c>
      <c r="N743" s="16" t="s">
        <v>23</v>
      </c>
      <c r="O743" s="16" t="s">
        <v>23</v>
      </c>
      <c r="P743" s="16" t="s">
        <v>24</v>
      </c>
      <c r="Q743" s="10" t="s">
        <v>659</v>
      </c>
      <c r="R743" s="3" t="str">
        <f t="shared" si="22"/>
        <v>111</v>
      </c>
      <c r="S743" s="3" t="str">
        <f t="shared" si="23"/>
        <v>97</v>
      </c>
      <c r="T743" s="16" t="s">
        <v>38</v>
      </c>
      <c r="U743" s="3">
        <v>18.010000000000002</v>
      </c>
      <c r="V743" s="16" t="str">
        <f>PROPER(Table1[[#This Row],[CVD Risk Level]])</f>
        <v>High</v>
      </c>
    </row>
    <row r="744" spans="1:22" x14ac:dyDescent="0.3">
      <c r="A744" t="s">
        <v>20</v>
      </c>
      <c r="B744" s="8">
        <v>50</v>
      </c>
      <c r="C744" s="8">
        <v>99.4</v>
      </c>
      <c r="D744" s="5">
        <v>1.67</v>
      </c>
      <c r="E744" s="5">
        <v>35.6</v>
      </c>
      <c r="F744" s="16" t="s">
        <v>1302</v>
      </c>
      <c r="G744" s="11">
        <v>0.57699999999999996</v>
      </c>
      <c r="H744" s="5">
        <v>96.3</v>
      </c>
      <c r="I744" s="8">
        <v>30</v>
      </c>
      <c r="J744" s="8">
        <v>196</v>
      </c>
      <c r="K744" s="8">
        <v>256</v>
      </c>
      <c r="L744" s="8">
        <v>107</v>
      </c>
      <c r="M744" t="s">
        <v>1306</v>
      </c>
      <c r="N744" s="16" t="s">
        <v>23</v>
      </c>
      <c r="O744" s="16" t="s">
        <v>22</v>
      </c>
      <c r="P744" s="16" t="s">
        <v>37</v>
      </c>
      <c r="Q744" s="10" t="s">
        <v>660</v>
      </c>
      <c r="R744" s="3" t="str">
        <f t="shared" si="22"/>
        <v>144</v>
      </c>
      <c r="S744" s="3" t="str">
        <f t="shared" si="23"/>
        <v>81</v>
      </c>
      <c r="T744" s="16" t="s">
        <v>29</v>
      </c>
      <c r="U744" s="3">
        <v>19.440000000000001</v>
      </c>
      <c r="V744" s="16" t="str">
        <f>PROPER(Table1[[#This Row],[CVD Risk Level]])</f>
        <v>High</v>
      </c>
    </row>
    <row r="745" spans="1:22" x14ac:dyDescent="0.3">
      <c r="A745" t="s">
        <v>31</v>
      </c>
      <c r="B745" s="8">
        <v>49</v>
      </c>
      <c r="C745" s="8">
        <v>118.3</v>
      </c>
      <c r="D745" s="5">
        <v>1.89</v>
      </c>
      <c r="E745" s="5">
        <v>33.1</v>
      </c>
      <c r="F745" s="16" t="s">
        <v>1302</v>
      </c>
      <c r="G745" s="11">
        <v>0.50900000000000001</v>
      </c>
      <c r="H745" s="5">
        <v>96.2</v>
      </c>
      <c r="I745" s="8">
        <v>61</v>
      </c>
      <c r="J745" s="8">
        <v>149</v>
      </c>
      <c r="K745" s="8">
        <v>240</v>
      </c>
      <c r="L745" s="8">
        <v>86</v>
      </c>
      <c r="M745" t="s">
        <v>33</v>
      </c>
      <c r="N745" s="16" t="s">
        <v>22</v>
      </c>
      <c r="O745" s="16" t="s">
        <v>22</v>
      </c>
      <c r="P745" s="16" t="s">
        <v>37</v>
      </c>
      <c r="Q745" s="10" t="s">
        <v>661</v>
      </c>
      <c r="R745" s="3" t="str">
        <f t="shared" si="22"/>
        <v>130</v>
      </c>
      <c r="S745" s="3" t="str">
        <f t="shared" si="23"/>
        <v>68</v>
      </c>
      <c r="T745" s="16" t="s">
        <v>29</v>
      </c>
      <c r="U745" s="3">
        <v>16.960925291295425</v>
      </c>
      <c r="V745" s="16" t="str">
        <f>PROPER(Table1[[#This Row],[CVD Risk Level]])</f>
        <v>Intermediary</v>
      </c>
    </row>
    <row r="746" spans="1:22" x14ac:dyDescent="0.3">
      <c r="A746" t="s">
        <v>20</v>
      </c>
      <c r="B746" s="8">
        <v>54</v>
      </c>
      <c r="C746" s="8">
        <v>74.599999999999994</v>
      </c>
      <c r="D746" s="5">
        <v>1.86</v>
      </c>
      <c r="E746" s="5">
        <v>21.6</v>
      </c>
      <c r="F746" s="16" t="s">
        <v>33</v>
      </c>
      <c r="G746" s="11">
        <v>0.55700000000000005</v>
      </c>
      <c r="H746" s="5">
        <v>103.6</v>
      </c>
      <c r="I746" s="8">
        <v>38</v>
      </c>
      <c r="J746" s="8">
        <v>109</v>
      </c>
      <c r="K746" s="8">
        <v>279</v>
      </c>
      <c r="L746" s="8">
        <v>146</v>
      </c>
      <c r="M746" t="s">
        <v>1307</v>
      </c>
      <c r="N746" s="16" t="s">
        <v>22</v>
      </c>
      <c r="O746" s="16" t="s">
        <v>22</v>
      </c>
      <c r="P746" s="16" t="s">
        <v>24</v>
      </c>
      <c r="Q746" s="10" t="s">
        <v>662</v>
      </c>
      <c r="R746" s="3" t="str">
        <f t="shared" si="22"/>
        <v>102</v>
      </c>
      <c r="S746" s="3" t="str">
        <f t="shared" si="23"/>
        <v>73</v>
      </c>
      <c r="T746" s="16" t="s">
        <v>33</v>
      </c>
      <c r="U746" s="3">
        <v>15</v>
      </c>
      <c r="V746" s="16" t="str">
        <f>PROPER(Table1[[#This Row],[CVD Risk Level]])</f>
        <v>High</v>
      </c>
    </row>
    <row r="747" spans="1:22" x14ac:dyDescent="0.3">
      <c r="A747" t="s">
        <v>31</v>
      </c>
      <c r="B747" s="8">
        <v>35</v>
      </c>
      <c r="C747" s="8">
        <v>86.5</v>
      </c>
      <c r="D747" s="5">
        <v>1.8</v>
      </c>
      <c r="E747" s="5">
        <v>26.7</v>
      </c>
      <c r="F747" s="16" t="s">
        <v>1303</v>
      </c>
      <c r="G747" s="11">
        <v>0.53700000000000003</v>
      </c>
      <c r="H747" s="5">
        <v>96.6</v>
      </c>
      <c r="I747" s="8">
        <v>39</v>
      </c>
      <c r="J747" s="8">
        <v>215</v>
      </c>
      <c r="K747" s="8">
        <v>284</v>
      </c>
      <c r="L747" s="8">
        <v>77</v>
      </c>
      <c r="M747" t="s">
        <v>33</v>
      </c>
      <c r="N747" s="16" t="s">
        <v>23</v>
      </c>
      <c r="O747" s="16" t="s">
        <v>22</v>
      </c>
      <c r="P747" s="16" t="s">
        <v>28</v>
      </c>
      <c r="Q747" s="10" t="s">
        <v>663</v>
      </c>
      <c r="R747" s="3" t="str">
        <f t="shared" si="22"/>
        <v>118</v>
      </c>
      <c r="S747" s="3" t="str">
        <f t="shared" si="23"/>
        <v>78</v>
      </c>
      <c r="T747" s="16" t="s">
        <v>33</v>
      </c>
      <c r="U747" s="3">
        <v>16.920000000000002</v>
      </c>
      <c r="V747" s="16" t="str">
        <f>PROPER(Table1[[#This Row],[CVD Risk Level]])</f>
        <v>High</v>
      </c>
    </row>
    <row r="748" spans="1:22" x14ac:dyDescent="0.3">
      <c r="A748" t="s">
        <v>20</v>
      </c>
      <c r="B748" s="8">
        <v>37</v>
      </c>
      <c r="C748" s="8">
        <v>54.9</v>
      </c>
      <c r="D748" s="5">
        <v>1.63</v>
      </c>
      <c r="E748" s="5">
        <v>20.7</v>
      </c>
      <c r="F748" s="16" t="s">
        <v>33</v>
      </c>
      <c r="G748" s="11">
        <v>0.46100000000000002</v>
      </c>
      <c r="H748" s="5">
        <v>75.2</v>
      </c>
      <c r="I748" s="8">
        <v>38</v>
      </c>
      <c r="J748" s="8">
        <v>46</v>
      </c>
      <c r="K748" s="8">
        <v>114</v>
      </c>
      <c r="L748" s="8">
        <v>110</v>
      </c>
      <c r="M748" t="s">
        <v>1306</v>
      </c>
      <c r="N748" s="16" t="s">
        <v>23</v>
      </c>
      <c r="O748" s="16" t="s">
        <v>23</v>
      </c>
      <c r="P748" s="16" t="s">
        <v>24</v>
      </c>
      <c r="Q748" s="10" t="s">
        <v>664</v>
      </c>
      <c r="R748" s="3" t="str">
        <f t="shared" si="22"/>
        <v>118</v>
      </c>
      <c r="S748" s="3" t="str">
        <f t="shared" si="23"/>
        <v>81</v>
      </c>
      <c r="T748" s="16" t="s">
        <v>29</v>
      </c>
      <c r="U748" s="3">
        <v>16.960925291295425</v>
      </c>
      <c r="V748" s="16" t="str">
        <f>PROPER(Table1[[#This Row],[CVD Risk Level]])</f>
        <v>High</v>
      </c>
    </row>
    <row r="749" spans="1:22" x14ac:dyDescent="0.3">
      <c r="A749" t="s">
        <v>20</v>
      </c>
      <c r="B749" s="8">
        <v>34</v>
      </c>
      <c r="C749" s="8">
        <v>61.1</v>
      </c>
      <c r="D749" s="5">
        <v>1.75</v>
      </c>
      <c r="E749" s="5">
        <v>20</v>
      </c>
      <c r="F749" s="16" t="s">
        <v>33</v>
      </c>
      <c r="G749" s="11">
        <v>0.40899999999999997</v>
      </c>
      <c r="H749" s="5">
        <v>71.599999999999994</v>
      </c>
      <c r="I749" s="8">
        <v>40</v>
      </c>
      <c r="J749" s="8">
        <v>207</v>
      </c>
      <c r="K749" s="8">
        <v>277</v>
      </c>
      <c r="L749" s="8">
        <v>97</v>
      </c>
      <c r="M749" t="s">
        <v>33</v>
      </c>
      <c r="N749" s="16" t="s">
        <v>23</v>
      </c>
      <c r="O749" s="16" t="s">
        <v>22</v>
      </c>
      <c r="P749" s="16" t="s">
        <v>37</v>
      </c>
      <c r="Q749" s="10" t="s">
        <v>665</v>
      </c>
      <c r="R749" s="3" t="str">
        <f t="shared" si="22"/>
        <v>108</v>
      </c>
      <c r="S749" s="3" t="str">
        <f t="shared" si="23"/>
        <v>100</v>
      </c>
      <c r="T749" s="16" t="s">
        <v>38</v>
      </c>
      <c r="U749" s="3">
        <v>14.94</v>
      </c>
      <c r="V749" s="16" t="str">
        <f>PROPER(Table1[[#This Row],[CVD Risk Level]])</f>
        <v>Intermediary</v>
      </c>
    </row>
    <row r="750" spans="1:22" x14ac:dyDescent="0.3">
      <c r="A750" t="s">
        <v>20</v>
      </c>
      <c r="B750" s="8">
        <v>34</v>
      </c>
      <c r="C750" s="8">
        <v>67.7</v>
      </c>
      <c r="D750" s="5">
        <v>1.81</v>
      </c>
      <c r="E750" s="5">
        <v>20.664814871340923</v>
      </c>
      <c r="F750" s="16" t="s">
        <v>33</v>
      </c>
      <c r="G750" s="11">
        <v>0.441</v>
      </c>
      <c r="H750" s="5">
        <v>79.8</v>
      </c>
      <c r="I750" s="8">
        <v>31</v>
      </c>
      <c r="J750" s="8">
        <v>174</v>
      </c>
      <c r="K750" s="8">
        <v>235</v>
      </c>
      <c r="L750" s="8">
        <v>147</v>
      </c>
      <c r="M750" t="s">
        <v>1307</v>
      </c>
      <c r="N750" s="16" t="s">
        <v>23</v>
      </c>
      <c r="O750" s="16" t="s">
        <v>22</v>
      </c>
      <c r="P750" s="16" t="s">
        <v>24</v>
      </c>
      <c r="Q750" s="10" t="s">
        <v>354</v>
      </c>
      <c r="R750" s="3" t="str">
        <f t="shared" si="22"/>
        <v>135</v>
      </c>
      <c r="S750" s="3" t="str">
        <f t="shared" si="23"/>
        <v>91</v>
      </c>
      <c r="T750" s="16" t="s">
        <v>29</v>
      </c>
      <c r="U750" s="3">
        <v>15.59</v>
      </c>
      <c r="V750" s="16" t="str">
        <f>PROPER(Table1[[#This Row],[CVD Risk Level]])</f>
        <v>High</v>
      </c>
    </row>
    <row r="751" spans="1:22" x14ac:dyDescent="0.3">
      <c r="A751" t="s">
        <v>20</v>
      </c>
      <c r="B751" s="8">
        <v>36</v>
      </c>
      <c r="C751" s="8">
        <v>60.2</v>
      </c>
      <c r="D751" s="5">
        <v>1.68</v>
      </c>
      <c r="E751" s="5">
        <v>21.3</v>
      </c>
      <c r="F751" s="16" t="s">
        <v>33</v>
      </c>
      <c r="G751" s="11">
        <v>0.623</v>
      </c>
      <c r="H751" s="5">
        <v>104.7</v>
      </c>
      <c r="I751" s="8">
        <v>68</v>
      </c>
      <c r="J751" s="8">
        <v>191</v>
      </c>
      <c r="K751" s="8">
        <v>289</v>
      </c>
      <c r="L751" s="8">
        <v>116</v>
      </c>
      <c r="M751" t="s">
        <v>1306</v>
      </c>
      <c r="N751" s="16" t="s">
        <v>23</v>
      </c>
      <c r="O751" s="16" t="s">
        <v>22</v>
      </c>
      <c r="P751" s="16" t="s">
        <v>37</v>
      </c>
      <c r="Q751" s="10" t="s">
        <v>666</v>
      </c>
      <c r="R751" s="3" t="str">
        <f t="shared" si="22"/>
        <v>111</v>
      </c>
      <c r="S751" s="3" t="str">
        <f t="shared" si="23"/>
        <v>87</v>
      </c>
      <c r="T751" s="16" t="s">
        <v>29</v>
      </c>
      <c r="U751" s="3">
        <v>15.59</v>
      </c>
      <c r="V751" s="16" t="str">
        <f>PROPER(Table1[[#This Row],[CVD Risk Level]])</f>
        <v>Intermediary</v>
      </c>
    </row>
    <row r="752" spans="1:22" x14ac:dyDescent="0.3">
      <c r="A752" t="s">
        <v>20</v>
      </c>
      <c r="B752" s="8">
        <v>43</v>
      </c>
      <c r="C752" s="8">
        <v>72</v>
      </c>
      <c r="D752" s="5">
        <v>1.67</v>
      </c>
      <c r="E752" s="5">
        <v>25.8</v>
      </c>
      <c r="F752" s="16" t="s">
        <v>1303</v>
      </c>
      <c r="G752" s="11">
        <v>0.50800000000000001</v>
      </c>
      <c r="H752" s="5">
        <v>84.9</v>
      </c>
      <c r="I752" s="8">
        <v>67</v>
      </c>
      <c r="J752" s="8">
        <v>93</v>
      </c>
      <c r="K752" s="8">
        <v>190</v>
      </c>
      <c r="L752" s="8">
        <v>144</v>
      </c>
      <c r="M752" t="s">
        <v>1307</v>
      </c>
      <c r="N752" s="16" t="s">
        <v>23</v>
      </c>
      <c r="O752" s="16" t="s">
        <v>22</v>
      </c>
      <c r="P752" s="16" t="s">
        <v>37</v>
      </c>
      <c r="Q752" s="10" t="s">
        <v>667</v>
      </c>
      <c r="R752" s="3" t="str">
        <f t="shared" si="22"/>
        <v>92</v>
      </c>
      <c r="S752" s="3" t="str">
        <f t="shared" si="23"/>
        <v>69</v>
      </c>
      <c r="T752" s="16" t="s">
        <v>33</v>
      </c>
      <c r="U752" s="3">
        <v>13.56</v>
      </c>
      <c r="V752" s="16" t="str">
        <f>PROPER(Table1[[#This Row],[CVD Risk Level]])</f>
        <v>Intermediary</v>
      </c>
    </row>
    <row r="753" spans="1:22" x14ac:dyDescent="0.3">
      <c r="A753" t="s">
        <v>31</v>
      </c>
      <c r="B753" s="8">
        <v>55</v>
      </c>
      <c r="C753" s="8">
        <v>85</v>
      </c>
      <c r="D753" s="5">
        <v>1.75</v>
      </c>
      <c r="E753" s="5">
        <v>27.8</v>
      </c>
      <c r="F753" s="16" t="s">
        <v>1303</v>
      </c>
      <c r="G753" s="11">
        <v>0.45400000000000001</v>
      </c>
      <c r="H753" s="5">
        <v>79.400000000000006</v>
      </c>
      <c r="I753" s="8">
        <v>32</v>
      </c>
      <c r="J753" s="8">
        <v>178</v>
      </c>
      <c r="K753" s="8">
        <v>240</v>
      </c>
      <c r="L753" s="8">
        <v>117.48563611491107</v>
      </c>
      <c r="M753" t="s">
        <v>1306</v>
      </c>
      <c r="N753" s="16" t="s">
        <v>22</v>
      </c>
      <c r="O753" s="16" t="s">
        <v>23</v>
      </c>
      <c r="P753" s="16" t="s">
        <v>24</v>
      </c>
      <c r="Q753" s="10" t="s">
        <v>668</v>
      </c>
      <c r="R753" s="3" t="str">
        <f t="shared" si="22"/>
        <v>94</v>
      </c>
      <c r="S753" s="3" t="str">
        <f t="shared" si="23"/>
        <v>71</v>
      </c>
      <c r="T753" s="16" t="s">
        <v>33</v>
      </c>
      <c r="U753" s="3">
        <v>17.059999999999999</v>
      </c>
      <c r="V753" s="16" t="str">
        <f>PROPER(Table1[[#This Row],[CVD Risk Level]])</f>
        <v>High</v>
      </c>
    </row>
    <row r="754" spans="1:22" x14ac:dyDescent="0.3">
      <c r="A754" t="s">
        <v>20</v>
      </c>
      <c r="B754" s="8">
        <v>41</v>
      </c>
      <c r="C754" s="8">
        <v>80</v>
      </c>
      <c r="D754" s="5">
        <v>1.63</v>
      </c>
      <c r="E754" s="5">
        <v>30.1</v>
      </c>
      <c r="F754" s="16" t="s">
        <v>1302</v>
      </c>
      <c r="G754" s="11">
        <v>0.51800000000000002</v>
      </c>
      <c r="H754" s="5">
        <v>84.5</v>
      </c>
      <c r="I754" s="8">
        <v>34</v>
      </c>
      <c r="J754" s="8">
        <v>186</v>
      </c>
      <c r="K754" s="8">
        <v>250</v>
      </c>
      <c r="L754" s="8">
        <v>122</v>
      </c>
      <c r="M754" t="s">
        <v>1306</v>
      </c>
      <c r="N754" s="16" t="s">
        <v>22</v>
      </c>
      <c r="O754" s="16" t="s">
        <v>22</v>
      </c>
      <c r="P754" s="16" t="s">
        <v>37</v>
      </c>
      <c r="Q754" s="10" t="s">
        <v>669</v>
      </c>
      <c r="R754" s="3" t="str">
        <f t="shared" si="22"/>
        <v>119</v>
      </c>
      <c r="S754" s="3" t="str">
        <f t="shared" si="23"/>
        <v>73</v>
      </c>
      <c r="T754" s="16" t="s">
        <v>33</v>
      </c>
      <c r="U754" s="3">
        <v>16.97</v>
      </c>
      <c r="V754" s="16" t="str">
        <f>PROPER(Table1[[#This Row],[CVD Risk Level]])</f>
        <v>Intermediary</v>
      </c>
    </row>
    <row r="755" spans="1:22" x14ac:dyDescent="0.3">
      <c r="A755" t="s">
        <v>31</v>
      </c>
      <c r="B755" s="8">
        <v>39</v>
      </c>
      <c r="C755" s="8">
        <v>70.900000000000006</v>
      </c>
      <c r="D755" s="5">
        <v>1.85</v>
      </c>
      <c r="E755" s="5">
        <v>20.7</v>
      </c>
      <c r="F755" s="16" t="s">
        <v>33</v>
      </c>
      <c r="G755" s="11">
        <v>0.39600000000000002</v>
      </c>
      <c r="H755" s="5">
        <v>73.2</v>
      </c>
      <c r="I755" s="8">
        <v>34</v>
      </c>
      <c r="J755" s="8">
        <v>108</v>
      </c>
      <c r="K755" s="8">
        <v>172</v>
      </c>
      <c r="L755" s="8">
        <v>133</v>
      </c>
      <c r="M755" t="s">
        <v>1307</v>
      </c>
      <c r="N755" s="16" t="s">
        <v>23</v>
      </c>
      <c r="O755" s="16" t="s">
        <v>23</v>
      </c>
      <c r="P755" s="16" t="s">
        <v>28</v>
      </c>
      <c r="Q755" s="10" t="s">
        <v>670</v>
      </c>
      <c r="R755" s="3" t="str">
        <f t="shared" si="22"/>
        <v>127</v>
      </c>
      <c r="S755" s="3" t="str">
        <f t="shared" si="23"/>
        <v>86</v>
      </c>
      <c r="T755" s="16" t="s">
        <v>29</v>
      </c>
      <c r="U755" s="3">
        <v>15.93</v>
      </c>
      <c r="V755" s="16" t="str">
        <f>PROPER(Table1[[#This Row],[CVD Risk Level]])</f>
        <v>High</v>
      </c>
    </row>
    <row r="756" spans="1:22" x14ac:dyDescent="0.3">
      <c r="A756" t="s">
        <v>20</v>
      </c>
      <c r="B756" s="8">
        <v>47.025499655410059</v>
      </c>
      <c r="C756" s="8">
        <v>79.599999999999994</v>
      </c>
      <c r="D756" s="5">
        <v>1.88</v>
      </c>
      <c r="E756" s="5">
        <v>22.5</v>
      </c>
      <c r="F756" s="16" t="s">
        <v>33</v>
      </c>
      <c r="G756" s="11">
        <v>0.51600000000000001</v>
      </c>
      <c r="H756" s="5">
        <v>97</v>
      </c>
      <c r="I756" s="8">
        <v>76</v>
      </c>
      <c r="J756" s="8">
        <v>109</v>
      </c>
      <c r="K756" s="8">
        <v>194</v>
      </c>
      <c r="L756" s="8">
        <v>90</v>
      </c>
      <c r="M756" t="s">
        <v>33</v>
      </c>
      <c r="N756" s="16" t="s">
        <v>23</v>
      </c>
      <c r="O756" s="16" t="s">
        <v>22</v>
      </c>
      <c r="P756" s="16" t="s">
        <v>37</v>
      </c>
      <c r="Q756" s="10" t="s">
        <v>671</v>
      </c>
      <c r="R756" s="3" t="str">
        <f t="shared" si="22"/>
        <v>114</v>
      </c>
      <c r="S756" s="3" t="str">
        <f t="shared" si="23"/>
        <v>85</v>
      </c>
      <c r="T756" s="16" t="s">
        <v>29</v>
      </c>
      <c r="U756" s="3">
        <v>14.08</v>
      </c>
      <c r="V756" s="16" t="str">
        <f>PROPER(Table1[[#This Row],[CVD Risk Level]])</f>
        <v>Intermediary</v>
      </c>
    </row>
    <row r="757" spans="1:22" x14ac:dyDescent="0.3">
      <c r="A757" t="s">
        <v>31</v>
      </c>
      <c r="B757" s="8">
        <v>58</v>
      </c>
      <c r="C757" s="8">
        <v>117.8</v>
      </c>
      <c r="D757" s="5">
        <v>1.66</v>
      </c>
      <c r="E757" s="5">
        <v>42.7</v>
      </c>
      <c r="F757" s="16" t="s">
        <v>1302</v>
      </c>
      <c r="G757" s="11">
        <v>0.622</v>
      </c>
      <c r="H757" s="5">
        <v>103.3</v>
      </c>
      <c r="I757" s="8">
        <v>71</v>
      </c>
      <c r="J757" s="8">
        <v>148</v>
      </c>
      <c r="K757" s="8">
        <v>249</v>
      </c>
      <c r="L757" s="8">
        <v>122</v>
      </c>
      <c r="M757" t="s">
        <v>1306</v>
      </c>
      <c r="N757" s="16" t="s">
        <v>23</v>
      </c>
      <c r="O757" s="16" t="s">
        <v>22</v>
      </c>
      <c r="P757" s="16" t="s">
        <v>24</v>
      </c>
      <c r="Q757" s="10" t="s">
        <v>672</v>
      </c>
      <c r="R757" s="3" t="str">
        <f t="shared" si="22"/>
        <v>113</v>
      </c>
      <c r="S757" s="3" t="str">
        <f t="shared" si="23"/>
        <v>73</v>
      </c>
      <c r="T757" s="16" t="s">
        <v>33</v>
      </c>
      <c r="U757" s="3">
        <v>19.170000000000002</v>
      </c>
      <c r="V757" s="16" t="str">
        <f>PROPER(Table1[[#This Row],[CVD Risk Level]])</f>
        <v>High</v>
      </c>
    </row>
    <row r="758" spans="1:22" x14ac:dyDescent="0.3">
      <c r="A758" t="s">
        <v>20</v>
      </c>
      <c r="B758" s="8">
        <v>35</v>
      </c>
      <c r="C758" s="8">
        <v>116.2</v>
      </c>
      <c r="D758" s="5">
        <v>1.83</v>
      </c>
      <c r="E758" s="5">
        <v>34.700000000000003</v>
      </c>
      <c r="F758" s="16" t="s">
        <v>1302</v>
      </c>
      <c r="G758" s="11">
        <v>0.59199999999999997</v>
      </c>
      <c r="H758" s="5">
        <v>108.4</v>
      </c>
      <c r="I758" s="8">
        <v>62</v>
      </c>
      <c r="J758" s="8">
        <v>128</v>
      </c>
      <c r="K758" s="8">
        <v>220</v>
      </c>
      <c r="L758" s="8">
        <v>135</v>
      </c>
      <c r="M758" t="s">
        <v>1307</v>
      </c>
      <c r="N758" s="16" t="s">
        <v>22</v>
      </c>
      <c r="O758" s="16" t="s">
        <v>23</v>
      </c>
      <c r="P758" s="16" t="s">
        <v>37</v>
      </c>
      <c r="Q758" s="10" t="s">
        <v>673</v>
      </c>
      <c r="R758" s="3" t="str">
        <f t="shared" si="22"/>
        <v>119</v>
      </c>
      <c r="S758" s="3" t="str">
        <f t="shared" si="23"/>
        <v>66</v>
      </c>
      <c r="T758" s="16" t="s">
        <v>33</v>
      </c>
      <c r="U758" s="3">
        <v>19.29</v>
      </c>
      <c r="V758" s="16" t="str">
        <f>PROPER(Table1[[#This Row],[CVD Risk Level]])</f>
        <v>Intermediary</v>
      </c>
    </row>
    <row r="759" spans="1:22" x14ac:dyDescent="0.3">
      <c r="A759" t="s">
        <v>20</v>
      </c>
      <c r="B759" s="8">
        <v>41</v>
      </c>
      <c r="C759" s="8">
        <v>103.9</v>
      </c>
      <c r="D759" s="5">
        <v>1.9</v>
      </c>
      <c r="E759" s="5">
        <v>28.8</v>
      </c>
      <c r="F759" s="16" t="s">
        <v>1303</v>
      </c>
      <c r="G759" s="11">
        <v>0.434</v>
      </c>
      <c r="H759" s="5">
        <v>82.4</v>
      </c>
      <c r="I759" s="8">
        <v>56.197377501725327</v>
      </c>
      <c r="J759" s="8">
        <v>18</v>
      </c>
      <c r="K759" s="8">
        <v>110</v>
      </c>
      <c r="L759" s="8">
        <v>127</v>
      </c>
      <c r="M759" t="s">
        <v>1307</v>
      </c>
      <c r="N759" s="16" t="s">
        <v>23</v>
      </c>
      <c r="O759" s="16" t="s">
        <v>23</v>
      </c>
      <c r="P759" s="16" t="s">
        <v>37</v>
      </c>
      <c r="Q759" s="10" t="s">
        <v>674</v>
      </c>
      <c r="R759" s="3" t="str">
        <f t="shared" si="22"/>
        <v>142</v>
      </c>
      <c r="S759" s="3" t="str">
        <f t="shared" si="23"/>
        <v>93</v>
      </c>
      <c r="T759" s="16" t="s">
        <v>38</v>
      </c>
      <c r="U759" s="3">
        <v>17.059999999999999</v>
      </c>
      <c r="V759" s="16" t="str">
        <f>PROPER(Table1[[#This Row],[CVD Risk Level]])</f>
        <v>High</v>
      </c>
    </row>
    <row r="760" spans="1:22" x14ac:dyDescent="0.3">
      <c r="A760" t="s">
        <v>31</v>
      </c>
      <c r="B760" s="8">
        <v>51</v>
      </c>
      <c r="C760" s="8">
        <v>50.5</v>
      </c>
      <c r="D760" s="5">
        <v>1.66</v>
      </c>
      <c r="E760" s="5">
        <v>18.3</v>
      </c>
      <c r="F760" s="16" t="s">
        <v>1304</v>
      </c>
      <c r="G760" s="11">
        <v>0.65100000000000002</v>
      </c>
      <c r="H760" s="5">
        <v>108</v>
      </c>
      <c r="I760" s="8">
        <v>40</v>
      </c>
      <c r="J760" s="8">
        <v>138</v>
      </c>
      <c r="K760" s="8">
        <v>208</v>
      </c>
      <c r="L760" s="8">
        <v>80</v>
      </c>
      <c r="M760" t="s">
        <v>33</v>
      </c>
      <c r="N760" s="16" t="s">
        <v>23</v>
      </c>
      <c r="O760" s="16" t="s">
        <v>23</v>
      </c>
      <c r="P760" s="16" t="s">
        <v>37</v>
      </c>
      <c r="Q760" s="10" t="s">
        <v>675</v>
      </c>
      <c r="R760" s="3" t="str">
        <f t="shared" si="22"/>
        <v>148</v>
      </c>
      <c r="S760" s="3" t="str">
        <f t="shared" si="23"/>
        <v>73</v>
      </c>
      <c r="T760" s="16" t="s">
        <v>38</v>
      </c>
      <c r="U760" s="3">
        <v>17.22</v>
      </c>
      <c r="V760" s="16" t="str">
        <f>PROPER(Table1[[#This Row],[CVD Risk Level]])</f>
        <v>High</v>
      </c>
    </row>
    <row r="761" spans="1:22" x14ac:dyDescent="0.3">
      <c r="A761" t="s">
        <v>31</v>
      </c>
      <c r="B761" s="8">
        <v>47.025499655410059</v>
      </c>
      <c r="C761" s="8">
        <v>55.6</v>
      </c>
      <c r="D761" s="5">
        <v>1.83</v>
      </c>
      <c r="E761" s="5">
        <v>16.600000000000001</v>
      </c>
      <c r="F761" s="16" t="s">
        <v>1304</v>
      </c>
      <c r="G761" s="11">
        <v>0.57299999999999995</v>
      </c>
      <c r="H761" s="5">
        <v>104.8</v>
      </c>
      <c r="I761" s="8">
        <v>58</v>
      </c>
      <c r="J761" s="8">
        <v>201</v>
      </c>
      <c r="K761" s="8">
        <v>289</v>
      </c>
      <c r="L761" s="8">
        <v>135</v>
      </c>
      <c r="M761" t="s">
        <v>1307</v>
      </c>
      <c r="N761" s="16" t="s">
        <v>23</v>
      </c>
      <c r="O761" s="16" t="s">
        <v>22</v>
      </c>
      <c r="P761" s="16" t="s">
        <v>28</v>
      </c>
      <c r="Q761" s="10" t="s">
        <v>676</v>
      </c>
      <c r="R761" s="3" t="str">
        <f t="shared" si="22"/>
        <v>126</v>
      </c>
      <c r="S761" s="3" t="str">
        <f t="shared" si="23"/>
        <v>95</v>
      </c>
      <c r="T761" s="16" t="s">
        <v>38</v>
      </c>
      <c r="U761" s="3">
        <v>15.4</v>
      </c>
      <c r="V761" s="16" t="str">
        <f>PROPER(Table1[[#This Row],[CVD Risk Level]])</f>
        <v>Intermediary</v>
      </c>
    </row>
    <row r="762" spans="1:22" x14ac:dyDescent="0.3">
      <c r="A762" t="s">
        <v>20</v>
      </c>
      <c r="B762" s="8">
        <v>52</v>
      </c>
      <c r="C762" s="8">
        <v>98.9</v>
      </c>
      <c r="D762" s="5">
        <v>1.78</v>
      </c>
      <c r="E762" s="5">
        <v>31.2</v>
      </c>
      <c r="F762" s="16" t="s">
        <v>1302</v>
      </c>
      <c r="G762" s="11">
        <v>0.48499999999999999</v>
      </c>
      <c r="H762" s="5">
        <v>86.4</v>
      </c>
      <c r="I762" s="8">
        <v>36</v>
      </c>
      <c r="J762" s="8">
        <v>211</v>
      </c>
      <c r="K762" s="8">
        <v>277</v>
      </c>
      <c r="L762" s="8">
        <v>88</v>
      </c>
      <c r="M762" t="s">
        <v>33</v>
      </c>
      <c r="N762" s="16" t="s">
        <v>23</v>
      </c>
      <c r="O762" s="16" t="s">
        <v>23</v>
      </c>
      <c r="P762" s="16" t="s">
        <v>37</v>
      </c>
      <c r="Q762" s="10" t="s">
        <v>677</v>
      </c>
      <c r="R762" s="3" t="str">
        <f t="shared" si="22"/>
        <v>138</v>
      </c>
      <c r="S762" s="3" t="str">
        <f t="shared" si="23"/>
        <v>84</v>
      </c>
      <c r="T762" s="16" t="s">
        <v>29</v>
      </c>
      <c r="U762" s="3">
        <v>20.68</v>
      </c>
      <c r="V762" s="16" t="str">
        <f>PROPER(Table1[[#This Row],[CVD Risk Level]])</f>
        <v>High</v>
      </c>
    </row>
    <row r="763" spans="1:22" x14ac:dyDescent="0.3">
      <c r="A763" t="s">
        <v>31</v>
      </c>
      <c r="B763" s="8">
        <v>51</v>
      </c>
      <c r="C763" s="8">
        <v>72.8</v>
      </c>
      <c r="D763" s="5">
        <v>1.81</v>
      </c>
      <c r="E763" s="5">
        <v>22.2</v>
      </c>
      <c r="F763" s="16" t="s">
        <v>33</v>
      </c>
      <c r="G763" s="11">
        <v>0.50800000000000001</v>
      </c>
      <c r="H763" s="5">
        <v>91.948000000000008</v>
      </c>
      <c r="I763" s="8">
        <v>78</v>
      </c>
      <c r="J763" s="8">
        <v>109</v>
      </c>
      <c r="K763" s="8">
        <v>101</v>
      </c>
      <c r="L763" s="8">
        <v>76</v>
      </c>
      <c r="M763" t="s">
        <v>33</v>
      </c>
      <c r="N763" s="16" t="s">
        <v>22</v>
      </c>
      <c r="O763" s="16" t="s">
        <v>22</v>
      </c>
      <c r="P763" s="16" t="s">
        <v>37</v>
      </c>
      <c r="Q763" s="10" t="s">
        <v>678</v>
      </c>
      <c r="R763" s="3" t="str">
        <f t="shared" si="22"/>
        <v>126</v>
      </c>
      <c r="S763" s="3" t="str">
        <f t="shared" si="23"/>
        <v>82</v>
      </c>
      <c r="T763" s="16" t="s">
        <v>29</v>
      </c>
      <c r="U763" s="3">
        <v>12.76</v>
      </c>
      <c r="V763" s="16" t="str">
        <f>PROPER(Table1[[#This Row],[CVD Risk Level]])</f>
        <v>Intermediary</v>
      </c>
    </row>
    <row r="764" spans="1:22" x14ac:dyDescent="0.3">
      <c r="A764" t="s">
        <v>20</v>
      </c>
      <c r="B764" s="8">
        <v>49</v>
      </c>
      <c r="C764" s="8">
        <v>85.8</v>
      </c>
      <c r="D764" s="5">
        <v>1.78</v>
      </c>
      <c r="E764" s="5">
        <v>27.1</v>
      </c>
      <c r="F764" s="16" t="s">
        <v>1303</v>
      </c>
      <c r="G764" s="11">
        <v>0.432</v>
      </c>
      <c r="H764" s="5">
        <v>76.900000000000006</v>
      </c>
      <c r="I764" s="8">
        <v>31</v>
      </c>
      <c r="J764" s="8">
        <v>75</v>
      </c>
      <c r="K764" s="8">
        <v>136</v>
      </c>
      <c r="L764" s="8">
        <v>125</v>
      </c>
      <c r="M764" t="s">
        <v>1306</v>
      </c>
      <c r="N764" s="16" t="s">
        <v>22</v>
      </c>
      <c r="O764" s="16" t="s">
        <v>23</v>
      </c>
      <c r="P764" s="16" t="s">
        <v>37</v>
      </c>
      <c r="Q764" s="10" t="s">
        <v>187</v>
      </c>
      <c r="R764" s="3" t="str">
        <f t="shared" si="22"/>
        <v>121</v>
      </c>
      <c r="S764" s="3" t="str">
        <f t="shared" si="23"/>
        <v>67</v>
      </c>
      <c r="T764" s="16" t="s">
        <v>25</v>
      </c>
      <c r="U764" s="3">
        <v>16.190000000000001</v>
      </c>
      <c r="V764" s="16" t="str">
        <f>PROPER(Table1[[#This Row],[CVD Risk Level]])</f>
        <v>High</v>
      </c>
    </row>
    <row r="765" spans="1:22" x14ac:dyDescent="0.3">
      <c r="A765" t="s">
        <v>20</v>
      </c>
      <c r="B765" s="8">
        <v>37</v>
      </c>
      <c r="C765" s="8">
        <v>90.569710000000015</v>
      </c>
      <c r="D765" s="5">
        <v>1.87</v>
      </c>
      <c r="E765" s="5">
        <v>25.9</v>
      </c>
      <c r="F765" s="16" t="s">
        <v>1303</v>
      </c>
      <c r="G765" s="11">
        <v>0.46800000000000003</v>
      </c>
      <c r="H765" s="5">
        <v>87.6</v>
      </c>
      <c r="I765" s="8">
        <v>79</v>
      </c>
      <c r="J765" s="8">
        <v>143</v>
      </c>
      <c r="K765" s="8">
        <v>252</v>
      </c>
      <c r="L765" s="8">
        <v>133</v>
      </c>
      <c r="M765" t="s">
        <v>1307</v>
      </c>
      <c r="N765" s="16" t="s">
        <v>23</v>
      </c>
      <c r="O765" s="16" t="s">
        <v>23</v>
      </c>
      <c r="P765" s="16" t="s">
        <v>28</v>
      </c>
      <c r="Q765" s="10" t="s">
        <v>679</v>
      </c>
      <c r="R765" s="3" t="str">
        <f t="shared" si="22"/>
        <v>113</v>
      </c>
      <c r="S765" s="3" t="str">
        <f t="shared" si="23"/>
        <v>75</v>
      </c>
      <c r="T765" s="16" t="s">
        <v>33</v>
      </c>
      <c r="U765" s="3">
        <v>17.87</v>
      </c>
      <c r="V765" s="16" t="str">
        <f>PROPER(Table1[[#This Row],[CVD Risk Level]])</f>
        <v>High</v>
      </c>
    </row>
    <row r="766" spans="1:22" x14ac:dyDescent="0.3">
      <c r="A766" t="s">
        <v>20</v>
      </c>
      <c r="B766" s="8">
        <v>60</v>
      </c>
      <c r="C766" s="8">
        <v>71.3</v>
      </c>
      <c r="D766" s="5">
        <v>1.68</v>
      </c>
      <c r="E766" s="5">
        <v>25.3</v>
      </c>
      <c r="F766" s="16" t="s">
        <v>1303</v>
      </c>
      <c r="G766" s="11">
        <v>0.56726190476190474</v>
      </c>
      <c r="H766" s="5">
        <v>95.3</v>
      </c>
      <c r="I766" s="8">
        <v>59</v>
      </c>
      <c r="J766" s="8">
        <v>182</v>
      </c>
      <c r="K766" s="8">
        <v>271</v>
      </c>
      <c r="L766" s="8">
        <v>93</v>
      </c>
      <c r="M766" t="s">
        <v>33</v>
      </c>
      <c r="N766" s="16" t="s">
        <v>23</v>
      </c>
      <c r="O766" s="16" t="s">
        <v>23</v>
      </c>
      <c r="P766" s="16" t="s">
        <v>28</v>
      </c>
      <c r="Q766" s="10" t="s">
        <v>680</v>
      </c>
      <c r="R766" s="3" t="str">
        <f t="shared" si="22"/>
        <v>92</v>
      </c>
      <c r="S766" s="3" t="str">
        <f t="shared" si="23"/>
        <v>70</v>
      </c>
      <c r="T766" s="16" t="s">
        <v>33</v>
      </c>
      <c r="U766" s="3">
        <v>17.079999999999998</v>
      </c>
      <c r="V766" s="16" t="str">
        <f>PROPER(Table1[[#This Row],[CVD Risk Level]])</f>
        <v>High</v>
      </c>
    </row>
    <row r="767" spans="1:22" x14ac:dyDescent="0.3">
      <c r="A767" t="s">
        <v>20</v>
      </c>
      <c r="B767" s="8">
        <v>31</v>
      </c>
      <c r="C767" s="8">
        <v>94.5</v>
      </c>
      <c r="D767" s="5">
        <v>1.82</v>
      </c>
      <c r="E767" s="5">
        <v>28.5</v>
      </c>
      <c r="F767" s="16" t="s">
        <v>1303</v>
      </c>
      <c r="G767" s="11">
        <v>0.41</v>
      </c>
      <c r="H767" s="5">
        <v>74.599999999999994</v>
      </c>
      <c r="I767" s="8">
        <v>56.197377501725327</v>
      </c>
      <c r="J767" s="8">
        <v>13</v>
      </c>
      <c r="K767" s="8">
        <v>115</v>
      </c>
      <c r="L767" s="8">
        <v>144</v>
      </c>
      <c r="M767" t="s">
        <v>1307</v>
      </c>
      <c r="N767" s="16" t="s">
        <v>23</v>
      </c>
      <c r="O767" s="16" t="s">
        <v>23</v>
      </c>
      <c r="P767" s="16" t="s">
        <v>37</v>
      </c>
      <c r="Q767" s="10" t="s">
        <v>681</v>
      </c>
      <c r="R767" s="3" t="str">
        <f t="shared" si="22"/>
        <v>90</v>
      </c>
      <c r="S767" s="3" t="str">
        <f t="shared" si="23"/>
        <v>79</v>
      </c>
      <c r="T767" s="16" t="s">
        <v>33</v>
      </c>
      <c r="U767" s="3">
        <v>14.5</v>
      </c>
      <c r="V767" s="16" t="str">
        <f>PROPER(Table1[[#This Row],[CVD Risk Level]])</f>
        <v>Intermediary</v>
      </c>
    </row>
    <row r="768" spans="1:22" x14ac:dyDescent="0.3">
      <c r="A768" t="s">
        <v>20</v>
      </c>
      <c r="B768" s="8">
        <v>36</v>
      </c>
      <c r="C768" s="8">
        <v>62.1</v>
      </c>
      <c r="D768" s="5">
        <v>1.76</v>
      </c>
      <c r="E768" s="5">
        <v>20</v>
      </c>
      <c r="F768" s="16" t="s">
        <v>33</v>
      </c>
      <c r="G768" s="11">
        <v>0.40100000000000002</v>
      </c>
      <c r="H768" s="5">
        <v>70.599999999999994</v>
      </c>
      <c r="I768" s="8">
        <v>63</v>
      </c>
      <c r="J768" s="8">
        <v>133</v>
      </c>
      <c r="K768" s="8">
        <v>226</v>
      </c>
      <c r="L768" s="8">
        <v>107</v>
      </c>
      <c r="M768" t="s">
        <v>1306</v>
      </c>
      <c r="N768" s="16" t="s">
        <v>23</v>
      </c>
      <c r="O768" s="16" t="s">
        <v>22</v>
      </c>
      <c r="P768" s="16" t="s">
        <v>28</v>
      </c>
      <c r="Q768" s="10" t="s">
        <v>682</v>
      </c>
      <c r="R768" s="3" t="str">
        <f t="shared" si="22"/>
        <v>126</v>
      </c>
      <c r="S768" s="3" t="str">
        <f t="shared" si="23"/>
        <v>89</v>
      </c>
      <c r="T768" s="16" t="s">
        <v>29</v>
      </c>
      <c r="U768" s="3">
        <v>16.960925291295425</v>
      </c>
      <c r="V768" s="16" t="str">
        <f>PROPER(Table1[[#This Row],[CVD Risk Level]])</f>
        <v>Intermediary</v>
      </c>
    </row>
    <row r="769" spans="1:22" x14ac:dyDescent="0.3">
      <c r="A769" t="s">
        <v>31</v>
      </c>
      <c r="B769" s="8">
        <v>58</v>
      </c>
      <c r="C769" s="8">
        <v>56</v>
      </c>
      <c r="D769" s="5">
        <v>1.82</v>
      </c>
      <c r="E769" s="5">
        <v>16.899999999999999</v>
      </c>
      <c r="F769" s="16" t="s">
        <v>1304</v>
      </c>
      <c r="G769" s="11">
        <v>0.57252747252747249</v>
      </c>
      <c r="H769" s="5">
        <v>104.2</v>
      </c>
      <c r="I769" s="8">
        <v>43</v>
      </c>
      <c r="J769" s="8">
        <v>71</v>
      </c>
      <c r="K769" s="8">
        <v>144</v>
      </c>
      <c r="L769" s="8">
        <v>98</v>
      </c>
      <c r="M769" t="s">
        <v>33</v>
      </c>
      <c r="N769" s="16" t="s">
        <v>23</v>
      </c>
      <c r="O769" s="16" t="s">
        <v>22</v>
      </c>
      <c r="P769" s="16" t="s">
        <v>24</v>
      </c>
      <c r="Q769" s="10" t="s">
        <v>683</v>
      </c>
      <c r="R769" s="3" t="str">
        <f t="shared" si="22"/>
        <v>132</v>
      </c>
      <c r="S769" s="3" t="str">
        <f t="shared" si="23"/>
        <v>78</v>
      </c>
      <c r="T769" s="16" t="s">
        <v>29</v>
      </c>
      <c r="U769" s="3">
        <v>12.86</v>
      </c>
      <c r="V769" s="16" t="str">
        <f>PROPER(Table1[[#This Row],[CVD Risk Level]])</f>
        <v>High</v>
      </c>
    </row>
    <row r="770" spans="1:22" x14ac:dyDescent="0.3">
      <c r="A770" t="s">
        <v>20</v>
      </c>
      <c r="B770" s="8">
        <v>53</v>
      </c>
      <c r="C770" s="8">
        <v>68.599999999999994</v>
      </c>
      <c r="D770" s="5">
        <v>1.89</v>
      </c>
      <c r="E770" s="5">
        <v>19.2</v>
      </c>
      <c r="F770" s="16" t="s">
        <v>33</v>
      </c>
      <c r="G770" s="11">
        <v>0.46700000000000003</v>
      </c>
      <c r="H770" s="5">
        <v>88.2</v>
      </c>
      <c r="I770" s="8">
        <v>73</v>
      </c>
      <c r="J770" s="8">
        <v>96</v>
      </c>
      <c r="K770" s="8">
        <v>199</v>
      </c>
      <c r="L770" s="8">
        <v>129</v>
      </c>
      <c r="M770" t="s">
        <v>1307</v>
      </c>
      <c r="N770" s="16" t="s">
        <v>22</v>
      </c>
      <c r="O770" s="16" t="s">
        <v>23</v>
      </c>
      <c r="P770" s="16" t="s">
        <v>28</v>
      </c>
      <c r="Q770" s="10" t="s">
        <v>187</v>
      </c>
      <c r="R770" s="3" t="str">
        <f t="shared" si="22"/>
        <v>121</v>
      </c>
      <c r="S770" s="3" t="str">
        <f t="shared" si="23"/>
        <v>67</v>
      </c>
      <c r="T770" s="16" t="s">
        <v>25</v>
      </c>
      <c r="U770" s="3">
        <v>15.87</v>
      </c>
      <c r="V770" s="16" t="str">
        <f>PROPER(Table1[[#This Row],[CVD Risk Level]])</f>
        <v>Intermediary</v>
      </c>
    </row>
    <row r="771" spans="1:22" x14ac:dyDescent="0.3">
      <c r="A771" t="s">
        <v>20</v>
      </c>
      <c r="B771" s="8">
        <v>49</v>
      </c>
      <c r="C771" s="8">
        <v>51.7</v>
      </c>
      <c r="D771" s="5">
        <v>1.63</v>
      </c>
      <c r="E771" s="5">
        <v>19.5</v>
      </c>
      <c r="F771" s="16" t="s">
        <v>33</v>
      </c>
      <c r="G771" s="11">
        <v>0.64500000000000002</v>
      </c>
      <c r="H771" s="5">
        <v>105.1</v>
      </c>
      <c r="I771" s="8">
        <v>77</v>
      </c>
      <c r="J771" s="8">
        <v>28</v>
      </c>
      <c r="K771" s="8">
        <v>135</v>
      </c>
      <c r="L771" s="8">
        <v>125</v>
      </c>
      <c r="M771" t="s">
        <v>1306</v>
      </c>
      <c r="N771" s="16" t="s">
        <v>22</v>
      </c>
      <c r="O771" s="16" t="s">
        <v>23</v>
      </c>
      <c r="P771" s="16" t="s">
        <v>37</v>
      </c>
      <c r="Q771" s="10" t="s">
        <v>193</v>
      </c>
      <c r="R771" s="3" t="str">
        <f t="shared" ref="R771:R834" si="24">LEFT(Q771,FIND("/",Q771)-1)</f>
        <v>137</v>
      </c>
      <c r="S771" s="3" t="str">
        <f t="shared" ref="S771:S834" si="25">RIGHT(Q771,LEN(Q771)-FIND("/",Q771))</f>
        <v>64</v>
      </c>
      <c r="T771" s="16" t="s">
        <v>29</v>
      </c>
      <c r="U771" s="3">
        <v>15.45</v>
      </c>
      <c r="V771" s="16" t="str">
        <f>PROPER(Table1[[#This Row],[CVD Risk Level]])</f>
        <v>Intermediary</v>
      </c>
    </row>
    <row r="772" spans="1:22" x14ac:dyDescent="0.3">
      <c r="A772" t="s">
        <v>31</v>
      </c>
      <c r="B772" s="8">
        <v>50</v>
      </c>
      <c r="C772" s="8">
        <v>95.4</v>
      </c>
      <c r="D772" s="5">
        <v>1.87</v>
      </c>
      <c r="E772" s="5">
        <v>27.3</v>
      </c>
      <c r="F772" s="16" t="s">
        <v>1303</v>
      </c>
      <c r="G772" s="11">
        <v>0.505</v>
      </c>
      <c r="H772" s="5">
        <v>94.4</v>
      </c>
      <c r="I772" s="8">
        <v>56</v>
      </c>
      <c r="J772" s="8">
        <v>24</v>
      </c>
      <c r="K772" s="8">
        <v>160</v>
      </c>
      <c r="L772" s="8">
        <v>128</v>
      </c>
      <c r="M772" t="s">
        <v>1307</v>
      </c>
      <c r="N772" s="16" t="s">
        <v>23</v>
      </c>
      <c r="O772" s="16" t="s">
        <v>22</v>
      </c>
      <c r="P772" s="16" t="s">
        <v>28</v>
      </c>
      <c r="Q772" s="10" t="s">
        <v>636</v>
      </c>
      <c r="R772" s="3" t="str">
        <f t="shared" si="24"/>
        <v>130</v>
      </c>
      <c r="S772" s="3" t="str">
        <f t="shared" si="25"/>
        <v>66</v>
      </c>
      <c r="T772" s="16" t="s">
        <v>29</v>
      </c>
      <c r="U772" s="3">
        <v>14.16</v>
      </c>
      <c r="V772" s="16" t="str">
        <f>PROPER(Table1[[#This Row],[CVD Risk Level]])</f>
        <v>High</v>
      </c>
    </row>
    <row r="773" spans="1:22" x14ac:dyDescent="0.3">
      <c r="A773" t="s">
        <v>20</v>
      </c>
      <c r="B773" s="8">
        <v>35</v>
      </c>
      <c r="C773" s="8">
        <v>84.798899999999989</v>
      </c>
      <c r="D773" s="5">
        <v>1.71</v>
      </c>
      <c r="E773" s="5">
        <v>29</v>
      </c>
      <c r="F773" s="16" t="s">
        <v>1303</v>
      </c>
      <c r="G773" s="11">
        <v>0.54300000000000004</v>
      </c>
      <c r="H773" s="5">
        <v>92.8</v>
      </c>
      <c r="I773" s="8">
        <v>42</v>
      </c>
      <c r="J773" s="8">
        <v>79</v>
      </c>
      <c r="K773" s="8">
        <v>151</v>
      </c>
      <c r="L773" s="8">
        <v>99</v>
      </c>
      <c r="M773" t="s">
        <v>33</v>
      </c>
      <c r="N773" s="16" t="s">
        <v>22</v>
      </c>
      <c r="O773" s="16" t="s">
        <v>22</v>
      </c>
      <c r="P773" s="16" t="s">
        <v>28</v>
      </c>
      <c r="Q773" s="10" t="s">
        <v>684</v>
      </c>
      <c r="R773" s="3" t="str">
        <f t="shared" si="24"/>
        <v>149</v>
      </c>
      <c r="S773" s="3" t="str">
        <f t="shared" si="25"/>
        <v>69</v>
      </c>
      <c r="T773" s="16" t="s">
        <v>38</v>
      </c>
      <c r="U773" s="3">
        <v>16.27</v>
      </c>
      <c r="V773" s="16" t="str">
        <f>PROPER(Table1[[#This Row],[CVD Risk Level]])</f>
        <v>Intermediary</v>
      </c>
    </row>
    <row r="774" spans="1:22" x14ac:dyDescent="0.3">
      <c r="A774" t="s">
        <v>20</v>
      </c>
      <c r="B774" s="8">
        <v>56</v>
      </c>
      <c r="C774" s="8">
        <v>111.3</v>
      </c>
      <c r="D774" s="5">
        <v>1.82</v>
      </c>
      <c r="E774" s="5">
        <v>33.6</v>
      </c>
      <c r="F774" s="16" t="s">
        <v>1302</v>
      </c>
      <c r="G774" s="11">
        <v>0.437</v>
      </c>
      <c r="H774" s="5">
        <v>79.5</v>
      </c>
      <c r="I774" s="8">
        <v>62</v>
      </c>
      <c r="J774" s="8">
        <v>204</v>
      </c>
      <c r="K774" s="8">
        <v>296</v>
      </c>
      <c r="L774" s="8">
        <v>137</v>
      </c>
      <c r="M774" t="s">
        <v>1307</v>
      </c>
      <c r="N774" s="16" t="s">
        <v>22</v>
      </c>
      <c r="O774" s="16" t="s">
        <v>23</v>
      </c>
      <c r="P774" s="16" t="s">
        <v>37</v>
      </c>
      <c r="Q774" s="10" t="s">
        <v>685</v>
      </c>
      <c r="R774" s="3" t="str">
        <f t="shared" si="24"/>
        <v>110</v>
      </c>
      <c r="S774" s="3" t="str">
        <f t="shared" si="25"/>
        <v>86</v>
      </c>
      <c r="T774" s="16" t="s">
        <v>29</v>
      </c>
      <c r="U774" s="3">
        <v>20.14</v>
      </c>
      <c r="V774" s="16" t="str">
        <f>PROPER(Table1[[#This Row],[CVD Risk Level]])</f>
        <v>High</v>
      </c>
    </row>
    <row r="775" spans="1:22" x14ac:dyDescent="0.3">
      <c r="A775" t="s">
        <v>20</v>
      </c>
      <c r="B775" s="8">
        <v>35</v>
      </c>
      <c r="C775" s="8">
        <v>100.7</v>
      </c>
      <c r="D775" s="5">
        <v>1.83</v>
      </c>
      <c r="E775" s="5">
        <v>30.1</v>
      </c>
      <c r="F775" s="16" t="s">
        <v>1302</v>
      </c>
      <c r="G775" s="11">
        <v>0.59499999999999997</v>
      </c>
      <c r="H775" s="5">
        <v>108.8</v>
      </c>
      <c r="I775" s="8">
        <v>57</v>
      </c>
      <c r="J775" s="8">
        <v>75</v>
      </c>
      <c r="K775" s="8">
        <v>162</v>
      </c>
      <c r="L775" s="8">
        <v>90</v>
      </c>
      <c r="M775" t="s">
        <v>33</v>
      </c>
      <c r="N775" s="16" t="s">
        <v>23</v>
      </c>
      <c r="O775" s="16" t="s">
        <v>22</v>
      </c>
      <c r="P775" s="16" t="s">
        <v>37</v>
      </c>
      <c r="Q775" s="10" t="s">
        <v>686</v>
      </c>
      <c r="R775" s="3" t="str">
        <f t="shared" si="24"/>
        <v>143</v>
      </c>
      <c r="S775" s="3" t="str">
        <f t="shared" si="25"/>
        <v>64</v>
      </c>
      <c r="T775" s="16" t="s">
        <v>38</v>
      </c>
      <c r="U775" s="3">
        <v>16.960925291295425</v>
      </c>
      <c r="V775" s="16" t="str">
        <f>PROPER(Table1[[#This Row],[CVD Risk Level]])</f>
        <v>Intermediary</v>
      </c>
    </row>
    <row r="776" spans="1:22" x14ac:dyDescent="0.3">
      <c r="A776" t="s">
        <v>31</v>
      </c>
      <c r="B776" s="8">
        <v>55</v>
      </c>
      <c r="C776" s="8">
        <v>110.5</v>
      </c>
      <c r="D776" s="5">
        <v>1.73</v>
      </c>
      <c r="E776" s="5">
        <v>36.9</v>
      </c>
      <c r="F776" s="16" t="s">
        <v>1302</v>
      </c>
      <c r="G776" s="11">
        <v>0.441</v>
      </c>
      <c r="H776" s="5">
        <v>76.293000000000006</v>
      </c>
      <c r="I776" s="8">
        <v>39</v>
      </c>
      <c r="J776" s="8">
        <v>127</v>
      </c>
      <c r="K776" s="8">
        <v>196</v>
      </c>
      <c r="L776" s="8">
        <v>98</v>
      </c>
      <c r="M776" t="s">
        <v>33</v>
      </c>
      <c r="N776" s="16" t="s">
        <v>23</v>
      </c>
      <c r="O776" s="16" t="s">
        <v>22</v>
      </c>
      <c r="P776" s="16" t="s">
        <v>28</v>
      </c>
      <c r="Q776" s="10" t="s">
        <v>687</v>
      </c>
      <c r="R776" s="3" t="str">
        <f t="shared" si="24"/>
        <v>118</v>
      </c>
      <c r="S776" s="3" t="str">
        <f t="shared" si="25"/>
        <v>72</v>
      </c>
      <c r="T776" s="16" t="s">
        <v>33</v>
      </c>
      <c r="U776" s="3">
        <v>16.960925291295425</v>
      </c>
      <c r="V776" s="16" t="str">
        <f>PROPER(Table1[[#This Row],[CVD Risk Level]])</f>
        <v>High</v>
      </c>
    </row>
    <row r="777" spans="1:22" x14ac:dyDescent="0.3">
      <c r="A777" t="s">
        <v>20</v>
      </c>
      <c r="B777" s="8">
        <v>40</v>
      </c>
      <c r="C777" s="8">
        <v>101.7</v>
      </c>
      <c r="D777" s="5">
        <v>1.82</v>
      </c>
      <c r="E777" s="5">
        <v>30.7</v>
      </c>
      <c r="F777" s="16" t="s">
        <v>1302</v>
      </c>
      <c r="G777" s="11">
        <v>0.42399999999999999</v>
      </c>
      <c r="H777" s="5">
        <v>77.099999999999994</v>
      </c>
      <c r="I777" s="8">
        <v>42</v>
      </c>
      <c r="J777" s="8">
        <v>100</v>
      </c>
      <c r="K777" s="8">
        <v>172</v>
      </c>
      <c r="L777" s="8">
        <v>135</v>
      </c>
      <c r="M777" t="s">
        <v>1307</v>
      </c>
      <c r="N777" s="16" t="s">
        <v>22</v>
      </c>
      <c r="O777" s="16" t="s">
        <v>22</v>
      </c>
      <c r="P777" s="16" t="s">
        <v>24</v>
      </c>
      <c r="Q777" s="10" t="s">
        <v>688</v>
      </c>
      <c r="R777" s="3" t="str">
        <f t="shared" si="24"/>
        <v>125</v>
      </c>
      <c r="S777" s="3" t="str">
        <f t="shared" si="25"/>
        <v>80</v>
      </c>
      <c r="T777" s="16" t="s">
        <v>29</v>
      </c>
      <c r="U777" s="3">
        <v>15.83</v>
      </c>
      <c r="V777" s="16" t="str">
        <f>PROPER(Table1[[#This Row],[CVD Risk Level]])</f>
        <v>Intermediary</v>
      </c>
    </row>
    <row r="778" spans="1:22" x14ac:dyDescent="0.3">
      <c r="A778" t="s">
        <v>20</v>
      </c>
      <c r="B778" s="8">
        <v>37</v>
      </c>
      <c r="C778" s="8">
        <v>95.7</v>
      </c>
      <c r="D778" s="5">
        <v>1.76</v>
      </c>
      <c r="E778" s="5">
        <v>30.9</v>
      </c>
      <c r="F778" s="16" t="s">
        <v>1302</v>
      </c>
      <c r="G778" s="11">
        <v>0.58399999999999996</v>
      </c>
      <c r="H778" s="5">
        <v>102.8</v>
      </c>
      <c r="I778" s="8">
        <v>47</v>
      </c>
      <c r="J778" s="8">
        <v>179</v>
      </c>
      <c r="K778" s="8">
        <v>256</v>
      </c>
      <c r="L778" s="8">
        <v>102</v>
      </c>
      <c r="M778" t="s">
        <v>1306</v>
      </c>
      <c r="N778" s="16" t="s">
        <v>22</v>
      </c>
      <c r="O778" s="16" t="s">
        <v>23</v>
      </c>
      <c r="P778" s="16" t="s">
        <v>24</v>
      </c>
      <c r="Q778" s="10" t="s">
        <v>689</v>
      </c>
      <c r="R778" s="3" t="str">
        <f t="shared" si="24"/>
        <v>93</v>
      </c>
      <c r="S778" s="3" t="str">
        <f t="shared" si="25"/>
        <v>71</v>
      </c>
      <c r="T778" s="16" t="s">
        <v>33</v>
      </c>
      <c r="U778" s="3">
        <v>17.95</v>
      </c>
      <c r="V778" s="16" t="str">
        <f>PROPER(Table1[[#This Row],[CVD Risk Level]])</f>
        <v>High</v>
      </c>
    </row>
    <row r="779" spans="1:22" x14ac:dyDescent="0.3">
      <c r="A779" t="s">
        <v>20</v>
      </c>
      <c r="B779" s="8">
        <v>60</v>
      </c>
      <c r="C779" s="8">
        <v>104.2</v>
      </c>
      <c r="D779" s="5">
        <v>1.7</v>
      </c>
      <c r="E779" s="5">
        <v>36.1</v>
      </c>
      <c r="F779" s="16" t="s">
        <v>1302</v>
      </c>
      <c r="G779" s="11">
        <v>0.434</v>
      </c>
      <c r="H779" s="5">
        <v>73.7</v>
      </c>
      <c r="I779" s="8">
        <v>59</v>
      </c>
      <c r="J779" s="8">
        <v>66</v>
      </c>
      <c r="K779" s="8">
        <v>155</v>
      </c>
      <c r="L779" s="8">
        <v>115</v>
      </c>
      <c r="M779" t="s">
        <v>1306</v>
      </c>
      <c r="N779" s="16" t="s">
        <v>23</v>
      </c>
      <c r="O779" s="16" t="s">
        <v>23</v>
      </c>
      <c r="P779" s="16" t="s">
        <v>24</v>
      </c>
      <c r="Q779" s="10" t="s">
        <v>690</v>
      </c>
      <c r="R779" s="3" t="str">
        <f t="shared" si="24"/>
        <v>150</v>
      </c>
      <c r="S779" s="3" t="str">
        <f t="shared" si="25"/>
        <v>67</v>
      </c>
      <c r="T779" s="16" t="s">
        <v>38</v>
      </c>
      <c r="U779" s="3">
        <v>19.82</v>
      </c>
      <c r="V779" s="16" t="str">
        <f>PROPER(Table1[[#This Row],[CVD Risk Level]])</f>
        <v>High</v>
      </c>
    </row>
    <row r="780" spans="1:22" x14ac:dyDescent="0.3">
      <c r="A780" t="s">
        <v>31</v>
      </c>
      <c r="B780" s="8">
        <v>45</v>
      </c>
      <c r="C780" s="8">
        <v>62.1</v>
      </c>
      <c r="D780" s="5">
        <v>1.8</v>
      </c>
      <c r="E780" s="5">
        <v>19.2</v>
      </c>
      <c r="F780" s="16" t="s">
        <v>33</v>
      </c>
      <c r="G780" s="11">
        <v>0.46700000000000003</v>
      </c>
      <c r="H780" s="5">
        <v>84.1</v>
      </c>
      <c r="I780" s="8">
        <v>45</v>
      </c>
      <c r="J780" s="8">
        <v>66</v>
      </c>
      <c r="K780" s="8">
        <v>141</v>
      </c>
      <c r="L780" s="8">
        <v>117</v>
      </c>
      <c r="M780" t="s">
        <v>1306</v>
      </c>
      <c r="N780" s="16" t="s">
        <v>23</v>
      </c>
      <c r="O780" s="16" t="s">
        <v>23</v>
      </c>
      <c r="P780" s="16" t="s">
        <v>28</v>
      </c>
      <c r="Q780" s="10" t="s">
        <v>691</v>
      </c>
      <c r="R780" s="3" t="str">
        <f t="shared" si="24"/>
        <v>117</v>
      </c>
      <c r="S780" s="3" t="str">
        <f t="shared" si="25"/>
        <v>60</v>
      </c>
      <c r="T780" s="16" t="s">
        <v>33</v>
      </c>
      <c r="U780" s="3">
        <v>14.51</v>
      </c>
      <c r="V780" s="16" t="str">
        <f>PROPER(Table1[[#This Row],[CVD Risk Level]])</f>
        <v>Intermediary</v>
      </c>
    </row>
    <row r="781" spans="1:22" x14ac:dyDescent="0.3">
      <c r="A781" t="s">
        <v>31</v>
      </c>
      <c r="B781" s="8">
        <v>44</v>
      </c>
      <c r="C781" s="8">
        <v>97.8</v>
      </c>
      <c r="D781" s="5">
        <v>1.63</v>
      </c>
      <c r="E781" s="5">
        <v>36.799999999999997</v>
      </c>
      <c r="F781" s="16" t="s">
        <v>1302</v>
      </c>
      <c r="G781" s="11">
        <v>0.6380368098159509</v>
      </c>
      <c r="H781" s="5">
        <v>104</v>
      </c>
      <c r="I781" s="8">
        <v>55</v>
      </c>
      <c r="J781" s="8">
        <v>70</v>
      </c>
      <c r="K781" s="8">
        <v>155</v>
      </c>
      <c r="L781" s="8">
        <v>142</v>
      </c>
      <c r="M781" t="s">
        <v>1307</v>
      </c>
      <c r="N781" s="16" t="s">
        <v>23</v>
      </c>
      <c r="O781" s="16" t="s">
        <v>23</v>
      </c>
      <c r="P781" s="16" t="s">
        <v>37</v>
      </c>
      <c r="Q781" s="10" t="s">
        <v>692</v>
      </c>
      <c r="R781" s="3" t="str">
        <f t="shared" si="24"/>
        <v>141</v>
      </c>
      <c r="S781" s="3" t="str">
        <f t="shared" si="25"/>
        <v>68</v>
      </c>
      <c r="T781" s="16" t="s">
        <v>38</v>
      </c>
      <c r="U781" s="3">
        <v>19.510000000000002</v>
      </c>
      <c r="V781" s="16" t="str">
        <f>PROPER(Table1[[#This Row],[CVD Risk Level]])</f>
        <v>Intermediary</v>
      </c>
    </row>
    <row r="782" spans="1:22" x14ac:dyDescent="0.3">
      <c r="A782" t="s">
        <v>20</v>
      </c>
      <c r="B782" s="8">
        <v>47.025499655410059</v>
      </c>
      <c r="C782" s="8">
        <v>54.7</v>
      </c>
      <c r="D782" s="5">
        <v>1.82</v>
      </c>
      <c r="E782" s="5">
        <v>16.5</v>
      </c>
      <c r="F782" s="16" t="s">
        <v>1304</v>
      </c>
      <c r="G782" s="11">
        <v>0.45700000000000002</v>
      </c>
      <c r="H782" s="5">
        <v>83.2</v>
      </c>
      <c r="I782" s="8">
        <v>61</v>
      </c>
      <c r="J782" s="8">
        <v>102</v>
      </c>
      <c r="K782" s="8">
        <v>193</v>
      </c>
      <c r="L782" s="8">
        <v>133</v>
      </c>
      <c r="M782" t="s">
        <v>1307</v>
      </c>
      <c r="N782" s="16" t="s">
        <v>23</v>
      </c>
      <c r="O782" s="16" t="s">
        <v>23</v>
      </c>
      <c r="P782" s="16" t="s">
        <v>28</v>
      </c>
      <c r="Q782" s="10" t="s">
        <v>693</v>
      </c>
      <c r="R782" s="3" t="str">
        <f t="shared" si="24"/>
        <v>150</v>
      </c>
      <c r="S782" s="3" t="str">
        <f t="shared" si="25"/>
        <v>81</v>
      </c>
      <c r="T782" s="16" t="s">
        <v>29</v>
      </c>
      <c r="U782" s="3">
        <v>16.66</v>
      </c>
      <c r="V782" s="16" t="str">
        <f>PROPER(Table1[[#This Row],[CVD Risk Level]])</f>
        <v>Intermediary</v>
      </c>
    </row>
    <row r="783" spans="1:22" x14ac:dyDescent="0.3">
      <c r="A783" t="s">
        <v>31</v>
      </c>
      <c r="B783" s="8">
        <v>53</v>
      </c>
      <c r="C783" s="8">
        <v>62.7</v>
      </c>
      <c r="D783" s="5">
        <v>1.6</v>
      </c>
      <c r="E783" s="5">
        <v>24.5</v>
      </c>
      <c r="F783" s="16" t="s">
        <v>33</v>
      </c>
      <c r="G783" s="11">
        <v>0.46100000000000002</v>
      </c>
      <c r="H783" s="5">
        <v>73.7</v>
      </c>
      <c r="I783" s="8">
        <v>73</v>
      </c>
      <c r="J783" s="8">
        <v>69</v>
      </c>
      <c r="K783" s="8">
        <v>172</v>
      </c>
      <c r="L783" s="8">
        <v>142</v>
      </c>
      <c r="M783" t="s">
        <v>1307</v>
      </c>
      <c r="N783" s="16" t="s">
        <v>23</v>
      </c>
      <c r="O783" s="16" t="s">
        <v>23</v>
      </c>
      <c r="P783" s="16" t="s">
        <v>28</v>
      </c>
      <c r="Q783" s="10" t="s">
        <v>694</v>
      </c>
      <c r="R783" s="3" t="str">
        <f t="shared" si="24"/>
        <v>131</v>
      </c>
      <c r="S783" s="3" t="str">
        <f t="shared" si="25"/>
        <v>73</v>
      </c>
      <c r="T783" s="16" t="s">
        <v>29</v>
      </c>
      <c r="U783" s="3">
        <v>16.89</v>
      </c>
      <c r="V783" s="16" t="str">
        <f>PROPER(Table1[[#This Row],[CVD Risk Level]])</f>
        <v>High</v>
      </c>
    </row>
    <row r="784" spans="1:22" x14ac:dyDescent="0.3">
      <c r="A784" t="s">
        <v>20</v>
      </c>
      <c r="B784" s="8">
        <v>30</v>
      </c>
      <c r="C784" s="8">
        <v>68.599999999999994</v>
      </c>
      <c r="D784" s="5">
        <v>1.73</v>
      </c>
      <c r="E784" s="5">
        <v>22.9</v>
      </c>
      <c r="F784" s="16" t="s">
        <v>33</v>
      </c>
      <c r="G784" s="11">
        <v>0.501</v>
      </c>
      <c r="H784" s="5">
        <v>86.7</v>
      </c>
      <c r="I784" s="8">
        <v>59</v>
      </c>
      <c r="J784" s="8">
        <v>53</v>
      </c>
      <c r="K784" s="8">
        <v>142</v>
      </c>
      <c r="L784" s="8">
        <v>94</v>
      </c>
      <c r="M784" t="s">
        <v>33</v>
      </c>
      <c r="N784" s="16" t="s">
        <v>22</v>
      </c>
      <c r="O784" s="16" t="s">
        <v>23</v>
      </c>
      <c r="P784" s="16" t="s">
        <v>28</v>
      </c>
      <c r="Q784" s="10" t="s">
        <v>100</v>
      </c>
      <c r="R784" s="3" t="str">
        <f t="shared" si="24"/>
        <v>142</v>
      </c>
      <c r="S784" s="3" t="str">
        <f t="shared" si="25"/>
        <v>66</v>
      </c>
      <c r="T784" s="16" t="s">
        <v>38</v>
      </c>
      <c r="U784" s="3">
        <v>16.52</v>
      </c>
      <c r="V784" s="16" t="str">
        <f>PROPER(Table1[[#This Row],[CVD Risk Level]])</f>
        <v>Low</v>
      </c>
    </row>
    <row r="785" spans="1:22" x14ac:dyDescent="0.3">
      <c r="A785" t="s">
        <v>31</v>
      </c>
      <c r="B785" s="8">
        <v>50</v>
      </c>
      <c r="C785" s="8">
        <v>95.3</v>
      </c>
      <c r="D785" s="5">
        <v>1.9</v>
      </c>
      <c r="E785" s="5">
        <v>26.4</v>
      </c>
      <c r="F785" s="16" t="s">
        <v>1303</v>
      </c>
      <c r="G785" s="11">
        <v>0.47399999999999998</v>
      </c>
      <c r="H785" s="5">
        <v>90</v>
      </c>
      <c r="I785" s="8">
        <v>38</v>
      </c>
      <c r="J785" s="8">
        <v>137</v>
      </c>
      <c r="K785" s="8">
        <v>205</v>
      </c>
      <c r="L785" s="8">
        <v>82</v>
      </c>
      <c r="M785" t="s">
        <v>33</v>
      </c>
      <c r="N785" s="16" t="s">
        <v>22</v>
      </c>
      <c r="O785" s="16" t="s">
        <v>23</v>
      </c>
      <c r="P785" s="16" t="s">
        <v>37</v>
      </c>
      <c r="Q785" s="10" t="s">
        <v>695</v>
      </c>
      <c r="R785" s="3" t="str">
        <f t="shared" si="24"/>
        <v>125</v>
      </c>
      <c r="S785" s="3" t="str">
        <f t="shared" si="25"/>
        <v>90</v>
      </c>
      <c r="T785" s="16" t="s">
        <v>38</v>
      </c>
      <c r="U785" s="3">
        <v>17.63</v>
      </c>
      <c r="V785" s="16" t="str">
        <f>PROPER(Table1[[#This Row],[CVD Risk Level]])</f>
        <v>High</v>
      </c>
    </row>
    <row r="786" spans="1:22" x14ac:dyDescent="0.3">
      <c r="A786" t="s">
        <v>31</v>
      </c>
      <c r="B786" s="8">
        <v>31</v>
      </c>
      <c r="C786" s="8">
        <v>65.5</v>
      </c>
      <c r="D786" s="5">
        <v>1.8</v>
      </c>
      <c r="E786" s="5">
        <v>20.2</v>
      </c>
      <c r="F786" s="16" t="s">
        <v>33</v>
      </c>
      <c r="G786" s="11">
        <v>0.44</v>
      </c>
      <c r="H786" s="5">
        <v>79.2</v>
      </c>
      <c r="I786" s="8">
        <v>60</v>
      </c>
      <c r="J786" s="8">
        <v>176</v>
      </c>
      <c r="K786" s="8">
        <v>266</v>
      </c>
      <c r="L786" s="8">
        <v>111</v>
      </c>
      <c r="M786" t="s">
        <v>1306</v>
      </c>
      <c r="N786" s="16" t="s">
        <v>23</v>
      </c>
      <c r="O786" s="16" t="s">
        <v>23</v>
      </c>
      <c r="P786" s="16" t="s">
        <v>24</v>
      </c>
      <c r="Q786" s="10" t="s">
        <v>696</v>
      </c>
      <c r="R786" s="3" t="str">
        <f t="shared" si="24"/>
        <v>124</v>
      </c>
      <c r="S786" s="3" t="str">
        <f t="shared" si="25"/>
        <v>61</v>
      </c>
      <c r="T786" s="16" t="s">
        <v>25</v>
      </c>
      <c r="U786" s="3">
        <v>17.559999999999999</v>
      </c>
      <c r="V786" s="16" t="str">
        <f>PROPER(Table1[[#This Row],[CVD Risk Level]])</f>
        <v>High</v>
      </c>
    </row>
    <row r="787" spans="1:22" x14ac:dyDescent="0.3">
      <c r="A787" t="s">
        <v>31</v>
      </c>
      <c r="B787" s="8">
        <v>43</v>
      </c>
      <c r="C787" s="8">
        <v>110.9</v>
      </c>
      <c r="D787" s="5">
        <v>1.83</v>
      </c>
      <c r="E787" s="5">
        <v>33.1</v>
      </c>
      <c r="F787" s="16" t="s">
        <v>1302</v>
      </c>
      <c r="G787" s="11">
        <v>0.49453551912568305</v>
      </c>
      <c r="H787" s="5">
        <v>90.5</v>
      </c>
      <c r="I787" s="8">
        <v>56.197377501725327</v>
      </c>
      <c r="J787" s="8">
        <v>62</v>
      </c>
      <c r="K787" s="8">
        <v>160</v>
      </c>
      <c r="L787" s="8">
        <v>144</v>
      </c>
      <c r="M787" t="s">
        <v>1307</v>
      </c>
      <c r="N787" s="16" t="s">
        <v>22</v>
      </c>
      <c r="O787" s="16" t="s">
        <v>23</v>
      </c>
      <c r="P787" s="16" t="s">
        <v>37</v>
      </c>
      <c r="Q787" s="10" t="s">
        <v>446</v>
      </c>
      <c r="R787" s="3" t="str">
        <f t="shared" si="24"/>
        <v>129</v>
      </c>
      <c r="S787" s="3" t="str">
        <f t="shared" si="25"/>
        <v>61</v>
      </c>
      <c r="T787" s="16" t="s">
        <v>25</v>
      </c>
      <c r="U787" s="3">
        <v>18.27</v>
      </c>
      <c r="V787" s="16" t="str">
        <f>PROPER(Table1[[#This Row],[CVD Risk Level]])</f>
        <v>Intermediary</v>
      </c>
    </row>
    <row r="788" spans="1:22" x14ac:dyDescent="0.3">
      <c r="A788" t="s">
        <v>31</v>
      </c>
      <c r="B788" s="8">
        <v>55</v>
      </c>
      <c r="C788" s="8">
        <v>75.3</v>
      </c>
      <c r="D788" s="5">
        <v>1.66</v>
      </c>
      <c r="E788" s="5">
        <v>27.3</v>
      </c>
      <c r="F788" s="16" t="s">
        <v>1303</v>
      </c>
      <c r="G788" s="11">
        <v>0.46</v>
      </c>
      <c r="H788" s="5">
        <v>76.3</v>
      </c>
      <c r="I788" s="8">
        <v>51</v>
      </c>
      <c r="J788" s="8">
        <v>41</v>
      </c>
      <c r="K788" s="8">
        <v>122</v>
      </c>
      <c r="L788" s="8">
        <v>81</v>
      </c>
      <c r="M788" t="s">
        <v>33</v>
      </c>
      <c r="N788" s="16" t="s">
        <v>23</v>
      </c>
      <c r="O788" s="16" t="s">
        <v>23</v>
      </c>
      <c r="P788" s="16" t="s">
        <v>37</v>
      </c>
      <c r="Q788" s="10" t="s">
        <v>697</v>
      </c>
      <c r="R788" s="3" t="str">
        <f t="shared" si="24"/>
        <v>134</v>
      </c>
      <c r="S788" s="3" t="str">
        <f t="shared" si="25"/>
        <v>90</v>
      </c>
      <c r="T788" s="16" t="s">
        <v>29</v>
      </c>
      <c r="U788" s="3">
        <v>16.960925291295425</v>
      </c>
      <c r="V788" s="16" t="str">
        <f>PROPER(Table1[[#This Row],[CVD Risk Level]])</f>
        <v>High</v>
      </c>
    </row>
    <row r="789" spans="1:22" x14ac:dyDescent="0.3">
      <c r="A789" t="s">
        <v>20</v>
      </c>
      <c r="B789" s="8">
        <v>31</v>
      </c>
      <c r="C789" s="8">
        <v>92.3</v>
      </c>
      <c r="D789" s="5">
        <v>1.72</v>
      </c>
      <c r="E789" s="5">
        <v>31.2</v>
      </c>
      <c r="F789" s="16" t="s">
        <v>1302</v>
      </c>
      <c r="G789" s="11">
        <v>0.54700000000000004</v>
      </c>
      <c r="H789" s="5">
        <v>94</v>
      </c>
      <c r="I789" s="8">
        <v>60</v>
      </c>
      <c r="J789" s="8">
        <v>92</v>
      </c>
      <c r="K789" s="8">
        <v>182</v>
      </c>
      <c r="L789" s="8">
        <v>73</v>
      </c>
      <c r="M789" t="s">
        <v>33</v>
      </c>
      <c r="N789" s="16" t="s">
        <v>22</v>
      </c>
      <c r="O789" s="16" t="s">
        <v>22</v>
      </c>
      <c r="P789" s="16" t="s">
        <v>37</v>
      </c>
      <c r="Q789" s="10" t="s">
        <v>698</v>
      </c>
      <c r="R789" s="3" t="str">
        <f t="shared" si="24"/>
        <v>108</v>
      </c>
      <c r="S789" s="3" t="str">
        <f t="shared" si="25"/>
        <v>71</v>
      </c>
      <c r="T789" s="16" t="s">
        <v>33</v>
      </c>
      <c r="U789" s="3">
        <v>15.28</v>
      </c>
      <c r="V789" s="16" t="str">
        <f>PROPER(Table1[[#This Row],[CVD Risk Level]])</f>
        <v>Low</v>
      </c>
    </row>
    <row r="790" spans="1:22" x14ac:dyDescent="0.3">
      <c r="A790" t="s">
        <v>20</v>
      </c>
      <c r="B790" s="8">
        <v>42</v>
      </c>
      <c r="C790" s="8">
        <v>69.099999999999994</v>
      </c>
      <c r="D790" s="5">
        <v>1.8776342040135592</v>
      </c>
      <c r="E790" s="5">
        <v>19.600000000000001</v>
      </c>
      <c r="F790" s="16" t="s">
        <v>33</v>
      </c>
      <c r="G790" s="11">
        <v>0.54500000000000004</v>
      </c>
      <c r="H790" s="5">
        <v>102.33106411873898</v>
      </c>
      <c r="I790" s="8">
        <v>74</v>
      </c>
      <c r="J790" s="8">
        <v>109</v>
      </c>
      <c r="K790" s="8">
        <v>263</v>
      </c>
      <c r="L790" s="8">
        <v>94</v>
      </c>
      <c r="M790" t="s">
        <v>33</v>
      </c>
      <c r="N790" s="16" t="s">
        <v>22</v>
      </c>
      <c r="O790" s="16" t="s">
        <v>22</v>
      </c>
      <c r="P790" s="16" t="s">
        <v>24</v>
      </c>
      <c r="Q790" s="10" t="s">
        <v>699</v>
      </c>
      <c r="R790" s="3" t="str">
        <f t="shared" si="24"/>
        <v>92</v>
      </c>
      <c r="S790" s="3" t="str">
        <f t="shared" si="25"/>
        <v>95</v>
      </c>
      <c r="T790" s="16" t="s">
        <v>38</v>
      </c>
      <c r="U790" s="3">
        <v>13.78</v>
      </c>
      <c r="V790" s="16" t="str">
        <f>PROPER(Table1[[#This Row],[CVD Risk Level]])</f>
        <v>Intermediary</v>
      </c>
    </row>
    <row r="791" spans="1:22" x14ac:dyDescent="0.3">
      <c r="A791" t="s">
        <v>31</v>
      </c>
      <c r="B791" s="8">
        <v>50</v>
      </c>
      <c r="C791" s="8">
        <v>119</v>
      </c>
      <c r="D791" s="5">
        <v>1.64</v>
      </c>
      <c r="E791" s="5">
        <v>44.2</v>
      </c>
      <c r="F791" s="16" t="s">
        <v>1302</v>
      </c>
      <c r="G791" s="11">
        <v>0.432</v>
      </c>
      <c r="H791" s="5">
        <v>70.900000000000006</v>
      </c>
      <c r="I791" s="8">
        <v>68</v>
      </c>
      <c r="J791" s="8">
        <v>90</v>
      </c>
      <c r="K791" s="8">
        <v>188</v>
      </c>
      <c r="L791" s="8">
        <v>113</v>
      </c>
      <c r="M791" t="s">
        <v>1306</v>
      </c>
      <c r="N791" s="16" t="s">
        <v>23</v>
      </c>
      <c r="O791" s="16" t="s">
        <v>23</v>
      </c>
      <c r="P791" s="16" t="s">
        <v>37</v>
      </c>
      <c r="Q791" s="10" t="s">
        <v>700</v>
      </c>
      <c r="R791" s="3" t="str">
        <f t="shared" si="24"/>
        <v>126</v>
      </c>
      <c r="S791" s="3" t="str">
        <f t="shared" si="25"/>
        <v>77</v>
      </c>
      <c r="T791" s="16" t="s">
        <v>25</v>
      </c>
      <c r="U791" s="3">
        <v>16.960925291295425</v>
      </c>
      <c r="V791" s="16" t="str">
        <f>PROPER(Table1[[#This Row],[CVD Risk Level]])</f>
        <v>High</v>
      </c>
    </row>
    <row r="792" spans="1:22" x14ac:dyDescent="0.3">
      <c r="A792" t="s">
        <v>20</v>
      </c>
      <c r="B792" s="8">
        <v>42</v>
      </c>
      <c r="C792" s="8">
        <v>114.2</v>
      </c>
      <c r="D792" s="5">
        <v>1.89</v>
      </c>
      <c r="E792" s="5">
        <v>32</v>
      </c>
      <c r="F792" s="16" t="s">
        <v>1302</v>
      </c>
      <c r="G792" s="11">
        <v>0.44700000000000001</v>
      </c>
      <c r="H792" s="5">
        <v>84.4</v>
      </c>
      <c r="I792" s="8">
        <v>68</v>
      </c>
      <c r="J792" s="8">
        <v>55</v>
      </c>
      <c r="K792" s="8">
        <v>153</v>
      </c>
      <c r="L792" s="8">
        <v>137</v>
      </c>
      <c r="M792" t="s">
        <v>1307</v>
      </c>
      <c r="N792" s="16" t="s">
        <v>22</v>
      </c>
      <c r="O792" s="16" t="s">
        <v>23</v>
      </c>
      <c r="P792" s="16" t="s">
        <v>28</v>
      </c>
      <c r="Q792" s="10" t="s">
        <v>701</v>
      </c>
      <c r="R792" s="3" t="str">
        <f t="shared" si="24"/>
        <v>109</v>
      </c>
      <c r="S792" s="3" t="str">
        <f t="shared" si="25"/>
        <v>91</v>
      </c>
      <c r="T792" s="16" t="s">
        <v>38</v>
      </c>
      <c r="U792" s="3">
        <v>16.91</v>
      </c>
      <c r="V792" s="16" t="str">
        <f>PROPER(Table1[[#This Row],[CVD Risk Level]])</f>
        <v>Intermediary</v>
      </c>
    </row>
    <row r="793" spans="1:22" x14ac:dyDescent="0.3">
      <c r="A793" t="s">
        <v>31</v>
      </c>
      <c r="B793" s="8">
        <v>56</v>
      </c>
      <c r="C793" s="8">
        <v>72.733069999999998</v>
      </c>
      <c r="D793" s="5">
        <v>1.79</v>
      </c>
      <c r="E793" s="5">
        <v>22.7</v>
      </c>
      <c r="F793" s="16" t="s">
        <v>33</v>
      </c>
      <c r="G793" s="11">
        <v>0.58499999999999996</v>
      </c>
      <c r="H793" s="5">
        <v>104.8</v>
      </c>
      <c r="I793" s="8">
        <v>57</v>
      </c>
      <c r="J793" s="8">
        <v>208</v>
      </c>
      <c r="K793" s="8">
        <v>295</v>
      </c>
      <c r="L793" s="8">
        <v>93</v>
      </c>
      <c r="M793" t="s">
        <v>33</v>
      </c>
      <c r="N793" s="16" t="s">
        <v>22</v>
      </c>
      <c r="O793" s="16" t="s">
        <v>23</v>
      </c>
      <c r="P793" s="16" t="s">
        <v>37</v>
      </c>
      <c r="Q793" s="10" t="s">
        <v>475</v>
      </c>
      <c r="R793" s="3" t="str">
        <f t="shared" si="24"/>
        <v>150</v>
      </c>
      <c r="S793" s="3" t="str">
        <f t="shared" si="25"/>
        <v>97</v>
      </c>
      <c r="T793" s="16" t="s">
        <v>38</v>
      </c>
      <c r="U793" s="3">
        <v>19.940000000000001</v>
      </c>
      <c r="V793" s="16" t="str">
        <f>PROPER(Table1[[#This Row],[CVD Risk Level]])</f>
        <v>Intermediary</v>
      </c>
    </row>
    <row r="794" spans="1:22" x14ac:dyDescent="0.3">
      <c r="A794" t="s">
        <v>31</v>
      </c>
      <c r="B794" s="8">
        <v>54</v>
      </c>
      <c r="C794" s="8">
        <v>53.1</v>
      </c>
      <c r="D794" s="5">
        <v>1.73</v>
      </c>
      <c r="E794" s="5">
        <v>17.7</v>
      </c>
      <c r="F794" s="16" t="s">
        <v>1304</v>
      </c>
      <c r="G794" s="11">
        <v>0.59699999999999998</v>
      </c>
      <c r="H794" s="5">
        <v>103.3</v>
      </c>
      <c r="I794" s="8">
        <v>71</v>
      </c>
      <c r="J794" s="8">
        <v>56</v>
      </c>
      <c r="K794" s="8">
        <v>254</v>
      </c>
      <c r="L794" s="8">
        <v>106</v>
      </c>
      <c r="M794" t="s">
        <v>1306</v>
      </c>
      <c r="N794" s="16" t="s">
        <v>23</v>
      </c>
      <c r="O794" s="16" t="s">
        <v>22</v>
      </c>
      <c r="P794" s="16" t="s">
        <v>37</v>
      </c>
      <c r="Q794" s="10" t="s">
        <v>702</v>
      </c>
      <c r="R794" s="3" t="str">
        <f t="shared" si="24"/>
        <v>137</v>
      </c>
      <c r="S794" s="3" t="str">
        <f t="shared" si="25"/>
        <v>65</v>
      </c>
      <c r="T794" s="16" t="s">
        <v>29</v>
      </c>
      <c r="U794" s="3">
        <v>13.53</v>
      </c>
      <c r="V794" s="16" t="str">
        <f>PROPER(Table1[[#This Row],[CVD Risk Level]])</f>
        <v>Intermediary</v>
      </c>
    </row>
    <row r="795" spans="1:22" x14ac:dyDescent="0.3">
      <c r="A795" t="s">
        <v>31</v>
      </c>
      <c r="B795" s="8">
        <v>47.025499655410059</v>
      </c>
      <c r="C795" s="8">
        <v>94.9</v>
      </c>
      <c r="D795" s="5">
        <v>1.67</v>
      </c>
      <c r="E795" s="5">
        <v>34</v>
      </c>
      <c r="F795" s="16" t="s">
        <v>1302</v>
      </c>
      <c r="G795" s="11">
        <v>0.59</v>
      </c>
      <c r="H795" s="5">
        <v>98.6</v>
      </c>
      <c r="I795" s="8">
        <v>56.197377501725327</v>
      </c>
      <c r="J795" s="8">
        <v>136</v>
      </c>
      <c r="K795" s="8">
        <v>234</v>
      </c>
      <c r="L795" s="8">
        <v>148</v>
      </c>
      <c r="M795" t="s">
        <v>1307</v>
      </c>
      <c r="N795" s="16" t="s">
        <v>23</v>
      </c>
      <c r="O795" s="16" t="s">
        <v>22</v>
      </c>
      <c r="P795" s="16" t="s">
        <v>37</v>
      </c>
      <c r="Q795" s="10" t="s">
        <v>703</v>
      </c>
      <c r="R795" s="3" t="str">
        <f t="shared" si="24"/>
        <v>150</v>
      </c>
      <c r="S795" s="3" t="str">
        <f t="shared" si="25"/>
        <v>86</v>
      </c>
      <c r="T795" s="16" t="s">
        <v>29</v>
      </c>
      <c r="U795" s="3">
        <v>18.98</v>
      </c>
      <c r="V795" s="16" t="str">
        <f>PROPER(Table1[[#This Row],[CVD Risk Level]])</f>
        <v>High</v>
      </c>
    </row>
    <row r="796" spans="1:22" x14ac:dyDescent="0.3">
      <c r="A796" t="s">
        <v>20</v>
      </c>
      <c r="B796" s="8">
        <v>48</v>
      </c>
      <c r="C796" s="8">
        <v>88.9</v>
      </c>
      <c r="D796" s="5">
        <v>1.88</v>
      </c>
      <c r="E796" s="5">
        <v>25.2</v>
      </c>
      <c r="F796" s="16" t="s">
        <v>1303</v>
      </c>
      <c r="G796" s="11">
        <v>0.52100000000000002</v>
      </c>
      <c r="H796" s="5">
        <v>97.9</v>
      </c>
      <c r="I796" s="8">
        <v>63</v>
      </c>
      <c r="J796" s="8">
        <v>141</v>
      </c>
      <c r="K796" s="8">
        <v>234</v>
      </c>
      <c r="L796" s="8">
        <v>96</v>
      </c>
      <c r="M796" t="s">
        <v>33</v>
      </c>
      <c r="N796" s="16" t="s">
        <v>23</v>
      </c>
      <c r="O796" s="16" t="s">
        <v>23</v>
      </c>
      <c r="P796" s="16" t="s">
        <v>37</v>
      </c>
      <c r="Q796" s="10" t="s">
        <v>704</v>
      </c>
      <c r="R796" s="3" t="str">
        <f t="shared" si="24"/>
        <v>110</v>
      </c>
      <c r="S796" s="3" t="str">
        <f t="shared" si="25"/>
        <v>72</v>
      </c>
      <c r="T796" s="16" t="s">
        <v>33</v>
      </c>
      <c r="U796" s="3">
        <v>17.22</v>
      </c>
      <c r="V796" s="16" t="str">
        <f>PROPER(Table1[[#This Row],[CVD Risk Level]])</f>
        <v>High</v>
      </c>
    </row>
    <row r="797" spans="1:22" x14ac:dyDescent="0.3">
      <c r="A797" t="s">
        <v>31</v>
      </c>
      <c r="B797" s="8">
        <v>44</v>
      </c>
      <c r="C797" s="8">
        <v>86.5</v>
      </c>
      <c r="D797" s="5">
        <v>1.67</v>
      </c>
      <c r="E797" s="5">
        <v>31</v>
      </c>
      <c r="F797" s="16" t="s">
        <v>1302</v>
      </c>
      <c r="G797" s="11">
        <v>0.48699999999999999</v>
      </c>
      <c r="H797" s="5">
        <v>81.400000000000006</v>
      </c>
      <c r="I797" s="8">
        <v>58</v>
      </c>
      <c r="J797" s="8">
        <v>15</v>
      </c>
      <c r="K797" s="8">
        <v>103</v>
      </c>
      <c r="L797" s="8">
        <v>79</v>
      </c>
      <c r="M797" t="s">
        <v>33</v>
      </c>
      <c r="N797" s="16" t="s">
        <v>23</v>
      </c>
      <c r="O797" s="16" t="s">
        <v>23</v>
      </c>
      <c r="P797" s="16" t="s">
        <v>37</v>
      </c>
      <c r="Q797" s="10" t="s">
        <v>705</v>
      </c>
      <c r="R797" s="3" t="str">
        <f t="shared" si="24"/>
        <v>101</v>
      </c>
      <c r="S797" s="3" t="str">
        <f t="shared" si="25"/>
        <v>73</v>
      </c>
      <c r="T797" s="16" t="s">
        <v>33</v>
      </c>
      <c r="U797" s="3">
        <v>15.31</v>
      </c>
      <c r="V797" s="16" t="str">
        <f>PROPER(Table1[[#This Row],[CVD Risk Level]])</f>
        <v>High</v>
      </c>
    </row>
    <row r="798" spans="1:22" x14ac:dyDescent="0.3">
      <c r="A798" t="s">
        <v>31</v>
      </c>
      <c r="B798" s="8">
        <v>42</v>
      </c>
      <c r="C798" s="8">
        <v>104.5</v>
      </c>
      <c r="D798" s="5">
        <v>1.66</v>
      </c>
      <c r="E798" s="5">
        <v>37.9</v>
      </c>
      <c r="F798" s="16" t="s">
        <v>1302</v>
      </c>
      <c r="G798" s="11">
        <v>0.54300000000000004</v>
      </c>
      <c r="H798" s="5">
        <v>90.2</v>
      </c>
      <c r="I798" s="8">
        <v>32</v>
      </c>
      <c r="J798" s="8">
        <v>63</v>
      </c>
      <c r="K798" s="8">
        <v>125</v>
      </c>
      <c r="L798" s="8">
        <v>134</v>
      </c>
      <c r="M798" t="s">
        <v>1307</v>
      </c>
      <c r="N798" s="16" t="s">
        <v>23</v>
      </c>
      <c r="O798" s="16" t="s">
        <v>23</v>
      </c>
      <c r="P798" s="16" t="s">
        <v>28</v>
      </c>
      <c r="Q798" s="10" t="s">
        <v>706</v>
      </c>
      <c r="R798" s="3" t="str">
        <f t="shared" si="24"/>
        <v>123</v>
      </c>
      <c r="S798" s="3" t="str">
        <f t="shared" si="25"/>
        <v>62</v>
      </c>
      <c r="T798" s="16" t="s">
        <v>25</v>
      </c>
      <c r="U798" s="3">
        <v>18.23</v>
      </c>
      <c r="V798" s="16" t="str">
        <f>PROPER(Table1[[#This Row],[CVD Risk Level]])</f>
        <v>High</v>
      </c>
    </row>
    <row r="799" spans="1:22" x14ac:dyDescent="0.3">
      <c r="A799" t="s">
        <v>20</v>
      </c>
      <c r="B799" s="8">
        <v>49</v>
      </c>
      <c r="C799" s="8">
        <v>58.5</v>
      </c>
      <c r="D799" s="5">
        <v>1.72</v>
      </c>
      <c r="E799" s="5">
        <v>19.8</v>
      </c>
      <c r="F799" s="16" t="s">
        <v>33</v>
      </c>
      <c r="G799" s="11">
        <v>0.52400000000000002</v>
      </c>
      <c r="H799" s="5">
        <v>90.1</v>
      </c>
      <c r="I799" s="8">
        <v>62</v>
      </c>
      <c r="J799" s="8">
        <v>39</v>
      </c>
      <c r="K799" s="8">
        <v>131</v>
      </c>
      <c r="L799" s="8">
        <v>150</v>
      </c>
      <c r="M799" t="s">
        <v>1307</v>
      </c>
      <c r="N799" s="16" t="s">
        <v>23</v>
      </c>
      <c r="O799" s="16" t="s">
        <v>22</v>
      </c>
      <c r="P799" s="16" t="s">
        <v>37</v>
      </c>
      <c r="Q799" s="10" t="s">
        <v>707</v>
      </c>
      <c r="R799" s="3" t="str">
        <f t="shared" si="24"/>
        <v>150</v>
      </c>
      <c r="S799" s="3" t="str">
        <f t="shared" si="25"/>
        <v>79</v>
      </c>
      <c r="T799" s="16" t="s">
        <v>38</v>
      </c>
      <c r="U799" s="3">
        <v>14.08</v>
      </c>
      <c r="V799" s="16" t="str">
        <f>PROPER(Table1[[#This Row],[CVD Risk Level]])</f>
        <v>Intermediary</v>
      </c>
    </row>
    <row r="800" spans="1:22" x14ac:dyDescent="0.3">
      <c r="A800" t="s">
        <v>20</v>
      </c>
      <c r="B800" s="8">
        <v>54</v>
      </c>
      <c r="C800" s="8">
        <v>119.8</v>
      </c>
      <c r="D800" s="5">
        <v>1.62</v>
      </c>
      <c r="E800" s="5">
        <v>45.6</v>
      </c>
      <c r="F800" s="16" t="s">
        <v>1302</v>
      </c>
      <c r="G800" s="11">
        <v>0.64100000000000001</v>
      </c>
      <c r="H800" s="5">
        <v>103.9</v>
      </c>
      <c r="I800" s="8">
        <v>38</v>
      </c>
      <c r="J800" s="8">
        <v>117</v>
      </c>
      <c r="K800" s="8">
        <v>185</v>
      </c>
      <c r="L800" s="8">
        <v>85</v>
      </c>
      <c r="M800" t="s">
        <v>33</v>
      </c>
      <c r="N800" s="16" t="s">
        <v>23</v>
      </c>
      <c r="O800" s="16" t="s">
        <v>22</v>
      </c>
      <c r="P800" s="16" t="s">
        <v>24</v>
      </c>
      <c r="Q800" s="10" t="s">
        <v>708</v>
      </c>
      <c r="R800" s="3" t="str">
        <f t="shared" si="24"/>
        <v>129</v>
      </c>
      <c r="S800" s="3" t="str">
        <f t="shared" si="25"/>
        <v>98</v>
      </c>
      <c r="T800" s="16" t="s">
        <v>38</v>
      </c>
      <c r="U800" s="3">
        <v>19.27</v>
      </c>
      <c r="V800" s="16" t="str">
        <f>PROPER(Table1[[#This Row],[CVD Risk Level]])</f>
        <v>High</v>
      </c>
    </row>
    <row r="801" spans="1:22" x14ac:dyDescent="0.3">
      <c r="A801" t="s">
        <v>31</v>
      </c>
      <c r="B801" s="8">
        <v>49</v>
      </c>
      <c r="C801" s="8">
        <v>61.374389999999998</v>
      </c>
      <c r="D801" s="5">
        <v>1.63</v>
      </c>
      <c r="E801" s="5">
        <v>23.1</v>
      </c>
      <c r="F801" s="16" t="s">
        <v>33</v>
      </c>
      <c r="G801" s="11">
        <v>0.57499999999999996</v>
      </c>
      <c r="H801" s="5">
        <v>93.8</v>
      </c>
      <c r="I801" s="8">
        <v>79</v>
      </c>
      <c r="J801" s="8">
        <v>82</v>
      </c>
      <c r="K801" s="8">
        <v>191</v>
      </c>
      <c r="L801" s="8">
        <v>117</v>
      </c>
      <c r="M801" t="s">
        <v>1306</v>
      </c>
      <c r="N801" s="16" t="s">
        <v>23</v>
      </c>
      <c r="O801" s="16" t="s">
        <v>23</v>
      </c>
      <c r="P801" s="16" t="s">
        <v>37</v>
      </c>
      <c r="Q801" s="10" t="s">
        <v>709</v>
      </c>
      <c r="R801" s="3" t="str">
        <f t="shared" si="24"/>
        <v>144</v>
      </c>
      <c r="S801" s="3" t="str">
        <f t="shared" si="25"/>
        <v>91</v>
      </c>
      <c r="T801" s="16" t="s">
        <v>38</v>
      </c>
      <c r="U801" s="3">
        <v>17.64</v>
      </c>
      <c r="V801" s="16" t="str">
        <f>PROPER(Table1[[#This Row],[CVD Risk Level]])</f>
        <v>High</v>
      </c>
    </row>
    <row r="802" spans="1:22" x14ac:dyDescent="0.3">
      <c r="A802" t="s">
        <v>20</v>
      </c>
      <c r="B802" s="8">
        <v>52</v>
      </c>
      <c r="C802" s="8">
        <v>50.2</v>
      </c>
      <c r="D802" s="5">
        <v>1.65</v>
      </c>
      <c r="E802" s="5">
        <v>18.399999999999999</v>
      </c>
      <c r="F802" s="16" t="s">
        <v>1304</v>
      </c>
      <c r="G802" s="11">
        <v>0.48499999999999999</v>
      </c>
      <c r="H802" s="5">
        <v>80.099999999999994</v>
      </c>
      <c r="I802" s="8">
        <v>78</v>
      </c>
      <c r="J802" s="8">
        <v>149</v>
      </c>
      <c r="K802" s="8">
        <v>257</v>
      </c>
      <c r="L802" s="8">
        <v>104</v>
      </c>
      <c r="M802" t="s">
        <v>1306</v>
      </c>
      <c r="N802" s="16" t="s">
        <v>22</v>
      </c>
      <c r="O802" s="16" t="s">
        <v>22</v>
      </c>
      <c r="P802" s="16" t="s">
        <v>24</v>
      </c>
      <c r="Q802" s="10" t="s">
        <v>710</v>
      </c>
      <c r="R802" s="3" t="str">
        <f t="shared" si="24"/>
        <v>108</v>
      </c>
      <c r="S802" s="3" t="str">
        <f t="shared" si="25"/>
        <v>73</v>
      </c>
      <c r="T802" s="16" t="s">
        <v>33</v>
      </c>
      <c r="U802" s="3">
        <v>14.22</v>
      </c>
      <c r="V802" s="16" t="str">
        <f>PROPER(Table1[[#This Row],[CVD Risk Level]])</f>
        <v>High</v>
      </c>
    </row>
    <row r="803" spans="1:22" x14ac:dyDescent="0.3">
      <c r="A803" t="s">
        <v>31</v>
      </c>
      <c r="B803" s="8">
        <v>54</v>
      </c>
      <c r="C803" s="8">
        <v>114.1</v>
      </c>
      <c r="D803" s="5">
        <v>1.61</v>
      </c>
      <c r="E803" s="5">
        <v>44</v>
      </c>
      <c r="F803" s="16" t="s">
        <v>1302</v>
      </c>
      <c r="G803" s="11">
        <v>0.66600000000000004</v>
      </c>
      <c r="H803" s="5">
        <v>107.2</v>
      </c>
      <c r="I803" s="8">
        <v>49</v>
      </c>
      <c r="J803" s="8">
        <v>200</v>
      </c>
      <c r="K803" s="8">
        <v>279</v>
      </c>
      <c r="L803" s="8">
        <v>75</v>
      </c>
      <c r="M803" t="s">
        <v>33</v>
      </c>
      <c r="N803" s="16" t="s">
        <v>23</v>
      </c>
      <c r="O803" s="16" t="s">
        <v>22</v>
      </c>
      <c r="P803" s="16" t="s">
        <v>24</v>
      </c>
      <c r="Q803" s="10" t="s">
        <v>711</v>
      </c>
      <c r="R803" s="3" t="str">
        <f t="shared" si="24"/>
        <v>134</v>
      </c>
      <c r="S803" s="3" t="str">
        <f t="shared" si="25"/>
        <v>88</v>
      </c>
      <c r="T803" s="16" t="s">
        <v>29</v>
      </c>
      <c r="U803" s="3">
        <v>21.08</v>
      </c>
      <c r="V803" s="16" t="str">
        <f>PROPER(Table1[[#This Row],[CVD Risk Level]])</f>
        <v>High</v>
      </c>
    </row>
    <row r="804" spans="1:22" x14ac:dyDescent="0.3">
      <c r="A804" t="s">
        <v>20</v>
      </c>
      <c r="B804" s="8">
        <v>51</v>
      </c>
      <c r="C804" s="8">
        <v>73.695039999999977</v>
      </c>
      <c r="D804" s="5">
        <v>1.64</v>
      </c>
      <c r="E804" s="5">
        <v>27.4</v>
      </c>
      <c r="F804" s="16" t="s">
        <v>1303</v>
      </c>
      <c r="G804" s="11">
        <v>0.45700000000000002</v>
      </c>
      <c r="H804" s="5">
        <v>75</v>
      </c>
      <c r="I804" s="8">
        <v>56.197377501725327</v>
      </c>
      <c r="J804" s="8">
        <v>128</v>
      </c>
      <c r="K804" s="8">
        <v>235</v>
      </c>
      <c r="L804" s="8">
        <v>146</v>
      </c>
      <c r="M804" t="s">
        <v>1307</v>
      </c>
      <c r="N804" s="16" t="s">
        <v>23</v>
      </c>
      <c r="O804" s="16" t="s">
        <v>22</v>
      </c>
      <c r="P804" s="16" t="s">
        <v>24</v>
      </c>
      <c r="Q804" s="10" t="s">
        <v>712</v>
      </c>
      <c r="R804" s="3" t="str">
        <f t="shared" si="24"/>
        <v>149</v>
      </c>
      <c r="S804" s="3" t="str">
        <f t="shared" si="25"/>
        <v>92</v>
      </c>
      <c r="T804" s="16" t="s">
        <v>38</v>
      </c>
      <c r="U804" s="3">
        <v>17.63</v>
      </c>
      <c r="V804" s="16" t="str">
        <f>PROPER(Table1[[#This Row],[CVD Risk Level]])</f>
        <v>High</v>
      </c>
    </row>
    <row r="805" spans="1:22" x14ac:dyDescent="0.3">
      <c r="A805" t="s">
        <v>20</v>
      </c>
      <c r="B805" s="8">
        <v>45</v>
      </c>
      <c r="C805" s="8">
        <v>107.4</v>
      </c>
      <c r="D805" s="5">
        <v>1.63</v>
      </c>
      <c r="E805" s="5">
        <v>40.4</v>
      </c>
      <c r="F805" s="16" t="s">
        <v>1302</v>
      </c>
      <c r="G805" s="11">
        <v>0.628</v>
      </c>
      <c r="H805" s="5">
        <v>102.3</v>
      </c>
      <c r="I805" s="8">
        <v>52</v>
      </c>
      <c r="J805" s="8">
        <v>165</v>
      </c>
      <c r="K805" s="8">
        <v>247</v>
      </c>
      <c r="L805" s="8">
        <v>82</v>
      </c>
      <c r="M805" t="s">
        <v>33</v>
      </c>
      <c r="N805" s="16" t="s">
        <v>23</v>
      </c>
      <c r="O805" s="16" t="s">
        <v>22</v>
      </c>
      <c r="P805" s="16" t="s">
        <v>28</v>
      </c>
      <c r="Q805" s="10" t="s">
        <v>713</v>
      </c>
      <c r="R805" s="3" t="str">
        <f t="shared" si="24"/>
        <v>140</v>
      </c>
      <c r="S805" s="3" t="str">
        <f t="shared" si="25"/>
        <v>77</v>
      </c>
      <c r="T805" s="16" t="s">
        <v>38</v>
      </c>
      <c r="U805" s="3">
        <v>20.02</v>
      </c>
      <c r="V805" s="16" t="str">
        <f>PROPER(Table1[[#This Row],[CVD Risk Level]])</f>
        <v>High</v>
      </c>
    </row>
    <row r="806" spans="1:22" x14ac:dyDescent="0.3">
      <c r="A806" t="s">
        <v>31</v>
      </c>
      <c r="B806" s="8">
        <v>43</v>
      </c>
      <c r="C806" s="8">
        <v>111.9</v>
      </c>
      <c r="D806" s="5">
        <v>1.81</v>
      </c>
      <c r="E806" s="5">
        <v>34.200000000000003</v>
      </c>
      <c r="F806" s="16" t="s">
        <v>1302</v>
      </c>
      <c r="G806" s="11">
        <v>0.41899999999999998</v>
      </c>
      <c r="H806" s="5">
        <v>75.900000000000006</v>
      </c>
      <c r="I806" s="8">
        <v>66</v>
      </c>
      <c r="J806" s="8">
        <v>40</v>
      </c>
      <c r="K806" s="8">
        <v>136</v>
      </c>
      <c r="L806" s="8">
        <v>117.48563611491107</v>
      </c>
      <c r="M806" t="s">
        <v>1306</v>
      </c>
      <c r="N806" s="16" t="s">
        <v>23</v>
      </c>
      <c r="O806" s="16" t="s">
        <v>22</v>
      </c>
      <c r="P806" s="16" t="s">
        <v>37</v>
      </c>
      <c r="Q806" s="10" t="s">
        <v>714</v>
      </c>
      <c r="R806" s="3" t="str">
        <f t="shared" si="24"/>
        <v>142</v>
      </c>
      <c r="S806" s="3" t="str">
        <f t="shared" si="25"/>
        <v>88</v>
      </c>
      <c r="T806" s="16" t="s">
        <v>29</v>
      </c>
      <c r="U806" s="3">
        <v>16.66</v>
      </c>
      <c r="V806" s="16" t="str">
        <f>PROPER(Table1[[#This Row],[CVD Risk Level]])</f>
        <v>Intermediary</v>
      </c>
    </row>
    <row r="807" spans="1:22" x14ac:dyDescent="0.3">
      <c r="A807" t="s">
        <v>20</v>
      </c>
      <c r="B807" s="8">
        <v>37</v>
      </c>
      <c r="C807" s="8">
        <v>75.2</v>
      </c>
      <c r="D807" s="5">
        <v>1.8</v>
      </c>
      <c r="E807" s="5">
        <v>23.2</v>
      </c>
      <c r="F807" s="16" t="s">
        <v>33</v>
      </c>
      <c r="G807" s="11">
        <v>0.59799999999999998</v>
      </c>
      <c r="H807" s="5">
        <v>107.64</v>
      </c>
      <c r="I807" s="8">
        <v>49</v>
      </c>
      <c r="J807" s="8">
        <v>108</v>
      </c>
      <c r="K807" s="8">
        <v>187</v>
      </c>
      <c r="L807" s="8">
        <v>113</v>
      </c>
      <c r="M807" t="s">
        <v>1306</v>
      </c>
      <c r="N807" s="16" t="s">
        <v>23</v>
      </c>
      <c r="O807" s="16" t="s">
        <v>22</v>
      </c>
      <c r="P807" s="16" t="s">
        <v>37</v>
      </c>
      <c r="Q807" s="10" t="s">
        <v>312</v>
      </c>
      <c r="R807" s="3" t="str">
        <f t="shared" si="24"/>
        <v>108</v>
      </c>
      <c r="S807" s="3" t="str">
        <f t="shared" si="25"/>
        <v>67</v>
      </c>
      <c r="T807" s="16" t="s">
        <v>33</v>
      </c>
      <c r="U807" s="3">
        <v>16.960925291295425</v>
      </c>
      <c r="V807" s="16" t="str">
        <f>PROPER(Table1[[#This Row],[CVD Risk Level]])</f>
        <v>Intermediary</v>
      </c>
    </row>
    <row r="808" spans="1:22" x14ac:dyDescent="0.3">
      <c r="A808" t="s">
        <v>31</v>
      </c>
      <c r="B808" s="8">
        <v>50</v>
      </c>
      <c r="C808" s="8">
        <v>65.5</v>
      </c>
      <c r="D808" s="5">
        <v>1.63</v>
      </c>
      <c r="E808" s="5">
        <v>24.7</v>
      </c>
      <c r="F808" s="16" t="s">
        <v>33</v>
      </c>
      <c r="G808" s="11">
        <v>0.45800000000000002</v>
      </c>
      <c r="H808" s="5">
        <v>74.599999999999994</v>
      </c>
      <c r="I808" s="8">
        <v>41</v>
      </c>
      <c r="J808" s="8">
        <v>95</v>
      </c>
      <c r="K808" s="8">
        <v>166</v>
      </c>
      <c r="L808" s="8">
        <v>107</v>
      </c>
      <c r="M808" t="s">
        <v>1306</v>
      </c>
      <c r="N808" s="16" t="s">
        <v>23</v>
      </c>
      <c r="O808" s="16" t="s">
        <v>23</v>
      </c>
      <c r="P808" s="16" t="s">
        <v>37</v>
      </c>
      <c r="Q808" s="10" t="s">
        <v>715</v>
      </c>
      <c r="R808" s="3" t="str">
        <f t="shared" si="24"/>
        <v>123</v>
      </c>
      <c r="S808" s="3" t="str">
        <f t="shared" si="25"/>
        <v>99</v>
      </c>
      <c r="T808" s="16" t="s">
        <v>38</v>
      </c>
      <c r="U808" s="3">
        <v>16.41</v>
      </c>
      <c r="V808" s="16" t="str">
        <f>PROPER(Table1[[#This Row],[CVD Risk Level]])</f>
        <v>Intermediary</v>
      </c>
    </row>
    <row r="809" spans="1:22" x14ac:dyDescent="0.3">
      <c r="A809" t="s">
        <v>20</v>
      </c>
      <c r="B809" s="8">
        <v>55</v>
      </c>
      <c r="C809" s="8">
        <v>115.3</v>
      </c>
      <c r="D809" s="5">
        <v>1.8893542396079297</v>
      </c>
      <c r="E809" s="5">
        <v>32.299999999999997</v>
      </c>
      <c r="F809" s="16" t="s">
        <v>1302</v>
      </c>
      <c r="G809" s="11">
        <v>0.45300000000000001</v>
      </c>
      <c r="H809" s="5">
        <v>85.6</v>
      </c>
      <c r="I809" s="8">
        <v>55</v>
      </c>
      <c r="J809" s="8">
        <v>107</v>
      </c>
      <c r="K809" s="8">
        <v>192</v>
      </c>
      <c r="L809" s="8">
        <v>83</v>
      </c>
      <c r="M809" t="s">
        <v>33</v>
      </c>
      <c r="N809" s="16" t="s">
        <v>22</v>
      </c>
      <c r="O809" s="16" t="s">
        <v>23</v>
      </c>
      <c r="P809" s="16" t="s">
        <v>24</v>
      </c>
      <c r="Q809" s="10" t="s">
        <v>626</v>
      </c>
      <c r="R809" s="3" t="str">
        <f t="shared" si="24"/>
        <v>113</v>
      </c>
      <c r="S809" s="3" t="str">
        <f t="shared" si="25"/>
        <v>98</v>
      </c>
      <c r="T809" s="16" t="s">
        <v>38</v>
      </c>
      <c r="U809" s="3">
        <v>17.95</v>
      </c>
      <c r="V809" s="16" t="str">
        <f>PROPER(Table1[[#This Row],[CVD Risk Level]])</f>
        <v>High</v>
      </c>
    </row>
    <row r="810" spans="1:22" x14ac:dyDescent="0.3">
      <c r="A810" t="s">
        <v>20</v>
      </c>
      <c r="B810" s="8">
        <v>48</v>
      </c>
      <c r="C810" s="8">
        <v>106.8</v>
      </c>
      <c r="D810" s="5">
        <v>1.79</v>
      </c>
      <c r="E810" s="5">
        <v>33.299999999999997</v>
      </c>
      <c r="F810" s="16" t="s">
        <v>1302</v>
      </c>
      <c r="G810" s="11">
        <v>0.52100000000000002</v>
      </c>
      <c r="H810" s="5">
        <v>93.2</v>
      </c>
      <c r="I810" s="8">
        <v>61</v>
      </c>
      <c r="J810" s="8">
        <v>59</v>
      </c>
      <c r="K810" s="8">
        <v>150</v>
      </c>
      <c r="L810" s="8">
        <v>91</v>
      </c>
      <c r="M810" t="s">
        <v>33</v>
      </c>
      <c r="N810" s="16" t="s">
        <v>22</v>
      </c>
      <c r="O810" s="16" t="s">
        <v>23</v>
      </c>
      <c r="P810" s="16" t="s">
        <v>37</v>
      </c>
      <c r="Q810" s="10" t="s">
        <v>716</v>
      </c>
      <c r="R810" s="3" t="str">
        <f t="shared" si="24"/>
        <v>110</v>
      </c>
      <c r="S810" s="3" t="str">
        <f t="shared" si="25"/>
        <v>64</v>
      </c>
      <c r="T810" s="16" t="s">
        <v>33</v>
      </c>
      <c r="U810" s="3">
        <v>17.16</v>
      </c>
      <c r="V810" s="16" t="str">
        <f>PROPER(Table1[[#This Row],[CVD Risk Level]])</f>
        <v>Intermediary</v>
      </c>
    </row>
    <row r="811" spans="1:22" x14ac:dyDescent="0.3">
      <c r="A811" t="s">
        <v>31</v>
      </c>
      <c r="B811" s="8">
        <v>48</v>
      </c>
      <c r="C811" s="8">
        <v>71.099999999999994</v>
      </c>
      <c r="D811" s="5">
        <v>1.74</v>
      </c>
      <c r="E811" s="5">
        <v>23.5</v>
      </c>
      <c r="F811" s="16" t="s">
        <v>33</v>
      </c>
      <c r="G811" s="11">
        <v>0.41199999999999998</v>
      </c>
      <c r="H811" s="5">
        <v>71.7</v>
      </c>
      <c r="I811" s="8">
        <v>66</v>
      </c>
      <c r="J811" s="8">
        <v>130</v>
      </c>
      <c r="K811" s="8">
        <v>226</v>
      </c>
      <c r="L811" s="8">
        <v>114</v>
      </c>
      <c r="M811" t="s">
        <v>1306</v>
      </c>
      <c r="N811" s="16" t="s">
        <v>22</v>
      </c>
      <c r="O811" s="16" t="s">
        <v>22</v>
      </c>
      <c r="P811" s="16" t="s">
        <v>24</v>
      </c>
      <c r="Q811" s="10" t="s">
        <v>717</v>
      </c>
      <c r="R811" s="3" t="str">
        <f t="shared" si="24"/>
        <v>99</v>
      </c>
      <c r="S811" s="3" t="str">
        <f t="shared" si="25"/>
        <v>62</v>
      </c>
      <c r="T811" s="16" t="s">
        <v>33</v>
      </c>
      <c r="U811" s="3">
        <v>14.17</v>
      </c>
      <c r="V811" s="16" t="str">
        <f>PROPER(Table1[[#This Row],[CVD Risk Level]])</f>
        <v>High</v>
      </c>
    </row>
    <row r="812" spans="1:22" x14ac:dyDescent="0.3">
      <c r="A812" t="s">
        <v>31</v>
      </c>
      <c r="B812" s="8">
        <v>43</v>
      </c>
      <c r="C812" s="8">
        <v>73.5</v>
      </c>
      <c r="D812" s="5">
        <v>1.62</v>
      </c>
      <c r="E812" s="5">
        <v>28</v>
      </c>
      <c r="F812" s="16" t="s">
        <v>1303</v>
      </c>
      <c r="G812" s="11">
        <v>0.53500000000000003</v>
      </c>
      <c r="H812" s="5">
        <v>86.7</v>
      </c>
      <c r="I812" s="8">
        <v>62</v>
      </c>
      <c r="J812" s="8">
        <v>108</v>
      </c>
      <c r="K812" s="8">
        <v>200</v>
      </c>
      <c r="L812" s="8">
        <v>100</v>
      </c>
      <c r="M812" t="s">
        <v>1306</v>
      </c>
      <c r="N812" s="16" t="s">
        <v>22</v>
      </c>
      <c r="O812" s="16" t="s">
        <v>22</v>
      </c>
      <c r="P812" s="16" t="s">
        <v>28</v>
      </c>
      <c r="Q812" s="10" t="s">
        <v>666</v>
      </c>
      <c r="R812" s="3" t="str">
        <f t="shared" si="24"/>
        <v>111</v>
      </c>
      <c r="S812" s="3" t="str">
        <f t="shared" si="25"/>
        <v>87</v>
      </c>
      <c r="T812" s="16" t="s">
        <v>29</v>
      </c>
      <c r="U812" s="3">
        <v>15.15</v>
      </c>
      <c r="V812" s="16" t="str">
        <f>PROPER(Table1[[#This Row],[CVD Risk Level]])</f>
        <v>Low</v>
      </c>
    </row>
    <row r="813" spans="1:22" x14ac:dyDescent="0.3">
      <c r="A813" t="s">
        <v>31</v>
      </c>
      <c r="B813" s="8">
        <v>49</v>
      </c>
      <c r="C813" s="8">
        <v>51.6</v>
      </c>
      <c r="D813" s="5">
        <v>1.77</v>
      </c>
      <c r="E813" s="5">
        <v>16.5</v>
      </c>
      <c r="F813" s="16" t="s">
        <v>1304</v>
      </c>
      <c r="G813" s="11">
        <v>0.51800000000000002</v>
      </c>
      <c r="H813" s="5">
        <v>91.7</v>
      </c>
      <c r="I813" s="8">
        <v>62</v>
      </c>
      <c r="J813" s="8">
        <v>197</v>
      </c>
      <c r="K813" s="8">
        <v>289</v>
      </c>
      <c r="L813" s="8">
        <v>83</v>
      </c>
      <c r="M813" t="s">
        <v>33</v>
      </c>
      <c r="N813" s="16" t="s">
        <v>22</v>
      </c>
      <c r="O813" s="16" t="s">
        <v>23</v>
      </c>
      <c r="P813" s="16" t="s">
        <v>37</v>
      </c>
      <c r="Q813" s="10" t="s">
        <v>718</v>
      </c>
      <c r="R813" s="3" t="str">
        <f t="shared" si="24"/>
        <v>98</v>
      </c>
      <c r="S813" s="3" t="str">
        <f t="shared" si="25"/>
        <v>65</v>
      </c>
      <c r="T813" s="16" t="s">
        <v>33</v>
      </c>
      <c r="U813" s="3">
        <v>15.98</v>
      </c>
      <c r="V813" s="16" t="str">
        <f>PROPER(Table1[[#This Row],[CVD Risk Level]])</f>
        <v>High</v>
      </c>
    </row>
    <row r="814" spans="1:22" x14ac:dyDescent="0.3">
      <c r="A814" t="s">
        <v>20</v>
      </c>
      <c r="B814" s="8">
        <v>47.025499655410059</v>
      </c>
      <c r="C814" s="8">
        <v>73.400000000000006</v>
      </c>
      <c r="D814" s="5">
        <v>1.65</v>
      </c>
      <c r="E814" s="5">
        <v>27</v>
      </c>
      <c r="F814" s="16" t="s">
        <v>1303</v>
      </c>
      <c r="G814" s="11">
        <v>0.47299999999999998</v>
      </c>
      <c r="H814" s="5">
        <v>78.099999999999994</v>
      </c>
      <c r="I814" s="8">
        <v>60</v>
      </c>
      <c r="J814" s="8">
        <v>45</v>
      </c>
      <c r="K814" s="8">
        <v>135</v>
      </c>
      <c r="L814" s="8">
        <v>150</v>
      </c>
      <c r="M814" t="s">
        <v>1307</v>
      </c>
      <c r="N814" s="16" t="s">
        <v>22</v>
      </c>
      <c r="O814" s="16" t="s">
        <v>22</v>
      </c>
      <c r="P814" s="16" t="s">
        <v>28</v>
      </c>
      <c r="Q814" s="10" t="s">
        <v>655</v>
      </c>
      <c r="R814" s="3" t="str">
        <f t="shared" si="24"/>
        <v>90</v>
      </c>
      <c r="S814" s="3" t="str">
        <f t="shared" si="25"/>
        <v>74</v>
      </c>
      <c r="T814" s="16" t="s">
        <v>33</v>
      </c>
      <c r="U814" s="3">
        <v>12.6</v>
      </c>
      <c r="V814" s="16" t="str">
        <f>PROPER(Table1[[#This Row],[CVD Risk Level]])</f>
        <v>Low</v>
      </c>
    </row>
    <row r="815" spans="1:22" x14ac:dyDescent="0.3">
      <c r="A815" t="s">
        <v>20</v>
      </c>
      <c r="B815" s="8">
        <v>40</v>
      </c>
      <c r="C815" s="8">
        <v>107.5</v>
      </c>
      <c r="D815" s="5">
        <v>1.63</v>
      </c>
      <c r="E815" s="5">
        <v>40.5</v>
      </c>
      <c r="F815" s="16" t="s">
        <v>1302</v>
      </c>
      <c r="G815" s="11">
        <v>0.53600000000000003</v>
      </c>
      <c r="H815" s="5">
        <v>87.3</v>
      </c>
      <c r="I815" s="8">
        <v>41</v>
      </c>
      <c r="J815" s="8">
        <v>109</v>
      </c>
      <c r="K815" s="8">
        <v>289</v>
      </c>
      <c r="L815" s="8">
        <v>80</v>
      </c>
      <c r="M815" t="s">
        <v>33</v>
      </c>
      <c r="N815" s="16" t="s">
        <v>22</v>
      </c>
      <c r="O815" s="16" t="s">
        <v>23</v>
      </c>
      <c r="P815" s="16" t="s">
        <v>28</v>
      </c>
      <c r="Q815" s="10" t="s">
        <v>719</v>
      </c>
      <c r="R815" s="3" t="str">
        <f t="shared" si="24"/>
        <v>104</v>
      </c>
      <c r="S815" s="3" t="str">
        <f t="shared" si="25"/>
        <v>70</v>
      </c>
      <c r="T815" s="16" t="s">
        <v>33</v>
      </c>
      <c r="U815" s="3">
        <v>21.08</v>
      </c>
      <c r="V815" s="16" t="str">
        <f>PROPER(Table1[[#This Row],[CVD Risk Level]])</f>
        <v>Intermediary</v>
      </c>
    </row>
    <row r="816" spans="1:22" x14ac:dyDescent="0.3">
      <c r="A816" t="s">
        <v>31</v>
      </c>
      <c r="B816" s="8">
        <v>37</v>
      </c>
      <c r="C816" s="8">
        <v>67.900000000000006</v>
      </c>
      <c r="D816" s="5">
        <v>1.61</v>
      </c>
      <c r="E816" s="5">
        <v>26.2</v>
      </c>
      <c r="F816" s="16" t="s">
        <v>1303</v>
      </c>
      <c r="G816" s="11">
        <v>0.49299999999999999</v>
      </c>
      <c r="H816" s="5">
        <v>79.3</v>
      </c>
      <c r="I816" s="8">
        <v>74</v>
      </c>
      <c r="J816" s="8">
        <v>109</v>
      </c>
      <c r="K816" s="8">
        <v>122</v>
      </c>
      <c r="L816" s="8">
        <v>95</v>
      </c>
      <c r="M816" t="s">
        <v>33</v>
      </c>
      <c r="N816" s="16" t="s">
        <v>23</v>
      </c>
      <c r="O816" s="16" t="s">
        <v>23</v>
      </c>
      <c r="P816" s="16" t="s">
        <v>24</v>
      </c>
      <c r="Q816" s="10" t="s">
        <v>720</v>
      </c>
      <c r="R816" s="3" t="str">
        <f t="shared" si="24"/>
        <v>147</v>
      </c>
      <c r="S816" s="3" t="str">
        <f t="shared" si="25"/>
        <v>71</v>
      </c>
      <c r="T816" s="16" t="s">
        <v>38</v>
      </c>
      <c r="U816" s="3">
        <v>17.03</v>
      </c>
      <c r="V816" s="16" t="str">
        <f>PROPER(Table1[[#This Row],[CVD Risk Level]])</f>
        <v>High</v>
      </c>
    </row>
    <row r="817" spans="1:22" x14ac:dyDescent="0.3">
      <c r="A817" t="s">
        <v>20</v>
      </c>
      <c r="B817" s="8">
        <v>40</v>
      </c>
      <c r="C817" s="8">
        <v>63.2</v>
      </c>
      <c r="D817" s="5">
        <v>1.89</v>
      </c>
      <c r="E817" s="5">
        <v>17.7</v>
      </c>
      <c r="F817" s="16" t="s">
        <v>1304</v>
      </c>
      <c r="G817" s="11">
        <v>0.38700000000000001</v>
      </c>
      <c r="H817" s="5">
        <v>73.099999999999994</v>
      </c>
      <c r="I817" s="8">
        <v>63</v>
      </c>
      <c r="J817" s="8">
        <v>159</v>
      </c>
      <c r="K817" s="8">
        <v>252</v>
      </c>
      <c r="L817" s="8">
        <v>130</v>
      </c>
      <c r="M817" t="s">
        <v>1307</v>
      </c>
      <c r="N817" s="16" t="s">
        <v>22</v>
      </c>
      <c r="O817" s="16" t="s">
        <v>23</v>
      </c>
      <c r="P817" s="16" t="s">
        <v>37</v>
      </c>
      <c r="Q817" s="10" t="s">
        <v>721</v>
      </c>
      <c r="R817" s="3" t="str">
        <f t="shared" si="24"/>
        <v>95</v>
      </c>
      <c r="S817" s="3" t="str">
        <f t="shared" si="25"/>
        <v>90</v>
      </c>
      <c r="T817" s="16" t="s">
        <v>38</v>
      </c>
      <c r="U817" s="3">
        <v>15.33</v>
      </c>
      <c r="V817" s="16" t="str">
        <f>PROPER(Table1[[#This Row],[CVD Risk Level]])</f>
        <v>Intermediary</v>
      </c>
    </row>
    <row r="818" spans="1:22" x14ac:dyDescent="0.3">
      <c r="A818" t="s">
        <v>31</v>
      </c>
      <c r="B818" s="8">
        <v>53</v>
      </c>
      <c r="C818" s="8">
        <v>108</v>
      </c>
      <c r="D818" s="5">
        <v>1.89</v>
      </c>
      <c r="E818" s="5">
        <v>30.2</v>
      </c>
      <c r="F818" s="16" t="s">
        <v>1302</v>
      </c>
      <c r="G818" s="11">
        <v>0.45500000000000002</v>
      </c>
      <c r="H818" s="5">
        <v>86</v>
      </c>
      <c r="I818" s="8">
        <v>68</v>
      </c>
      <c r="J818" s="8">
        <v>163</v>
      </c>
      <c r="K818" s="8">
        <v>261</v>
      </c>
      <c r="L818" s="8">
        <v>109</v>
      </c>
      <c r="M818" t="s">
        <v>1306</v>
      </c>
      <c r="N818" s="16" t="s">
        <v>22</v>
      </c>
      <c r="O818" s="16" t="s">
        <v>22</v>
      </c>
      <c r="P818" s="16" t="s">
        <v>24</v>
      </c>
      <c r="Q818" s="10" t="s">
        <v>722</v>
      </c>
      <c r="R818" s="3" t="str">
        <f t="shared" si="24"/>
        <v>141</v>
      </c>
      <c r="S818" s="3" t="str">
        <f t="shared" si="25"/>
        <v>62</v>
      </c>
      <c r="T818" s="16" t="s">
        <v>38</v>
      </c>
      <c r="U818" s="3">
        <v>18.309999999999999</v>
      </c>
      <c r="V818" s="16" t="str">
        <f>PROPER(Table1[[#This Row],[CVD Risk Level]])</f>
        <v>High</v>
      </c>
    </row>
    <row r="819" spans="1:22" x14ac:dyDescent="0.3">
      <c r="A819" t="s">
        <v>20</v>
      </c>
      <c r="B819" s="8">
        <v>32</v>
      </c>
      <c r="C819" s="8">
        <v>54</v>
      </c>
      <c r="D819" s="5">
        <v>1.63</v>
      </c>
      <c r="E819" s="5">
        <v>20.3</v>
      </c>
      <c r="F819" s="16" t="s">
        <v>33</v>
      </c>
      <c r="G819" s="11">
        <v>0.66400000000000003</v>
      </c>
      <c r="H819" s="5">
        <v>108.3</v>
      </c>
      <c r="I819" s="8">
        <v>62</v>
      </c>
      <c r="J819" s="8">
        <v>196</v>
      </c>
      <c r="K819" s="8">
        <v>288</v>
      </c>
      <c r="L819" s="8">
        <v>76</v>
      </c>
      <c r="M819" t="s">
        <v>33</v>
      </c>
      <c r="N819" s="16" t="s">
        <v>22</v>
      </c>
      <c r="O819" s="16" t="s">
        <v>22</v>
      </c>
      <c r="P819" s="16" t="s">
        <v>24</v>
      </c>
      <c r="Q819" s="10" t="s">
        <v>723</v>
      </c>
      <c r="R819" s="3" t="str">
        <f t="shared" si="24"/>
        <v>103</v>
      </c>
      <c r="S819" s="3" t="str">
        <f t="shared" si="25"/>
        <v>63</v>
      </c>
      <c r="T819" s="16" t="s">
        <v>33</v>
      </c>
      <c r="U819" s="3">
        <v>14.97</v>
      </c>
      <c r="V819" s="16" t="str">
        <f>PROPER(Table1[[#This Row],[CVD Risk Level]])</f>
        <v>Intermediary</v>
      </c>
    </row>
    <row r="820" spans="1:22" x14ac:dyDescent="0.3">
      <c r="A820" t="s">
        <v>31</v>
      </c>
      <c r="B820" s="8">
        <v>47</v>
      </c>
      <c r="C820" s="8">
        <v>61.2</v>
      </c>
      <c r="D820" s="5">
        <v>1.7</v>
      </c>
      <c r="E820" s="5">
        <v>21.2</v>
      </c>
      <c r="F820" s="16" t="s">
        <v>33</v>
      </c>
      <c r="G820" s="11">
        <v>0.54500000000000004</v>
      </c>
      <c r="H820" s="5">
        <v>92.6</v>
      </c>
      <c r="I820" s="8">
        <v>65</v>
      </c>
      <c r="J820" s="8">
        <v>114</v>
      </c>
      <c r="K820" s="8">
        <v>209</v>
      </c>
      <c r="L820" s="8">
        <v>121</v>
      </c>
      <c r="M820" t="s">
        <v>1306</v>
      </c>
      <c r="N820" s="16" t="s">
        <v>23</v>
      </c>
      <c r="O820" s="16" t="s">
        <v>23</v>
      </c>
      <c r="P820" s="16" t="s">
        <v>37</v>
      </c>
      <c r="Q820" s="10" t="s">
        <v>724</v>
      </c>
      <c r="R820" s="3" t="str">
        <f t="shared" si="24"/>
        <v>98</v>
      </c>
      <c r="S820" s="3" t="str">
        <f t="shared" si="25"/>
        <v>89</v>
      </c>
      <c r="T820" s="16" t="s">
        <v>29</v>
      </c>
      <c r="U820" s="3">
        <v>16.960925291295425</v>
      </c>
      <c r="V820" s="16" t="str">
        <f>PROPER(Table1[[#This Row],[CVD Risk Level]])</f>
        <v>High</v>
      </c>
    </row>
    <row r="821" spans="1:22" x14ac:dyDescent="0.3">
      <c r="A821" t="s">
        <v>20</v>
      </c>
      <c r="B821" s="8">
        <v>46</v>
      </c>
      <c r="C821" s="8">
        <v>67.3</v>
      </c>
      <c r="D821" s="5">
        <v>1.86</v>
      </c>
      <c r="E821" s="5">
        <v>19.5</v>
      </c>
      <c r="F821" s="16" t="s">
        <v>33</v>
      </c>
      <c r="G821" s="11">
        <v>0.44400000000000001</v>
      </c>
      <c r="H821" s="5">
        <v>82.6</v>
      </c>
      <c r="I821" s="8">
        <v>73</v>
      </c>
      <c r="J821" s="8">
        <v>176</v>
      </c>
      <c r="K821" s="8">
        <v>279</v>
      </c>
      <c r="L821" s="8">
        <v>82</v>
      </c>
      <c r="M821" t="s">
        <v>33</v>
      </c>
      <c r="N821" s="16" t="s">
        <v>23</v>
      </c>
      <c r="O821" s="16" t="s">
        <v>23</v>
      </c>
      <c r="P821" s="16" t="s">
        <v>37</v>
      </c>
      <c r="Q821" s="10" t="s">
        <v>725</v>
      </c>
      <c r="R821" s="3" t="str">
        <f t="shared" si="24"/>
        <v>130</v>
      </c>
      <c r="S821" s="3" t="str">
        <f t="shared" si="25"/>
        <v>93</v>
      </c>
      <c r="T821" s="16" t="s">
        <v>29</v>
      </c>
      <c r="U821" s="3">
        <v>17.98</v>
      </c>
      <c r="V821" s="16" t="str">
        <f>PROPER(Table1[[#This Row],[CVD Risk Level]])</f>
        <v>High</v>
      </c>
    </row>
    <row r="822" spans="1:22" x14ac:dyDescent="0.3">
      <c r="A822" t="s">
        <v>31</v>
      </c>
      <c r="B822" s="8">
        <v>42</v>
      </c>
      <c r="C822" s="8">
        <v>116.5</v>
      </c>
      <c r="D822" s="5">
        <v>1.62</v>
      </c>
      <c r="E822" s="5">
        <v>44.4</v>
      </c>
      <c r="F822" s="16" t="s">
        <v>1302</v>
      </c>
      <c r="G822" s="11">
        <v>0.63800000000000001</v>
      </c>
      <c r="H822" s="5">
        <v>103.3</v>
      </c>
      <c r="I822" s="8">
        <v>62</v>
      </c>
      <c r="J822" s="8">
        <v>21</v>
      </c>
      <c r="K822" s="8">
        <v>113</v>
      </c>
      <c r="L822" s="8">
        <v>110</v>
      </c>
      <c r="M822" t="s">
        <v>1306</v>
      </c>
      <c r="N822" s="16" t="s">
        <v>22</v>
      </c>
      <c r="O822" s="16" t="s">
        <v>23</v>
      </c>
      <c r="P822" s="16" t="s">
        <v>24</v>
      </c>
      <c r="Q822" s="10" t="s">
        <v>726</v>
      </c>
      <c r="R822" s="3" t="str">
        <f t="shared" si="24"/>
        <v>139</v>
      </c>
      <c r="S822" s="3" t="str">
        <f t="shared" si="25"/>
        <v>62</v>
      </c>
      <c r="T822" s="16" t="s">
        <v>29</v>
      </c>
      <c r="U822" s="3">
        <v>20.09</v>
      </c>
      <c r="V822" s="16" t="str">
        <f>PROPER(Table1[[#This Row],[CVD Risk Level]])</f>
        <v>Intermediary</v>
      </c>
    </row>
    <row r="823" spans="1:22" x14ac:dyDescent="0.3">
      <c r="A823" t="s">
        <v>20</v>
      </c>
      <c r="B823" s="8">
        <v>47.025499655410059</v>
      </c>
      <c r="C823" s="8">
        <v>118.5</v>
      </c>
      <c r="D823" s="5">
        <v>1.77</v>
      </c>
      <c r="E823" s="5">
        <v>37.799999999999997</v>
      </c>
      <c r="F823" s="16" t="s">
        <v>1302</v>
      </c>
      <c r="G823" s="11">
        <v>0.51800000000000002</v>
      </c>
      <c r="H823" s="5">
        <v>91.7</v>
      </c>
      <c r="I823" s="8">
        <v>30</v>
      </c>
      <c r="J823" s="8">
        <v>125</v>
      </c>
      <c r="K823" s="8">
        <v>185</v>
      </c>
      <c r="L823" s="8">
        <v>123</v>
      </c>
      <c r="M823" t="s">
        <v>1306</v>
      </c>
      <c r="N823" s="16" t="s">
        <v>22</v>
      </c>
      <c r="O823" s="16" t="s">
        <v>23</v>
      </c>
      <c r="P823" s="16" t="s">
        <v>24</v>
      </c>
      <c r="Q823" s="10" t="s">
        <v>727</v>
      </c>
      <c r="R823" s="3" t="str">
        <f t="shared" si="24"/>
        <v>121</v>
      </c>
      <c r="S823" s="3" t="str">
        <f t="shared" si="25"/>
        <v>84</v>
      </c>
      <c r="T823" s="16" t="s">
        <v>29</v>
      </c>
      <c r="U823" s="3">
        <v>19.309999999999999</v>
      </c>
      <c r="V823" s="16" t="str">
        <f>PROPER(Table1[[#This Row],[CVD Risk Level]])</f>
        <v>High</v>
      </c>
    </row>
    <row r="824" spans="1:22" x14ac:dyDescent="0.3">
      <c r="A824" t="s">
        <v>31</v>
      </c>
      <c r="B824" s="8">
        <v>41</v>
      </c>
      <c r="C824" s="8">
        <v>66.8</v>
      </c>
      <c r="D824" s="5">
        <v>1.68</v>
      </c>
      <c r="E824" s="5">
        <v>23.7</v>
      </c>
      <c r="F824" s="16" t="s">
        <v>33</v>
      </c>
      <c r="G824" s="11">
        <v>0.45400000000000001</v>
      </c>
      <c r="H824" s="5">
        <v>76.2</v>
      </c>
      <c r="I824" s="8">
        <v>55</v>
      </c>
      <c r="J824" s="8">
        <v>119</v>
      </c>
      <c r="K824" s="8">
        <v>204</v>
      </c>
      <c r="L824" s="8">
        <v>75</v>
      </c>
      <c r="M824" t="s">
        <v>33</v>
      </c>
      <c r="N824" s="16" t="s">
        <v>22</v>
      </c>
      <c r="O824" s="16" t="s">
        <v>23</v>
      </c>
      <c r="P824" s="16" t="s">
        <v>24</v>
      </c>
      <c r="Q824" s="10" t="s">
        <v>728</v>
      </c>
      <c r="R824" s="3" t="str">
        <f t="shared" si="24"/>
        <v>136</v>
      </c>
      <c r="S824" s="3" t="str">
        <f t="shared" si="25"/>
        <v>78</v>
      </c>
      <c r="T824" s="16" t="s">
        <v>29</v>
      </c>
      <c r="U824" s="3">
        <v>17.62</v>
      </c>
      <c r="V824" s="16" t="str">
        <f>PROPER(Table1[[#This Row],[CVD Risk Level]])</f>
        <v>Intermediary</v>
      </c>
    </row>
    <row r="825" spans="1:22" x14ac:dyDescent="0.3">
      <c r="A825" t="s">
        <v>31</v>
      </c>
      <c r="B825" s="8">
        <v>39</v>
      </c>
      <c r="C825" s="8">
        <v>102.5</v>
      </c>
      <c r="D825" s="5">
        <v>1.84</v>
      </c>
      <c r="E825" s="5">
        <v>30.3</v>
      </c>
      <c r="F825" s="16" t="s">
        <v>1302</v>
      </c>
      <c r="G825" s="11">
        <v>0.45700000000000002</v>
      </c>
      <c r="H825" s="5">
        <v>84</v>
      </c>
      <c r="I825" s="8">
        <v>38</v>
      </c>
      <c r="J825" s="8">
        <v>224</v>
      </c>
      <c r="K825" s="8">
        <v>292</v>
      </c>
      <c r="L825" s="8">
        <v>117.48563611491107</v>
      </c>
      <c r="M825" t="s">
        <v>1306</v>
      </c>
      <c r="N825" s="16" t="s">
        <v>22</v>
      </c>
      <c r="O825" s="16" t="s">
        <v>22</v>
      </c>
      <c r="P825" s="16" t="s">
        <v>37</v>
      </c>
      <c r="Q825" s="10" t="s">
        <v>614</v>
      </c>
      <c r="R825" s="3" t="str">
        <f t="shared" si="24"/>
        <v>134</v>
      </c>
      <c r="S825" s="3" t="str">
        <f t="shared" si="25"/>
        <v>60</v>
      </c>
      <c r="T825" s="16" t="s">
        <v>29</v>
      </c>
      <c r="U825" s="3">
        <v>18.600000000000001</v>
      </c>
      <c r="V825" s="16" t="str">
        <f>PROPER(Table1[[#This Row],[CVD Risk Level]])</f>
        <v>Intermediary</v>
      </c>
    </row>
    <row r="826" spans="1:22" x14ac:dyDescent="0.3">
      <c r="A826" t="s">
        <v>31</v>
      </c>
      <c r="B826" s="8">
        <v>56</v>
      </c>
      <c r="C826" s="8">
        <v>111.6</v>
      </c>
      <c r="D826" s="5">
        <v>1.81</v>
      </c>
      <c r="E826" s="5">
        <v>34.1</v>
      </c>
      <c r="F826" s="16" t="s">
        <v>1302</v>
      </c>
      <c r="G826" s="11">
        <v>0.47499999999999998</v>
      </c>
      <c r="H826" s="5">
        <v>86</v>
      </c>
      <c r="I826" s="8">
        <v>69</v>
      </c>
      <c r="J826" s="8">
        <v>62</v>
      </c>
      <c r="K826" s="8">
        <v>161</v>
      </c>
      <c r="L826" s="8">
        <v>145</v>
      </c>
      <c r="M826" t="s">
        <v>1307</v>
      </c>
      <c r="N826" s="16" t="s">
        <v>23</v>
      </c>
      <c r="O826" s="16" t="s">
        <v>23</v>
      </c>
      <c r="P826" s="16" t="s">
        <v>37</v>
      </c>
      <c r="Q826" s="10" t="s">
        <v>729</v>
      </c>
      <c r="R826" s="3" t="str">
        <f t="shared" si="24"/>
        <v>102</v>
      </c>
      <c r="S826" s="3" t="str">
        <f t="shared" si="25"/>
        <v>100</v>
      </c>
      <c r="T826" s="16" t="s">
        <v>38</v>
      </c>
      <c r="U826" s="3">
        <v>17.14</v>
      </c>
      <c r="V826" s="16" t="str">
        <f>PROPER(Table1[[#This Row],[CVD Risk Level]])</f>
        <v>High</v>
      </c>
    </row>
    <row r="827" spans="1:22" x14ac:dyDescent="0.3">
      <c r="A827" t="s">
        <v>20</v>
      </c>
      <c r="B827" s="8">
        <v>38</v>
      </c>
      <c r="C827" s="8">
        <v>95.6</v>
      </c>
      <c r="D827" s="5">
        <v>1.9</v>
      </c>
      <c r="E827" s="5">
        <v>26.5</v>
      </c>
      <c r="F827" s="16" t="s">
        <v>1303</v>
      </c>
      <c r="G827" s="11">
        <v>0.53999999999999992</v>
      </c>
      <c r="H827" s="5">
        <v>102.6</v>
      </c>
      <c r="I827" s="8">
        <v>37</v>
      </c>
      <c r="J827" s="8">
        <v>125</v>
      </c>
      <c r="K827" s="8">
        <v>192</v>
      </c>
      <c r="L827" s="8">
        <v>70</v>
      </c>
      <c r="M827" t="s">
        <v>33</v>
      </c>
      <c r="N827" s="16" t="s">
        <v>23</v>
      </c>
      <c r="O827" s="16" t="s">
        <v>23</v>
      </c>
      <c r="P827" s="16" t="s">
        <v>37</v>
      </c>
      <c r="Q827" s="10" t="s">
        <v>730</v>
      </c>
      <c r="R827" s="3" t="str">
        <f t="shared" si="24"/>
        <v>124</v>
      </c>
      <c r="S827" s="3" t="str">
        <f t="shared" si="25"/>
        <v>98</v>
      </c>
      <c r="T827" s="16" t="s">
        <v>38</v>
      </c>
      <c r="U827" s="3">
        <v>17.34</v>
      </c>
      <c r="V827" s="16" t="str">
        <f>PROPER(Table1[[#This Row],[CVD Risk Level]])</f>
        <v>High</v>
      </c>
    </row>
    <row r="828" spans="1:22" x14ac:dyDescent="0.3">
      <c r="A828" t="s">
        <v>31</v>
      </c>
      <c r="B828" s="8">
        <v>32</v>
      </c>
      <c r="C828" s="8">
        <v>58.9</v>
      </c>
      <c r="D828" s="5">
        <v>1.74</v>
      </c>
      <c r="E828" s="5">
        <v>19.5</v>
      </c>
      <c r="F828" s="16" t="s">
        <v>33</v>
      </c>
      <c r="G828" s="11">
        <v>0.61599999999999999</v>
      </c>
      <c r="H828" s="5">
        <v>107.1</v>
      </c>
      <c r="I828" s="8">
        <v>37</v>
      </c>
      <c r="J828" s="8">
        <v>202</v>
      </c>
      <c r="K828" s="8">
        <v>478</v>
      </c>
      <c r="L828" s="8">
        <v>123</v>
      </c>
      <c r="M828" t="s">
        <v>1306</v>
      </c>
      <c r="N828" s="16" t="s">
        <v>23</v>
      </c>
      <c r="O828" s="16" t="s">
        <v>22</v>
      </c>
      <c r="P828" s="16" t="s">
        <v>24</v>
      </c>
      <c r="Q828" s="10" t="s">
        <v>449</v>
      </c>
      <c r="R828" s="3" t="str">
        <f t="shared" si="24"/>
        <v>123</v>
      </c>
      <c r="S828" s="3" t="str">
        <f t="shared" si="25"/>
        <v>83</v>
      </c>
      <c r="T828" s="16" t="s">
        <v>29</v>
      </c>
      <c r="U828" s="3">
        <v>15.43</v>
      </c>
      <c r="V828" s="16" t="str">
        <f>PROPER(Table1[[#This Row],[CVD Risk Level]])</f>
        <v>High</v>
      </c>
    </row>
    <row r="829" spans="1:22" x14ac:dyDescent="0.3">
      <c r="A829" t="s">
        <v>31</v>
      </c>
      <c r="B829" s="8">
        <v>32</v>
      </c>
      <c r="C829" s="8">
        <v>68.900000000000006</v>
      </c>
      <c r="D829" s="5">
        <v>1.85</v>
      </c>
      <c r="E829" s="5">
        <v>20.100000000000001</v>
      </c>
      <c r="F829" s="16" t="s">
        <v>33</v>
      </c>
      <c r="G829" s="11">
        <v>0.46378378378378377</v>
      </c>
      <c r="H829" s="5">
        <v>85.8</v>
      </c>
      <c r="I829" s="8">
        <v>35</v>
      </c>
      <c r="J829" s="8">
        <v>109</v>
      </c>
      <c r="K829" s="8">
        <v>151</v>
      </c>
      <c r="L829" s="8">
        <v>136</v>
      </c>
      <c r="M829" t="s">
        <v>1307</v>
      </c>
      <c r="N829" s="16" t="s">
        <v>23</v>
      </c>
      <c r="O829" s="16" t="s">
        <v>23</v>
      </c>
      <c r="P829" s="16" t="s">
        <v>37</v>
      </c>
      <c r="Q829" s="10" t="s">
        <v>731</v>
      </c>
      <c r="R829" s="3" t="str">
        <f t="shared" si="24"/>
        <v>111</v>
      </c>
      <c r="S829" s="3" t="str">
        <f t="shared" si="25"/>
        <v>73</v>
      </c>
      <c r="T829" s="16" t="s">
        <v>33</v>
      </c>
      <c r="U829" s="3">
        <v>14.59</v>
      </c>
      <c r="V829" s="16" t="str">
        <f>PROPER(Table1[[#This Row],[CVD Risk Level]])</f>
        <v>Intermediary</v>
      </c>
    </row>
    <row r="830" spans="1:22" x14ac:dyDescent="0.3">
      <c r="A830" t="s">
        <v>20</v>
      </c>
      <c r="B830" s="8">
        <v>41</v>
      </c>
      <c r="C830" s="8">
        <v>94.3</v>
      </c>
      <c r="D830" s="5">
        <v>1.72</v>
      </c>
      <c r="E830" s="5">
        <v>31.9</v>
      </c>
      <c r="F830" s="16" t="s">
        <v>1302</v>
      </c>
      <c r="G830" s="11">
        <v>0.44500000000000001</v>
      </c>
      <c r="H830" s="5">
        <v>76.599999999999994</v>
      </c>
      <c r="I830" s="8">
        <v>44</v>
      </c>
      <c r="J830" s="8">
        <v>92</v>
      </c>
      <c r="K830" s="8">
        <v>166</v>
      </c>
      <c r="L830" s="8">
        <v>139</v>
      </c>
      <c r="M830" t="s">
        <v>1307</v>
      </c>
      <c r="N830" s="16" t="s">
        <v>22</v>
      </c>
      <c r="O830" s="16" t="s">
        <v>22</v>
      </c>
      <c r="P830" s="16" t="s">
        <v>28</v>
      </c>
      <c r="Q830" s="10" t="s">
        <v>732</v>
      </c>
      <c r="R830" s="3" t="str">
        <f t="shared" si="24"/>
        <v>144</v>
      </c>
      <c r="S830" s="3" t="str">
        <f t="shared" si="25"/>
        <v>92</v>
      </c>
      <c r="T830" s="16" t="s">
        <v>38</v>
      </c>
      <c r="U830" s="3">
        <v>16.899999999999999</v>
      </c>
      <c r="V830" s="16" t="str">
        <f>PROPER(Table1[[#This Row],[CVD Risk Level]])</f>
        <v>Low</v>
      </c>
    </row>
    <row r="831" spans="1:22" x14ac:dyDescent="0.3">
      <c r="A831" t="s">
        <v>31</v>
      </c>
      <c r="B831" s="8">
        <v>54</v>
      </c>
      <c r="C831" s="8">
        <v>119.2</v>
      </c>
      <c r="D831" s="5">
        <v>1.68</v>
      </c>
      <c r="E831" s="5">
        <v>42.2</v>
      </c>
      <c r="F831" s="16" t="s">
        <v>1302</v>
      </c>
      <c r="G831" s="11">
        <v>0.47142857142857142</v>
      </c>
      <c r="H831" s="5">
        <v>79.2</v>
      </c>
      <c r="I831" s="8">
        <v>70</v>
      </c>
      <c r="J831" s="8">
        <v>165</v>
      </c>
      <c r="K831" s="8">
        <v>265</v>
      </c>
      <c r="L831" s="8">
        <v>109</v>
      </c>
      <c r="M831" t="s">
        <v>1306</v>
      </c>
      <c r="N831" s="16" t="s">
        <v>22</v>
      </c>
      <c r="O831" s="16" t="s">
        <v>23</v>
      </c>
      <c r="P831" s="16" t="s">
        <v>37</v>
      </c>
      <c r="Q831" s="10" t="s">
        <v>733</v>
      </c>
      <c r="R831" s="3" t="str">
        <f t="shared" si="24"/>
        <v>114</v>
      </c>
      <c r="S831" s="3" t="str">
        <f t="shared" si="25"/>
        <v>88</v>
      </c>
      <c r="T831" s="16" t="s">
        <v>29</v>
      </c>
      <c r="U831" s="3">
        <v>21.44</v>
      </c>
      <c r="V831" s="16" t="str">
        <f>PROPER(Table1[[#This Row],[CVD Risk Level]])</f>
        <v>High</v>
      </c>
    </row>
    <row r="832" spans="1:22" x14ac:dyDescent="0.3">
      <c r="A832" t="s">
        <v>31</v>
      </c>
      <c r="B832" s="8">
        <v>52</v>
      </c>
      <c r="C832" s="8">
        <v>57.9</v>
      </c>
      <c r="D832" s="5">
        <v>1.67</v>
      </c>
      <c r="E832" s="5">
        <v>20.8</v>
      </c>
      <c r="F832" s="16" t="s">
        <v>33</v>
      </c>
      <c r="G832" s="11">
        <v>0.60699999999999998</v>
      </c>
      <c r="H832" s="5">
        <v>101.4</v>
      </c>
      <c r="I832" s="8">
        <v>46</v>
      </c>
      <c r="J832" s="8">
        <v>189</v>
      </c>
      <c r="K832" s="8">
        <v>265</v>
      </c>
      <c r="L832" s="8">
        <v>86</v>
      </c>
      <c r="M832" t="s">
        <v>33</v>
      </c>
      <c r="N832" s="16" t="s">
        <v>22</v>
      </c>
      <c r="O832" s="16" t="s">
        <v>22</v>
      </c>
      <c r="P832" s="16" t="s">
        <v>28</v>
      </c>
      <c r="Q832" s="10" t="s">
        <v>460</v>
      </c>
      <c r="R832" s="3" t="str">
        <f t="shared" si="24"/>
        <v>140</v>
      </c>
      <c r="S832" s="3" t="str">
        <f t="shared" si="25"/>
        <v>98</v>
      </c>
      <c r="T832" s="16" t="s">
        <v>38</v>
      </c>
      <c r="U832" s="3">
        <v>16.46</v>
      </c>
      <c r="V832" s="16" t="str">
        <f>PROPER(Table1[[#This Row],[CVD Risk Level]])</f>
        <v>Intermediary</v>
      </c>
    </row>
    <row r="833" spans="1:22" x14ac:dyDescent="0.3">
      <c r="A833" t="s">
        <v>20</v>
      </c>
      <c r="B833" s="8">
        <v>37</v>
      </c>
      <c r="C833" s="8">
        <v>119</v>
      </c>
      <c r="D833" s="5">
        <v>1.73</v>
      </c>
      <c r="E833" s="5">
        <v>39.799999999999997</v>
      </c>
      <c r="F833" s="16" t="s">
        <v>1302</v>
      </c>
      <c r="G833" s="11">
        <v>0.498</v>
      </c>
      <c r="H833" s="5">
        <v>86.2</v>
      </c>
      <c r="I833" s="8">
        <v>30</v>
      </c>
      <c r="J833" s="8">
        <v>155</v>
      </c>
      <c r="K833" s="8">
        <v>215</v>
      </c>
      <c r="L833" s="8">
        <v>94</v>
      </c>
      <c r="M833" t="s">
        <v>33</v>
      </c>
      <c r="N833" s="16" t="s">
        <v>22</v>
      </c>
      <c r="O833" s="16" t="s">
        <v>23</v>
      </c>
      <c r="P833" s="16" t="s">
        <v>28</v>
      </c>
      <c r="Q833" s="10" t="s">
        <v>734</v>
      </c>
      <c r="R833" s="3" t="str">
        <f t="shared" si="24"/>
        <v>127</v>
      </c>
      <c r="S833" s="3" t="str">
        <f t="shared" si="25"/>
        <v>87</v>
      </c>
      <c r="T833" s="16" t="s">
        <v>29</v>
      </c>
      <c r="U833" s="3">
        <v>20.61</v>
      </c>
      <c r="V833" s="16" t="str">
        <f>PROPER(Table1[[#This Row],[CVD Risk Level]])</f>
        <v>High</v>
      </c>
    </row>
    <row r="834" spans="1:22" x14ac:dyDescent="0.3">
      <c r="A834" t="s">
        <v>20</v>
      </c>
      <c r="B834" s="8">
        <v>57</v>
      </c>
      <c r="C834" s="8">
        <v>54.2</v>
      </c>
      <c r="D834" s="5">
        <v>1.85</v>
      </c>
      <c r="E834" s="5">
        <v>15.8</v>
      </c>
      <c r="F834" s="16" t="s">
        <v>1304</v>
      </c>
      <c r="G834" s="11">
        <v>0.47899999999999998</v>
      </c>
      <c r="H834" s="5">
        <v>88.6</v>
      </c>
      <c r="I834" s="8">
        <v>69</v>
      </c>
      <c r="J834" s="8">
        <v>152</v>
      </c>
      <c r="K834" s="8">
        <v>251</v>
      </c>
      <c r="L834" s="8">
        <v>76</v>
      </c>
      <c r="M834" t="s">
        <v>33</v>
      </c>
      <c r="N834" s="16" t="s">
        <v>22</v>
      </c>
      <c r="O834" s="16" t="s">
        <v>22</v>
      </c>
      <c r="P834" s="16" t="s">
        <v>28</v>
      </c>
      <c r="Q834" s="10" t="s">
        <v>735</v>
      </c>
      <c r="R834" s="3" t="str">
        <f t="shared" si="24"/>
        <v>137</v>
      </c>
      <c r="S834" s="3" t="str">
        <f t="shared" si="25"/>
        <v>88</v>
      </c>
      <c r="T834" s="16" t="s">
        <v>29</v>
      </c>
      <c r="U834" s="3">
        <v>15.03</v>
      </c>
      <c r="V834" s="16" t="str">
        <f>PROPER(Table1[[#This Row],[CVD Risk Level]])</f>
        <v>Intermediary</v>
      </c>
    </row>
    <row r="835" spans="1:22" x14ac:dyDescent="0.3">
      <c r="A835" t="s">
        <v>20</v>
      </c>
      <c r="B835" s="8">
        <v>55</v>
      </c>
      <c r="C835" s="8">
        <v>69.2</v>
      </c>
      <c r="D835" s="5">
        <v>1.8789923482808435</v>
      </c>
      <c r="E835" s="5">
        <v>19.600000000000001</v>
      </c>
      <c r="F835" s="16" t="s">
        <v>33</v>
      </c>
      <c r="G835" s="11">
        <v>0.41199999999999998</v>
      </c>
      <c r="H835" s="5">
        <v>77.5</v>
      </c>
      <c r="I835" s="8">
        <v>68</v>
      </c>
      <c r="J835" s="8">
        <v>181</v>
      </c>
      <c r="K835" s="8">
        <v>279</v>
      </c>
      <c r="L835" s="8">
        <v>90</v>
      </c>
      <c r="M835" t="s">
        <v>33</v>
      </c>
      <c r="N835" s="16" t="s">
        <v>23</v>
      </c>
      <c r="O835" s="16" t="s">
        <v>22</v>
      </c>
      <c r="P835" s="16" t="s">
        <v>37</v>
      </c>
      <c r="Q835" s="10" t="s">
        <v>736</v>
      </c>
      <c r="R835" s="3" t="str">
        <f t="shared" ref="R835:R898" si="26">LEFT(Q835,FIND("/",Q835)-1)</f>
        <v>90</v>
      </c>
      <c r="S835" s="3" t="str">
        <f t="shared" ref="S835:S898" si="27">RIGHT(Q835,LEN(Q835)-FIND("/",Q835))</f>
        <v>63</v>
      </c>
      <c r="T835" s="16" t="s">
        <v>33</v>
      </c>
      <c r="U835" s="3">
        <v>14</v>
      </c>
      <c r="V835" s="16" t="str">
        <f>PROPER(Table1[[#This Row],[CVD Risk Level]])</f>
        <v>High</v>
      </c>
    </row>
    <row r="836" spans="1:22" x14ac:dyDescent="0.3">
      <c r="A836" t="s">
        <v>20</v>
      </c>
      <c r="B836" s="8">
        <v>42</v>
      </c>
      <c r="C836" s="8">
        <v>116.2</v>
      </c>
      <c r="D836" s="5">
        <v>1.65</v>
      </c>
      <c r="E836" s="5">
        <v>42.7</v>
      </c>
      <c r="F836" s="16" t="s">
        <v>1302</v>
      </c>
      <c r="G836" s="11">
        <v>0.54200000000000004</v>
      </c>
      <c r="H836" s="5">
        <v>89.4</v>
      </c>
      <c r="I836" s="8">
        <v>68</v>
      </c>
      <c r="J836" s="8">
        <v>107</v>
      </c>
      <c r="K836" s="8">
        <v>205</v>
      </c>
      <c r="L836" s="8">
        <v>80</v>
      </c>
      <c r="M836" t="s">
        <v>33</v>
      </c>
      <c r="N836" s="16" t="s">
        <v>23</v>
      </c>
      <c r="O836" s="16" t="s">
        <v>23</v>
      </c>
      <c r="P836" s="16" t="s">
        <v>28</v>
      </c>
      <c r="Q836" s="10" t="s">
        <v>737</v>
      </c>
      <c r="R836" s="3" t="str">
        <f t="shared" si="26"/>
        <v>139</v>
      </c>
      <c r="S836" s="3" t="str">
        <f t="shared" si="27"/>
        <v>96</v>
      </c>
      <c r="T836" s="16" t="s">
        <v>29</v>
      </c>
      <c r="U836" s="3">
        <v>21.59</v>
      </c>
      <c r="V836" s="16" t="str">
        <f>PROPER(Table1[[#This Row],[CVD Risk Level]])</f>
        <v>High</v>
      </c>
    </row>
    <row r="837" spans="1:22" x14ac:dyDescent="0.3">
      <c r="A837" t="s">
        <v>20</v>
      </c>
      <c r="B837" s="8">
        <v>47</v>
      </c>
      <c r="C837" s="8">
        <v>90.7</v>
      </c>
      <c r="D837" s="5">
        <v>1.7</v>
      </c>
      <c r="E837" s="5">
        <v>31.4</v>
      </c>
      <c r="F837" s="16" t="s">
        <v>1302</v>
      </c>
      <c r="G837" s="11">
        <v>0.45600000000000002</v>
      </c>
      <c r="H837" s="5">
        <v>77.599999999999994</v>
      </c>
      <c r="I837" s="8">
        <v>68</v>
      </c>
      <c r="J837" s="8">
        <v>43</v>
      </c>
      <c r="K837" s="8">
        <v>141</v>
      </c>
      <c r="L837" s="8">
        <v>79</v>
      </c>
      <c r="M837" t="s">
        <v>33</v>
      </c>
      <c r="N837" s="16" t="s">
        <v>22</v>
      </c>
      <c r="O837" s="16" t="s">
        <v>23</v>
      </c>
      <c r="P837" s="16" t="s">
        <v>24</v>
      </c>
      <c r="Q837" s="10" t="s">
        <v>723</v>
      </c>
      <c r="R837" s="3" t="str">
        <f t="shared" si="26"/>
        <v>103</v>
      </c>
      <c r="S837" s="3" t="str">
        <f t="shared" si="27"/>
        <v>63</v>
      </c>
      <c r="T837" s="16" t="s">
        <v>33</v>
      </c>
      <c r="U837" s="3">
        <v>16.25</v>
      </c>
      <c r="V837" s="16" t="str">
        <f>PROPER(Table1[[#This Row],[CVD Risk Level]])</f>
        <v>High</v>
      </c>
    </row>
    <row r="838" spans="1:22" x14ac:dyDescent="0.3">
      <c r="A838" t="s">
        <v>20</v>
      </c>
      <c r="B838" s="8">
        <v>37</v>
      </c>
      <c r="C838" s="8">
        <v>86.7</v>
      </c>
      <c r="D838" s="5">
        <v>1.62</v>
      </c>
      <c r="E838" s="5">
        <v>33</v>
      </c>
      <c r="F838" s="16" t="s">
        <v>1302</v>
      </c>
      <c r="G838" s="11">
        <v>0.54600000000000004</v>
      </c>
      <c r="H838" s="5">
        <v>88.5</v>
      </c>
      <c r="I838" s="8">
        <v>36</v>
      </c>
      <c r="J838" s="8">
        <v>184</v>
      </c>
      <c r="K838" s="8">
        <v>250</v>
      </c>
      <c r="L838" s="8">
        <v>104</v>
      </c>
      <c r="M838" t="s">
        <v>1306</v>
      </c>
      <c r="N838" s="16" t="s">
        <v>22</v>
      </c>
      <c r="O838" s="16" t="s">
        <v>23</v>
      </c>
      <c r="P838" s="16" t="s">
        <v>28</v>
      </c>
      <c r="Q838" s="10" t="s">
        <v>607</v>
      </c>
      <c r="R838" s="3" t="str">
        <f t="shared" si="26"/>
        <v>113</v>
      </c>
      <c r="S838" s="3" t="str">
        <f t="shared" si="27"/>
        <v>77</v>
      </c>
      <c r="T838" s="16" t="s">
        <v>33</v>
      </c>
      <c r="U838" s="3">
        <v>19.25</v>
      </c>
      <c r="V838" s="16" t="str">
        <f>PROPER(Table1[[#This Row],[CVD Risk Level]])</f>
        <v>High</v>
      </c>
    </row>
    <row r="839" spans="1:22" x14ac:dyDescent="0.3">
      <c r="A839" t="s">
        <v>31</v>
      </c>
      <c r="B839" s="8">
        <v>42</v>
      </c>
      <c r="C839" s="8">
        <v>75.099999999999994</v>
      </c>
      <c r="D839" s="5">
        <v>1.89</v>
      </c>
      <c r="E839" s="5">
        <v>21</v>
      </c>
      <c r="F839" s="16" t="s">
        <v>33</v>
      </c>
      <c r="G839" s="11">
        <v>0.55200000000000005</v>
      </c>
      <c r="H839" s="5">
        <v>104.3</v>
      </c>
      <c r="I839" s="8">
        <v>42</v>
      </c>
      <c r="J839" s="8">
        <v>39</v>
      </c>
      <c r="K839" s="8">
        <v>111</v>
      </c>
      <c r="L839" s="8">
        <v>95</v>
      </c>
      <c r="M839" t="s">
        <v>33</v>
      </c>
      <c r="N839" s="16" t="s">
        <v>22</v>
      </c>
      <c r="O839" s="16" t="s">
        <v>23</v>
      </c>
      <c r="P839" s="16" t="s">
        <v>24</v>
      </c>
      <c r="Q839" s="10" t="s">
        <v>738</v>
      </c>
      <c r="R839" s="3" t="str">
        <f t="shared" si="26"/>
        <v>112</v>
      </c>
      <c r="S839" s="3" t="str">
        <f t="shared" si="27"/>
        <v>93</v>
      </c>
      <c r="T839" s="16" t="s">
        <v>38</v>
      </c>
      <c r="U839" s="3">
        <v>14.02</v>
      </c>
      <c r="V839" s="16" t="str">
        <f>PROPER(Table1[[#This Row],[CVD Risk Level]])</f>
        <v>Intermediary</v>
      </c>
    </row>
    <row r="840" spans="1:22" x14ac:dyDescent="0.3">
      <c r="A840" t="s">
        <v>31</v>
      </c>
      <c r="B840" s="8">
        <v>47.025499655410059</v>
      </c>
      <c r="C840" s="8">
        <v>64.900000000000006</v>
      </c>
      <c r="D840" s="5">
        <v>1.83</v>
      </c>
      <c r="E840" s="5">
        <v>19.399999999999999</v>
      </c>
      <c r="F840" s="16" t="s">
        <v>33</v>
      </c>
      <c r="G840" s="11">
        <v>0.54500000000000004</v>
      </c>
      <c r="H840" s="5">
        <v>99.8</v>
      </c>
      <c r="I840" s="8">
        <v>65</v>
      </c>
      <c r="J840" s="8">
        <v>78</v>
      </c>
      <c r="K840" s="8">
        <v>173</v>
      </c>
      <c r="L840" s="8">
        <v>101</v>
      </c>
      <c r="M840" t="s">
        <v>1306</v>
      </c>
      <c r="N840" s="16" t="s">
        <v>22</v>
      </c>
      <c r="O840" s="16" t="s">
        <v>22</v>
      </c>
      <c r="P840" s="16" t="s">
        <v>28</v>
      </c>
      <c r="Q840" s="10" t="s">
        <v>358</v>
      </c>
      <c r="R840" s="3" t="str">
        <f t="shared" si="26"/>
        <v>96</v>
      </c>
      <c r="S840" s="3" t="str">
        <f t="shared" si="27"/>
        <v>93</v>
      </c>
      <c r="T840" s="16" t="s">
        <v>38</v>
      </c>
      <c r="U840" s="3">
        <v>12.14</v>
      </c>
      <c r="V840" s="16" t="str">
        <f>PROPER(Table1[[#This Row],[CVD Risk Level]])</f>
        <v>Low</v>
      </c>
    </row>
    <row r="841" spans="1:22" x14ac:dyDescent="0.3">
      <c r="A841" t="s">
        <v>20</v>
      </c>
      <c r="B841" s="8">
        <v>47</v>
      </c>
      <c r="C841" s="8">
        <v>79.099999999999994</v>
      </c>
      <c r="D841" s="5">
        <v>1.81</v>
      </c>
      <c r="E841" s="5">
        <v>24.1</v>
      </c>
      <c r="F841" s="16" t="s">
        <v>33</v>
      </c>
      <c r="G841" s="11">
        <v>0.42199999999999999</v>
      </c>
      <c r="H841" s="5">
        <v>76.400000000000006</v>
      </c>
      <c r="I841" s="8">
        <v>70</v>
      </c>
      <c r="J841" s="8">
        <v>47</v>
      </c>
      <c r="K841" s="8">
        <v>147</v>
      </c>
      <c r="L841" s="8">
        <v>83</v>
      </c>
      <c r="M841" t="s">
        <v>33</v>
      </c>
      <c r="N841" s="16" t="s">
        <v>23</v>
      </c>
      <c r="O841" s="16" t="s">
        <v>23</v>
      </c>
      <c r="P841" s="16" t="s">
        <v>24</v>
      </c>
      <c r="Q841" s="10" t="s">
        <v>573</v>
      </c>
      <c r="R841" s="3" t="str">
        <f t="shared" si="26"/>
        <v>118</v>
      </c>
      <c r="S841" s="3" t="str">
        <f t="shared" si="27"/>
        <v>97</v>
      </c>
      <c r="T841" s="16" t="s">
        <v>38</v>
      </c>
      <c r="U841" s="3">
        <v>15.66</v>
      </c>
      <c r="V841" s="16" t="str">
        <f>PROPER(Table1[[#This Row],[CVD Risk Level]])</f>
        <v>High</v>
      </c>
    </row>
    <row r="842" spans="1:22" x14ac:dyDescent="0.3">
      <c r="A842" t="s">
        <v>31</v>
      </c>
      <c r="B842" s="8">
        <v>38</v>
      </c>
      <c r="C842" s="8">
        <v>103.6</v>
      </c>
      <c r="D842" s="5">
        <v>1.83</v>
      </c>
      <c r="E842" s="5">
        <v>30.9</v>
      </c>
      <c r="F842" s="16" t="s">
        <v>1302</v>
      </c>
      <c r="G842" s="11">
        <v>0.43</v>
      </c>
      <c r="H842" s="5">
        <v>78.599999999999994</v>
      </c>
      <c r="I842" s="8">
        <v>79</v>
      </c>
      <c r="J842" s="8">
        <v>55</v>
      </c>
      <c r="K842" s="8">
        <v>268</v>
      </c>
      <c r="L842" s="8">
        <v>75</v>
      </c>
      <c r="M842" t="s">
        <v>33</v>
      </c>
      <c r="N842" s="16" t="s">
        <v>22</v>
      </c>
      <c r="O842" s="16" t="s">
        <v>22</v>
      </c>
      <c r="P842" s="16" t="s">
        <v>37</v>
      </c>
      <c r="Q842" s="10" t="s">
        <v>112</v>
      </c>
      <c r="R842" s="3" t="str">
        <f t="shared" si="26"/>
        <v>94</v>
      </c>
      <c r="S842" s="3" t="str">
        <f t="shared" si="27"/>
        <v>78</v>
      </c>
      <c r="T842" s="16" t="s">
        <v>33</v>
      </c>
      <c r="U842" s="3">
        <v>14.16</v>
      </c>
      <c r="V842" s="16" t="str">
        <f>PROPER(Table1[[#This Row],[CVD Risk Level]])</f>
        <v>Low</v>
      </c>
    </row>
    <row r="843" spans="1:22" x14ac:dyDescent="0.3">
      <c r="A843" t="s">
        <v>20</v>
      </c>
      <c r="B843" s="8">
        <v>46</v>
      </c>
      <c r="C843" s="8">
        <v>88.1</v>
      </c>
      <c r="D843" s="5">
        <v>1.63</v>
      </c>
      <c r="E843" s="5">
        <v>33.200000000000003</v>
      </c>
      <c r="F843" s="16" t="s">
        <v>1302</v>
      </c>
      <c r="G843" s="11">
        <v>0.60599999999999998</v>
      </c>
      <c r="H843" s="5">
        <v>98.7</v>
      </c>
      <c r="I843" s="8">
        <v>78</v>
      </c>
      <c r="J843" s="8">
        <v>58</v>
      </c>
      <c r="K843" s="8">
        <v>166</v>
      </c>
      <c r="L843" s="8">
        <v>103</v>
      </c>
      <c r="M843" t="s">
        <v>1306</v>
      </c>
      <c r="N843" s="16" t="s">
        <v>23</v>
      </c>
      <c r="O843" s="16" t="s">
        <v>23</v>
      </c>
      <c r="P843" s="16" t="s">
        <v>24</v>
      </c>
      <c r="Q843" s="10" t="s">
        <v>739</v>
      </c>
      <c r="R843" s="3" t="str">
        <f t="shared" si="26"/>
        <v>95</v>
      </c>
      <c r="S843" s="3" t="str">
        <f t="shared" si="27"/>
        <v>81</v>
      </c>
      <c r="T843" s="16" t="s">
        <v>29</v>
      </c>
      <c r="U843" s="3">
        <v>16.71</v>
      </c>
      <c r="V843" s="16" t="str">
        <f>PROPER(Table1[[#This Row],[CVD Risk Level]])</f>
        <v>High</v>
      </c>
    </row>
    <row r="844" spans="1:22" x14ac:dyDescent="0.3">
      <c r="A844" t="s">
        <v>20</v>
      </c>
      <c r="B844" s="8">
        <v>30</v>
      </c>
      <c r="C844" s="8">
        <v>80</v>
      </c>
      <c r="D844" s="5">
        <v>1.86</v>
      </c>
      <c r="E844" s="5">
        <v>23.1</v>
      </c>
      <c r="F844" s="16" t="s">
        <v>33</v>
      </c>
      <c r="G844" s="11">
        <v>0.503</v>
      </c>
      <c r="H844" s="5">
        <v>93.5</v>
      </c>
      <c r="I844" s="8">
        <v>60</v>
      </c>
      <c r="J844" s="8">
        <v>53</v>
      </c>
      <c r="K844" s="8">
        <v>143</v>
      </c>
      <c r="L844" s="8">
        <v>139</v>
      </c>
      <c r="M844" t="s">
        <v>1307</v>
      </c>
      <c r="N844" s="16" t="s">
        <v>23</v>
      </c>
      <c r="O844" s="16" t="s">
        <v>22</v>
      </c>
      <c r="P844" s="16" t="s">
        <v>28</v>
      </c>
      <c r="Q844" s="10" t="s">
        <v>740</v>
      </c>
      <c r="R844" s="3" t="str">
        <f t="shared" si="26"/>
        <v>110</v>
      </c>
      <c r="S844" s="3" t="str">
        <f t="shared" si="27"/>
        <v>98</v>
      </c>
      <c r="T844" s="16" t="s">
        <v>38</v>
      </c>
      <c r="U844" s="3">
        <v>12.98</v>
      </c>
      <c r="V844" s="16" t="str">
        <f>PROPER(Table1[[#This Row],[CVD Risk Level]])</f>
        <v>Intermediary</v>
      </c>
    </row>
    <row r="845" spans="1:22" x14ac:dyDescent="0.3">
      <c r="A845" t="s">
        <v>31</v>
      </c>
      <c r="B845" s="8">
        <v>52</v>
      </c>
      <c r="C845" s="8">
        <v>55</v>
      </c>
      <c r="D845" s="5">
        <v>1.7104186373205879</v>
      </c>
      <c r="E845" s="5">
        <v>18.8</v>
      </c>
      <c r="F845" s="16" t="s">
        <v>33</v>
      </c>
      <c r="G845" s="11">
        <v>0.63500000000000001</v>
      </c>
      <c r="H845" s="5">
        <v>108.6</v>
      </c>
      <c r="I845" s="8">
        <v>53</v>
      </c>
      <c r="J845" s="8">
        <v>100</v>
      </c>
      <c r="K845" s="8">
        <v>183</v>
      </c>
      <c r="L845" s="8">
        <v>115</v>
      </c>
      <c r="M845" t="s">
        <v>1306</v>
      </c>
      <c r="N845" s="16" t="s">
        <v>22</v>
      </c>
      <c r="O845" s="16" t="s">
        <v>23</v>
      </c>
      <c r="P845" s="16" t="s">
        <v>37</v>
      </c>
      <c r="Q845" s="10" t="s">
        <v>741</v>
      </c>
      <c r="R845" s="3" t="str">
        <f t="shared" si="26"/>
        <v>132</v>
      </c>
      <c r="S845" s="3" t="str">
        <f t="shared" si="27"/>
        <v>76</v>
      </c>
      <c r="T845" s="16" t="s">
        <v>29</v>
      </c>
      <c r="U845" s="3">
        <v>16.02</v>
      </c>
      <c r="V845" s="16" t="str">
        <f>PROPER(Table1[[#This Row],[CVD Risk Level]])</f>
        <v>Intermediary</v>
      </c>
    </row>
    <row r="846" spans="1:22" x14ac:dyDescent="0.3">
      <c r="A846" t="s">
        <v>20</v>
      </c>
      <c r="B846" s="8">
        <v>30</v>
      </c>
      <c r="C846" s="8">
        <v>110.4</v>
      </c>
      <c r="D846" s="5">
        <v>1.71</v>
      </c>
      <c r="E846" s="5">
        <v>37.799999999999997</v>
      </c>
      <c r="F846" s="16" t="s">
        <v>1302</v>
      </c>
      <c r="G846" s="11">
        <v>0.57899999999999996</v>
      </c>
      <c r="H846" s="5">
        <v>99</v>
      </c>
      <c r="I846" s="8">
        <v>65</v>
      </c>
      <c r="J846" s="8">
        <v>170</v>
      </c>
      <c r="K846" s="8">
        <v>265</v>
      </c>
      <c r="L846" s="8">
        <v>124</v>
      </c>
      <c r="M846" t="s">
        <v>1306</v>
      </c>
      <c r="N846" s="16" t="s">
        <v>23</v>
      </c>
      <c r="O846" s="16" t="s">
        <v>23</v>
      </c>
      <c r="P846" s="16" t="s">
        <v>37</v>
      </c>
      <c r="Q846" s="10" t="s">
        <v>742</v>
      </c>
      <c r="R846" s="3" t="str">
        <f t="shared" si="26"/>
        <v>116</v>
      </c>
      <c r="S846" s="3" t="str">
        <f t="shared" si="27"/>
        <v>95</v>
      </c>
      <c r="T846" s="16" t="s">
        <v>38</v>
      </c>
      <c r="U846" s="3">
        <v>20.66</v>
      </c>
      <c r="V846" s="16" t="str">
        <f>PROPER(Table1[[#This Row],[CVD Risk Level]])</f>
        <v>High</v>
      </c>
    </row>
    <row r="847" spans="1:22" x14ac:dyDescent="0.3">
      <c r="A847" t="s">
        <v>31</v>
      </c>
      <c r="B847" s="8">
        <v>52</v>
      </c>
      <c r="C847" s="8">
        <v>59.5</v>
      </c>
      <c r="D847" s="5">
        <v>1.74</v>
      </c>
      <c r="E847" s="5">
        <v>19.7</v>
      </c>
      <c r="F847" s="16" t="s">
        <v>33</v>
      </c>
      <c r="G847" s="11">
        <v>0.499</v>
      </c>
      <c r="H847" s="5">
        <v>86.825999999999993</v>
      </c>
      <c r="I847" s="8">
        <v>63</v>
      </c>
      <c r="J847" s="8">
        <v>90</v>
      </c>
      <c r="K847" s="8">
        <v>183</v>
      </c>
      <c r="L847" s="8">
        <v>85</v>
      </c>
      <c r="M847" t="s">
        <v>33</v>
      </c>
      <c r="N847" s="16" t="s">
        <v>22</v>
      </c>
      <c r="O847" s="16" t="s">
        <v>22</v>
      </c>
      <c r="P847" s="16" t="s">
        <v>37</v>
      </c>
      <c r="Q847" s="10" t="s">
        <v>743</v>
      </c>
      <c r="R847" s="3" t="str">
        <f t="shared" si="26"/>
        <v>107</v>
      </c>
      <c r="S847" s="3" t="str">
        <f t="shared" si="27"/>
        <v>80</v>
      </c>
      <c r="T847" s="16" t="s">
        <v>29</v>
      </c>
      <c r="U847" s="3">
        <v>12.95</v>
      </c>
      <c r="V847" s="16" t="str">
        <f>PROPER(Table1[[#This Row],[CVD Risk Level]])</f>
        <v>Intermediary</v>
      </c>
    </row>
    <row r="848" spans="1:22" x14ac:dyDescent="0.3">
      <c r="A848" t="s">
        <v>31</v>
      </c>
      <c r="B848" s="8">
        <v>31</v>
      </c>
      <c r="C848" s="8">
        <v>82.5</v>
      </c>
      <c r="D848" s="5">
        <v>1.74</v>
      </c>
      <c r="E848" s="5">
        <v>27.2</v>
      </c>
      <c r="F848" s="16" t="s">
        <v>1303</v>
      </c>
      <c r="G848" s="11">
        <v>0.47</v>
      </c>
      <c r="H848" s="5">
        <v>81.7</v>
      </c>
      <c r="I848" s="8">
        <v>52</v>
      </c>
      <c r="J848" s="8">
        <v>118</v>
      </c>
      <c r="K848" s="8">
        <v>200</v>
      </c>
      <c r="L848" s="8">
        <v>108</v>
      </c>
      <c r="M848" t="s">
        <v>1306</v>
      </c>
      <c r="N848" s="16" t="s">
        <v>23</v>
      </c>
      <c r="O848" s="16" t="s">
        <v>23</v>
      </c>
      <c r="P848" s="16" t="s">
        <v>24</v>
      </c>
      <c r="Q848" s="10" t="s">
        <v>744</v>
      </c>
      <c r="R848" s="3" t="str">
        <f t="shared" si="26"/>
        <v>136</v>
      </c>
      <c r="S848" s="3" t="str">
        <f t="shared" si="27"/>
        <v>92</v>
      </c>
      <c r="T848" s="16" t="s">
        <v>29</v>
      </c>
      <c r="U848" s="3">
        <v>18.239999999999998</v>
      </c>
      <c r="V848" s="16" t="str">
        <f>PROPER(Table1[[#This Row],[CVD Risk Level]])</f>
        <v>High</v>
      </c>
    </row>
    <row r="849" spans="1:22" x14ac:dyDescent="0.3">
      <c r="A849" t="s">
        <v>31</v>
      </c>
      <c r="B849" s="8">
        <v>45</v>
      </c>
      <c r="C849" s="8">
        <v>91.3</v>
      </c>
      <c r="D849" s="5">
        <v>1.87</v>
      </c>
      <c r="E849" s="5">
        <v>26.1</v>
      </c>
      <c r="F849" s="16" t="s">
        <v>1303</v>
      </c>
      <c r="G849" s="11">
        <v>0.42799999999999999</v>
      </c>
      <c r="H849" s="5">
        <v>80</v>
      </c>
      <c r="I849" s="8">
        <v>31</v>
      </c>
      <c r="J849" s="8">
        <v>210</v>
      </c>
      <c r="K849" s="8">
        <v>271</v>
      </c>
      <c r="L849" s="8">
        <v>126</v>
      </c>
      <c r="M849" t="s">
        <v>1307</v>
      </c>
      <c r="N849" s="16" t="s">
        <v>23</v>
      </c>
      <c r="O849" s="16" t="s">
        <v>23</v>
      </c>
      <c r="P849" s="16" t="s">
        <v>28</v>
      </c>
      <c r="Q849" s="10" t="s">
        <v>745</v>
      </c>
      <c r="R849" s="3" t="str">
        <f t="shared" si="26"/>
        <v>102</v>
      </c>
      <c r="S849" s="3" t="str">
        <f t="shared" si="27"/>
        <v>61</v>
      </c>
      <c r="T849" s="16" t="s">
        <v>33</v>
      </c>
      <c r="U849" s="3">
        <v>17.739999999999998</v>
      </c>
      <c r="V849" s="16" t="str">
        <f>PROPER(Table1[[#This Row],[CVD Risk Level]])</f>
        <v>High</v>
      </c>
    </row>
    <row r="850" spans="1:22" x14ac:dyDescent="0.3">
      <c r="A850" t="s">
        <v>20</v>
      </c>
      <c r="B850" s="8">
        <v>46</v>
      </c>
      <c r="C850" s="8">
        <v>93.4</v>
      </c>
      <c r="D850" s="5">
        <v>1.63</v>
      </c>
      <c r="E850" s="5">
        <v>35.200000000000003</v>
      </c>
      <c r="F850" s="16" t="s">
        <v>1302</v>
      </c>
      <c r="G850" s="11">
        <v>0.47599999999999998</v>
      </c>
      <c r="H850" s="5">
        <v>77.599999999999994</v>
      </c>
      <c r="I850" s="8">
        <v>48</v>
      </c>
      <c r="J850" s="8">
        <v>219</v>
      </c>
      <c r="K850" s="8">
        <v>297</v>
      </c>
      <c r="L850" s="8">
        <v>147</v>
      </c>
      <c r="M850" t="s">
        <v>1307</v>
      </c>
      <c r="N850" s="16" t="s">
        <v>23</v>
      </c>
      <c r="O850" s="16" t="s">
        <v>22</v>
      </c>
      <c r="P850" s="16" t="s">
        <v>28</v>
      </c>
      <c r="Q850" s="10" t="s">
        <v>746</v>
      </c>
      <c r="R850" s="3" t="str">
        <f t="shared" si="26"/>
        <v>116</v>
      </c>
      <c r="S850" s="3" t="str">
        <f t="shared" si="27"/>
        <v>65</v>
      </c>
      <c r="T850" s="16" t="s">
        <v>33</v>
      </c>
      <c r="U850" s="3">
        <v>18.78</v>
      </c>
      <c r="V850" s="16" t="str">
        <f>PROPER(Table1[[#This Row],[CVD Risk Level]])</f>
        <v>High</v>
      </c>
    </row>
    <row r="851" spans="1:22" x14ac:dyDescent="0.3">
      <c r="A851" t="s">
        <v>20</v>
      </c>
      <c r="B851" s="8">
        <v>46</v>
      </c>
      <c r="C851" s="8">
        <v>63.7</v>
      </c>
      <c r="D851" s="5">
        <v>1.84</v>
      </c>
      <c r="E851" s="5">
        <v>18.814981096408317</v>
      </c>
      <c r="F851" s="16" t="s">
        <v>33</v>
      </c>
      <c r="G851" s="11">
        <v>0.48699999999999999</v>
      </c>
      <c r="H851" s="5">
        <v>89.7</v>
      </c>
      <c r="I851" s="8">
        <v>41</v>
      </c>
      <c r="J851" s="8">
        <v>84</v>
      </c>
      <c r="K851" s="8">
        <v>155</v>
      </c>
      <c r="L851" s="8">
        <v>105</v>
      </c>
      <c r="M851" t="s">
        <v>1306</v>
      </c>
      <c r="N851" s="16" t="s">
        <v>22</v>
      </c>
      <c r="O851" s="16" t="s">
        <v>23</v>
      </c>
      <c r="P851" s="16" t="s">
        <v>24</v>
      </c>
      <c r="Q851" s="10" t="s">
        <v>747</v>
      </c>
      <c r="R851" s="3" t="str">
        <f t="shared" si="26"/>
        <v>92</v>
      </c>
      <c r="S851" s="3" t="str">
        <f t="shared" si="27"/>
        <v>62</v>
      </c>
      <c r="T851" s="16" t="s">
        <v>33</v>
      </c>
      <c r="U851" s="3">
        <v>16.960925291295425</v>
      </c>
      <c r="V851" s="16" t="str">
        <f>PROPER(Table1[[#This Row],[CVD Risk Level]])</f>
        <v>High</v>
      </c>
    </row>
    <row r="852" spans="1:22" x14ac:dyDescent="0.3">
      <c r="A852" t="s">
        <v>20</v>
      </c>
      <c r="B852" s="8">
        <v>56</v>
      </c>
      <c r="C852" s="8">
        <v>99.962860000000006</v>
      </c>
      <c r="D852" s="5">
        <v>1.73</v>
      </c>
      <c r="E852" s="5">
        <v>33.4</v>
      </c>
      <c r="F852" s="16" t="s">
        <v>1302</v>
      </c>
      <c r="G852" s="11">
        <v>0.54200000000000004</v>
      </c>
      <c r="H852" s="5">
        <v>93.8</v>
      </c>
      <c r="I852" s="8">
        <v>61</v>
      </c>
      <c r="J852" s="8">
        <v>117</v>
      </c>
      <c r="K852" s="8">
        <v>208</v>
      </c>
      <c r="L852" s="8">
        <v>79</v>
      </c>
      <c r="M852" t="s">
        <v>33</v>
      </c>
      <c r="N852" s="16" t="s">
        <v>22</v>
      </c>
      <c r="O852" s="16" t="s">
        <v>22</v>
      </c>
      <c r="P852" s="16" t="s">
        <v>37</v>
      </c>
      <c r="Q852" s="10" t="s">
        <v>748</v>
      </c>
      <c r="R852" s="3" t="str">
        <f t="shared" si="26"/>
        <v>145</v>
      </c>
      <c r="S852" s="3" t="str">
        <f t="shared" si="27"/>
        <v>79</v>
      </c>
      <c r="T852" s="16" t="s">
        <v>38</v>
      </c>
      <c r="U852" s="3">
        <v>18.09</v>
      </c>
      <c r="V852" s="16" t="str">
        <f>PROPER(Table1[[#This Row],[CVD Risk Level]])</f>
        <v>Intermediary</v>
      </c>
    </row>
    <row r="853" spans="1:22" x14ac:dyDescent="0.3">
      <c r="A853" t="s">
        <v>31</v>
      </c>
      <c r="B853" s="8">
        <v>47.025499655410059</v>
      </c>
      <c r="C853" s="8">
        <v>99.4</v>
      </c>
      <c r="D853" s="5">
        <v>1.61</v>
      </c>
      <c r="E853" s="5">
        <v>38.299999999999997</v>
      </c>
      <c r="F853" s="16" t="s">
        <v>1302</v>
      </c>
      <c r="G853" s="11">
        <v>0.61699999999999999</v>
      </c>
      <c r="H853" s="5">
        <v>99.4</v>
      </c>
      <c r="I853" s="8">
        <v>71</v>
      </c>
      <c r="J853" s="8">
        <v>90</v>
      </c>
      <c r="K853" s="8">
        <v>191</v>
      </c>
      <c r="L853" s="8">
        <v>125</v>
      </c>
      <c r="M853" t="s">
        <v>1306</v>
      </c>
      <c r="N853" s="16" t="s">
        <v>22</v>
      </c>
      <c r="O853" s="16" t="s">
        <v>23</v>
      </c>
      <c r="P853" s="16" t="s">
        <v>24</v>
      </c>
      <c r="Q853" s="10" t="s">
        <v>749</v>
      </c>
      <c r="R853" s="3" t="str">
        <f t="shared" si="26"/>
        <v>95</v>
      </c>
      <c r="S853" s="3" t="str">
        <f t="shared" si="27"/>
        <v>93</v>
      </c>
      <c r="T853" s="16" t="s">
        <v>38</v>
      </c>
      <c r="U853" s="3">
        <v>18.23</v>
      </c>
      <c r="V853" s="16" t="str">
        <f>PROPER(Table1[[#This Row],[CVD Risk Level]])</f>
        <v>Intermediary</v>
      </c>
    </row>
    <row r="854" spans="1:22" x14ac:dyDescent="0.3">
      <c r="A854" t="s">
        <v>20</v>
      </c>
      <c r="B854" s="8">
        <v>35</v>
      </c>
      <c r="C854" s="8">
        <v>67.5</v>
      </c>
      <c r="D854" s="5">
        <v>1.73</v>
      </c>
      <c r="E854" s="5">
        <v>22.6</v>
      </c>
      <c r="F854" s="16" t="s">
        <v>33</v>
      </c>
      <c r="G854" s="11">
        <v>0.53100000000000003</v>
      </c>
      <c r="H854" s="5">
        <v>91.9</v>
      </c>
      <c r="I854" s="8">
        <v>54</v>
      </c>
      <c r="J854" s="8">
        <v>202</v>
      </c>
      <c r="K854" s="8">
        <v>286</v>
      </c>
      <c r="L854" s="8">
        <v>112</v>
      </c>
      <c r="M854" t="s">
        <v>1306</v>
      </c>
      <c r="N854" s="16" t="s">
        <v>23</v>
      </c>
      <c r="O854" s="16" t="s">
        <v>22</v>
      </c>
      <c r="P854" s="16" t="s">
        <v>24</v>
      </c>
      <c r="Q854" s="10" t="s">
        <v>750</v>
      </c>
      <c r="R854" s="3" t="str">
        <f t="shared" si="26"/>
        <v>144</v>
      </c>
      <c r="S854" s="3" t="str">
        <f t="shared" si="27"/>
        <v>63</v>
      </c>
      <c r="T854" s="16" t="s">
        <v>38</v>
      </c>
      <c r="U854" s="3">
        <v>17.440000000000001</v>
      </c>
      <c r="V854" s="16" t="str">
        <f>PROPER(Table1[[#This Row],[CVD Risk Level]])</f>
        <v>Intermediary</v>
      </c>
    </row>
    <row r="855" spans="1:22" x14ac:dyDescent="0.3">
      <c r="A855" t="s">
        <v>31</v>
      </c>
      <c r="B855" s="8">
        <v>46</v>
      </c>
      <c r="C855" s="8">
        <v>99.5</v>
      </c>
      <c r="D855" s="5">
        <v>1.89</v>
      </c>
      <c r="E855" s="5">
        <v>27.9</v>
      </c>
      <c r="F855" s="16" t="s">
        <v>1303</v>
      </c>
      <c r="G855" s="11">
        <v>0.443</v>
      </c>
      <c r="H855" s="5">
        <v>83.7</v>
      </c>
      <c r="I855" s="8">
        <v>33</v>
      </c>
      <c r="J855" s="8">
        <v>42</v>
      </c>
      <c r="K855" s="8">
        <v>105</v>
      </c>
      <c r="L855" s="8">
        <v>134</v>
      </c>
      <c r="M855" t="s">
        <v>1307</v>
      </c>
      <c r="N855" s="16" t="s">
        <v>22</v>
      </c>
      <c r="O855" s="16" t="s">
        <v>22</v>
      </c>
      <c r="P855" s="16" t="s">
        <v>24</v>
      </c>
      <c r="Q855" s="10" t="s">
        <v>516</v>
      </c>
      <c r="R855" s="3" t="str">
        <f t="shared" si="26"/>
        <v>116</v>
      </c>
      <c r="S855" s="3" t="str">
        <f t="shared" si="27"/>
        <v>91</v>
      </c>
      <c r="T855" s="16" t="s">
        <v>38</v>
      </c>
      <c r="U855" s="3">
        <v>13.48</v>
      </c>
      <c r="V855" s="16" t="str">
        <f>PROPER(Table1[[#This Row],[CVD Risk Level]])</f>
        <v>High</v>
      </c>
    </row>
    <row r="856" spans="1:22" x14ac:dyDescent="0.3">
      <c r="A856" t="s">
        <v>20</v>
      </c>
      <c r="B856" s="8">
        <v>34</v>
      </c>
      <c r="C856" s="8">
        <v>70.599999999999994</v>
      </c>
      <c r="D856" s="5">
        <v>1.66</v>
      </c>
      <c r="E856" s="5">
        <v>25.6</v>
      </c>
      <c r="F856" s="16" t="s">
        <v>1303</v>
      </c>
      <c r="G856" s="11">
        <v>0.51900000000000002</v>
      </c>
      <c r="H856" s="5">
        <v>86.1</v>
      </c>
      <c r="I856" s="8">
        <v>65</v>
      </c>
      <c r="J856" s="8">
        <v>92</v>
      </c>
      <c r="K856" s="8">
        <v>187</v>
      </c>
      <c r="L856" s="8">
        <v>75</v>
      </c>
      <c r="M856" t="s">
        <v>33</v>
      </c>
      <c r="N856" s="16" t="s">
        <v>23</v>
      </c>
      <c r="O856" s="16" t="s">
        <v>23</v>
      </c>
      <c r="P856" s="16" t="s">
        <v>24</v>
      </c>
      <c r="Q856" s="10" t="s">
        <v>751</v>
      </c>
      <c r="R856" s="3" t="str">
        <f t="shared" si="26"/>
        <v>116</v>
      </c>
      <c r="S856" s="3" t="str">
        <f t="shared" si="27"/>
        <v>85</v>
      </c>
      <c r="T856" s="16" t="s">
        <v>29</v>
      </c>
      <c r="U856" s="3">
        <v>16.66</v>
      </c>
      <c r="V856" s="16" t="str">
        <f>PROPER(Table1[[#This Row],[CVD Risk Level]])</f>
        <v>High</v>
      </c>
    </row>
    <row r="857" spans="1:22" x14ac:dyDescent="0.3">
      <c r="A857" t="s">
        <v>31</v>
      </c>
      <c r="B857" s="8">
        <v>32</v>
      </c>
      <c r="C857" s="8">
        <v>119.2</v>
      </c>
      <c r="D857" s="5">
        <v>1.65</v>
      </c>
      <c r="E857" s="5">
        <v>43.8</v>
      </c>
      <c r="F857" s="16" t="s">
        <v>1302</v>
      </c>
      <c r="G857" s="11">
        <v>0.51500000000000001</v>
      </c>
      <c r="H857" s="5">
        <v>85</v>
      </c>
      <c r="I857" s="8">
        <v>80</v>
      </c>
      <c r="J857" s="8">
        <v>95</v>
      </c>
      <c r="K857" s="8">
        <v>205</v>
      </c>
      <c r="L857" s="8">
        <v>121</v>
      </c>
      <c r="M857" t="s">
        <v>1306</v>
      </c>
      <c r="N857" s="16" t="s">
        <v>23</v>
      </c>
      <c r="O857" s="16" t="s">
        <v>22</v>
      </c>
      <c r="P857" s="16" t="s">
        <v>37</v>
      </c>
      <c r="Q857" s="10" t="s">
        <v>752</v>
      </c>
      <c r="R857" s="3" t="str">
        <f t="shared" si="26"/>
        <v>144</v>
      </c>
      <c r="S857" s="3" t="str">
        <f t="shared" si="27"/>
        <v>96</v>
      </c>
      <c r="T857" s="16" t="s">
        <v>38</v>
      </c>
      <c r="U857" s="3">
        <v>20.059999999999999</v>
      </c>
      <c r="V857" s="16" t="str">
        <f>PROPER(Table1[[#This Row],[CVD Risk Level]])</f>
        <v>Intermediary</v>
      </c>
    </row>
    <row r="858" spans="1:22" x14ac:dyDescent="0.3">
      <c r="A858" t="s">
        <v>31</v>
      </c>
      <c r="B858" s="8">
        <v>40</v>
      </c>
      <c r="C858" s="8">
        <v>82.7</v>
      </c>
      <c r="D858" s="5">
        <v>1.9</v>
      </c>
      <c r="E858" s="5">
        <v>22.9</v>
      </c>
      <c r="F858" s="16" t="s">
        <v>33</v>
      </c>
      <c r="G858" s="11">
        <v>0.504</v>
      </c>
      <c r="H858" s="5">
        <v>95.7</v>
      </c>
      <c r="I858" s="8">
        <v>37</v>
      </c>
      <c r="J858" s="8">
        <v>52</v>
      </c>
      <c r="K858" s="8">
        <v>119</v>
      </c>
      <c r="L858" s="8">
        <v>146</v>
      </c>
      <c r="M858" t="s">
        <v>1307</v>
      </c>
      <c r="N858" s="16" t="s">
        <v>23</v>
      </c>
      <c r="O858" s="16" t="s">
        <v>22</v>
      </c>
      <c r="P858" s="16" t="s">
        <v>37</v>
      </c>
      <c r="Q858" s="10" t="s">
        <v>236</v>
      </c>
      <c r="R858" s="3" t="str">
        <f t="shared" si="26"/>
        <v>107</v>
      </c>
      <c r="S858" s="3" t="str">
        <f t="shared" si="27"/>
        <v>88</v>
      </c>
      <c r="T858" s="16" t="s">
        <v>29</v>
      </c>
      <c r="U858" s="3">
        <v>12.31</v>
      </c>
      <c r="V858" s="16" t="str">
        <f>PROPER(Table1[[#This Row],[CVD Risk Level]])</f>
        <v>Intermediary</v>
      </c>
    </row>
    <row r="859" spans="1:22" x14ac:dyDescent="0.3">
      <c r="A859" t="s">
        <v>20</v>
      </c>
      <c r="B859" s="8">
        <v>34</v>
      </c>
      <c r="C859" s="8">
        <v>87.5</v>
      </c>
      <c r="D859" s="5">
        <v>1.73</v>
      </c>
      <c r="E859" s="5">
        <v>29.2</v>
      </c>
      <c r="F859" s="16" t="s">
        <v>1303</v>
      </c>
      <c r="G859" s="11">
        <v>0.57699999999999996</v>
      </c>
      <c r="H859" s="5">
        <v>99.9</v>
      </c>
      <c r="I859" s="8">
        <v>72</v>
      </c>
      <c r="J859" s="8">
        <v>33</v>
      </c>
      <c r="K859" s="8">
        <v>135</v>
      </c>
      <c r="L859" s="8">
        <v>110</v>
      </c>
      <c r="M859" t="s">
        <v>1306</v>
      </c>
      <c r="N859" s="16" t="s">
        <v>22</v>
      </c>
      <c r="O859" s="16" t="s">
        <v>22</v>
      </c>
      <c r="P859" s="16" t="s">
        <v>24</v>
      </c>
      <c r="Q859" s="10" t="s">
        <v>753</v>
      </c>
      <c r="R859" s="3" t="str">
        <f t="shared" si="26"/>
        <v>118</v>
      </c>
      <c r="S859" s="3" t="str">
        <f t="shared" si="27"/>
        <v>96</v>
      </c>
      <c r="T859" s="16" t="s">
        <v>38</v>
      </c>
      <c r="U859" s="3">
        <v>14.44</v>
      </c>
      <c r="V859" s="16" t="str">
        <f>PROPER(Table1[[#This Row],[CVD Risk Level]])</f>
        <v>Intermediary</v>
      </c>
    </row>
    <row r="860" spans="1:22" x14ac:dyDescent="0.3">
      <c r="A860" t="s">
        <v>20</v>
      </c>
      <c r="B860" s="8">
        <v>56</v>
      </c>
      <c r="C860" s="8">
        <v>56.3</v>
      </c>
      <c r="D860" s="5">
        <v>1.62</v>
      </c>
      <c r="E860" s="5">
        <v>21.5</v>
      </c>
      <c r="F860" s="16" t="s">
        <v>33</v>
      </c>
      <c r="G860" s="11">
        <v>0.52200000000000002</v>
      </c>
      <c r="H860" s="5">
        <v>84.5</v>
      </c>
      <c r="I860" s="8">
        <v>61</v>
      </c>
      <c r="J860" s="8">
        <v>40</v>
      </c>
      <c r="K860" s="8">
        <v>131</v>
      </c>
      <c r="L860" s="8">
        <v>73</v>
      </c>
      <c r="M860" t="s">
        <v>33</v>
      </c>
      <c r="N860" s="16" t="s">
        <v>22</v>
      </c>
      <c r="O860" s="16" t="s">
        <v>22</v>
      </c>
      <c r="P860" s="16" t="s">
        <v>24</v>
      </c>
      <c r="Q860" s="10" t="s">
        <v>754</v>
      </c>
      <c r="R860" s="3" t="str">
        <f t="shared" si="26"/>
        <v>136</v>
      </c>
      <c r="S860" s="3" t="str">
        <f t="shared" si="27"/>
        <v>75</v>
      </c>
      <c r="T860" s="16" t="s">
        <v>29</v>
      </c>
      <c r="U860" s="3">
        <v>13.72</v>
      </c>
      <c r="V860" s="16" t="str">
        <f>PROPER(Table1[[#This Row],[CVD Risk Level]])</f>
        <v>Intermediary</v>
      </c>
    </row>
    <row r="861" spans="1:22" x14ac:dyDescent="0.3">
      <c r="A861" t="s">
        <v>20</v>
      </c>
      <c r="B861" s="8">
        <v>46</v>
      </c>
      <c r="C861" s="8">
        <v>81.599999999999994</v>
      </c>
      <c r="D861" s="5">
        <v>1.88</v>
      </c>
      <c r="E861" s="5">
        <v>23.1</v>
      </c>
      <c r="F861" s="16" t="s">
        <v>33</v>
      </c>
      <c r="G861" s="11">
        <v>0.4265957446808511</v>
      </c>
      <c r="H861" s="5">
        <v>80.2</v>
      </c>
      <c r="I861" s="8">
        <v>69</v>
      </c>
      <c r="J861" s="8">
        <v>31</v>
      </c>
      <c r="K861" s="8">
        <v>130</v>
      </c>
      <c r="L861" s="8">
        <v>83</v>
      </c>
      <c r="M861" t="s">
        <v>33</v>
      </c>
      <c r="N861" s="16" t="s">
        <v>23</v>
      </c>
      <c r="O861" s="16" t="s">
        <v>23</v>
      </c>
      <c r="P861" s="16" t="s">
        <v>28</v>
      </c>
      <c r="Q861" s="10" t="s">
        <v>755</v>
      </c>
      <c r="R861" s="3" t="str">
        <f t="shared" si="26"/>
        <v>117</v>
      </c>
      <c r="S861" s="3" t="str">
        <f t="shared" si="27"/>
        <v>83</v>
      </c>
      <c r="T861" s="16" t="s">
        <v>29</v>
      </c>
      <c r="U861" s="3">
        <v>16.960925291295425</v>
      </c>
      <c r="V861" s="16" t="str">
        <f>PROPER(Table1[[#This Row],[CVD Risk Level]])</f>
        <v>Intermediary</v>
      </c>
    </row>
    <row r="862" spans="1:22" x14ac:dyDescent="0.3">
      <c r="A862" t="s">
        <v>31</v>
      </c>
      <c r="B862" s="8">
        <v>43</v>
      </c>
      <c r="C862" s="8">
        <v>117.9</v>
      </c>
      <c r="D862" s="5">
        <v>1.9</v>
      </c>
      <c r="E862" s="5">
        <v>32.700000000000003</v>
      </c>
      <c r="F862" s="16" t="s">
        <v>1302</v>
      </c>
      <c r="G862" s="11">
        <v>0.49</v>
      </c>
      <c r="H862" s="5">
        <v>93.1</v>
      </c>
      <c r="I862" s="8">
        <v>69</v>
      </c>
      <c r="J862" s="8">
        <v>194</v>
      </c>
      <c r="K862" s="8">
        <v>293</v>
      </c>
      <c r="L862" s="8">
        <v>125</v>
      </c>
      <c r="M862" t="s">
        <v>1306</v>
      </c>
      <c r="N862" s="16" t="s">
        <v>22</v>
      </c>
      <c r="O862" s="16" t="s">
        <v>22</v>
      </c>
      <c r="P862" s="16" t="s">
        <v>37</v>
      </c>
      <c r="Q862" s="10" t="s">
        <v>756</v>
      </c>
      <c r="R862" s="3" t="str">
        <f t="shared" si="26"/>
        <v>127</v>
      </c>
      <c r="S862" s="3" t="str">
        <f t="shared" si="27"/>
        <v>99</v>
      </c>
      <c r="T862" s="16" t="s">
        <v>38</v>
      </c>
      <c r="U862" s="3">
        <v>18.75</v>
      </c>
      <c r="V862" s="16" t="str">
        <f>PROPER(Table1[[#This Row],[CVD Risk Level]])</f>
        <v>Intermediary</v>
      </c>
    </row>
    <row r="863" spans="1:22" x14ac:dyDescent="0.3">
      <c r="A863" t="s">
        <v>20</v>
      </c>
      <c r="B863" s="8">
        <v>43</v>
      </c>
      <c r="C863" s="8">
        <v>114.2</v>
      </c>
      <c r="D863" s="5">
        <v>1.6709805621609739</v>
      </c>
      <c r="E863" s="5">
        <v>40.9</v>
      </c>
      <c r="F863" s="16" t="s">
        <v>1302</v>
      </c>
      <c r="G863" s="11">
        <v>0.54600000000000004</v>
      </c>
      <c r="H863" s="5">
        <v>91.1</v>
      </c>
      <c r="I863" s="8">
        <v>70</v>
      </c>
      <c r="J863" s="8">
        <v>163</v>
      </c>
      <c r="K863" s="8">
        <v>263</v>
      </c>
      <c r="L863" s="8">
        <v>78</v>
      </c>
      <c r="M863" t="s">
        <v>33</v>
      </c>
      <c r="N863" s="16" t="s">
        <v>23</v>
      </c>
      <c r="O863" s="16" t="s">
        <v>23</v>
      </c>
      <c r="P863" s="16" t="s">
        <v>24</v>
      </c>
      <c r="Q863" s="10" t="s">
        <v>757</v>
      </c>
      <c r="R863" s="3" t="str">
        <f t="shared" si="26"/>
        <v>146</v>
      </c>
      <c r="S863" s="3" t="str">
        <f t="shared" si="27"/>
        <v>60</v>
      </c>
      <c r="T863" s="16" t="s">
        <v>38</v>
      </c>
      <c r="U863" s="3">
        <v>22.74</v>
      </c>
      <c r="V863" s="16" t="str">
        <f>PROPER(Table1[[#This Row],[CVD Risk Level]])</f>
        <v>High</v>
      </c>
    </row>
    <row r="864" spans="1:22" x14ac:dyDescent="0.3">
      <c r="A864" t="s">
        <v>31</v>
      </c>
      <c r="B864" s="8">
        <v>32</v>
      </c>
      <c r="C864" s="8">
        <v>111.1</v>
      </c>
      <c r="D864" s="5">
        <v>1.72</v>
      </c>
      <c r="E864" s="5">
        <v>37.6</v>
      </c>
      <c r="F864" s="16" t="s">
        <v>1302</v>
      </c>
      <c r="G864" s="11">
        <v>0.505</v>
      </c>
      <c r="H864" s="5">
        <v>86.9</v>
      </c>
      <c r="I864" s="8">
        <v>61</v>
      </c>
      <c r="J864" s="8">
        <v>155</v>
      </c>
      <c r="K864" s="8">
        <v>246</v>
      </c>
      <c r="L864" s="8">
        <v>98</v>
      </c>
      <c r="M864" t="s">
        <v>33</v>
      </c>
      <c r="N864" s="16" t="s">
        <v>23</v>
      </c>
      <c r="O864" s="16" t="s">
        <v>22</v>
      </c>
      <c r="P864" s="16" t="s">
        <v>24</v>
      </c>
      <c r="Q864" s="10" t="s">
        <v>758</v>
      </c>
      <c r="R864" s="3" t="str">
        <f t="shared" si="26"/>
        <v>138</v>
      </c>
      <c r="S864" s="3" t="str">
        <f t="shared" si="27"/>
        <v>68</v>
      </c>
      <c r="T864" s="16" t="s">
        <v>29</v>
      </c>
      <c r="U864" s="3">
        <v>19.34</v>
      </c>
      <c r="V864" s="16" t="str">
        <f>PROPER(Table1[[#This Row],[CVD Risk Level]])</f>
        <v>High</v>
      </c>
    </row>
    <row r="865" spans="1:22" x14ac:dyDescent="0.3">
      <c r="A865" t="s">
        <v>20</v>
      </c>
      <c r="B865" s="8">
        <v>48</v>
      </c>
      <c r="C865" s="8">
        <v>102.2</v>
      </c>
      <c r="D865" s="5">
        <v>1.83</v>
      </c>
      <c r="E865" s="5">
        <v>30.5</v>
      </c>
      <c r="F865" s="16" t="s">
        <v>1302</v>
      </c>
      <c r="G865" s="11">
        <v>0.59599999999999997</v>
      </c>
      <c r="H865" s="5">
        <v>109.1</v>
      </c>
      <c r="I865" s="8">
        <v>37</v>
      </c>
      <c r="J865" s="8">
        <v>124</v>
      </c>
      <c r="K865" s="8">
        <v>191</v>
      </c>
      <c r="L865" s="8">
        <v>99</v>
      </c>
      <c r="M865" t="s">
        <v>33</v>
      </c>
      <c r="N865" s="16" t="s">
        <v>23</v>
      </c>
      <c r="O865" s="16" t="s">
        <v>23</v>
      </c>
      <c r="P865" s="16" t="s">
        <v>24</v>
      </c>
      <c r="Q865" s="10" t="s">
        <v>759</v>
      </c>
      <c r="R865" s="3" t="str">
        <f t="shared" si="26"/>
        <v>118</v>
      </c>
      <c r="S865" s="3" t="str">
        <f t="shared" si="27"/>
        <v>67</v>
      </c>
      <c r="T865" s="16" t="s">
        <v>33</v>
      </c>
      <c r="U865" s="3">
        <v>17.82</v>
      </c>
      <c r="V865" s="16" t="str">
        <f>PROPER(Table1[[#This Row],[CVD Risk Level]])</f>
        <v>High</v>
      </c>
    </row>
    <row r="866" spans="1:22" x14ac:dyDescent="0.3">
      <c r="A866" t="s">
        <v>31</v>
      </c>
      <c r="B866" s="8">
        <v>42</v>
      </c>
      <c r="C866" s="8">
        <v>60.3</v>
      </c>
      <c r="D866" s="5">
        <v>1.78</v>
      </c>
      <c r="E866" s="5">
        <v>19</v>
      </c>
      <c r="F866" s="16" t="s">
        <v>33</v>
      </c>
      <c r="G866" s="11">
        <v>0.60899999999999999</v>
      </c>
      <c r="H866" s="5">
        <v>108.4</v>
      </c>
      <c r="I866" s="8">
        <v>35</v>
      </c>
      <c r="J866" s="8">
        <v>58</v>
      </c>
      <c r="K866" s="8">
        <v>123</v>
      </c>
      <c r="L866" s="8">
        <v>101</v>
      </c>
      <c r="M866" t="s">
        <v>1306</v>
      </c>
      <c r="N866" s="16" t="s">
        <v>23</v>
      </c>
      <c r="O866" s="16" t="s">
        <v>22</v>
      </c>
      <c r="P866" s="16" t="s">
        <v>28</v>
      </c>
      <c r="Q866" s="10" t="s">
        <v>760</v>
      </c>
      <c r="R866" s="3" t="str">
        <f t="shared" si="26"/>
        <v>128</v>
      </c>
      <c r="S866" s="3" t="str">
        <f t="shared" si="27"/>
        <v>60</v>
      </c>
      <c r="T866" s="16" t="s">
        <v>25</v>
      </c>
      <c r="U866" s="3">
        <v>12.66</v>
      </c>
      <c r="V866" s="16" t="str">
        <f>PROPER(Table1[[#This Row],[CVD Risk Level]])</f>
        <v>Intermediary</v>
      </c>
    </row>
    <row r="867" spans="1:22" x14ac:dyDescent="0.3">
      <c r="A867" t="s">
        <v>31</v>
      </c>
      <c r="B867" s="8">
        <v>36</v>
      </c>
      <c r="C867" s="8">
        <v>68.099999999999994</v>
      </c>
      <c r="D867" s="5">
        <v>1.76</v>
      </c>
      <c r="E867" s="5">
        <v>22</v>
      </c>
      <c r="F867" s="16" t="s">
        <v>33</v>
      </c>
      <c r="G867" s="11">
        <v>0.45500000000000002</v>
      </c>
      <c r="H867" s="5">
        <v>80.099999999999994</v>
      </c>
      <c r="I867" s="8">
        <v>59</v>
      </c>
      <c r="J867" s="8">
        <v>113</v>
      </c>
      <c r="K867" s="8">
        <v>202</v>
      </c>
      <c r="L867" s="8">
        <v>91</v>
      </c>
      <c r="M867" t="s">
        <v>33</v>
      </c>
      <c r="N867" s="16" t="s">
        <v>23</v>
      </c>
      <c r="O867" s="16" t="s">
        <v>22</v>
      </c>
      <c r="P867" s="16" t="s">
        <v>24</v>
      </c>
      <c r="Q867" s="10" t="s">
        <v>761</v>
      </c>
      <c r="R867" s="3" t="str">
        <f t="shared" si="26"/>
        <v>111</v>
      </c>
      <c r="S867" s="3" t="str">
        <f t="shared" si="27"/>
        <v>77</v>
      </c>
      <c r="T867" s="16" t="s">
        <v>33</v>
      </c>
      <c r="U867" s="3">
        <v>13.99</v>
      </c>
      <c r="V867" s="16" t="str">
        <f>PROPER(Table1[[#This Row],[CVD Risk Level]])</f>
        <v>Intermediary</v>
      </c>
    </row>
    <row r="868" spans="1:22" x14ac:dyDescent="0.3">
      <c r="A868" t="s">
        <v>20</v>
      </c>
      <c r="B868" s="8">
        <v>43</v>
      </c>
      <c r="C868" s="8">
        <v>58</v>
      </c>
      <c r="D868" s="5">
        <v>1.85</v>
      </c>
      <c r="E868" s="5">
        <v>16.899999999999999</v>
      </c>
      <c r="F868" s="16" t="s">
        <v>1304</v>
      </c>
      <c r="G868" s="11">
        <v>0.40300000000000002</v>
      </c>
      <c r="H868" s="5">
        <v>74.599999999999994</v>
      </c>
      <c r="I868" s="8">
        <v>78</v>
      </c>
      <c r="J868" s="8">
        <v>110</v>
      </c>
      <c r="K868" s="8">
        <v>218</v>
      </c>
      <c r="L868" s="8">
        <v>88</v>
      </c>
      <c r="M868" t="s">
        <v>33</v>
      </c>
      <c r="N868" s="16" t="s">
        <v>22</v>
      </c>
      <c r="O868" s="16" t="s">
        <v>22</v>
      </c>
      <c r="P868" s="16" t="s">
        <v>37</v>
      </c>
      <c r="Q868" s="10" t="s">
        <v>762</v>
      </c>
      <c r="R868" s="3" t="str">
        <f t="shared" si="26"/>
        <v>102</v>
      </c>
      <c r="S868" s="3" t="str">
        <f t="shared" si="27"/>
        <v>92</v>
      </c>
      <c r="T868" s="16" t="s">
        <v>38</v>
      </c>
      <c r="U868" s="3">
        <v>16.960925291295425</v>
      </c>
      <c r="V868" s="16" t="str">
        <f>PROPER(Table1[[#This Row],[CVD Risk Level]])</f>
        <v>Low</v>
      </c>
    </row>
    <row r="869" spans="1:22" x14ac:dyDescent="0.3">
      <c r="A869" t="s">
        <v>20</v>
      </c>
      <c r="B869" s="8">
        <v>50</v>
      </c>
      <c r="C869" s="8">
        <v>90.8</v>
      </c>
      <c r="D869" s="5">
        <v>1.86</v>
      </c>
      <c r="E869" s="5">
        <v>26.2</v>
      </c>
      <c r="F869" s="16" t="s">
        <v>1303</v>
      </c>
      <c r="G869" s="11">
        <v>0.38200000000000001</v>
      </c>
      <c r="H869" s="5">
        <v>71.099999999999994</v>
      </c>
      <c r="I869" s="8">
        <v>56.197377501725327</v>
      </c>
      <c r="J869" s="8">
        <v>28</v>
      </c>
      <c r="K869" s="8">
        <v>100</v>
      </c>
      <c r="L869" s="8">
        <v>121</v>
      </c>
      <c r="M869" t="s">
        <v>1306</v>
      </c>
      <c r="N869" s="16" t="s">
        <v>22</v>
      </c>
      <c r="O869" s="16" t="s">
        <v>22</v>
      </c>
      <c r="P869" s="16" t="s">
        <v>24</v>
      </c>
      <c r="Q869" s="10" t="s">
        <v>423</v>
      </c>
      <c r="R869" s="3" t="str">
        <f t="shared" si="26"/>
        <v>141</v>
      </c>
      <c r="S869" s="3" t="str">
        <f t="shared" si="27"/>
        <v>70</v>
      </c>
      <c r="T869" s="16" t="s">
        <v>38</v>
      </c>
      <c r="U869" s="3">
        <v>14.29</v>
      </c>
      <c r="V869" s="16" t="str">
        <f>PROPER(Table1[[#This Row],[CVD Risk Level]])</f>
        <v>Intermediary</v>
      </c>
    </row>
    <row r="870" spans="1:22" x14ac:dyDescent="0.3">
      <c r="A870" t="s">
        <v>31</v>
      </c>
      <c r="B870" s="8">
        <v>59</v>
      </c>
      <c r="C870" s="8">
        <v>70.5</v>
      </c>
      <c r="D870" s="5">
        <v>1.61</v>
      </c>
      <c r="E870" s="5">
        <v>27.2</v>
      </c>
      <c r="F870" s="16" t="s">
        <v>1303</v>
      </c>
      <c r="G870" s="11">
        <v>0.66600000000000004</v>
      </c>
      <c r="H870" s="5">
        <v>107.3</v>
      </c>
      <c r="I870" s="8">
        <v>71</v>
      </c>
      <c r="J870" s="8">
        <v>118</v>
      </c>
      <c r="K870" s="8">
        <v>219</v>
      </c>
      <c r="L870" s="8">
        <v>140</v>
      </c>
      <c r="M870" t="s">
        <v>1307</v>
      </c>
      <c r="N870" s="16" t="s">
        <v>23</v>
      </c>
      <c r="O870" s="16" t="s">
        <v>22</v>
      </c>
      <c r="P870" s="16" t="s">
        <v>24</v>
      </c>
      <c r="Q870" s="10" t="s">
        <v>763</v>
      </c>
      <c r="R870" s="3" t="str">
        <f t="shared" si="26"/>
        <v>122</v>
      </c>
      <c r="S870" s="3" t="str">
        <f t="shared" si="27"/>
        <v>94</v>
      </c>
      <c r="T870" s="16" t="s">
        <v>38</v>
      </c>
      <c r="U870" s="3">
        <v>15.92</v>
      </c>
      <c r="V870" s="16" t="str">
        <f>PROPER(Table1[[#This Row],[CVD Risk Level]])</f>
        <v>High</v>
      </c>
    </row>
    <row r="871" spans="1:22" x14ac:dyDescent="0.3">
      <c r="A871" t="s">
        <v>31</v>
      </c>
      <c r="B871" s="8">
        <v>34</v>
      </c>
      <c r="C871" s="8">
        <v>110.9</v>
      </c>
      <c r="D871" s="5">
        <v>1.71</v>
      </c>
      <c r="E871" s="5">
        <v>37.9</v>
      </c>
      <c r="F871" s="16" t="s">
        <v>1302</v>
      </c>
      <c r="G871" s="11">
        <v>0.41199999999999998</v>
      </c>
      <c r="H871" s="5">
        <v>70.5</v>
      </c>
      <c r="I871" s="8">
        <v>63</v>
      </c>
      <c r="J871" s="8">
        <v>205</v>
      </c>
      <c r="K871" s="8">
        <v>298</v>
      </c>
      <c r="L871" s="8">
        <v>120</v>
      </c>
      <c r="M871" t="s">
        <v>1306</v>
      </c>
      <c r="N871" s="16" t="s">
        <v>22</v>
      </c>
      <c r="O871" s="16" t="s">
        <v>23</v>
      </c>
      <c r="P871" s="16" t="s">
        <v>24</v>
      </c>
      <c r="Q871" s="10" t="s">
        <v>177</v>
      </c>
      <c r="R871" s="3" t="str">
        <f t="shared" si="26"/>
        <v>127</v>
      </c>
      <c r="S871" s="3" t="str">
        <f t="shared" si="27"/>
        <v>77</v>
      </c>
      <c r="T871" s="16" t="s">
        <v>25</v>
      </c>
      <c r="U871" s="3">
        <v>21.89</v>
      </c>
      <c r="V871" s="16" t="str">
        <f>PROPER(Table1[[#This Row],[CVD Risk Level]])</f>
        <v>High</v>
      </c>
    </row>
    <row r="872" spans="1:22" x14ac:dyDescent="0.3">
      <c r="A872" t="s">
        <v>31</v>
      </c>
      <c r="B872" s="8">
        <v>52</v>
      </c>
      <c r="C872" s="8">
        <v>57.266190000000009</v>
      </c>
      <c r="D872" s="5">
        <v>1.83</v>
      </c>
      <c r="E872" s="5">
        <v>17.100000000000001</v>
      </c>
      <c r="F872" s="16" t="s">
        <v>1304</v>
      </c>
      <c r="G872" s="11">
        <v>0.434</v>
      </c>
      <c r="H872" s="5">
        <v>79.400000000000006</v>
      </c>
      <c r="I872" s="8">
        <v>55</v>
      </c>
      <c r="J872" s="8">
        <v>160</v>
      </c>
      <c r="K872" s="8">
        <v>245</v>
      </c>
      <c r="L872" s="8">
        <v>148</v>
      </c>
      <c r="M872" t="s">
        <v>1307</v>
      </c>
      <c r="N872" s="16" t="s">
        <v>22</v>
      </c>
      <c r="O872" s="16" t="s">
        <v>22</v>
      </c>
      <c r="P872" s="16" t="s">
        <v>24</v>
      </c>
      <c r="Q872" s="10" t="s">
        <v>764</v>
      </c>
      <c r="R872" s="3" t="str">
        <f t="shared" si="26"/>
        <v>132</v>
      </c>
      <c r="S872" s="3" t="str">
        <f t="shared" si="27"/>
        <v>77</v>
      </c>
      <c r="T872" s="16" t="s">
        <v>29</v>
      </c>
      <c r="U872" s="3">
        <v>14.92</v>
      </c>
      <c r="V872" s="16" t="str">
        <f>PROPER(Table1[[#This Row],[CVD Risk Level]])</f>
        <v>High</v>
      </c>
    </row>
    <row r="873" spans="1:22" x14ac:dyDescent="0.3">
      <c r="A873" t="s">
        <v>31</v>
      </c>
      <c r="B873" s="8">
        <v>36</v>
      </c>
      <c r="C873" s="8">
        <v>62.1</v>
      </c>
      <c r="D873" s="5">
        <v>1.73</v>
      </c>
      <c r="E873" s="5">
        <v>20.7</v>
      </c>
      <c r="F873" s="16" t="s">
        <v>33</v>
      </c>
      <c r="G873" s="11">
        <v>0.47399999999999998</v>
      </c>
      <c r="H873" s="5">
        <v>82</v>
      </c>
      <c r="I873" s="8">
        <v>34</v>
      </c>
      <c r="J873" s="8">
        <v>86</v>
      </c>
      <c r="K873" s="8">
        <v>150</v>
      </c>
      <c r="L873" s="8">
        <v>117.48563611491107</v>
      </c>
      <c r="M873" t="s">
        <v>1306</v>
      </c>
      <c r="N873" s="16" t="s">
        <v>22</v>
      </c>
      <c r="O873" s="16" t="s">
        <v>22</v>
      </c>
      <c r="P873" s="16" t="s">
        <v>37</v>
      </c>
      <c r="Q873" s="10" t="s">
        <v>765</v>
      </c>
      <c r="R873" s="3" t="str">
        <f t="shared" si="26"/>
        <v>91</v>
      </c>
      <c r="S873" s="3" t="str">
        <f t="shared" si="27"/>
        <v>91</v>
      </c>
      <c r="T873" s="16" t="s">
        <v>38</v>
      </c>
      <c r="U873" s="3">
        <v>11.69</v>
      </c>
      <c r="V873" s="16" t="str">
        <f>PROPER(Table1[[#This Row],[CVD Risk Level]])</f>
        <v>Low</v>
      </c>
    </row>
    <row r="874" spans="1:22" x14ac:dyDescent="0.3">
      <c r="A874" t="s">
        <v>31</v>
      </c>
      <c r="B874" s="8">
        <v>33</v>
      </c>
      <c r="C874" s="8">
        <v>108.7</v>
      </c>
      <c r="D874" s="5">
        <v>1.86</v>
      </c>
      <c r="E874" s="5">
        <v>31.419817319921375</v>
      </c>
      <c r="F874" s="16" t="s">
        <v>1302</v>
      </c>
      <c r="G874" s="11">
        <v>0.52100000000000002</v>
      </c>
      <c r="H874" s="5">
        <v>96.9</v>
      </c>
      <c r="I874" s="8">
        <v>47</v>
      </c>
      <c r="J874" s="8">
        <v>173</v>
      </c>
      <c r="K874" s="8">
        <v>250</v>
      </c>
      <c r="L874" s="8">
        <v>106</v>
      </c>
      <c r="M874" t="s">
        <v>1306</v>
      </c>
      <c r="N874" s="16" t="s">
        <v>22</v>
      </c>
      <c r="O874" s="16" t="s">
        <v>22</v>
      </c>
      <c r="P874" s="16" t="s">
        <v>24</v>
      </c>
      <c r="Q874" s="10" t="s">
        <v>165</v>
      </c>
      <c r="R874" s="3" t="str">
        <f t="shared" si="26"/>
        <v>130</v>
      </c>
      <c r="S874" s="3" t="str">
        <f t="shared" si="27"/>
        <v>95</v>
      </c>
      <c r="T874" s="16" t="s">
        <v>29</v>
      </c>
      <c r="U874" s="3">
        <v>17.78</v>
      </c>
      <c r="V874" s="16" t="str">
        <f>PROPER(Table1[[#This Row],[CVD Risk Level]])</f>
        <v>High</v>
      </c>
    </row>
    <row r="875" spans="1:22" x14ac:dyDescent="0.3">
      <c r="A875" t="s">
        <v>20</v>
      </c>
      <c r="B875" s="8">
        <v>59</v>
      </c>
      <c r="C875" s="8">
        <v>91.2</v>
      </c>
      <c r="D875" s="5">
        <v>1.89</v>
      </c>
      <c r="E875" s="5">
        <v>25.5</v>
      </c>
      <c r="F875" s="16" t="s">
        <v>1303</v>
      </c>
      <c r="G875" s="11">
        <v>0.56299999999999994</v>
      </c>
      <c r="H875" s="5">
        <v>106.5</v>
      </c>
      <c r="I875" s="8">
        <v>30</v>
      </c>
      <c r="J875" s="8">
        <v>226</v>
      </c>
      <c r="K875" s="8">
        <v>286</v>
      </c>
      <c r="L875" s="8">
        <v>117.48563611491107</v>
      </c>
      <c r="M875" t="s">
        <v>1306</v>
      </c>
      <c r="N875" s="16" t="s">
        <v>23</v>
      </c>
      <c r="O875" s="16" t="s">
        <v>22</v>
      </c>
      <c r="P875" s="16" t="s">
        <v>28</v>
      </c>
      <c r="Q875" s="10" t="s">
        <v>766</v>
      </c>
      <c r="R875" s="3" t="str">
        <f t="shared" si="26"/>
        <v>95</v>
      </c>
      <c r="S875" s="3" t="str">
        <f t="shared" si="27"/>
        <v>89</v>
      </c>
      <c r="T875" s="16" t="s">
        <v>29</v>
      </c>
      <c r="U875" s="3">
        <v>16.960925291295425</v>
      </c>
      <c r="V875" s="16" t="str">
        <f>PROPER(Table1[[#This Row],[CVD Risk Level]])</f>
        <v>High</v>
      </c>
    </row>
    <row r="876" spans="1:22" x14ac:dyDescent="0.3">
      <c r="A876" t="s">
        <v>31</v>
      </c>
      <c r="B876" s="8">
        <v>52</v>
      </c>
      <c r="C876" s="8">
        <v>83.2</v>
      </c>
      <c r="D876" s="5">
        <v>1.86</v>
      </c>
      <c r="E876" s="5">
        <v>24</v>
      </c>
      <c r="F876" s="16" t="s">
        <v>33</v>
      </c>
      <c r="G876" s="11">
        <v>0.58199999999999996</v>
      </c>
      <c r="H876" s="5">
        <v>108.2</v>
      </c>
      <c r="I876" s="8">
        <v>42</v>
      </c>
      <c r="J876" s="8">
        <v>57</v>
      </c>
      <c r="K876" s="8">
        <v>129</v>
      </c>
      <c r="L876" s="8">
        <v>83</v>
      </c>
      <c r="M876" t="s">
        <v>33</v>
      </c>
      <c r="N876" s="16" t="s">
        <v>22</v>
      </c>
      <c r="O876" s="16" t="s">
        <v>22</v>
      </c>
      <c r="P876" s="16" t="s">
        <v>37</v>
      </c>
      <c r="Q876" s="10" t="s">
        <v>767</v>
      </c>
      <c r="R876" s="3" t="str">
        <f t="shared" si="26"/>
        <v>143</v>
      </c>
      <c r="S876" s="3" t="str">
        <f t="shared" si="27"/>
        <v>81</v>
      </c>
      <c r="T876" s="16" t="s">
        <v>29</v>
      </c>
      <c r="U876" s="3">
        <v>14.53</v>
      </c>
      <c r="V876" s="16" t="str">
        <f>PROPER(Table1[[#This Row],[CVD Risk Level]])</f>
        <v>Low</v>
      </c>
    </row>
    <row r="877" spans="1:22" x14ac:dyDescent="0.3">
      <c r="A877" t="s">
        <v>31</v>
      </c>
      <c r="B877" s="8">
        <v>50</v>
      </c>
      <c r="C877" s="8">
        <v>87.4</v>
      </c>
      <c r="D877" s="5">
        <v>1.77</v>
      </c>
      <c r="E877" s="5">
        <v>27.9</v>
      </c>
      <c r="F877" s="16" t="s">
        <v>1303</v>
      </c>
      <c r="G877" s="11">
        <v>0.44700000000000001</v>
      </c>
      <c r="H877" s="5">
        <v>79.2</v>
      </c>
      <c r="I877" s="8">
        <v>35</v>
      </c>
      <c r="J877" s="8">
        <v>222</v>
      </c>
      <c r="K877" s="8">
        <v>287</v>
      </c>
      <c r="L877" s="8">
        <v>117</v>
      </c>
      <c r="M877" t="s">
        <v>1306</v>
      </c>
      <c r="N877" s="16" t="s">
        <v>22</v>
      </c>
      <c r="O877" s="16" t="s">
        <v>23</v>
      </c>
      <c r="P877" s="16" t="s">
        <v>37</v>
      </c>
      <c r="Q877" s="10" t="s">
        <v>768</v>
      </c>
      <c r="R877" s="3" t="str">
        <f t="shared" si="26"/>
        <v>94</v>
      </c>
      <c r="S877" s="3" t="str">
        <f t="shared" si="27"/>
        <v>69</v>
      </c>
      <c r="T877" s="16" t="s">
        <v>33</v>
      </c>
      <c r="U877" s="3">
        <v>16.960925291295425</v>
      </c>
      <c r="V877" s="16" t="str">
        <f>PROPER(Table1[[#This Row],[CVD Risk Level]])</f>
        <v>High</v>
      </c>
    </row>
    <row r="878" spans="1:22" x14ac:dyDescent="0.3">
      <c r="A878" t="s">
        <v>31</v>
      </c>
      <c r="B878" s="8">
        <v>41</v>
      </c>
      <c r="C878" s="8">
        <v>52.1</v>
      </c>
      <c r="D878" s="5">
        <v>1.65</v>
      </c>
      <c r="E878" s="5">
        <v>19.100000000000001</v>
      </c>
      <c r="F878" s="16" t="s">
        <v>33</v>
      </c>
      <c r="G878" s="11">
        <v>0.49199999999999999</v>
      </c>
      <c r="H878" s="5">
        <v>81.2</v>
      </c>
      <c r="I878" s="8">
        <v>54</v>
      </c>
      <c r="J878" s="8">
        <v>35</v>
      </c>
      <c r="K878" s="8">
        <v>119</v>
      </c>
      <c r="L878" s="8">
        <v>97</v>
      </c>
      <c r="M878" t="s">
        <v>33</v>
      </c>
      <c r="N878" s="16" t="s">
        <v>23</v>
      </c>
      <c r="O878" s="16" t="s">
        <v>22</v>
      </c>
      <c r="P878" s="16" t="s">
        <v>28</v>
      </c>
      <c r="Q878" s="10" t="s">
        <v>494</v>
      </c>
      <c r="R878" s="3" t="str">
        <f t="shared" si="26"/>
        <v>102</v>
      </c>
      <c r="S878" s="3" t="str">
        <f t="shared" si="27"/>
        <v>62</v>
      </c>
      <c r="T878" s="16" t="s">
        <v>33</v>
      </c>
      <c r="U878" s="3">
        <v>11.3</v>
      </c>
      <c r="V878" s="16" t="str">
        <f>PROPER(Table1[[#This Row],[CVD Risk Level]])</f>
        <v>Intermediary</v>
      </c>
    </row>
    <row r="879" spans="1:22" x14ac:dyDescent="0.3">
      <c r="A879" t="s">
        <v>31</v>
      </c>
      <c r="B879" s="8">
        <v>47</v>
      </c>
      <c r="C879" s="8">
        <v>109.3</v>
      </c>
      <c r="D879" s="5">
        <v>1.67</v>
      </c>
      <c r="E879" s="5">
        <v>39.200000000000003</v>
      </c>
      <c r="F879" s="16" t="s">
        <v>1302</v>
      </c>
      <c r="G879" s="11">
        <v>0.57599999999999996</v>
      </c>
      <c r="H879" s="5">
        <v>96.2</v>
      </c>
      <c r="I879" s="8">
        <v>30</v>
      </c>
      <c r="J879" s="8">
        <v>49</v>
      </c>
      <c r="K879" s="8">
        <v>109</v>
      </c>
      <c r="L879" s="8">
        <v>130</v>
      </c>
      <c r="M879" t="s">
        <v>1307</v>
      </c>
      <c r="N879" s="16" t="s">
        <v>22</v>
      </c>
      <c r="O879" s="16" t="s">
        <v>22</v>
      </c>
      <c r="P879" s="16" t="s">
        <v>24</v>
      </c>
      <c r="Q879" s="10" t="s">
        <v>769</v>
      </c>
      <c r="R879" s="3" t="str">
        <f t="shared" si="26"/>
        <v>141</v>
      </c>
      <c r="S879" s="3" t="str">
        <f t="shared" si="27"/>
        <v>63</v>
      </c>
      <c r="T879" s="16" t="s">
        <v>38</v>
      </c>
      <c r="U879" s="3">
        <v>17.07</v>
      </c>
      <c r="V879" s="16" t="str">
        <f>PROPER(Table1[[#This Row],[CVD Risk Level]])</f>
        <v>High</v>
      </c>
    </row>
    <row r="880" spans="1:22" x14ac:dyDescent="0.3">
      <c r="A880" t="s">
        <v>20</v>
      </c>
      <c r="B880" s="8">
        <v>56</v>
      </c>
      <c r="C880" s="8">
        <v>67.099999999999994</v>
      </c>
      <c r="D880" s="5">
        <v>1.85</v>
      </c>
      <c r="E880" s="5">
        <v>19.600000000000001</v>
      </c>
      <c r="F880" s="16" t="s">
        <v>33</v>
      </c>
      <c r="G880" s="11">
        <v>0.52300000000000002</v>
      </c>
      <c r="H880" s="5">
        <v>96.8</v>
      </c>
      <c r="I880" s="8">
        <v>40</v>
      </c>
      <c r="J880" s="8">
        <v>114</v>
      </c>
      <c r="K880" s="8">
        <v>184</v>
      </c>
      <c r="L880" s="8">
        <v>82</v>
      </c>
      <c r="M880" t="s">
        <v>33</v>
      </c>
      <c r="N880" s="16" t="s">
        <v>22</v>
      </c>
      <c r="O880" s="16" t="s">
        <v>22</v>
      </c>
      <c r="P880" s="16" t="s">
        <v>28</v>
      </c>
      <c r="Q880" s="10" t="s">
        <v>770</v>
      </c>
      <c r="R880" s="3" t="str">
        <f t="shared" si="26"/>
        <v>111</v>
      </c>
      <c r="S880" s="3" t="str">
        <f t="shared" si="27"/>
        <v>72</v>
      </c>
      <c r="T880" s="16" t="s">
        <v>33</v>
      </c>
      <c r="U880" s="3">
        <v>13.15</v>
      </c>
      <c r="V880" s="16" t="str">
        <f>PROPER(Table1[[#This Row],[CVD Risk Level]])</f>
        <v>Intermediary</v>
      </c>
    </row>
    <row r="881" spans="1:22" x14ac:dyDescent="0.3">
      <c r="A881" t="s">
        <v>20</v>
      </c>
      <c r="B881" s="8">
        <v>45</v>
      </c>
      <c r="C881" s="8">
        <v>64.3</v>
      </c>
      <c r="D881" s="5">
        <v>1.89</v>
      </c>
      <c r="E881" s="5">
        <v>18</v>
      </c>
      <c r="F881" s="16" t="s">
        <v>1304</v>
      </c>
      <c r="G881" s="11">
        <v>0.57499999999999996</v>
      </c>
      <c r="H881" s="5">
        <v>108.6</v>
      </c>
      <c r="I881" s="8">
        <v>55</v>
      </c>
      <c r="J881" s="8">
        <v>176</v>
      </c>
      <c r="K881" s="8">
        <v>261</v>
      </c>
      <c r="L881" s="8">
        <v>82</v>
      </c>
      <c r="M881" t="s">
        <v>33</v>
      </c>
      <c r="N881" s="16" t="s">
        <v>22</v>
      </c>
      <c r="O881" s="16" t="s">
        <v>22</v>
      </c>
      <c r="P881" s="16" t="s">
        <v>28</v>
      </c>
      <c r="Q881" s="10" t="s">
        <v>126</v>
      </c>
      <c r="R881" s="3" t="str">
        <f t="shared" si="26"/>
        <v>100</v>
      </c>
      <c r="S881" s="3" t="str">
        <f t="shared" si="27"/>
        <v>91</v>
      </c>
      <c r="T881" s="16" t="s">
        <v>38</v>
      </c>
      <c r="U881" s="3">
        <v>13.82</v>
      </c>
      <c r="V881" s="16" t="str">
        <f>PROPER(Table1[[#This Row],[CVD Risk Level]])</f>
        <v>Intermediary</v>
      </c>
    </row>
    <row r="882" spans="1:22" x14ac:dyDescent="0.3">
      <c r="A882" t="s">
        <v>31</v>
      </c>
      <c r="B882" s="8">
        <v>52</v>
      </c>
      <c r="C882" s="8">
        <v>72.599999999999994</v>
      </c>
      <c r="D882" s="5">
        <v>1.83</v>
      </c>
      <c r="E882" s="5">
        <v>21.7</v>
      </c>
      <c r="F882" s="16" t="s">
        <v>33</v>
      </c>
      <c r="G882" s="11">
        <v>0.52800000000000002</v>
      </c>
      <c r="H882" s="5">
        <v>96.7</v>
      </c>
      <c r="I882" s="8">
        <v>57</v>
      </c>
      <c r="J882" s="8">
        <v>39</v>
      </c>
      <c r="K882" s="8">
        <v>126</v>
      </c>
      <c r="L882" s="8">
        <v>97</v>
      </c>
      <c r="M882" t="s">
        <v>33</v>
      </c>
      <c r="N882" s="16" t="s">
        <v>22</v>
      </c>
      <c r="O882" s="16" t="s">
        <v>23</v>
      </c>
      <c r="P882" s="16" t="s">
        <v>37</v>
      </c>
      <c r="Q882" s="10" t="s">
        <v>771</v>
      </c>
      <c r="R882" s="3" t="str">
        <f t="shared" si="26"/>
        <v>121</v>
      </c>
      <c r="S882" s="3" t="str">
        <f t="shared" si="27"/>
        <v>65</v>
      </c>
      <c r="T882" s="16" t="s">
        <v>25</v>
      </c>
      <c r="U882" s="3">
        <v>14.91</v>
      </c>
      <c r="V882" s="16" t="str">
        <f>PROPER(Table1[[#This Row],[CVD Risk Level]])</f>
        <v>Intermediary</v>
      </c>
    </row>
    <row r="883" spans="1:22" x14ac:dyDescent="0.3">
      <c r="A883" t="s">
        <v>31</v>
      </c>
      <c r="B883" s="8">
        <v>44</v>
      </c>
      <c r="C883" s="8">
        <v>54.6</v>
      </c>
      <c r="D883" s="5">
        <v>1.84</v>
      </c>
      <c r="E883" s="5">
        <v>16.100000000000001</v>
      </c>
      <c r="F883" s="16" t="s">
        <v>1304</v>
      </c>
      <c r="G883" s="11">
        <v>0.59799999999999998</v>
      </c>
      <c r="H883" s="5">
        <v>110</v>
      </c>
      <c r="I883" s="8">
        <v>67</v>
      </c>
      <c r="J883" s="8">
        <v>180</v>
      </c>
      <c r="K883" s="8">
        <v>277</v>
      </c>
      <c r="L883" s="8">
        <v>87</v>
      </c>
      <c r="M883" t="s">
        <v>33</v>
      </c>
      <c r="N883" s="16" t="s">
        <v>23</v>
      </c>
      <c r="O883" s="16" t="s">
        <v>22</v>
      </c>
      <c r="P883" s="16" t="s">
        <v>24</v>
      </c>
      <c r="Q883" s="10" t="s">
        <v>530</v>
      </c>
      <c r="R883" s="3" t="str">
        <f t="shared" si="26"/>
        <v>147</v>
      </c>
      <c r="S883" s="3" t="str">
        <f t="shared" si="27"/>
        <v>79</v>
      </c>
      <c r="T883" s="16" t="s">
        <v>38</v>
      </c>
      <c r="U883" s="3">
        <v>16.11</v>
      </c>
      <c r="V883" s="16" t="str">
        <f>PROPER(Table1[[#This Row],[CVD Risk Level]])</f>
        <v>High</v>
      </c>
    </row>
    <row r="884" spans="1:22" x14ac:dyDescent="0.3">
      <c r="A884" t="s">
        <v>20</v>
      </c>
      <c r="B884" s="8">
        <v>31</v>
      </c>
      <c r="C884" s="8">
        <v>87</v>
      </c>
      <c r="D884" s="5">
        <v>1.66</v>
      </c>
      <c r="E884" s="5">
        <v>31.6</v>
      </c>
      <c r="F884" s="16" t="s">
        <v>1302</v>
      </c>
      <c r="G884" s="11">
        <v>0.55100000000000005</v>
      </c>
      <c r="H884" s="5">
        <v>91.5</v>
      </c>
      <c r="I884" s="8">
        <v>56</v>
      </c>
      <c r="J884" s="8">
        <v>121</v>
      </c>
      <c r="K884" s="8">
        <v>207</v>
      </c>
      <c r="L884" s="8">
        <v>82</v>
      </c>
      <c r="M884" t="s">
        <v>33</v>
      </c>
      <c r="N884" s="16" t="s">
        <v>22</v>
      </c>
      <c r="O884" s="16" t="s">
        <v>22</v>
      </c>
      <c r="P884" s="16" t="s">
        <v>24</v>
      </c>
      <c r="Q884" s="10" t="s">
        <v>296</v>
      </c>
      <c r="R884" s="3" t="str">
        <f t="shared" si="26"/>
        <v>139</v>
      </c>
      <c r="S884" s="3" t="str">
        <f t="shared" si="27"/>
        <v>81</v>
      </c>
      <c r="T884" s="16" t="s">
        <v>29</v>
      </c>
      <c r="U884" s="3">
        <v>17.41</v>
      </c>
      <c r="V884" s="16" t="str">
        <f>PROPER(Table1[[#This Row],[CVD Risk Level]])</f>
        <v>High</v>
      </c>
    </row>
    <row r="885" spans="1:22" x14ac:dyDescent="0.3">
      <c r="A885" t="s">
        <v>31</v>
      </c>
      <c r="B885" s="8">
        <v>33</v>
      </c>
      <c r="C885" s="8">
        <v>94.7</v>
      </c>
      <c r="D885" s="5">
        <v>1.79</v>
      </c>
      <c r="E885" s="5">
        <v>29.555881526793797</v>
      </c>
      <c r="F885" s="16" t="s">
        <v>1303</v>
      </c>
      <c r="G885" s="11">
        <v>0.502</v>
      </c>
      <c r="H885" s="5">
        <v>89.8</v>
      </c>
      <c r="I885" s="8">
        <v>50</v>
      </c>
      <c r="J885" s="8">
        <v>168</v>
      </c>
      <c r="K885" s="8">
        <v>248</v>
      </c>
      <c r="L885" s="8">
        <v>130</v>
      </c>
      <c r="M885" t="s">
        <v>1307</v>
      </c>
      <c r="N885" s="16" t="s">
        <v>23</v>
      </c>
      <c r="O885" s="16" t="s">
        <v>23</v>
      </c>
      <c r="P885" s="16" t="s">
        <v>37</v>
      </c>
      <c r="Q885" s="10" t="s">
        <v>772</v>
      </c>
      <c r="R885" s="3" t="str">
        <f t="shared" si="26"/>
        <v>119</v>
      </c>
      <c r="S885" s="3" t="str">
        <f t="shared" si="27"/>
        <v>60</v>
      </c>
      <c r="T885" s="16" t="s">
        <v>33</v>
      </c>
      <c r="U885" s="3">
        <v>16.960925291295425</v>
      </c>
      <c r="V885" s="16" t="str">
        <f>PROPER(Table1[[#This Row],[CVD Risk Level]])</f>
        <v>High</v>
      </c>
    </row>
    <row r="886" spans="1:22" x14ac:dyDescent="0.3">
      <c r="A886" t="s">
        <v>31</v>
      </c>
      <c r="B886" s="8">
        <v>53</v>
      </c>
      <c r="C886" s="8">
        <v>101.3</v>
      </c>
      <c r="D886" s="5">
        <v>1.73</v>
      </c>
      <c r="E886" s="5">
        <v>33.799999999999997</v>
      </c>
      <c r="F886" s="16" t="s">
        <v>1302</v>
      </c>
      <c r="G886" s="11">
        <v>0.5</v>
      </c>
      <c r="H886" s="5">
        <v>86.5</v>
      </c>
      <c r="I886" s="8">
        <v>80</v>
      </c>
      <c r="J886" s="8">
        <v>22</v>
      </c>
      <c r="K886" s="8">
        <v>132</v>
      </c>
      <c r="L886" s="8">
        <v>128</v>
      </c>
      <c r="M886" t="s">
        <v>1307</v>
      </c>
      <c r="N886" s="16" t="s">
        <v>22</v>
      </c>
      <c r="O886" s="16" t="s">
        <v>22</v>
      </c>
      <c r="P886" s="16" t="s">
        <v>28</v>
      </c>
      <c r="Q886" s="10" t="s">
        <v>773</v>
      </c>
      <c r="R886" s="3" t="str">
        <f t="shared" si="26"/>
        <v>114</v>
      </c>
      <c r="S886" s="3" t="str">
        <f t="shared" si="27"/>
        <v>86</v>
      </c>
      <c r="T886" s="16" t="s">
        <v>29</v>
      </c>
      <c r="U886" s="3">
        <v>15.1</v>
      </c>
      <c r="V886" s="16" t="str">
        <f>PROPER(Table1[[#This Row],[CVD Risk Level]])</f>
        <v>Intermediary</v>
      </c>
    </row>
    <row r="887" spans="1:22" x14ac:dyDescent="0.3">
      <c r="A887" t="s">
        <v>20</v>
      </c>
      <c r="B887" s="8">
        <v>57</v>
      </c>
      <c r="C887" s="8">
        <v>60</v>
      </c>
      <c r="D887" s="5">
        <v>1.7</v>
      </c>
      <c r="E887" s="5">
        <v>20.8</v>
      </c>
      <c r="F887" s="16" t="s">
        <v>33</v>
      </c>
      <c r="G887" s="11">
        <v>0.52200000000000002</v>
      </c>
      <c r="H887" s="5">
        <v>88.8</v>
      </c>
      <c r="I887" s="8">
        <v>78</v>
      </c>
      <c r="J887" s="8">
        <v>129</v>
      </c>
      <c r="K887" s="8">
        <v>237</v>
      </c>
      <c r="L887" s="8">
        <v>90</v>
      </c>
      <c r="M887" t="s">
        <v>33</v>
      </c>
      <c r="N887" s="16" t="s">
        <v>22</v>
      </c>
      <c r="O887" s="16" t="s">
        <v>22</v>
      </c>
      <c r="P887" s="16" t="s">
        <v>24</v>
      </c>
      <c r="Q887" s="10" t="s">
        <v>774</v>
      </c>
      <c r="R887" s="3" t="str">
        <f t="shared" si="26"/>
        <v>114</v>
      </c>
      <c r="S887" s="3" t="str">
        <f t="shared" si="27"/>
        <v>73</v>
      </c>
      <c r="T887" s="16" t="s">
        <v>33</v>
      </c>
      <c r="U887" s="3">
        <v>14.6</v>
      </c>
      <c r="V887" s="16" t="str">
        <f>PROPER(Table1[[#This Row],[CVD Risk Level]])</f>
        <v>Intermediary</v>
      </c>
    </row>
    <row r="888" spans="1:22" x14ac:dyDescent="0.3">
      <c r="A888" t="s">
        <v>31</v>
      </c>
      <c r="B888" s="8">
        <v>43</v>
      </c>
      <c r="C888" s="8">
        <v>70</v>
      </c>
      <c r="D888" s="5">
        <v>1.74</v>
      </c>
      <c r="E888" s="5">
        <v>23.1</v>
      </c>
      <c r="F888" s="16" t="s">
        <v>33</v>
      </c>
      <c r="G888" s="11">
        <v>0.55100000000000005</v>
      </c>
      <c r="H888" s="5">
        <v>95.9</v>
      </c>
      <c r="I888" s="8">
        <v>44</v>
      </c>
      <c r="J888" s="8">
        <v>109</v>
      </c>
      <c r="K888" s="8">
        <v>184</v>
      </c>
      <c r="L888" s="8">
        <v>80</v>
      </c>
      <c r="M888" t="s">
        <v>33</v>
      </c>
      <c r="N888" s="16" t="s">
        <v>23</v>
      </c>
      <c r="O888" s="16" t="s">
        <v>23</v>
      </c>
      <c r="P888" s="16" t="s">
        <v>24</v>
      </c>
      <c r="Q888" s="10" t="s">
        <v>336</v>
      </c>
      <c r="R888" s="3" t="str">
        <f t="shared" si="26"/>
        <v>99</v>
      </c>
      <c r="S888" s="3" t="str">
        <f t="shared" si="27"/>
        <v>70</v>
      </c>
      <c r="T888" s="16" t="s">
        <v>33</v>
      </c>
      <c r="U888" s="3">
        <v>15.25</v>
      </c>
      <c r="V888" s="16" t="str">
        <f>PROPER(Table1[[#This Row],[CVD Risk Level]])</f>
        <v>High</v>
      </c>
    </row>
    <row r="889" spans="1:22" x14ac:dyDescent="0.3">
      <c r="A889" t="s">
        <v>20</v>
      </c>
      <c r="B889" s="8">
        <v>58</v>
      </c>
      <c r="C889" s="8">
        <v>103.5</v>
      </c>
      <c r="D889" s="5">
        <v>1.79</v>
      </c>
      <c r="E889" s="5">
        <v>32.299999999999997</v>
      </c>
      <c r="F889" s="16" t="s">
        <v>1302</v>
      </c>
      <c r="G889" s="11">
        <v>0.56399999999999995</v>
      </c>
      <c r="H889" s="5">
        <v>101</v>
      </c>
      <c r="I889" s="8">
        <v>39</v>
      </c>
      <c r="J889" s="8">
        <v>201</v>
      </c>
      <c r="K889" s="8">
        <v>270</v>
      </c>
      <c r="L889" s="8">
        <v>84</v>
      </c>
      <c r="M889" t="s">
        <v>33</v>
      </c>
      <c r="N889" s="16" t="s">
        <v>23</v>
      </c>
      <c r="O889" s="16" t="s">
        <v>23</v>
      </c>
      <c r="P889" s="16" t="s">
        <v>28</v>
      </c>
      <c r="Q889" s="10" t="s">
        <v>775</v>
      </c>
      <c r="R889" s="3" t="str">
        <f t="shared" si="26"/>
        <v>123</v>
      </c>
      <c r="S889" s="3" t="str">
        <f t="shared" si="27"/>
        <v>76</v>
      </c>
      <c r="T889" s="16" t="s">
        <v>25</v>
      </c>
      <c r="U889" s="3">
        <v>20.010000000000002</v>
      </c>
      <c r="V889" s="16" t="str">
        <f>PROPER(Table1[[#This Row],[CVD Risk Level]])</f>
        <v>High</v>
      </c>
    </row>
    <row r="890" spans="1:22" x14ac:dyDescent="0.3">
      <c r="A890" t="s">
        <v>31</v>
      </c>
      <c r="B890" s="8">
        <v>56</v>
      </c>
      <c r="C890" s="8">
        <v>55.4</v>
      </c>
      <c r="D890" s="5">
        <v>1.87</v>
      </c>
      <c r="E890" s="5">
        <v>15.8</v>
      </c>
      <c r="F890" s="16" t="s">
        <v>1304</v>
      </c>
      <c r="G890" s="11">
        <v>0.53</v>
      </c>
      <c r="H890" s="5">
        <v>99.1</v>
      </c>
      <c r="I890" s="8">
        <v>38</v>
      </c>
      <c r="J890" s="8">
        <v>141</v>
      </c>
      <c r="K890" s="8">
        <v>209</v>
      </c>
      <c r="L890" s="8">
        <v>81</v>
      </c>
      <c r="M890" t="s">
        <v>33</v>
      </c>
      <c r="N890" s="16" t="s">
        <v>22</v>
      </c>
      <c r="O890" s="16" t="s">
        <v>22</v>
      </c>
      <c r="P890" s="16" t="s">
        <v>28</v>
      </c>
      <c r="Q890" s="10" t="s">
        <v>776</v>
      </c>
      <c r="R890" s="3" t="str">
        <f t="shared" si="26"/>
        <v>124</v>
      </c>
      <c r="S890" s="3" t="str">
        <f t="shared" si="27"/>
        <v>78</v>
      </c>
      <c r="T890" s="16" t="s">
        <v>25</v>
      </c>
      <c r="U890" s="3">
        <v>13.54</v>
      </c>
      <c r="V890" s="16" t="str">
        <f>PROPER(Table1[[#This Row],[CVD Risk Level]])</f>
        <v>Intermediary</v>
      </c>
    </row>
    <row r="891" spans="1:22" x14ac:dyDescent="0.3">
      <c r="A891" t="s">
        <v>20</v>
      </c>
      <c r="B891" s="8">
        <v>34</v>
      </c>
      <c r="C891" s="8">
        <v>89.8</v>
      </c>
      <c r="D891" s="5">
        <v>1.69</v>
      </c>
      <c r="E891" s="5">
        <v>31.441476138790662</v>
      </c>
      <c r="F891" s="16" t="s">
        <v>1302</v>
      </c>
      <c r="G891" s="11">
        <v>0.52200000000000002</v>
      </c>
      <c r="H891" s="5">
        <v>88.3</v>
      </c>
      <c r="I891" s="8">
        <v>56.197377501725327</v>
      </c>
      <c r="J891" s="8">
        <v>108</v>
      </c>
      <c r="K891" s="8">
        <v>174</v>
      </c>
      <c r="L891" s="8">
        <v>140</v>
      </c>
      <c r="M891" t="s">
        <v>1307</v>
      </c>
      <c r="N891" s="16" t="s">
        <v>22</v>
      </c>
      <c r="O891" s="16" t="s">
        <v>22</v>
      </c>
      <c r="P891" s="16" t="s">
        <v>37</v>
      </c>
      <c r="Q891" s="10" t="s">
        <v>777</v>
      </c>
      <c r="R891" s="3" t="str">
        <f t="shared" si="26"/>
        <v>109</v>
      </c>
      <c r="S891" s="3" t="str">
        <f t="shared" si="27"/>
        <v>61</v>
      </c>
      <c r="T891" s="16" t="s">
        <v>33</v>
      </c>
      <c r="U891" s="3">
        <v>15.21</v>
      </c>
      <c r="V891" s="16" t="str">
        <f>PROPER(Table1[[#This Row],[CVD Risk Level]])</f>
        <v>Intermediary</v>
      </c>
    </row>
    <row r="892" spans="1:22" x14ac:dyDescent="0.3">
      <c r="A892" t="s">
        <v>31</v>
      </c>
      <c r="B892" s="8">
        <v>34</v>
      </c>
      <c r="C892" s="8">
        <v>66.400000000000006</v>
      </c>
      <c r="D892" s="5">
        <v>1.88</v>
      </c>
      <c r="E892" s="5">
        <v>18.8</v>
      </c>
      <c r="F892" s="16" t="s">
        <v>33</v>
      </c>
      <c r="G892" s="11">
        <v>0.56499999999999995</v>
      </c>
      <c r="H892" s="5">
        <v>106.3</v>
      </c>
      <c r="I892" s="8">
        <v>65</v>
      </c>
      <c r="J892" s="8">
        <v>188</v>
      </c>
      <c r="K892" s="8">
        <v>283</v>
      </c>
      <c r="L892" s="8">
        <v>97</v>
      </c>
      <c r="M892" t="s">
        <v>33</v>
      </c>
      <c r="N892" s="16" t="s">
        <v>22</v>
      </c>
      <c r="O892" s="16" t="s">
        <v>23</v>
      </c>
      <c r="P892" s="16" t="s">
        <v>28</v>
      </c>
      <c r="Q892" s="10" t="s">
        <v>778</v>
      </c>
      <c r="R892" s="3" t="str">
        <f t="shared" si="26"/>
        <v>104</v>
      </c>
      <c r="S892" s="3" t="str">
        <f t="shared" si="27"/>
        <v>64</v>
      </c>
      <c r="T892" s="16" t="s">
        <v>33</v>
      </c>
      <c r="U892" s="3">
        <v>16.62</v>
      </c>
      <c r="V892" s="16" t="str">
        <f>PROPER(Table1[[#This Row],[CVD Risk Level]])</f>
        <v>Intermediary</v>
      </c>
    </row>
    <row r="893" spans="1:22" x14ac:dyDescent="0.3">
      <c r="A893" t="s">
        <v>20</v>
      </c>
      <c r="B893" s="8">
        <v>53</v>
      </c>
      <c r="C893" s="8">
        <v>50.7</v>
      </c>
      <c r="D893" s="5">
        <v>1.73</v>
      </c>
      <c r="E893" s="5">
        <v>16.899999999999999</v>
      </c>
      <c r="F893" s="16" t="s">
        <v>1304</v>
      </c>
      <c r="G893" s="11">
        <v>0.54300000000000004</v>
      </c>
      <c r="H893" s="5">
        <v>94</v>
      </c>
      <c r="I893" s="8">
        <v>57</v>
      </c>
      <c r="J893" s="8">
        <v>73</v>
      </c>
      <c r="K893" s="8">
        <v>160</v>
      </c>
      <c r="L893" s="8">
        <v>77</v>
      </c>
      <c r="M893" t="s">
        <v>33</v>
      </c>
      <c r="N893" s="16" t="s">
        <v>23</v>
      </c>
      <c r="O893" s="16" t="s">
        <v>23</v>
      </c>
      <c r="P893" s="16" t="s">
        <v>28</v>
      </c>
      <c r="Q893" s="10" t="s">
        <v>256</v>
      </c>
      <c r="R893" s="3" t="str">
        <f t="shared" si="26"/>
        <v>127</v>
      </c>
      <c r="S893" s="3" t="str">
        <f t="shared" si="27"/>
        <v>84</v>
      </c>
      <c r="T893" s="16" t="s">
        <v>29</v>
      </c>
      <c r="U893" s="3">
        <v>14.93</v>
      </c>
      <c r="V893" s="16" t="str">
        <f>PROPER(Table1[[#This Row],[CVD Risk Level]])</f>
        <v>Intermediary</v>
      </c>
    </row>
    <row r="894" spans="1:22" x14ac:dyDescent="0.3">
      <c r="A894" t="s">
        <v>31</v>
      </c>
      <c r="B894" s="8">
        <v>59</v>
      </c>
      <c r="C894" s="8">
        <v>98.9</v>
      </c>
      <c r="D894" s="5">
        <v>1.67</v>
      </c>
      <c r="E894" s="5">
        <v>35.5</v>
      </c>
      <c r="F894" s="16" t="s">
        <v>1302</v>
      </c>
      <c r="G894" s="11">
        <v>0.65100000000000002</v>
      </c>
      <c r="H894" s="5">
        <v>108.7</v>
      </c>
      <c r="I894" s="8">
        <v>45</v>
      </c>
      <c r="J894" s="8">
        <v>141</v>
      </c>
      <c r="K894" s="8">
        <v>216</v>
      </c>
      <c r="L894" s="8">
        <v>87</v>
      </c>
      <c r="M894" t="s">
        <v>33</v>
      </c>
      <c r="N894" s="16" t="s">
        <v>22</v>
      </c>
      <c r="O894" s="16" t="s">
        <v>23</v>
      </c>
      <c r="P894" s="16" t="s">
        <v>24</v>
      </c>
      <c r="Q894" s="10" t="s">
        <v>779</v>
      </c>
      <c r="R894" s="3" t="str">
        <f t="shared" si="26"/>
        <v>104</v>
      </c>
      <c r="S894" s="3" t="str">
        <f t="shared" si="27"/>
        <v>95</v>
      </c>
      <c r="T894" s="16" t="s">
        <v>38</v>
      </c>
      <c r="U894" s="3">
        <v>18.62</v>
      </c>
      <c r="V894" s="16" t="str">
        <f>PROPER(Table1[[#This Row],[CVD Risk Level]])</f>
        <v>High</v>
      </c>
    </row>
    <row r="895" spans="1:22" x14ac:dyDescent="0.3">
      <c r="A895" t="s">
        <v>20</v>
      </c>
      <c r="B895" s="8">
        <v>38</v>
      </c>
      <c r="C895" s="8">
        <v>76.400000000000006</v>
      </c>
      <c r="D895" s="5">
        <v>1.63</v>
      </c>
      <c r="E895" s="5">
        <v>28.8</v>
      </c>
      <c r="F895" s="16" t="s">
        <v>1303</v>
      </c>
      <c r="G895" s="11">
        <v>0.56196319018404906</v>
      </c>
      <c r="H895" s="5">
        <v>91.6</v>
      </c>
      <c r="I895" s="8">
        <v>48</v>
      </c>
      <c r="J895" s="8">
        <v>41</v>
      </c>
      <c r="K895" s="8">
        <v>119</v>
      </c>
      <c r="L895" s="8">
        <v>71</v>
      </c>
      <c r="M895" t="s">
        <v>33</v>
      </c>
      <c r="N895" s="16" t="s">
        <v>23</v>
      </c>
      <c r="O895" s="16" t="s">
        <v>23</v>
      </c>
      <c r="P895" s="16" t="s">
        <v>28</v>
      </c>
      <c r="Q895" s="10" t="s">
        <v>780</v>
      </c>
      <c r="R895" s="3" t="str">
        <f t="shared" si="26"/>
        <v>98</v>
      </c>
      <c r="S895" s="3" t="str">
        <f t="shared" si="27"/>
        <v>86</v>
      </c>
      <c r="T895" s="16" t="s">
        <v>29</v>
      </c>
      <c r="U895" s="3">
        <v>15.04</v>
      </c>
      <c r="V895" s="16" t="str">
        <f>PROPER(Table1[[#This Row],[CVD Risk Level]])</f>
        <v>Intermediary</v>
      </c>
    </row>
    <row r="896" spans="1:22" x14ac:dyDescent="0.3">
      <c r="A896" t="s">
        <v>31</v>
      </c>
      <c r="B896" s="8">
        <v>42</v>
      </c>
      <c r="C896" s="8">
        <v>55.9</v>
      </c>
      <c r="D896" s="5">
        <v>1.71</v>
      </c>
      <c r="E896" s="5">
        <v>19.100000000000001</v>
      </c>
      <c r="F896" s="16" t="s">
        <v>33</v>
      </c>
      <c r="G896" s="11">
        <v>0.61899999999999999</v>
      </c>
      <c r="H896" s="5">
        <v>105.8</v>
      </c>
      <c r="I896" s="8">
        <v>43</v>
      </c>
      <c r="J896" s="8">
        <v>223</v>
      </c>
      <c r="K896" s="8">
        <v>296</v>
      </c>
      <c r="L896" s="8">
        <v>111</v>
      </c>
      <c r="M896" t="s">
        <v>1306</v>
      </c>
      <c r="N896" s="16" t="s">
        <v>23</v>
      </c>
      <c r="O896" s="16" t="s">
        <v>23</v>
      </c>
      <c r="P896" s="16" t="s">
        <v>28</v>
      </c>
      <c r="Q896" s="10" t="s">
        <v>781</v>
      </c>
      <c r="R896" s="3" t="str">
        <f t="shared" si="26"/>
        <v>131</v>
      </c>
      <c r="S896" s="3" t="str">
        <f t="shared" si="27"/>
        <v>66</v>
      </c>
      <c r="T896" s="16" t="s">
        <v>29</v>
      </c>
      <c r="U896" s="3">
        <v>18.29</v>
      </c>
      <c r="V896" s="16" t="str">
        <f>PROPER(Table1[[#This Row],[CVD Risk Level]])</f>
        <v>High</v>
      </c>
    </row>
    <row r="897" spans="1:22" x14ac:dyDescent="0.3">
      <c r="A897" t="s">
        <v>31</v>
      </c>
      <c r="B897" s="8">
        <v>55</v>
      </c>
      <c r="C897" s="8">
        <v>55.8</v>
      </c>
      <c r="D897" s="5">
        <v>1.79</v>
      </c>
      <c r="E897" s="5">
        <v>17.399999999999999</v>
      </c>
      <c r="F897" s="16" t="s">
        <v>1304</v>
      </c>
      <c r="G897" s="11">
        <v>0.40799999999999997</v>
      </c>
      <c r="H897" s="5">
        <v>73</v>
      </c>
      <c r="I897" s="8">
        <v>54</v>
      </c>
      <c r="J897" s="8">
        <v>174</v>
      </c>
      <c r="K897" s="8">
        <v>258</v>
      </c>
      <c r="L897" s="8">
        <v>85</v>
      </c>
      <c r="M897" t="s">
        <v>33</v>
      </c>
      <c r="N897" s="16" t="s">
        <v>23</v>
      </c>
      <c r="O897" s="16" t="s">
        <v>22</v>
      </c>
      <c r="P897" s="16" t="s">
        <v>24</v>
      </c>
      <c r="Q897" s="10" t="s">
        <v>782</v>
      </c>
      <c r="R897" s="3" t="str">
        <f t="shared" si="26"/>
        <v>146</v>
      </c>
      <c r="S897" s="3" t="str">
        <f t="shared" si="27"/>
        <v>65</v>
      </c>
      <c r="T897" s="16" t="s">
        <v>38</v>
      </c>
      <c r="U897" s="3">
        <v>15.94</v>
      </c>
      <c r="V897" s="16" t="str">
        <f>PROPER(Table1[[#This Row],[CVD Risk Level]])</f>
        <v>High</v>
      </c>
    </row>
    <row r="898" spans="1:22" x14ac:dyDescent="0.3">
      <c r="A898" t="s">
        <v>31</v>
      </c>
      <c r="B898" s="8">
        <v>57</v>
      </c>
      <c r="C898" s="8">
        <v>105.1</v>
      </c>
      <c r="D898" s="5">
        <v>1.81</v>
      </c>
      <c r="E898" s="5">
        <v>32.1</v>
      </c>
      <c r="F898" s="16" t="s">
        <v>1302</v>
      </c>
      <c r="G898" s="11">
        <v>0.44800000000000001</v>
      </c>
      <c r="H898" s="5">
        <v>81</v>
      </c>
      <c r="I898" s="8">
        <v>58</v>
      </c>
      <c r="J898" s="8">
        <v>146</v>
      </c>
      <c r="K898" s="8">
        <v>234</v>
      </c>
      <c r="L898" s="8">
        <v>74</v>
      </c>
      <c r="M898" t="s">
        <v>33</v>
      </c>
      <c r="N898" s="16" t="s">
        <v>22</v>
      </c>
      <c r="O898" s="16" t="s">
        <v>23</v>
      </c>
      <c r="P898" s="16" t="s">
        <v>24</v>
      </c>
      <c r="Q898" s="10" t="s">
        <v>400</v>
      </c>
      <c r="R898" s="3" t="str">
        <f t="shared" si="26"/>
        <v>113</v>
      </c>
      <c r="S898" s="3" t="str">
        <f t="shared" si="27"/>
        <v>95</v>
      </c>
      <c r="T898" s="16" t="s">
        <v>38</v>
      </c>
      <c r="U898" s="3">
        <v>18.75</v>
      </c>
      <c r="V898" s="16" t="str">
        <f>PROPER(Table1[[#This Row],[CVD Risk Level]])</f>
        <v>High</v>
      </c>
    </row>
    <row r="899" spans="1:22" x14ac:dyDescent="0.3">
      <c r="A899" t="s">
        <v>31</v>
      </c>
      <c r="B899" s="8">
        <v>51</v>
      </c>
      <c r="C899" s="8">
        <v>56.9</v>
      </c>
      <c r="D899" s="5">
        <v>1.7</v>
      </c>
      <c r="E899" s="5">
        <v>19.7</v>
      </c>
      <c r="F899" s="16" t="s">
        <v>33</v>
      </c>
      <c r="G899" s="11">
        <v>0.443</v>
      </c>
      <c r="H899" s="5">
        <v>75.3</v>
      </c>
      <c r="I899" s="8">
        <v>32</v>
      </c>
      <c r="J899" s="8">
        <v>47</v>
      </c>
      <c r="K899" s="8">
        <v>109</v>
      </c>
      <c r="L899" s="8">
        <v>122</v>
      </c>
      <c r="M899" t="s">
        <v>1306</v>
      </c>
      <c r="N899" s="16" t="s">
        <v>22</v>
      </c>
      <c r="O899" s="16" t="s">
        <v>23</v>
      </c>
      <c r="P899" s="16" t="s">
        <v>28</v>
      </c>
      <c r="Q899" s="10" t="s">
        <v>783</v>
      </c>
      <c r="R899" s="3" t="str">
        <f t="shared" ref="R899:R962" si="28">LEFT(Q899,FIND("/",Q899)-1)</f>
        <v>141</v>
      </c>
      <c r="S899" s="3" t="str">
        <f t="shared" ref="S899:S962" si="29">RIGHT(Q899,LEN(Q899)-FIND("/",Q899))</f>
        <v>71</v>
      </c>
      <c r="T899" s="16" t="s">
        <v>38</v>
      </c>
      <c r="U899" s="3">
        <v>15.17</v>
      </c>
      <c r="V899" s="16" t="str">
        <f>PROPER(Table1[[#This Row],[CVD Risk Level]])</f>
        <v>Intermediary</v>
      </c>
    </row>
    <row r="900" spans="1:22" x14ac:dyDescent="0.3">
      <c r="A900" t="s">
        <v>20</v>
      </c>
      <c r="B900" s="8">
        <v>57</v>
      </c>
      <c r="C900" s="8">
        <v>77.2</v>
      </c>
      <c r="D900" s="5">
        <v>1.82</v>
      </c>
      <c r="E900" s="5">
        <v>23.3</v>
      </c>
      <c r="F900" s="16" t="s">
        <v>33</v>
      </c>
      <c r="G900" s="11">
        <v>0.54500000000000004</v>
      </c>
      <c r="H900" s="5">
        <v>99.2</v>
      </c>
      <c r="I900" s="8">
        <v>43</v>
      </c>
      <c r="J900" s="8">
        <v>45</v>
      </c>
      <c r="K900" s="8">
        <v>118</v>
      </c>
      <c r="L900" s="8">
        <v>120</v>
      </c>
      <c r="M900" t="s">
        <v>1306</v>
      </c>
      <c r="N900" s="16" t="s">
        <v>23</v>
      </c>
      <c r="O900" s="16" t="s">
        <v>22</v>
      </c>
      <c r="P900" s="16" t="s">
        <v>37</v>
      </c>
      <c r="Q900" s="10" t="s">
        <v>784</v>
      </c>
      <c r="R900" s="3" t="str">
        <f t="shared" si="28"/>
        <v>130</v>
      </c>
      <c r="S900" s="3" t="str">
        <f t="shared" si="29"/>
        <v>61</v>
      </c>
      <c r="T900" s="16" t="s">
        <v>29</v>
      </c>
      <c r="U900" s="3">
        <v>13.52</v>
      </c>
      <c r="V900" s="16" t="str">
        <f>PROPER(Table1[[#This Row],[CVD Risk Level]])</f>
        <v>Intermediary</v>
      </c>
    </row>
    <row r="901" spans="1:22" x14ac:dyDescent="0.3">
      <c r="A901" t="s">
        <v>20</v>
      </c>
      <c r="B901" s="8">
        <v>34</v>
      </c>
      <c r="C901" s="8">
        <v>118.8</v>
      </c>
      <c r="D901" s="5">
        <v>1.61</v>
      </c>
      <c r="E901" s="5">
        <v>45.8</v>
      </c>
      <c r="F901" s="16" t="s">
        <v>1302</v>
      </c>
      <c r="G901" s="11">
        <v>0.63354037267080743</v>
      </c>
      <c r="H901" s="5">
        <v>102</v>
      </c>
      <c r="I901" s="8">
        <v>59</v>
      </c>
      <c r="J901" s="8">
        <v>147</v>
      </c>
      <c r="K901" s="8">
        <v>236</v>
      </c>
      <c r="L901" s="8">
        <v>117.48563611491107</v>
      </c>
      <c r="M901" t="s">
        <v>1306</v>
      </c>
      <c r="N901" s="16" t="s">
        <v>23</v>
      </c>
      <c r="O901" s="16" t="s">
        <v>23</v>
      </c>
      <c r="P901" s="16" t="s">
        <v>24</v>
      </c>
      <c r="Q901" s="10" t="s">
        <v>759</v>
      </c>
      <c r="R901" s="3" t="str">
        <f t="shared" si="28"/>
        <v>118</v>
      </c>
      <c r="S901" s="3" t="str">
        <f t="shared" si="29"/>
        <v>67</v>
      </c>
      <c r="T901" s="16" t="s">
        <v>33</v>
      </c>
      <c r="U901" s="3">
        <v>21.78</v>
      </c>
      <c r="V901" s="16" t="str">
        <f>PROPER(Table1[[#This Row],[CVD Risk Level]])</f>
        <v>High</v>
      </c>
    </row>
    <row r="902" spans="1:22" x14ac:dyDescent="0.3">
      <c r="A902" t="s">
        <v>31</v>
      </c>
      <c r="B902" s="8">
        <v>36</v>
      </c>
      <c r="C902" s="8">
        <v>61.2</v>
      </c>
      <c r="D902" s="5">
        <v>1.62</v>
      </c>
      <c r="E902" s="5">
        <v>23.3</v>
      </c>
      <c r="F902" s="16" t="s">
        <v>33</v>
      </c>
      <c r="G902" s="11">
        <v>0.6</v>
      </c>
      <c r="H902" s="5">
        <v>97.2</v>
      </c>
      <c r="I902" s="8">
        <v>78</v>
      </c>
      <c r="J902" s="8">
        <v>109</v>
      </c>
      <c r="K902" s="8">
        <v>219</v>
      </c>
      <c r="L902" s="8">
        <v>117.48563611491107</v>
      </c>
      <c r="M902" t="s">
        <v>1306</v>
      </c>
      <c r="N902" s="16" t="s">
        <v>22</v>
      </c>
      <c r="O902" s="16" t="s">
        <v>22</v>
      </c>
      <c r="P902" s="16" t="s">
        <v>37</v>
      </c>
      <c r="Q902" s="10" t="s">
        <v>785</v>
      </c>
      <c r="R902" s="3" t="str">
        <f t="shared" si="28"/>
        <v>140</v>
      </c>
      <c r="S902" s="3" t="str">
        <f t="shared" si="29"/>
        <v>67</v>
      </c>
      <c r="T902" s="16" t="s">
        <v>38</v>
      </c>
      <c r="U902" s="3">
        <v>16.04</v>
      </c>
      <c r="V902" s="16" t="str">
        <f>PROPER(Table1[[#This Row],[CVD Risk Level]])</f>
        <v>Intermediary</v>
      </c>
    </row>
    <row r="903" spans="1:22" x14ac:dyDescent="0.3">
      <c r="A903" t="s">
        <v>20</v>
      </c>
      <c r="B903" s="8">
        <v>42</v>
      </c>
      <c r="C903" s="8">
        <v>84.6</v>
      </c>
      <c r="D903" s="5">
        <v>1.6709515875454897</v>
      </c>
      <c r="E903" s="5">
        <v>30.3</v>
      </c>
      <c r="F903" s="16" t="s">
        <v>1302</v>
      </c>
      <c r="G903" s="11">
        <v>0.46600000000000003</v>
      </c>
      <c r="H903" s="5">
        <v>77.900000000000006</v>
      </c>
      <c r="I903" s="8">
        <v>70</v>
      </c>
      <c r="J903" s="8">
        <v>136</v>
      </c>
      <c r="K903" s="8">
        <v>236</v>
      </c>
      <c r="L903" s="8">
        <v>126</v>
      </c>
      <c r="M903" t="s">
        <v>1307</v>
      </c>
      <c r="N903" s="16" t="s">
        <v>22</v>
      </c>
      <c r="O903" s="16" t="s">
        <v>23</v>
      </c>
      <c r="P903" s="16" t="s">
        <v>28</v>
      </c>
      <c r="Q903" s="10" t="s">
        <v>786</v>
      </c>
      <c r="R903" s="3" t="str">
        <f t="shared" si="28"/>
        <v>104</v>
      </c>
      <c r="S903" s="3" t="str">
        <f t="shared" si="29"/>
        <v>62</v>
      </c>
      <c r="T903" s="16" t="s">
        <v>33</v>
      </c>
      <c r="U903" s="3">
        <v>17.98</v>
      </c>
      <c r="V903" s="16" t="str">
        <f>PROPER(Table1[[#This Row],[CVD Risk Level]])</f>
        <v>High</v>
      </c>
    </row>
    <row r="904" spans="1:22" x14ac:dyDescent="0.3">
      <c r="A904" t="s">
        <v>20</v>
      </c>
      <c r="B904" s="8">
        <v>35</v>
      </c>
      <c r="C904" s="8">
        <v>109.1</v>
      </c>
      <c r="D904" s="5">
        <v>1.81</v>
      </c>
      <c r="E904" s="5">
        <v>33.299999999999997</v>
      </c>
      <c r="F904" s="16" t="s">
        <v>1302</v>
      </c>
      <c r="G904" s="11">
        <v>0.50800000000000001</v>
      </c>
      <c r="H904" s="5">
        <v>91.9</v>
      </c>
      <c r="I904" s="8">
        <v>56</v>
      </c>
      <c r="J904" s="8">
        <v>34</v>
      </c>
      <c r="K904" s="8">
        <v>120</v>
      </c>
      <c r="L904" s="8">
        <v>149</v>
      </c>
      <c r="M904" t="s">
        <v>1307</v>
      </c>
      <c r="N904" s="16" t="s">
        <v>22</v>
      </c>
      <c r="O904" s="16" t="s">
        <v>22</v>
      </c>
      <c r="P904" s="16" t="s">
        <v>28</v>
      </c>
      <c r="Q904" s="10" t="s">
        <v>241</v>
      </c>
      <c r="R904" s="3" t="str">
        <f t="shared" si="28"/>
        <v>127</v>
      </c>
      <c r="S904" s="3" t="str">
        <f t="shared" si="29"/>
        <v>71</v>
      </c>
      <c r="T904" s="16" t="s">
        <v>25</v>
      </c>
      <c r="U904" s="3">
        <v>15.41</v>
      </c>
      <c r="V904" s="16" t="str">
        <f>PROPER(Table1[[#This Row],[CVD Risk Level]])</f>
        <v>Low</v>
      </c>
    </row>
    <row r="905" spans="1:22" x14ac:dyDescent="0.3">
      <c r="A905" t="s">
        <v>20</v>
      </c>
      <c r="B905" s="8">
        <v>47.025499655410059</v>
      </c>
      <c r="C905" s="8">
        <v>110.2</v>
      </c>
      <c r="D905" s="5">
        <v>1.77</v>
      </c>
      <c r="E905" s="5">
        <v>35.200000000000003</v>
      </c>
      <c r="F905" s="16" t="s">
        <v>1302</v>
      </c>
      <c r="G905" s="11">
        <v>0.57599999999999996</v>
      </c>
      <c r="H905" s="5">
        <v>102</v>
      </c>
      <c r="I905" s="8">
        <v>67</v>
      </c>
      <c r="J905" s="8">
        <v>150</v>
      </c>
      <c r="K905" s="8">
        <v>247</v>
      </c>
      <c r="L905" s="8">
        <v>106</v>
      </c>
      <c r="M905" t="s">
        <v>1306</v>
      </c>
      <c r="N905" s="16" t="s">
        <v>23</v>
      </c>
      <c r="O905" s="16" t="s">
        <v>22</v>
      </c>
      <c r="P905" s="16" t="s">
        <v>28</v>
      </c>
      <c r="Q905" s="10" t="s">
        <v>787</v>
      </c>
      <c r="R905" s="3" t="str">
        <f t="shared" si="28"/>
        <v>92</v>
      </c>
      <c r="S905" s="3" t="str">
        <f t="shared" si="29"/>
        <v>100</v>
      </c>
      <c r="T905" s="16" t="s">
        <v>38</v>
      </c>
      <c r="U905" s="3">
        <v>16.579999999999998</v>
      </c>
      <c r="V905" s="16" t="str">
        <f>PROPER(Table1[[#This Row],[CVD Risk Level]])</f>
        <v>High</v>
      </c>
    </row>
    <row r="906" spans="1:22" x14ac:dyDescent="0.3">
      <c r="A906" t="s">
        <v>31</v>
      </c>
      <c r="B906" s="8">
        <v>48</v>
      </c>
      <c r="C906" s="8">
        <v>67.099999999999994</v>
      </c>
      <c r="D906" s="5">
        <v>1.77</v>
      </c>
      <c r="E906" s="5">
        <v>21.4</v>
      </c>
      <c r="F906" s="16" t="s">
        <v>33</v>
      </c>
      <c r="G906" s="11">
        <v>0.55400000000000005</v>
      </c>
      <c r="H906" s="5">
        <v>98</v>
      </c>
      <c r="I906" s="8">
        <v>47</v>
      </c>
      <c r="J906" s="8">
        <v>191</v>
      </c>
      <c r="K906" s="8">
        <v>268</v>
      </c>
      <c r="L906" s="8">
        <v>79</v>
      </c>
      <c r="M906" t="s">
        <v>33</v>
      </c>
      <c r="N906" s="16" t="s">
        <v>22</v>
      </c>
      <c r="O906" s="16" t="s">
        <v>22</v>
      </c>
      <c r="P906" s="16" t="s">
        <v>24</v>
      </c>
      <c r="Q906" s="10" t="s">
        <v>788</v>
      </c>
      <c r="R906" s="3" t="str">
        <f t="shared" si="28"/>
        <v>126</v>
      </c>
      <c r="S906" s="3" t="str">
        <f t="shared" si="29"/>
        <v>100</v>
      </c>
      <c r="T906" s="16" t="s">
        <v>38</v>
      </c>
      <c r="U906" s="3">
        <v>15.94</v>
      </c>
      <c r="V906" s="16" t="str">
        <f>PROPER(Table1[[#This Row],[CVD Risk Level]])</f>
        <v>High</v>
      </c>
    </row>
    <row r="907" spans="1:22" x14ac:dyDescent="0.3">
      <c r="A907" t="s">
        <v>20</v>
      </c>
      <c r="B907" s="8">
        <v>47.025499655410059</v>
      </c>
      <c r="C907" s="8">
        <v>111.6</v>
      </c>
      <c r="D907" s="5">
        <v>1.75</v>
      </c>
      <c r="E907" s="5">
        <v>36.4</v>
      </c>
      <c r="F907" s="16" t="s">
        <v>1302</v>
      </c>
      <c r="G907" s="11">
        <v>0.48599999999999999</v>
      </c>
      <c r="H907" s="5">
        <v>85.1</v>
      </c>
      <c r="I907" s="8">
        <v>66</v>
      </c>
      <c r="J907" s="8">
        <v>169</v>
      </c>
      <c r="K907" s="8">
        <v>265</v>
      </c>
      <c r="L907" s="8">
        <v>127</v>
      </c>
      <c r="M907" t="s">
        <v>1307</v>
      </c>
      <c r="N907" s="16" t="s">
        <v>22</v>
      </c>
      <c r="O907" s="16" t="s">
        <v>22</v>
      </c>
      <c r="P907" s="16" t="s">
        <v>28</v>
      </c>
      <c r="Q907" s="10" t="s">
        <v>789</v>
      </c>
      <c r="R907" s="3" t="str">
        <f t="shared" si="28"/>
        <v>131</v>
      </c>
      <c r="S907" s="3" t="str">
        <f t="shared" si="29"/>
        <v>62</v>
      </c>
      <c r="T907" s="16" t="s">
        <v>29</v>
      </c>
      <c r="U907" s="3">
        <v>19.13</v>
      </c>
      <c r="V907" s="16" t="str">
        <f>PROPER(Table1[[#This Row],[CVD Risk Level]])</f>
        <v>Intermediary</v>
      </c>
    </row>
    <row r="908" spans="1:22" x14ac:dyDescent="0.3">
      <c r="A908" t="s">
        <v>31</v>
      </c>
      <c r="B908" s="8">
        <v>53</v>
      </c>
      <c r="C908" s="8">
        <v>90.2</v>
      </c>
      <c r="D908" s="5">
        <v>1.61</v>
      </c>
      <c r="E908" s="5">
        <v>34.799999999999997</v>
      </c>
      <c r="F908" s="16" t="s">
        <v>1302</v>
      </c>
      <c r="G908" s="11">
        <v>0.53</v>
      </c>
      <c r="H908" s="5">
        <v>85.3</v>
      </c>
      <c r="I908" s="8">
        <v>33</v>
      </c>
      <c r="J908" s="8">
        <v>237</v>
      </c>
      <c r="K908" s="8">
        <v>300</v>
      </c>
      <c r="L908" s="8">
        <v>84</v>
      </c>
      <c r="M908" t="s">
        <v>33</v>
      </c>
      <c r="N908" s="16" t="s">
        <v>22</v>
      </c>
      <c r="O908" s="16" t="s">
        <v>23</v>
      </c>
      <c r="P908" s="16" t="s">
        <v>37</v>
      </c>
      <c r="Q908" s="10" t="s">
        <v>279</v>
      </c>
      <c r="R908" s="3" t="str">
        <f t="shared" si="28"/>
        <v>136</v>
      </c>
      <c r="S908" s="3" t="str">
        <f t="shared" si="29"/>
        <v>76</v>
      </c>
      <c r="T908" s="16" t="s">
        <v>29</v>
      </c>
      <c r="U908" s="3">
        <v>21.76</v>
      </c>
      <c r="V908" s="16" t="str">
        <f>PROPER(Table1[[#This Row],[CVD Risk Level]])</f>
        <v>High</v>
      </c>
    </row>
    <row r="909" spans="1:22" x14ac:dyDescent="0.3">
      <c r="A909" t="s">
        <v>20</v>
      </c>
      <c r="B909" s="8">
        <v>52</v>
      </c>
      <c r="C909" s="8">
        <v>67</v>
      </c>
      <c r="D909" s="5">
        <v>1.88</v>
      </c>
      <c r="E909" s="5">
        <v>19</v>
      </c>
      <c r="F909" s="16" t="s">
        <v>33</v>
      </c>
      <c r="G909" s="11">
        <v>0.57499999999999996</v>
      </c>
      <c r="H909" s="5">
        <v>108.1</v>
      </c>
      <c r="I909" s="8">
        <v>49</v>
      </c>
      <c r="J909" s="8">
        <v>221</v>
      </c>
      <c r="K909" s="8">
        <v>300</v>
      </c>
      <c r="L909" s="8">
        <v>148</v>
      </c>
      <c r="M909" t="s">
        <v>1307</v>
      </c>
      <c r="N909" s="16" t="s">
        <v>22</v>
      </c>
      <c r="O909" s="16" t="s">
        <v>22</v>
      </c>
      <c r="P909" s="16" t="s">
        <v>24</v>
      </c>
      <c r="Q909" s="10" t="s">
        <v>790</v>
      </c>
      <c r="R909" s="3" t="str">
        <f t="shared" si="28"/>
        <v>122</v>
      </c>
      <c r="S909" s="3" t="str">
        <f t="shared" si="29"/>
        <v>97</v>
      </c>
      <c r="T909" s="16" t="s">
        <v>38</v>
      </c>
      <c r="U909" s="3">
        <v>15.9</v>
      </c>
      <c r="V909" s="16" t="str">
        <f>PROPER(Table1[[#This Row],[CVD Risk Level]])</f>
        <v>Intermediary</v>
      </c>
    </row>
    <row r="910" spans="1:22" x14ac:dyDescent="0.3">
      <c r="A910" t="s">
        <v>31</v>
      </c>
      <c r="B910" s="8">
        <v>45</v>
      </c>
      <c r="C910" s="8">
        <v>96.8</v>
      </c>
      <c r="D910" s="5">
        <v>1.86</v>
      </c>
      <c r="E910" s="5">
        <v>28</v>
      </c>
      <c r="F910" s="16" t="s">
        <v>1303</v>
      </c>
      <c r="G910" s="11">
        <v>0.38400000000000001</v>
      </c>
      <c r="H910" s="5">
        <v>71.400000000000006</v>
      </c>
      <c r="I910" s="8">
        <v>57</v>
      </c>
      <c r="J910" s="8">
        <v>143</v>
      </c>
      <c r="K910" s="8">
        <v>230</v>
      </c>
      <c r="L910" s="8">
        <v>91</v>
      </c>
      <c r="M910" t="s">
        <v>33</v>
      </c>
      <c r="N910" s="16" t="s">
        <v>23</v>
      </c>
      <c r="O910" s="16" t="s">
        <v>23</v>
      </c>
      <c r="P910" s="16" t="s">
        <v>28</v>
      </c>
      <c r="Q910" s="10" t="s">
        <v>791</v>
      </c>
      <c r="R910" s="3" t="str">
        <f t="shared" si="28"/>
        <v>112</v>
      </c>
      <c r="S910" s="3" t="str">
        <f t="shared" si="29"/>
        <v>75</v>
      </c>
      <c r="T910" s="16" t="s">
        <v>33</v>
      </c>
      <c r="U910" s="3">
        <v>17.8</v>
      </c>
      <c r="V910" s="16" t="str">
        <f>PROPER(Table1[[#This Row],[CVD Risk Level]])</f>
        <v>High</v>
      </c>
    </row>
    <row r="911" spans="1:22" x14ac:dyDescent="0.3">
      <c r="A911" t="s">
        <v>31</v>
      </c>
      <c r="B911" s="8">
        <v>42</v>
      </c>
      <c r="C911" s="8">
        <v>59.4</v>
      </c>
      <c r="D911" s="5">
        <v>1.89</v>
      </c>
      <c r="E911" s="5">
        <v>16.600000000000001</v>
      </c>
      <c r="F911" s="16" t="s">
        <v>1304</v>
      </c>
      <c r="G911" s="11">
        <v>0.499</v>
      </c>
      <c r="H911" s="5">
        <v>94.4</v>
      </c>
      <c r="I911" s="8">
        <v>71</v>
      </c>
      <c r="J911" s="8">
        <v>127</v>
      </c>
      <c r="K911" s="8">
        <v>228</v>
      </c>
      <c r="L911" s="8">
        <v>147</v>
      </c>
      <c r="M911" t="s">
        <v>1307</v>
      </c>
      <c r="N911" s="16" t="s">
        <v>22</v>
      </c>
      <c r="O911" s="16" t="s">
        <v>23</v>
      </c>
      <c r="P911" s="16" t="s">
        <v>28</v>
      </c>
      <c r="Q911" s="10" t="s">
        <v>348</v>
      </c>
      <c r="R911" s="3" t="str">
        <f t="shared" si="28"/>
        <v>125</v>
      </c>
      <c r="S911" s="3" t="str">
        <f t="shared" si="29"/>
        <v>61</v>
      </c>
      <c r="T911" s="16" t="s">
        <v>25</v>
      </c>
      <c r="U911" s="3">
        <v>16.13</v>
      </c>
      <c r="V911" s="16" t="str">
        <f>PROPER(Table1[[#This Row],[CVD Risk Level]])</f>
        <v>Intermediary</v>
      </c>
    </row>
    <row r="912" spans="1:22" x14ac:dyDescent="0.3">
      <c r="A912" t="s">
        <v>20</v>
      </c>
      <c r="B912" s="8">
        <v>42</v>
      </c>
      <c r="C912" s="8">
        <v>93.5</v>
      </c>
      <c r="D912" s="5">
        <v>1.76</v>
      </c>
      <c r="E912" s="5">
        <v>30.2</v>
      </c>
      <c r="F912" s="16" t="s">
        <v>1302</v>
      </c>
      <c r="G912" s="11">
        <v>0.52300000000000002</v>
      </c>
      <c r="H912" s="5">
        <v>92.1</v>
      </c>
      <c r="I912" s="8">
        <v>39</v>
      </c>
      <c r="J912" s="8">
        <v>221</v>
      </c>
      <c r="K912" s="8">
        <v>290</v>
      </c>
      <c r="L912" s="8">
        <v>78</v>
      </c>
      <c r="M912" t="s">
        <v>33</v>
      </c>
      <c r="N912" s="16" t="s">
        <v>23</v>
      </c>
      <c r="O912" s="16" t="s">
        <v>23</v>
      </c>
      <c r="P912" s="16" t="s">
        <v>24</v>
      </c>
      <c r="Q912" s="10" t="s">
        <v>792</v>
      </c>
      <c r="R912" s="3" t="str">
        <f t="shared" si="28"/>
        <v>102</v>
      </c>
      <c r="S912" s="3" t="str">
        <f t="shared" si="29"/>
        <v>64</v>
      </c>
      <c r="T912" s="16" t="s">
        <v>33</v>
      </c>
      <c r="U912" s="3">
        <v>18.940000000000001</v>
      </c>
      <c r="V912" s="16" t="str">
        <f>PROPER(Table1[[#This Row],[CVD Risk Level]])</f>
        <v>High</v>
      </c>
    </row>
    <row r="913" spans="1:22" x14ac:dyDescent="0.3">
      <c r="A913" t="s">
        <v>20</v>
      </c>
      <c r="B913" s="8">
        <v>58</v>
      </c>
      <c r="C913" s="8">
        <v>72.3</v>
      </c>
      <c r="D913" s="5">
        <v>1.74</v>
      </c>
      <c r="E913" s="5">
        <v>23.9</v>
      </c>
      <c r="F913" s="16" t="s">
        <v>33</v>
      </c>
      <c r="G913" s="11">
        <v>0.52600000000000002</v>
      </c>
      <c r="H913" s="5">
        <v>91.6</v>
      </c>
      <c r="I913" s="8">
        <v>63</v>
      </c>
      <c r="J913" s="8">
        <v>115</v>
      </c>
      <c r="K913" s="8">
        <v>208</v>
      </c>
      <c r="L913" s="8">
        <v>114</v>
      </c>
      <c r="M913" t="s">
        <v>1306</v>
      </c>
      <c r="N913" s="16" t="s">
        <v>22</v>
      </c>
      <c r="O913" s="16" t="s">
        <v>22</v>
      </c>
      <c r="P913" s="16" t="s">
        <v>28</v>
      </c>
      <c r="Q913" s="10" t="s">
        <v>115</v>
      </c>
      <c r="R913" s="3" t="str">
        <f t="shared" si="28"/>
        <v>99</v>
      </c>
      <c r="S913" s="3" t="str">
        <f t="shared" si="29"/>
        <v>90</v>
      </c>
      <c r="T913" s="16" t="s">
        <v>38</v>
      </c>
      <c r="U913" s="3">
        <v>13.89</v>
      </c>
      <c r="V913" s="16" t="str">
        <f>PROPER(Table1[[#This Row],[CVD Risk Level]])</f>
        <v>Intermediary</v>
      </c>
    </row>
    <row r="914" spans="1:22" x14ac:dyDescent="0.3">
      <c r="A914" t="s">
        <v>20</v>
      </c>
      <c r="B914" s="8">
        <v>48</v>
      </c>
      <c r="C914" s="8">
        <v>60.8</v>
      </c>
      <c r="D914" s="5">
        <v>1.68</v>
      </c>
      <c r="E914" s="5">
        <v>21.5</v>
      </c>
      <c r="F914" s="16" t="s">
        <v>33</v>
      </c>
      <c r="G914" s="11">
        <v>0.49099999999999999</v>
      </c>
      <c r="H914" s="5">
        <v>82.5</v>
      </c>
      <c r="I914" s="8">
        <v>56</v>
      </c>
      <c r="J914" s="8">
        <v>87</v>
      </c>
      <c r="K914" s="8">
        <v>173</v>
      </c>
      <c r="L914" s="8">
        <v>122</v>
      </c>
      <c r="M914" t="s">
        <v>1306</v>
      </c>
      <c r="N914" s="16" t="s">
        <v>22</v>
      </c>
      <c r="O914" s="16" t="s">
        <v>22</v>
      </c>
      <c r="P914" s="16" t="s">
        <v>37</v>
      </c>
      <c r="Q914" s="10" t="s">
        <v>793</v>
      </c>
      <c r="R914" s="3" t="str">
        <f t="shared" si="28"/>
        <v>133</v>
      </c>
      <c r="S914" s="3" t="str">
        <f t="shared" si="29"/>
        <v>76</v>
      </c>
      <c r="T914" s="16" t="s">
        <v>29</v>
      </c>
      <c r="U914" s="3">
        <v>14.41</v>
      </c>
      <c r="V914" s="16" t="str">
        <f>PROPER(Table1[[#This Row],[CVD Risk Level]])</f>
        <v>Intermediary</v>
      </c>
    </row>
    <row r="915" spans="1:22" x14ac:dyDescent="0.3">
      <c r="A915" t="s">
        <v>31</v>
      </c>
      <c r="B915" s="8">
        <v>54</v>
      </c>
      <c r="C915" s="8">
        <v>111</v>
      </c>
      <c r="D915" s="5">
        <v>1.78</v>
      </c>
      <c r="E915" s="5">
        <v>35</v>
      </c>
      <c r="F915" s="16" t="s">
        <v>1302</v>
      </c>
      <c r="G915" s="11">
        <v>0.56200000000000006</v>
      </c>
      <c r="H915" s="5">
        <v>100</v>
      </c>
      <c r="I915" s="8">
        <v>41</v>
      </c>
      <c r="J915" s="8">
        <v>176</v>
      </c>
      <c r="K915" s="8">
        <v>247</v>
      </c>
      <c r="L915" s="8">
        <v>136</v>
      </c>
      <c r="M915" t="s">
        <v>1307</v>
      </c>
      <c r="N915" s="16" t="s">
        <v>22</v>
      </c>
      <c r="O915" s="16" t="s">
        <v>23</v>
      </c>
      <c r="P915" s="16" t="s">
        <v>37</v>
      </c>
      <c r="Q915" s="10" t="s">
        <v>794</v>
      </c>
      <c r="R915" s="3" t="str">
        <f t="shared" si="28"/>
        <v>117</v>
      </c>
      <c r="S915" s="3" t="str">
        <f t="shared" si="29"/>
        <v>74</v>
      </c>
      <c r="T915" s="16" t="s">
        <v>33</v>
      </c>
      <c r="U915" s="3">
        <v>19.79</v>
      </c>
      <c r="V915" s="16" t="str">
        <f>PROPER(Table1[[#This Row],[CVD Risk Level]])</f>
        <v>High</v>
      </c>
    </row>
    <row r="916" spans="1:22" x14ac:dyDescent="0.3">
      <c r="A916" t="s">
        <v>20</v>
      </c>
      <c r="B916" s="8">
        <v>59</v>
      </c>
      <c r="C916" s="8">
        <v>103</v>
      </c>
      <c r="D916" s="5">
        <v>1.8</v>
      </c>
      <c r="E916" s="5">
        <v>31.8</v>
      </c>
      <c r="F916" s="16" t="s">
        <v>1302</v>
      </c>
      <c r="G916" s="11">
        <v>0.52400000000000002</v>
      </c>
      <c r="H916" s="5">
        <v>94.4</v>
      </c>
      <c r="I916" s="8">
        <v>42</v>
      </c>
      <c r="J916" s="8">
        <v>35</v>
      </c>
      <c r="K916" s="8">
        <v>107</v>
      </c>
      <c r="L916" s="8">
        <v>124</v>
      </c>
      <c r="M916" t="s">
        <v>1306</v>
      </c>
      <c r="N916" s="16" t="s">
        <v>22</v>
      </c>
      <c r="O916" s="16" t="s">
        <v>22</v>
      </c>
      <c r="P916" s="16" t="s">
        <v>24</v>
      </c>
      <c r="Q916" s="10" t="s">
        <v>795</v>
      </c>
      <c r="R916" s="3" t="str">
        <f t="shared" si="28"/>
        <v>139</v>
      </c>
      <c r="S916" s="3" t="str">
        <f t="shared" si="29"/>
        <v>68</v>
      </c>
      <c r="T916" s="16" t="s">
        <v>29</v>
      </c>
      <c r="U916" s="3">
        <v>15.45</v>
      </c>
      <c r="V916" s="16" t="str">
        <f>PROPER(Table1[[#This Row],[CVD Risk Level]])</f>
        <v>High</v>
      </c>
    </row>
    <row r="917" spans="1:22" x14ac:dyDescent="0.3">
      <c r="A917" t="s">
        <v>31</v>
      </c>
      <c r="B917" s="8">
        <v>33</v>
      </c>
      <c r="C917" s="8">
        <v>95.7</v>
      </c>
      <c r="D917" s="5">
        <v>1.6488632447841149</v>
      </c>
      <c r="E917" s="5">
        <v>35.200000000000003</v>
      </c>
      <c r="F917" s="16" t="s">
        <v>1302</v>
      </c>
      <c r="G917" s="11">
        <v>0.43727095153631146</v>
      </c>
      <c r="H917" s="5">
        <v>72.099999999999994</v>
      </c>
      <c r="I917" s="8">
        <v>45</v>
      </c>
      <c r="J917" s="8">
        <v>43</v>
      </c>
      <c r="K917" s="8">
        <v>118</v>
      </c>
      <c r="L917" s="8">
        <v>91</v>
      </c>
      <c r="M917" t="s">
        <v>33</v>
      </c>
      <c r="N917" s="16" t="s">
        <v>23</v>
      </c>
      <c r="O917" s="16" t="s">
        <v>23</v>
      </c>
      <c r="P917" s="16" t="s">
        <v>37</v>
      </c>
      <c r="Q917" s="10" t="s">
        <v>641</v>
      </c>
      <c r="R917" s="3" t="str">
        <f t="shared" si="28"/>
        <v>140</v>
      </c>
      <c r="S917" s="3" t="str">
        <f t="shared" si="29"/>
        <v>62</v>
      </c>
      <c r="T917" s="16" t="s">
        <v>38</v>
      </c>
      <c r="U917" s="3">
        <v>18.399999999999999</v>
      </c>
      <c r="V917" s="16" t="str">
        <f>PROPER(Table1[[#This Row],[CVD Risk Level]])</f>
        <v>High</v>
      </c>
    </row>
    <row r="918" spans="1:22" x14ac:dyDescent="0.3">
      <c r="A918" t="s">
        <v>20</v>
      </c>
      <c r="B918" s="8">
        <v>34</v>
      </c>
      <c r="C918" s="8">
        <v>64.599999999999994</v>
      </c>
      <c r="D918" s="5">
        <v>1.62</v>
      </c>
      <c r="E918" s="5">
        <v>24.6</v>
      </c>
      <c r="F918" s="16" t="s">
        <v>33</v>
      </c>
      <c r="G918" s="11">
        <v>0.57299999999999995</v>
      </c>
      <c r="H918" s="5">
        <v>92.8</v>
      </c>
      <c r="I918" s="8">
        <v>43</v>
      </c>
      <c r="J918" s="8">
        <v>33</v>
      </c>
      <c r="K918" s="8">
        <v>106</v>
      </c>
      <c r="L918" s="8">
        <v>114</v>
      </c>
      <c r="M918" t="s">
        <v>1306</v>
      </c>
      <c r="N918" s="16" t="s">
        <v>23</v>
      </c>
      <c r="O918" s="16" t="s">
        <v>23</v>
      </c>
      <c r="P918" s="16" t="s">
        <v>37</v>
      </c>
      <c r="Q918" s="10" t="s">
        <v>796</v>
      </c>
      <c r="R918" s="3" t="str">
        <f t="shared" si="28"/>
        <v>90</v>
      </c>
      <c r="S918" s="3" t="str">
        <f t="shared" si="29"/>
        <v>70</v>
      </c>
      <c r="T918" s="16" t="s">
        <v>33</v>
      </c>
      <c r="U918" s="3">
        <v>13.54</v>
      </c>
      <c r="V918" s="16" t="str">
        <f>PROPER(Table1[[#This Row],[CVD Risk Level]])</f>
        <v>Intermediary</v>
      </c>
    </row>
    <row r="919" spans="1:22" x14ac:dyDescent="0.3">
      <c r="A919" t="s">
        <v>31</v>
      </c>
      <c r="B919" s="8">
        <v>47.025499655410059</v>
      </c>
      <c r="C919" s="8">
        <v>56.2</v>
      </c>
      <c r="D919" s="5">
        <v>1.89</v>
      </c>
      <c r="E919" s="5">
        <v>15.7</v>
      </c>
      <c r="F919" s="16" t="s">
        <v>1304</v>
      </c>
      <c r="G919" s="11">
        <v>0.39500000000000002</v>
      </c>
      <c r="H919" s="5">
        <v>74.599999999999994</v>
      </c>
      <c r="I919" s="8">
        <v>45</v>
      </c>
      <c r="J919" s="8">
        <v>56</v>
      </c>
      <c r="K919" s="8">
        <v>131</v>
      </c>
      <c r="L919" s="8">
        <v>93</v>
      </c>
      <c r="M919" t="s">
        <v>33</v>
      </c>
      <c r="N919" s="16" t="s">
        <v>22</v>
      </c>
      <c r="O919" s="16" t="s">
        <v>23</v>
      </c>
      <c r="P919" s="16" t="s">
        <v>24</v>
      </c>
      <c r="Q919" s="10" t="s">
        <v>782</v>
      </c>
      <c r="R919" s="3" t="str">
        <f t="shared" si="28"/>
        <v>146</v>
      </c>
      <c r="S919" s="3" t="str">
        <f t="shared" si="29"/>
        <v>65</v>
      </c>
      <c r="T919" s="16" t="s">
        <v>38</v>
      </c>
      <c r="U919" s="3">
        <v>15.06</v>
      </c>
      <c r="V919" s="16" t="str">
        <f>PROPER(Table1[[#This Row],[CVD Risk Level]])</f>
        <v>Intermediary</v>
      </c>
    </row>
    <row r="920" spans="1:22" x14ac:dyDescent="0.3">
      <c r="A920" t="s">
        <v>20</v>
      </c>
      <c r="B920" s="8">
        <v>30</v>
      </c>
      <c r="C920" s="8">
        <v>65.2</v>
      </c>
      <c r="D920" s="5">
        <v>1.71</v>
      </c>
      <c r="E920" s="5">
        <v>22.3</v>
      </c>
      <c r="F920" s="16" t="s">
        <v>33</v>
      </c>
      <c r="G920" s="11">
        <v>0.503</v>
      </c>
      <c r="H920" s="5">
        <v>86</v>
      </c>
      <c r="I920" s="8">
        <v>68</v>
      </c>
      <c r="J920" s="8">
        <v>131</v>
      </c>
      <c r="K920" s="8">
        <v>229</v>
      </c>
      <c r="L920" s="8">
        <v>117.48563611491107</v>
      </c>
      <c r="M920" t="s">
        <v>1306</v>
      </c>
      <c r="N920" s="16" t="s">
        <v>22</v>
      </c>
      <c r="O920" s="16" t="s">
        <v>23</v>
      </c>
      <c r="P920" s="16" t="s">
        <v>24</v>
      </c>
      <c r="Q920" s="10" t="s">
        <v>797</v>
      </c>
      <c r="R920" s="3" t="str">
        <f t="shared" si="28"/>
        <v>97</v>
      </c>
      <c r="S920" s="3" t="str">
        <f t="shared" si="29"/>
        <v>67</v>
      </c>
      <c r="T920" s="16" t="s">
        <v>33</v>
      </c>
      <c r="U920" s="3">
        <v>15.89</v>
      </c>
      <c r="V920" s="16" t="str">
        <f>PROPER(Table1[[#This Row],[CVD Risk Level]])</f>
        <v>High</v>
      </c>
    </row>
    <row r="921" spans="1:22" x14ac:dyDescent="0.3">
      <c r="A921" t="s">
        <v>20</v>
      </c>
      <c r="B921" s="8">
        <v>37</v>
      </c>
      <c r="C921" s="8">
        <v>101.39154999999998</v>
      </c>
      <c r="D921" s="5">
        <v>1.69</v>
      </c>
      <c r="E921" s="5">
        <v>35.5</v>
      </c>
      <c r="F921" s="16" t="s">
        <v>1302</v>
      </c>
      <c r="G921" s="11">
        <v>0.46035502958579883</v>
      </c>
      <c r="H921" s="5">
        <v>77.8</v>
      </c>
      <c r="I921" s="8">
        <v>57</v>
      </c>
      <c r="J921" s="8">
        <v>39</v>
      </c>
      <c r="K921" s="8">
        <v>126</v>
      </c>
      <c r="L921" s="8">
        <v>88</v>
      </c>
      <c r="M921" t="s">
        <v>33</v>
      </c>
      <c r="N921" s="16" t="s">
        <v>23</v>
      </c>
      <c r="O921" s="16" t="s">
        <v>23</v>
      </c>
      <c r="P921" s="16" t="s">
        <v>37</v>
      </c>
      <c r="Q921" s="10" t="s">
        <v>798</v>
      </c>
      <c r="R921" s="3" t="str">
        <f t="shared" si="28"/>
        <v>126</v>
      </c>
      <c r="S921" s="3" t="str">
        <f t="shared" si="29"/>
        <v>99</v>
      </c>
      <c r="T921" s="16" t="s">
        <v>38</v>
      </c>
      <c r="U921" s="3">
        <v>17.920000000000002</v>
      </c>
      <c r="V921" s="16" t="str">
        <f>PROPER(Table1[[#This Row],[CVD Risk Level]])</f>
        <v>High</v>
      </c>
    </row>
    <row r="922" spans="1:22" x14ac:dyDescent="0.3">
      <c r="A922" t="s">
        <v>31</v>
      </c>
      <c r="B922" s="8">
        <v>39</v>
      </c>
      <c r="C922" s="8">
        <v>77.900000000000006</v>
      </c>
      <c r="D922" s="5">
        <v>1.72</v>
      </c>
      <c r="E922" s="5">
        <v>26.3</v>
      </c>
      <c r="F922" s="16" t="s">
        <v>1303</v>
      </c>
      <c r="G922" s="11">
        <v>0.55800000000000005</v>
      </c>
      <c r="H922" s="5">
        <v>95.9</v>
      </c>
      <c r="I922" s="8">
        <v>66</v>
      </c>
      <c r="J922" s="8">
        <v>112</v>
      </c>
      <c r="K922" s="8">
        <v>208</v>
      </c>
      <c r="L922" s="8">
        <v>103</v>
      </c>
      <c r="M922" t="s">
        <v>1306</v>
      </c>
      <c r="N922" s="16" t="s">
        <v>22</v>
      </c>
      <c r="O922" s="16" t="s">
        <v>23</v>
      </c>
      <c r="P922" s="16" t="s">
        <v>37</v>
      </c>
      <c r="Q922" s="10" t="s">
        <v>799</v>
      </c>
      <c r="R922" s="3" t="str">
        <f t="shared" si="28"/>
        <v>120</v>
      </c>
      <c r="S922" s="3" t="str">
        <f t="shared" si="29"/>
        <v>91</v>
      </c>
      <c r="T922" s="16" t="s">
        <v>38</v>
      </c>
      <c r="U922" s="3">
        <v>17.420000000000002</v>
      </c>
      <c r="V922" s="16" t="str">
        <f>PROPER(Table1[[#This Row],[CVD Risk Level]])</f>
        <v>Intermediary</v>
      </c>
    </row>
    <row r="923" spans="1:22" x14ac:dyDescent="0.3">
      <c r="A923" t="s">
        <v>31</v>
      </c>
      <c r="B923" s="8">
        <v>48</v>
      </c>
      <c r="C923" s="8">
        <v>107.2</v>
      </c>
      <c r="D923" s="5">
        <v>1.61</v>
      </c>
      <c r="E923" s="5">
        <v>41.4</v>
      </c>
      <c r="F923" s="16" t="s">
        <v>1302</v>
      </c>
      <c r="G923" s="11">
        <v>0.502</v>
      </c>
      <c r="H923" s="5">
        <v>80.8</v>
      </c>
      <c r="I923" s="8">
        <v>80</v>
      </c>
      <c r="J923" s="8">
        <v>42</v>
      </c>
      <c r="K923" s="8">
        <v>152</v>
      </c>
      <c r="L923" s="8">
        <v>134</v>
      </c>
      <c r="M923" t="s">
        <v>1307</v>
      </c>
      <c r="N923" s="16" t="s">
        <v>23</v>
      </c>
      <c r="O923" s="16" t="s">
        <v>22</v>
      </c>
      <c r="P923" s="16" t="s">
        <v>37</v>
      </c>
      <c r="Q923" s="10" t="s">
        <v>607</v>
      </c>
      <c r="R923" s="3" t="str">
        <f t="shared" si="28"/>
        <v>113</v>
      </c>
      <c r="S923" s="3" t="str">
        <f t="shared" si="29"/>
        <v>77</v>
      </c>
      <c r="T923" s="16" t="s">
        <v>33</v>
      </c>
      <c r="U923" s="3">
        <v>16.97</v>
      </c>
      <c r="V923" s="16" t="str">
        <f>PROPER(Table1[[#This Row],[CVD Risk Level]])</f>
        <v>Intermediary</v>
      </c>
    </row>
    <row r="924" spans="1:22" x14ac:dyDescent="0.3">
      <c r="A924" t="s">
        <v>31</v>
      </c>
      <c r="B924" s="8">
        <v>60</v>
      </c>
      <c r="C924" s="8">
        <v>86.5</v>
      </c>
      <c r="D924" s="5">
        <v>1.6</v>
      </c>
      <c r="E924" s="5">
        <v>33.799999999999997</v>
      </c>
      <c r="F924" s="16" t="s">
        <v>1302</v>
      </c>
      <c r="G924" s="11">
        <v>0.442</v>
      </c>
      <c r="H924" s="5">
        <v>70.7</v>
      </c>
      <c r="I924" s="8">
        <v>47</v>
      </c>
      <c r="J924" s="8">
        <v>104</v>
      </c>
      <c r="K924" s="8">
        <v>181</v>
      </c>
      <c r="L924" s="8">
        <v>129</v>
      </c>
      <c r="M924" t="s">
        <v>1307</v>
      </c>
      <c r="N924" s="16" t="s">
        <v>22</v>
      </c>
      <c r="O924" s="16" t="s">
        <v>22</v>
      </c>
      <c r="P924" s="16" t="s">
        <v>28</v>
      </c>
      <c r="Q924" s="10" t="s">
        <v>122</v>
      </c>
      <c r="R924" s="3" t="str">
        <f t="shared" si="28"/>
        <v>119</v>
      </c>
      <c r="S924" s="3" t="str">
        <f t="shared" si="29"/>
        <v>65</v>
      </c>
      <c r="T924" s="16" t="s">
        <v>33</v>
      </c>
      <c r="U924" s="3">
        <v>16.329999999999998</v>
      </c>
      <c r="V924" s="16" t="str">
        <f>PROPER(Table1[[#This Row],[CVD Risk Level]])</f>
        <v>Intermediary</v>
      </c>
    </row>
    <row r="925" spans="1:22" x14ac:dyDescent="0.3">
      <c r="A925" t="s">
        <v>31</v>
      </c>
      <c r="B925" s="8">
        <v>47.025499655410059</v>
      </c>
      <c r="C925" s="8">
        <v>73.2</v>
      </c>
      <c r="D925" s="5">
        <v>1.62</v>
      </c>
      <c r="E925" s="5">
        <v>27.9</v>
      </c>
      <c r="F925" s="16" t="s">
        <v>1303</v>
      </c>
      <c r="G925" s="11">
        <v>0.433</v>
      </c>
      <c r="H925" s="5">
        <v>70.2</v>
      </c>
      <c r="I925" s="8">
        <v>34</v>
      </c>
      <c r="J925" s="8">
        <v>160</v>
      </c>
      <c r="K925" s="8">
        <v>388</v>
      </c>
      <c r="L925" s="8">
        <v>104</v>
      </c>
      <c r="M925" t="s">
        <v>1306</v>
      </c>
      <c r="N925" s="16" t="s">
        <v>23</v>
      </c>
      <c r="O925" s="16" t="s">
        <v>23</v>
      </c>
      <c r="P925" s="16" t="s">
        <v>28</v>
      </c>
      <c r="Q925" s="10" t="s">
        <v>300</v>
      </c>
      <c r="R925" s="3" t="str">
        <f t="shared" si="28"/>
        <v>115</v>
      </c>
      <c r="S925" s="3" t="str">
        <f t="shared" si="29"/>
        <v>100</v>
      </c>
      <c r="T925" s="16" t="s">
        <v>38</v>
      </c>
      <c r="U925" s="3">
        <v>17.809999999999999</v>
      </c>
      <c r="V925" s="16" t="str">
        <f>PROPER(Table1[[#This Row],[CVD Risk Level]])</f>
        <v>High</v>
      </c>
    </row>
    <row r="926" spans="1:22" x14ac:dyDescent="0.3">
      <c r="A926" t="s">
        <v>31</v>
      </c>
      <c r="B926" s="8">
        <v>44</v>
      </c>
      <c r="C926" s="8">
        <v>113</v>
      </c>
      <c r="D926" s="5">
        <v>1.7</v>
      </c>
      <c r="E926" s="5">
        <v>39.1</v>
      </c>
      <c r="F926" s="16" t="s">
        <v>1302</v>
      </c>
      <c r="G926" s="11">
        <v>0.48599999999999999</v>
      </c>
      <c r="H926" s="5">
        <v>82.6</v>
      </c>
      <c r="I926" s="8">
        <v>44</v>
      </c>
      <c r="J926" s="8">
        <v>196</v>
      </c>
      <c r="K926" s="8">
        <v>270</v>
      </c>
      <c r="L926" s="8">
        <v>103</v>
      </c>
      <c r="M926" t="s">
        <v>1306</v>
      </c>
      <c r="N926" s="16" t="s">
        <v>23</v>
      </c>
      <c r="O926" s="16" t="s">
        <v>23</v>
      </c>
      <c r="P926" s="16" t="s">
        <v>28</v>
      </c>
      <c r="Q926" s="10" t="s">
        <v>800</v>
      </c>
      <c r="R926" s="3" t="str">
        <f t="shared" si="28"/>
        <v>113</v>
      </c>
      <c r="S926" s="3" t="str">
        <f t="shared" si="29"/>
        <v>70</v>
      </c>
      <c r="T926" s="16" t="s">
        <v>33</v>
      </c>
      <c r="U926" s="3">
        <v>20.87</v>
      </c>
      <c r="V926" s="16" t="str">
        <f>PROPER(Table1[[#This Row],[CVD Risk Level]])</f>
        <v>High</v>
      </c>
    </row>
    <row r="927" spans="1:22" x14ac:dyDescent="0.3">
      <c r="A927" t="s">
        <v>31</v>
      </c>
      <c r="B927" s="8">
        <v>40</v>
      </c>
      <c r="C927" s="8">
        <v>120</v>
      </c>
      <c r="D927" s="5">
        <v>1.8411492357966468</v>
      </c>
      <c r="E927" s="5">
        <v>35.4</v>
      </c>
      <c r="F927" s="16" t="s">
        <v>1302</v>
      </c>
      <c r="G927" s="11">
        <v>0.54800000000000004</v>
      </c>
      <c r="H927" s="5">
        <v>100.9</v>
      </c>
      <c r="I927" s="8">
        <v>62</v>
      </c>
      <c r="J927" s="8">
        <v>131</v>
      </c>
      <c r="K927" s="8">
        <v>223</v>
      </c>
      <c r="L927" s="8">
        <v>84</v>
      </c>
      <c r="M927" t="s">
        <v>33</v>
      </c>
      <c r="N927" s="16" t="s">
        <v>23</v>
      </c>
      <c r="O927" s="16" t="s">
        <v>23</v>
      </c>
      <c r="P927" s="16" t="s">
        <v>37</v>
      </c>
      <c r="Q927" s="10" t="s">
        <v>801</v>
      </c>
      <c r="R927" s="3" t="str">
        <f t="shared" si="28"/>
        <v>94</v>
      </c>
      <c r="S927" s="3" t="str">
        <f t="shared" si="29"/>
        <v>68</v>
      </c>
      <c r="T927" s="16" t="s">
        <v>33</v>
      </c>
      <c r="U927" s="3">
        <v>18.239999999999998</v>
      </c>
      <c r="V927" s="16" t="str">
        <f>PROPER(Table1[[#This Row],[CVD Risk Level]])</f>
        <v>High</v>
      </c>
    </row>
    <row r="928" spans="1:22" x14ac:dyDescent="0.3">
      <c r="A928" t="s">
        <v>20</v>
      </c>
      <c r="B928" s="8">
        <v>56</v>
      </c>
      <c r="C928" s="8">
        <v>114</v>
      </c>
      <c r="D928" s="5">
        <v>1.66</v>
      </c>
      <c r="E928" s="5">
        <v>41.4</v>
      </c>
      <c r="F928" s="16" t="s">
        <v>1302</v>
      </c>
      <c r="G928" s="11">
        <v>0.44500000000000001</v>
      </c>
      <c r="H928" s="5">
        <v>73.900000000000006</v>
      </c>
      <c r="I928" s="8">
        <v>34</v>
      </c>
      <c r="J928" s="8">
        <v>56</v>
      </c>
      <c r="K928" s="8">
        <v>120</v>
      </c>
      <c r="L928" s="8">
        <v>93</v>
      </c>
      <c r="M928" t="s">
        <v>33</v>
      </c>
      <c r="N928" s="16" t="s">
        <v>23</v>
      </c>
      <c r="O928" s="16" t="s">
        <v>22</v>
      </c>
      <c r="P928" s="16" t="s">
        <v>28</v>
      </c>
      <c r="Q928" s="10" t="s">
        <v>659</v>
      </c>
      <c r="R928" s="3" t="str">
        <f t="shared" si="28"/>
        <v>111</v>
      </c>
      <c r="S928" s="3" t="str">
        <f t="shared" si="29"/>
        <v>97</v>
      </c>
      <c r="T928" s="16" t="s">
        <v>38</v>
      </c>
      <c r="U928" s="3">
        <v>16.23</v>
      </c>
      <c r="V928" s="16" t="str">
        <f>PROPER(Table1[[#This Row],[CVD Risk Level]])</f>
        <v>High</v>
      </c>
    </row>
    <row r="929" spans="1:22" x14ac:dyDescent="0.3">
      <c r="A929" t="s">
        <v>31</v>
      </c>
      <c r="B929" s="8">
        <v>59</v>
      </c>
      <c r="C929" s="8">
        <v>82.7</v>
      </c>
      <c r="D929" s="5">
        <v>1.84</v>
      </c>
      <c r="E929" s="5">
        <v>24.4</v>
      </c>
      <c r="F929" s="16" t="s">
        <v>33</v>
      </c>
      <c r="G929" s="11">
        <v>0.54500000000000004</v>
      </c>
      <c r="H929" s="5">
        <v>100.2</v>
      </c>
      <c r="I929" s="8">
        <v>75</v>
      </c>
      <c r="J929" s="8">
        <v>53</v>
      </c>
      <c r="K929" s="8">
        <v>158</v>
      </c>
      <c r="L929" s="8">
        <v>107</v>
      </c>
      <c r="M929" t="s">
        <v>1306</v>
      </c>
      <c r="N929" s="16" t="s">
        <v>23</v>
      </c>
      <c r="O929" s="16" t="s">
        <v>22</v>
      </c>
      <c r="P929" s="16" t="s">
        <v>37</v>
      </c>
      <c r="Q929" s="10" t="s">
        <v>802</v>
      </c>
      <c r="R929" s="3" t="str">
        <f t="shared" si="28"/>
        <v>145</v>
      </c>
      <c r="S929" s="3" t="str">
        <f t="shared" si="29"/>
        <v>65</v>
      </c>
      <c r="T929" s="16" t="s">
        <v>38</v>
      </c>
      <c r="U929" s="3">
        <v>15.29</v>
      </c>
      <c r="V929" s="16" t="str">
        <f>PROPER(Table1[[#This Row],[CVD Risk Level]])</f>
        <v>Intermediary</v>
      </c>
    </row>
    <row r="930" spans="1:22" x14ac:dyDescent="0.3">
      <c r="A930" t="s">
        <v>20</v>
      </c>
      <c r="B930" s="8">
        <v>47.025499655410059</v>
      </c>
      <c r="C930" s="8">
        <v>110.5</v>
      </c>
      <c r="D930" s="5">
        <v>1.6105578889363223</v>
      </c>
      <c r="E930" s="5">
        <v>42.6</v>
      </c>
      <c r="F930" s="16" t="s">
        <v>1302</v>
      </c>
      <c r="G930" s="11">
        <v>0.47799999999999998</v>
      </c>
      <c r="H930" s="5">
        <v>76.900000000000006</v>
      </c>
      <c r="I930" s="8">
        <v>55</v>
      </c>
      <c r="J930" s="8">
        <v>88</v>
      </c>
      <c r="K930" s="8">
        <v>173</v>
      </c>
      <c r="L930" s="8">
        <v>99</v>
      </c>
      <c r="M930" t="s">
        <v>33</v>
      </c>
      <c r="N930" s="16" t="s">
        <v>22</v>
      </c>
      <c r="O930" s="16" t="s">
        <v>22</v>
      </c>
      <c r="P930" s="16" t="s">
        <v>37</v>
      </c>
      <c r="Q930" s="10" t="s">
        <v>803</v>
      </c>
      <c r="R930" s="3" t="str">
        <f t="shared" si="28"/>
        <v>133</v>
      </c>
      <c r="S930" s="3" t="str">
        <f t="shared" si="29"/>
        <v>95</v>
      </c>
      <c r="T930" s="16" t="s">
        <v>29</v>
      </c>
      <c r="U930" s="3">
        <v>18.63</v>
      </c>
      <c r="V930" s="16" t="str">
        <f>PROPER(Table1[[#This Row],[CVD Risk Level]])</f>
        <v>Intermediary</v>
      </c>
    </row>
    <row r="931" spans="1:22" x14ac:dyDescent="0.3">
      <c r="A931" t="s">
        <v>31</v>
      </c>
      <c r="B931" s="8">
        <v>44</v>
      </c>
      <c r="C931" s="8">
        <v>60.1</v>
      </c>
      <c r="D931" s="5">
        <v>1.87</v>
      </c>
      <c r="E931" s="5">
        <v>17.2</v>
      </c>
      <c r="F931" s="16" t="s">
        <v>1304</v>
      </c>
      <c r="G931" s="11">
        <v>0.56999999999999995</v>
      </c>
      <c r="H931" s="5">
        <v>106.6</v>
      </c>
      <c r="I931" s="8">
        <v>54</v>
      </c>
      <c r="J931" s="8">
        <v>98</v>
      </c>
      <c r="K931" s="8">
        <v>182</v>
      </c>
      <c r="L931" s="8">
        <v>70</v>
      </c>
      <c r="M931" t="s">
        <v>33</v>
      </c>
      <c r="N931" s="16" t="s">
        <v>22</v>
      </c>
      <c r="O931" s="16" t="s">
        <v>23</v>
      </c>
      <c r="P931" s="16" t="s">
        <v>28</v>
      </c>
      <c r="Q931" s="10" t="s">
        <v>804</v>
      </c>
      <c r="R931" s="3" t="str">
        <f t="shared" si="28"/>
        <v>149</v>
      </c>
      <c r="S931" s="3" t="str">
        <f t="shared" si="29"/>
        <v>60</v>
      </c>
      <c r="T931" s="16" t="s">
        <v>38</v>
      </c>
      <c r="U931" s="3">
        <v>16.53</v>
      </c>
      <c r="V931" s="16" t="str">
        <f>PROPER(Table1[[#This Row],[CVD Risk Level]])</f>
        <v>Intermediary</v>
      </c>
    </row>
    <row r="932" spans="1:22" x14ac:dyDescent="0.3">
      <c r="A932" t="s">
        <v>31</v>
      </c>
      <c r="B932" s="8">
        <v>55</v>
      </c>
      <c r="C932" s="8">
        <v>109.8</v>
      </c>
      <c r="D932" s="5">
        <v>1.81</v>
      </c>
      <c r="E932" s="5">
        <v>33.5</v>
      </c>
      <c r="F932" s="16" t="s">
        <v>1302</v>
      </c>
      <c r="G932" s="11">
        <v>0.55900000000000005</v>
      </c>
      <c r="H932" s="5">
        <v>101.1</v>
      </c>
      <c r="I932" s="8">
        <v>76</v>
      </c>
      <c r="J932" s="8">
        <v>159</v>
      </c>
      <c r="K932" s="8">
        <v>265</v>
      </c>
      <c r="L932" s="8">
        <v>121</v>
      </c>
      <c r="M932" t="s">
        <v>1306</v>
      </c>
      <c r="N932" s="16" t="s">
        <v>22</v>
      </c>
      <c r="O932" s="16" t="s">
        <v>23</v>
      </c>
      <c r="P932" s="16" t="s">
        <v>28</v>
      </c>
      <c r="Q932" s="10" t="s">
        <v>805</v>
      </c>
      <c r="R932" s="3" t="str">
        <f t="shared" si="28"/>
        <v>102</v>
      </c>
      <c r="S932" s="3" t="str">
        <f t="shared" si="29"/>
        <v>95</v>
      </c>
      <c r="T932" s="16" t="s">
        <v>38</v>
      </c>
      <c r="U932" s="3">
        <v>19.100000000000001</v>
      </c>
      <c r="V932" s="16" t="str">
        <f>PROPER(Table1[[#This Row],[CVD Risk Level]])</f>
        <v>High</v>
      </c>
    </row>
    <row r="933" spans="1:22" x14ac:dyDescent="0.3">
      <c r="A933" t="s">
        <v>20</v>
      </c>
      <c r="B933" s="8">
        <v>45</v>
      </c>
      <c r="C933" s="8">
        <v>111.4</v>
      </c>
      <c r="D933" s="5">
        <v>1.89</v>
      </c>
      <c r="E933" s="5">
        <v>31.2</v>
      </c>
      <c r="F933" s="16" t="s">
        <v>1302</v>
      </c>
      <c r="G933" s="11">
        <v>0.53900000000000003</v>
      </c>
      <c r="H933" s="5">
        <v>101.8</v>
      </c>
      <c r="I933" s="8">
        <v>44</v>
      </c>
      <c r="J933" s="8">
        <v>192</v>
      </c>
      <c r="K933" s="8">
        <v>266</v>
      </c>
      <c r="L933" s="8">
        <v>113</v>
      </c>
      <c r="M933" t="s">
        <v>1306</v>
      </c>
      <c r="N933" s="16" t="s">
        <v>23</v>
      </c>
      <c r="O933" s="16" t="s">
        <v>22</v>
      </c>
      <c r="P933" s="16" t="s">
        <v>24</v>
      </c>
      <c r="Q933" s="10" t="s">
        <v>806</v>
      </c>
      <c r="R933" s="3" t="str">
        <f t="shared" si="28"/>
        <v>132</v>
      </c>
      <c r="S933" s="3" t="str">
        <f t="shared" si="29"/>
        <v>84</v>
      </c>
      <c r="T933" s="16" t="s">
        <v>29</v>
      </c>
      <c r="U933" s="3">
        <v>18.16</v>
      </c>
      <c r="V933" s="16" t="str">
        <f>PROPER(Table1[[#This Row],[CVD Risk Level]])</f>
        <v>High</v>
      </c>
    </row>
    <row r="934" spans="1:22" x14ac:dyDescent="0.3">
      <c r="A934" t="s">
        <v>20</v>
      </c>
      <c r="B934" s="8">
        <v>31</v>
      </c>
      <c r="C934" s="8">
        <v>54.3</v>
      </c>
      <c r="D934" s="5">
        <v>1.69</v>
      </c>
      <c r="E934" s="5">
        <v>19</v>
      </c>
      <c r="F934" s="16" t="s">
        <v>33</v>
      </c>
      <c r="G934" s="11">
        <v>0.46200000000000002</v>
      </c>
      <c r="H934" s="5">
        <v>78</v>
      </c>
      <c r="I934" s="8">
        <v>61</v>
      </c>
      <c r="J934" s="8">
        <v>33</v>
      </c>
      <c r="K934" s="8">
        <v>124</v>
      </c>
      <c r="L934" s="8">
        <v>124</v>
      </c>
      <c r="M934" t="s">
        <v>1306</v>
      </c>
      <c r="N934" s="16" t="s">
        <v>23</v>
      </c>
      <c r="O934" s="16" t="s">
        <v>23</v>
      </c>
      <c r="P934" s="16" t="s">
        <v>24</v>
      </c>
      <c r="Q934" s="10" t="s">
        <v>807</v>
      </c>
      <c r="R934" s="3" t="str">
        <f t="shared" si="28"/>
        <v>135</v>
      </c>
      <c r="S934" s="3" t="str">
        <f t="shared" si="29"/>
        <v>83</v>
      </c>
      <c r="T934" s="16" t="s">
        <v>29</v>
      </c>
      <c r="U934" s="3">
        <v>15.03</v>
      </c>
      <c r="V934" s="16" t="str">
        <f>PROPER(Table1[[#This Row],[CVD Risk Level]])</f>
        <v>Intermediary</v>
      </c>
    </row>
    <row r="935" spans="1:22" x14ac:dyDescent="0.3">
      <c r="A935" t="s">
        <v>31</v>
      </c>
      <c r="B935" s="8">
        <v>33</v>
      </c>
      <c r="C935" s="8">
        <v>88.4</v>
      </c>
      <c r="D935" s="5">
        <v>1.86</v>
      </c>
      <c r="E935" s="5">
        <v>25.6</v>
      </c>
      <c r="F935" s="16" t="s">
        <v>1303</v>
      </c>
      <c r="G935" s="11">
        <v>0.48399999999999999</v>
      </c>
      <c r="H935" s="5">
        <v>90.1</v>
      </c>
      <c r="I935" s="8">
        <v>68</v>
      </c>
      <c r="J935" s="8">
        <v>170</v>
      </c>
      <c r="K935" s="8">
        <v>268</v>
      </c>
      <c r="L935" s="8">
        <v>88</v>
      </c>
      <c r="M935" t="s">
        <v>33</v>
      </c>
      <c r="N935" s="16" t="s">
        <v>23</v>
      </c>
      <c r="O935" s="16" t="s">
        <v>22</v>
      </c>
      <c r="P935" s="16" t="s">
        <v>24</v>
      </c>
      <c r="Q935" s="10" t="s">
        <v>288</v>
      </c>
      <c r="R935" s="3" t="str">
        <f t="shared" si="28"/>
        <v>116</v>
      </c>
      <c r="S935" s="3" t="str">
        <f t="shared" si="29"/>
        <v>69</v>
      </c>
      <c r="T935" s="16" t="s">
        <v>33</v>
      </c>
      <c r="U935" s="3">
        <v>16.28</v>
      </c>
      <c r="V935" s="16" t="str">
        <f>PROPER(Table1[[#This Row],[CVD Risk Level]])</f>
        <v>High</v>
      </c>
    </row>
    <row r="936" spans="1:22" x14ac:dyDescent="0.3">
      <c r="A936" t="s">
        <v>20</v>
      </c>
      <c r="B936" s="8">
        <v>52</v>
      </c>
      <c r="C936" s="8">
        <v>94</v>
      </c>
      <c r="D936" s="5">
        <v>1.71</v>
      </c>
      <c r="E936" s="5">
        <v>32.1</v>
      </c>
      <c r="F936" s="16" t="s">
        <v>1302</v>
      </c>
      <c r="G936" s="11">
        <v>0.53</v>
      </c>
      <c r="H936" s="5">
        <v>90.6</v>
      </c>
      <c r="I936" s="8">
        <v>56.197377501725327</v>
      </c>
      <c r="J936" s="8">
        <v>24</v>
      </c>
      <c r="K936" s="8">
        <v>108</v>
      </c>
      <c r="L936" s="8">
        <v>89</v>
      </c>
      <c r="M936" t="s">
        <v>33</v>
      </c>
      <c r="N936" s="16" t="s">
        <v>22</v>
      </c>
      <c r="O936" s="16" t="s">
        <v>22</v>
      </c>
      <c r="P936" s="16" t="s">
        <v>28</v>
      </c>
      <c r="Q936" s="10" t="s">
        <v>497</v>
      </c>
      <c r="R936" s="3" t="str">
        <f t="shared" si="28"/>
        <v>90</v>
      </c>
      <c r="S936" s="3" t="str">
        <f t="shared" si="29"/>
        <v>82</v>
      </c>
      <c r="T936" s="16" t="s">
        <v>29</v>
      </c>
      <c r="U936" s="3">
        <v>13.08</v>
      </c>
      <c r="V936" s="16" t="str">
        <f>PROPER(Table1[[#This Row],[CVD Risk Level]])</f>
        <v>Intermediary</v>
      </c>
    </row>
    <row r="937" spans="1:22" x14ac:dyDescent="0.3">
      <c r="A937" t="s">
        <v>20</v>
      </c>
      <c r="B937" s="8">
        <v>50</v>
      </c>
      <c r="C937" s="8">
        <v>83.8</v>
      </c>
      <c r="D937" s="5">
        <v>1.76</v>
      </c>
      <c r="E937" s="5">
        <v>27.1</v>
      </c>
      <c r="F937" s="16" t="s">
        <v>1303</v>
      </c>
      <c r="G937" s="11">
        <v>0.60499999999999998</v>
      </c>
      <c r="H937" s="5">
        <v>106.5</v>
      </c>
      <c r="I937" s="8">
        <v>52</v>
      </c>
      <c r="J937" s="8">
        <v>198</v>
      </c>
      <c r="K937" s="8">
        <v>280</v>
      </c>
      <c r="L937" s="8">
        <v>135</v>
      </c>
      <c r="M937" t="s">
        <v>1307</v>
      </c>
      <c r="N937" s="16" t="s">
        <v>23</v>
      </c>
      <c r="O937" s="16" t="s">
        <v>23</v>
      </c>
      <c r="P937" s="16" t="s">
        <v>28</v>
      </c>
      <c r="Q937" s="10" t="s">
        <v>808</v>
      </c>
      <c r="R937" s="3" t="str">
        <f t="shared" si="28"/>
        <v>131</v>
      </c>
      <c r="S937" s="3" t="str">
        <f t="shared" si="29"/>
        <v>75</v>
      </c>
      <c r="T937" s="16" t="s">
        <v>29</v>
      </c>
      <c r="U937" s="3">
        <v>19.57</v>
      </c>
      <c r="V937" s="16" t="str">
        <f>PROPER(Table1[[#This Row],[CVD Risk Level]])</f>
        <v>High</v>
      </c>
    </row>
    <row r="938" spans="1:22" x14ac:dyDescent="0.3">
      <c r="A938" t="s">
        <v>20</v>
      </c>
      <c r="B938" s="8">
        <v>34</v>
      </c>
      <c r="C938" s="8">
        <v>104.2</v>
      </c>
      <c r="D938" s="5">
        <v>1.88</v>
      </c>
      <c r="E938" s="5">
        <v>29.5</v>
      </c>
      <c r="F938" s="16" t="s">
        <v>1303</v>
      </c>
      <c r="G938" s="11">
        <v>0.4452127659574468</v>
      </c>
      <c r="H938" s="5">
        <v>83.7</v>
      </c>
      <c r="I938" s="8">
        <v>63</v>
      </c>
      <c r="J938" s="8">
        <v>47</v>
      </c>
      <c r="K938" s="8">
        <v>140</v>
      </c>
      <c r="L938" s="8">
        <v>92</v>
      </c>
      <c r="M938" t="s">
        <v>33</v>
      </c>
      <c r="N938" s="16" t="s">
        <v>23</v>
      </c>
      <c r="O938" s="16" t="s">
        <v>23</v>
      </c>
      <c r="P938" s="16" t="s">
        <v>37</v>
      </c>
      <c r="Q938" s="10" t="s">
        <v>809</v>
      </c>
      <c r="R938" s="3" t="str">
        <f t="shared" si="28"/>
        <v>138</v>
      </c>
      <c r="S938" s="3" t="str">
        <f t="shared" si="29"/>
        <v>76</v>
      </c>
      <c r="T938" s="16" t="s">
        <v>29</v>
      </c>
      <c r="U938" s="3">
        <v>17.600000000000001</v>
      </c>
      <c r="V938" s="16" t="str">
        <f>PROPER(Table1[[#This Row],[CVD Risk Level]])</f>
        <v>High</v>
      </c>
    </row>
    <row r="939" spans="1:22" x14ac:dyDescent="0.3">
      <c r="A939" t="s">
        <v>20</v>
      </c>
      <c r="B939" s="8">
        <v>56</v>
      </c>
      <c r="C939" s="8">
        <v>77.690750000000008</v>
      </c>
      <c r="D939" s="5">
        <v>1.85</v>
      </c>
      <c r="E939" s="5">
        <v>22.7</v>
      </c>
      <c r="F939" s="16" t="s">
        <v>33</v>
      </c>
      <c r="G939" s="11">
        <v>0.53800000000000003</v>
      </c>
      <c r="H939" s="5">
        <v>99.6</v>
      </c>
      <c r="I939" s="8">
        <v>35</v>
      </c>
      <c r="J939" s="8">
        <v>138</v>
      </c>
      <c r="K939" s="8">
        <v>203</v>
      </c>
      <c r="L939" s="8">
        <v>122</v>
      </c>
      <c r="M939" t="s">
        <v>1306</v>
      </c>
      <c r="N939" s="16" t="s">
        <v>23</v>
      </c>
      <c r="O939" s="16" t="s">
        <v>23</v>
      </c>
      <c r="P939" s="16" t="s">
        <v>24</v>
      </c>
      <c r="Q939" s="10" t="s">
        <v>810</v>
      </c>
      <c r="R939" s="3" t="str">
        <f t="shared" si="28"/>
        <v>130</v>
      </c>
      <c r="S939" s="3" t="str">
        <f t="shared" si="29"/>
        <v>77</v>
      </c>
      <c r="T939" s="16" t="s">
        <v>29</v>
      </c>
      <c r="U939" s="3">
        <v>17.100000000000001</v>
      </c>
      <c r="V939" s="16" t="str">
        <f>PROPER(Table1[[#This Row],[CVD Risk Level]])</f>
        <v>High</v>
      </c>
    </row>
    <row r="940" spans="1:22" x14ac:dyDescent="0.3">
      <c r="A940" t="s">
        <v>20</v>
      </c>
      <c r="B940" s="8">
        <v>39</v>
      </c>
      <c r="C940" s="8">
        <v>118.4</v>
      </c>
      <c r="D940" s="5">
        <v>1.74</v>
      </c>
      <c r="E940" s="5">
        <v>39.1</v>
      </c>
      <c r="F940" s="16" t="s">
        <v>1302</v>
      </c>
      <c r="G940" s="11">
        <v>0.42699999999999999</v>
      </c>
      <c r="H940" s="5">
        <v>74.3</v>
      </c>
      <c r="I940" s="8">
        <v>49</v>
      </c>
      <c r="J940" s="8">
        <v>134</v>
      </c>
      <c r="K940" s="8">
        <v>213</v>
      </c>
      <c r="L940" s="8">
        <v>140</v>
      </c>
      <c r="M940" t="s">
        <v>1307</v>
      </c>
      <c r="N940" s="16" t="s">
        <v>22</v>
      </c>
      <c r="O940" s="16" t="s">
        <v>23</v>
      </c>
      <c r="P940" s="16" t="s">
        <v>37</v>
      </c>
      <c r="Q940" s="10" t="s">
        <v>811</v>
      </c>
      <c r="R940" s="3" t="str">
        <f t="shared" si="28"/>
        <v>101</v>
      </c>
      <c r="S940" s="3" t="str">
        <f t="shared" si="29"/>
        <v>92</v>
      </c>
      <c r="T940" s="16" t="s">
        <v>38</v>
      </c>
      <c r="U940" s="3">
        <v>19.13</v>
      </c>
      <c r="V940" s="16" t="str">
        <f>PROPER(Table1[[#This Row],[CVD Risk Level]])</f>
        <v>High</v>
      </c>
    </row>
    <row r="941" spans="1:22" x14ac:dyDescent="0.3">
      <c r="A941" t="s">
        <v>31</v>
      </c>
      <c r="B941" s="8">
        <v>48</v>
      </c>
      <c r="C941" s="8">
        <v>114.5</v>
      </c>
      <c r="D941" s="5">
        <v>1.9</v>
      </c>
      <c r="E941" s="5">
        <v>31.7</v>
      </c>
      <c r="F941" s="16" t="s">
        <v>1302</v>
      </c>
      <c r="G941" s="11">
        <v>0.42099999999999999</v>
      </c>
      <c r="H941" s="5">
        <v>80</v>
      </c>
      <c r="I941" s="8">
        <v>46</v>
      </c>
      <c r="J941" s="8">
        <v>125</v>
      </c>
      <c r="K941" s="8">
        <v>201</v>
      </c>
      <c r="L941" s="8">
        <v>135</v>
      </c>
      <c r="M941" t="s">
        <v>1307</v>
      </c>
      <c r="N941" s="16" t="s">
        <v>23</v>
      </c>
      <c r="O941" s="16" t="s">
        <v>23</v>
      </c>
      <c r="P941" s="16" t="s">
        <v>24</v>
      </c>
      <c r="Q941" s="10" t="s">
        <v>812</v>
      </c>
      <c r="R941" s="3" t="str">
        <f t="shared" si="28"/>
        <v>144</v>
      </c>
      <c r="S941" s="3" t="str">
        <f t="shared" si="29"/>
        <v>99</v>
      </c>
      <c r="T941" s="16" t="s">
        <v>38</v>
      </c>
      <c r="U941" s="3">
        <v>19.559999999999999</v>
      </c>
      <c r="V941" s="16" t="str">
        <f>PROPER(Table1[[#This Row],[CVD Risk Level]])</f>
        <v>High</v>
      </c>
    </row>
    <row r="942" spans="1:22" x14ac:dyDescent="0.3">
      <c r="A942" t="s">
        <v>20</v>
      </c>
      <c r="B942" s="8">
        <v>52</v>
      </c>
      <c r="C942" s="8">
        <v>85.2</v>
      </c>
      <c r="D942" s="5">
        <v>1.66</v>
      </c>
      <c r="E942" s="5">
        <v>30.9</v>
      </c>
      <c r="F942" s="16" t="s">
        <v>1302</v>
      </c>
      <c r="G942" s="11">
        <v>0.54</v>
      </c>
      <c r="H942" s="5">
        <v>89.7</v>
      </c>
      <c r="I942" s="8">
        <v>56.197377501725327</v>
      </c>
      <c r="J942" s="8">
        <v>156</v>
      </c>
      <c r="K942" s="8">
        <v>250</v>
      </c>
      <c r="L942" s="8">
        <v>135</v>
      </c>
      <c r="M942" t="s">
        <v>1307</v>
      </c>
      <c r="N942" s="16" t="s">
        <v>23</v>
      </c>
      <c r="O942" s="16" t="s">
        <v>23</v>
      </c>
      <c r="P942" s="16" t="s">
        <v>28</v>
      </c>
      <c r="Q942" s="10" t="s">
        <v>813</v>
      </c>
      <c r="R942" s="3" t="str">
        <f t="shared" si="28"/>
        <v>106</v>
      </c>
      <c r="S942" s="3" t="str">
        <f t="shared" si="29"/>
        <v>77</v>
      </c>
      <c r="T942" s="16" t="s">
        <v>33</v>
      </c>
      <c r="U942" s="3">
        <v>18.48</v>
      </c>
      <c r="V942" s="16" t="str">
        <f>PROPER(Table1[[#This Row],[CVD Risk Level]])</f>
        <v>High</v>
      </c>
    </row>
    <row r="943" spans="1:22" x14ac:dyDescent="0.3">
      <c r="A943" t="s">
        <v>20</v>
      </c>
      <c r="B943" s="8">
        <v>41</v>
      </c>
      <c r="C943" s="8">
        <v>65.024999999999991</v>
      </c>
      <c r="D943" s="5">
        <v>1.7</v>
      </c>
      <c r="E943" s="5">
        <v>22.5</v>
      </c>
      <c r="F943" s="16" t="s">
        <v>33</v>
      </c>
      <c r="G943" s="11">
        <v>0.442</v>
      </c>
      <c r="H943" s="5">
        <v>75.2</v>
      </c>
      <c r="I943" s="8">
        <v>33</v>
      </c>
      <c r="J943" s="8">
        <v>127</v>
      </c>
      <c r="K943" s="8">
        <v>190</v>
      </c>
      <c r="L943" s="8">
        <v>90</v>
      </c>
      <c r="M943" t="s">
        <v>33</v>
      </c>
      <c r="N943" s="16" t="s">
        <v>23</v>
      </c>
      <c r="O943" s="16" t="s">
        <v>23</v>
      </c>
      <c r="P943" s="16" t="s">
        <v>24</v>
      </c>
      <c r="Q943" s="10" t="s">
        <v>814</v>
      </c>
      <c r="R943" s="3" t="str">
        <f t="shared" si="28"/>
        <v>139</v>
      </c>
      <c r="S943" s="3" t="str">
        <f t="shared" si="29"/>
        <v>60</v>
      </c>
      <c r="T943" s="16" t="s">
        <v>29</v>
      </c>
      <c r="U943" s="3">
        <v>17.25</v>
      </c>
      <c r="V943" s="16" t="str">
        <f>PROPER(Table1[[#This Row],[CVD Risk Level]])</f>
        <v>High</v>
      </c>
    </row>
    <row r="944" spans="1:22" x14ac:dyDescent="0.3">
      <c r="A944" t="s">
        <v>20</v>
      </c>
      <c r="B944" s="8">
        <v>58</v>
      </c>
      <c r="C944" s="8">
        <v>117</v>
      </c>
      <c r="D944" s="5">
        <v>1.89</v>
      </c>
      <c r="E944" s="5">
        <v>32.799999999999997</v>
      </c>
      <c r="F944" s="16" t="s">
        <v>1302</v>
      </c>
      <c r="G944" s="11">
        <v>0.42599999999999999</v>
      </c>
      <c r="H944" s="5">
        <v>80.599999999999994</v>
      </c>
      <c r="I944" s="8">
        <v>43</v>
      </c>
      <c r="J944" s="8">
        <v>62</v>
      </c>
      <c r="K944" s="8">
        <v>135</v>
      </c>
      <c r="L944" s="8">
        <v>128</v>
      </c>
      <c r="M944" t="s">
        <v>1307</v>
      </c>
      <c r="N944" s="16" t="s">
        <v>23</v>
      </c>
      <c r="O944" s="16" t="s">
        <v>23</v>
      </c>
      <c r="P944" s="16" t="s">
        <v>37</v>
      </c>
      <c r="Q944" s="10" t="s">
        <v>738</v>
      </c>
      <c r="R944" s="3" t="str">
        <f t="shared" si="28"/>
        <v>112</v>
      </c>
      <c r="S944" s="3" t="str">
        <f t="shared" si="29"/>
        <v>93</v>
      </c>
      <c r="T944" s="16" t="s">
        <v>38</v>
      </c>
      <c r="U944" s="3">
        <v>16.86</v>
      </c>
      <c r="V944" s="16" t="str">
        <f>PROPER(Table1[[#This Row],[CVD Risk Level]])</f>
        <v>High</v>
      </c>
    </row>
    <row r="945" spans="1:22" x14ac:dyDescent="0.3">
      <c r="A945" t="s">
        <v>31</v>
      </c>
      <c r="B945" s="8">
        <v>44</v>
      </c>
      <c r="C945" s="8">
        <v>105.4</v>
      </c>
      <c r="D945" s="5">
        <v>1.83</v>
      </c>
      <c r="E945" s="5">
        <v>31.5</v>
      </c>
      <c r="F945" s="16" t="s">
        <v>1302</v>
      </c>
      <c r="G945" s="11">
        <v>0.59899999999999998</v>
      </c>
      <c r="H945" s="5">
        <v>109.7</v>
      </c>
      <c r="I945" s="8">
        <v>73</v>
      </c>
      <c r="J945" s="8">
        <v>127</v>
      </c>
      <c r="K945" s="8">
        <v>230</v>
      </c>
      <c r="L945" s="8">
        <v>128</v>
      </c>
      <c r="M945" t="s">
        <v>1307</v>
      </c>
      <c r="N945" s="16" t="s">
        <v>22</v>
      </c>
      <c r="O945" s="16" t="s">
        <v>23</v>
      </c>
      <c r="P945" s="16" t="s">
        <v>24</v>
      </c>
      <c r="Q945" s="10" t="s">
        <v>815</v>
      </c>
      <c r="R945" s="3" t="str">
        <f t="shared" si="28"/>
        <v>142</v>
      </c>
      <c r="S945" s="3" t="str">
        <f t="shared" si="29"/>
        <v>84</v>
      </c>
      <c r="T945" s="16" t="s">
        <v>29</v>
      </c>
      <c r="U945" s="3">
        <v>20</v>
      </c>
      <c r="V945" s="16" t="str">
        <f>PROPER(Table1[[#This Row],[CVD Risk Level]])</f>
        <v>High</v>
      </c>
    </row>
    <row r="946" spans="1:22" x14ac:dyDescent="0.3">
      <c r="A946" t="s">
        <v>31</v>
      </c>
      <c r="B946" s="8">
        <v>36</v>
      </c>
      <c r="C946" s="8">
        <v>55.4</v>
      </c>
      <c r="D946" s="5">
        <v>1.86</v>
      </c>
      <c r="E946" s="5">
        <v>16</v>
      </c>
      <c r="F946" s="16" t="s">
        <v>1304</v>
      </c>
      <c r="G946" s="11">
        <v>0.46300000000000002</v>
      </c>
      <c r="H946" s="5">
        <v>86.2</v>
      </c>
      <c r="I946" s="8">
        <v>50</v>
      </c>
      <c r="J946" s="8">
        <v>29</v>
      </c>
      <c r="K946" s="8">
        <v>109</v>
      </c>
      <c r="L946" s="8">
        <v>143</v>
      </c>
      <c r="M946" t="s">
        <v>1307</v>
      </c>
      <c r="N946" s="16" t="s">
        <v>23</v>
      </c>
      <c r="O946" s="16" t="s">
        <v>23</v>
      </c>
      <c r="P946" s="16" t="s">
        <v>37</v>
      </c>
      <c r="Q946" s="10" t="s">
        <v>349</v>
      </c>
      <c r="R946" s="3" t="str">
        <f t="shared" si="28"/>
        <v>93</v>
      </c>
      <c r="S946" s="3" t="str">
        <f t="shared" si="29"/>
        <v>63</v>
      </c>
      <c r="T946" s="16" t="s">
        <v>33</v>
      </c>
      <c r="U946" s="3">
        <v>12.03</v>
      </c>
      <c r="V946" s="16" t="str">
        <f>PROPER(Table1[[#This Row],[CVD Risk Level]])</f>
        <v>Intermediary</v>
      </c>
    </row>
    <row r="947" spans="1:22" x14ac:dyDescent="0.3">
      <c r="A947" t="s">
        <v>20</v>
      </c>
      <c r="B947" s="8">
        <v>53</v>
      </c>
      <c r="C947" s="8">
        <v>105.5</v>
      </c>
      <c r="D947" s="5">
        <v>1.71</v>
      </c>
      <c r="E947" s="5">
        <v>36.1</v>
      </c>
      <c r="F947" s="16" t="s">
        <v>1302</v>
      </c>
      <c r="G947" s="11">
        <v>0.48599999999999999</v>
      </c>
      <c r="H947" s="5">
        <v>83.1</v>
      </c>
      <c r="I947" s="8">
        <v>63</v>
      </c>
      <c r="J947" s="8">
        <v>187</v>
      </c>
      <c r="K947" s="8">
        <v>280</v>
      </c>
      <c r="L947" s="8">
        <v>117.48563611491107</v>
      </c>
      <c r="M947" t="s">
        <v>1306</v>
      </c>
      <c r="N947" s="16" t="s">
        <v>23</v>
      </c>
      <c r="O947" s="16" t="s">
        <v>23</v>
      </c>
      <c r="P947" s="16" t="s">
        <v>37</v>
      </c>
      <c r="Q947" s="10" t="s">
        <v>719</v>
      </c>
      <c r="R947" s="3" t="str">
        <f t="shared" si="28"/>
        <v>104</v>
      </c>
      <c r="S947" s="3" t="str">
        <f t="shared" si="29"/>
        <v>70</v>
      </c>
      <c r="T947" s="16" t="s">
        <v>33</v>
      </c>
      <c r="U947" s="3">
        <v>20.02</v>
      </c>
      <c r="V947" s="16" t="str">
        <f>PROPER(Table1[[#This Row],[CVD Risk Level]])</f>
        <v>High</v>
      </c>
    </row>
    <row r="948" spans="1:22" x14ac:dyDescent="0.3">
      <c r="A948" t="s">
        <v>20</v>
      </c>
      <c r="B948" s="8">
        <v>46</v>
      </c>
      <c r="C948" s="8">
        <v>73.2</v>
      </c>
      <c r="D948" s="5">
        <v>1.8</v>
      </c>
      <c r="E948" s="5">
        <v>22.6</v>
      </c>
      <c r="F948" s="16" t="s">
        <v>33</v>
      </c>
      <c r="G948" s="11">
        <v>0.441</v>
      </c>
      <c r="H948" s="5">
        <v>79.3</v>
      </c>
      <c r="I948" s="8">
        <v>71</v>
      </c>
      <c r="J948" s="8">
        <v>109</v>
      </c>
      <c r="K948" s="8">
        <v>135</v>
      </c>
      <c r="L948" s="8">
        <v>117</v>
      </c>
      <c r="M948" t="s">
        <v>1306</v>
      </c>
      <c r="N948" s="16" t="s">
        <v>23</v>
      </c>
      <c r="O948" s="16" t="s">
        <v>23</v>
      </c>
      <c r="P948" s="16" t="s">
        <v>24</v>
      </c>
      <c r="Q948" s="10" t="s">
        <v>816</v>
      </c>
      <c r="R948" s="3" t="str">
        <f t="shared" si="28"/>
        <v>126</v>
      </c>
      <c r="S948" s="3" t="str">
        <f t="shared" si="29"/>
        <v>81</v>
      </c>
      <c r="T948" s="16" t="s">
        <v>29</v>
      </c>
      <c r="U948" s="3">
        <v>15.52</v>
      </c>
      <c r="V948" s="16" t="str">
        <f>PROPER(Table1[[#This Row],[CVD Risk Level]])</f>
        <v>High</v>
      </c>
    </row>
    <row r="949" spans="1:22" x14ac:dyDescent="0.3">
      <c r="A949" t="s">
        <v>31</v>
      </c>
      <c r="B949" s="8">
        <v>56</v>
      </c>
      <c r="C949" s="8">
        <v>66</v>
      </c>
      <c r="D949" s="5">
        <v>1.82</v>
      </c>
      <c r="E949" s="5">
        <v>19.899999999999999</v>
      </c>
      <c r="F949" s="16" t="s">
        <v>33</v>
      </c>
      <c r="G949" s="11">
        <v>0.442</v>
      </c>
      <c r="H949" s="5">
        <v>80.5</v>
      </c>
      <c r="I949" s="8">
        <v>73</v>
      </c>
      <c r="J949" s="8">
        <v>56</v>
      </c>
      <c r="K949" s="8">
        <v>159</v>
      </c>
      <c r="L949" s="8">
        <v>71</v>
      </c>
      <c r="M949" t="s">
        <v>33</v>
      </c>
      <c r="N949" s="16" t="s">
        <v>23</v>
      </c>
      <c r="O949" s="16" t="s">
        <v>23</v>
      </c>
      <c r="P949" s="16" t="s">
        <v>24</v>
      </c>
      <c r="Q949" s="10" t="s">
        <v>817</v>
      </c>
      <c r="R949" s="3" t="str">
        <f t="shared" si="28"/>
        <v>148</v>
      </c>
      <c r="S949" s="3" t="str">
        <f t="shared" si="29"/>
        <v>94</v>
      </c>
      <c r="T949" s="16" t="s">
        <v>38</v>
      </c>
      <c r="U949" s="3">
        <v>16.559999999999999</v>
      </c>
      <c r="V949" s="16" t="str">
        <f>PROPER(Table1[[#This Row],[CVD Risk Level]])</f>
        <v>High</v>
      </c>
    </row>
    <row r="950" spans="1:22" x14ac:dyDescent="0.3">
      <c r="A950" t="s">
        <v>31</v>
      </c>
      <c r="B950" s="8">
        <v>47</v>
      </c>
      <c r="C950" s="8">
        <v>51.6</v>
      </c>
      <c r="D950" s="5">
        <v>1.68</v>
      </c>
      <c r="E950" s="5">
        <v>18.3</v>
      </c>
      <c r="F950" s="16" t="s">
        <v>1304</v>
      </c>
      <c r="G950" s="11">
        <v>0.42699999999999999</v>
      </c>
      <c r="H950" s="5">
        <v>71.8</v>
      </c>
      <c r="I950" s="8">
        <v>37</v>
      </c>
      <c r="J950" s="8">
        <v>70</v>
      </c>
      <c r="K950" s="8">
        <v>137</v>
      </c>
      <c r="L950" s="8">
        <v>105</v>
      </c>
      <c r="M950" t="s">
        <v>1306</v>
      </c>
      <c r="N950" s="16" t="s">
        <v>22</v>
      </c>
      <c r="O950" s="16" t="s">
        <v>22</v>
      </c>
      <c r="P950" s="16" t="s">
        <v>37</v>
      </c>
      <c r="Q950" s="10" t="s">
        <v>560</v>
      </c>
      <c r="R950" s="3" t="str">
        <f t="shared" si="28"/>
        <v>106</v>
      </c>
      <c r="S950" s="3" t="str">
        <f t="shared" si="29"/>
        <v>92</v>
      </c>
      <c r="T950" s="16" t="s">
        <v>38</v>
      </c>
      <c r="U950" s="3">
        <v>11.7</v>
      </c>
      <c r="V950" s="16" t="str">
        <f>PROPER(Table1[[#This Row],[CVD Risk Level]])</f>
        <v>Intermediary</v>
      </c>
    </row>
    <row r="951" spans="1:22" x14ac:dyDescent="0.3">
      <c r="A951" t="s">
        <v>20</v>
      </c>
      <c r="B951" s="8">
        <v>55</v>
      </c>
      <c r="C951" s="8">
        <v>58.261499999999991</v>
      </c>
      <c r="D951" s="5">
        <v>1.65</v>
      </c>
      <c r="E951" s="5">
        <v>21.4</v>
      </c>
      <c r="F951" s="16" t="s">
        <v>33</v>
      </c>
      <c r="G951" s="11">
        <v>0.56100000000000005</v>
      </c>
      <c r="H951" s="5">
        <v>92.6</v>
      </c>
      <c r="I951" s="8">
        <v>75</v>
      </c>
      <c r="J951" s="8">
        <v>74</v>
      </c>
      <c r="K951" s="8">
        <v>179</v>
      </c>
      <c r="L951" s="8">
        <v>139</v>
      </c>
      <c r="M951" t="s">
        <v>1307</v>
      </c>
      <c r="N951" s="16" t="s">
        <v>23</v>
      </c>
      <c r="O951" s="16" t="s">
        <v>22</v>
      </c>
      <c r="P951" s="16" t="s">
        <v>37</v>
      </c>
      <c r="Q951" s="10" t="s">
        <v>818</v>
      </c>
      <c r="R951" s="3" t="str">
        <f t="shared" si="28"/>
        <v>107</v>
      </c>
      <c r="S951" s="3" t="str">
        <f t="shared" si="29"/>
        <v>89</v>
      </c>
      <c r="T951" s="16" t="s">
        <v>29</v>
      </c>
      <c r="U951" s="3">
        <v>13.21</v>
      </c>
      <c r="V951" s="16" t="str">
        <f>PROPER(Table1[[#This Row],[CVD Risk Level]])</f>
        <v>Intermediary</v>
      </c>
    </row>
    <row r="952" spans="1:22" x14ac:dyDescent="0.3">
      <c r="A952" t="s">
        <v>20</v>
      </c>
      <c r="B952" s="8">
        <v>60</v>
      </c>
      <c r="C952" s="8">
        <v>54.3</v>
      </c>
      <c r="D952" s="5">
        <v>1.81</v>
      </c>
      <c r="E952" s="5">
        <v>16.600000000000001</v>
      </c>
      <c r="F952" s="16" t="s">
        <v>1304</v>
      </c>
      <c r="G952" s="11">
        <v>0.54800000000000004</v>
      </c>
      <c r="H952" s="5">
        <v>99.1</v>
      </c>
      <c r="I952" s="8">
        <v>78</v>
      </c>
      <c r="J952" s="8">
        <v>79</v>
      </c>
      <c r="K952" s="8">
        <v>187</v>
      </c>
      <c r="L952" s="8">
        <v>80</v>
      </c>
      <c r="M952" t="s">
        <v>33</v>
      </c>
      <c r="N952" s="16" t="s">
        <v>22</v>
      </c>
      <c r="O952" s="16" t="s">
        <v>23</v>
      </c>
      <c r="P952" s="16" t="s">
        <v>28</v>
      </c>
      <c r="Q952" s="10" t="s">
        <v>203</v>
      </c>
      <c r="R952" s="3" t="str">
        <f t="shared" si="28"/>
        <v>133</v>
      </c>
      <c r="S952" s="3" t="str">
        <f t="shared" si="29"/>
        <v>65</v>
      </c>
      <c r="T952" s="16" t="s">
        <v>29</v>
      </c>
      <c r="U952" s="3">
        <v>15.71</v>
      </c>
      <c r="V952" s="16" t="str">
        <f>PROPER(Table1[[#This Row],[CVD Risk Level]])</f>
        <v>Intermediary</v>
      </c>
    </row>
    <row r="953" spans="1:22" x14ac:dyDescent="0.3">
      <c r="A953" t="s">
        <v>20</v>
      </c>
      <c r="B953" s="8">
        <v>37</v>
      </c>
      <c r="C953" s="8">
        <v>79</v>
      </c>
      <c r="D953" s="5">
        <v>1.74</v>
      </c>
      <c r="E953" s="5">
        <v>26.09327520147972</v>
      </c>
      <c r="F953" s="16" t="s">
        <v>1303</v>
      </c>
      <c r="G953" s="11">
        <v>0.53100000000000003</v>
      </c>
      <c r="H953" s="5">
        <v>92.4</v>
      </c>
      <c r="I953" s="8">
        <v>73</v>
      </c>
      <c r="J953" s="8">
        <v>109</v>
      </c>
      <c r="K953" s="8">
        <v>212</v>
      </c>
      <c r="L953" s="8">
        <v>90</v>
      </c>
      <c r="M953" t="s">
        <v>33</v>
      </c>
      <c r="N953" s="16" t="s">
        <v>23</v>
      </c>
      <c r="O953" s="16" t="s">
        <v>22</v>
      </c>
      <c r="P953" s="16" t="s">
        <v>37</v>
      </c>
      <c r="Q953" s="10" t="s">
        <v>819</v>
      </c>
      <c r="R953" s="3" t="str">
        <f t="shared" si="28"/>
        <v>147</v>
      </c>
      <c r="S953" s="3" t="str">
        <f t="shared" si="29"/>
        <v>85</v>
      </c>
      <c r="T953" s="16" t="s">
        <v>29</v>
      </c>
      <c r="U953" s="3">
        <v>16.809999999999999</v>
      </c>
      <c r="V953" s="16" t="str">
        <f>PROPER(Table1[[#This Row],[CVD Risk Level]])</f>
        <v>Intermediary</v>
      </c>
    </row>
    <row r="954" spans="1:22" x14ac:dyDescent="0.3">
      <c r="A954" t="s">
        <v>31</v>
      </c>
      <c r="B954" s="8">
        <v>51</v>
      </c>
      <c r="C954" s="8">
        <v>85.9</v>
      </c>
      <c r="D954" s="5">
        <v>1.78</v>
      </c>
      <c r="E954" s="5">
        <v>27.1</v>
      </c>
      <c r="F954" s="16" t="s">
        <v>1303</v>
      </c>
      <c r="G954" s="11">
        <v>0.49</v>
      </c>
      <c r="H954" s="5">
        <v>87.2</v>
      </c>
      <c r="I954" s="8">
        <v>44</v>
      </c>
      <c r="J954" s="8">
        <v>109</v>
      </c>
      <c r="K954" s="8">
        <v>189</v>
      </c>
      <c r="L954" s="8">
        <v>100</v>
      </c>
      <c r="M954" t="s">
        <v>1306</v>
      </c>
      <c r="N954" s="16" t="s">
        <v>22</v>
      </c>
      <c r="O954" s="16" t="s">
        <v>22</v>
      </c>
      <c r="P954" s="16" t="s">
        <v>24</v>
      </c>
      <c r="Q954" s="10" t="s">
        <v>192</v>
      </c>
      <c r="R954" s="3" t="str">
        <f t="shared" si="28"/>
        <v>144</v>
      </c>
      <c r="S954" s="3" t="str">
        <f t="shared" si="29"/>
        <v>70</v>
      </c>
      <c r="T954" s="16" t="s">
        <v>38</v>
      </c>
      <c r="U954" s="3">
        <v>16.399999999999999</v>
      </c>
      <c r="V954" s="16" t="str">
        <f>PROPER(Table1[[#This Row],[CVD Risk Level]])</f>
        <v>Intermediary</v>
      </c>
    </row>
    <row r="955" spans="1:22" x14ac:dyDescent="0.3">
      <c r="A955" t="s">
        <v>31</v>
      </c>
      <c r="B955" s="8">
        <v>31</v>
      </c>
      <c r="C955" s="8">
        <v>60.3</v>
      </c>
      <c r="D955" s="5">
        <v>1.7</v>
      </c>
      <c r="E955" s="5">
        <v>20.9</v>
      </c>
      <c r="F955" s="16" t="s">
        <v>33</v>
      </c>
      <c r="G955" s="11">
        <v>0.41199999999999998</v>
      </c>
      <c r="H955" s="5">
        <v>70.099999999999994</v>
      </c>
      <c r="I955" s="8">
        <v>38</v>
      </c>
      <c r="J955" s="8">
        <v>185</v>
      </c>
      <c r="K955" s="8">
        <v>253</v>
      </c>
      <c r="L955" s="8">
        <v>119</v>
      </c>
      <c r="M955" t="s">
        <v>1306</v>
      </c>
      <c r="N955" s="16" t="s">
        <v>23</v>
      </c>
      <c r="O955" s="16" t="s">
        <v>22</v>
      </c>
      <c r="P955" s="16" t="s">
        <v>37</v>
      </c>
      <c r="Q955" s="10" t="s">
        <v>820</v>
      </c>
      <c r="R955" s="3" t="str">
        <f t="shared" si="28"/>
        <v>141</v>
      </c>
      <c r="S955" s="3" t="str">
        <f t="shared" si="29"/>
        <v>96</v>
      </c>
      <c r="T955" s="16" t="s">
        <v>38</v>
      </c>
      <c r="U955" s="3">
        <v>16.29</v>
      </c>
      <c r="V955" s="16" t="str">
        <f>PROPER(Table1[[#This Row],[CVD Risk Level]])</f>
        <v>High</v>
      </c>
    </row>
    <row r="956" spans="1:22" x14ac:dyDescent="0.3">
      <c r="A956" t="s">
        <v>20</v>
      </c>
      <c r="B956" s="8">
        <v>49</v>
      </c>
      <c r="C956" s="8">
        <v>60.5</v>
      </c>
      <c r="D956" s="5">
        <v>1.64</v>
      </c>
      <c r="E956" s="5">
        <v>22.5</v>
      </c>
      <c r="F956" s="16" t="s">
        <v>33</v>
      </c>
      <c r="G956" s="11">
        <v>0.46600000000000003</v>
      </c>
      <c r="H956" s="5">
        <v>76.400000000000006</v>
      </c>
      <c r="I956" s="8">
        <v>78</v>
      </c>
      <c r="J956" s="8">
        <v>70</v>
      </c>
      <c r="K956" s="8">
        <v>178</v>
      </c>
      <c r="L956" s="8">
        <v>124</v>
      </c>
      <c r="M956" t="s">
        <v>1306</v>
      </c>
      <c r="N956" s="16" t="s">
        <v>22</v>
      </c>
      <c r="O956" s="16" t="s">
        <v>22</v>
      </c>
      <c r="P956" s="16" t="s">
        <v>37</v>
      </c>
      <c r="Q956" s="10" t="s">
        <v>821</v>
      </c>
      <c r="R956" s="3" t="str">
        <f t="shared" si="28"/>
        <v>104</v>
      </c>
      <c r="S956" s="3" t="str">
        <f t="shared" si="29"/>
        <v>80</v>
      </c>
      <c r="T956" s="16" t="s">
        <v>29</v>
      </c>
      <c r="U956" s="3">
        <v>13.26</v>
      </c>
      <c r="V956" s="16" t="str">
        <f>PROPER(Table1[[#This Row],[CVD Risk Level]])</f>
        <v>Intermediary</v>
      </c>
    </row>
    <row r="957" spans="1:22" x14ac:dyDescent="0.3">
      <c r="A957" t="s">
        <v>20</v>
      </c>
      <c r="B957" s="8">
        <v>48</v>
      </c>
      <c r="C957" s="8">
        <v>82.9</v>
      </c>
      <c r="D957" s="5">
        <v>1.89</v>
      </c>
      <c r="E957" s="5">
        <v>23.2</v>
      </c>
      <c r="F957" s="16" t="s">
        <v>33</v>
      </c>
      <c r="G957" s="11">
        <v>0.44700000000000001</v>
      </c>
      <c r="H957" s="5">
        <v>84.4</v>
      </c>
      <c r="I957" s="8">
        <v>70</v>
      </c>
      <c r="J957" s="8">
        <v>9</v>
      </c>
      <c r="K957" s="8">
        <v>109</v>
      </c>
      <c r="L957" s="8">
        <v>108</v>
      </c>
      <c r="M957" t="s">
        <v>1306</v>
      </c>
      <c r="N957" s="16" t="s">
        <v>22</v>
      </c>
      <c r="O957" s="16" t="s">
        <v>23</v>
      </c>
      <c r="P957" s="16" t="s">
        <v>28</v>
      </c>
      <c r="Q957" s="10" t="s">
        <v>822</v>
      </c>
      <c r="R957" s="3" t="str">
        <f t="shared" si="28"/>
        <v>129</v>
      </c>
      <c r="S957" s="3" t="str">
        <f t="shared" si="29"/>
        <v>60</v>
      </c>
      <c r="T957" s="16" t="s">
        <v>25</v>
      </c>
      <c r="U957" s="3">
        <v>15.27</v>
      </c>
      <c r="V957" s="16" t="str">
        <f>PROPER(Table1[[#This Row],[CVD Risk Level]])</f>
        <v>Intermediary</v>
      </c>
    </row>
    <row r="958" spans="1:22" x14ac:dyDescent="0.3">
      <c r="A958" t="s">
        <v>20</v>
      </c>
      <c r="B958" s="8">
        <v>48</v>
      </c>
      <c r="C958" s="8">
        <v>103.2</v>
      </c>
      <c r="D958" s="5">
        <v>1.75</v>
      </c>
      <c r="E958" s="5">
        <v>33.700000000000003</v>
      </c>
      <c r="F958" s="16" t="s">
        <v>1302</v>
      </c>
      <c r="G958" s="11">
        <v>0.43099999999999999</v>
      </c>
      <c r="H958" s="5">
        <v>75.5</v>
      </c>
      <c r="I958" s="8">
        <v>38</v>
      </c>
      <c r="J958" s="8">
        <v>188</v>
      </c>
      <c r="K958" s="8">
        <v>256</v>
      </c>
      <c r="L958" s="8">
        <v>104</v>
      </c>
      <c r="M958" t="s">
        <v>1306</v>
      </c>
      <c r="N958" s="16" t="s">
        <v>22</v>
      </c>
      <c r="O958" s="16" t="s">
        <v>22</v>
      </c>
      <c r="P958" s="16" t="s">
        <v>24</v>
      </c>
      <c r="Q958" s="10" t="s">
        <v>823</v>
      </c>
      <c r="R958" s="3" t="str">
        <f t="shared" si="28"/>
        <v>146</v>
      </c>
      <c r="S958" s="3" t="str">
        <f t="shared" si="29"/>
        <v>99</v>
      </c>
      <c r="T958" s="16" t="s">
        <v>38</v>
      </c>
      <c r="U958" s="3">
        <v>19.16</v>
      </c>
      <c r="V958" s="16" t="str">
        <f>PROPER(Table1[[#This Row],[CVD Risk Level]])</f>
        <v>High</v>
      </c>
    </row>
    <row r="959" spans="1:22" x14ac:dyDescent="0.3">
      <c r="A959" t="s">
        <v>20</v>
      </c>
      <c r="B959" s="8">
        <v>40</v>
      </c>
      <c r="C959" s="8">
        <v>74.400000000000006</v>
      </c>
      <c r="D959" s="5">
        <v>1.88</v>
      </c>
      <c r="E959" s="5">
        <v>21.1</v>
      </c>
      <c r="F959" s="16" t="s">
        <v>33</v>
      </c>
      <c r="G959" s="11">
        <v>0.48499999999999999</v>
      </c>
      <c r="H959" s="5">
        <v>91.1</v>
      </c>
      <c r="I959" s="8">
        <v>73</v>
      </c>
      <c r="J959" s="8">
        <v>73</v>
      </c>
      <c r="K959" s="8">
        <v>176</v>
      </c>
      <c r="L959" s="8">
        <v>98</v>
      </c>
      <c r="M959" t="s">
        <v>33</v>
      </c>
      <c r="N959" s="16" t="s">
        <v>23</v>
      </c>
      <c r="O959" s="16" t="s">
        <v>22</v>
      </c>
      <c r="P959" s="16" t="s">
        <v>24</v>
      </c>
      <c r="Q959" s="10" t="s">
        <v>824</v>
      </c>
      <c r="R959" s="3" t="str">
        <f t="shared" si="28"/>
        <v>90</v>
      </c>
      <c r="S959" s="3" t="str">
        <f t="shared" si="29"/>
        <v>97</v>
      </c>
      <c r="T959" s="16" t="s">
        <v>38</v>
      </c>
      <c r="U959" s="3">
        <v>12.24</v>
      </c>
      <c r="V959" s="16" t="str">
        <f>PROPER(Table1[[#This Row],[CVD Risk Level]])</f>
        <v>Intermediary</v>
      </c>
    </row>
    <row r="960" spans="1:22" x14ac:dyDescent="0.3">
      <c r="A960" t="s">
        <v>20</v>
      </c>
      <c r="B960" s="8">
        <v>31</v>
      </c>
      <c r="C960" s="8">
        <v>93.2</v>
      </c>
      <c r="D960" s="5">
        <v>1.63</v>
      </c>
      <c r="E960" s="5">
        <v>35.1</v>
      </c>
      <c r="F960" s="16" t="s">
        <v>1302</v>
      </c>
      <c r="G960" s="11">
        <v>0.58599999999999997</v>
      </c>
      <c r="H960" s="5">
        <v>95.5</v>
      </c>
      <c r="I960" s="8">
        <v>57</v>
      </c>
      <c r="J960" s="8">
        <v>180</v>
      </c>
      <c r="K960" s="8">
        <v>474</v>
      </c>
      <c r="L960" s="8">
        <v>123</v>
      </c>
      <c r="M960" t="s">
        <v>1306</v>
      </c>
      <c r="N960" s="16" t="s">
        <v>23</v>
      </c>
      <c r="O960" s="16" t="s">
        <v>22</v>
      </c>
      <c r="P960" s="16" t="s">
        <v>37</v>
      </c>
      <c r="Q960" s="10" t="s">
        <v>825</v>
      </c>
      <c r="R960" s="3" t="str">
        <f t="shared" si="28"/>
        <v>139</v>
      </c>
      <c r="S960" s="3" t="str">
        <f t="shared" si="29"/>
        <v>91</v>
      </c>
      <c r="T960" s="16" t="s">
        <v>29</v>
      </c>
      <c r="U960" s="3">
        <v>19.309999999999999</v>
      </c>
      <c r="V960" s="16" t="str">
        <f>PROPER(Table1[[#This Row],[CVD Risk Level]])</f>
        <v>High</v>
      </c>
    </row>
    <row r="961" spans="1:22" x14ac:dyDescent="0.3">
      <c r="A961" t="s">
        <v>31</v>
      </c>
      <c r="B961" s="8">
        <v>57</v>
      </c>
      <c r="C961" s="8">
        <v>74.900000000000006</v>
      </c>
      <c r="D961" s="5">
        <v>1.81</v>
      </c>
      <c r="E961" s="5">
        <v>22.9</v>
      </c>
      <c r="F961" s="16" t="s">
        <v>33</v>
      </c>
      <c r="G961" s="11">
        <v>0.39800000000000002</v>
      </c>
      <c r="H961" s="5">
        <v>72.099999999999994</v>
      </c>
      <c r="I961" s="8">
        <v>53</v>
      </c>
      <c r="J961" s="8">
        <v>175</v>
      </c>
      <c r="K961" s="8">
        <v>258</v>
      </c>
      <c r="L961" s="8">
        <v>109</v>
      </c>
      <c r="M961" t="s">
        <v>1306</v>
      </c>
      <c r="N961" s="16" t="s">
        <v>23</v>
      </c>
      <c r="O961" s="16" t="s">
        <v>22</v>
      </c>
      <c r="P961" s="16" t="s">
        <v>28</v>
      </c>
      <c r="Q961" s="10" t="s">
        <v>826</v>
      </c>
      <c r="R961" s="3" t="str">
        <f t="shared" si="28"/>
        <v>121</v>
      </c>
      <c r="S961" s="3" t="str">
        <f t="shared" si="29"/>
        <v>93</v>
      </c>
      <c r="T961" s="16" t="s">
        <v>38</v>
      </c>
      <c r="U961" s="3">
        <v>15.79</v>
      </c>
      <c r="V961" s="16" t="str">
        <f>PROPER(Table1[[#This Row],[CVD Risk Level]])</f>
        <v>High</v>
      </c>
    </row>
    <row r="962" spans="1:22" x14ac:dyDescent="0.3">
      <c r="A962" t="s">
        <v>20</v>
      </c>
      <c r="B962" s="8">
        <v>33</v>
      </c>
      <c r="C962" s="8">
        <v>57.9</v>
      </c>
      <c r="D962" s="5">
        <v>1.73</v>
      </c>
      <c r="E962" s="5">
        <v>19.3</v>
      </c>
      <c r="F962" s="16" t="s">
        <v>33</v>
      </c>
      <c r="G962" s="11">
        <v>0.48959537572254336</v>
      </c>
      <c r="H962" s="5">
        <v>84.7</v>
      </c>
      <c r="I962" s="8">
        <v>57</v>
      </c>
      <c r="J962" s="8">
        <v>24</v>
      </c>
      <c r="K962" s="8">
        <v>111</v>
      </c>
      <c r="L962" s="8">
        <v>124</v>
      </c>
      <c r="M962" t="s">
        <v>1306</v>
      </c>
      <c r="N962" s="16" t="s">
        <v>23</v>
      </c>
      <c r="O962" s="16" t="s">
        <v>22</v>
      </c>
      <c r="P962" s="16" t="s">
        <v>24</v>
      </c>
      <c r="Q962" s="10" t="s">
        <v>262</v>
      </c>
      <c r="R962" s="3" t="str">
        <f t="shared" si="28"/>
        <v>126</v>
      </c>
      <c r="S962" s="3" t="str">
        <f t="shared" si="29"/>
        <v>86</v>
      </c>
      <c r="T962" s="16" t="s">
        <v>29</v>
      </c>
      <c r="U962" s="3">
        <v>12.38</v>
      </c>
      <c r="V962" s="16" t="str">
        <f>PROPER(Table1[[#This Row],[CVD Risk Level]])</f>
        <v>Intermediary</v>
      </c>
    </row>
    <row r="963" spans="1:22" x14ac:dyDescent="0.3">
      <c r="A963" t="s">
        <v>20</v>
      </c>
      <c r="B963" s="8">
        <v>47</v>
      </c>
      <c r="C963" s="8">
        <v>82.7</v>
      </c>
      <c r="D963" s="5">
        <v>1.63</v>
      </c>
      <c r="E963" s="5">
        <v>31.1</v>
      </c>
      <c r="F963" s="16" t="s">
        <v>1302</v>
      </c>
      <c r="G963" s="11">
        <v>0.504</v>
      </c>
      <c r="H963" s="5">
        <v>82.1</v>
      </c>
      <c r="I963" s="8">
        <v>78</v>
      </c>
      <c r="J963" s="8">
        <v>50</v>
      </c>
      <c r="K963" s="8">
        <v>158</v>
      </c>
      <c r="L963" s="8">
        <v>91</v>
      </c>
      <c r="M963" t="s">
        <v>33</v>
      </c>
      <c r="N963" s="16" t="s">
        <v>22</v>
      </c>
      <c r="O963" s="16" t="s">
        <v>23</v>
      </c>
      <c r="P963" s="16" t="s">
        <v>28</v>
      </c>
      <c r="Q963" s="10" t="s">
        <v>621</v>
      </c>
      <c r="R963" s="3" t="str">
        <f t="shared" ref="R963:R1026" si="30">LEFT(Q963,FIND("/",Q963)-1)</f>
        <v>132</v>
      </c>
      <c r="S963" s="3" t="str">
        <f t="shared" ref="S963:S1026" si="31">RIGHT(Q963,LEN(Q963)-FIND("/",Q963))</f>
        <v>65</v>
      </c>
      <c r="T963" s="16" t="s">
        <v>29</v>
      </c>
      <c r="U963" s="3">
        <v>17.98</v>
      </c>
      <c r="V963" s="16" t="str">
        <f>PROPER(Table1[[#This Row],[CVD Risk Level]])</f>
        <v>High</v>
      </c>
    </row>
    <row r="964" spans="1:22" x14ac:dyDescent="0.3">
      <c r="A964" t="s">
        <v>31</v>
      </c>
      <c r="B964" s="8">
        <v>60</v>
      </c>
      <c r="C964" s="8">
        <v>91.2</v>
      </c>
      <c r="D964" s="5">
        <v>1.68</v>
      </c>
      <c r="E964" s="5">
        <v>32.299999999999997</v>
      </c>
      <c r="F964" s="16" t="s">
        <v>1302</v>
      </c>
      <c r="G964" s="11">
        <v>0.436</v>
      </c>
      <c r="H964" s="5">
        <v>73.2</v>
      </c>
      <c r="I964" s="8">
        <v>60</v>
      </c>
      <c r="J964" s="8">
        <v>159</v>
      </c>
      <c r="K964" s="8">
        <v>249</v>
      </c>
      <c r="L964" s="8">
        <v>147</v>
      </c>
      <c r="M964" t="s">
        <v>1307</v>
      </c>
      <c r="N964" s="16" t="s">
        <v>22</v>
      </c>
      <c r="O964" s="16" t="s">
        <v>22</v>
      </c>
      <c r="P964" s="16" t="s">
        <v>37</v>
      </c>
      <c r="Q964" s="10" t="s">
        <v>827</v>
      </c>
      <c r="R964" s="3" t="str">
        <f t="shared" si="30"/>
        <v>124</v>
      </c>
      <c r="S964" s="3" t="str">
        <f t="shared" si="31"/>
        <v>80</v>
      </c>
      <c r="T964" s="16" t="s">
        <v>29</v>
      </c>
      <c r="U964" s="3">
        <v>17.64</v>
      </c>
      <c r="V964" s="16" t="str">
        <f>PROPER(Table1[[#This Row],[CVD Risk Level]])</f>
        <v>Intermediary</v>
      </c>
    </row>
    <row r="965" spans="1:22" x14ac:dyDescent="0.3">
      <c r="A965" t="s">
        <v>20</v>
      </c>
      <c r="B965" s="8">
        <v>53</v>
      </c>
      <c r="C965" s="8">
        <v>115.2</v>
      </c>
      <c r="D965" s="5">
        <v>1.74</v>
      </c>
      <c r="E965" s="5">
        <v>38</v>
      </c>
      <c r="F965" s="16" t="s">
        <v>1302</v>
      </c>
      <c r="G965" s="11">
        <v>0.50600000000000001</v>
      </c>
      <c r="H965" s="5">
        <v>88.1</v>
      </c>
      <c r="I965" s="8">
        <v>32</v>
      </c>
      <c r="J965" s="8">
        <v>38</v>
      </c>
      <c r="K965" s="8">
        <v>100</v>
      </c>
      <c r="L965" s="8">
        <v>72</v>
      </c>
      <c r="M965" t="s">
        <v>33</v>
      </c>
      <c r="N965" s="16" t="s">
        <v>22</v>
      </c>
      <c r="O965" s="16" t="s">
        <v>23</v>
      </c>
      <c r="P965" s="16" t="s">
        <v>24</v>
      </c>
      <c r="Q965" s="10" t="s">
        <v>828</v>
      </c>
      <c r="R965" s="3" t="str">
        <f t="shared" si="30"/>
        <v>146</v>
      </c>
      <c r="S965" s="3" t="str">
        <f t="shared" si="31"/>
        <v>80</v>
      </c>
      <c r="T965" s="16" t="s">
        <v>29</v>
      </c>
      <c r="U965" s="3">
        <v>18.899999999999999</v>
      </c>
      <c r="V965" s="16" t="str">
        <f>PROPER(Table1[[#This Row],[CVD Risk Level]])</f>
        <v>High</v>
      </c>
    </row>
    <row r="966" spans="1:22" x14ac:dyDescent="0.3">
      <c r="A966" t="s">
        <v>20</v>
      </c>
      <c r="B966" s="8">
        <v>44</v>
      </c>
      <c r="C966" s="8">
        <v>96.3</v>
      </c>
      <c r="D966" s="5">
        <v>1.74</v>
      </c>
      <c r="E966" s="5">
        <v>31.8</v>
      </c>
      <c r="F966" s="16" t="s">
        <v>1302</v>
      </c>
      <c r="G966" s="11">
        <v>0.52500000000000002</v>
      </c>
      <c r="H966" s="5">
        <v>91.3</v>
      </c>
      <c r="I966" s="8">
        <v>53</v>
      </c>
      <c r="J966" s="8">
        <v>26</v>
      </c>
      <c r="K966" s="8">
        <v>109</v>
      </c>
      <c r="L966" s="8">
        <v>129</v>
      </c>
      <c r="M966" t="s">
        <v>1307</v>
      </c>
      <c r="N966" s="16" t="s">
        <v>22</v>
      </c>
      <c r="O966" s="16" t="s">
        <v>23</v>
      </c>
      <c r="P966" s="16" t="s">
        <v>28</v>
      </c>
      <c r="Q966" s="10" t="s">
        <v>829</v>
      </c>
      <c r="R966" s="3" t="str">
        <f t="shared" si="30"/>
        <v>93</v>
      </c>
      <c r="S966" s="3" t="str">
        <f t="shared" si="31"/>
        <v>95</v>
      </c>
      <c r="T966" s="16" t="s">
        <v>38</v>
      </c>
      <c r="U966" s="3">
        <v>15.19</v>
      </c>
      <c r="V966" s="16" t="str">
        <f>PROPER(Table1[[#This Row],[CVD Risk Level]])</f>
        <v>Intermediary</v>
      </c>
    </row>
    <row r="967" spans="1:22" x14ac:dyDescent="0.3">
      <c r="A967" t="s">
        <v>31</v>
      </c>
      <c r="B967" s="8">
        <v>37</v>
      </c>
      <c r="C967" s="8">
        <v>102.6</v>
      </c>
      <c r="D967" s="5">
        <v>1.74</v>
      </c>
      <c r="E967" s="5">
        <v>33.9</v>
      </c>
      <c r="F967" s="16" t="s">
        <v>1302</v>
      </c>
      <c r="G967" s="11">
        <v>0.59482758620689657</v>
      </c>
      <c r="H967" s="5">
        <v>103.5</v>
      </c>
      <c r="I967" s="8">
        <v>60</v>
      </c>
      <c r="J967" s="8">
        <v>37</v>
      </c>
      <c r="K967" s="8">
        <v>127</v>
      </c>
      <c r="L967" s="8">
        <v>138</v>
      </c>
      <c r="M967" t="s">
        <v>1307</v>
      </c>
      <c r="N967" s="16" t="s">
        <v>22</v>
      </c>
      <c r="O967" s="16" t="s">
        <v>23</v>
      </c>
      <c r="P967" s="16" t="s">
        <v>28</v>
      </c>
      <c r="Q967" s="10" t="s">
        <v>830</v>
      </c>
      <c r="R967" s="3" t="str">
        <f t="shared" si="30"/>
        <v>134</v>
      </c>
      <c r="S967" s="3" t="str">
        <f t="shared" si="31"/>
        <v>68</v>
      </c>
      <c r="T967" s="16" t="s">
        <v>29</v>
      </c>
      <c r="U967" s="3">
        <v>18.02</v>
      </c>
      <c r="V967" s="16" t="str">
        <f>PROPER(Table1[[#This Row],[CVD Risk Level]])</f>
        <v>Intermediary</v>
      </c>
    </row>
    <row r="968" spans="1:22" x14ac:dyDescent="0.3">
      <c r="A968" t="s">
        <v>20</v>
      </c>
      <c r="B968" s="8">
        <v>60</v>
      </c>
      <c r="C968" s="8">
        <v>83.627009999999999</v>
      </c>
      <c r="D968" s="5">
        <v>1.79</v>
      </c>
      <c r="E968" s="5">
        <v>26.1</v>
      </c>
      <c r="F968" s="16" t="s">
        <v>1303</v>
      </c>
      <c r="G968" s="11">
        <v>0.55400000000000005</v>
      </c>
      <c r="H968" s="5">
        <v>99.2</v>
      </c>
      <c r="I968" s="8">
        <v>37</v>
      </c>
      <c r="J968" s="8">
        <v>109</v>
      </c>
      <c r="K968" s="8">
        <v>245</v>
      </c>
      <c r="L968" s="8">
        <v>72</v>
      </c>
      <c r="M968" t="s">
        <v>33</v>
      </c>
      <c r="N968" s="16" t="s">
        <v>23</v>
      </c>
      <c r="O968" s="16" t="s">
        <v>22</v>
      </c>
      <c r="P968" s="16" t="s">
        <v>37</v>
      </c>
      <c r="Q968" s="10" t="s">
        <v>271</v>
      </c>
      <c r="R968" s="3" t="str">
        <f t="shared" si="30"/>
        <v>121</v>
      </c>
      <c r="S968" s="3" t="str">
        <f t="shared" si="31"/>
        <v>100</v>
      </c>
      <c r="T968" s="16" t="s">
        <v>38</v>
      </c>
      <c r="U968" s="3">
        <v>16.170000000000002</v>
      </c>
      <c r="V968" s="16" t="str">
        <f>PROPER(Table1[[#This Row],[CVD Risk Level]])</f>
        <v>High</v>
      </c>
    </row>
    <row r="969" spans="1:22" x14ac:dyDescent="0.3">
      <c r="A969" t="s">
        <v>31</v>
      </c>
      <c r="B969" s="8">
        <v>31</v>
      </c>
      <c r="C969" s="8">
        <v>51</v>
      </c>
      <c r="D969" s="5">
        <v>1.63</v>
      </c>
      <c r="E969" s="5">
        <v>19.2</v>
      </c>
      <c r="F969" s="16" t="s">
        <v>33</v>
      </c>
      <c r="G969" s="11">
        <v>0.58499999999999996</v>
      </c>
      <c r="H969" s="5">
        <v>95.4</v>
      </c>
      <c r="I969" s="8">
        <v>46</v>
      </c>
      <c r="J969" s="8">
        <v>45</v>
      </c>
      <c r="K969" s="8">
        <v>121</v>
      </c>
      <c r="L969" s="8">
        <v>143</v>
      </c>
      <c r="M969" t="s">
        <v>1307</v>
      </c>
      <c r="N969" s="16" t="s">
        <v>23</v>
      </c>
      <c r="O969" s="16" t="s">
        <v>22</v>
      </c>
      <c r="P969" s="16" t="s">
        <v>28</v>
      </c>
      <c r="Q969" s="10" t="s">
        <v>564</v>
      </c>
      <c r="R969" s="3" t="str">
        <f t="shared" si="30"/>
        <v>92</v>
      </c>
      <c r="S969" s="3" t="str">
        <f t="shared" si="31"/>
        <v>60</v>
      </c>
      <c r="T969" s="16" t="s">
        <v>33</v>
      </c>
      <c r="U969" s="3">
        <v>10.86</v>
      </c>
      <c r="V969" s="16" t="str">
        <f>PROPER(Table1[[#This Row],[CVD Risk Level]])</f>
        <v>Low</v>
      </c>
    </row>
    <row r="970" spans="1:22" x14ac:dyDescent="0.3">
      <c r="A970" t="s">
        <v>20</v>
      </c>
      <c r="B970" s="8">
        <v>33</v>
      </c>
      <c r="C970" s="8">
        <v>116.9</v>
      </c>
      <c r="D970" s="5">
        <v>1.89</v>
      </c>
      <c r="E970" s="5">
        <v>32.700000000000003</v>
      </c>
      <c r="F970" s="16" t="s">
        <v>1302</v>
      </c>
      <c r="G970" s="11">
        <v>0.495</v>
      </c>
      <c r="H970" s="5">
        <v>93.6</v>
      </c>
      <c r="I970" s="8">
        <v>74</v>
      </c>
      <c r="J970" s="8">
        <v>109</v>
      </c>
      <c r="K970" s="8">
        <v>110</v>
      </c>
      <c r="L970" s="8">
        <v>108</v>
      </c>
      <c r="M970" t="s">
        <v>1306</v>
      </c>
      <c r="N970" s="16" t="s">
        <v>23</v>
      </c>
      <c r="O970" s="16" t="s">
        <v>23</v>
      </c>
      <c r="P970" s="16" t="s">
        <v>28</v>
      </c>
      <c r="Q970" s="10" t="s">
        <v>789</v>
      </c>
      <c r="R970" s="3" t="str">
        <f t="shared" si="30"/>
        <v>131</v>
      </c>
      <c r="S970" s="3" t="str">
        <f t="shared" si="31"/>
        <v>62</v>
      </c>
      <c r="T970" s="16" t="s">
        <v>29</v>
      </c>
      <c r="U970" s="3">
        <v>17.29</v>
      </c>
      <c r="V970" s="16" t="str">
        <f>PROPER(Table1[[#This Row],[CVD Risk Level]])</f>
        <v>Intermediary</v>
      </c>
    </row>
    <row r="971" spans="1:22" x14ac:dyDescent="0.3">
      <c r="A971" t="s">
        <v>31</v>
      </c>
      <c r="B971" s="8">
        <v>38</v>
      </c>
      <c r="C971" s="8">
        <v>54.653129999999997</v>
      </c>
      <c r="D971" s="5">
        <v>1.89</v>
      </c>
      <c r="E971" s="5">
        <v>15.3</v>
      </c>
      <c r="F971" s="16" t="s">
        <v>1304</v>
      </c>
      <c r="G971" s="11">
        <v>0.52900000000000003</v>
      </c>
      <c r="H971" s="5">
        <v>99.9</v>
      </c>
      <c r="I971" s="8">
        <v>79</v>
      </c>
      <c r="J971" s="8">
        <v>97</v>
      </c>
      <c r="K971" s="8">
        <v>206</v>
      </c>
      <c r="L971" s="8">
        <v>105</v>
      </c>
      <c r="M971" t="s">
        <v>1306</v>
      </c>
      <c r="N971" s="16" t="s">
        <v>22</v>
      </c>
      <c r="O971" s="16" t="s">
        <v>22</v>
      </c>
      <c r="P971" s="16" t="s">
        <v>28</v>
      </c>
      <c r="Q971" s="10" t="s">
        <v>711</v>
      </c>
      <c r="R971" s="3" t="str">
        <f t="shared" si="30"/>
        <v>134</v>
      </c>
      <c r="S971" s="3" t="str">
        <f t="shared" si="31"/>
        <v>88</v>
      </c>
      <c r="T971" s="16" t="s">
        <v>29</v>
      </c>
      <c r="U971" s="3">
        <v>13.88</v>
      </c>
      <c r="V971" s="16" t="str">
        <f>PROPER(Table1[[#This Row],[CVD Risk Level]])</f>
        <v>Intermediary</v>
      </c>
    </row>
    <row r="972" spans="1:22" x14ac:dyDescent="0.3">
      <c r="A972" t="s">
        <v>20</v>
      </c>
      <c r="B972" s="8">
        <v>39</v>
      </c>
      <c r="C972" s="8">
        <v>106.7</v>
      </c>
      <c r="D972" s="5">
        <v>1.65</v>
      </c>
      <c r="E972" s="5">
        <v>39.200000000000003</v>
      </c>
      <c r="F972" s="16" t="s">
        <v>1302</v>
      </c>
      <c r="G972" s="11">
        <v>0.64500000000000002</v>
      </c>
      <c r="H972" s="5">
        <v>106.5</v>
      </c>
      <c r="I972" s="8">
        <v>76</v>
      </c>
      <c r="J972" s="8">
        <v>95</v>
      </c>
      <c r="K972" s="8">
        <v>201</v>
      </c>
      <c r="L972" s="8">
        <v>127</v>
      </c>
      <c r="M972" t="s">
        <v>1307</v>
      </c>
      <c r="N972" s="16" t="s">
        <v>22</v>
      </c>
      <c r="O972" s="16" t="s">
        <v>22</v>
      </c>
      <c r="P972" s="16" t="s">
        <v>28</v>
      </c>
      <c r="Q972" s="10" t="s">
        <v>831</v>
      </c>
      <c r="R972" s="3" t="str">
        <f t="shared" si="30"/>
        <v>106</v>
      </c>
      <c r="S972" s="3" t="str">
        <f t="shared" si="31"/>
        <v>69</v>
      </c>
      <c r="T972" s="16" t="s">
        <v>33</v>
      </c>
      <c r="U972" s="3">
        <v>17.16</v>
      </c>
      <c r="V972" s="16" t="str">
        <f>PROPER(Table1[[#This Row],[CVD Risk Level]])</f>
        <v>Intermediary</v>
      </c>
    </row>
    <row r="973" spans="1:22" x14ac:dyDescent="0.3">
      <c r="A973" t="s">
        <v>20</v>
      </c>
      <c r="B973" s="8">
        <v>49</v>
      </c>
      <c r="C973" s="8">
        <v>62.7</v>
      </c>
      <c r="D973" s="5">
        <v>1.63</v>
      </c>
      <c r="E973" s="5">
        <v>23.6</v>
      </c>
      <c r="F973" s="16" t="s">
        <v>33</v>
      </c>
      <c r="G973" s="11">
        <v>0.57599999999999996</v>
      </c>
      <c r="H973" s="5">
        <v>93.9</v>
      </c>
      <c r="I973" s="8">
        <v>42</v>
      </c>
      <c r="J973" s="8">
        <v>180</v>
      </c>
      <c r="K973" s="8">
        <v>252</v>
      </c>
      <c r="L973" s="8">
        <v>114</v>
      </c>
      <c r="M973" t="s">
        <v>1306</v>
      </c>
      <c r="N973" s="16" t="s">
        <v>23</v>
      </c>
      <c r="O973" s="16" t="s">
        <v>23</v>
      </c>
      <c r="P973" s="16" t="s">
        <v>24</v>
      </c>
      <c r="Q973" s="10" t="s">
        <v>685</v>
      </c>
      <c r="R973" s="3" t="str">
        <f t="shared" si="30"/>
        <v>110</v>
      </c>
      <c r="S973" s="3" t="str">
        <f t="shared" si="31"/>
        <v>86</v>
      </c>
      <c r="T973" s="16" t="s">
        <v>29</v>
      </c>
      <c r="U973" s="3">
        <v>17.260000000000002</v>
      </c>
      <c r="V973" s="16" t="str">
        <f>PROPER(Table1[[#This Row],[CVD Risk Level]])</f>
        <v>High</v>
      </c>
    </row>
    <row r="974" spans="1:22" x14ac:dyDescent="0.3">
      <c r="A974" t="s">
        <v>20</v>
      </c>
      <c r="B974" s="8">
        <v>40</v>
      </c>
      <c r="C974" s="8">
        <v>98.1</v>
      </c>
      <c r="D974" s="5">
        <v>1.84</v>
      </c>
      <c r="E974" s="5">
        <v>28.975661625708881</v>
      </c>
      <c r="F974" s="16" t="s">
        <v>1303</v>
      </c>
      <c r="G974" s="11">
        <v>0.39800000000000002</v>
      </c>
      <c r="H974" s="5">
        <v>73.3</v>
      </c>
      <c r="I974" s="8">
        <v>75</v>
      </c>
      <c r="J974" s="8">
        <v>130</v>
      </c>
      <c r="K974" s="8">
        <v>235</v>
      </c>
      <c r="L974" s="8">
        <v>100</v>
      </c>
      <c r="M974" t="s">
        <v>1306</v>
      </c>
      <c r="N974" s="16" t="s">
        <v>22</v>
      </c>
      <c r="O974" s="16" t="s">
        <v>23</v>
      </c>
      <c r="P974" s="16" t="s">
        <v>24</v>
      </c>
      <c r="Q974" s="10" t="s">
        <v>832</v>
      </c>
      <c r="R974" s="3" t="str">
        <f t="shared" si="30"/>
        <v>143</v>
      </c>
      <c r="S974" s="3" t="str">
        <f t="shared" si="31"/>
        <v>95</v>
      </c>
      <c r="T974" s="16" t="s">
        <v>38</v>
      </c>
      <c r="U974" s="3">
        <v>19.649999999999999</v>
      </c>
      <c r="V974" s="16" t="str">
        <f>PROPER(Table1[[#This Row],[CVD Risk Level]])</f>
        <v>High</v>
      </c>
    </row>
    <row r="975" spans="1:22" x14ac:dyDescent="0.3">
      <c r="A975" t="s">
        <v>20</v>
      </c>
      <c r="B975" s="8">
        <v>36</v>
      </c>
      <c r="C975" s="8">
        <v>61.022719999999993</v>
      </c>
      <c r="D975" s="5">
        <v>1.76</v>
      </c>
      <c r="E975" s="5">
        <v>19.7</v>
      </c>
      <c r="F975" s="16" t="s">
        <v>33</v>
      </c>
      <c r="G975" s="11">
        <v>0.5</v>
      </c>
      <c r="H975" s="5">
        <v>88</v>
      </c>
      <c r="I975" s="8">
        <v>44</v>
      </c>
      <c r="J975" s="8">
        <v>177</v>
      </c>
      <c r="K975" s="8">
        <v>442</v>
      </c>
      <c r="L975" s="8">
        <v>117.48563611491107</v>
      </c>
      <c r="M975" t="s">
        <v>1306</v>
      </c>
      <c r="N975" s="16" t="s">
        <v>23</v>
      </c>
      <c r="O975" s="16" t="s">
        <v>23</v>
      </c>
      <c r="P975" s="16" t="s">
        <v>37</v>
      </c>
      <c r="Q975" s="10" t="s">
        <v>415</v>
      </c>
      <c r="R975" s="3" t="str">
        <f t="shared" si="30"/>
        <v>98</v>
      </c>
      <c r="S975" s="3" t="str">
        <f t="shared" si="31"/>
        <v>88</v>
      </c>
      <c r="T975" s="16" t="s">
        <v>29</v>
      </c>
      <c r="U975" s="3">
        <v>15.86</v>
      </c>
      <c r="V975" s="16" t="str">
        <f>PROPER(Table1[[#This Row],[CVD Risk Level]])</f>
        <v>High</v>
      </c>
    </row>
    <row r="976" spans="1:22" x14ac:dyDescent="0.3">
      <c r="A976" t="s">
        <v>31</v>
      </c>
      <c r="B976" s="8">
        <v>32</v>
      </c>
      <c r="C976" s="8">
        <v>94.9</v>
      </c>
      <c r="D976" s="5">
        <v>1.84</v>
      </c>
      <c r="E976" s="5">
        <v>28</v>
      </c>
      <c r="F976" s="16" t="s">
        <v>1303</v>
      </c>
      <c r="G976" s="11">
        <v>0.43099999999999999</v>
      </c>
      <c r="H976" s="5">
        <v>79.3</v>
      </c>
      <c r="I976" s="8">
        <v>46</v>
      </c>
      <c r="J976" s="8">
        <v>130</v>
      </c>
      <c r="K976" s="8">
        <v>206</v>
      </c>
      <c r="L976" s="8">
        <v>122</v>
      </c>
      <c r="M976" t="s">
        <v>1306</v>
      </c>
      <c r="N976" s="16" t="s">
        <v>23</v>
      </c>
      <c r="O976" s="16" t="s">
        <v>22</v>
      </c>
      <c r="P976" s="16" t="s">
        <v>24</v>
      </c>
      <c r="Q976" s="10" t="s">
        <v>833</v>
      </c>
      <c r="R976" s="3" t="str">
        <f t="shared" si="30"/>
        <v>143</v>
      </c>
      <c r="S976" s="3" t="str">
        <f t="shared" si="31"/>
        <v>66</v>
      </c>
      <c r="T976" s="16" t="s">
        <v>38</v>
      </c>
      <c r="U976" s="3">
        <v>16.87</v>
      </c>
      <c r="V976" s="16" t="str">
        <f>PROPER(Table1[[#This Row],[CVD Risk Level]])</f>
        <v>High</v>
      </c>
    </row>
    <row r="977" spans="1:22" x14ac:dyDescent="0.3">
      <c r="A977" t="s">
        <v>31</v>
      </c>
      <c r="B977" s="8">
        <v>40</v>
      </c>
      <c r="C977" s="8">
        <v>76.900000000000006</v>
      </c>
      <c r="D977" s="5">
        <v>1.64</v>
      </c>
      <c r="E977" s="5">
        <v>28.6</v>
      </c>
      <c r="F977" s="16" t="s">
        <v>1303</v>
      </c>
      <c r="G977" s="11">
        <v>0.61899999999999999</v>
      </c>
      <c r="H977" s="5">
        <v>101.5</v>
      </c>
      <c r="I977" s="8">
        <v>63</v>
      </c>
      <c r="J977" s="8">
        <v>88</v>
      </c>
      <c r="K977" s="8">
        <v>181</v>
      </c>
      <c r="L977" s="8">
        <v>144</v>
      </c>
      <c r="M977" t="s">
        <v>1307</v>
      </c>
      <c r="N977" s="16" t="s">
        <v>23</v>
      </c>
      <c r="O977" s="16" t="s">
        <v>22</v>
      </c>
      <c r="P977" s="16" t="s">
        <v>24</v>
      </c>
      <c r="Q977" s="10" t="s">
        <v>834</v>
      </c>
      <c r="R977" s="3" t="str">
        <f t="shared" si="30"/>
        <v>101</v>
      </c>
      <c r="S977" s="3" t="str">
        <f t="shared" si="31"/>
        <v>79</v>
      </c>
      <c r="T977" s="16" t="s">
        <v>33</v>
      </c>
      <c r="U977" s="3">
        <v>14.39</v>
      </c>
      <c r="V977" s="16" t="str">
        <f>PROPER(Table1[[#This Row],[CVD Risk Level]])</f>
        <v>Intermediary</v>
      </c>
    </row>
    <row r="978" spans="1:22" x14ac:dyDescent="0.3">
      <c r="A978" t="s">
        <v>31</v>
      </c>
      <c r="B978" s="8">
        <v>55</v>
      </c>
      <c r="C978" s="8">
        <v>83</v>
      </c>
      <c r="D978" s="5">
        <v>1.61</v>
      </c>
      <c r="E978" s="5">
        <v>32</v>
      </c>
      <c r="F978" s="16" t="s">
        <v>1302</v>
      </c>
      <c r="G978" s="11">
        <v>0.48299999999999998</v>
      </c>
      <c r="H978" s="5">
        <v>77.7</v>
      </c>
      <c r="I978" s="8">
        <v>32</v>
      </c>
      <c r="J978" s="8">
        <v>109</v>
      </c>
      <c r="K978" s="8">
        <v>210</v>
      </c>
      <c r="L978" s="8">
        <v>100</v>
      </c>
      <c r="M978" t="s">
        <v>1306</v>
      </c>
      <c r="N978" s="16" t="s">
        <v>23</v>
      </c>
      <c r="O978" s="16" t="s">
        <v>22</v>
      </c>
      <c r="P978" s="16" t="s">
        <v>28</v>
      </c>
      <c r="Q978" s="10" t="s">
        <v>835</v>
      </c>
      <c r="R978" s="3" t="str">
        <f t="shared" si="30"/>
        <v>116</v>
      </c>
      <c r="S978" s="3" t="str">
        <f t="shared" si="31"/>
        <v>66</v>
      </c>
      <c r="T978" s="16" t="s">
        <v>33</v>
      </c>
      <c r="U978" s="3">
        <v>16.399999999999999</v>
      </c>
      <c r="V978" s="16" t="str">
        <f>PROPER(Table1[[#This Row],[CVD Risk Level]])</f>
        <v>High</v>
      </c>
    </row>
    <row r="979" spans="1:22" x14ac:dyDescent="0.3">
      <c r="A979" t="s">
        <v>20</v>
      </c>
      <c r="B979" s="8">
        <v>36</v>
      </c>
      <c r="C979" s="8">
        <v>83.1</v>
      </c>
      <c r="D979" s="5">
        <v>1.81</v>
      </c>
      <c r="E979" s="5">
        <v>25.4</v>
      </c>
      <c r="F979" s="16" t="s">
        <v>1303</v>
      </c>
      <c r="G979" s="11">
        <v>0.55200000000000005</v>
      </c>
      <c r="H979" s="5">
        <v>99.9</v>
      </c>
      <c r="I979" s="8">
        <v>42</v>
      </c>
      <c r="J979" s="8">
        <v>95</v>
      </c>
      <c r="K979" s="8">
        <v>167</v>
      </c>
      <c r="L979" s="8">
        <v>87</v>
      </c>
      <c r="M979" t="s">
        <v>33</v>
      </c>
      <c r="N979" s="16" t="s">
        <v>23</v>
      </c>
      <c r="O979" s="16" t="s">
        <v>23</v>
      </c>
      <c r="P979" s="16" t="s">
        <v>37</v>
      </c>
      <c r="Q979" s="10" t="s">
        <v>560</v>
      </c>
      <c r="R979" s="3" t="str">
        <f t="shared" si="30"/>
        <v>106</v>
      </c>
      <c r="S979" s="3" t="str">
        <f t="shared" si="31"/>
        <v>92</v>
      </c>
      <c r="T979" s="16" t="s">
        <v>38</v>
      </c>
      <c r="U979" s="3">
        <v>15.72</v>
      </c>
      <c r="V979" s="16" t="str">
        <f>PROPER(Table1[[#This Row],[CVD Risk Level]])</f>
        <v>Intermediary</v>
      </c>
    </row>
    <row r="980" spans="1:22" x14ac:dyDescent="0.3">
      <c r="A980" t="s">
        <v>20</v>
      </c>
      <c r="B980" s="8">
        <v>41</v>
      </c>
      <c r="C980" s="8">
        <v>102.7</v>
      </c>
      <c r="D980" s="5">
        <v>1.61</v>
      </c>
      <c r="E980" s="5">
        <v>39.6</v>
      </c>
      <c r="F980" s="16" t="s">
        <v>1302</v>
      </c>
      <c r="G980" s="11">
        <v>0.66600000000000004</v>
      </c>
      <c r="H980" s="5">
        <v>107.3</v>
      </c>
      <c r="I980" s="8">
        <v>56</v>
      </c>
      <c r="J980" s="8">
        <v>102</v>
      </c>
      <c r="K980" s="8">
        <v>188</v>
      </c>
      <c r="L980" s="8">
        <v>86</v>
      </c>
      <c r="M980" t="s">
        <v>33</v>
      </c>
      <c r="N980" s="16" t="s">
        <v>23</v>
      </c>
      <c r="O980" s="16" t="s">
        <v>23</v>
      </c>
      <c r="P980" s="16" t="s">
        <v>28</v>
      </c>
      <c r="Q980" s="10" t="s">
        <v>836</v>
      </c>
      <c r="R980" s="3" t="str">
        <f t="shared" si="30"/>
        <v>95</v>
      </c>
      <c r="S980" s="3" t="str">
        <f t="shared" si="31"/>
        <v>88</v>
      </c>
      <c r="T980" s="16" t="s">
        <v>29</v>
      </c>
      <c r="U980" s="3">
        <v>18.43</v>
      </c>
      <c r="V980" s="16" t="str">
        <f>PROPER(Table1[[#This Row],[CVD Risk Level]])</f>
        <v>High</v>
      </c>
    </row>
    <row r="981" spans="1:22" x14ac:dyDescent="0.3">
      <c r="A981" t="s">
        <v>31</v>
      </c>
      <c r="B981" s="8">
        <v>47.025499655410059</v>
      </c>
      <c r="C981" s="8">
        <v>81.2</v>
      </c>
      <c r="D981" s="5">
        <v>1.84</v>
      </c>
      <c r="E981" s="5">
        <v>24</v>
      </c>
      <c r="F981" s="16" t="s">
        <v>33</v>
      </c>
      <c r="G981" s="11">
        <v>0.46800000000000003</v>
      </c>
      <c r="H981" s="5">
        <v>86.1</v>
      </c>
      <c r="I981" s="8">
        <v>38</v>
      </c>
      <c r="J981" s="8">
        <v>155</v>
      </c>
      <c r="K981" s="8">
        <v>223</v>
      </c>
      <c r="L981" s="8">
        <v>81</v>
      </c>
      <c r="M981" t="s">
        <v>33</v>
      </c>
      <c r="N981" s="16" t="s">
        <v>22</v>
      </c>
      <c r="O981" s="16" t="s">
        <v>23</v>
      </c>
      <c r="P981" s="16" t="s">
        <v>24</v>
      </c>
      <c r="Q981" s="10" t="s">
        <v>837</v>
      </c>
      <c r="R981" s="3" t="str">
        <f t="shared" si="30"/>
        <v>131</v>
      </c>
      <c r="S981" s="3" t="str">
        <f t="shared" si="31"/>
        <v>84</v>
      </c>
      <c r="T981" s="16" t="s">
        <v>29</v>
      </c>
      <c r="U981" s="3">
        <v>17.809999999999999</v>
      </c>
      <c r="V981" s="16" t="str">
        <f>PROPER(Table1[[#This Row],[CVD Risk Level]])</f>
        <v>High</v>
      </c>
    </row>
    <row r="982" spans="1:22" x14ac:dyDescent="0.3">
      <c r="A982" t="s">
        <v>20</v>
      </c>
      <c r="B982" s="8">
        <v>59</v>
      </c>
      <c r="C982" s="8">
        <v>54.1</v>
      </c>
      <c r="D982" s="5">
        <v>1.8388175548433292</v>
      </c>
      <c r="E982" s="5">
        <v>16</v>
      </c>
      <c r="F982" s="16" t="s">
        <v>1304</v>
      </c>
      <c r="G982" s="11">
        <v>0.55500000000000005</v>
      </c>
      <c r="H982" s="5">
        <v>102.1</v>
      </c>
      <c r="I982" s="8">
        <v>57</v>
      </c>
      <c r="J982" s="8">
        <v>63</v>
      </c>
      <c r="K982" s="8">
        <v>150</v>
      </c>
      <c r="L982" s="8">
        <v>100</v>
      </c>
      <c r="M982" t="s">
        <v>1306</v>
      </c>
      <c r="N982" s="16" t="s">
        <v>23</v>
      </c>
      <c r="O982" s="16" t="s">
        <v>22</v>
      </c>
      <c r="P982" s="16" t="s">
        <v>37</v>
      </c>
      <c r="Q982" s="10" t="s">
        <v>838</v>
      </c>
      <c r="R982" s="3" t="str">
        <f t="shared" si="30"/>
        <v>101</v>
      </c>
      <c r="S982" s="3" t="str">
        <f t="shared" si="31"/>
        <v>86</v>
      </c>
      <c r="T982" s="16" t="s">
        <v>29</v>
      </c>
      <c r="U982" s="3">
        <v>11.25</v>
      </c>
      <c r="V982" s="16" t="str">
        <f>PROPER(Table1[[#This Row],[CVD Risk Level]])</f>
        <v>Intermediary</v>
      </c>
    </row>
    <row r="983" spans="1:22" x14ac:dyDescent="0.3">
      <c r="A983" t="s">
        <v>20</v>
      </c>
      <c r="B983" s="8">
        <v>47.025499655410059</v>
      </c>
      <c r="C983" s="8">
        <v>93.7</v>
      </c>
      <c r="D983" s="5">
        <v>1.75</v>
      </c>
      <c r="E983" s="5">
        <v>30.6</v>
      </c>
      <c r="F983" s="16" t="s">
        <v>1302</v>
      </c>
      <c r="G983" s="11">
        <v>0.45</v>
      </c>
      <c r="H983" s="5">
        <v>78.8</v>
      </c>
      <c r="I983" s="8">
        <v>41</v>
      </c>
      <c r="J983" s="8">
        <v>109</v>
      </c>
      <c r="K983" s="8">
        <v>119</v>
      </c>
      <c r="L983" s="8">
        <v>96</v>
      </c>
      <c r="M983" t="s">
        <v>33</v>
      </c>
      <c r="N983" s="16" t="s">
        <v>23</v>
      </c>
      <c r="O983" s="16" t="s">
        <v>22</v>
      </c>
      <c r="P983" s="16" t="s">
        <v>28</v>
      </c>
      <c r="Q983" s="10" t="s">
        <v>839</v>
      </c>
      <c r="R983" s="3" t="str">
        <f t="shared" si="30"/>
        <v>134</v>
      </c>
      <c r="S983" s="3" t="str">
        <f t="shared" si="31"/>
        <v>81</v>
      </c>
      <c r="T983" s="16" t="s">
        <v>29</v>
      </c>
      <c r="U983" s="3">
        <v>15.2</v>
      </c>
      <c r="V983" s="16" t="str">
        <f>PROPER(Table1[[#This Row],[CVD Risk Level]])</f>
        <v>Intermediary</v>
      </c>
    </row>
    <row r="984" spans="1:22" x14ac:dyDescent="0.3">
      <c r="A984" t="s">
        <v>31</v>
      </c>
      <c r="B984" s="8">
        <v>56</v>
      </c>
      <c r="C984" s="8">
        <v>84.1</v>
      </c>
      <c r="D984" s="5">
        <v>1.76</v>
      </c>
      <c r="E984" s="5">
        <v>27.2</v>
      </c>
      <c r="F984" s="16" t="s">
        <v>1303</v>
      </c>
      <c r="G984" s="11">
        <v>0.47399999999999998</v>
      </c>
      <c r="H984" s="5">
        <v>83.4</v>
      </c>
      <c r="I984" s="8">
        <v>61</v>
      </c>
      <c r="J984" s="8">
        <v>20</v>
      </c>
      <c r="K984" s="8">
        <v>111</v>
      </c>
      <c r="L984" s="8">
        <v>113</v>
      </c>
      <c r="M984" t="s">
        <v>1306</v>
      </c>
      <c r="N984" s="16" t="s">
        <v>22</v>
      </c>
      <c r="O984" s="16" t="s">
        <v>22</v>
      </c>
      <c r="P984" s="16" t="s">
        <v>24</v>
      </c>
      <c r="Q984" s="10" t="s">
        <v>840</v>
      </c>
      <c r="R984" s="3" t="str">
        <f t="shared" si="30"/>
        <v>130</v>
      </c>
      <c r="S984" s="3" t="str">
        <f t="shared" si="31"/>
        <v>65</v>
      </c>
      <c r="T984" s="16" t="s">
        <v>29</v>
      </c>
      <c r="U984" s="3">
        <v>14.16</v>
      </c>
      <c r="V984" s="16" t="str">
        <f>PROPER(Table1[[#This Row],[CVD Risk Level]])</f>
        <v>Intermediary</v>
      </c>
    </row>
    <row r="985" spans="1:22" x14ac:dyDescent="0.3">
      <c r="A985" t="s">
        <v>20</v>
      </c>
      <c r="B985" s="8">
        <v>47</v>
      </c>
      <c r="C985" s="8">
        <v>112.2</v>
      </c>
      <c r="D985" s="5">
        <v>1.69</v>
      </c>
      <c r="E985" s="5">
        <v>39.299999999999997</v>
      </c>
      <c r="F985" s="16" t="s">
        <v>1302</v>
      </c>
      <c r="G985" s="11">
        <v>0.44600000000000001</v>
      </c>
      <c r="H985" s="5">
        <v>75.3</v>
      </c>
      <c r="I985" s="8">
        <v>60</v>
      </c>
      <c r="J985" s="8">
        <v>195</v>
      </c>
      <c r="K985" s="8">
        <v>285</v>
      </c>
      <c r="L985" s="8">
        <v>99</v>
      </c>
      <c r="M985" t="s">
        <v>33</v>
      </c>
      <c r="N985" s="16" t="s">
        <v>23</v>
      </c>
      <c r="O985" s="16" t="s">
        <v>22</v>
      </c>
      <c r="P985" s="16" t="s">
        <v>24</v>
      </c>
      <c r="Q985" s="10" t="s">
        <v>841</v>
      </c>
      <c r="R985" s="3" t="str">
        <f t="shared" si="30"/>
        <v>138</v>
      </c>
      <c r="S985" s="3" t="str">
        <f t="shared" si="31"/>
        <v>61</v>
      </c>
      <c r="T985" s="16" t="s">
        <v>29</v>
      </c>
      <c r="U985" s="3">
        <v>20.46</v>
      </c>
      <c r="V985" s="16" t="str">
        <f>PROPER(Table1[[#This Row],[CVD Risk Level]])</f>
        <v>High</v>
      </c>
    </row>
    <row r="986" spans="1:22" x14ac:dyDescent="0.3">
      <c r="A986" t="s">
        <v>31</v>
      </c>
      <c r="B986" s="8">
        <v>37</v>
      </c>
      <c r="C986" s="8">
        <v>109.6</v>
      </c>
      <c r="D986" s="5">
        <v>1.83</v>
      </c>
      <c r="E986" s="5">
        <v>32.727164143450082</v>
      </c>
      <c r="F986" s="16" t="s">
        <v>1302</v>
      </c>
      <c r="G986" s="11">
        <v>0.49199999999999999</v>
      </c>
      <c r="H986" s="5">
        <v>90.1</v>
      </c>
      <c r="I986" s="8">
        <v>56.197377501725327</v>
      </c>
      <c r="J986" s="8">
        <v>128</v>
      </c>
      <c r="K986" s="8">
        <v>368.39475500345065</v>
      </c>
      <c r="L986" s="8">
        <v>86</v>
      </c>
      <c r="M986" t="s">
        <v>33</v>
      </c>
      <c r="N986" s="16" t="s">
        <v>22</v>
      </c>
      <c r="O986" s="16" t="s">
        <v>23</v>
      </c>
      <c r="P986" s="16" t="s">
        <v>24</v>
      </c>
      <c r="Q986" s="10" t="s">
        <v>842</v>
      </c>
      <c r="R986" s="3" t="str">
        <f t="shared" si="30"/>
        <v>146</v>
      </c>
      <c r="S986" s="3" t="str">
        <f t="shared" si="31"/>
        <v>90</v>
      </c>
      <c r="T986" s="16" t="s">
        <v>38</v>
      </c>
      <c r="U986" s="3">
        <v>20.14</v>
      </c>
      <c r="V986" s="16" t="str">
        <f>PROPER(Table1[[#This Row],[CVD Risk Level]])</f>
        <v>High</v>
      </c>
    </row>
    <row r="987" spans="1:22" x14ac:dyDescent="0.3">
      <c r="A987" t="s">
        <v>20</v>
      </c>
      <c r="B987" s="8">
        <v>57</v>
      </c>
      <c r="C987" s="8">
        <v>54.2</v>
      </c>
      <c r="D987" s="5">
        <v>1.87</v>
      </c>
      <c r="E987" s="5">
        <v>15.5</v>
      </c>
      <c r="F987" s="16" t="s">
        <v>1304</v>
      </c>
      <c r="G987" s="11">
        <v>0.48</v>
      </c>
      <c r="H987" s="5">
        <v>89.8</v>
      </c>
      <c r="I987" s="8">
        <v>36</v>
      </c>
      <c r="J987" s="8">
        <v>179</v>
      </c>
      <c r="K987" s="8">
        <v>245</v>
      </c>
      <c r="L987" s="8">
        <v>99</v>
      </c>
      <c r="M987" t="s">
        <v>33</v>
      </c>
      <c r="N987" s="16" t="s">
        <v>22</v>
      </c>
      <c r="O987" s="16" t="s">
        <v>23</v>
      </c>
      <c r="P987" s="16" t="s">
        <v>24</v>
      </c>
      <c r="Q987" s="10" t="s">
        <v>843</v>
      </c>
      <c r="R987" s="3" t="str">
        <f t="shared" si="30"/>
        <v>92</v>
      </c>
      <c r="S987" s="3" t="str">
        <f t="shared" si="31"/>
        <v>94</v>
      </c>
      <c r="T987" s="16" t="s">
        <v>38</v>
      </c>
      <c r="U987" s="3">
        <v>16.960925291295425</v>
      </c>
      <c r="V987" s="16" t="str">
        <f>PROPER(Table1[[#This Row],[CVD Risk Level]])</f>
        <v>High</v>
      </c>
    </row>
    <row r="988" spans="1:22" x14ac:dyDescent="0.3">
      <c r="A988" t="s">
        <v>31</v>
      </c>
      <c r="B988" s="8">
        <v>76</v>
      </c>
      <c r="C988" s="8">
        <v>56.283000000000001</v>
      </c>
      <c r="D988" s="5">
        <v>1.9410000000000001</v>
      </c>
      <c r="E988" s="5">
        <v>32.701999999999998</v>
      </c>
      <c r="F988" s="16" t="s">
        <v>1302</v>
      </c>
      <c r="G988" s="11">
        <v>0.55500000000000005</v>
      </c>
      <c r="H988" s="5">
        <v>107.777</v>
      </c>
      <c r="I988" s="8">
        <v>83</v>
      </c>
      <c r="J988" s="8">
        <v>163</v>
      </c>
      <c r="K988" s="8">
        <v>276</v>
      </c>
      <c r="L988" s="8">
        <v>177</v>
      </c>
      <c r="M988" t="s">
        <v>1307</v>
      </c>
      <c r="N988" s="16" t="s">
        <v>23</v>
      </c>
      <c r="O988" s="16" t="s">
        <v>23</v>
      </c>
      <c r="P988" s="16" t="s">
        <v>37</v>
      </c>
      <c r="Q988" s="10" t="s">
        <v>844</v>
      </c>
      <c r="R988" s="3" t="str">
        <f t="shared" si="30"/>
        <v>135</v>
      </c>
      <c r="S988" s="3" t="str">
        <f t="shared" si="31"/>
        <v>69</v>
      </c>
      <c r="T988" s="16" t="s">
        <v>29</v>
      </c>
      <c r="U988" s="3">
        <v>20.81</v>
      </c>
      <c r="V988" s="16" t="str">
        <f>PROPER(Table1[[#This Row],[CVD Risk Level]])</f>
        <v>Low</v>
      </c>
    </row>
    <row r="989" spans="1:22" x14ac:dyDescent="0.3">
      <c r="A989" t="s">
        <v>20</v>
      </c>
      <c r="B989" s="8">
        <v>62</v>
      </c>
      <c r="C989" s="8">
        <v>87.543999999999997</v>
      </c>
      <c r="D989" s="5">
        <v>1.5074072393523592</v>
      </c>
      <c r="E989" s="5">
        <v>38.527000000000001</v>
      </c>
      <c r="F989" s="16" t="s">
        <v>1302</v>
      </c>
      <c r="G989" s="11">
        <v>0.48499999999999999</v>
      </c>
      <c r="H989" s="5">
        <v>86.486999999999995</v>
      </c>
      <c r="I989" s="8">
        <v>48</v>
      </c>
      <c r="J989" s="8">
        <v>47</v>
      </c>
      <c r="K989" s="8">
        <v>125</v>
      </c>
      <c r="L989" s="8">
        <v>167</v>
      </c>
      <c r="M989" t="s">
        <v>1307</v>
      </c>
      <c r="N989" s="16" t="s">
        <v>23</v>
      </c>
      <c r="O989" s="16" t="s">
        <v>23</v>
      </c>
      <c r="P989" s="16" t="s">
        <v>37</v>
      </c>
      <c r="Q989" s="10" t="s">
        <v>845</v>
      </c>
      <c r="R989" s="3" t="str">
        <f t="shared" si="30"/>
        <v>154</v>
      </c>
      <c r="S989" s="3" t="str">
        <f t="shared" si="31"/>
        <v>60</v>
      </c>
      <c r="T989" s="16" t="s">
        <v>38</v>
      </c>
      <c r="U989" s="3">
        <v>19.905000000000001</v>
      </c>
      <c r="V989" s="16" t="str">
        <f>PROPER(Table1[[#This Row],[CVD Risk Level]])</f>
        <v>High</v>
      </c>
    </row>
    <row r="990" spans="1:22" x14ac:dyDescent="0.3">
      <c r="A990" t="s">
        <v>31</v>
      </c>
      <c r="B990" s="8">
        <v>60</v>
      </c>
      <c r="C990" s="8">
        <v>97.400999999999996</v>
      </c>
      <c r="D990" s="5">
        <v>1.7709999999999999</v>
      </c>
      <c r="E990" s="5">
        <v>32.968000000000004</v>
      </c>
      <c r="F990" s="16" t="s">
        <v>1302</v>
      </c>
      <c r="G990" s="11">
        <v>0.44800000000000001</v>
      </c>
      <c r="H990" s="5">
        <v>79.328000000000003</v>
      </c>
      <c r="I990" s="8">
        <v>40</v>
      </c>
      <c r="J990" s="8">
        <v>107</v>
      </c>
      <c r="K990" s="8">
        <v>177</v>
      </c>
      <c r="L990" s="8">
        <v>176</v>
      </c>
      <c r="M990" t="s">
        <v>1307</v>
      </c>
      <c r="N990" s="16" t="s">
        <v>23</v>
      </c>
      <c r="O990" s="16" t="s">
        <v>23</v>
      </c>
      <c r="P990" s="16" t="s">
        <v>28</v>
      </c>
      <c r="Q990" s="10" t="s">
        <v>846</v>
      </c>
      <c r="R990" s="3" t="str">
        <f t="shared" si="30"/>
        <v>147</v>
      </c>
      <c r="S990" s="3" t="str">
        <f t="shared" si="31"/>
        <v>78</v>
      </c>
      <c r="T990" s="16" t="s">
        <v>38</v>
      </c>
      <c r="U990" s="3">
        <v>19.484000000000002</v>
      </c>
      <c r="V990" s="16" t="str">
        <f>PROPER(Table1[[#This Row],[CVD Risk Level]])</f>
        <v>Intermediary</v>
      </c>
    </row>
    <row r="991" spans="1:22" x14ac:dyDescent="0.3">
      <c r="A991" t="s">
        <v>20</v>
      </c>
      <c r="B991" s="8">
        <v>44</v>
      </c>
      <c r="C991" s="8">
        <v>82.164000000000001</v>
      </c>
      <c r="D991" s="5">
        <v>1.986</v>
      </c>
      <c r="E991" s="5">
        <v>34.701000000000001</v>
      </c>
      <c r="F991" s="16" t="s">
        <v>1302</v>
      </c>
      <c r="G991" s="11">
        <v>0.59274924471299095</v>
      </c>
      <c r="H991" s="5">
        <v>117.72</v>
      </c>
      <c r="I991" s="8">
        <v>83</v>
      </c>
      <c r="J991" s="8">
        <v>172</v>
      </c>
      <c r="K991" s="8">
        <v>285</v>
      </c>
      <c r="L991" s="8">
        <v>73</v>
      </c>
      <c r="M991" t="s">
        <v>33</v>
      </c>
      <c r="N991" s="16" t="s">
        <v>22</v>
      </c>
      <c r="O991" s="16" t="s">
        <v>23</v>
      </c>
      <c r="P991" s="16" t="s">
        <v>37</v>
      </c>
      <c r="Q991" s="10" t="s">
        <v>847</v>
      </c>
      <c r="R991" s="3" t="str">
        <f t="shared" si="30"/>
        <v>154</v>
      </c>
      <c r="S991" s="3" t="str">
        <f t="shared" si="31"/>
        <v>69</v>
      </c>
      <c r="T991" s="16" t="s">
        <v>38</v>
      </c>
      <c r="U991" s="3">
        <v>22.34</v>
      </c>
      <c r="V991" s="16" t="str">
        <f>PROPER(Table1[[#This Row],[CVD Risk Level]])</f>
        <v>Low</v>
      </c>
    </row>
    <row r="992" spans="1:22" x14ac:dyDescent="0.3">
      <c r="A992" t="s">
        <v>31</v>
      </c>
      <c r="B992" s="8">
        <v>67</v>
      </c>
      <c r="C992" s="8">
        <v>93.938999999999993</v>
      </c>
      <c r="D992" s="5">
        <v>1.988</v>
      </c>
      <c r="E992" s="5">
        <v>28.5</v>
      </c>
      <c r="F992" s="16" t="s">
        <v>1303</v>
      </c>
      <c r="G992" s="11">
        <v>0.56699999999999995</v>
      </c>
      <c r="H992" s="5">
        <v>112.81399999999999</v>
      </c>
      <c r="I992" s="8">
        <v>45</v>
      </c>
      <c r="J992" s="8">
        <v>109</v>
      </c>
      <c r="K992" s="8">
        <v>174</v>
      </c>
      <c r="L992" s="8">
        <v>83</v>
      </c>
      <c r="M992" t="s">
        <v>33</v>
      </c>
      <c r="N992" s="16" t="s">
        <v>22</v>
      </c>
      <c r="O992" s="16" t="s">
        <v>23</v>
      </c>
      <c r="P992" s="16" t="s">
        <v>37</v>
      </c>
      <c r="Q992" s="10" t="s">
        <v>848</v>
      </c>
      <c r="R992" s="3" t="str">
        <f t="shared" si="30"/>
        <v>105</v>
      </c>
      <c r="S992" s="3" t="str">
        <f t="shared" si="31"/>
        <v>110</v>
      </c>
      <c r="T992" s="16" t="s">
        <v>38</v>
      </c>
      <c r="U992" s="3">
        <v>16.43</v>
      </c>
      <c r="V992" s="16" t="str">
        <f>PROPER(Table1[[#This Row],[CVD Risk Level]])</f>
        <v>High</v>
      </c>
    </row>
    <row r="993" spans="1:22" x14ac:dyDescent="0.3">
      <c r="A993" t="s">
        <v>31</v>
      </c>
      <c r="B993" s="8">
        <v>50</v>
      </c>
      <c r="C993" s="8">
        <v>77.491</v>
      </c>
      <c r="D993" s="5">
        <v>1.73</v>
      </c>
      <c r="E993" s="5">
        <v>19.614999999999998</v>
      </c>
      <c r="F993" s="16" t="s">
        <v>33</v>
      </c>
      <c r="G993" s="11">
        <v>0.54700000000000004</v>
      </c>
      <c r="H993" s="5">
        <v>94.611999999999995</v>
      </c>
      <c r="I993" s="8">
        <v>36</v>
      </c>
      <c r="J993" s="8">
        <v>90</v>
      </c>
      <c r="K993" s="8">
        <v>156</v>
      </c>
      <c r="L993" s="8">
        <v>174</v>
      </c>
      <c r="M993" t="s">
        <v>1307</v>
      </c>
      <c r="N993" s="16" t="s">
        <v>23</v>
      </c>
      <c r="O993" s="16" t="s">
        <v>22</v>
      </c>
      <c r="P993" s="16" t="s">
        <v>28</v>
      </c>
      <c r="Q993" s="10" t="s">
        <v>849</v>
      </c>
      <c r="R993" s="3" t="str">
        <f t="shared" si="30"/>
        <v>125</v>
      </c>
      <c r="S993" s="3" t="str">
        <f t="shared" si="31"/>
        <v>118</v>
      </c>
      <c r="T993" s="16" t="s">
        <v>38</v>
      </c>
      <c r="U993" s="3">
        <v>13.292999999999999</v>
      </c>
      <c r="V993" s="16" t="str">
        <f>PROPER(Table1[[#This Row],[CVD Risk Level]])</f>
        <v>Low</v>
      </c>
    </row>
    <row r="994" spans="1:22" x14ac:dyDescent="0.3">
      <c r="A994" t="s">
        <v>20</v>
      </c>
      <c r="B994" s="8">
        <v>38</v>
      </c>
      <c r="C994" s="8">
        <v>68.516000000000005</v>
      </c>
      <c r="D994" s="5">
        <v>1.929</v>
      </c>
      <c r="E994" s="5">
        <v>39.966999999999999</v>
      </c>
      <c r="F994" s="16" t="s">
        <v>1302</v>
      </c>
      <c r="G994" s="11">
        <v>0.503</v>
      </c>
      <c r="H994" s="5">
        <v>96.956999999999994</v>
      </c>
      <c r="I994" s="8">
        <v>52</v>
      </c>
      <c r="J994" s="8">
        <v>159</v>
      </c>
      <c r="K994" s="8">
        <v>241</v>
      </c>
      <c r="L994" s="8">
        <v>103</v>
      </c>
      <c r="M994" t="s">
        <v>1306</v>
      </c>
      <c r="N994" s="16" t="s">
        <v>23</v>
      </c>
      <c r="O994" s="16" t="s">
        <v>22</v>
      </c>
      <c r="P994" s="16" t="s">
        <v>37</v>
      </c>
      <c r="Q994" s="10" t="s">
        <v>850</v>
      </c>
      <c r="R994" s="3" t="str">
        <f t="shared" si="30"/>
        <v>105</v>
      </c>
      <c r="S994" s="3" t="str">
        <f t="shared" si="31"/>
        <v>84</v>
      </c>
      <c r="T994" s="16" t="s">
        <v>29</v>
      </c>
      <c r="U994" s="3">
        <v>18.062999999999999</v>
      </c>
      <c r="V994" s="16" t="str">
        <f>PROPER(Table1[[#This Row],[CVD Risk Level]])</f>
        <v>High</v>
      </c>
    </row>
    <row r="995" spans="1:22" x14ac:dyDescent="0.3">
      <c r="A995" t="s">
        <v>31</v>
      </c>
      <c r="B995" s="8">
        <v>77</v>
      </c>
      <c r="C995" s="8">
        <v>86.405000000000001</v>
      </c>
      <c r="D995" s="5">
        <v>1.972</v>
      </c>
      <c r="E995" s="5">
        <v>35.85</v>
      </c>
      <c r="F995" s="16" t="s">
        <v>1302</v>
      </c>
      <c r="G995" s="11">
        <v>0.505</v>
      </c>
      <c r="H995" s="5">
        <v>99.563999999999993</v>
      </c>
      <c r="I995" s="8">
        <v>40</v>
      </c>
      <c r="J995" s="8">
        <v>152</v>
      </c>
      <c r="K995" s="8">
        <v>222</v>
      </c>
      <c r="L995" s="8">
        <v>117.48563611491107</v>
      </c>
      <c r="M995" t="s">
        <v>1306</v>
      </c>
      <c r="N995" s="16" t="s">
        <v>22</v>
      </c>
      <c r="O995" s="16" t="s">
        <v>22</v>
      </c>
      <c r="P995" s="16" t="s">
        <v>37</v>
      </c>
      <c r="Q995" s="10" t="s">
        <v>851</v>
      </c>
      <c r="R995" s="3" t="str">
        <f t="shared" si="30"/>
        <v>129</v>
      </c>
      <c r="S995" s="3" t="str">
        <f t="shared" si="31"/>
        <v>93</v>
      </c>
      <c r="T995" s="16" t="s">
        <v>38</v>
      </c>
      <c r="U995" s="3">
        <v>18.059999999999999</v>
      </c>
      <c r="V995" s="16" t="str">
        <f>PROPER(Table1[[#This Row],[CVD Risk Level]])</f>
        <v>High</v>
      </c>
    </row>
    <row r="996" spans="1:22" x14ac:dyDescent="0.3">
      <c r="A996" t="s">
        <v>31</v>
      </c>
      <c r="B996" s="8">
        <v>51</v>
      </c>
      <c r="C996" s="8">
        <v>105</v>
      </c>
      <c r="D996" s="5">
        <v>2.0368411323835933</v>
      </c>
      <c r="E996" s="5">
        <v>25.309000000000001</v>
      </c>
      <c r="F996" s="16" t="s">
        <v>1303</v>
      </c>
      <c r="G996" s="11">
        <v>0.624</v>
      </c>
      <c r="H996" s="5">
        <v>110.277</v>
      </c>
      <c r="I996" s="8">
        <v>50</v>
      </c>
      <c r="J996" s="8">
        <v>46</v>
      </c>
      <c r="K996" s="8">
        <v>126</v>
      </c>
      <c r="L996" s="8">
        <v>91</v>
      </c>
      <c r="M996" t="s">
        <v>33</v>
      </c>
      <c r="N996" s="16" t="s">
        <v>22</v>
      </c>
      <c r="O996" s="16" t="s">
        <v>22</v>
      </c>
      <c r="P996" s="16" t="s">
        <v>37</v>
      </c>
      <c r="Q996" s="10" t="s">
        <v>852</v>
      </c>
      <c r="R996" s="3" t="str">
        <f t="shared" si="30"/>
        <v>144</v>
      </c>
      <c r="S996" s="3" t="str">
        <f t="shared" si="31"/>
        <v>93</v>
      </c>
      <c r="T996" s="16" t="s">
        <v>38</v>
      </c>
      <c r="U996" s="3">
        <v>16.960925291295425</v>
      </c>
      <c r="V996" s="16" t="str">
        <f>PROPER(Table1[[#This Row],[CVD Risk Level]])</f>
        <v>Intermediary</v>
      </c>
    </row>
    <row r="997" spans="1:22" x14ac:dyDescent="0.3">
      <c r="A997" t="s">
        <v>31</v>
      </c>
      <c r="B997" s="8">
        <v>42</v>
      </c>
      <c r="C997" s="8">
        <v>51.094999999999999</v>
      </c>
      <c r="D997" s="5">
        <v>1.5209999999999999</v>
      </c>
      <c r="E997" s="5">
        <v>20.190000000000001</v>
      </c>
      <c r="F997" s="16" t="s">
        <v>33</v>
      </c>
      <c r="G997" s="11">
        <v>0.47517422748191979</v>
      </c>
      <c r="H997" s="5">
        <v>72.274000000000001</v>
      </c>
      <c r="I997" s="8">
        <v>56.197377501725327</v>
      </c>
      <c r="J997" s="8">
        <v>211</v>
      </c>
      <c r="K997" s="8">
        <v>296</v>
      </c>
      <c r="L997" s="8">
        <v>123</v>
      </c>
      <c r="M997" t="s">
        <v>1306</v>
      </c>
      <c r="N997" s="16" t="s">
        <v>22</v>
      </c>
      <c r="O997" s="16" t="s">
        <v>22</v>
      </c>
      <c r="P997" s="16" t="s">
        <v>37</v>
      </c>
      <c r="Q997" s="10" t="s">
        <v>853</v>
      </c>
      <c r="R997" s="3" t="str">
        <f t="shared" si="30"/>
        <v>159</v>
      </c>
      <c r="S997" s="3" t="str">
        <f t="shared" si="31"/>
        <v>91</v>
      </c>
      <c r="T997" s="16" t="s">
        <v>38</v>
      </c>
      <c r="U997" s="3">
        <v>17.908000000000001</v>
      </c>
      <c r="V997" s="16" t="str">
        <f>PROPER(Table1[[#This Row],[CVD Risk Level]])</f>
        <v>Low</v>
      </c>
    </row>
    <row r="998" spans="1:22" x14ac:dyDescent="0.3">
      <c r="A998" t="s">
        <v>20</v>
      </c>
      <c r="B998" s="8">
        <v>52</v>
      </c>
      <c r="C998" s="8">
        <v>69.367000000000004</v>
      </c>
      <c r="D998" s="5">
        <v>1.8320000000000001</v>
      </c>
      <c r="E998" s="5">
        <v>30.099</v>
      </c>
      <c r="F998" s="16" t="s">
        <v>1302</v>
      </c>
      <c r="G998" s="11">
        <v>0.61399999999999999</v>
      </c>
      <c r="H998" s="5">
        <v>112.452</v>
      </c>
      <c r="I998" s="8">
        <v>47</v>
      </c>
      <c r="J998" s="8">
        <v>210</v>
      </c>
      <c r="K998" s="8">
        <v>514</v>
      </c>
      <c r="L998" s="8">
        <v>90</v>
      </c>
      <c r="M998" t="s">
        <v>33</v>
      </c>
      <c r="N998" s="16" t="s">
        <v>23</v>
      </c>
      <c r="O998" s="16" t="s">
        <v>22</v>
      </c>
      <c r="P998" s="16" t="s">
        <v>24</v>
      </c>
      <c r="Q998" s="10" t="s">
        <v>854</v>
      </c>
      <c r="R998" s="3" t="str">
        <f t="shared" si="30"/>
        <v>149</v>
      </c>
      <c r="S998" s="3" t="str">
        <f t="shared" si="31"/>
        <v>107</v>
      </c>
      <c r="T998" s="16" t="s">
        <v>38</v>
      </c>
      <c r="U998" s="3">
        <v>19.21</v>
      </c>
      <c r="V998" s="16" t="str">
        <f>PROPER(Table1[[#This Row],[CVD Risk Level]])</f>
        <v>Low</v>
      </c>
    </row>
    <row r="999" spans="1:22" x14ac:dyDescent="0.3">
      <c r="A999" t="s">
        <v>20</v>
      </c>
      <c r="B999" s="8">
        <v>60</v>
      </c>
      <c r="C999" s="8">
        <v>90.05</v>
      </c>
      <c r="D999" s="5">
        <v>1.6375274164254454</v>
      </c>
      <c r="E999" s="5">
        <v>33.582000000000001</v>
      </c>
      <c r="F999" s="16" t="s">
        <v>1302</v>
      </c>
      <c r="G999" s="11">
        <v>0.5</v>
      </c>
      <c r="H999" s="5">
        <v>85.075999999999993</v>
      </c>
      <c r="I999" s="8">
        <v>51</v>
      </c>
      <c r="J999" s="8">
        <v>157</v>
      </c>
      <c r="K999" s="8">
        <v>238</v>
      </c>
      <c r="L999" s="8">
        <v>161</v>
      </c>
      <c r="M999" t="s">
        <v>1307</v>
      </c>
      <c r="N999" s="16" t="s">
        <v>22</v>
      </c>
      <c r="O999" s="16" t="s">
        <v>23</v>
      </c>
      <c r="P999" s="16" t="s">
        <v>24</v>
      </c>
      <c r="Q999" s="10" t="s">
        <v>855</v>
      </c>
      <c r="R999" s="3" t="str">
        <f t="shared" si="30"/>
        <v>120</v>
      </c>
      <c r="S999" s="3" t="str">
        <f t="shared" si="31"/>
        <v>102</v>
      </c>
      <c r="T999" s="16" t="s">
        <v>38</v>
      </c>
      <c r="U999" s="3">
        <v>19.475999999999999</v>
      </c>
      <c r="V999" s="16" t="str">
        <f>PROPER(Table1[[#This Row],[CVD Risk Level]])</f>
        <v>Low</v>
      </c>
    </row>
    <row r="1000" spans="1:22" x14ac:dyDescent="0.3">
      <c r="A1000" t="s">
        <v>20</v>
      </c>
      <c r="B1000" s="8">
        <v>43</v>
      </c>
      <c r="C1000" s="8">
        <v>91.147999999999996</v>
      </c>
      <c r="D1000" s="5">
        <v>1.998</v>
      </c>
      <c r="E1000" s="5">
        <v>38.405000000000001</v>
      </c>
      <c r="F1000" s="16" t="s">
        <v>1302</v>
      </c>
      <c r="G1000" s="11">
        <v>0.54400000000000004</v>
      </c>
      <c r="H1000" s="5">
        <v>108.75</v>
      </c>
      <c r="I1000" s="8">
        <v>40</v>
      </c>
      <c r="J1000" s="8">
        <v>202</v>
      </c>
      <c r="K1000" s="8">
        <v>272</v>
      </c>
      <c r="L1000" s="8">
        <v>157</v>
      </c>
      <c r="M1000" t="s">
        <v>1307</v>
      </c>
      <c r="N1000" s="16" t="s">
        <v>22</v>
      </c>
      <c r="O1000" s="16" t="s">
        <v>23</v>
      </c>
      <c r="P1000" s="16" t="s">
        <v>24</v>
      </c>
      <c r="Q1000" s="10" t="s">
        <v>856</v>
      </c>
      <c r="R1000" s="3" t="str">
        <f t="shared" si="30"/>
        <v>108</v>
      </c>
      <c r="S1000" s="3" t="str">
        <f t="shared" si="31"/>
        <v>95</v>
      </c>
      <c r="T1000" s="16" t="s">
        <v>38</v>
      </c>
      <c r="U1000" s="3">
        <v>20.521000000000001</v>
      </c>
      <c r="V1000" s="16" t="str">
        <f>PROPER(Table1[[#This Row],[CVD Risk Level]])</f>
        <v>Low</v>
      </c>
    </row>
    <row r="1001" spans="1:22" x14ac:dyDescent="0.3">
      <c r="A1001" t="s">
        <v>31</v>
      </c>
      <c r="B1001" s="8">
        <v>65</v>
      </c>
      <c r="C1001" s="8">
        <v>80.069000000000003</v>
      </c>
      <c r="D1001" s="5">
        <v>1.656890342336556</v>
      </c>
      <c r="E1001" s="5">
        <v>29.166</v>
      </c>
      <c r="F1001" s="16" t="s">
        <v>1303</v>
      </c>
      <c r="G1001" s="11">
        <v>0.51900000000000002</v>
      </c>
      <c r="H1001" s="5">
        <v>80.971000000000004</v>
      </c>
      <c r="I1001" s="8">
        <v>35</v>
      </c>
      <c r="J1001" s="8">
        <v>86</v>
      </c>
      <c r="K1001" s="8">
        <v>151</v>
      </c>
      <c r="L1001" s="8">
        <v>70</v>
      </c>
      <c r="M1001" t="s">
        <v>33</v>
      </c>
      <c r="N1001" s="16" t="s">
        <v>22</v>
      </c>
      <c r="O1001" s="16" t="s">
        <v>23</v>
      </c>
      <c r="P1001" s="16" t="s">
        <v>28</v>
      </c>
      <c r="Q1001" s="10" t="s">
        <v>114</v>
      </c>
      <c r="R1001" s="3" t="str">
        <f t="shared" si="30"/>
        <v>120</v>
      </c>
      <c r="S1001" s="3" t="str">
        <f t="shared" si="31"/>
        <v>87</v>
      </c>
      <c r="T1001" s="16" t="s">
        <v>29</v>
      </c>
      <c r="U1001" s="3">
        <v>16.853000000000002</v>
      </c>
      <c r="V1001" s="16" t="str">
        <f>PROPER(Table1[[#This Row],[CVD Risk Level]])</f>
        <v>Intermediary</v>
      </c>
    </row>
    <row r="1002" spans="1:22" x14ac:dyDescent="0.3">
      <c r="A1002" t="s">
        <v>20</v>
      </c>
      <c r="B1002" s="8">
        <v>67</v>
      </c>
      <c r="C1002" s="8">
        <v>58.323999999999998</v>
      </c>
      <c r="D1002" s="5">
        <v>1.6339999999999999</v>
      </c>
      <c r="E1002" s="5">
        <v>36.951999999999998</v>
      </c>
      <c r="F1002" s="16" t="s">
        <v>1302</v>
      </c>
      <c r="G1002" s="11">
        <v>0.52800000000000002</v>
      </c>
      <c r="H1002" s="5">
        <v>86.34</v>
      </c>
      <c r="I1002" s="8">
        <v>86</v>
      </c>
      <c r="J1002" s="8">
        <v>117</v>
      </c>
      <c r="K1002" s="8">
        <v>233</v>
      </c>
      <c r="L1002" s="8">
        <v>114</v>
      </c>
      <c r="M1002" t="s">
        <v>1306</v>
      </c>
      <c r="N1002" s="16" t="s">
        <v>23</v>
      </c>
      <c r="O1002" s="16" t="s">
        <v>23</v>
      </c>
      <c r="P1002" s="16" t="s">
        <v>24</v>
      </c>
      <c r="Q1002" s="10" t="s">
        <v>857</v>
      </c>
      <c r="R1002" s="3" t="str">
        <f t="shared" si="30"/>
        <v>168</v>
      </c>
      <c r="S1002" s="3" t="str">
        <f t="shared" si="31"/>
        <v>60</v>
      </c>
      <c r="T1002" s="16" t="s">
        <v>38</v>
      </c>
      <c r="U1002" s="3">
        <v>22.45</v>
      </c>
      <c r="V1002" s="16" t="str">
        <f>PROPER(Table1[[#This Row],[CVD Risk Level]])</f>
        <v>Low</v>
      </c>
    </row>
    <row r="1003" spans="1:22" x14ac:dyDescent="0.3">
      <c r="A1003" t="s">
        <v>31</v>
      </c>
      <c r="B1003" s="8">
        <v>52</v>
      </c>
      <c r="C1003" s="8">
        <v>55.683999999999997</v>
      </c>
      <c r="D1003" s="5">
        <v>1.552</v>
      </c>
      <c r="E1003" s="5">
        <v>23.117826017642681</v>
      </c>
      <c r="F1003" s="16" t="s">
        <v>33</v>
      </c>
      <c r="G1003" s="11">
        <v>0.66900000000000004</v>
      </c>
      <c r="H1003" s="5">
        <v>103.846</v>
      </c>
      <c r="I1003" s="8">
        <v>53</v>
      </c>
      <c r="J1003" s="8">
        <v>215</v>
      </c>
      <c r="K1003" s="8">
        <v>298</v>
      </c>
      <c r="L1003" s="8">
        <v>149</v>
      </c>
      <c r="M1003" t="s">
        <v>1307</v>
      </c>
      <c r="N1003" s="16" t="s">
        <v>23</v>
      </c>
      <c r="O1003" s="16" t="s">
        <v>23</v>
      </c>
      <c r="P1003" s="16" t="s">
        <v>24</v>
      </c>
      <c r="Q1003" s="10" t="s">
        <v>858</v>
      </c>
      <c r="R1003" s="3" t="str">
        <f t="shared" si="30"/>
        <v>147</v>
      </c>
      <c r="S1003" s="3" t="str">
        <f t="shared" si="31"/>
        <v>87</v>
      </c>
      <c r="T1003" s="16" t="s">
        <v>29</v>
      </c>
      <c r="U1003" s="3">
        <v>21.032</v>
      </c>
      <c r="V1003" s="16" t="str">
        <f>PROPER(Table1[[#This Row],[CVD Risk Level]])</f>
        <v>High</v>
      </c>
    </row>
    <row r="1004" spans="1:22" x14ac:dyDescent="0.3">
      <c r="A1004" t="s">
        <v>20</v>
      </c>
      <c r="B1004" s="8">
        <v>28</v>
      </c>
      <c r="C1004" s="8">
        <v>88.094999999999999</v>
      </c>
      <c r="D1004" s="5">
        <v>1.738</v>
      </c>
      <c r="E1004" s="5">
        <v>24.181999999999999</v>
      </c>
      <c r="F1004" s="16" t="s">
        <v>33</v>
      </c>
      <c r="G1004" s="11">
        <v>0.40300000000000002</v>
      </c>
      <c r="H1004" s="5">
        <v>70.090999999999994</v>
      </c>
      <c r="I1004" s="8">
        <v>35</v>
      </c>
      <c r="J1004" s="8">
        <v>76</v>
      </c>
      <c r="K1004" s="8">
        <v>141</v>
      </c>
      <c r="L1004" s="8">
        <v>74</v>
      </c>
      <c r="M1004" t="s">
        <v>33</v>
      </c>
      <c r="N1004" s="16" t="s">
        <v>23</v>
      </c>
      <c r="O1004" s="16" t="s">
        <v>23</v>
      </c>
      <c r="P1004" s="16" t="s">
        <v>24</v>
      </c>
      <c r="Q1004" s="10" t="s">
        <v>859</v>
      </c>
      <c r="R1004" s="3" t="str">
        <f t="shared" si="30"/>
        <v>99</v>
      </c>
      <c r="S1004" s="3" t="str">
        <f t="shared" si="31"/>
        <v>80</v>
      </c>
      <c r="T1004" s="16" t="s">
        <v>29</v>
      </c>
      <c r="U1004" s="3">
        <v>14.606</v>
      </c>
      <c r="V1004" s="16" t="str">
        <f>PROPER(Table1[[#This Row],[CVD Risk Level]])</f>
        <v>Intermediary</v>
      </c>
    </row>
    <row r="1005" spans="1:22" x14ac:dyDescent="0.3">
      <c r="A1005" t="s">
        <v>31</v>
      </c>
      <c r="B1005" s="8">
        <v>79</v>
      </c>
      <c r="C1005" s="8">
        <v>102.027</v>
      </c>
      <c r="D1005" s="5">
        <v>1.786</v>
      </c>
      <c r="E1005" s="5">
        <v>18.585000000000001</v>
      </c>
      <c r="F1005" s="16" t="s">
        <v>33</v>
      </c>
      <c r="G1005" s="11">
        <v>0.46899999999999997</v>
      </c>
      <c r="H1005" s="5">
        <v>83.74</v>
      </c>
      <c r="I1005" s="8">
        <v>87</v>
      </c>
      <c r="J1005" s="8">
        <v>65</v>
      </c>
      <c r="K1005" s="8">
        <v>182</v>
      </c>
      <c r="L1005" s="8">
        <v>102</v>
      </c>
      <c r="M1005" t="s">
        <v>1306</v>
      </c>
      <c r="N1005" s="16" t="s">
        <v>23</v>
      </c>
      <c r="O1005" s="16" t="s">
        <v>22</v>
      </c>
      <c r="P1005" s="16" t="s">
        <v>24</v>
      </c>
      <c r="Q1005" s="10" t="s">
        <v>860</v>
      </c>
      <c r="R1005" s="3" t="str">
        <f t="shared" si="30"/>
        <v>152</v>
      </c>
      <c r="S1005" s="3" t="str">
        <f t="shared" si="31"/>
        <v>109</v>
      </c>
      <c r="T1005" s="16" t="s">
        <v>38</v>
      </c>
      <c r="U1005" s="3">
        <v>14.957000000000001</v>
      </c>
      <c r="V1005" s="16" t="str">
        <f>PROPER(Table1[[#This Row],[CVD Risk Level]])</f>
        <v>Intermediary</v>
      </c>
    </row>
    <row r="1006" spans="1:22" x14ac:dyDescent="0.3">
      <c r="A1006" t="s">
        <v>20</v>
      </c>
      <c r="B1006" s="8">
        <v>54</v>
      </c>
      <c r="C1006" s="8">
        <v>98.343000000000004</v>
      </c>
      <c r="D1006" s="5">
        <v>1.887</v>
      </c>
      <c r="E1006" s="5">
        <v>35.972999999999999</v>
      </c>
      <c r="F1006" s="16" t="s">
        <v>1302</v>
      </c>
      <c r="G1006" s="11">
        <v>0.54700000000000004</v>
      </c>
      <c r="H1006" s="5">
        <v>103.28400000000001</v>
      </c>
      <c r="I1006" s="8">
        <v>64</v>
      </c>
      <c r="J1006" s="8">
        <v>201</v>
      </c>
      <c r="K1006" s="8">
        <v>295</v>
      </c>
      <c r="L1006" s="8">
        <v>75</v>
      </c>
      <c r="M1006" t="s">
        <v>33</v>
      </c>
      <c r="N1006" s="16" t="s">
        <v>23</v>
      </c>
      <c r="O1006" s="16" t="s">
        <v>23</v>
      </c>
      <c r="P1006" s="16" t="s">
        <v>37</v>
      </c>
      <c r="Q1006" s="10" t="s">
        <v>861</v>
      </c>
      <c r="R1006" s="3" t="str">
        <f t="shared" si="30"/>
        <v>104</v>
      </c>
      <c r="S1006" s="3" t="str">
        <f t="shared" si="31"/>
        <v>99</v>
      </c>
      <c r="T1006" s="16" t="s">
        <v>38</v>
      </c>
      <c r="U1006" s="3">
        <v>20.295000000000002</v>
      </c>
      <c r="V1006" s="16" t="str">
        <f>PROPER(Table1[[#This Row],[CVD Risk Level]])</f>
        <v>Low</v>
      </c>
    </row>
    <row r="1007" spans="1:22" x14ac:dyDescent="0.3">
      <c r="A1007" t="s">
        <v>31</v>
      </c>
      <c r="B1007" s="8">
        <v>79</v>
      </c>
      <c r="C1007" s="8">
        <v>75.956999999999994</v>
      </c>
      <c r="D1007" s="5">
        <v>1.6539999999999999</v>
      </c>
      <c r="E1007" s="5">
        <v>21.277999999999999</v>
      </c>
      <c r="F1007" s="16" t="s">
        <v>33</v>
      </c>
      <c r="G1007" s="11">
        <v>0.70799999999999996</v>
      </c>
      <c r="H1007" s="5">
        <v>117.142</v>
      </c>
      <c r="I1007" s="8">
        <v>61</v>
      </c>
      <c r="J1007" s="8">
        <v>21</v>
      </c>
      <c r="K1007" s="8">
        <v>112</v>
      </c>
      <c r="L1007" s="8">
        <v>89</v>
      </c>
      <c r="M1007" t="s">
        <v>33</v>
      </c>
      <c r="N1007" s="16" t="s">
        <v>22</v>
      </c>
      <c r="O1007" s="16" t="s">
        <v>22</v>
      </c>
      <c r="P1007" s="16" t="s">
        <v>28</v>
      </c>
      <c r="Q1007" s="10" t="s">
        <v>862</v>
      </c>
      <c r="R1007" s="3" t="str">
        <f t="shared" si="30"/>
        <v>155</v>
      </c>
      <c r="S1007" s="3" t="str">
        <f t="shared" si="31"/>
        <v>119</v>
      </c>
      <c r="T1007" s="16" t="s">
        <v>38</v>
      </c>
      <c r="U1007" s="3">
        <v>14.246</v>
      </c>
      <c r="V1007" s="16" t="str">
        <f>PROPER(Table1[[#This Row],[CVD Risk Level]])</f>
        <v>Intermediary</v>
      </c>
    </row>
    <row r="1008" spans="1:22" x14ac:dyDescent="0.3">
      <c r="A1008" t="s">
        <v>31</v>
      </c>
      <c r="B1008" s="8">
        <v>27</v>
      </c>
      <c r="C1008" s="8">
        <v>114.312</v>
      </c>
      <c r="D1008" s="5">
        <v>1.6879999999999999</v>
      </c>
      <c r="E1008" s="5">
        <v>25.163</v>
      </c>
      <c r="F1008" s="16" t="s">
        <v>1303</v>
      </c>
      <c r="G1008" s="11">
        <v>0.58399999999999996</v>
      </c>
      <c r="H1008" s="5">
        <v>98.579199999999986</v>
      </c>
      <c r="I1008" s="8">
        <v>41</v>
      </c>
      <c r="J1008" s="8">
        <v>139</v>
      </c>
      <c r="K1008" s="8">
        <v>210</v>
      </c>
      <c r="L1008" s="8">
        <v>80</v>
      </c>
      <c r="M1008" t="s">
        <v>33</v>
      </c>
      <c r="N1008" s="16" t="s">
        <v>23</v>
      </c>
      <c r="O1008" s="16" t="s">
        <v>22</v>
      </c>
      <c r="P1008" s="16" t="s">
        <v>24</v>
      </c>
      <c r="Q1008" s="10" t="s">
        <v>863</v>
      </c>
      <c r="R1008" s="3" t="str">
        <f t="shared" si="30"/>
        <v>140</v>
      </c>
      <c r="S1008" s="3" t="str">
        <f t="shared" si="31"/>
        <v>106</v>
      </c>
      <c r="T1008" s="16" t="s">
        <v>38</v>
      </c>
      <c r="U1008" s="3">
        <v>16.233000000000001</v>
      </c>
      <c r="V1008" s="16" t="str">
        <f>PROPER(Table1[[#This Row],[CVD Risk Level]])</f>
        <v>Intermediary</v>
      </c>
    </row>
    <row r="1009" spans="1:22" x14ac:dyDescent="0.3">
      <c r="A1009" t="s">
        <v>20</v>
      </c>
      <c r="B1009" s="8">
        <v>70</v>
      </c>
      <c r="C1009" s="8">
        <v>115.32012574399999</v>
      </c>
      <c r="D1009" s="5">
        <v>1.754</v>
      </c>
      <c r="E1009" s="5">
        <v>37.484000000000002</v>
      </c>
      <c r="F1009" s="16" t="s">
        <v>1302</v>
      </c>
      <c r="G1009" s="11">
        <v>0.54500000000000004</v>
      </c>
      <c r="H1009" s="5">
        <v>95.49</v>
      </c>
      <c r="I1009" s="8">
        <v>65</v>
      </c>
      <c r="J1009" s="8">
        <v>77</v>
      </c>
      <c r="K1009" s="8">
        <v>172</v>
      </c>
      <c r="L1009" s="8">
        <v>141</v>
      </c>
      <c r="M1009" t="s">
        <v>1307</v>
      </c>
      <c r="N1009" s="16" t="s">
        <v>22</v>
      </c>
      <c r="O1009" s="16" t="s">
        <v>22</v>
      </c>
      <c r="P1009" s="16" t="s">
        <v>24</v>
      </c>
      <c r="Q1009" s="10" t="s">
        <v>864</v>
      </c>
      <c r="R1009" s="3" t="str">
        <f t="shared" si="30"/>
        <v>113</v>
      </c>
      <c r="S1009" s="3" t="str">
        <f t="shared" si="31"/>
        <v>119</v>
      </c>
      <c r="T1009" s="16" t="s">
        <v>38</v>
      </c>
      <c r="U1009" s="3">
        <v>16.587</v>
      </c>
      <c r="V1009" s="16" t="str">
        <f>PROPER(Table1[[#This Row],[CVD Risk Level]])</f>
        <v>Low</v>
      </c>
    </row>
    <row r="1010" spans="1:22" x14ac:dyDescent="0.3">
      <c r="A1010" t="s">
        <v>20</v>
      </c>
      <c r="B1010" s="8">
        <v>37</v>
      </c>
      <c r="C1010" s="8">
        <v>82.742999999999995</v>
      </c>
      <c r="D1010" s="5">
        <v>1.9770000000000001</v>
      </c>
      <c r="E1010" s="5">
        <v>24.571999999999999</v>
      </c>
      <c r="F1010" s="16" t="s">
        <v>33</v>
      </c>
      <c r="G1010" s="11">
        <v>0.48099999999999998</v>
      </c>
      <c r="H1010" s="5">
        <v>95.001999999999995</v>
      </c>
      <c r="I1010" s="8">
        <v>57</v>
      </c>
      <c r="J1010" s="8">
        <v>195</v>
      </c>
      <c r="K1010" s="8">
        <v>282</v>
      </c>
      <c r="L1010" s="8">
        <v>164</v>
      </c>
      <c r="M1010" t="s">
        <v>1307</v>
      </c>
      <c r="N1010" s="16" t="s">
        <v>22</v>
      </c>
      <c r="O1010" s="16" t="s">
        <v>23</v>
      </c>
      <c r="P1010" s="16" t="s">
        <v>24</v>
      </c>
      <c r="Q1010" s="10" t="s">
        <v>865</v>
      </c>
      <c r="R1010" s="3" t="str">
        <f t="shared" si="30"/>
        <v>136</v>
      </c>
      <c r="S1010" s="3" t="str">
        <f t="shared" si="31"/>
        <v>114</v>
      </c>
      <c r="T1010" s="16" t="s">
        <v>29</v>
      </c>
      <c r="U1010" s="3">
        <v>19.353999999999999</v>
      </c>
      <c r="V1010" s="16" t="str">
        <f>PROPER(Table1[[#This Row],[CVD Risk Level]])</f>
        <v>High</v>
      </c>
    </row>
    <row r="1011" spans="1:22" x14ac:dyDescent="0.3">
      <c r="A1011" t="s">
        <v>31</v>
      </c>
      <c r="B1011" s="8">
        <v>43</v>
      </c>
      <c r="C1011" s="8">
        <v>98.221999999999994</v>
      </c>
      <c r="D1011" s="5">
        <v>1.9830000000000001</v>
      </c>
      <c r="E1011" s="5">
        <v>24.088999999999999</v>
      </c>
      <c r="F1011" s="16" t="s">
        <v>33</v>
      </c>
      <c r="G1011" s="11">
        <v>0.58899999999999997</v>
      </c>
      <c r="H1011" s="5">
        <v>116.852</v>
      </c>
      <c r="I1011" s="8">
        <v>47</v>
      </c>
      <c r="J1011" s="8">
        <v>75</v>
      </c>
      <c r="K1011" s="8">
        <v>152</v>
      </c>
      <c r="L1011" s="8">
        <v>117.48563611491107</v>
      </c>
      <c r="M1011" t="s">
        <v>1306</v>
      </c>
      <c r="N1011" s="16" t="s">
        <v>23</v>
      </c>
      <c r="O1011" s="16" t="s">
        <v>22</v>
      </c>
      <c r="P1011" s="16" t="s">
        <v>28</v>
      </c>
      <c r="Q1011" s="10" t="s">
        <v>866</v>
      </c>
      <c r="R1011" s="3" t="str">
        <f t="shared" si="30"/>
        <v>103</v>
      </c>
      <c r="S1011" s="3" t="str">
        <f t="shared" si="31"/>
        <v>68</v>
      </c>
      <c r="T1011" s="16" t="s">
        <v>33</v>
      </c>
      <c r="U1011" s="3">
        <v>13.007999999999999</v>
      </c>
      <c r="V1011" s="16" t="str">
        <f>PROPER(Table1[[#This Row],[CVD Risk Level]])</f>
        <v>High</v>
      </c>
    </row>
    <row r="1012" spans="1:22" x14ac:dyDescent="0.3">
      <c r="A1012" t="s">
        <v>31</v>
      </c>
      <c r="B1012" s="8">
        <v>31</v>
      </c>
      <c r="C1012" s="8">
        <v>104.34399999999999</v>
      </c>
      <c r="D1012" s="5">
        <v>1.9550000000000001</v>
      </c>
      <c r="E1012" s="5">
        <v>27.114999999999998</v>
      </c>
      <c r="F1012" s="16" t="s">
        <v>1303</v>
      </c>
      <c r="G1012" s="11">
        <v>0.38</v>
      </c>
      <c r="H1012" s="5">
        <v>74.353999999999999</v>
      </c>
      <c r="I1012" s="8">
        <v>39</v>
      </c>
      <c r="J1012" s="8">
        <v>91</v>
      </c>
      <c r="K1012" s="8">
        <v>160</v>
      </c>
      <c r="L1012" s="8">
        <v>89</v>
      </c>
      <c r="M1012" t="s">
        <v>33</v>
      </c>
      <c r="N1012" s="16" t="s">
        <v>22</v>
      </c>
      <c r="O1012" s="16" t="s">
        <v>22</v>
      </c>
      <c r="P1012" s="16" t="s">
        <v>24</v>
      </c>
      <c r="Q1012" s="10" t="s">
        <v>867</v>
      </c>
      <c r="R1012" s="3" t="str">
        <f t="shared" si="30"/>
        <v>174</v>
      </c>
      <c r="S1012" s="3" t="str">
        <f t="shared" si="31"/>
        <v>119</v>
      </c>
      <c r="T1012" s="16" t="s">
        <v>38</v>
      </c>
      <c r="U1012" s="3">
        <v>17.323</v>
      </c>
      <c r="V1012" s="16" t="str">
        <f>PROPER(Table1[[#This Row],[CVD Risk Level]])</f>
        <v>Intermediary</v>
      </c>
    </row>
    <row r="1013" spans="1:22" x14ac:dyDescent="0.3">
      <c r="A1013" t="s">
        <v>31</v>
      </c>
      <c r="B1013" s="8">
        <v>30</v>
      </c>
      <c r="C1013" s="8">
        <v>72.361999999999995</v>
      </c>
      <c r="D1013" s="5">
        <v>1.5920000000000001</v>
      </c>
      <c r="E1013" s="5">
        <v>27.881</v>
      </c>
      <c r="F1013" s="16" t="s">
        <v>1303</v>
      </c>
      <c r="G1013" s="11">
        <v>0.73499999999999999</v>
      </c>
      <c r="H1013" s="5">
        <v>117.02200000000001</v>
      </c>
      <c r="I1013" s="8">
        <v>40</v>
      </c>
      <c r="J1013" s="8">
        <v>37</v>
      </c>
      <c r="K1013" s="8">
        <v>107</v>
      </c>
      <c r="L1013" s="8">
        <v>97</v>
      </c>
      <c r="M1013" t="s">
        <v>33</v>
      </c>
      <c r="N1013" s="16" t="s">
        <v>22</v>
      </c>
      <c r="O1013" s="16" t="s">
        <v>23</v>
      </c>
      <c r="P1013" s="16" t="s">
        <v>24</v>
      </c>
      <c r="Q1013" s="10" t="s">
        <v>431</v>
      </c>
      <c r="R1013" s="3" t="str">
        <f t="shared" si="30"/>
        <v>121</v>
      </c>
      <c r="S1013" s="3" t="str">
        <f t="shared" si="31"/>
        <v>92</v>
      </c>
      <c r="T1013" s="16" t="s">
        <v>38</v>
      </c>
      <c r="U1013" s="3">
        <v>15.766</v>
      </c>
      <c r="V1013" s="16" t="str">
        <f>PROPER(Table1[[#This Row],[CVD Risk Level]])</f>
        <v>High</v>
      </c>
    </row>
    <row r="1014" spans="1:22" x14ac:dyDescent="0.3">
      <c r="A1014" t="s">
        <v>20</v>
      </c>
      <c r="B1014" s="8">
        <v>72</v>
      </c>
      <c r="C1014" s="8">
        <v>68.852999999999994</v>
      </c>
      <c r="D1014" s="5">
        <v>1.9510000000000001</v>
      </c>
      <c r="E1014" s="5">
        <v>24.155999999999999</v>
      </c>
      <c r="F1014" s="16" t="s">
        <v>33</v>
      </c>
      <c r="G1014" s="11">
        <v>0.42199999999999999</v>
      </c>
      <c r="H1014" s="5">
        <v>82.284999999999997</v>
      </c>
      <c r="I1014" s="8">
        <v>56.197377501725327</v>
      </c>
      <c r="J1014" s="8">
        <v>107</v>
      </c>
      <c r="K1014" s="8">
        <v>192</v>
      </c>
      <c r="L1014" s="8">
        <v>183</v>
      </c>
      <c r="M1014" t="s">
        <v>1307</v>
      </c>
      <c r="N1014" s="16" t="s">
        <v>23</v>
      </c>
      <c r="O1014" s="16" t="s">
        <v>22</v>
      </c>
      <c r="P1014" s="16" t="s">
        <v>28</v>
      </c>
      <c r="Q1014" s="10" t="s">
        <v>443</v>
      </c>
      <c r="R1014" s="3" t="str">
        <f t="shared" si="30"/>
        <v>116</v>
      </c>
      <c r="S1014" s="3" t="str">
        <f t="shared" si="31"/>
        <v>86</v>
      </c>
      <c r="T1014" s="16" t="s">
        <v>29</v>
      </c>
      <c r="U1014" s="3">
        <v>14.471</v>
      </c>
      <c r="V1014" s="16" t="str">
        <f>PROPER(Table1[[#This Row],[CVD Risk Level]])</f>
        <v>Intermediary</v>
      </c>
    </row>
    <row r="1015" spans="1:22" x14ac:dyDescent="0.3">
      <c r="A1015" t="s">
        <v>31</v>
      </c>
      <c r="B1015" s="8">
        <v>37</v>
      </c>
      <c r="C1015" s="8">
        <v>117.678</v>
      </c>
      <c r="D1015" s="5">
        <v>1.7929999999999999</v>
      </c>
      <c r="E1015" s="5">
        <v>23.637</v>
      </c>
      <c r="F1015" s="16" t="s">
        <v>33</v>
      </c>
      <c r="G1015" s="11">
        <v>0.58599999999999997</v>
      </c>
      <c r="H1015" s="5">
        <v>105.11</v>
      </c>
      <c r="I1015" s="8">
        <v>41</v>
      </c>
      <c r="J1015" s="8">
        <v>198</v>
      </c>
      <c r="K1015" s="8">
        <v>269</v>
      </c>
      <c r="L1015" s="8">
        <v>103</v>
      </c>
      <c r="M1015" t="s">
        <v>1306</v>
      </c>
      <c r="N1015" s="16" t="s">
        <v>22</v>
      </c>
      <c r="O1015" s="16" t="s">
        <v>23</v>
      </c>
      <c r="P1015" s="16" t="s">
        <v>28</v>
      </c>
      <c r="Q1015" s="10" t="s">
        <v>868</v>
      </c>
      <c r="R1015" s="3" t="str">
        <f t="shared" si="30"/>
        <v>121</v>
      </c>
      <c r="S1015" s="3" t="str">
        <f t="shared" si="31"/>
        <v>72</v>
      </c>
      <c r="T1015" s="16" t="s">
        <v>25</v>
      </c>
      <c r="U1015" s="3">
        <v>18.157</v>
      </c>
      <c r="V1015" s="16" t="str">
        <f>PROPER(Table1[[#This Row],[CVD Risk Level]])</f>
        <v>High</v>
      </c>
    </row>
    <row r="1016" spans="1:22" x14ac:dyDescent="0.3">
      <c r="A1016" t="s">
        <v>31</v>
      </c>
      <c r="B1016" s="8">
        <v>46</v>
      </c>
      <c r="C1016" s="8">
        <v>58.262999999999998</v>
      </c>
      <c r="D1016" s="5">
        <v>1.6160000000000001</v>
      </c>
      <c r="E1016" s="5">
        <v>30.568999999999999</v>
      </c>
      <c r="F1016" s="16" t="s">
        <v>1302</v>
      </c>
      <c r="G1016" s="11">
        <v>0.51500000000000001</v>
      </c>
      <c r="H1016" s="5">
        <v>83.263999999999996</v>
      </c>
      <c r="I1016" s="8">
        <v>49</v>
      </c>
      <c r="J1016" s="8">
        <v>165</v>
      </c>
      <c r="K1016" s="8">
        <v>244</v>
      </c>
      <c r="L1016" s="8">
        <v>115</v>
      </c>
      <c r="M1016" t="s">
        <v>1306</v>
      </c>
      <c r="N1016" s="16" t="s">
        <v>23</v>
      </c>
      <c r="O1016" s="16" t="s">
        <v>23</v>
      </c>
      <c r="P1016" s="16" t="s">
        <v>24</v>
      </c>
      <c r="Q1016" s="10" t="s">
        <v>869</v>
      </c>
      <c r="R1016" s="3" t="str">
        <f t="shared" si="30"/>
        <v>109</v>
      </c>
      <c r="S1016" s="3" t="str">
        <f t="shared" si="31"/>
        <v>78</v>
      </c>
      <c r="T1016" s="16" t="s">
        <v>33</v>
      </c>
      <c r="U1016" s="3">
        <v>18.443999999999999</v>
      </c>
      <c r="V1016" s="16" t="str">
        <f>PROPER(Table1[[#This Row],[CVD Risk Level]])</f>
        <v>Low</v>
      </c>
    </row>
    <row r="1017" spans="1:22" x14ac:dyDescent="0.3">
      <c r="A1017" t="s">
        <v>31</v>
      </c>
      <c r="B1017" s="8">
        <v>70</v>
      </c>
      <c r="C1017" s="8">
        <v>114.137</v>
      </c>
      <c r="D1017" s="5">
        <v>1.9770000000000001</v>
      </c>
      <c r="E1017" s="5">
        <v>19.395</v>
      </c>
      <c r="F1017" s="16" t="s">
        <v>33</v>
      </c>
      <c r="G1017" s="11">
        <v>0.434</v>
      </c>
      <c r="H1017" s="5">
        <v>85.766000000000005</v>
      </c>
      <c r="I1017" s="8">
        <v>64</v>
      </c>
      <c r="J1017" s="8">
        <v>10</v>
      </c>
      <c r="K1017" s="8">
        <v>104</v>
      </c>
      <c r="L1017" s="8">
        <v>94</v>
      </c>
      <c r="M1017" t="s">
        <v>33</v>
      </c>
      <c r="N1017" s="16" t="s">
        <v>22</v>
      </c>
      <c r="O1017" s="16" t="s">
        <v>23</v>
      </c>
      <c r="P1017" s="16" t="s">
        <v>28</v>
      </c>
      <c r="Q1017" s="10" t="s">
        <v>870</v>
      </c>
      <c r="R1017" s="3" t="str">
        <f t="shared" si="30"/>
        <v>162</v>
      </c>
      <c r="S1017" s="3" t="str">
        <f t="shared" si="31"/>
        <v>118</v>
      </c>
      <c r="T1017" s="16" t="s">
        <v>38</v>
      </c>
      <c r="U1017" s="3">
        <v>16.059000000000001</v>
      </c>
      <c r="V1017" s="16" t="str">
        <f>PROPER(Table1[[#This Row],[CVD Risk Level]])</f>
        <v>Intermediary</v>
      </c>
    </row>
    <row r="1018" spans="1:22" x14ac:dyDescent="0.3">
      <c r="A1018" t="s">
        <v>31</v>
      </c>
      <c r="B1018" s="8">
        <v>54</v>
      </c>
      <c r="C1018" s="8">
        <v>103.97</v>
      </c>
      <c r="D1018" s="5">
        <v>1.5589999999999999</v>
      </c>
      <c r="E1018" s="5">
        <v>37.058</v>
      </c>
      <c r="F1018" s="16" t="s">
        <v>1302</v>
      </c>
      <c r="G1018" s="11">
        <v>0.72299999999999998</v>
      </c>
      <c r="H1018" s="5">
        <v>112.72199999999999</v>
      </c>
      <c r="I1018" s="8">
        <v>72</v>
      </c>
      <c r="J1018" s="8">
        <v>67</v>
      </c>
      <c r="K1018" s="8">
        <v>169</v>
      </c>
      <c r="L1018" s="8">
        <v>74</v>
      </c>
      <c r="M1018" t="s">
        <v>33</v>
      </c>
      <c r="N1018" s="16" t="s">
        <v>22</v>
      </c>
      <c r="O1018" s="16" t="s">
        <v>23</v>
      </c>
      <c r="P1018" s="16" t="s">
        <v>28</v>
      </c>
      <c r="Q1018" s="10" t="s">
        <v>871</v>
      </c>
      <c r="R1018" s="3" t="str">
        <f t="shared" si="30"/>
        <v>155</v>
      </c>
      <c r="S1018" s="3" t="str">
        <f t="shared" si="31"/>
        <v>70</v>
      </c>
      <c r="T1018" s="16" t="s">
        <v>38</v>
      </c>
      <c r="U1018" s="3">
        <v>20.542000000000002</v>
      </c>
      <c r="V1018" s="16" t="str">
        <f>PROPER(Table1[[#This Row],[CVD Risk Level]])</f>
        <v>Low</v>
      </c>
    </row>
    <row r="1019" spans="1:22" x14ac:dyDescent="0.3">
      <c r="A1019" t="s">
        <v>31</v>
      </c>
      <c r="B1019" s="8">
        <v>61</v>
      </c>
      <c r="C1019" s="8">
        <v>86.75</v>
      </c>
      <c r="D1019" s="5">
        <v>1.7569999999999999</v>
      </c>
      <c r="E1019" s="5">
        <v>24.963000000000001</v>
      </c>
      <c r="F1019" s="16" t="s">
        <v>33</v>
      </c>
      <c r="G1019" s="11">
        <v>0.63100000000000001</v>
      </c>
      <c r="H1019" s="5">
        <v>110.819</v>
      </c>
      <c r="I1019" s="8">
        <v>56.197377501725327</v>
      </c>
      <c r="J1019" s="8">
        <v>124</v>
      </c>
      <c r="K1019" s="8">
        <v>207</v>
      </c>
      <c r="L1019" s="8">
        <v>115</v>
      </c>
      <c r="M1019" t="s">
        <v>1306</v>
      </c>
      <c r="N1019" s="16" t="s">
        <v>23</v>
      </c>
      <c r="O1019" s="16" t="s">
        <v>22</v>
      </c>
      <c r="P1019" s="16" t="s">
        <v>24</v>
      </c>
      <c r="Q1019" s="10" t="s">
        <v>872</v>
      </c>
      <c r="R1019" s="3" t="str">
        <f t="shared" si="30"/>
        <v>169</v>
      </c>
      <c r="S1019" s="3" t="str">
        <f t="shared" si="31"/>
        <v>89</v>
      </c>
      <c r="T1019" s="16" t="s">
        <v>29</v>
      </c>
      <c r="U1019" s="3">
        <v>17.582999999999998</v>
      </c>
      <c r="V1019" s="16" t="str">
        <f>PROPER(Table1[[#This Row],[CVD Risk Level]])</f>
        <v>Low</v>
      </c>
    </row>
    <row r="1020" spans="1:22" x14ac:dyDescent="0.3">
      <c r="A1020" t="s">
        <v>31</v>
      </c>
      <c r="B1020" s="8">
        <v>76</v>
      </c>
      <c r="C1020" s="8">
        <v>58.598999999999997</v>
      </c>
      <c r="D1020" s="5">
        <v>1.5740000000000001</v>
      </c>
      <c r="E1020" s="5">
        <v>28.085999999999999</v>
      </c>
      <c r="F1020" s="16" t="s">
        <v>1303</v>
      </c>
      <c r="G1020" s="11">
        <v>0.59399999999999997</v>
      </c>
      <c r="H1020" s="5">
        <v>93.554000000000002</v>
      </c>
      <c r="I1020" s="8">
        <v>65</v>
      </c>
      <c r="J1020" s="8">
        <v>102</v>
      </c>
      <c r="K1020" s="8">
        <v>197</v>
      </c>
      <c r="L1020" s="8">
        <v>125</v>
      </c>
      <c r="M1020" t="s">
        <v>1306</v>
      </c>
      <c r="N1020" s="16" t="s">
        <v>22</v>
      </c>
      <c r="O1020" s="16" t="s">
        <v>23</v>
      </c>
      <c r="P1020" s="16" t="s">
        <v>37</v>
      </c>
      <c r="Q1020" s="10" t="s">
        <v>873</v>
      </c>
      <c r="R1020" s="3" t="str">
        <f t="shared" si="30"/>
        <v>154</v>
      </c>
      <c r="S1020" s="3" t="str">
        <f t="shared" si="31"/>
        <v>62</v>
      </c>
      <c r="T1020" s="16" t="s">
        <v>38</v>
      </c>
      <c r="U1020" s="3">
        <v>19.257000000000001</v>
      </c>
      <c r="V1020" s="16" t="str">
        <f>PROPER(Table1[[#This Row],[CVD Risk Level]])</f>
        <v>Intermediary</v>
      </c>
    </row>
    <row r="1021" spans="1:22" x14ac:dyDescent="0.3">
      <c r="A1021" t="s">
        <v>31</v>
      </c>
      <c r="B1021" s="8">
        <v>25</v>
      </c>
      <c r="C1021" s="8">
        <v>61.902000000000001</v>
      </c>
      <c r="D1021" s="5">
        <v>1.5229999999999999</v>
      </c>
      <c r="E1021" s="5">
        <v>27.202999999999999</v>
      </c>
      <c r="F1021" s="16" t="s">
        <v>1303</v>
      </c>
      <c r="G1021" s="11">
        <v>0.71199999999999997</v>
      </c>
      <c r="H1021" s="5">
        <v>108.373</v>
      </c>
      <c r="I1021" s="8">
        <v>44</v>
      </c>
      <c r="J1021" s="8">
        <v>126</v>
      </c>
      <c r="K1021" s="8">
        <v>200</v>
      </c>
      <c r="L1021" s="8">
        <v>104</v>
      </c>
      <c r="M1021" t="s">
        <v>1306</v>
      </c>
      <c r="N1021" s="16" t="s">
        <v>23</v>
      </c>
      <c r="O1021" s="16" t="s">
        <v>23</v>
      </c>
      <c r="P1021" s="16" t="s">
        <v>28</v>
      </c>
      <c r="Q1021" s="10" t="s">
        <v>874</v>
      </c>
      <c r="R1021" s="3" t="str">
        <f t="shared" si="30"/>
        <v>163</v>
      </c>
      <c r="S1021" s="3" t="str">
        <f t="shared" si="31"/>
        <v>73</v>
      </c>
      <c r="T1021" s="16" t="s">
        <v>38</v>
      </c>
      <c r="U1021" s="3">
        <v>19.591000000000001</v>
      </c>
      <c r="V1021" s="16" t="str">
        <f>PROPER(Table1[[#This Row],[CVD Risk Level]])</f>
        <v>Low</v>
      </c>
    </row>
    <row r="1022" spans="1:22" x14ac:dyDescent="0.3">
      <c r="A1022" t="s">
        <v>20</v>
      </c>
      <c r="B1022" s="8">
        <v>39</v>
      </c>
      <c r="C1022" s="8">
        <v>90.147000000000006</v>
      </c>
      <c r="D1022" s="5">
        <v>1.7829999999999999</v>
      </c>
      <c r="E1022" s="5">
        <v>28.042999999999999</v>
      </c>
      <c r="F1022" s="16" t="s">
        <v>1303</v>
      </c>
      <c r="G1022" s="11">
        <v>0.628</v>
      </c>
      <c r="H1022" s="5">
        <v>111.875</v>
      </c>
      <c r="I1022" s="8">
        <v>34</v>
      </c>
      <c r="J1022" s="8">
        <v>185</v>
      </c>
      <c r="K1022" s="8">
        <v>249</v>
      </c>
      <c r="L1022" s="8">
        <v>176</v>
      </c>
      <c r="M1022" t="s">
        <v>1307</v>
      </c>
      <c r="N1022" s="16" t="s">
        <v>22</v>
      </c>
      <c r="O1022" s="16" t="s">
        <v>23</v>
      </c>
      <c r="P1022" s="16" t="s">
        <v>24</v>
      </c>
      <c r="Q1022" s="10" t="s">
        <v>875</v>
      </c>
      <c r="R1022" s="3" t="str">
        <f t="shared" si="30"/>
        <v>161</v>
      </c>
      <c r="S1022" s="3" t="str">
        <f t="shared" si="31"/>
        <v>114</v>
      </c>
      <c r="T1022" s="16" t="s">
        <v>38</v>
      </c>
      <c r="U1022" s="3">
        <v>20.638999999999999</v>
      </c>
      <c r="V1022" s="16" t="str">
        <f>PROPER(Table1[[#This Row],[CVD Risk Level]])</f>
        <v>High</v>
      </c>
    </row>
    <row r="1023" spans="1:22" x14ac:dyDescent="0.3">
      <c r="A1023" t="s">
        <v>20</v>
      </c>
      <c r="B1023" s="8">
        <v>43</v>
      </c>
      <c r="C1023" s="8">
        <v>56.029000000000003</v>
      </c>
      <c r="D1023" s="5">
        <v>1.962</v>
      </c>
      <c r="E1023" s="5">
        <v>25.34</v>
      </c>
      <c r="F1023" s="16" t="s">
        <v>1303</v>
      </c>
      <c r="G1023" s="11">
        <v>0.39900000000000002</v>
      </c>
      <c r="H1023" s="5">
        <v>78.28</v>
      </c>
      <c r="I1023" s="8">
        <v>66</v>
      </c>
      <c r="J1023" s="8">
        <v>42</v>
      </c>
      <c r="K1023" s="8">
        <v>138</v>
      </c>
      <c r="L1023" s="8">
        <v>154</v>
      </c>
      <c r="M1023" t="s">
        <v>1307</v>
      </c>
      <c r="N1023" s="16" t="s">
        <v>22</v>
      </c>
      <c r="O1023" s="16" t="s">
        <v>23</v>
      </c>
      <c r="P1023" s="16" t="s">
        <v>28</v>
      </c>
      <c r="Q1023" s="10" t="s">
        <v>876</v>
      </c>
      <c r="R1023" s="3" t="str">
        <f t="shared" si="30"/>
        <v>163</v>
      </c>
      <c r="S1023" s="3" t="str">
        <f t="shared" si="31"/>
        <v>91</v>
      </c>
      <c r="T1023" s="16" t="s">
        <v>38</v>
      </c>
      <c r="U1023" s="3">
        <v>17.978000000000002</v>
      </c>
      <c r="V1023" s="16" t="str">
        <f>PROPER(Table1[[#This Row],[CVD Risk Level]])</f>
        <v>High</v>
      </c>
    </row>
    <row r="1024" spans="1:22" x14ac:dyDescent="0.3">
      <c r="A1024" t="s">
        <v>20</v>
      </c>
      <c r="B1024" s="8">
        <v>34</v>
      </c>
      <c r="C1024" s="8">
        <v>102.547</v>
      </c>
      <c r="D1024" s="5">
        <v>1.9790000000000001</v>
      </c>
      <c r="E1024" s="5">
        <v>20.358000000000001</v>
      </c>
      <c r="F1024" s="16" t="s">
        <v>33</v>
      </c>
      <c r="G1024" s="11">
        <v>0.58499999999999996</v>
      </c>
      <c r="H1024" s="5">
        <v>115.742</v>
      </c>
      <c r="I1024" s="8">
        <v>44</v>
      </c>
      <c r="J1024" s="8">
        <v>192</v>
      </c>
      <c r="K1024" s="8">
        <v>266</v>
      </c>
      <c r="L1024" s="8">
        <v>159</v>
      </c>
      <c r="M1024" t="s">
        <v>1307</v>
      </c>
      <c r="N1024" s="16" t="s">
        <v>23</v>
      </c>
      <c r="O1024" s="16" t="s">
        <v>22</v>
      </c>
      <c r="P1024" s="16" t="s">
        <v>24</v>
      </c>
      <c r="Q1024" s="10" t="s">
        <v>618</v>
      </c>
      <c r="R1024" s="3" t="str">
        <f t="shared" si="30"/>
        <v>148</v>
      </c>
      <c r="S1024" s="3" t="str">
        <f t="shared" si="31"/>
        <v>98</v>
      </c>
      <c r="T1024" s="16" t="s">
        <v>38</v>
      </c>
      <c r="U1024" s="3">
        <v>16.792000000000002</v>
      </c>
      <c r="V1024" s="16" t="str">
        <f>PROPER(Table1[[#This Row],[CVD Risk Level]])</f>
        <v>High</v>
      </c>
    </row>
    <row r="1025" spans="1:22" x14ac:dyDescent="0.3">
      <c r="A1025" t="s">
        <v>20</v>
      </c>
      <c r="B1025" s="8">
        <v>69</v>
      </c>
      <c r="C1025" s="8">
        <v>56.982999999999997</v>
      </c>
      <c r="D1025" s="5">
        <v>1.9450000000000001</v>
      </c>
      <c r="E1025" s="5">
        <v>25.004999999999999</v>
      </c>
      <c r="F1025" s="16" t="s">
        <v>1303</v>
      </c>
      <c r="G1025" s="11">
        <v>0.47899999999999998</v>
      </c>
      <c r="H1025" s="5">
        <v>93.257000000000005</v>
      </c>
      <c r="I1025" s="8">
        <v>48</v>
      </c>
      <c r="J1025" s="8">
        <v>139</v>
      </c>
      <c r="K1025" s="8">
        <v>217</v>
      </c>
      <c r="L1025" s="8">
        <v>117.48563611491107</v>
      </c>
      <c r="M1025" t="s">
        <v>1306</v>
      </c>
      <c r="N1025" s="16" t="s">
        <v>22</v>
      </c>
      <c r="O1025" s="16" t="s">
        <v>23</v>
      </c>
      <c r="P1025" s="16" t="s">
        <v>28</v>
      </c>
      <c r="Q1025" s="10" t="s">
        <v>877</v>
      </c>
      <c r="R1025" s="3" t="str">
        <f t="shared" si="30"/>
        <v>149</v>
      </c>
      <c r="S1025" s="3" t="str">
        <f t="shared" si="31"/>
        <v>101</v>
      </c>
      <c r="T1025" s="16" t="s">
        <v>38</v>
      </c>
      <c r="U1025" s="3">
        <v>18.791</v>
      </c>
      <c r="V1025" s="16" t="str">
        <f>PROPER(Table1[[#This Row],[CVD Risk Level]])</f>
        <v>Low</v>
      </c>
    </row>
    <row r="1026" spans="1:22" x14ac:dyDescent="0.3">
      <c r="A1026" t="s">
        <v>20</v>
      </c>
      <c r="B1026" s="8">
        <v>49</v>
      </c>
      <c r="C1026" s="8">
        <v>116.55800000000001</v>
      </c>
      <c r="D1026" s="5">
        <v>1.665</v>
      </c>
      <c r="E1026" s="5">
        <v>25.079000000000001</v>
      </c>
      <c r="F1026" s="16" t="s">
        <v>1303</v>
      </c>
      <c r="G1026" s="11">
        <v>0.624</v>
      </c>
      <c r="H1026" s="5">
        <v>103.991</v>
      </c>
      <c r="I1026" s="8">
        <v>39</v>
      </c>
      <c r="J1026" s="8">
        <v>61</v>
      </c>
      <c r="K1026" s="8">
        <v>130</v>
      </c>
      <c r="L1026" s="8">
        <v>189</v>
      </c>
      <c r="M1026" t="s">
        <v>1307</v>
      </c>
      <c r="N1026" s="16" t="s">
        <v>22</v>
      </c>
      <c r="O1026" s="16" t="s">
        <v>23</v>
      </c>
      <c r="P1026" s="16" t="s">
        <v>28</v>
      </c>
      <c r="Q1026" s="10" t="s">
        <v>878</v>
      </c>
      <c r="R1026" s="3" t="str">
        <f t="shared" si="30"/>
        <v>121</v>
      </c>
      <c r="S1026" s="3" t="str">
        <f t="shared" si="31"/>
        <v>115</v>
      </c>
      <c r="T1026" s="16" t="s">
        <v>38</v>
      </c>
      <c r="U1026" s="3">
        <v>15.666</v>
      </c>
      <c r="V1026" s="16" t="str">
        <f>PROPER(Table1[[#This Row],[CVD Risk Level]])</f>
        <v>Intermediary</v>
      </c>
    </row>
    <row r="1027" spans="1:22" x14ac:dyDescent="0.3">
      <c r="A1027" t="s">
        <v>20</v>
      </c>
      <c r="B1027" s="8">
        <v>51</v>
      </c>
      <c r="C1027" s="8">
        <v>75.849999999999994</v>
      </c>
      <c r="D1027" s="5">
        <v>1.831</v>
      </c>
      <c r="E1027" s="5">
        <v>38.493000000000002</v>
      </c>
      <c r="F1027" s="16" t="s">
        <v>1302</v>
      </c>
      <c r="G1027" s="11">
        <v>0.48699999999999999</v>
      </c>
      <c r="H1027" s="5">
        <v>89.087999999999994</v>
      </c>
      <c r="I1027" s="8">
        <v>69</v>
      </c>
      <c r="J1027" s="8">
        <v>50</v>
      </c>
      <c r="K1027" s="8">
        <v>238</v>
      </c>
      <c r="L1027" s="8">
        <v>175</v>
      </c>
      <c r="M1027" t="s">
        <v>1307</v>
      </c>
      <c r="N1027" s="16" t="s">
        <v>22</v>
      </c>
      <c r="O1027" s="16" t="s">
        <v>22</v>
      </c>
      <c r="P1027" s="16" t="s">
        <v>37</v>
      </c>
      <c r="Q1027" s="10" t="s">
        <v>879</v>
      </c>
      <c r="R1027" s="3" t="str">
        <f t="shared" ref="R1027:R1090" si="32">LEFT(Q1027,FIND("/",Q1027)-1)</f>
        <v>131</v>
      </c>
      <c r="S1027" s="3" t="str">
        <f t="shared" ref="S1027:S1090" si="33">RIGHT(Q1027,LEN(Q1027)-FIND("/",Q1027))</f>
        <v>92</v>
      </c>
      <c r="T1027" s="16" t="s">
        <v>29</v>
      </c>
      <c r="U1027" s="3">
        <v>17.228999999999999</v>
      </c>
      <c r="V1027" s="16" t="str">
        <f>PROPER(Table1[[#This Row],[CVD Risk Level]])</f>
        <v>Intermediary</v>
      </c>
    </row>
    <row r="1028" spans="1:22" x14ac:dyDescent="0.3">
      <c r="A1028" t="s">
        <v>20</v>
      </c>
      <c r="B1028" s="8">
        <v>44</v>
      </c>
      <c r="C1028" s="8">
        <v>80.807000000000002</v>
      </c>
      <c r="D1028" s="5">
        <v>1.6990000000000001</v>
      </c>
      <c r="E1028" s="5">
        <v>35.97</v>
      </c>
      <c r="F1028" s="16" t="s">
        <v>1302</v>
      </c>
      <c r="G1028" s="11">
        <v>0.60399999999999998</v>
      </c>
      <c r="H1028" s="5">
        <v>102.551</v>
      </c>
      <c r="I1028" s="8">
        <v>86</v>
      </c>
      <c r="J1028" s="8">
        <v>112</v>
      </c>
      <c r="K1028" s="8">
        <v>228</v>
      </c>
      <c r="L1028" s="8">
        <v>149</v>
      </c>
      <c r="M1028" t="s">
        <v>1307</v>
      </c>
      <c r="N1028" s="16" t="s">
        <v>22</v>
      </c>
      <c r="O1028" s="16" t="s">
        <v>22</v>
      </c>
      <c r="P1028" s="16" t="s">
        <v>28</v>
      </c>
      <c r="Q1028" s="10" t="s">
        <v>880</v>
      </c>
      <c r="R1028" s="3" t="str">
        <f t="shared" si="32"/>
        <v>108</v>
      </c>
      <c r="S1028" s="3" t="str">
        <f t="shared" si="33"/>
        <v>115</v>
      </c>
      <c r="T1028" s="16" t="s">
        <v>38</v>
      </c>
      <c r="U1028" s="3">
        <v>17.154</v>
      </c>
      <c r="V1028" s="16" t="str">
        <f>PROPER(Table1[[#This Row],[CVD Risk Level]])</f>
        <v>Intermediary</v>
      </c>
    </row>
    <row r="1029" spans="1:22" x14ac:dyDescent="0.3">
      <c r="A1029" t="s">
        <v>31</v>
      </c>
      <c r="B1029" s="8">
        <v>64</v>
      </c>
      <c r="C1029" s="8">
        <v>132.82342465599999</v>
      </c>
      <c r="D1029" s="5">
        <v>1.9239999999999999</v>
      </c>
      <c r="E1029" s="5">
        <v>35.881</v>
      </c>
      <c r="F1029" s="16" t="s">
        <v>1302</v>
      </c>
      <c r="G1029" s="11">
        <v>0.50700000000000001</v>
      </c>
      <c r="H1029" s="5">
        <v>97.462000000000003</v>
      </c>
      <c r="I1029" s="8">
        <v>55</v>
      </c>
      <c r="J1029" s="8">
        <v>113</v>
      </c>
      <c r="K1029" s="8">
        <v>198</v>
      </c>
      <c r="L1029" s="8">
        <v>149</v>
      </c>
      <c r="M1029" t="s">
        <v>1307</v>
      </c>
      <c r="N1029" s="16" t="s">
        <v>23</v>
      </c>
      <c r="O1029" s="16" t="s">
        <v>22</v>
      </c>
      <c r="P1029" s="16" t="s">
        <v>24</v>
      </c>
      <c r="Q1029" s="10" t="s">
        <v>881</v>
      </c>
      <c r="R1029" s="3" t="str">
        <f t="shared" si="32"/>
        <v>102</v>
      </c>
      <c r="S1029" s="3" t="str">
        <f t="shared" si="33"/>
        <v>102</v>
      </c>
      <c r="T1029" s="16" t="s">
        <v>38</v>
      </c>
      <c r="U1029" s="3">
        <v>16.236000000000001</v>
      </c>
      <c r="V1029" s="16" t="str">
        <f>PROPER(Table1[[#This Row],[CVD Risk Level]])</f>
        <v>High</v>
      </c>
    </row>
    <row r="1030" spans="1:22" x14ac:dyDescent="0.3">
      <c r="A1030" t="s">
        <v>20</v>
      </c>
      <c r="B1030" s="8">
        <v>72</v>
      </c>
      <c r="C1030" s="8">
        <v>57.835999999999999</v>
      </c>
      <c r="D1030" s="5">
        <v>1.554</v>
      </c>
      <c r="E1030" s="5">
        <v>24.007999999999999</v>
      </c>
      <c r="F1030" s="16" t="s">
        <v>33</v>
      </c>
      <c r="G1030" s="11">
        <v>0.74399999999999999</v>
      </c>
      <c r="H1030" s="5">
        <v>115.565</v>
      </c>
      <c r="I1030" s="8">
        <v>81</v>
      </c>
      <c r="J1030" s="8">
        <v>100</v>
      </c>
      <c r="K1030" s="8">
        <v>211</v>
      </c>
      <c r="L1030" s="8">
        <v>85</v>
      </c>
      <c r="M1030" t="s">
        <v>33</v>
      </c>
      <c r="N1030" s="16" t="s">
        <v>22</v>
      </c>
      <c r="O1030" s="16" t="s">
        <v>22</v>
      </c>
      <c r="P1030" s="16" t="s">
        <v>37</v>
      </c>
      <c r="Q1030" s="10" t="s">
        <v>882</v>
      </c>
      <c r="R1030" s="3" t="str">
        <f t="shared" si="32"/>
        <v>157</v>
      </c>
      <c r="S1030" s="3" t="str">
        <f t="shared" si="33"/>
        <v>75</v>
      </c>
      <c r="T1030" s="16" t="s">
        <v>38</v>
      </c>
      <c r="U1030" s="3">
        <v>16.872</v>
      </c>
      <c r="V1030" s="16" t="str">
        <f>PROPER(Table1[[#This Row],[CVD Risk Level]])</f>
        <v>Intermediary</v>
      </c>
    </row>
    <row r="1031" spans="1:22" x14ac:dyDescent="0.3">
      <c r="A1031" t="s">
        <v>31</v>
      </c>
      <c r="B1031" s="8">
        <v>34</v>
      </c>
      <c r="C1031" s="8">
        <v>87.111000000000004</v>
      </c>
      <c r="D1031" s="5">
        <v>1.552</v>
      </c>
      <c r="E1031" s="5">
        <v>37.164999999999999</v>
      </c>
      <c r="F1031" s="16" t="s">
        <v>1302</v>
      </c>
      <c r="G1031" s="11">
        <v>0.61899999999999999</v>
      </c>
      <c r="H1031" s="5">
        <v>96.013000000000005</v>
      </c>
      <c r="I1031" s="8">
        <v>63</v>
      </c>
      <c r="J1031" s="8">
        <v>125</v>
      </c>
      <c r="K1031" s="8">
        <v>218</v>
      </c>
      <c r="L1031" s="8">
        <v>157</v>
      </c>
      <c r="M1031" t="s">
        <v>1307</v>
      </c>
      <c r="N1031" s="16" t="s">
        <v>23</v>
      </c>
      <c r="O1031" s="16" t="s">
        <v>22</v>
      </c>
      <c r="P1031" s="16" t="s">
        <v>37</v>
      </c>
      <c r="Q1031" s="10" t="s">
        <v>883</v>
      </c>
      <c r="R1031" s="3" t="str">
        <f t="shared" si="32"/>
        <v>171</v>
      </c>
      <c r="S1031" s="3" t="str">
        <f t="shared" si="33"/>
        <v>99</v>
      </c>
      <c r="T1031" s="16" t="s">
        <v>38</v>
      </c>
      <c r="U1031" s="3">
        <v>20.343</v>
      </c>
      <c r="V1031" s="16" t="str">
        <f>PROPER(Table1[[#This Row],[CVD Risk Level]])</f>
        <v>High</v>
      </c>
    </row>
    <row r="1032" spans="1:22" x14ac:dyDescent="0.3">
      <c r="A1032" t="s">
        <v>20</v>
      </c>
      <c r="B1032" s="8">
        <v>60</v>
      </c>
      <c r="C1032" s="8">
        <v>60.755000000000003</v>
      </c>
      <c r="D1032" s="5">
        <v>1.675</v>
      </c>
      <c r="E1032" s="5">
        <v>25.623999999999999</v>
      </c>
      <c r="F1032" s="16" t="s">
        <v>1303</v>
      </c>
      <c r="G1032" s="11">
        <v>0.49199999999999999</v>
      </c>
      <c r="H1032" s="5">
        <v>82.403000000000006</v>
      </c>
      <c r="I1032" s="8">
        <v>42</v>
      </c>
      <c r="J1032" s="8">
        <v>113</v>
      </c>
      <c r="K1032" s="8">
        <v>185</v>
      </c>
      <c r="L1032" s="8">
        <v>184</v>
      </c>
      <c r="M1032" t="s">
        <v>1307</v>
      </c>
      <c r="N1032" s="16" t="s">
        <v>23</v>
      </c>
      <c r="O1032" s="16" t="s">
        <v>23</v>
      </c>
      <c r="P1032" s="16" t="s">
        <v>24</v>
      </c>
      <c r="Q1032" s="10" t="s">
        <v>884</v>
      </c>
      <c r="R1032" s="3" t="str">
        <f t="shared" si="32"/>
        <v>143</v>
      </c>
      <c r="S1032" s="3" t="str">
        <f t="shared" si="33"/>
        <v>96</v>
      </c>
      <c r="T1032" s="16" t="s">
        <v>38</v>
      </c>
      <c r="U1032" s="3">
        <v>17.975000000000001</v>
      </c>
      <c r="V1032" s="16" t="str">
        <f>PROPER(Table1[[#This Row],[CVD Risk Level]])</f>
        <v>Intermediary</v>
      </c>
    </row>
    <row r="1033" spans="1:22" x14ac:dyDescent="0.3">
      <c r="A1033" t="s">
        <v>20</v>
      </c>
      <c r="B1033" s="8">
        <v>59</v>
      </c>
      <c r="C1033" s="8">
        <v>55.807000000000002</v>
      </c>
      <c r="D1033" s="5">
        <v>1.881</v>
      </c>
      <c r="E1033" s="5">
        <v>35.554000000000002</v>
      </c>
      <c r="F1033" s="16" t="s">
        <v>1302</v>
      </c>
      <c r="G1033" s="11">
        <v>0.46500000000000002</v>
      </c>
      <c r="H1033" s="5">
        <v>87.524000000000001</v>
      </c>
      <c r="I1033" s="8">
        <v>78</v>
      </c>
      <c r="J1033" s="8">
        <v>26</v>
      </c>
      <c r="K1033" s="8">
        <v>134</v>
      </c>
      <c r="L1033" s="8">
        <v>176</v>
      </c>
      <c r="M1033" t="s">
        <v>1307</v>
      </c>
      <c r="N1033" s="16" t="s">
        <v>22</v>
      </c>
      <c r="O1033" s="16" t="s">
        <v>23</v>
      </c>
      <c r="P1033" s="16" t="s">
        <v>24</v>
      </c>
      <c r="Q1033" s="10" t="s">
        <v>759</v>
      </c>
      <c r="R1033" s="3" t="str">
        <f t="shared" si="32"/>
        <v>118</v>
      </c>
      <c r="S1033" s="3" t="str">
        <f t="shared" si="33"/>
        <v>67</v>
      </c>
      <c r="T1033" s="16" t="s">
        <v>33</v>
      </c>
      <c r="U1033" s="3">
        <v>17.690999999999999</v>
      </c>
      <c r="V1033" s="16" t="str">
        <f>PROPER(Table1[[#This Row],[CVD Risk Level]])</f>
        <v>Low</v>
      </c>
    </row>
    <row r="1034" spans="1:22" x14ac:dyDescent="0.3">
      <c r="A1034" t="s">
        <v>31</v>
      </c>
      <c r="B1034" s="8">
        <v>60</v>
      </c>
      <c r="C1034" s="8">
        <v>78.113</v>
      </c>
      <c r="D1034" s="5">
        <v>1.915</v>
      </c>
      <c r="E1034" s="5">
        <v>30.027999999999999</v>
      </c>
      <c r="F1034" s="16" t="s">
        <v>1302</v>
      </c>
      <c r="G1034" s="11">
        <v>0.53400000000000003</v>
      </c>
      <c r="H1034" s="5">
        <v>102.369</v>
      </c>
      <c r="I1034" s="8">
        <v>85</v>
      </c>
      <c r="J1034" s="8">
        <v>162</v>
      </c>
      <c r="K1034" s="8">
        <v>277</v>
      </c>
      <c r="L1034" s="8">
        <v>116</v>
      </c>
      <c r="M1034" t="s">
        <v>1306</v>
      </c>
      <c r="N1034" s="16" t="s">
        <v>22</v>
      </c>
      <c r="O1034" s="16" t="s">
        <v>23</v>
      </c>
      <c r="P1034" s="16" t="s">
        <v>37</v>
      </c>
      <c r="Q1034" s="10" t="s">
        <v>885</v>
      </c>
      <c r="R1034" s="3" t="str">
        <f t="shared" si="32"/>
        <v>124</v>
      </c>
      <c r="S1034" s="3" t="str">
        <f t="shared" si="33"/>
        <v>110</v>
      </c>
      <c r="T1034" s="16" t="s">
        <v>38</v>
      </c>
      <c r="U1034" s="3">
        <v>19.745999999999999</v>
      </c>
      <c r="V1034" s="16" t="str">
        <f>PROPER(Table1[[#This Row],[CVD Risk Level]])</f>
        <v>High</v>
      </c>
    </row>
    <row r="1035" spans="1:22" x14ac:dyDescent="0.3">
      <c r="A1035" t="s">
        <v>20</v>
      </c>
      <c r="B1035" s="8">
        <v>32</v>
      </c>
      <c r="C1035" s="8">
        <v>53.08</v>
      </c>
      <c r="D1035" s="5">
        <v>1.5960000000000001</v>
      </c>
      <c r="E1035" s="5">
        <v>38.350999999999999</v>
      </c>
      <c r="F1035" s="16" t="s">
        <v>1302</v>
      </c>
      <c r="G1035" s="11">
        <v>0.49399999999999999</v>
      </c>
      <c r="H1035" s="5">
        <v>78.852000000000004</v>
      </c>
      <c r="I1035" s="8">
        <v>85</v>
      </c>
      <c r="J1035" s="8">
        <v>69</v>
      </c>
      <c r="K1035" s="8">
        <v>184</v>
      </c>
      <c r="L1035" s="8">
        <v>95</v>
      </c>
      <c r="M1035" t="s">
        <v>33</v>
      </c>
      <c r="N1035" s="16" t="s">
        <v>23</v>
      </c>
      <c r="O1035" s="16" t="s">
        <v>23</v>
      </c>
      <c r="P1035" s="16" t="s">
        <v>28</v>
      </c>
      <c r="Q1035" s="10" t="s">
        <v>886</v>
      </c>
      <c r="R1035" s="3" t="str">
        <f t="shared" si="32"/>
        <v>167</v>
      </c>
      <c r="S1035" s="3" t="str">
        <f t="shared" si="33"/>
        <v>83</v>
      </c>
      <c r="T1035" s="16" t="s">
        <v>29</v>
      </c>
      <c r="U1035" s="3">
        <v>16.960925291295425</v>
      </c>
      <c r="V1035" s="16" t="str">
        <f>PROPER(Table1[[#This Row],[CVD Risk Level]])</f>
        <v>Low</v>
      </c>
    </row>
    <row r="1036" spans="1:22" x14ac:dyDescent="0.3">
      <c r="A1036" t="s">
        <v>31</v>
      </c>
      <c r="B1036" s="8">
        <v>70</v>
      </c>
      <c r="C1036" s="8">
        <v>116.129</v>
      </c>
      <c r="D1036" s="5">
        <v>1.859</v>
      </c>
      <c r="E1036" s="5">
        <v>28.103000000000002</v>
      </c>
      <c r="F1036" s="16" t="s">
        <v>1303</v>
      </c>
      <c r="G1036" s="11">
        <v>0.61299999999999999</v>
      </c>
      <c r="H1036" s="5">
        <v>114.06100000000001</v>
      </c>
      <c r="I1036" s="8">
        <v>67</v>
      </c>
      <c r="J1036" s="8">
        <v>188</v>
      </c>
      <c r="K1036" s="8">
        <v>285</v>
      </c>
      <c r="L1036" s="8">
        <v>92</v>
      </c>
      <c r="M1036" t="s">
        <v>33</v>
      </c>
      <c r="N1036" s="16" t="s">
        <v>23</v>
      </c>
      <c r="O1036" s="16" t="s">
        <v>22</v>
      </c>
      <c r="P1036" s="16" t="s">
        <v>24</v>
      </c>
      <c r="Q1036" s="10" t="s">
        <v>887</v>
      </c>
      <c r="R1036" s="3" t="str">
        <f t="shared" si="32"/>
        <v>125</v>
      </c>
      <c r="S1036" s="3" t="str">
        <f t="shared" si="33"/>
        <v>93</v>
      </c>
      <c r="T1036" s="16" t="s">
        <v>38</v>
      </c>
      <c r="U1036" s="3">
        <v>17.571000000000002</v>
      </c>
      <c r="V1036" s="16" t="str">
        <f>PROPER(Table1[[#This Row],[CVD Risk Level]])</f>
        <v>High</v>
      </c>
    </row>
    <row r="1037" spans="1:22" x14ac:dyDescent="0.3">
      <c r="A1037" t="s">
        <v>31</v>
      </c>
      <c r="B1037" s="8">
        <v>41</v>
      </c>
      <c r="C1037" s="8">
        <v>112.71599999999999</v>
      </c>
      <c r="D1037" s="5">
        <v>1.77</v>
      </c>
      <c r="E1037" s="5">
        <v>38.307000000000002</v>
      </c>
      <c r="F1037" s="16" t="s">
        <v>1302</v>
      </c>
      <c r="G1037" s="11">
        <v>0.42</v>
      </c>
      <c r="H1037" s="5">
        <v>74.33</v>
      </c>
      <c r="I1037" s="8">
        <v>56.197377501725327</v>
      </c>
      <c r="J1037" s="8">
        <v>175</v>
      </c>
      <c r="K1037" s="8">
        <v>259</v>
      </c>
      <c r="L1037" s="8">
        <v>70</v>
      </c>
      <c r="M1037" t="s">
        <v>33</v>
      </c>
      <c r="N1037" s="16" t="s">
        <v>23</v>
      </c>
      <c r="O1037" s="16" t="s">
        <v>22</v>
      </c>
      <c r="P1037" s="16" t="s">
        <v>37</v>
      </c>
      <c r="Q1037" s="10" t="s">
        <v>888</v>
      </c>
      <c r="R1037" s="3" t="str">
        <f t="shared" si="32"/>
        <v>153</v>
      </c>
      <c r="S1037" s="3" t="str">
        <f t="shared" si="33"/>
        <v>95</v>
      </c>
      <c r="T1037" s="16" t="s">
        <v>38</v>
      </c>
      <c r="U1037" s="3">
        <v>20.491</v>
      </c>
      <c r="V1037" s="16" t="str">
        <f>PROPER(Table1[[#This Row],[CVD Risk Level]])</f>
        <v>Low</v>
      </c>
    </row>
    <row r="1038" spans="1:22" x14ac:dyDescent="0.3">
      <c r="A1038" t="s">
        <v>20</v>
      </c>
      <c r="B1038" s="8">
        <v>79</v>
      </c>
      <c r="C1038" s="8">
        <v>103.35899999999999</v>
      </c>
      <c r="D1038" s="5">
        <v>1.9430000000000001</v>
      </c>
      <c r="E1038" s="5">
        <v>28.356999999999999</v>
      </c>
      <c r="F1038" s="16" t="s">
        <v>1303</v>
      </c>
      <c r="G1038" s="11">
        <v>0.49199999999999999</v>
      </c>
      <c r="H1038" s="5">
        <v>95.531000000000006</v>
      </c>
      <c r="I1038" s="8">
        <v>35</v>
      </c>
      <c r="J1038" s="8">
        <v>125</v>
      </c>
      <c r="K1038" s="8">
        <v>190</v>
      </c>
      <c r="L1038" s="8">
        <v>84</v>
      </c>
      <c r="M1038" t="s">
        <v>33</v>
      </c>
      <c r="N1038" s="16" t="s">
        <v>23</v>
      </c>
      <c r="O1038" s="16" t="s">
        <v>22</v>
      </c>
      <c r="P1038" s="16" t="s">
        <v>37</v>
      </c>
      <c r="Q1038" s="10" t="s">
        <v>889</v>
      </c>
      <c r="R1038" s="3" t="str">
        <f t="shared" si="32"/>
        <v>162</v>
      </c>
      <c r="S1038" s="3" t="str">
        <f t="shared" si="33"/>
        <v>114</v>
      </c>
      <c r="T1038" s="16" t="s">
        <v>38</v>
      </c>
      <c r="U1038" s="3">
        <v>17.571000000000002</v>
      </c>
      <c r="V1038" s="16" t="str">
        <f>PROPER(Table1[[#This Row],[CVD Risk Level]])</f>
        <v>Intermediary</v>
      </c>
    </row>
    <row r="1039" spans="1:22" x14ac:dyDescent="0.3">
      <c r="A1039" t="s">
        <v>20</v>
      </c>
      <c r="B1039" s="8">
        <v>64</v>
      </c>
      <c r="C1039" s="8">
        <v>90.216999999999999</v>
      </c>
      <c r="D1039" s="5">
        <v>1.754</v>
      </c>
      <c r="E1039" s="5">
        <v>19.222000000000001</v>
      </c>
      <c r="F1039" s="16" t="s">
        <v>33</v>
      </c>
      <c r="G1039" s="11">
        <v>0.44900000000000001</v>
      </c>
      <c r="H1039" s="5">
        <v>78.796000000000006</v>
      </c>
      <c r="I1039" s="8">
        <v>89</v>
      </c>
      <c r="J1039" s="8">
        <v>147</v>
      </c>
      <c r="K1039" s="8">
        <v>266</v>
      </c>
      <c r="L1039" s="8">
        <v>168</v>
      </c>
      <c r="M1039" t="s">
        <v>1307</v>
      </c>
      <c r="N1039" s="16" t="s">
        <v>22</v>
      </c>
      <c r="O1039" s="16" t="s">
        <v>23</v>
      </c>
      <c r="P1039" s="16" t="s">
        <v>37</v>
      </c>
      <c r="Q1039" s="10" t="s">
        <v>890</v>
      </c>
      <c r="R1039" s="3" t="str">
        <f t="shared" si="32"/>
        <v>141</v>
      </c>
      <c r="S1039" s="3" t="str">
        <f t="shared" si="33"/>
        <v>83</v>
      </c>
      <c r="T1039" s="16" t="s">
        <v>29</v>
      </c>
      <c r="U1039" s="3">
        <v>18.213999999999999</v>
      </c>
      <c r="V1039" s="16" t="str">
        <f>PROPER(Table1[[#This Row],[CVD Risk Level]])</f>
        <v>Intermediary</v>
      </c>
    </row>
    <row r="1040" spans="1:22" x14ac:dyDescent="0.3">
      <c r="A1040" t="s">
        <v>20</v>
      </c>
      <c r="B1040" s="8">
        <v>47.025499655410059</v>
      </c>
      <c r="C1040" s="8">
        <v>67.730999999999995</v>
      </c>
      <c r="D1040" s="5">
        <v>1.798</v>
      </c>
      <c r="E1040" s="5">
        <v>20.350000000000001</v>
      </c>
      <c r="F1040" s="16" t="s">
        <v>33</v>
      </c>
      <c r="G1040" s="11">
        <v>0.56299999999999994</v>
      </c>
      <c r="H1040" s="5">
        <v>101.315</v>
      </c>
      <c r="I1040" s="8">
        <v>31</v>
      </c>
      <c r="J1040" s="8">
        <v>82</v>
      </c>
      <c r="K1040" s="8">
        <v>143</v>
      </c>
      <c r="L1040" s="8">
        <v>151</v>
      </c>
      <c r="M1040" t="s">
        <v>1307</v>
      </c>
      <c r="N1040" s="16" t="s">
        <v>22</v>
      </c>
      <c r="O1040" s="16" t="s">
        <v>22</v>
      </c>
      <c r="P1040" s="16" t="s">
        <v>28</v>
      </c>
      <c r="Q1040" s="10" t="s">
        <v>891</v>
      </c>
      <c r="R1040" s="3" t="str">
        <f t="shared" si="32"/>
        <v>168</v>
      </c>
      <c r="S1040" s="3" t="str">
        <f t="shared" si="33"/>
        <v>86</v>
      </c>
      <c r="T1040" s="16" t="s">
        <v>29</v>
      </c>
      <c r="U1040" s="3">
        <v>15.33</v>
      </c>
      <c r="V1040" s="16" t="str">
        <f>PROPER(Table1[[#This Row],[CVD Risk Level]])</f>
        <v>Low</v>
      </c>
    </row>
    <row r="1041" spans="1:22" x14ac:dyDescent="0.3">
      <c r="A1041" t="s">
        <v>20</v>
      </c>
      <c r="B1041" s="8">
        <v>37</v>
      </c>
      <c r="C1041" s="8">
        <v>55.311</v>
      </c>
      <c r="D1041" s="5">
        <v>1.8160000000000001</v>
      </c>
      <c r="E1041" s="5">
        <v>30.302</v>
      </c>
      <c r="F1041" s="16" t="s">
        <v>1302</v>
      </c>
      <c r="G1041" s="11">
        <v>0.59099999999999997</v>
      </c>
      <c r="H1041" s="5">
        <v>107.283</v>
      </c>
      <c r="I1041" s="8">
        <v>59</v>
      </c>
      <c r="J1041" s="8">
        <v>114</v>
      </c>
      <c r="K1041" s="8">
        <v>203</v>
      </c>
      <c r="L1041" s="8">
        <v>82</v>
      </c>
      <c r="M1041" t="s">
        <v>33</v>
      </c>
      <c r="N1041" s="16" t="s">
        <v>22</v>
      </c>
      <c r="O1041" s="16" t="s">
        <v>23</v>
      </c>
      <c r="P1041" s="16" t="s">
        <v>28</v>
      </c>
      <c r="Q1041" s="10" t="s">
        <v>892</v>
      </c>
      <c r="R1041" s="3" t="str">
        <f t="shared" si="32"/>
        <v>92</v>
      </c>
      <c r="S1041" s="3" t="str">
        <f t="shared" si="33"/>
        <v>61</v>
      </c>
      <c r="T1041" s="16" t="s">
        <v>33</v>
      </c>
      <c r="U1041" s="3">
        <v>16.72</v>
      </c>
      <c r="V1041" s="16" t="str">
        <f>PROPER(Table1[[#This Row],[CVD Risk Level]])</f>
        <v>High</v>
      </c>
    </row>
    <row r="1042" spans="1:22" x14ac:dyDescent="0.3">
      <c r="A1042" t="s">
        <v>31</v>
      </c>
      <c r="B1042" s="8">
        <v>58</v>
      </c>
      <c r="C1042" s="8">
        <v>50.307000000000002</v>
      </c>
      <c r="D1042" s="5">
        <v>1.633</v>
      </c>
      <c r="E1042" s="5">
        <v>28.206</v>
      </c>
      <c r="F1042" s="16" t="s">
        <v>1303</v>
      </c>
      <c r="G1042" s="11">
        <v>0.46200000000000002</v>
      </c>
      <c r="H1042" s="5">
        <v>75.421000000000006</v>
      </c>
      <c r="I1042" s="8">
        <v>62</v>
      </c>
      <c r="J1042" s="8">
        <v>168</v>
      </c>
      <c r="K1042" s="8">
        <v>260</v>
      </c>
      <c r="L1042" s="8">
        <v>124</v>
      </c>
      <c r="M1042" t="s">
        <v>1306</v>
      </c>
      <c r="N1042" s="16" t="s">
        <v>23</v>
      </c>
      <c r="O1042" s="16" t="s">
        <v>23</v>
      </c>
      <c r="P1042" s="16" t="s">
        <v>28</v>
      </c>
      <c r="Q1042" s="10" t="s">
        <v>893</v>
      </c>
      <c r="R1042" s="3" t="str">
        <f t="shared" si="32"/>
        <v>122</v>
      </c>
      <c r="S1042" s="3" t="str">
        <f t="shared" si="33"/>
        <v>119</v>
      </c>
      <c r="T1042" s="16" t="s">
        <v>38</v>
      </c>
      <c r="U1042" s="3">
        <v>18.940999999999999</v>
      </c>
      <c r="V1042" s="16" t="str">
        <f>PROPER(Table1[[#This Row],[CVD Risk Level]])</f>
        <v>Low</v>
      </c>
    </row>
    <row r="1043" spans="1:22" x14ac:dyDescent="0.3">
      <c r="A1043" t="s">
        <v>20</v>
      </c>
      <c r="B1043" s="8">
        <v>68</v>
      </c>
      <c r="C1043" s="8">
        <v>104.107</v>
      </c>
      <c r="D1043" s="5">
        <v>1.782</v>
      </c>
      <c r="E1043" s="5">
        <v>21.760999999999999</v>
      </c>
      <c r="F1043" s="16" t="s">
        <v>33</v>
      </c>
      <c r="G1043" s="11">
        <v>0.64900000000000002</v>
      </c>
      <c r="H1043" s="5">
        <v>115.72799999999999</v>
      </c>
      <c r="I1043" s="8">
        <v>63</v>
      </c>
      <c r="J1043" s="8">
        <v>199</v>
      </c>
      <c r="K1043" s="8">
        <v>292</v>
      </c>
      <c r="L1043" s="8">
        <v>90</v>
      </c>
      <c r="M1043" t="s">
        <v>33</v>
      </c>
      <c r="N1043" s="16" t="s">
        <v>22</v>
      </c>
      <c r="O1043" s="16" t="s">
        <v>22</v>
      </c>
      <c r="P1043" s="16" t="s">
        <v>37</v>
      </c>
      <c r="Q1043" s="10" t="s">
        <v>894</v>
      </c>
      <c r="R1043" s="3" t="str">
        <f t="shared" si="32"/>
        <v>133</v>
      </c>
      <c r="S1043" s="3" t="str">
        <f t="shared" si="33"/>
        <v>101</v>
      </c>
      <c r="T1043" s="16" t="s">
        <v>29</v>
      </c>
      <c r="U1043" s="3">
        <v>16.841999999999999</v>
      </c>
      <c r="V1043" s="16" t="str">
        <f>PROPER(Table1[[#This Row],[CVD Risk Level]])</f>
        <v>Intermediary</v>
      </c>
    </row>
    <row r="1044" spans="1:22" x14ac:dyDescent="0.3">
      <c r="A1044" t="s">
        <v>20</v>
      </c>
      <c r="B1044" s="8">
        <v>62</v>
      </c>
      <c r="C1044" s="8">
        <v>102.495</v>
      </c>
      <c r="D1044" s="5">
        <v>1.97</v>
      </c>
      <c r="E1044" s="5">
        <v>24.384</v>
      </c>
      <c r="F1044" s="16" t="s">
        <v>33</v>
      </c>
      <c r="G1044" s="11">
        <v>0.40799999999999997</v>
      </c>
      <c r="H1044" s="5">
        <v>80.456000000000003</v>
      </c>
      <c r="I1044" s="8">
        <v>55</v>
      </c>
      <c r="J1044" s="8">
        <v>27</v>
      </c>
      <c r="K1044" s="8">
        <v>112</v>
      </c>
      <c r="L1044" s="8">
        <v>77</v>
      </c>
      <c r="M1044" t="s">
        <v>33</v>
      </c>
      <c r="N1044" s="16" t="s">
        <v>23</v>
      </c>
      <c r="O1044" s="16" t="s">
        <v>22</v>
      </c>
      <c r="P1044" s="16" t="s">
        <v>24</v>
      </c>
      <c r="Q1044" s="10" t="s">
        <v>895</v>
      </c>
      <c r="R1044" s="3" t="str">
        <f t="shared" si="32"/>
        <v>120</v>
      </c>
      <c r="S1044" s="3" t="str">
        <f t="shared" si="33"/>
        <v>110</v>
      </c>
      <c r="T1044" s="16" t="s">
        <v>38</v>
      </c>
      <c r="U1044" s="3">
        <v>13.117000000000001</v>
      </c>
      <c r="V1044" s="16" t="str">
        <f>PROPER(Table1[[#This Row],[CVD Risk Level]])</f>
        <v>Low</v>
      </c>
    </row>
    <row r="1045" spans="1:22" x14ac:dyDescent="0.3">
      <c r="A1045" t="s">
        <v>20</v>
      </c>
      <c r="B1045" s="8">
        <v>36</v>
      </c>
      <c r="C1045" s="8">
        <v>108.182</v>
      </c>
      <c r="D1045" s="5">
        <v>1.927</v>
      </c>
      <c r="E1045" s="5">
        <v>18.600999999999999</v>
      </c>
      <c r="F1045" s="16" t="s">
        <v>33</v>
      </c>
      <c r="G1045" s="11">
        <v>0.60099999999999998</v>
      </c>
      <c r="H1045" s="5">
        <v>115.85899999999999</v>
      </c>
      <c r="I1045" s="8">
        <v>59</v>
      </c>
      <c r="J1045" s="8">
        <v>12</v>
      </c>
      <c r="K1045" s="8">
        <v>101</v>
      </c>
      <c r="L1045" s="8">
        <v>146</v>
      </c>
      <c r="M1045" t="s">
        <v>1307</v>
      </c>
      <c r="N1045" s="16" t="s">
        <v>22</v>
      </c>
      <c r="O1045" s="16" t="s">
        <v>22</v>
      </c>
      <c r="P1045" s="16" t="s">
        <v>28</v>
      </c>
      <c r="Q1045" s="10" t="s">
        <v>467</v>
      </c>
      <c r="R1045" s="3" t="str">
        <f t="shared" si="32"/>
        <v>103</v>
      </c>
      <c r="S1045" s="3" t="str">
        <f t="shared" si="33"/>
        <v>64</v>
      </c>
      <c r="T1045" s="16" t="s">
        <v>33</v>
      </c>
      <c r="U1045" s="3">
        <v>10.89</v>
      </c>
      <c r="V1045" s="16" t="str">
        <f>PROPER(Table1[[#This Row],[CVD Risk Level]])</f>
        <v>High</v>
      </c>
    </row>
    <row r="1046" spans="1:22" x14ac:dyDescent="0.3">
      <c r="A1046" t="s">
        <v>20</v>
      </c>
      <c r="B1046" s="8">
        <v>58</v>
      </c>
      <c r="C1046" s="8">
        <v>97.126000000000005</v>
      </c>
      <c r="D1046" s="5">
        <v>1.72</v>
      </c>
      <c r="E1046" s="5">
        <v>32.830584099513253</v>
      </c>
      <c r="F1046" s="16" t="s">
        <v>1302</v>
      </c>
      <c r="G1046" s="11">
        <v>0.47599999999999998</v>
      </c>
      <c r="H1046" s="5">
        <v>81.804000000000002</v>
      </c>
      <c r="I1046" s="8">
        <v>89</v>
      </c>
      <c r="J1046" s="8">
        <v>40</v>
      </c>
      <c r="K1046" s="8">
        <v>159</v>
      </c>
      <c r="L1046" s="8">
        <v>74</v>
      </c>
      <c r="M1046" t="s">
        <v>33</v>
      </c>
      <c r="N1046" s="16" t="s">
        <v>22</v>
      </c>
      <c r="O1046" s="16" t="s">
        <v>22</v>
      </c>
      <c r="P1046" s="16" t="s">
        <v>28</v>
      </c>
      <c r="Q1046" s="10" t="s">
        <v>896</v>
      </c>
      <c r="R1046" s="3" t="str">
        <f t="shared" si="32"/>
        <v>94</v>
      </c>
      <c r="S1046" s="3" t="str">
        <f t="shared" si="33"/>
        <v>63</v>
      </c>
      <c r="T1046" s="16" t="s">
        <v>33</v>
      </c>
      <c r="U1046" s="3">
        <v>13.047000000000001</v>
      </c>
      <c r="V1046" s="16" t="str">
        <f>PROPER(Table1[[#This Row],[CVD Risk Level]])</f>
        <v>Intermediary</v>
      </c>
    </row>
    <row r="1047" spans="1:22" x14ac:dyDescent="0.3">
      <c r="A1047" t="s">
        <v>20</v>
      </c>
      <c r="B1047" s="8">
        <v>62</v>
      </c>
      <c r="C1047" s="8">
        <v>85.781000000000006</v>
      </c>
      <c r="D1047" s="5">
        <v>2.0797031347828696</v>
      </c>
      <c r="E1047" s="5">
        <v>19.832999999999998</v>
      </c>
      <c r="F1047" s="16" t="s">
        <v>33</v>
      </c>
      <c r="G1047" s="11">
        <v>0.59299999999999997</v>
      </c>
      <c r="H1047" s="5">
        <v>108.559</v>
      </c>
      <c r="I1047" s="8">
        <v>81</v>
      </c>
      <c r="J1047" s="8">
        <v>99</v>
      </c>
      <c r="K1047" s="8">
        <v>210</v>
      </c>
      <c r="L1047" s="8">
        <v>107</v>
      </c>
      <c r="M1047" t="s">
        <v>1306</v>
      </c>
      <c r="N1047" s="16" t="s">
        <v>23</v>
      </c>
      <c r="O1047" s="16" t="s">
        <v>22</v>
      </c>
      <c r="P1047" s="16" t="s">
        <v>37</v>
      </c>
      <c r="Q1047" s="10" t="s">
        <v>897</v>
      </c>
      <c r="R1047" s="3" t="str">
        <f t="shared" si="32"/>
        <v>154</v>
      </c>
      <c r="S1047" s="3" t="str">
        <f t="shared" si="33"/>
        <v>114</v>
      </c>
      <c r="T1047" s="16" t="s">
        <v>38</v>
      </c>
      <c r="U1047" s="3">
        <v>15.867000000000001</v>
      </c>
      <c r="V1047" s="16" t="str">
        <f>PROPER(Table1[[#This Row],[CVD Risk Level]])</f>
        <v>Intermediary</v>
      </c>
    </row>
    <row r="1048" spans="1:22" x14ac:dyDescent="0.3">
      <c r="A1048" t="s">
        <v>31</v>
      </c>
      <c r="B1048" s="8">
        <v>44</v>
      </c>
      <c r="C1048" s="8">
        <v>51.936</v>
      </c>
      <c r="D1048" s="5">
        <v>1.9359999999999999</v>
      </c>
      <c r="E1048" s="5">
        <v>36.442</v>
      </c>
      <c r="F1048" s="16" t="s">
        <v>1302</v>
      </c>
      <c r="G1048" s="11">
        <v>0.59799999999999998</v>
      </c>
      <c r="H1048" s="5">
        <v>115.755</v>
      </c>
      <c r="I1048" s="8">
        <v>52</v>
      </c>
      <c r="J1048" s="8">
        <v>25</v>
      </c>
      <c r="K1048" s="8">
        <v>107</v>
      </c>
      <c r="L1048" s="8">
        <v>125</v>
      </c>
      <c r="M1048" t="s">
        <v>1306</v>
      </c>
      <c r="N1048" s="16" t="s">
        <v>23</v>
      </c>
      <c r="O1048" s="16" t="s">
        <v>23</v>
      </c>
      <c r="P1048" s="16" t="s">
        <v>24</v>
      </c>
      <c r="Q1048" s="10" t="s">
        <v>898</v>
      </c>
      <c r="R1048" s="3" t="str">
        <f t="shared" si="32"/>
        <v>105</v>
      </c>
      <c r="S1048" s="3" t="str">
        <f t="shared" si="33"/>
        <v>108</v>
      </c>
      <c r="T1048" s="16" t="s">
        <v>38</v>
      </c>
      <c r="U1048" s="3">
        <v>16.678000000000001</v>
      </c>
      <c r="V1048" s="16" t="str">
        <f>PROPER(Table1[[#This Row],[CVD Risk Level]])</f>
        <v>High</v>
      </c>
    </row>
    <row r="1049" spans="1:22" x14ac:dyDescent="0.3">
      <c r="A1049" t="s">
        <v>31</v>
      </c>
      <c r="B1049" s="8">
        <v>52</v>
      </c>
      <c r="C1049" s="8">
        <v>98.406000000000006</v>
      </c>
      <c r="D1049" s="5">
        <v>1.956</v>
      </c>
      <c r="E1049" s="5">
        <v>24.042999999999999</v>
      </c>
      <c r="F1049" s="16" t="s">
        <v>33</v>
      </c>
      <c r="G1049" s="11">
        <v>0.49199999999999999</v>
      </c>
      <c r="H1049" s="5">
        <v>96.171999999999997</v>
      </c>
      <c r="I1049" s="8">
        <v>62</v>
      </c>
      <c r="J1049" s="8">
        <v>102</v>
      </c>
      <c r="K1049" s="8">
        <v>194</v>
      </c>
      <c r="L1049" s="8">
        <v>191</v>
      </c>
      <c r="M1049" t="s">
        <v>1307</v>
      </c>
      <c r="N1049" s="16" t="s">
        <v>22</v>
      </c>
      <c r="O1049" s="16" t="s">
        <v>23</v>
      </c>
      <c r="P1049" s="16" t="s">
        <v>28</v>
      </c>
      <c r="Q1049" s="10" t="s">
        <v>899</v>
      </c>
      <c r="R1049" s="3" t="str">
        <f t="shared" si="32"/>
        <v>139</v>
      </c>
      <c r="S1049" s="3" t="str">
        <f t="shared" si="33"/>
        <v>83</v>
      </c>
      <c r="T1049" s="16" t="s">
        <v>29</v>
      </c>
      <c r="U1049" s="3">
        <v>17.638999999999999</v>
      </c>
      <c r="V1049" s="16" t="str">
        <f>PROPER(Table1[[#This Row],[CVD Risk Level]])</f>
        <v>High</v>
      </c>
    </row>
    <row r="1050" spans="1:22" x14ac:dyDescent="0.3">
      <c r="A1050" t="s">
        <v>20</v>
      </c>
      <c r="B1050" s="8">
        <v>58</v>
      </c>
      <c r="C1050" s="8">
        <v>67.057000000000002</v>
      </c>
      <c r="D1050" s="5">
        <v>1.4634121480197899</v>
      </c>
      <c r="E1050" s="5">
        <v>31.312000000000001</v>
      </c>
      <c r="F1050" s="16" t="s">
        <v>1302</v>
      </c>
      <c r="G1050" s="11">
        <v>0.63700000000000001</v>
      </c>
      <c r="H1050" s="5">
        <v>101.93</v>
      </c>
      <c r="I1050" s="8">
        <v>70</v>
      </c>
      <c r="J1050" s="8">
        <v>85</v>
      </c>
      <c r="K1050" s="8">
        <v>185</v>
      </c>
      <c r="L1050" s="8">
        <v>172</v>
      </c>
      <c r="M1050" t="s">
        <v>1307</v>
      </c>
      <c r="N1050" s="16" t="s">
        <v>22</v>
      </c>
      <c r="O1050" s="16" t="s">
        <v>22</v>
      </c>
      <c r="P1050" s="16" t="s">
        <v>37</v>
      </c>
      <c r="Q1050" s="10" t="s">
        <v>418</v>
      </c>
      <c r="R1050" s="3" t="str">
        <f t="shared" si="32"/>
        <v>96</v>
      </c>
      <c r="S1050" s="3" t="str">
        <f t="shared" si="33"/>
        <v>85</v>
      </c>
      <c r="T1050" s="16" t="s">
        <v>29</v>
      </c>
      <c r="U1050" s="3">
        <v>14.762</v>
      </c>
      <c r="V1050" s="16" t="str">
        <f>PROPER(Table1[[#This Row],[CVD Risk Level]])</f>
        <v>Low</v>
      </c>
    </row>
    <row r="1051" spans="1:22" x14ac:dyDescent="0.3">
      <c r="A1051" t="s">
        <v>31</v>
      </c>
      <c r="B1051" s="8">
        <v>73</v>
      </c>
      <c r="C1051" s="8">
        <v>100.845</v>
      </c>
      <c r="D1051" s="5">
        <v>1.591</v>
      </c>
      <c r="E1051" s="5">
        <v>22.896999999999998</v>
      </c>
      <c r="F1051" s="16" t="s">
        <v>33</v>
      </c>
      <c r="G1051" s="11">
        <v>0.55300000000000005</v>
      </c>
      <c r="H1051" s="5">
        <v>88.019000000000005</v>
      </c>
      <c r="I1051" s="8">
        <v>76</v>
      </c>
      <c r="J1051" s="8">
        <v>90</v>
      </c>
      <c r="K1051" s="8">
        <v>196</v>
      </c>
      <c r="L1051" s="8">
        <v>135</v>
      </c>
      <c r="M1051" t="s">
        <v>1307</v>
      </c>
      <c r="N1051" s="16" t="s">
        <v>23</v>
      </c>
      <c r="O1051" s="16" t="s">
        <v>22</v>
      </c>
      <c r="P1051" s="16" t="s">
        <v>28</v>
      </c>
      <c r="Q1051" s="10" t="s">
        <v>900</v>
      </c>
      <c r="R1051" s="3" t="str">
        <f t="shared" si="32"/>
        <v>145</v>
      </c>
      <c r="S1051" s="3" t="str">
        <f t="shared" si="33"/>
        <v>91</v>
      </c>
      <c r="T1051" s="16" t="s">
        <v>38</v>
      </c>
      <c r="U1051" s="3">
        <v>15.749000000000001</v>
      </c>
      <c r="V1051" s="16" t="str">
        <f>PROPER(Table1[[#This Row],[CVD Risk Level]])</f>
        <v>Intermediary</v>
      </c>
    </row>
    <row r="1052" spans="1:22" x14ac:dyDescent="0.3">
      <c r="A1052" t="s">
        <v>31</v>
      </c>
      <c r="B1052" s="8">
        <v>48</v>
      </c>
      <c r="C1052" s="8">
        <v>107.611</v>
      </c>
      <c r="D1052" s="5">
        <v>1.718</v>
      </c>
      <c r="E1052" s="5">
        <v>26.407</v>
      </c>
      <c r="F1052" s="16" t="s">
        <v>1303</v>
      </c>
      <c r="G1052" s="11">
        <v>0.46899999999999997</v>
      </c>
      <c r="H1052" s="5">
        <v>80.588999999999999</v>
      </c>
      <c r="I1052" s="8">
        <v>69</v>
      </c>
      <c r="J1052" s="8">
        <v>63</v>
      </c>
      <c r="K1052" s="8">
        <v>162</v>
      </c>
      <c r="L1052" s="8">
        <v>94</v>
      </c>
      <c r="M1052" t="s">
        <v>33</v>
      </c>
      <c r="N1052" s="16" t="s">
        <v>23</v>
      </c>
      <c r="O1052" s="16" t="s">
        <v>22</v>
      </c>
      <c r="P1052" s="16" t="s">
        <v>24</v>
      </c>
      <c r="Q1052" s="10" t="s">
        <v>691</v>
      </c>
      <c r="R1052" s="3" t="str">
        <f t="shared" si="32"/>
        <v>117</v>
      </c>
      <c r="S1052" s="3" t="str">
        <f t="shared" si="33"/>
        <v>60</v>
      </c>
      <c r="T1052" s="16" t="s">
        <v>33</v>
      </c>
      <c r="U1052" s="3">
        <v>14.371</v>
      </c>
      <c r="V1052" s="16" t="str">
        <f>PROPER(Table1[[#This Row],[CVD Risk Level]])</f>
        <v>High</v>
      </c>
    </row>
    <row r="1053" spans="1:22" x14ac:dyDescent="0.3">
      <c r="A1053" t="s">
        <v>20</v>
      </c>
      <c r="B1053" s="8">
        <v>44</v>
      </c>
      <c r="C1053" s="8">
        <v>90.260999999999996</v>
      </c>
      <c r="D1053" s="5">
        <v>1.6359999999999999</v>
      </c>
      <c r="E1053" s="5">
        <v>26.895</v>
      </c>
      <c r="F1053" s="16" t="s">
        <v>1303</v>
      </c>
      <c r="G1053" s="11">
        <v>0.47199999999999998</v>
      </c>
      <c r="H1053" s="5">
        <v>77.206999999999994</v>
      </c>
      <c r="I1053" s="8">
        <v>57</v>
      </c>
      <c r="J1053" s="8">
        <v>200</v>
      </c>
      <c r="K1053" s="8">
        <v>287</v>
      </c>
      <c r="L1053" s="8">
        <v>158</v>
      </c>
      <c r="M1053" t="s">
        <v>1307</v>
      </c>
      <c r="N1053" s="16" t="s">
        <v>23</v>
      </c>
      <c r="O1053" s="16" t="s">
        <v>23</v>
      </c>
      <c r="P1053" s="16" t="s">
        <v>37</v>
      </c>
      <c r="Q1053" s="10" t="s">
        <v>901</v>
      </c>
      <c r="R1053" s="3" t="str">
        <f t="shared" si="32"/>
        <v>164</v>
      </c>
      <c r="S1053" s="3" t="str">
        <f t="shared" si="33"/>
        <v>87</v>
      </c>
      <c r="T1053" s="16" t="s">
        <v>29</v>
      </c>
      <c r="U1053" s="3">
        <v>21.318999999999999</v>
      </c>
      <c r="V1053" s="16" t="str">
        <f>PROPER(Table1[[#This Row],[CVD Risk Level]])</f>
        <v>High</v>
      </c>
    </row>
    <row r="1054" spans="1:22" x14ac:dyDescent="0.3">
      <c r="A1054" t="s">
        <v>20</v>
      </c>
      <c r="B1054" s="8">
        <v>48</v>
      </c>
      <c r="C1054" s="8">
        <v>81.247</v>
      </c>
      <c r="D1054" s="5">
        <v>1.9490000000000001</v>
      </c>
      <c r="E1054" s="5">
        <v>39.118000000000002</v>
      </c>
      <c r="F1054" s="16" t="s">
        <v>1302</v>
      </c>
      <c r="G1054" s="11">
        <v>0.39800000000000002</v>
      </c>
      <c r="H1054" s="5">
        <v>77.647000000000006</v>
      </c>
      <c r="I1054" s="8">
        <v>56.197377501725327</v>
      </c>
      <c r="J1054" s="8">
        <v>193</v>
      </c>
      <c r="K1054" s="8">
        <v>274</v>
      </c>
      <c r="L1054" s="8">
        <v>170</v>
      </c>
      <c r="M1054" t="s">
        <v>1307</v>
      </c>
      <c r="N1054" s="16" t="s">
        <v>22</v>
      </c>
      <c r="O1054" s="16" t="s">
        <v>23</v>
      </c>
      <c r="P1054" s="16" t="s">
        <v>28</v>
      </c>
      <c r="Q1054" s="10" t="s">
        <v>902</v>
      </c>
      <c r="R1054" s="3" t="str">
        <f t="shared" si="32"/>
        <v>158</v>
      </c>
      <c r="S1054" s="3" t="str">
        <f t="shared" si="33"/>
        <v>74</v>
      </c>
      <c r="T1054" s="16" t="s">
        <v>38</v>
      </c>
      <c r="U1054" s="3">
        <v>23.204000000000001</v>
      </c>
      <c r="V1054" s="16" t="str">
        <f>PROPER(Table1[[#This Row],[CVD Risk Level]])</f>
        <v>Intermediary</v>
      </c>
    </row>
    <row r="1055" spans="1:22" x14ac:dyDescent="0.3">
      <c r="A1055" t="s">
        <v>20</v>
      </c>
      <c r="B1055" s="8">
        <v>75</v>
      </c>
      <c r="C1055" s="8">
        <v>76.602999999999994</v>
      </c>
      <c r="D1055" s="5">
        <v>1.85</v>
      </c>
      <c r="E1055" s="5">
        <v>39.712000000000003</v>
      </c>
      <c r="F1055" s="16" t="s">
        <v>1302</v>
      </c>
      <c r="G1055" s="11">
        <v>0.57799999999999996</v>
      </c>
      <c r="H1055" s="5">
        <v>106.93</v>
      </c>
      <c r="I1055" s="8">
        <v>30</v>
      </c>
      <c r="J1055" s="8">
        <v>119</v>
      </c>
      <c r="K1055" s="8">
        <v>179</v>
      </c>
      <c r="L1055" s="8">
        <v>189</v>
      </c>
      <c r="M1055" t="s">
        <v>1307</v>
      </c>
      <c r="N1055" s="16" t="s">
        <v>22</v>
      </c>
      <c r="O1055" s="16" t="s">
        <v>23</v>
      </c>
      <c r="P1055" s="16" t="s">
        <v>24</v>
      </c>
      <c r="Q1055" s="10" t="s">
        <v>903</v>
      </c>
      <c r="R1055" s="3" t="str">
        <f t="shared" si="32"/>
        <v>90</v>
      </c>
      <c r="S1055" s="3" t="str">
        <f t="shared" si="33"/>
        <v>87</v>
      </c>
      <c r="T1055" s="16" t="s">
        <v>29</v>
      </c>
      <c r="U1055" s="3">
        <v>16.960925291295425</v>
      </c>
      <c r="V1055" s="16" t="str">
        <f>PROPER(Table1[[#This Row],[CVD Risk Level]])</f>
        <v>High</v>
      </c>
    </row>
    <row r="1056" spans="1:22" x14ac:dyDescent="0.3">
      <c r="A1056" t="s">
        <v>20</v>
      </c>
      <c r="B1056" s="8">
        <v>41</v>
      </c>
      <c r="C1056" s="8">
        <v>82.337000000000003</v>
      </c>
      <c r="D1056" s="5">
        <v>1.7270000000000001</v>
      </c>
      <c r="E1056" s="5">
        <v>18.827999999999999</v>
      </c>
      <c r="F1056" s="16" t="s">
        <v>33</v>
      </c>
      <c r="G1056" s="11">
        <v>0.41699999999999998</v>
      </c>
      <c r="H1056" s="5">
        <v>72.052999999999997</v>
      </c>
      <c r="I1056" s="8">
        <v>53</v>
      </c>
      <c r="J1056" s="8">
        <v>124</v>
      </c>
      <c r="K1056" s="8">
        <v>207</v>
      </c>
      <c r="L1056" s="8">
        <v>92</v>
      </c>
      <c r="M1056" t="s">
        <v>33</v>
      </c>
      <c r="N1056" s="16" t="s">
        <v>23</v>
      </c>
      <c r="O1056" s="16" t="s">
        <v>23</v>
      </c>
      <c r="P1056" s="16" t="s">
        <v>37</v>
      </c>
      <c r="Q1056" s="10" t="s">
        <v>904</v>
      </c>
      <c r="R1056" s="3" t="str">
        <f t="shared" si="32"/>
        <v>154</v>
      </c>
      <c r="S1056" s="3" t="str">
        <f t="shared" si="33"/>
        <v>70</v>
      </c>
      <c r="T1056" s="16" t="s">
        <v>38</v>
      </c>
      <c r="U1056" s="3">
        <v>17.606000000000002</v>
      </c>
      <c r="V1056" s="16" t="str">
        <f>PROPER(Table1[[#This Row],[CVD Risk Level]])</f>
        <v>High</v>
      </c>
    </row>
    <row r="1057" spans="1:22" x14ac:dyDescent="0.3">
      <c r="A1057" t="s">
        <v>31</v>
      </c>
      <c r="B1057" s="8">
        <v>28</v>
      </c>
      <c r="C1057" s="8">
        <v>99.08</v>
      </c>
      <c r="D1057" s="5">
        <v>1.77</v>
      </c>
      <c r="E1057" s="5">
        <v>24.835000000000001</v>
      </c>
      <c r="F1057" s="16" t="s">
        <v>33</v>
      </c>
      <c r="G1057" s="11">
        <v>0.54400000000000004</v>
      </c>
      <c r="H1057" s="5">
        <v>96.245000000000005</v>
      </c>
      <c r="I1057" s="8">
        <v>38</v>
      </c>
      <c r="J1057" s="8">
        <v>79</v>
      </c>
      <c r="K1057" s="8">
        <v>147</v>
      </c>
      <c r="L1057" s="8">
        <v>165</v>
      </c>
      <c r="M1057" t="s">
        <v>1307</v>
      </c>
      <c r="N1057" s="16" t="s">
        <v>23</v>
      </c>
      <c r="O1057" s="16" t="s">
        <v>23</v>
      </c>
      <c r="P1057" s="16" t="s">
        <v>28</v>
      </c>
      <c r="Q1057" s="10" t="s">
        <v>905</v>
      </c>
      <c r="R1057" s="3" t="str">
        <f t="shared" si="32"/>
        <v>103</v>
      </c>
      <c r="S1057" s="3" t="str">
        <f t="shared" si="33"/>
        <v>107</v>
      </c>
      <c r="T1057" s="16" t="s">
        <v>38</v>
      </c>
      <c r="U1057" s="3">
        <v>15.057</v>
      </c>
      <c r="V1057" s="16" t="str">
        <f>PROPER(Table1[[#This Row],[CVD Risk Level]])</f>
        <v>High</v>
      </c>
    </row>
    <row r="1058" spans="1:22" x14ac:dyDescent="0.3">
      <c r="A1058" t="s">
        <v>20</v>
      </c>
      <c r="B1058" s="8">
        <v>75</v>
      </c>
      <c r="C1058" s="8">
        <v>115.384</v>
      </c>
      <c r="D1058" s="5">
        <v>1.744</v>
      </c>
      <c r="E1058" s="5">
        <v>34.636000000000003</v>
      </c>
      <c r="F1058" s="16" t="s">
        <v>1302</v>
      </c>
      <c r="G1058" s="11">
        <v>0.58599999999999997</v>
      </c>
      <c r="H1058" s="5">
        <v>102.26</v>
      </c>
      <c r="I1058" s="8">
        <v>31</v>
      </c>
      <c r="J1058" s="8">
        <v>103</v>
      </c>
      <c r="K1058" s="8">
        <v>164</v>
      </c>
      <c r="L1058" s="8">
        <v>122</v>
      </c>
      <c r="M1058" t="s">
        <v>1306</v>
      </c>
      <c r="N1058" s="16" t="s">
        <v>23</v>
      </c>
      <c r="O1058" s="16" t="s">
        <v>22</v>
      </c>
      <c r="P1058" s="16" t="s">
        <v>37</v>
      </c>
      <c r="Q1058" s="10" t="s">
        <v>906</v>
      </c>
      <c r="R1058" s="3" t="str">
        <f t="shared" si="32"/>
        <v>128</v>
      </c>
      <c r="S1058" s="3" t="str">
        <f t="shared" si="33"/>
        <v>97</v>
      </c>
      <c r="T1058" s="16" t="s">
        <v>38</v>
      </c>
      <c r="U1058" s="3">
        <v>16.606999999999999</v>
      </c>
      <c r="V1058" s="16" t="str">
        <f>PROPER(Table1[[#This Row],[CVD Risk Level]])</f>
        <v>Intermediary</v>
      </c>
    </row>
    <row r="1059" spans="1:22" x14ac:dyDescent="0.3">
      <c r="A1059" t="s">
        <v>31</v>
      </c>
      <c r="B1059" s="8">
        <v>32</v>
      </c>
      <c r="C1059" s="8">
        <v>58.721195163000004</v>
      </c>
      <c r="D1059" s="5">
        <v>1.657</v>
      </c>
      <c r="E1059" s="5">
        <v>21.387</v>
      </c>
      <c r="F1059" s="16" t="s">
        <v>33</v>
      </c>
      <c r="G1059" s="11">
        <v>0.45400000000000001</v>
      </c>
      <c r="H1059" s="5">
        <v>75.28</v>
      </c>
      <c r="I1059" s="8">
        <v>63</v>
      </c>
      <c r="J1059" s="8">
        <v>188</v>
      </c>
      <c r="K1059" s="8">
        <v>281</v>
      </c>
      <c r="L1059" s="8">
        <v>153</v>
      </c>
      <c r="M1059" t="s">
        <v>1307</v>
      </c>
      <c r="N1059" s="16" t="s">
        <v>23</v>
      </c>
      <c r="O1059" s="16" t="s">
        <v>23</v>
      </c>
      <c r="P1059" s="16" t="s">
        <v>24</v>
      </c>
      <c r="Q1059" s="10" t="s">
        <v>907</v>
      </c>
      <c r="R1059" s="3" t="str">
        <f t="shared" si="32"/>
        <v>147</v>
      </c>
      <c r="S1059" s="3" t="str">
        <f t="shared" si="33"/>
        <v>81</v>
      </c>
      <c r="T1059" s="16" t="s">
        <v>29</v>
      </c>
      <c r="U1059" s="3">
        <v>19.247</v>
      </c>
      <c r="V1059" s="16" t="str">
        <f>PROPER(Table1[[#This Row],[CVD Risk Level]])</f>
        <v>High</v>
      </c>
    </row>
    <row r="1060" spans="1:22" x14ac:dyDescent="0.3">
      <c r="A1060" t="s">
        <v>31</v>
      </c>
      <c r="B1060" s="8">
        <v>43</v>
      </c>
      <c r="C1060" s="8">
        <v>80.563000000000002</v>
      </c>
      <c r="D1060" s="5">
        <v>1.7150000000000001</v>
      </c>
      <c r="E1060" s="5">
        <v>30.696000000000002</v>
      </c>
      <c r="F1060" s="16" t="s">
        <v>1302</v>
      </c>
      <c r="G1060" s="11">
        <v>0.65</v>
      </c>
      <c r="H1060" s="5">
        <v>111.462</v>
      </c>
      <c r="I1060" s="8">
        <v>77</v>
      </c>
      <c r="J1060" s="8">
        <v>155</v>
      </c>
      <c r="K1060" s="8">
        <v>262</v>
      </c>
      <c r="L1060" s="8">
        <v>140</v>
      </c>
      <c r="M1060" t="s">
        <v>1307</v>
      </c>
      <c r="N1060" s="16" t="s">
        <v>23</v>
      </c>
      <c r="O1060" s="16" t="s">
        <v>22</v>
      </c>
      <c r="P1060" s="16" t="s">
        <v>28</v>
      </c>
      <c r="Q1060" s="10" t="s">
        <v>908</v>
      </c>
      <c r="R1060" s="3" t="str">
        <f t="shared" si="32"/>
        <v>177</v>
      </c>
      <c r="S1060" s="3" t="str">
        <f t="shared" si="33"/>
        <v>98</v>
      </c>
      <c r="T1060" s="16" t="s">
        <v>38</v>
      </c>
      <c r="U1060" s="3">
        <v>20.228999999999999</v>
      </c>
      <c r="V1060" s="16" t="str">
        <f>PROPER(Table1[[#This Row],[CVD Risk Level]])</f>
        <v>Low</v>
      </c>
    </row>
    <row r="1061" spans="1:22" x14ac:dyDescent="0.3">
      <c r="A1061" t="s">
        <v>20</v>
      </c>
      <c r="B1061" s="8">
        <v>71</v>
      </c>
      <c r="C1061" s="8">
        <v>105.63</v>
      </c>
      <c r="D1061" s="5">
        <v>1.6819999999999999</v>
      </c>
      <c r="E1061" s="5">
        <v>33.093000000000004</v>
      </c>
      <c r="F1061" s="16" t="s">
        <v>1302</v>
      </c>
      <c r="G1061" s="11">
        <v>0.63</v>
      </c>
      <c r="H1061" s="5">
        <v>105.92700000000001</v>
      </c>
      <c r="I1061" s="8">
        <v>59</v>
      </c>
      <c r="J1061" s="8">
        <v>123</v>
      </c>
      <c r="K1061" s="8">
        <v>212</v>
      </c>
      <c r="L1061" s="8">
        <v>98</v>
      </c>
      <c r="M1061" t="s">
        <v>33</v>
      </c>
      <c r="N1061" s="16" t="s">
        <v>22</v>
      </c>
      <c r="O1061" s="16" t="s">
        <v>22</v>
      </c>
      <c r="P1061" s="16" t="s">
        <v>24</v>
      </c>
      <c r="Q1061" s="10" t="s">
        <v>909</v>
      </c>
      <c r="R1061" s="3" t="str">
        <f t="shared" si="32"/>
        <v>172</v>
      </c>
      <c r="S1061" s="3" t="str">
        <f t="shared" si="33"/>
        <v>77</v>
      </c>
      <c r="T1061" s="16" t="s">
        <v>38</v>
      </c>
      <c r="U1061" s="3">
        <v>19.459</v>
      </c>
      <c r="V1061" s="16" t="str">
        <f>PROPER(Table1[[#This Row],[CVD Risk Level]])</f>
        <v>High</v>
      </c>
    </row>
    <row r="1062" spans="1:22" x14ac:dyDescent="0.3">
      <c r="A1062" t="s">
        <v>31</v>
      </c>
      <c r="B1062" s="8">
        <v>45</v>
      </c>
      <c r="C1062" s="8">
        <v>110.392</v>
      </c>
      <c r="D1062" s="5">
        <v>1.7050000000000001</v>
      </c>
      <c r="E1062" s="5">
        <v>34.826000000000001</v>
      </c>
      <c r="F1062" s="16" t="s">
        <v>1302</v>
      </c>
      <c r="G1062" s="11">
        <v>0.56299999999999994</v>
      </c>
      <c r="H1062" s="5">
        <v>95.951999999999998</v>
      </c>
      <c r="I1062" s="8">
        <v>56</v>
      </c>
      <c r="J1062" s="8">
        <v>190</v>
      </c>
      <c r="K1062" s="8">
        <v>276</v>
      </c>
      <c r="L1062" s="8">
        <v>70</v>
      </c>
      <c r="M1062" t="s">
        <v>33</v>
      </c>
      <c r="N1062" s="16" t="s">
        <v>22</v>
      </c>
      <c r="O1062" s="16" t="s">
        <v>22</v>
      </c>
      <c r="P1062" s="16" t="s">
        <v>24</v>
      </c>
      <c r="Q1062" s="10" t="s">
        <v>910</v>
      </c>
      <c r="R1062" s="3" t="str">
        <f t="shared" si="32"/>
        <v>165</v>
      </c>
      <c r="S1062" s="3" t="str">
        <f t="shared" si="33"/>
        <v>85</v>
      </c>
      <c r="T1062" s="16" t="s">
        <v>29</v>
      </c>
      <c r="U1062" s="3">
        <v>20.734999999999999</v>
      </c>
      <c r="V1062" s="16" t="str">
        <f>PROPER(Table1[[#This Row],[CVD Risk Level]])</f>
        <v>Intermediary</v>
      </c>
    </row>
    <row r="1063" spans="1:22" x14ac:dyDescent="0.3">
      <c r="A1063" t="s">
        <v>31</v>
      </c>
      <c r="B1063" s="8">
        <v>33</v>
      </c>
      <c r="C1063" s="8">
        <v>73.070999999999998</v>
      </c>
      <c r="D1063" s="5">
        <v>1.6459999999999999</v>
      </c>
      <c r="E1063" s="5">
        <v>27.373000000000001</v>
      </c>
      <c r="F1063" s="16" t="s">
        <v>1303</v>
      </c>
      <c r="G1063" s="11">
        <v>0.5</v>
      </c>
      <c r="H1063" s="5">
        <v>82.346000000000004</v>
      </c>
      <c r="I1063" s="8">
        <v>56.197377501725327</v>
      </c>
      <c r="J1063" s="8">
        <v>32</v>
      </c>
      <c r="K1063" s="8">
        <v>176.39475500345065</v>
      </c>
      <c r="L1063" s="8">
        <v>92</v>
      </c>
      <c r="M1063" t="s">
        <v>33</v>
      </c>
      <c r="N1063" s="16" t="s">
        <v>23</v>
      </c>
      <c r="O1063" s="16" t="s">
        <v>23</v>
      </c>
      <c r="P1063" s="16" t="s">
        <v>28</v>
      </c>
      <c r="Q1063" s="10" t="s">
        <v>911</v>
      </c>
      <c r="R1063" s="3" t="str">
        <f t="shared" si="32"/>
        <v>129</v>
      </c>
      <c r="S1063" s="3" t="str">
        <f t="shared" si="33"/>
        <v>113</v>
      </c>
      <c r="T1063" s="16" t="s">
        <v>38</v>
      </c>
      <c r="U1063" s="3">
        <v>16.425000000000001</v>
      </c>
      <c r="V1063" s="16" t="str">
        <f>PROPER(Table1[[#This Row],[CVD Risk Level]])</f>
        <v>High</v>
      </c>
    </row>
    <row r="1064" spans="1:22" x14ac:dyDescent="0.3">
      <c r="A1064" t="s">
        <v>20</v>
      </c>
      <c r="B1064" s="8">
        <v>57</v>
      </c>
      <c r="C1064" s="8">
        <v>57.427999999999997</v>
      </c>
      <c r="D1064" s="5">
        <v>1.8109999999999999</v>
      </c>
      <c r="E1064" s="5">
        <v>36.299999999999997</v>
      </c>
      <c r="F1064" s="16" t="s">
        <v>1302</v>
      </c>
      <c r="G1064" s="11">
        <v>0.51</v>
      </c>
      <c r="H1064" s="5">
        <v>92.387</v>
      </c>
      <c r="I1064" s="8">
        <v>56.197377501725327</v>
      </c>
      <c r="J1064" s="8">
        <v>109</v>
      </c>
      <c r="K1064" s="8">
        <v>203</v>
      </c>
      <c r="L1064" s="8">
        <v>161</v>
      </c>
      <c r="M1064" t="s">
        <v>1307</v>
      </c>
      <c r="N1064" s="16" t="s">
        <v>23</v>
      </c>
      <c r="O1064" s="16" t="s">
        <v>23</v>
      </c>
      <c r="P1064" s="16" t="s">
        <v>28</v>
      </c>
      <c r="Q1064" s="10" t="s">
        <v>912</v>
      </c>
      <c r="R1064" s="3" t="str">
        <f t="shared" si="32"/>
        <v>126</v>
      </c>
      <c r="S1064" s="3" t="str">
        <f t="shared" si="33"/>
        <v>61</v>
      </c>
      <c r="T1064" s="16" t="s">
        <v>25</v>
      </c>
      <c r="U1064" s="3">
        <v>19.62</v>
      </c>
      <c r="V1064" s="16" t="str">
        <f>PROPER(Table1[[#This Row],[CVD Risk Level]])</f>
        <v>High</v>
      </c>
    </row>
    <row r="1065" spans="1:22" x14ac:dyDescent="0.3">
      <c r="A1065" t="s">
        <v>20</v>
      </c>
      <c r="B1065" s="8">
        <v>53</v>
      </c>
      <c r="C1065" s="8">
        <v>96.331999999999994</v>
      </c>
      <c r="D1065" s="5">
        <v>1.6739999999999999</v>
      </c>
      <c r="E1065" s="5">
        <v>38.898000000000003</v>
      </c>
      <c r="F1065" s="16" t="s">
        <v>1302</v>
      </c>
      <c r="G1065" s="11">
        <v>0.621</v>
      </c>
      <c r="H1065" s="5">
        <v>103.991</v>
      </c>
      <c r="I1065" s="8">
        <v>35</v>
      </c>
      <c r="J1065" s="8">
        <v>147</v>
      </c>
      <c r="K1065" s="8">
        <v>212</v>
      </c>
      <c r="L1065" s="8">
        <v>96</v>
      </c>
      <c r="M1065" t="s">
        <v>33</v>
      </c>
      <c r="N1065" s="16" t="s">
        <v>23</v>
      </c>
      <c r="O1065" s="16" t="s">
        <v>23</v>
      </c>
      <c r="P1065" s="16" t="s">
        <v>28</v>
      </c>
      <c r="Q1065" s="10" t="s">
        <v>913</v>
      </c>
      <c r="R1065" s="3" t="str">
        <f t="shared" si="32"/>
        <v>179</v>
      </c>
      <c r="S1065" s="3" t="str">
        <f t="shared" si="33"/>
        <v>90</v>
      </c>
      <c r="T1065" s="16" t="s">
        <v>38</v>
      </c>
      <c r="U1065" s="3">
        <v>22.97</v>
      </c>
      <c r="V1065" s="16" t="str">
        <f>PROPER(Table1[[#This Row],[CVD Risk Level]])</f>
        <v>Intermediary</v>
      </c>
    </row>
    <row r="1066" spans="1:22" x14ac:dyDescent="0.3">
      <c r="A1066" t="s">
        <v>20</v>
      </c>
      <c r="B1066" s="8">
        <v>47</v>
      </c>
      <c r="C1066" s="8">
        <v>83.534000000000006</v>
      </c>
      <c r="D1066" s="5">
        <v>1.89</v>
      </c>
      <c r="E1066" s="5">
        <v>38.703000000000003</v>
      </c>
      <c r="F1066" s="16" t="s">
        <v>1302</v>
      </c>
      <c r="G1066" s="11">
        <v>0.60299999999999998</v>
      </c>
      <c r="H1066" s="5">
        <v>113.907</v>
      </c>
      <c r="I1066" s="8">
        <v>47</v>
      </c>
      <c r="J1066" s="8">
        <v>178</v>
      </c>
      <c r="K1066" s="8">
        <v>255</v>
      </c>
      <c r="L1066" s="8">
        <v>173</v>
      </c>
      <c r="M1066" t="s">
        <v>1307</v>
      </c>
      <c r="N1066" s="16" t="s">
        <v>23</v>
      </c>
      <c r="O1066" s="16" t="s">
        <v>22</v>
      </c>
      <c r="P1066" s="16" t="s">
        <v>28</v>
      </c>
      <c r="Q1066" s="10" t="s">
        <v>914</v>
      </c>
      <c r="R1066" s="3" t="str">
        <f t="shared" si="32"/>
        <v>171</v>
      </c>
      <c r="S1066" s="3" t="str">
        <f t="shared" si="33"/>
        <v>113</v>
      </c>
      <c r="T1066" s="16" t="s">
        <v>38</v>
      </c>
      <c r="U1066" s="3">
        <v>21.390999999999998</v>
      </c>
      <c r="V1066" s="16" t="str">
        <f>PROPER(Table1[[#This Row],[CVD Risk Level]])</f>
        <v>Intermediary</v>
      </c>
    </row>
    <row r="1067" spans="1:22" x14ac:dyDescent="0.3">
      <c r="A1067" t="s">
        <v>20</v>
      </c>
      <c r="B1067" s="8">
        <v>67</v>
      </c>
      <c r="C1067" s="8">
        <v>79.489000000000004</v>
      </c>
      <c r="D1067" s="5">
        <v>1.879</v>
      </c>
      <c r="E1067" s="5">
        <v>28.065999999999999</v>
      </c>
      <c r="F1067" s="16" t="s">
        <v>1303</v>
      </c>
      <c r="G1067" s="11">
        <v>0.432</v>
      </c>
      <c r="H1067" s="5">
        <v>81.173000000000002</v>
      </c>
      <c r="I1067" s="8">
        <v>70</v>
      </c>
      <c r="J1067" s="8">
        <v>129</v>
      </c>
      <c r="K1067" s="8">
        <v>229</v>
      </c>
      <c r="L1067" s="8">
        <v>136</v>
      </c>
      <c r="M1067" t="s">
        <v>1307</v>
      </c>
      <c r="N1067" s="16" t="s">
        <v>22</v>
      </c>
      <c r="O1067" s="16" t="s">
        <v>22</v>
      </c>
      <c r="P1067" s="16" t="s">
        <v>37</v>
      </c>
      <c r="Q1067" s="10" t="s">
        <v>915</v>
      </c>
      <c r="R1067" s="3" t="str">
        <f t="shared" si="32"/>
        <v>162</v>
      </c>
      <c r="S1067" s="3" t="str">
        <f t="shared" si="33"/>
        <v>117</v>
      </c>
      <c r="T1067" s="16" t="s">
        <v>38</v>
      </c>
      <c r="U1067" s="3">
        <v>18.292999999999999</v>
      </c>
      <c r="V1067" s="16" t="str">
        <f>PROPER(Table1[[#This Row],[CVD Risk Level]])</f>
        <v>Low</v>
      </c>
    </row>
    <row r="1068" spans="1:22" x14ac:dyDescent="0.3">
      <c r="A1068" t="s">
        <v>20</v>
      </c>
      <c r="B1068" s="8">
        <v>33</v>
      </c>
      <c r="C1068" s="8">
        <v>105.351</v>
      </c>
      <c r="D1068" s="5">
        <v>1.68</v>
      </c>
      <c r="E1068" s="5">
        <v>28.038</v>
      </c>
      <c r="F1068" s="16" t="s">
        <v>1303</v>
      </c>
      <c r="G1068" s="11">
        <v>0.65400000000000003</v>
      </c>
      <c r="H1068" s="5">
        <v>109.807</v>
      </c>
      <c r="I1068" s="8">
        <v>48</v>
      </c>
      <c r="J1068" s="8">
        <v>210</v>
      </c>
      <c r="K1068" s="8">
        <v>288</v>
      </c>
      <c r="L1068" s="8">
        <v>161</v>
      </c>
      <c r="M1068" t="s">
        <v>1307</v>
      </c>
      <c r="N1068" s="16" t="s">
        <v>23</v>
      </c>
      <c r="O1068" s="16" t="s">
        <v>23</v>
      </c>
      <c r="P1068" s="16" t="s">
        <v>28</v>
      </c>
      <c r="Q1068" s="10" t="s">
        <v>568</v>
      </c>
      <c r="R1068" s="3" t="str">
        <f t="shared" si="32"/>
        <v>146</v>
      </c>
      <c r="S1068" s="3" t="str">
        <f t="shared" si="33"/>
        <v>91</v>
      </c>
      <c r="T1068" s="16" t="s">
        <v>38</v>
      </c>
      <c r="U1068" s="3">
        <v>20.667999999999999</v>
      </c>
      <c r="V1068" s="16" t="str">
        <f>PROPER(Table1[[#This Row],[CVD Risk Level]])</f>
        <v>Low</v>
      </c>
    </row>
    <row r="1069" spans="1:22" x14ac:dyDescent="0.3">
      <c r="A1069" t="s">
        <v>20</v>
      </c>
      <c r="B1069" s="8">
        <v>64</v>
      </c>
      <c r="C1069" s="8">
        <v>67.144000000000005</v>
      </c>
      <c r="D1069" s="5">
        <v>1.532</v>
      </c>
      <c r="E1069" s="5">
        <v>22.811</v>
      </c>
      <c r="F1069" s="16" t="s">
        <v>33</v>
      </c>
      <c r="G1069" s="11">
        <v>0.65100000000000002</v>
      </c>
      <c r="H1069" s="5">
        <v>99.79</v>
      </c>
      <c r="I1069" s="8">
        <v>59</v>
      </c>
      <c r="J1069" s="8">
        <v>171</v>
      </c>
      <c r="K1069" s="8">
        <v>260</v>
      </c>
      <c r="L1069" s="8">
        <v>106</v>
      </c>
      <c r="M1069" t="s">
        <v>1306</v>
      </c>
      <c r="N1069" s="16" t="s">
        <v>22</v>
      </c>
      <c r="O1069" s="16" t="s">
        <v>22</v>
      </c>
      <c r="P1069" s="16" t="s">
        <v>28</v>
      </c>
      <c r="Q1069" s="10" t="s">
        <v>756</v>
      </c>
      <c r="R1069" s="3" t="str">
        <f t="shared" si="32"/>
        <v>127</v>
      </c>
      <c r="S1069" s="3" t="str">
        <f t="shared" si="33"/>
        <v>99</v>
      </c>
      <c r="T1069" s="16" t="s">
        <v>38</v>
      </c>
      <c r="U1069" s="3">
        <v>16.111999999999998</v>
      </c>
      <c r="V1069" s="16" t="str">
        <f>PROPER(Table1[[#This Row],[CVD Risk Level]])</f>
        <v>High</v>
      </c>
    </row>
    <row r="1070" spans="1:22" x14ac:dyDescent="0.3">
      <c r="A1070" t="s">
        <v>20</v>
      </c>
      <c r="B1070" s="8">
        <v>76</v>
      </c>
      <c r="C1070" s="8">
        <v>99.191000000000003</v>
      </c>
      <c r="D1070" s="5">
        <v>1.738</v>
      </c>
      <c r="E1070" s="5">
        <v>32.837699510435527</v>
      </c>
      <c r="F1070" s="16" t="s">
        <v>1302</v>
      </c>
      <c r="G1070" s="11">
        <v>0.46500000000000002</v>
      </c>
      <c r="H1070" s="5">
        <v>80.861999999999995</v>
      </c>
      <c r="I1070" s="8">
        <v>66</v>
      </c>
      <c r="J1070" s="8">
        <v>116</v>
      </c>
      <c r="K1070" s="8">
        <v>212</v>
      </c>
      <c r="L1070" s="8">
        <v>178</v>
      </c>
      <c r="M1070" t="s">
        <v>1307</v>
      </c>
      <c r="N1070" s="16" t="s">
        <v>22</v>
      </c>
      <c r="O1070" s="16" t="s">
        <v>23</v>
      </c>
      <c r="P1070" s="16" t="s">
        <v>24</v>
      </c>
      <c r="Q1070" s="10" t="s">
        <v>916</v>
      </c>
      <c r="R1070" s="3" t="str">
        <f t="shared" si="32"/>
        <v>102</v>
      </c>
      <c r="S1070" s="3" t="str">
        <f t="shared" si="33"/>
        <v>70</v>
      </c>
      <c r="T1070" s="16" t="s">
        <v>33</v>
      </c>
      <c r="U1070" s="3">
        <v>18.044</v>
      </c>
      <c r="V1070" s="16" t="str">
        <f>PROPER(Table1[[#This Row],[CVD Risk Level]])</f>
        <v>Intermediary</v>
      </c>
    </row>
    <row r="1071" spans="1:22" x14ac:dyDescent="0.3">
      <c r="A1071" t="s">
        <v>31</v>
      </c>
      <c r="B1071" s="8">
        <v>44</v>
      </c>
      <c r="C1071" s="8">
        <v>104.303</v>
      </c>
      <c r="D1071" s="5">
        <v>1.8959999999999999</v>
      </c>
      <c r="E1071" s="5">
        <v>33.274000000000001</v>
      </c>
      <c r="F1071" s="16" t="s">
        <v>1302</v>
      </c>
      <c r="G1071" s="11">
        <v>0.47799999999999998</v>
      </c>
      <c r="H1071" s="5">
        <v>90.572000000000003</v>
      </c>
      <c r="I1071" s="8">
        <v>43</v>
      </c>
      <c r="J1071" s="8">
        <v>44</v>
      </c>
      <c r="K1071" s="8">
        <v>117</v>
      </c>
      <c r="L1071" s="8">
        <v>170</v>
      </c>
      <c r="M1071" t="s">
        <v>1307</v>
      </c>
      <c r="N1071" s="16" t="s">
        <v>23</v>
      </c>
      <c r="O1071" s="16" t="s">
        <v>22</v>
      </c>
      <c r="P1071" s="16" t="s">
        <v>28</v>
      </c>
      <c r="Q1071" s="10" t="s">
        <v>917</v>
      </c>
      <c r="R1071" s="3" t="str">
        <f t="shared" si="32"/>
        <v>108</v>
      </c>
      <c r="S1071" s="3" t="str">
        <f t="shared" si="33"/>
        <v>84</v>
      </c>
      <c r="T1071" s="16" t="s">
        <v>29</v>
      </c>
      <c r="U1071" s="3">
        <v>14.395</v>
      </c>
      <c r="V1071" s="16" t="str">
        <f>PROPER(Table1[[#This Row],[CVD Risk Level]])</f>
        <v>High</v>
      </c>
    </row>
    <row r="1072" spans="1:22" x14ac:dyDescent="0.3">
      <c r="A1072" t="s">
        <v>20</v>
      </c>
      <c r="B1072" s="8">
        <v>30</v>
      </c>
      <c r="C1072" s="8">
        <v>74.353999999999999</v>
      </c>
      <c r="D1072" s="5">
        <v>1.6782250724915875</v>
      </c>
      <c r="E1072" s="5">
        <v>26.4</v>
      </c>
      <c r="F1072" s="16" t="s">
        <v>1303</v>
      </c>
      <c r="G1072" s="11">
        <v>0.54200000000000004</v>
      </c>
      <c r="H1072" s="5">
        <v>96.936000000000007</v>
      </c>
      <c r="I1072" s="8">
        <v>37</v>
      </c>
      <c r="J1072" s="8">
        <v>93</v>
      </c>
      <c r="K1072" s="8">
        <v>160</v>
      </c>
      <c r="L1072" s="8">
        <v>117.48563611491107</v>
      </c>
      <c r="M1072" t="s">
        <v>1306</v>
      </c>
      <c r="N1072" s="16" t="s">
        <v>23</v>
      </c>
      <c r="O1072" s="16" t="s">
        <v>23</v>
      </c>
      <c r="P1072" s="16" t="s">
        <v>37</v>
      </c>
      <c r="Q1072" s="10" t="s">
        <v>209</v>
      </c>
      <c r="R1072" s="3" t="str">
        <f t="shared" si="32"/>
        <v>102</v>
      </c>
      <c r="S1072" s="3" t="str">
        <f t="shared" si="33"/>
        <v>60</v>
      </c>
      <c r="T1072" s="16" t="s">
        <v>33</v>
      </c>
      <c r="U1072" s="3">
        <v>15.58</v>
      </c>
      <c r="V1072" s="16" t="str">
        <f>PROPER(Table1[[#This Row],[CVD Risk Level]])</f>
        <v>Low</v>
      </c>
    </row>
    <row r="1073" spans="1:22" x14ac:dyDescent="0.3">
      <c r="A1073" t="s">
        <v>20</v>
      </c>
      <c r="B1073" s="8">
        <v>51</v>
      </c>
      <c r="C1073" s="8">
        <v>70.213999999999999</v>
      </c>
      <c r="D1073" s="5">
        <v>1.599</v>
      </c>
      <c r="E1073" s="5">
        <v>21.675999999999998</v>
      </c>
      <c r="F1073" s="16" t="s">
        <v>33</v>
      </c>
      <c r="G1073" s="11">
        <v>0.48583489681050657</v>
      </c>
      <c r="H1073" s="5">
        <v>77.685000000000002</v>
      </c>
      <c r="I1073" s="8">
        <v>75</v>
      </c>
      <c r="J1073" s="8">
        <v>32</v>
      </c>
      <c r="K1073" s="8">
        <v>137</v>
      </c>
      <c r="L1073" s="8">
        <v>79</v>
      </c>
      <c r="M1073" t="s">
        <v>33</v>
      </c>
      <c r="N1073" s="16" t="s">
        <v>23</v>
      </c>
      <c r="O1073" s="16" t="s">
        <v>23</v>
      </c>
      <c r="P1073" s="16" t="s">
        <v>37</v>
      </c>
      <c r="Q1073" s="10" t="s">
        <v>918</v>
      </c>
      <c r="R1073" s="3" t="str">
        <f t="shared" si="32"/>
        <v>127</v>
      </c>
      <c r="S1073" s="3" t="str">
        <f t="shared" si="33"/>
        <v>106</v>
      </c>
      <c r="T1073" s="16" t="s">
        <v>38</v>
      </c>
      <c r="U1073" s="3">
        <v>15.425000000000001</v>
      </c>
      <c r="V1073" s="16" t="str">
        <f>PROPER(Table1[[#This Row],[CVD Risk Level]])</f>
        <v>Intermediary</v>
      </c>
    </row>
    <row r="1074" spans="1:22" x14ac:dyDescent="0.3">
      <c r="A1074" t="s">
        <v>31</v>
      </c>
      <c r="B1074" s="8">
        <v>72</v>
      </c>
      <c r="C1074" s="8">
        <v>60.783000000000001</v>
      </c>
      <c r="D1074" s="5">
        <v>1.556</v>
      </c>
      <c r="E1074" s="5">
        <v>21.14</v>
      </c>
      <c r="F1074" s="16" t="s">
        <v>33</v>
      </c>
      <c r="G1074" s="11">
        <v>0.72399999999999998</v>
      </c>
      <c r="H1074" s="5">
        <v>112.63</v>
      </c>
      <c r="I1074" s="8">
        <v>37</v>
      </c>
      <c r="J1074" s="8">
        <v>57</v>
      </c>
      <c r="K1074" s="8">
        <v>124</v>
      </c>
      <c r="L1074" s="8">
        <v>82</v>
      </c>
      <c r="M1074" t="s">
        <v>33</v>
      </c>
      <c r="N1074" s="16" t="s">
        <v>22</v>
      </c>
      <c r="O1074" s="16" t="s">
        <v>22</v>
      </c>
      <c r="P1074" s="16" t="s">
        <v>24</v>
      </c>
      <c r="Q1074" s="10" t="s">
        <v>919</v>
      </c>
      <c r="R1074" s="3" t="str">
        <f t="shared" si="32"/>
        <v>117</v>
      </c>
      <c r="S1074" s="3" t="str">
        <f t="shared" si="33"/>
        <v>108</v>
      </c>
      <c r="T1074" s="16" t="s">
        <v>38</v>
      </c>
      <c r="U1074" s="3">
        <v>12.558</v>
      </c>
      <c r="V1074" s="16" t="str">
        <f>PROPER(Table1[[#This Row],[CVD Risk Level]])</f>
        <v>High</v>
      </c>
    </row>
    <row r="1075" spans="1:22" x14ac:dyDescent="0.3">
      <c r="A1075" t="s">
        <v>20</v>
      </c>
      <c r="B1075" s="8">
        <v>59</v>
      </c>
      <c r="C1075" s="8">
        <v>56.171999999999997</v>
      </c>
      <c r="D1075" s="5">
        <v>1.958</v>
      </c>
      <c r="E1075" s="5">
        <v>20.582000000000001</v>
      </c>
      <c r="F1075" s="16" t="s">
        <v>33</v>
      </c>
      <c r="G1075" s="11">
        <v>0.40600000000000003</v>
      </c>
      <c r="H1075" s="5">
        <v>79.411000000000001</v>
      </c>
      <c r="I1075" s="8">
        <v>57</v>
      </c>
      <c r="J1075" s="8">
        <v>40</v>
      </c>
      <c r="K1075" s="8">
        <v>127</v>
      </c>
      <c r="L1075" s="8">
        <v>91</v>
      </c>
      <c r="M1075" t="s">
        <v>33</v>
      </c>
      <c r="N1075" s="16" t="s">
        <v>23</v>
      </c>
      <c r="O1075" s="16" t="s">
        <v>22</v>
      </c>
      <c r="P1075" s="16" t="s">
        <v>37</v>
      </c>
      <c r="Q1075" s="10" t="s">
        <v>920</v>
      </c>
      <c r="R1075" s="3" t="str">
        <f t="shared" si="32"/>
        <v>167</v>
      </c>
      <c r="S1075" s="3" t="str">
        <f t="shared" si="33"/>
        <v>108</v>
      </c>
      <c r="T1075" s="16" t="s">
        <v>38</v>
      </c>
      <c r="U1075" s="3">
        <v>15.006</v>
      </c>
      <c r="V1075" s="16" t="str">
        <f>PROPER(Table1[[#This Row],[CVD Risk Level]])</f>
        <v>Low</v>
      </c>
    </row>
    <row r="1076" spans="1:22" x14ac:dyDescent="0.3">
      <c r="A1076" t="s">
        <v>31</v>
      </c>
      <c r="B1076" s="8">
        <v>34</v>
      </c>
      <c r="C1076" s="8">
        <v>108.047</v>
      </c>
      <c r="D1076" s="5">
        <v>1.51</v>
      </c>
      <c r="E1076" s="5">
        <v>22.56</v>
      </c>
      <c r="F1076" s="16" t="s">
        <v>33</v>
      </c>
      <c r="G1076" s="11">
        <v>0.58799999999999997</v>
      </c>
      <c r="H1076" s="5">
        <v>88.790999999999997</v>
      </c>
      <c r="I1076" s="8">
        <v>44</v>
      </c>
      <c r="J1076" s="8">
        <v>120</v>
      </c>
      <c r="K1076" s="8">
        <v>194</v>
      </c>
      <c r="L1076" s="8">
        <v>84</v>
      </c>
      <c r="M1076" t="s">
        <v>33</v>
      </c>
      <c r="N1076" s="16" t="s">
        <v>23</v>
      </c>
      <c r="O1076" s="16" t="s">
        <v>22</v>
      </c>
      <c r="P1076" s="16" t="s">
        <v>37</v>
      </c>
      <c r="Q1076" s="10" t="s">
        <v>921</v>
      </c>
      <c r="R1076" s="3" t="str">
        <f t="shared" si="32"/>
        <v>109</v>
      </c>
      <c r="S1076" s="3" t="str">
        <f t="shared" si="33"/>
        <v>86</v>
      </c>
      <c r="T1076" s="16" t="s">
        <v>29</v>
      </c>
      <c r="U1076" s="3">
        <v>13.842000000000001</v>
      </c>
      <c r="V1076" s="16" t="str">
        <f>PROPER(Table1[[#This Row],[CVD Risk Level]])</f>
        <v>Intermediary</v>
      </c>
    </row>
    <row r="1077" spans="1:22" x14ac:dyDescent="0.3">
      <c r="A1077" t="s">
        <v>20</v>
      </c>
      <c r="B1077" s="8">
        <v>70</v>
      </c>
      <c r="C1077" s="8">
        <v>92.343999999999994</v>
      </c>
      <c r="D1077" s="5">
        <v>1.629</v>
      </c>
      <c r="E1077" s="5">
        <v>22.933</v>
      </c>
      <c r="F1077" s="16" t="s">
        <v>33</v>
      </c>
      <c r="G1077" s="11">
        <v>0.72499999999999998</v>
      </c>
      <c r="H1077" s="5">
        <v>118.05800000000001</v>
      </c>
      <c r="I1077" s="8">
        <v>66</v>
      </c>
      <c r="J1077" s="8">
        <v>138</v>
      </c>
      <c r="K1077" s="8">
        <v>234</v>
      </c>
      <c r="L1077" s="8">
        <v>197</v>
      </c>
      <c r="M1077" t="s">
        <v>1307</v>
      </c>
      <c r="N1077" s="16" t="s">
        <v>22</v>
      </c>
      <c r="O1077" s="16" t="s">
        <v>23</v>
      </c>
      <c r="P1077" s="16" t="s">
        <v>28</v>
      </c>
      <c r="Q1077" s="10" t="s">
        <v>922</v>
      </c>
      <c r="R1077" s="3" t="str">
        <f t="shared" si="32"/>
        <v>132</v>
      </c>
      <c r="S1077" s="3" t="str">
        <f t="shared" si="33"/>
        <v>72</v>
      </c>
      <c r="T1077" s="16" t="s">
        <v>29</v>
      </c>
      <c r="U1077" s="3">
        <v>17.867000000000001</v>
      </c>
      <c r="V1077" s="16" t="str">
        <f>PROPER(Table1[[#This Row],[CVD Risk Level]])</f>
        <v>High</v>
      </c>
    </row>
    <row r="1078" spans="1:22" x14ac:dyDescent="0.3">
      <c r="A1078" t="s">
        <v>31</v>
      </c>
      <c r="B1078" s="8">
        <v>30</v>
      </c>
      <c r="C1078" s="8">
        <v>118.169</v>
      </c>
      <c r="D1078" s="5">
        <v>1.6719999999999999</v>
      </c>
      <c r="E1078" s="5">
        <v>28.821999999999999</v>
      </c>
      <c r="F1078" s="16" t="s">
        <v>1303</v>
      </c>
      <c r="G1078" s="11">
        <v>0.59299999999999997</v>
      </c>
      <c r="H1078" s="5">
        <v>99.149599999999992</v>
      </c>
      <c r="I1078" s="8">
        <v>73</v>
      </c>
      <c r="J1078" s="8">
        <v>162</v>
      </c>
      <c r="K1078" s="8">
        <v>265</v>
      </c>
      <c r="L1078" s="8">
        <v>74</v>
      </c>
      <c r="M1078" t="s">
        <v>33</v>
      </c>
      <c r="N1078" s="16" t="s">
        <v>22</v>
      </c>
      <c r="O1078" s="16" t="s">
        <v>23</v>
      </c>
      <c r="P1078" s="16" t="s">
        <v>24</v>
      </c>
      <c r="Q1078" s="10" t="s">
        <v>923</v>
      </c>
      <c r="R1078" s="3" t="str">
        <f t="shared" si="32"/>
        <v>174</v>
      </c>
      <c r="S1078" s="3" t="str">
        <f t="shared" si="33"/>
        <v>76</v>
      </c>
      <c r="T1078" s="16" t="s">
        <v>38</v>
      </c>
      <c r="U1078" s="3">
        <v>21.763999999999999</v>
      </c>
      <c r="V1078" s="16" t="str">
        <f>PROPER(Table1[[#This Row],[CVD Risk Level]])</f>
        <v>Intermediary</v>
      </c>
    </row>
    <row r="1079" spans="1:22" x14ac:dyDescent="0.3">
      <c r="A1079" t="s">
        <v>31</v>
      </c>
      <c r="B1079" s="8">
        <v>33</v>
      </c>
      <c r="C1079" s="8">
        <v>66.855000000000004</v>
      </c>
      <c r="D1079" s="5">
        <v>1.93</v>
      </c>
      <c r="E1079" s="5">
        <v>29.587</v>
      </c>
      <c r="F1079" s="16" t="s">
        <v>1303</v>
      </c>
      <c r="G1079" s="11">
        <v>0.37</v>
      </c>
      <c r="H1079" s="5">
        <v>71.373000000000005</v>
      </c>
      <c r="I1079" s="8">
        <v>82</v>
      </c>
      <c r="J1079" s="8">
        <v>103</v>
      </c>
      <c r="K1079" s="8">
        <v>215</v>
      </c>
      <c r="L1079" s="8">
        <v>196</v>
      </c>
      <c r="M1079" t="s">
        <v>1307</v>
      </c>
      <c r="N1079" s="16" t="s">
        <v>22</v>
      </c>
      <c r="O1079" s="16" t="s">
        <v>22</v>
      </c>
      <c r="P1079" s="16" t="s">
        <v>37</v>
      </c>
      <c r="Q1079" s="10" t="s">
        <v>924</v>
      </c>
      <c r="R1079" s="3" t="str">
        <f t="shared" si="32"/>
        <v>144</v>
      </c>
      <c r="S1079" s="3" t="str">
        <f t="shared" si="33"/>
        <v>76</v>
      </c>
      <c r="T1079" s="16" t="s">
        <v>38</v>
      </c>
      <c r="U1079" s="3">
        <v>17.417000000000002</v>
      </c>
      <c r="V1079" s="16" t="str">
        <f>PROPER(Table1[[#This Row],[CVD Risk Level]])</f>
        <v>Low</v>
      </c>
    </row>
    <row r="1080" spans="1:22" x14ac:dyDescent="0.3">
      <c r="A1080" t="s">
        <v>20</v>
      </c>
      <c r="B1080" s="8">
        <v>65</v>
      </c>
      <c r="C1080" s="8">
        <v>83.355000000000004</v>
      </c>
      <c r="D1080" s="5">
        <v>1.847</v>
      </c>
      <c r="E1080" s="5">
        <v>27.68</v>
      </c>
      <c r="F1080" s="16" t="s">
        <v>1303</v>
      </c>
      <c r="G1080" s="11">
        <v>0.441</v>
      </c>
      <c r="H1080" s="5">
        <v>81.436000000000007</v>
      </c>
      <c r="I1080" s="8">
        <v>83</v>
      </c>
      <c r="J1080" s="8">
        <v>168</v>
      </c>
      <c r="K1080" s="8">
        <v>281</v>
      </c>
      <c r="L1080" s="8">
        <v>162</v>
      </c>
      <c r="M1080" t="s">
        <v>1307</v>
      </c>
      <c r="N1080" s="16" t="s">
        <v>23</v>
      </c>
      <c r="O1080" s="16" t="s">
        <v>23</v>
      </c>
      <c r="P1080" s="16" t="s">
        <v>28</v>
      </c>
      <c r="Q1080" s="10" t="s">
        <v>925</v>
      </c>
      <c r="R1080" s="3" t="str">
        <f t="shared" si="32"/>
        <v>102</v>
      </c>
      <c r="S1080" s="3" t="str">
        <f t="shared" si="33"/>
        <v>96</v>
      </c>
      <c r="T1080" s="16" t="s">
        <v>38</v>
      </c>
      <c r="U1080" s="3">
        <v>16.960925291295425</v>
      </c>
      <c r="V1080" s="16" t="str">
        <f>PROPER(Table1[[#This Row],[CVD Risk Level]])</f>
        <v>High</v>
      </c>
    </row>
    <row r="1081" spans="1:22" x14ac:dyDescent="0.3">
      <c r="A1081" t="s">
        <v>20</v>
      </c>
      <c r="B1081" s="8">
        <v>34</v>
      </c>
      <c r="C1081" s="8">
        <v>143.79382035199998</v>
      </c>
      <c r="D1081" s="5">
        <v>1.976</v>
      </c>
      <c r="E1081" s="5">
        <v>36.826999999999998</v>
      </c>
      <c r="F1081" s="16" t="s">
        <v>1302</v>
      </c>
      <c r="G1081" s="11">
        <v>0.55500000000000005</v>
      </c>
      <c r="H1081" s="5">
        <v>109.577</v>
      </c>
      <c r="I1081" s="8">
        <v>55</v>
      </c>
      <c r="J1081" s="8">
        <v>131</v>
      </c>
      <c r="K1081" s="8">
        <v>216</v>
      </c>
      <c r="L1081" s="8">
        <v>192</v>
      </c>
      <c r="M1081" t="s">
        <v>1307</v>
      </c>
      <c r="N1081" s="16" t="s">
        <v>23</v>
      </c>
      <c r="O1081" s="16" t="s">
        <v>22</v>
      </c>
      <c r="P1081" s="16" t="s">
        <v>28</v>
      </c>
      <c r="Q1081" s="10" t="s">
        <v>926</v>
      </c>
      <c r="R1081" s="3" t="str">
        <f t="shared" si="32"/>
        <v>100</v>
      </c>
      <c r="S1081" s="3" t="str">
        <f t="shared" si="33"/>
        <v>84</v>
      </c>
      <c r="T1081" s="16" t="s">
        <v>29</v>
      </c>
      <c r="U1081" s="3">
        <v>16.684999999999999</v>
      </c>
      <c r="V1081" s="16" t="str">
        <f>PROPER(Table1[[#This Row],[CVD Risk Level]])</f>
        <v>Low</v>
      </c>
    </row>
    <row r="1082" spans="1:22" x14ac:dyDescent="0.3">
      <c r="A1082" t="s">
        <v>20</v>
      </c>
      <c r="B1082" s="8">
        <v>35</v>
      </c>
      <c r="C1082" s="8">
        <v>85.7</v>
      </c>
      <c r="D1082" s="5">
        <v>1.78</v>
      </c>
      <c r="E1082" s="5">
        <v>27.048352480747379</v>
      </c>
      <c r="F1082" s="16" t="s">
        <v>1303</v>
      </c>
      <c r="G1082" s="11">
        <v>0.67200000000000004</v>
      </c>
      <c r="H1082" s="5">
        <v>119.672</v>
      </c>
      <c r="I1082" s="8">
        <v>60</v>
      </c>
      <c r="J1082" s="8">
        <v>83</v>
      </c>
      <c r="K1082" s="8">
        <v>173</v>
      </c>
      <c r="L1082" s="8">
        <v>187</v>
      </c>
      <c r="M1082" t="s">
        <v>1307</v>
      </c>
      <c r="N1082" s="16" t="s">
        <v>22</v>
      </c>
      <c r="O1082" s="16" t="s">
        <v>23</v>
      </c>
      <c r="P1082" s="16" t="s">
        <v>28</v>
      </c>
      <c r="Q1082" s="10" t="s">
        <v>927</v>
      </c>
      <c r="R1082" s="3" t="str">
        <f t="shared" si="32"/>
        <v>113</v>
      </c>
      <c r="S1082" s="3" t="str">
        <f t="shared" si="33"/>
        <v>65</v>
      </c>
      <c r="T1082" s="16" t="s">
        <v>33</v>
      </c>
      <c r="U1082" s="3">
        <v>18.323</v>
      </c>
      <c r="V1082" s="16" t="str">
        <f>PROPER(Table1[[#This Row],[CVD Risk Level]])</f>
        <v>High</v>
      </c>
    </row>
    <row r="1083" spans="1:22" x14ac:dyDescent="0.3">
      <c r="A1083" t="s">
        <v>31</v>
      </c>
      <c r="B1083" s="8">
        <v>74</v>
      </c>
      <c r="C1083" s="8">
        <v>88.77</v>
      </c>
      <c r="D1083" s="5">
        <v>1.5720000000000001</v>
      </c>
      <c r="E1083" s="5">
        <v>25.428000000000001</v>
      </c>
      <c r="F1083" s="16" t="s">
        <v>1303</v>
      </c>
      <c r="G1083" s="11">
        <v>0.48799999999999999</v>
      </c>
      <c r="H1083" s="5">
        <v>76.659000000000006</v>
      </c>
      <c r="I1083" s="8">
        <v>38</v>
      </c>
      <c r="J1083" s="8">
        <v>82</v>
      </c>
      <c r="K1083" s="8">
        <v>150</v>
      </c>
      <c r="L1083" s="8">
        <v>164</v>
      </c>
      <c r="M1083" t="s">
        <v>1307</v>
      </c>
      <c r="N1083" s="16" t="s">
        <v>22</v>
      </c>
      <c r="O1083" s="16" t="s">
        <v>23</v>
      </c>
      <c r="P1083" s="16" t="s">
        <v>28</v>
      </c>
      <c r="Q1083" s="10" t="s">
        <v>928</v>
      </c>
      <c r="R1083" s="3" t="str">
        <f t="shared" si="32"/>
        <v>170</v>
      </c>
      <c r="S1083" s="3" t="str">
        <f t="shared" si="33"/>
        <v>89</v>
      </c>
      <c r="T1083" s="16" t="s">
        <v>29</v>
      </c>
      <c r="U1083" s="3">
        <v>18.585999999999999</v>
      </c>
      <c r="V1083" s="16" t="str">
        <f>PROPER(Table1[[#This Row],[CVD Risk Level]])</f>
        <v>Intermediary</v>
      </c>
    </row>
    <row r="1084" spans="1:22" x14ac:dyDescent="0.3">
      <c r="A1084" t="s">
        <v>31</v>
      </c>
      <c r="B1084" s="8">
        <v>52</v>
      </c>
      <c r="C1084" s="8">
        <v>65.311000000000007</v>
      </c>
      <c r="D1084" s="5">
        <v>1.589</v>
      </c>
      <c r="E1084" s="5">
        <v>32.176000000000002</v>
      </c>
      <c r="F1084" s="16" t="s">
        <v>1302</v>
      </c>
      <c r="G1084" s="11">
        <v>0.626</v>
      </c>
      <c r="H1084" s="5">
        <v>99.412000000000006</v>
      </c>
      <c r="I1084" s="8">
        <v>38</v>
      </c>
      <c r="J1084" s="8">
        <v>204</v>
      </c>
      <c r="K1084" s="8">
        <v>272</v>
      </c>
      <c r="L1084" s="8">
        <v>81</v>
      </c>
      <c r="M1084" t="s">
        <v>33</v>
      </c>
      <c r="N1084" s="16" t="s">
        <v>23</v>
      </c>
      <c r="O1084" s="16" t="s">
        <v>22</v>
      </c>
      <c r="P1084" s="16" t="s">
        <v>28</v>
      </c>
      <c r="Q1084" s="10" t="s">
        <v>929</v>
      </c>
      <c r="R1084" s="3" t="str">
        <f t="shared" si="32"/>
        <v>139</v>
      </c>
      <c r="S1084" s="3" t="str">
        <f t="shared" si="33"/>
        <v>106</v>
      </c>
      <c r="T1084" s="16" t="s">
        <v>29</v>
      </c>
      <c r="U1084" s="3">
        <v>18.824999999999999</v>
      </c>
      <c r="V1084" s="16" t="str">
        <f>PROPER(Table1[[#This Row],[CVD Risk Level]])</f>
        <v>High</v>
      </c>
    </row>
    <row r="1085" spans="1:22" x14ac:dyDescent="0.3">
      <c r="A1085" t="s">
        <v>20</v>
      </c>
      <c r="B1085" s="8">
        <v>27</v>
      </c>
      <c r="C1085" s="8">
        <v>71.323999999999998</v>
      </c>
      <c r="D1085" s="5">
        <v>1.9450000000000001</v>
      </c>
      <c r="E1085" s="5">
        <v>37.817</v>
      </c>
      <c r="F1085" s="16" t="s">
        <v>1302</v>
      </c>
      <c r="G1085" s="11">
        <v>0.41299999999999998</v>
      </c>
      <c r="H1085" s="5">
        <v>80.259</v>
      </c>
      <c r="I1085" s="8">
        <v>46</v>
      </c>
      <c r="J1085" s="8">
        <v>127</v>
      </c>
      <c r="K1085" s="8">
        <v>203</v>
      </c>
      <c r="L1085" s="8">
        <v>85</v>
      </c>
      <c r="M1085" t="s">
        <v>33</v>
      </c>
      <c r="N1085" s="16" t="s">
        <v>23</v>
      </c>
      <c r="O1085" s="16" t="s">
        <v>22</v>
      </c>
      <c r="P1085" s="16" t="s">
        <v>28</v>
      </c>
      <c r="Q1085" s="10" t="s">
        <v>930</v>
      </c>
      <c r="R1085" s="3" t="str">
        <f t="shared" si="32"/>
        <v>92</v>
      </c>
      <c r="S1085" s="3" t="str">
        <f t="shared" si="33"/>
        <v>88</v>
      </c>
      <c r="T1085" s="16" t="s">
        <v>29</v>
      </c>
      <c r="U1085" s="3">
        <v>16.222999999999999</v>
      </c>
      <c r="V1085" s="16" t="str">
        <f>PROPER(Table1[[#This Row],[CVD Risk Level]])</f>
        <v>High</v>
      </c>
    </row>
    <row r="1086" spans="1:22" x14ac:dyDescent="0.3">
      <c r="A1086" t="s">
        <v>31</v>
      </c>
      <c r="B1086" s="8">
        <v>45</v>
      </c>
      <c r="C1086" s="8">
        <v>64.42</v>
      </c>
      <c r="D1086" s="5">
        <v>1.921</v>
      </c>
      <c r="E1086" s="5">
        <v>28.513000000000002</v>
      </c>
      <c r="F1086" s="16" t="s">
        <v>1303</v>
      </c>
      <c r="G1086" s="11">
        <v>0.42299999999999999</v>
      </c>
      <c r="H1086" s="5">
        <v>81.260999999999996</v>
      </c>
      <c r="I1086" s="8">
        <v>74</v>
      </c>
      <c r="J1086" s="8">
        <v>115</v>
      </c>
      <c r="K1086" s="8">
        <v>219</v>
      </c>
      <c r="L1086" s="8">
        <v>157</v>
      </c>
      <c r="M1086" t="s">
        <v>1307</v>
      </c>
      <c r="N1086" s="16" t="s">
        <v>22</v>
      </c>
      <c r="O1086" s="16" t="s">
        <v>23</v>
      </c>
      <c r="P1086" s="16" t="s">
        <v>24</v>
      </c>
      <c r="Q1086" s="10" t="s">
        <v>931</v>
      </c>
      <c r="R1086" s="3" t="str">
        <f t="shared" si="32"/>
        <v>131</v>
      </c>
      <c r="S1086" s="3" t="str">
        <f t="shared" si="33"/>
        <v>115</v>
      </c>
      <c r="T1086" s="16" t="s">
        <v>29</v>
      </c>
      <c r="U1086" s="3">
        <v>18.632999999999999</v>
      </c>
      <c r="V1086" s="16" t="str">
        <f>PROPER(Table1[[#This Row],[CVD Risk Level]])</f>
        <v>Intermediary</v>
      </c>
    </row>
    <row r="1087" spans="1:22" x14ac:dyDescent="0.3">
      <c r="A1087" t="s">
        <v>20</v>
      </c>
      <c r="B1087" s="8">
        <v>67</v>
      </c>
      <c r="C1087" s="8">
        <v>99.691000000000003</v>
      </c>
      <c r="D1087" s="5">
        <v>1.57</v>
      </c>
      <c r="E1087" s="5">
        <v>25.021000000000001</v>
      </c>
      <c r="F1087" s="16" t="s">
        <v>1303</v>
      </c>
      <c r="G1087" s="11">
        <v>0.56100000000000005</v>
      </c>
      <c r="H1087" s="5">
        <v>88.168999999999997</v>
      </c>
      <c r="I1087" s="8">
        <v>31</v>
      </c>
      <c r="J1087" s="8">
        <v>133</v>
      </c>
      <c r="K1087" s="8">
        <v>194</v>
      </c>
      <c r="L1087" s="8">
        <v>196</v>
      </c>
      <c r="M1087" t="s">
        <v>1307</v>
      </c>
      <c r="N1087" s="16" t="s">
        <v>22</v>
      </c>
      <c r="O1087" s="16" t="s">
        <v>22</v>
      </c>
      <c r="P1087" s="16" t="s">
        <v>37</v>
      </c>
      <c r="Q1087" s="10" t="s">
        <v>609</v>
      </c>
      <c r="R1087" s="3" t="str">
        <f t="shared" si="32"/>
        <v>109</v>
      </c>
      <c r="S1087" s="3" t="str">
        <f t="shared" si="33"/>
        <v>84</v>
      </c>
      <c r="T1087" s="16" t="s">
        <v>29</v>
      </c>
      <c r="U1087" s="3">
        <v>14.334</v>
      </c>
      <c r="V1087" s="16" t="str">
        <f>PROPER(Table1[[#This Row],[CVD Risk Level]])</f>
        <v>High</v>
      </c>
    </row>
    <row r="1088" spans="1:22" x14ac:dyDescent="0.3">
      <c r="A1088" t="s">
        <v>31</v>
      </c>
      <c r="B1088" s="8">
        <v>58</v>
      </c>
      <c r="C1088" s="8">
        <v>53.317</v>
      </c>
      <c r="D1088" s="5">
        <v>1.913</v>
      </c>
      <c r="E1088" s="5">
        <v>28.419</v>
      </c>
      <c r="F1088" s="16" t="s">
        <v>1303</v>
      </c>
      <c r="G1088" s="11">
        <v>0.57699999999999996</v>
      </c>
      <c r="H1088" s="5">
        <v>110.331</v>
      </c>
      <c r="I1088" s="8">
        <v>88</v>
      </c>
      <c r="J1088" s="8">
        <v>109</v>
      </c>
      <c r="K1088" s="8">
        <v>100</v>
      </c>
      <c r="L1088" s="8">
        <v>106</v>
      </c>
      <c r="M1088" t="s">
        <v>1306</v>
      </c>
      <c r="N1088" s="16" t="s">
        <v>23</v>
      </c>
      <c r="O1088" s="16" t="s">
        <v>22</v>
      </c>
      <c r="P1088" s="16" t="s">
        <v>37</v>
      </c>
      <c r="Q1088" s="10" t="s">
        <v>932</v>
      </c>
      <c r="R1088" s="3" t="str">
        <f t="shared" si="32"/>
        <v>172</v>
      </c>
      <c r="S1088" s="3" t="str">
        <f t="shared" si="33"/>
        <v>108</v>
      </c>
      <c r="T1088" s="16" t="s">
        <v>38</v>
      </c>
      <c r="U1088" s="3">
        <v>16.283999999999999</v>
      </c>
      <c r="V1088" s="16" t="str">
        <f>PROPER(Table1[[#This Row],[CVD Risk Level]])</f>
        <v>High</v>
      </c>
    </row>
    <row r="1089" spans="1:22" x14ac:dyDescent="0.3">
      <c r="A1089" t="s">
        <v>31</v>
      </c>
      <c r="B1089" s="8">
        <v>49</v>
      </c>
      <c r="C1089" s="8">
        <v>71.372</v>
      </c>
      <c r="D1089" s="5">
        <v>1.9239999999999999</v>
      </c>
      <c r="E1089" s="5">
        <v>34.363</v>
      </c>
      <c r="F1089" s="16" t="s">
        <v>1302</v>
      </c>
      <c r="G1089" s="11">
        <v>0.44</v>
      </c>
      <c r="H1089" s="5">
        <v>84.581000000000003</v>
      </c>
      <c r="I1089" s="8">
        <v>60</v>
      </c>
      <c r="J1089" s="8">
        <v>88</v>
      </c>
      <c r="K1089" s="8">
        <v>178</v>
      </c>
      <c r="L1089" s="8">
        <v>164</v>
      </c>
      <c r="M1089" t="s">
        <v>1307</v>
      </c>
      <c r="N1089" s="16" t="s">
        <v>23</v>
      </c>
      <c r="O1089" s="16" t="s">
        <v>23</v>
      </c>
      <c r="P1089" s="16" t="s">
        <v>28</v>
      </c>
      <c r="Q1089" s="10" t="s">
        <v>880</v>
      </c>
      <c r="R1089" s="3" t="str">
        <f t="shared" si="32"/>
        <v>108</v>
      </c>
      <c r="S1089" s="3" t="str">
        <f t="shared" si="33"/>
        <v>115</v>
      </c>
      <c r="T1089" s="16" t="s">
        <v>38</v>
      </c>
      <c r="U1089" s="3">
        <v>17.832999999999998</v>
      </c>
      <c r="V1089" s="16" t="str">
        <f>PROPER(Table1[[#This Row],[CVD Risk Level]])</f>
        <v>High</v>
      </c>
    </row>
    <row r="1090" spans="1:22" x14ac:dyDescent="0.3">
      <c r="A1090" t="s">
        <v>31</v>
      </c>
      <c r="B1090" s="8">
        <v>66</v>
      </c>
      <c r="C1090" s="8">
        <v>85.786000000000001</v>
      </c>
      <c r="D1090" s="5">
        <v>1.9610000000000001</v>
      </c>
      <c r="E1090" s="5">
        <v>19.439</v>
      </c>
      <c r="F1090" s="16" t="s">
        <v>33</v>
      </c>
      <c r="G1090" s="11">
        <v>0.439</v>
      </c>
      <c r="H1090" s="5">
        <v>86.087900000000005</v>
      </c>
      <c r="I1090" s="8">
        <v>76</v>
      </c>
      <c r="J1090" s="8">
        <v>124</v>
      </c>
      <c r="K1090" s="8">
        <v>230</v>
      </c>
      <c r="L1090" s="8">
        <v>103</v>
      </c>
      <c r="M1090" t="s">
        <v>1306</v>
      </c>
      <c r="N1090" s="16" t="s">
        <v>23</v>
      </c>
      <c r="O1090" s="16" t="s">
        <v>23</v>
      </c>
      <c r="P1090" s="16" t="s">
        <v>24</v>
      </c>
      <c r="Q1090" s="10" t="s">
        <v>933</v>
      </c>
      <c r="R1090" s="3" t="str">
        <f t="shared" si="32"/>
        <v>121</v>
      </c>
      <c r="S1090" s="3" t="str">
        <f t="shared" si="33"/>
        <v>105</v>
      </c>
      <c r="T1090" s="16" t="s">
        <v>38</v>
      </c>
      <c r="U1090" s="3">
        <v>16.538</v>
      </c>
      <c r="V1090" s="16" t="str">
        <f>PROPER(Table1[[#This Row],[CVD Risk Level]])</f>
        <v>Low</v>
      </c>
    </row>
    <row r="1091" spans="1:22" x14ac:dyDescent="0.3">
      <c r="A1091" t="s">
        <v>31</v>
      </c>
      <c r="B1091" s="8">
        <v>63</v>
      </c>
      <c r="C1091" s="8">
        <v>54.923000000000002</v>
      </c>
      <c r="D1091" s="5">
        <v>1.8720000000000001</v>
      </c>
      <c r="E1091" s="5">
        <v>39.978999999999999</v>
      </c>
      <c r="F1091" s="16" t="s">
        <v>1302</v>
      </c>
      <c r="G1091" s="11">
        <v>0.57099999999999995</v>
      </c>
      <c r="H1091" s="5">
        <v>106.94799999999999</v>
      </c>
      <c r="I1091" s="8">
        <v>61</v>
      </c>
      <c r="J1091" s="8">
        <v>9</v>
      </c>
      <c r="K1091" s="8">
        <v>100</v>
      </c>
      <c r="L1091" s="8">
        <v>70</v>
      </c>
      <c r="M1091" t="s">
        <v>33</v>
      </c>
      <c r="N1091" s="16" t="s">
        <v>23</v>
      </c>
      <c r="O1091" s="16" t="s">
        <v>23</v>
      </c>
      <c r="P1091" s="16" t="s">
        <v>24</v>
      </c>
      <c r="Q1091" s="10" t="s">
        <v>934</v>
      </c>
      <c r="R1091" s="3" t="str">
        <f t="shared" ref="R1091:R1154" si="34">LEFT(Q1091,FIND("/",Q1091)-1)</f>
        <v>179</v>
      </c>
      <c r="S1091" s="3" t="str">
        <f t="shared" ref="S1091:S1154" si="35">RIGHT(Q1091,LEN(Q1091)-FIND("/",Q1091))</f>
        <v>79</v>
      </c>
      <c r="T1091" s="16" t="s">
        <v>38</v>
      </c>
      <c r="U1091" s="3">
        <v>20.946000000000002</v>
      </c>
      <c r="V1091" s="16" t="str">
        <f>PROPER(Table1[[#This Row],[CVD Risk Level]])</f>
        <v>Intermediary</v>
      </c>
    </row>
    <row r="1092" spans="1:22" x14ac:dyDescent="0.3">
      <c r="A1092" t="s">
        <v>31</v>
      </c>
      <c r="B1092" s="8">
        <v>79</v>
      </c>
      <c r="C1092" s="8">
        <v>116.72199999999999</v>
      </c>
      <c r="D1092" s="5">
        <v>1.9690000000000001</v>
      </c>
      <c r="E1092" s="5">
        <v>33.073999999999998</v>
      </c>
      <c r="F1092" s="16" t="s">
        <v>1302</v>
      </c>
      <c r="G1092" s="11">
        <v>0.53600000000000003</v>
      </c>
      <c r="H1092" s="5">
        <v>105.557</v>
      </c>
      <c r="I1092" s="8">
        <v>87</v>
      </c>
      <c r="J1092" s="8">
        <v>1</v>
      </c>
      <c r="K1092" s="8">
        <v>118</v>
      </c>
      <c r="L1092" s="8">
        <v>117.48563611491107</v>
      </c>
      <c r="M1092" t="s">
        <v>1306</v>
      </c>
      <c r="N1092" s="16" t="s">
        <v>22</v>
      </c>
      <c r="O1092" s="16" t="s">
        <v>23</v>
      </c>
      <c r="P1092" s="16" t="s">
        <v>24</v>
      </c>
      <c r="Q1092" s="10" t="s">
        <v>935</v>
      </c>
      <c r="R1092" s="3" t="str">
        <f t="shared" si="34"/>
        <v>94</v>
      </c>
      <c r="S1092" s="3" t="str">
        <f t="shared" si="35"/>
        <v>117</v>
      </c>
      <c r="T1092" s="16" t="s">
        <v>38</v>
      </c>
      <c r="U1092" s="3">
        <v>15.675000000000001</v>
      </c>
      <c r="V1092" s="16" t="str">
        <f>PROPER(Table1[[#This Row],[CVD Risk Level]])</f>
        <v>Low</v>
      </c>
    </row>
    <row r="1093" spans="1:22" x14ac:dyDescent="0.3">
      <c r="A1093" t="s">
        <v>20</v>
      </c>
      <c r="B1093" s="8">
        <v>76</v>
      </c>
      <c r="C1093" s="8">
        <v>106.884</v>
      </c>
      <c r="D1093" s="5">
        <v>1.728</v>
      </c>
      <c r="E1093" s="5">
        <v>20.629000000000001</v>
      </c>
      <c r="F1093" s="16" t="s">
        <v>33</v>
      </c>
      <c r="G1093" s="11">
        <v>0.58599999999999997</v>
      </c>
      <c r="H1093" s="5">
        <v>101.182</v>
      </c>
      <c r="I1093" s="8">
        <v>54</v>
      </c>
      <c r="J1093" s="8">
        <v>18</v>
      </c>
      <c r="K1093" s="8">
        <v>102</v>
      </c>
      <c r="L1093" s="8">
        <v>192</v>
      </c>
      <c r="M1093" t="s">
        <v>1307</v>
      </c>
      <c r="N1093" s="16" t="s">
        <v>23</v>
      </c>
      <c r="O1093" s="16" t="s">
        <v>23</v>
      </c>
      <c r="P1093" s="16" t="s">
        <v>28</v>
      </c>
      <c r="Q1093" s="10" t="s">
        <v>936</v>
      </c>
      <c r="R1093" s="3" t="str">
        <f t="shared" si="34"/>
        <v>155</v>
      </c>
      <c r="S1093" s="3" t="str">
        <f t="shared" si="35"/>
        <v>79</v>
      </c>
      <c r="T1093" s="16" t="s">
        <v>38</v>
      </c>
      <c r="U1093" s="3">
        <v>16.960925291295425</v>
      </c>
      <c r="V1093" s="16" t="str">
        <f>PROPER(Table1[[#This Row],[CVD Risk Level]])</f>
        <v>Intermediary</v>
      </c>
    </row>
    <row r="1094" spans="1:22" x14ac:dyDescent="0.3">
      <c r="A1094" t="s">
        <v>31</v>
      </c>
      <c r="B1094" s="8">
        <v>46</v>
      </c>
      <c r="C1094" s="8">
        <v>90.77</v>
      </c>
      <c r="D1094" s="5">
        <v>1.6419999999999999</v>
      </c>
      <c r="E1094" s="5">
        <v>18.899000000000001</v>
      </c>
      <c r="F1094" s="16" t="s">
        <v>33</v>
      </c>
      <c r="G1094" s="11">
        <v>0.69499999999999995</v>
      </c>
      <c r="H1094" s="5">
        <v>114.08499999999999</v>
      </c>
      <c r="I1094" s="8">
        <v>32</v>
      </c>
      <c r="J1094" s="8">
        <v>137</v>
      </c>
      <c r="K1094" s="8">
        <v>199</v>
      </c>
      <c r="L1094" s="8">
        <v>70</v>
      </c>
      <c r="M1094" t="s">
        <v>33</v>
      </c>
      <c r="N1094" s="16" t="s">
        <v>22</v>
      </c>
      <c r="O1094" s="16" t="s">
        <v>23</v>
      </c>
      <c r="P1094" s="16" t="s">
        <v>28</v>
      </c>
      <c r="Q1094" s="10" t="s">
        <v>937</v>
      </c>
      <c r="R1094" s="3" t="str">
        <f t="shared" si="34"/>
        <v>130</v>
      </c>
      <c r="S1094" s="3" t="str">
        <f t="shared" si="35"/>
        <v>109</v>
      </c>
      <c r="T1094" s="16" t="s">
        <v>29</v>
      </c>
      <c r="U1094" s="3">
        <v>16.260000000000002</v>
      </c>
      <c r="V1094" s="16" t="str">
        <f>PROPER(Table1[[#This Row],[CVD Risk Level]])</f>
        <v>Intermediary</v>
      </c>
    </row>
    <row r="1095" spans="1:22" x14ac:dyDescent="0.3">
      <c r="A1095" t="s">
        <v>20</v>
      </c>
      <c r="B1095" s="8">
        <v>52</v>
      </c>
      <c r="C1095" s="8">
        <v>53.542000000000002</v>
      </c>
      <c r="D1095" s="5">
        <v>1.69</v>
      </c>
      <c r="E1095" s="5">
        <v>28.713000000000001</v>
      </c>
      <c r="F1095" s="16" t="s">
        <v>1303</v>
      </c>
      <c r="G1095" s="11">
        <v>0.433</v>
      </c>
      <c r="H1095" s="5">
        <v>73.144999999999996</v>
      </c>
      <c r="I1095" s="8">
        <v>79</v>
      </c>
      <c r="J1095" s="8">
        <v>67</v>
      </c>
      <c r="K1095" s="8">
        <v>176</v>
      </c>
      <c r="L1095" s="8">
        <v>111</v>
      </c>
      <c r="M1095" t="s">
        <v>1306</v>
      </c>
      <c r="N1095" s="16" t="s">
        <v>23</v>
      </c>
      <c r="O1095" s="16" t="s">
        <v>22</v>
      </c>
      <c r="P1095" s="16" t="s">
        <v>28</v>
      </c>
      <c r="Q1095" s="10" t="s">
        <v>938</v>
      </c>
      <c r="R1095" s="3" t="str">
        <f t="shared" si="34"/>
        <v>103</v>
      </c>
      <c r="S1095" s="3" t="str">
        <f t="shared" si="35"/>
        <v>90</v>
      </c>
      <c r="T1095" s="16" t="s">
        <v>38</v>
      </c>
      <c r="U1095" s="3">
        <v>14.413</v>
      </c>
      <c r="V1095" s="16" t="str">
        <f>PROPER(Table1[[#This Row],[CVD Risk Level]])</f>
        <v>Low</v>
      </c>
    </row>
    <row r="1096" spans="1:22" x14ac:dyDescent="0.3">
      <c r="A1096" t="s">
        <v>20</v>
      </c>
      <c r="B1096" s="8">
        <v>74</v>
      </c>
      <c r="C1096" s="8">
        <v>63.398000000000003</v>
      </c>
      <c r="D1096" s="5">
        <v>1.7849999999999999</v>
      </c>
      <c r="E1096" s="5">
        <v>31.238</v>
      </c>
      <c r="F1096" s="16" t="s">
        <v>1302</v>
      </c>
      <c r="G1096" s="11">
        <v>0.46800000000000003</v>
      </c>
      <c r="H1096" s="5">
        <v>83.495000000000005</v>
      </c>
      <c r="I1096" s="8">
        <v>63</v>
      </c>
      <c r="J1096" s="8">
        <v>125</v>
      </c>
      <c r="K1096" s="8">
        <v>218</v>
      </c>
      <c r="L1096" s="8">
        <v>72</v>
      </c>
      <c r="M1096" t="s">
        <v>33</v>
      </c>
      <c r="N1096" s="16" t="s">
        <v>23</v>
      </c>
      <c r="O1096" s="16" t="s">
        <v>23</v>
      </c>
      <c r="P1096" s="16" t="s">
        <v>28</v>
      </c>
      <c r="Q1096" s="10" t="s">
        <v>939</v>
      </c>
      <c r="R1096" s="3" t="str">
        <f t="shared" si="34"/>
        <v>137</v>
      </c>
      <c r="S1096" s="3" t="str">
        <f t="shared" si="35"/>
        <v>113</v>
      </c>
      <c r="T1096" s="16" t="s">
        <v>29</v>
      </c>
      <c r="U1096" s="3">
        <v>19.457999999999998</v>
      </c>
      <c r="V1096" s="16" t="str">
        <f>PROPER(Table1[[#This Row],[CVD Risk Level]])</f>
        <v>High</v>
      </c>
    </row>
    <row r="1097" spans="1:22" x14ac:dyDescent="0.3">
      <c r="A1097" t="s">
        <v>20</v>
      </c>
      <c r="B1097" s="8">
        <v>60</v>
      </c>
      <c r="C1097" s="8">
        <v>94.003</v>
      </c>
      <c r="D1097" s="5">
        <v>1.5489999999999999</v>
      </c>
      <c r="E1097" s="5">
        <v>34.152999999999999</v>
      </c>
      <c r="F1097" s="16" t="s">
        <v>1302</v>
      </c>
      <c r="G1097" s="11">
        <v>0.499</v>
      </c>
      <c r="H1097" s="5">
        <v>77.307000000000002</v>
      </c>
      <c r="I1097" s="8">
        <v>85</v>
      </c>
      <c r="J1097" s="8">
        <v>123</v>
      </c>
      <c r="K1097" s="8">
        <v>238</v>
      </c>
      <c r="L1097" s="8">
        <v>154</v>
      </c>
      <c r="M1097" t="s">
        <v>1307</v>
      </c>
      <c r="N1097" s="16" t="s">
        <v>22</v>
      </c>
      <c r="O1097" s="16" t="s">
        <v>23</v>
      </c>
      <c r="P1097" s="16" t="s">
        <v>37</v>
      </c>
      <c r="Q1097" s="10" t="s">
        <v>940</v>
      </c>
      <c r="R1097" s="3" t="str">
        <f t="shared" si="34"/>
        <v>152</v>
      </c>
      <c r="S1097" s="3" t="str">
        <f t="shared" si="35"/>
        <v>114</v>
      </c>
      <c r="T1097" s="16" t="s">
        <v>38</v>
      </c>
      <c r="U1097" s="3">
        <v>21.190999999999999</v>
      </c>
      <c r="V1097" s="16" t="str">
        <f>PROPER(Table1[[#This Row],[CVD Risk Level]])</f>
        <v>Low</v>
      </c>
    </row>
    <row r="1098" spans="1:22" x14ac:dyDescent="0.3">
      <c r="A1098" t="s">
        <v>31</v>
      </c>
      <c r="B1098" s="8">
        <v>57</v>
      </c>
      <c r="C1098" s="8">
        <v>119.063</v>
      </c>
      <c r="D1098" s="5">
        <v>1.823</v>
      </c>
      <c r="E1098" s="5">
        <v>33.326000000000001</v>
      </c>
      <c r="F1098" s="16" t="s">
        <v>1302</v>
      </c>
      <c r="G1098" s="11">
        <v>0.42</v>
      </c>
      <c r="H1098" s="5">
        <v>76.637</v>
      </c>
      <c r="I1098" s="8">
        <v>73</v>
      </c>
      <c r="J1098" s="8">
        <v>147</v>
      </c>
      <c r="K1098" s="8">
        <v>250</v>
      </c>
      <c r="L1098" s="8">
        <v>185</v>
      </c>
      <c r="M1098" t="s">
        <v>1307</v>
      </c>
      <c r="N1098" s="16" t="s">
        <v>22</v>
      </c>
      <c r="O1098" s="16" t="s">
        <v>23</v>
      </c>
      <c r="P1098" s="16" t="s">
        <v>28</v>
      </c>
      <c r="Q1098" s="10" t="s">
        <v>941</v>
      </c>
      <c r="R1098" s="3" t="str">
        <f t="shared" si="34"/>
        <v>109</v>
      </c>
      <c r="S1098" s="3" t="str">
        <f t="shared" si="35"/>
        <v>118</v>
      </c>
      <c r="T1098" s="16" t="s">
        <v>38</v>
      </c>
      <c r="U1098" s="3">
        <v>19.114999999999998</v>
      </c>
      <c r="V1098" s="16" t="str">
        <f>PROPER(Table1[[#This Row],[CVD Risk Level]])</f>
        <v>High</v>
      </c>
    </row>
    <row r="1099" spans="1:22" x14ac:dyDescent="0.3">
      <c r="A1099" t="s">
        <v>31</v>
      </c>
      <c r="B1099" s="8">
        <v>43</v>
      </c>
      <c r="C1099" s="8">
        <v>93.834000000000003</v>
      </c>
      <c r="D1099" s="5">
        <v>1.8069999999999999</v>
      </c>
      <c r="E1099" s="5">
        <v>24.548999999999999</v>
      </c>
      <c r="F1099" s="16" t="s">
        <v>33</v>
      </c>
      <c r="G1099" s="11">
        <v>0.53931931377974551</v>
      </c>
      <c r="H1099" s="5">
        <v>97.454999999999998</v>
      </c>
      <c r="I1099" s="8">
        <v>69</v>
      </c>
      <c r="J1099" s="8">
        <v>196</v>
      </c>
      <c r="K1099" s="8">
        <v>295</v>
      </c>
      <c r="L1099" s="8">
        <v>197</v>
      </c>
      <c r="M1099" t="s">
        <v>1307</v>
      </c>
      <c r="N1099" s="16" t="s">
        <v>22</v>
      </c>
      <c r="O1099" s="16" t="s">
        <v>23</v>
      </c>
      <c r="P1099" s="16" t="s">
        <v>24</v>
      </c>
      <c r="Q1099" s="10" t="s">
        <v>942</v>
      </c>
      <c r="R1099" s="3" t="str">
        <f t="shared" si="34"/>
        <v>155</v>
      </c>
      <c r="S1099" s="3" t="str">
        <f t="shared" si="35"/>
        <v>110</v>
      </c>
      <c r="T1099" s="16" t="s">
        <v>38</v>
      </c>
      <c r="U1099" s="3">
        <v>20.56</v>
      </c>
      <c r="V1099" s="16" t="str">
        <f>PROPER(Table1[[#This Row],[CVD Risk Level]])</f>
        <v>Low</v>
      </c>
    </row>
    <row r="1100" spans="1:22" x14ac:dyDescent="0.3">
      <c r="A1100" t="s">
        <v>20</v>
      </c>
      <c r="B1100" s="8">
        <v>33</v>
      </c>
      <c r="C1100" s="8">
        <v>59.622999999999998</v>
      </c>
      <c r="D1100" s="5">
        <v>1.6259999999999999</v>
      </c>
      <c r="E1100" s="5">
        <v>25.751000000000001</v>
      </c>
      <c r="F1100" s="16" t="s">
        <v>1303</v>
      </c>
      <c r="G1100" s="11">
        <v>0.46600000000000003</v>
      </c>
      <c r="H1100" s="5">
        <v>75.781999999999996</v>
      </c>
      <c r="I1100" s="8">
        <v>80</v>
      </c>
      <c r="J1100" s="8">
        <v>149</v>
      </c>
      <c r="K1100" s="8">
        <v>259</v>
      </c>
      <c r="L1100" s="8">
        <v>82</v>
      </c>
      <c r="M1100" t="s">
        <v>33</v>
      </c>
      <c r="N1100" s="16" t="s">
        <v>22</v>
      </c>
      <c r="O1100" s="16" t="s">
        <v>22</v>
      </c>
      <c r="P1100" s="16" t="s">
        <v>24</v>
      </c>
      <c r="Q1100" s="10" t="s">
        <v>943</v>
      </c>
      <c r="R1100" s="3" t="str">
        <f t="shared" si="34"/>
        <v>170</v>
      </c>
      <c r="S1100" s="3" t="str">
        <f t="shared" si="35"/>
        <v>76</v>
      </c>
      <c r="T1100" s="16" t="s">
        <v>38</v>
      </c>
      <c r="U1100" s="3">
        <v>18.829999999999998</v>
      </c>
      <c r="V1100" s="16" t="str">
        <f>PROPER(Table1[[#This Row],[CVD Risk Level]])</f>
        <v>Intermediary</v>
      </c>
    </row>
    <row r="1101" spans="1:22" x14ac:dyDescent="0.3">
      <c r="A1101" t="s">
        <v>20</v>
      </c>
      <c r="B1101" s="8">
        <v>72</v>
      </c>
      <c r="C1101" s="8">
        <v>85.7</v>
      </c>
      <c r="D1101" s="5">
        <v>1.589</v>
      </c>
      <c r="E1101" s="5">
        <v>33.941655996365832</v>
      </c>
      <c r="F1101" s="16" t="s">
        <v>1302</v>
      </c>
      <c r="G1101" s="11">
        <v>0.56499999999999995</v>
      </c>
      <c r="H1101" s="5">
        <v>89.795000000000002</v>
      </c>
      <c r="I1101" s="8">
        <v>39</v>
      </c>
      <c r="J1101" s="8">
        <v>109</v>
      </c>
      <c r="K1101" s="8">
        <v>183</v>
      </c>
      <c r="L1101" s="8">
        <v>159</v>
      </c>
      <c r="M1101" t="s">
        <v>1307</v>
      </c>
      <c r="N1101" s="16" t="s">
        <v>22</v>
      </c>
      <c r="O1101" s="16" t="s">
        <v>23</v>
      </c>
      <c r="P1101" s="16" t="s">
        <v>24</v>
      </c>
      <c r="Q1101" s="10" t="s">
        <v>581</v>
      </c>
      <c r="R1101" s="3" t="str">
        <f t="shared" si="34"/>
        <v>134</v>
      </c>
      <c r="S1101" s="3" t="str">
        <f t="shared" si="35"/>
        <v>85</v>
      </c>
      <c r="T1101" s="16" t="s">
        <v>29</v>
      </c>
      <c r="U1101" s="3">
        <v>20.323</v>
      </c>
      <c r="V1101" s="16" t="str">
        <f>PROPER(Table1[[#This Row],[CVD Risk Level]])</f>
        <v>Intermediary</v>
      </c>
    </row>
    <row r="1102" spans="1:22" x14ac:dyDescent="0.3">
      <c r="A1102" t="s">
        <v>31</v>
      </c>
      <c r="B1102" s="8">
        <v>38</v>
      </c>
      <c r="C1102" s="8">
        <v>100.84</v>
      </c>
      <c r="D1102" s="5">
        <v>1.7689999999999999</v>
      </c>
      <c r="E1102" s="5">
        <v>25.382999999999999</v>
      </c>
      <c r="F1102" s="16" t="s">
        <v>1303</v>
      </c>
      <c r="G1102" s="11">
        <v>0.41499999999999998</v>
      </c>
      <c r="H1102" s="5">
        <v>73.367999999999995</v>
      </c>
      <c r="I1102" s="8">
        <v>31</v>
      </c>
      <c r="J1102" s="8">
        <v>109</v>
      </c>
      <c r="K1102" s="8">
        <v>201</v>
      </c>
      <c r="L1102" s="8">
        <v>172</v>
      </c>
      <c r="M1102" t="s">
        <v>1307</v>
      </c>
      <c r="N1102" s="16" t="s">
        <v>22</v>
      </c>
      <c r="O1102" s="16" t="s">
        <v>23</v>
      </c>
      <c r="P1102" s="16" t="s">
        <v>28</v>
      </c>
      <c r="Q1102" s="10" t="s">
        <v>944</v>
      </c>
      <c r="R1102" s="3" t="str">
        <f t="shared" si="34"/>
        <v>124</v>
      </c>
      <c r="S1102" s="3" t="str">
        <f t="shared" si="35"/>
        <v>101</v>
      </c>
      <c r="T1102" s="16" t="s">
        <v>38</v>
      </c>
      <c r="U1102" s="3">
        <v>17.297000000000001</v>
      </c>
      <c r="V1102" s="16" t="str">
        <f>PROPER(Table1[[#This Row],[CVD Risk Level]])</f>
        <v>Intermediary</v>
      </c>
    </row>
    <row r="1103" spans="1:22" x14ac:dyDescent="0.3">
      <c r="A1103" t="s">
        <v>20</v>
      </c>
      <c r="B1103" s="8">
        <v>57</v>
      </c>
      <c r="C1103" s="8">
        <v>100.13</v>
      </c>
      <c r="D1103" s="5">
        <v>1.84</v>
      </c>
      <c r="E1103" s="5">
        <v>22.242000000000001</v>
      </c>
      <c r="F1103" s="16" t="s">
        <v>33</v>
      </c>
      <c r="G1103" s="11">
        <v>0.439</v>
      </c>
      <c r="H1103" s="5">
        <v>80.813999999999993</v>
      </c>
      <c r="I1103" s="8">
        <v>54</v>
      </c>
      <c r="J1103" s="8">
        <v>39</v>
      </c>
      <c r="K1103" s="8">
        <v>123</v>
      </c>
      <c r="L1103" s="8">
        <v>94</v>
      </c>
      <c r="M1103" t="s">
        <v>33</v>
      </c>
      <c r="N1103" s="16" t="s">
        <v>22</v>
      </c>
      <c r="O1103" s="16" t="s">
        <v>22</v>
      </c>
      <c r="P1103" s="16" t="s">
        <v>24</v>
      </c>
      <c r="Q1103" s="10" t="s">
        <v>945</v>
      </c>
      <c r="R1103" s="3" t="str">
        <f t="shared" si="34"/>
        <v>165</v>
      </c>
      <c r="S1103" s="3" t="str">
        <f t="shared" si="35"/>
        <v>99</v>
      </c>
      <c r="T1103" s="16" t="s">
        <v>38</v>
      </c>
      <c r="U1103" s="3">
        <v>15.157999999999999</v>
      </c>
      <c r="V1103" s="16" t="str">
        <f>PROPER(Table1[[#This Row],[CVD Risk Level]])</f>
        <v>Low</v>
      </c>
    </row>
    <row r="1104" spans="1:22" x14ac:dyDescent="0.3">
      <c r="A1104" t="s">
        <v>20</v>
      </c>
      <c r="B1104" s="8">
        <v>47.025499655410059</v>
      </c>
      <c r="C1104" s="8">
        <v>98.783000000000001</v>
      </c>
      <c r="D1104" s="5">
        <v>1.76</v>
      </c>
      <c r="E1104" s="5">
        <v>36.078000000000003</v>
      </c>
      <c r="F1104" s="16" t="s">
        <v>1302</v>
      </c>
      <c r="G1104" s="11">
        <v>0.42299999999999999</v>
      </c>
      <c r="H1104" s="5">
        <v>74.397000000000006</v>
      </c>
      <c r="I1104" s="8">
        <v>77</v>
      </c>
      <c r="J1104" s="8">
        <v>120</v>
      </c>
      <c r="K1104" s="8">
        <v>227</v>
      </c>
      <c r="L1104" s="8">
        <v>105</v>
      </c>
      <c r="M1104" t="s">
        <v>1306</v>
      </c>
      <c r="N1104" s="16" t="s">
        <v>22</v>
      </c>
      <c r="O1104" s="16" t="s">
        <v>22</v>
      </c>
      <c r="P1104" s="16" t="s">
        <v>28</v>
      </c>
      <c r="Q1104" s="10" t="s">
        <v>217</v>
      </c>
      <c r="R1104" s="3" t="str">
        <f t="shared" si="34"/>
        <v>117</v>
      </c>
      <c r="S1104" s="3" t="str">
        <f t="shared" si="35"/>
        <v>62</v>
      </c>
      <c r="T1104" s="16" t="s">
        <v>33</v>
      </c>
      <c r="U1104" s="3">
        <v>17.606000000000002</v>
      </c>
      <c r="V1104" s="16" t="str">
        <f>PROPER(Table1[[#This Row],[CVD Risk Level]])</f>
        <v>High</v>
      </c>
    </row>
    <row r="1105" spans="1:22" x14ac:dyDescent="0.3">
      <c r="A1105" t="s">
        <v>31</v>
      </c>
      <c r="B1105" s="8">
        <v>27</v>
      </c>
      <c r="C1105" s="8">
        <v>115.739</v>
      </c>
      <c r="D1105" s="5">
        <v>1.7989999999999999</v>
      </c>
      <c r="E1105" s="5">
        <v>22.463999999999999</v>
      </c>
      <c r="F1105" s="16" t="s">
        <v>33</v>
      </c>
      <c r="G1105" s="11">
        <v>0.432</v>
      </c>
      <c r="H1105" s="5">
        <v>77.691999999999993</v>
      </c>
      <c r="I1105" s="8">
        <v>50</v>
      </c>
      <c r="J1105" s="8">
        <v>71</v>
      </c>
      <c r="K1105" s="8">
        <v>151</v>
      </c>
      <c r="L1105" s="8">
        <v>188</v>
      </c>
      <c r="M1105" t="s">
        <v>1307</v>
      </c>
      <c r="N1105" s="16" t="s">
        <v>23</v>
      </c>
      <c r="O1105" s="16" t="s">
        <v>23</v>
      </c>
      <c r="P1105" s="16" t="s">
        <v>28</v>
      </c>
      <c r="Q1105" s="10" t="s">
        <v>946</v>
      </c>
      <c r="R1105" s="3" t="str">
        <f t="shared" si="34"/>
        <v>173</v>
      </c>
      <c r="S1105" s="3" t="str">
        <f t="shared" si="35"/>
        <v>96</v>
      </c>
      <c r="T1105" s="16" t="s">
        <v>38</v>
      </c>
      <c r="U1105" s="3">
        <v>18.163</v>
      </c>
      <c r="V1105" s="16" t="str">
        <f>PROPER(Table1[[#This Row],[CVD Risk Level]])</f>
        <v>High</v>
      </c>
    </row>
    <row r="1106" spans="1:22" x14ac:dyDescent="0.3">
      <c r="A1106" t="s">
        <v>20</v>
      </c>
      <c r="B1106" s="8">
        <v>38</v>
      </c>
      <c r="C1106" s="8">
        <v>53.055999999999997</v>
      </c>
      <c r="D1106" s="5">
        <v>1.7829999999999999</v>
      </c>
      <c r="E1106" s="5">
        <v>25.81</v>
      </c>
      <c r="F1106" s="16" t="s">
        <v>1303</v>
      </c>
      <c r="G1106" s="11">
        <v>0.41199999999999998</v>
      </c>
      <c r="H1106" s="5">
        <v>73.491</v>
      </c>
      <c r="I1106" s="8">
        <v>61</v>
      </c>
      <c r="J1106" s="8">
        <v>183</v>
      </c>
      <c r="K1106" s="8">
        <v>274</v>
      </c>
      <c r="L1106" s="8">
        <v>160</v>
      </c>
      <c r="M1106" t="s">
        <v>1307</v>
      </c>
      <c r="N1106" s="16" t="s">
        <v>23</v>
      </c>
      <c r="O1106" s="16" t="s">
        <v>23</v>
      </c>
      <c r="P1106" s="16" t="s">
        <v>28</v>
      </c>
      <c r="Q1106" s="10" t="s">
        <v>659</v>
      </c>
      <c r="R1106" s="3" t="str">
        <f t="shared" si="34"/>
        <v>111</v>
      </c>
      <c r="S1106" s="3" t="str">
        <f t="shared" si="35"/>
        <v>97</v>
      </c>
      <c r="T1106" s="16" t="s">
        <v>38</v>
      </c>
      <c r="U1106" s="3">
        <v>18.192</v>
      </c>
      <c r="V1106" s="16" t="str">
        <f>PROPER(Table1[[#This Row],[CVD Risk Level]])</f>
        <v>Low</v>
      </c>
    </row>
    <row r="1107" spans="1:22" x14ac:dyDescent="0.3">
      <c r="A1107" t="s">
        <v>20</v>
      </c>
      <c r="B1107" s="8">
        <v>29</v>
      </c>
      <c r="C1107" s="8">
        <v>112.22499999999999</v>
      </c>
      <c r="D1107" s="5">
        <v>1.9339999999999999</v>
      </c>
      <c r="E1107" s="5">
        <v>23.06</v>
      </c>
      <c r="F1107" s="16" t="s">
        <v>33</v>
      </c>
      <c r="G1107" s="11">
        <v>0.57099999999999995</v>
      </c>
      <c r="H1107" s="5">
        <v>110.373</v>
      </c>
      <c r="I1107" s="8">
        <v>66</v>
      </c>
      <c r="J1107" s="8">
        <v>151</v>
      </c>
      <c r="K1107" s="8">
        <v>247</v>
      </c>
      <c r="L1107" s="8">
        <v>151</v>
      </c>
      <c r="M1107" t="s">
        <v>1307</v>
      </c>
      <c r="N1107" s="16" t="s">
        <v>22</v>
      </c>
      <c r="O1107" s="16" t="s">
        <v>22</v>
      </c>
      <c r="P1107" s="16" t="s">
        <v>37</v>
      </c>
      <c r="Q1107" s="10" t="s">
        <v>947</v>
      </c>
      <c r="R1107" s="3" t="str">
        <f t="shared" si="34"/>
        <v>178</v>
      </c>
      <c r="S1107" s="3" t="str">
        <f t="shared" si="35"/>
        <v>90</v>
      </c>
      <c r="T1107" s="16" t="s">
        <v>38</v>
      </c>
      <c r="U1107" s="3">
        <v>18.452000000000002</v>
      </c>
      <c r="V1107" s="16" t="str">
        <f>PROPER(Table1[[#This Row],[CVD Risk Level]])</f>
        <v>Intermediary</v>
      </c>
    </row>
    <row r="1108" spans="1:22" x14ac:dyDescent="0.3">
      <c r="A1108" t="s">
        <v>31</v>
      </c>
      <c r="B1108" s="8">
        <v>45</v>
      </c>
      <c r="C1108" s="8">
        <v>73.935000000000002</v>
      </c>
      <c r="D1108" s="5">
        <v>1.9279999999999999</v>
      </c>
      <c r="E1108" s="5">
        <v>38.51</v>
      </c>
      <c r="F1108" s="16" t="s">
        <v>1302</v>
      </c>
      <c r="G1108" s="11">
        <v>0.58199999999999996</v>
      </c>
      <c r="H1108" s="5">
        <v>112.14700000000001</v>
      </c>
      <c r="I1108" s="8">
        <v>71</v>
      </c>
      <c r="J1108" s="8">
        <v>66</v>
      </c>
      <c r="K1108" s="8">
        <v>167</v>
      </c>
      <c r="L1108" s="8">
        <v>115</v>
      </c>
      <c r="M1108" t="s">
        <v>1306</v>
      </c>
      <c r="N1108" s="16" t="s">
        <v>22</v>
      </c>
      <c r="O1108" s="16" t="s">
        <v>23</v>
      </c>
      <c r="P1108" s="16" t="s">
        <v>28</v>
      </c>
      <c r="Q1108" s="10" t="s">
        <v>948</v>
      </c>
      <c r="R1108" s="3" t="str">
        <f t="shared" si="34"/>
        <v>159</v>
      </c>
      <c r="S1108" s="3" t="str">
        <f t="shared" si="35"/>
        <v>78</v>
      </c>
      <c r="T1108" s="16" t="s">
        <v>38</v>
      </c>
      <c r="U1108" s="3">
        <v>20.992000000000001</v>
      </c>
      <c r="V1108" s="16" t="str">
        <f>PROPER(Table1[[#This Row],[CVD Risk Level]])</f>
        <v>Low</v>
      </c>
    </row>
    <row r="1109" spans="1:22" x14ac:dyDescent="0.3">
      <c r="A1109" t="s">
        <v>31</v>
      </c>
      <c r="B1109" s="8">
        <v>37</v>
      </c>
      <c r="C1109" s="8">
        <v>116.535</v>
      </c>
      <c r="D1109" s="5">
        <v>1.8120000000000001</v>
      </c>
      <c r="E1109" s="5">
        <v>28.501999999999999</v>
      </c>
      <c r="F1109" s="16" t="s">
        <v>1303</v>
      </c>
      <c r="G1109" s="11">
        <v>0.42099999999999999</v>
      </c>
      <c r="H1109" s="5">
        <v>76.302000000000007</v>
      </c>
      <c r="I1109" s="8">
        <v>61</v>
      </c>
      <c r="J1109" s="8">
        <v>52</v>
      </c>
      <c r="K1109" s="8">
        <v>143</v>
      </c>
      <c r="L1109" s="8">
        <v>145</v>
      </c>
      <c r="M1109" t="s">
        <v>1307</v>
      </c>
      <c r="N1109" s="16" t="s">
        <v>22</v>
      </c>
      <c r="O1109" s="16" t="s">
        <v>23</v>
      </c>
      <c r="P1109" s="16" t="s">
        <v>37</v>
      </c>
      <c r="Q1109" s="10" t="s">
        <v>663</v>
      </c>
      <c r="R1109" s="3" t="str">
        <f t="shared" si="34"/>
        <v>118</v>
      </c>
      <c r="S1109" s="3" t="str">
        <f t="shared" si="35"/>
        <v>78</v>
      </c>
      <c r="T1109" s="16" t="s">
        <v>33</v>
      </c>
      <c r="U1109" s="3">
        <v>16.46</v>
      </c>
      <c r="V1109" s="16" t="str">
        <f>PROPER(Table1[[#This Row],[CVD Risk Level]])</f>
        <v>Intermediary</v>
      </c>
    </row>
    <row r="1110" spans="1:22" x14ac:dyDescent="0.3">
      <c r="A1110" t="s">
        <v>20</v>
      </c>
      <c r="B1110" s="8">
        <v>34</v>
      </c>
      <c r="C1110" s="8">
        <v>76.59</v>
      </c>
      <c r="D1110" s="5">
        <v>1.7270000000000001</v>
      </c>
      <c r="E1110" s="5">
        <v>22.260999999999999</v>
      </c>
      <c r="F1110" s="16" t="s">
        <v>33</v>
      </c>
      <c r="G1110" s="11">
        <v>0.505</v>
      </c>
      <c r="H1110" s="5">
        <v>87.186999999999998</v>
      </c>
      <c r="I1110" s="8">
        <v>71</v>
      </c>
      <c r="J1110" s="8">
        <v>144</v>
      </c>
      <c r="K1110" s="8">
        <v>245</v>
      </c>
      <c r="L1110" s="8">
        <v>156</v>
      </c>
      <c r="M1110" t="s">
        <v>1307</v>
      </c>
      <c r="N1110" s="16" t="s">
        <v>22</v>
      </c>
      <c r="O1110" s="16" t="s">
        <v>23</v>
      </c>
      <c r="P1110" s="16" t="s">
        <v>24</v>
      </c>
      <c r="Q1110" s="10" t="s">
        <v>949</v>
      </c>
      <c r="R1110" s="3" t="str">
        <f t="shared" si="34"/>
        <v>138</v>
      </c>
      <c r="S1110" s="3" t="str">
        <f t="shared" si="35"/>
        <v>71</v>
      </c>
      <c r="T1110" s="16" t="s">
        <v>29</v>
      </c>
      <c r="U1110" s="3">
        <v>18.251999999999999</v>
      </c>
      <c r="V1110" s="16" t="str">
        <f>PROPER(Table1[[#This Row],[CVD Risk Level]])</f>
        <v>Intermediary</v>
      </c>
    </row>
    <row r="1111" spans="1:22" x14ac:dyDescent="0.3">
      <c r="A1111" t="s">
        <v>20</v>
      </c>
      <c r="B1111" s="8">
        <v>72</v>
      </c>
      <c r="C1111" s="8">
        <v>96.578999999999994</v>
      </c>
      <c r="D1111" s="5">
        <v>1.8640000000000001</v>
      </c>
      <c r="E1111" s="5">
        <v>35.783000000000001</v>
      </c>
      <c r="F1111" s="16" t="s">
        <v>1302</v>
      </c>
      <c r="G1111" s="11">
        <v>0.504</v>
      </c>
      <c r="H1111" s="5">
        <v>93.995999999999995</v>
      </c>
      <c r="I1111" s="8">
        <v>59</v>
      </c>
      <c r="J1111" s="8">
        <v>193</v>
      </c>
      <c r="K1111" s="8">
        <v>282</v>
      </c>
      <c r="L1111" s="8">
        <v>174</v>
      </c>
      <c r="M1111" t="s">
        <v>1307</v>
      </c>
      <c r="N1111" s="16" t="s">
        <v>22</v>
      </c>
      <c r="O1111" s="16" t="s">
        <v>22</v>
      </c>
      <c r="P1111" s="16" t="s">
        <v>37</v>
      </c>
      <c r="Q1111" s="10" t="s">
        <v>96</v>
      </c>
      <c r="R1111" s="3" t="str">
        <f t="shared" si="34"/>
        <v>114</v>
      </c>
      <c r="S1111" s="3" t="str">
        <f t="shared" si="35"/>
        <v>91</v>
      </c>
      <c r="T1111" s="16" t="s">
        <v>38</v>
      </c>
      <c r="U1111" s="3">
        <v>18.497</v>
      </c>
      <c r="V1111" s="16" t="str">
        <f>PROPER(Table1[[#This Row],[CVD Risk Level]])</f>
        <v>Low</v>
      </c>
    </row>
    <row r="1112" spans="1:22" x14ac:dyDescent="0.3">
      <c r="A1112" t="s">
        <v>31</v>
      </c>
      <c r="B1112" s="8">
        <v>75</v>
      </c>
      <c r="C1112" s="8">
        <v>61.744999999999997</v>
      </c>
      <c r="D1112" s="5">
        <v>1.8149999999999999</v>
      </c>
      <c r="E1112" s="5">
        <v>33.881</v>
      </c>
      <c r="F1112" s="16" t="s">
        <v>1302</v>
      </c>
      <c r="G1112" s="11">
        <v>0.45050137741046836</v>
      </c>
      <c r="H1112" s="5">
        <v>81.766000000000005</v>
      </c>
      <c r="I1112" s="8">
        <v>53</v>
      </c>
      <c r="J1112" s="8">
        <v>194</v>
      </c>
      <c r="K1112" s="8">
        <v>277</v>
      </c>
      <c r="L1112" s="8">
        <v>100</v>
      </c>
      <c r="M1112" t="s">
        <v>1306</v>
      </c>
      <c r="N1112" s="16" t="s">
        <v>23</v>
      </c>
      <c r="O1112" s="16" t="s">
        <v>23</v>
      </c>
      <c r="P1112" s="16" t="s">
        <v>28</v>
      </c>
      <c r="Q1112" s="10" t="s">
        <v>950</v>
      </c>
      <c r="R1112" s="3" t="str">
        <f t="shared" si="34"/>
        <v>161</v>
      </c>
      <c r="S1112" s="3" t="str">
        <f t="shared" si="35"/>
        <v>97</v>
      </c>
      <c r="T1112" s="16" t="s">
        <v>38</v>
      </c>
      <c r="U1112" s="3">
        <v>22.366</v>
      </c>
      <c r="V1112" s="16" t="str">
        <f>PROPER(Table1[[#This Row],[CVD Risk Level]])</f>
        <v>Low</v>
      </c>
    </row>
    <row r="1113" spans="1:22" x14ac:dyDescent="0.3">
      <c r="A1113" t="s">
        <v>31</v>
      </c>
      <c r="B1113" s="8">
        <v>27</v>
      </c>
      <c r="C1113" s="8">
        <v>104.574</v>
      </c>
      <c r="D1113" s="5">
        <v>1.6519999999999999</v>
      </c>
      <c r="E1113" s="5">
        <v>36.427</v>
      </c>
      <c r="F1113" s="16" t="s">
        <v>1302</v>
      </c>
      <c r="G1113" s="11">
        <v>0.621</v>
      </c>
      <c r="H1113" s="5">
        <v>102.483</v>
      </c>
      <c r="I1113" s="8">
        <v>62</v>
      </c>
      <c r="J1113" s="8">
        <v>87</v>
      </c>
      <c r="K1113" s="8">
        <v>179</v>
      </c>
      <c r="L1113" s="8">
        <v>154</v>
      </c>
      <c r="M1113" t="s">
        <v>1307</v>
      </c>
      <c r="N1113" s="16" t="s">
        <v>23</v>
      </c>
      <c r="O1113" s="16" t="s">
        <v>23</v>
      </c>
      <c r="P1113" s="16" t="s">
        <v>24</v>
      </c>
      <c r="Q1113" s="10" t="s">
        <v>951</v>
      </c>
      <c r="R1113" s="3" t="str">
        <f t="shared" si="34"/>
        <v>179</v>
      </c>
      <c r="S1113" s="3" t="str">
        <f t="shared" si="35"/>
        <v>97</v>
      </c>
      <c r="T1113" s="16" t="s">
        <v>38</v>
      </c>
      <c r="U1113" s="3">
        <v>21.815000000000001</v>
      </c>
      <c r="V1113" s="16" t="str">
        <f>PROPER(Table1[[#This Row],[CVD Risk Level]])</f>
        <v>Intermediary</v>
      </c>
    </row>
    <row r="1114" spans="1:22" x14ac:dyDescent="0.3">
      <c r="A1114" t="s">
        <v>31</v>
      </c>
      <c r="B1114" s="8">
        <v>60</v>
      </c>
      <c r="C1114" s="8">
        <v>113.801</v>
      </c>
      <c r="D1114" s="5">
        <v>2</v>
      </c>
      <c r="E1114" s="5">
        <v>26.901</v>
      </c>
      <c r="F1114" s="16" t="s">
        <v>1303</v>
      </c>
      <c r="G1114" s="11">
        <v>0.48299999999999998</v>
      </c>
      <c r="H1114" s="5">
        <v>96.6</v>
      </c>
      <c r="I1114" s="8">
        <v>70</v>
      </c>
      <c r="J1114" s="8">
        <v>173</v>
      </c>
      <c r="K1114" s="8">
        <v>273</v>
      </c>
      <c r="L1114" s="8">
        <v>125</v>
      </c>
      <c r="M1114" t="s">
        <v>1306</v>
      </c>
      <c r="N1114" s="16" t="s">
        <v>23</v>
      </c>
      <c r="O1114" s="16" t="s">
        <v>23</v>
      </c>
      <c r="P1114" s="16" t="s">
        <v>37</v>
      </c>
      <c r="Q1114" s="10" t="s">
        <v>952</v>
      </c>
      <c r="R1114" s="3" t="str">
        <f t="shared" si="34"/>
        <v>125</v>
      </c>
      <c r="S1114" s="3" t="str">
        <f t="shared" si="35"/>
        <v>116</v>
      </c>
      <c r="T1114" s="16" t="s">
        <v>38</v>
      </c>
      <c r="U1114" s="3">
        <v>19.09</v>
      </c>
      <c r="V1114" s="16" t="str">
        <f>PROPER(Table1[[#This Row],[CVD Risk Level]])</f>
        <v>Intermediary</v>
      </c>
    </row>
    <row r="1115" spans="1:22" x14ac:dyDescent="0.3">
      <c r="A1115" t="s">
        <v>20</v>
      </c>
      <c r="B1115" s="8">
        <v>70</v>
      </c>
      <c r="C1115" s="8">
        <v>85.24</v>
      </c>
      <c r="D1115" s="5">
        <v>1.7969999999999999</v>
      </c>
      <c r="E1115" s="5">
        <v>23.600999999999999</v>
      </c>
      <c r="F1115" s="16" t="s">
        <v>33</v>
      </c>
      <c r="G1115" s="11">
        <v>0.45700000000000002</v>
      </c>
      <c r="H1115" s="5">
        <v>82.224000000000004</v>
      </c>
      <c r="I1115" s="8">
        <v>67</v>
      </c>
      <c r="J1115" s="8">
        <v>127</v>
      </c>
      <c r="K1115" s="8">
        <v>224</v>
      </c>
      <c r="L1115" s="8">
        <v>171</v>
      </c>
      <c r="M1115" t="s">
        <v>1307</v>
      </c>
      <c r="N1115" s="16" t="s">
        <v>23</v>
      </c>
      <c r="O1115" s="16" t="s">
        <v>22</v>
      </c>
      <c r="P1115" s="16" t="s">
        <v>28</v>
      </c>
      <c r="Q1115" s="10" t="s">
        <v>953</v>
      </c>
      <c r="R1115" s="3" t="str">
        <f t="shared" si="34"/>
        <v>125</v>
      </c>
      <c r="S1115" s="3" t="str">
        <f t="shared" si="35"/>
        <v>72</v>
      </c>
      <c r="T1115" s="16" t="s">
        <v>25</v>
      </c>
      <c r="U1115" s="3">
        <v>15.45</v>
      </c>
      <c r="V1115" s="16" t="str">
        <f>PROPER(Table1[[#This Row],[CVD Risk Level]])</f>
        <v>Low</v>
      </c>
    </row>
    <row r="1116" spans="1:22" x14ac:dyDescent="0.3">
      <c r="A1116" t="s">
        <v>31</v>
      </c>
      <c r="B1116" s="8">
        <v>55</v>
      </c>
      <c r="C1116" s="8">
        <v>121.20053895199999</v>
      </c>
      <c r="D1116" s="5">
        <v>1.847</v>
      </c>
      <c r="E1116" s="5">
        <v>35.527999999999999</v>
      </c>
      <c r="F1116" s="16" t="s">
        <v>1302</v>
      </c>
      <c r="G1116" s="11">
        <v>0.622</v>
      </c>
      <c r="H1116" s="5">
        <v>114.91200000000001</v>
      </c>
      <c r="I1116" s="8">
        <v>36</v>
      </c>
      <c r="J1116" s="8">
        <v>230</v>
      </c>
      <c r="K1116" s="8">
        <v>296</v>
      </c>
      <c r="L1116" s="8">
        <v>73</v>
      </c>
      <c r="M1116" t="s">
        <v>33</v>
      </c>
      <c r="N1116" s="16" t="s">
        <v>22</v>
      </c>
      <c r="O1116" s="16" t="s">
        <v>23</v>
      </c>
      <c r="P1116" s="16" t="s">
        <v>24</v>
      </c>
      <c r="Q1116" s="10" t="s">
        <v>954</v>
      </c>
      <c r="R1116" s="3" t="str">
        <f t="shared" si="34"/>
        <v>112</v>
      </c>
      <c r="S1116" s="3" t="str">
        <f t="shared" si="35"/>
        <v>113</v>
      </c>
      <c r="T1116" s="16" t="s">
        <v>38</v>
      </c>
      <c r="U1116" s="3">
        <v>20.626000000000001</v>
      </c>
      <c r="V1116" s="16" t="str">
        <f>PROPER(Table1[[#This Row],[CVD Risk Level]])</f>
        <v>High</v>
      </c>
    </row>
    <row r="1117" spans="1:22" x14ac:dyDescent="0.3">
      <c r="A1117" t="s">
        <v>20</v>
      </c>
      <c r="B1117" s="8">
        <v>79</v>
      </c>
      <c r="C1117" s="8">
        <v>106.143</v>
      </c>
      <c r="D1117" s="5">
        <v>1.8480000000000001</v>
      </c>
      <c r="E1117" s="5">
        <v>37.142000000000003</v>
      </c>
      <c r="F1117" s="16" t="s">
        <v>1302</v>
      </c>
      <c r="G1117" s="11">
        <v>0.44600000000000001</v>
      </c>
      <c r="H1117" s="5">
        <v>82.367999999999995</v>
      </c>
      <c r="I1117" s="8">
        <v>56.197377501725327</v>
      </c>
      <c r="J1117" s="8">
        <v>127</v>
      </c>
      <c r="K1117" s="8">
        <v>366.39475500345065</v>
      </c>
      <c r="L1117" s="8">
        <v>187</v>
      </c>
      <c r="M1117" t="s">
        <v>1307</v>
      </c>
      <c r="N1117" s="16" t="s">
        <v>23</v>
      </c>
      <c r="O1117" s="16" t="s">
        <v>23</v>
      </c>
      <c r="P1117" s="16" t="s">
        <v>37</v>
      </c>
      <c r="Q1117" s="10" t="s">
        <v>955</v>
      </c>
      <c r="R1117" s="3" t="str">
        <f t="shared" si="34"/>
        <v>100</v>
      </c>
      <c r="S1117" s="3" t="str">
        <f t="shared" si="35"/>
        <v>67</v>
      </c>
      <c r="T1117" s="16" t="s">
        <v>33</v>
      </c>
      <c r="U1117" s="3">
        <v>18.908000000000001</v>
      </c>
      <c r="V1117" s="16" t="str">
        <f>PROPER(Table1[[#This Row],[CVD Risk Level]])</f>
        <v>Intermediary</v>
      </c>
    </row>
    <row r="1118" spans="1:22" x14ac:dyDescent="0.3">
      <c r="A1118" t="s">
        <v>31</v>
      </c>
      <c r="B1118" s="8">
        <v>51</v>
      </c>
      <c r="C1118" s="8">
        <v>59.35</v>
      </c>
      <c r="D1118" s="5">
        <v>1.87</v>
      </c>
      <c r="E1118" s="5">
        <v>37.003999999999998</v>
      </c>
      <c r="F1118" s="16" t="s">
        <v>1302</v>
      </c>
      <c r="G1118" s="11">
        <v>0.51900000000000002</v>
      </c>
      <c r="H1118" s="5">
        <v>97.067999999999998</v>
      </c>
      <c r="I1118" s="8">
        <v>56.197377501725327</v>
      </c>
      <c r="J1118" s="8">
        <v>159</v>
      </c>
      <c r="K1118" s="8">
        <v>250</v>
      </c>
      <c r="L1118" s="8">
        <v>76</v>
      </c>
      <c r="M1118" t="s">
        <v>33</v>
      </c>
      <c r="N1118" s="16" t="s">
        <v>22</v>
      </c>
      <c r="O1118" s="16" t="s">
        <v>22</v>
      </c>
      <c r="P1118" s="16" t="s">
        <v>37</v>
      </c>
      <c r="Q1118" s="10" t="s">
        <v>956</v>
      </c>
      <c r="R1118" s="3" t="str">
        <f t="shared" si="34"/>
        <v>113</v>
      </c>
      <c r="S1118" s="3" t="str">
        <f t="shared" si="35"/>
        <v>67</v>
      </c>
      <c r="T1118" s="16" t="s">
        <v>33</v>
      </c>
      <c r="U1118" s="3">
        <v>18.050999999999998</v>
      </c>
      <c r="V1118" s="16" t="str">
        <f>PROPER(Table1[[#This Row],[CVD Risk Level]])</f>
        <v>Intermediary</v>
      </c>
    </row>
    <row r="1119" spans="1:22" x14ac:dyDescent="0.3">
      <c r="A1119" t="s">
        <v>31</v>
      </c>
      <c r="B1119" s="8">
        <v>61</v>
      </c>
      <c r="C1119" s="8">
        <v>61.982999999999997</v>
      </c>
      <c r="D1119" s="5">
        <v>1.7869999999999999</v>
      </c>
      <c r="E1119" s="5">
        <v>19.673999999999999</v>
      </c>
      <c r="F1119" s="16" t="s">
        <v>33</v>
      </c>
      <c r="G1119" s="11">
        <v>0.53200000000000003</v>
      </c>
      <c r="H1119" s="5">
        <v>95.068399999999997</v>
      </c>
      <c r="I1119" s="8">
        <v>76</v>
      </c>
      <c r="J1119" s="8">
        <v>109</v>
      </c>
      <c r="K1119" s="8">
        <v>104</v>
      </c>
      <c r="L1119" s="8">
        <v>137</v>
      </c>
      <c r="M1119" t="s">
        <v>1307</v>
      </c>
      <c r="N1119" s="16" t="s">
        <v>23</v>
      </c>
      <c r="O1119" s="16" t="s">
        <v>22</v>
      </c>
      <c r="P1119" s="16" t="s">
        <v>28</v>
      </c>
      <c r="Q1119" s="10" t="s">
        <v>957</v>
      </c>
      <c r="R1119" s="3" t="str">
        <f t="shared" si="34"/>
        <v>92</v>
      </c>
      <c r="S1119" s="3" t="str">
        <f t="shared" si="35"/>
        <v>93</v>
      </c>
      <c r="T1119" s="16" t="s">
        <v>38</v>
      </c>
      <c r="U1119" s="3">
        <v>16.960925291295425</v>
      </c>
      <c r="V1119" s="16" t="str">
        <f>PROPER(Table1[[#This Row],[CVD Risk Level]])</f>
        <v>Low</v>
      </c>
    </row>
    <row r="1120" spans="1:22" x14ac:dyDescent="0.3">
      <c r="A1120" t="s">
        <v>31</v>
      </c>
      <c r="B1120" s="8">
        <v>30</v>
      </c>
      <c r="C1120" s="8">
        <v>70.296999999999997</v>
      </c>
      <c r="D1120" s="5">
        <v>1.7281219690006127</v>
      </c>
      <c r="E1120" s="5">
        <v>23.539000000000001</v>
      </c>
      <c r="F1120" s="16" t="s">
        <v>33</v>
      </c>
      <c r="G1120" s="11">
        <v>0.501</v>
      </c>
      <c r="H1120" s="5">
        <v>92.822999999999993</v>
      </c>
      <c r="I1120" s="8">
        <v>78</v>
      </c>
      <c r="J1120" s="8">
        <v>27</v>
      </c>
      <c r="K1120" s="8">
        <v>135</v>
      </c>
      <c r="L1120" s="8">
        <v>99</v>
      </c>
      <c r="M1120" t="s">
        <v>33</v>
      </c>
      <c r="N1120" s="16" t="s">
        <v>23</v>
      </c>
      <c r="O1120" s="16" t="s">
        <v>23</v>
      </c>
      <c r="P1120" s="16" t="s">
        <v>37</v>
      </c>
      <c r="Q1120" s="10" t="s">
        <v>958</v>
      </c>
      <c r="R1120" s="3" t="str">
        <f t="shared" si="34"/>
        <v>172</v>
      </c>
      <c r="S1120" s="3" t="str">
        <f t="shared" si="35"/>
        <v>66</v>
      </c>
      <c r="T1120" s="16" t="s">
        <v>38</v>
      </c>
      <c r="U1120" s="3">
        <v>18.007999999999999</v>
      </c>
      <c r="V1120" s="16" t="str">
        <f>PROPER(Table1[[#This Row],[CVD Risk Level]])</f>
        <v>Low</v>
      </c>
    </row>
    <row r="1121" spans="1:22" x14ac:dyDescent="0.3">
      <c r="A1121" t="s">
        <v>20</v>
      </c>
      <c r="B1121" s="8">
        <v>67</v>
      </c>
      <c r="C1121" s="8">
        <v>115.768</v>
      </c>
      <c r="D1121" s="5">
        <v>1.64</v>
      </c>
      <c r="E1121" s="5">
        <v>28.486000000000001</v>
      </c>
      <c r="F1121" s="16" t="s">
        <v>1303</v>
      </c>
      <c r="G1121" s="11">
        <v>0.65400000000000003</v>
      </c>
      <c r="H1121" s="5">
        <v>107.307</v>
      </c>
      <c r="I1121" s="8">
        <v>46</v>
      </c>
      <c r="J1121" s="8">
        <v>184</v>
      </c>
      <c r="K1121" s="8">
        <v>260</v>
      </c>
      <c r="L1121" s="8">
        <v>131</v>
      </c>
      <c r="M1121" t="s">
        <v>1307</v>
      </c>
      <c r="N1121" s="16" t="s">
        <v>23</v>
      </c>
      <c r="O1121" s="16" t="s">
        <v>22</v>
      </c>
      <c r="P1121" s="16" t="s">
        <v>28</v>
      </c>
      <c r="Q1121" s="10" t="s">
        <v>959</v>
      </c>
      <c r="R1121" s="3" t="str">
        <f t="shared" si="34"/>
        <v>162</v>
      </c>
      <c r="S1121" s="3" t="str">
        <f t="shared" si="35"/>
        <v>95</v>
      </c>
      <c r="T1121" s="16" t="s">
        <v>38</v>
      </c>
      <c r="U1121" s="3">
        <v>18.997</v>
      </c>
      <c r="V1121" s="16" t="str">
        <f>PROPER(Table1[[#This Row],[CVD Risk Level]])</f>
        <v>Low</v>
      </c>
    </row>
    <row r="1122" spans="1:22" x14ac:dyDescent="0.3">
      <c r="A1122" t="s">
        <v>31</v>
      </c>
      <c r="B1122" s="8">
        <v>55</v>
      </c>
      <c r="C1122" s="8">
        <v>114.033</v>
      </c>
      <c r="D1122" s="5">
        <v>1.907</v>
      </c>
      <c r="E1122" s="5">
        <v>38.616999999999997</v>
      </c>
      <c r="F1122" s="16" t="s">
        <v>1302</v>
      </c>
      <c r="G1122" s="11">
        <v>0.60499999999999998</v>
      </c>
      <c r="H1122" s="5">
        <v>115.36199999999999</v>
      </c>
      <c r="I1122" s="8">
        <v>59</v>
      </c>
      <c r="J1122" s="8">
        <v>28</v>
      </c>
      <c r="K1122" s="8">
        <v>117</v>
      </c>
      <c r="L1122" s="8">
        <v>89</v>
      </c>
      <c r="M1122" t="s">
        <v>33</v>
      </c>
      <c r="N1122" s="16" t="s">
        <v>23</v>
      </c>
      <c r="O1122" s="16" t="s">
        <v>22</v>
      </c>
      <c r="P1122" s="16" t="s">
        <v>37</v>
      </c>
      <c r="Q1122" s="10" t="s">
        <v>960</v>
      </c>
      <c r="R1122" s="3" t="str">
        <f t="shared" si="34"/>
        <v>179</v>
      </c>
      <c r="S1122" s="3" t="str">
        <f t="shared" si="35"/>
        <v>71</v>
      </c>
      <c r="T1122" s="16" t="s">
        <v>38</v>
      </c>
      <c r="U1122" s="3">
        <v>19.013000000000002</v>
      </c>
      <c r="V1122" s="16" t="str">
        <f>PROPER(Table1[[#This Row],[CVD Risk Level]])</f>
        <v>Low</v>
      </c>
    </row>
    <row r="1123" spans="1:22" x14ac:dyDescent="0.3">
      <c r="A1123" t="s">
        <v>31</v>
      </c>
      <c r="B1123" s="8">
        <v>47</v>
      </c>
      <c r="C1123" s="8">
        <v>79.057000000000002</v>
      </c>
      <c r="D1123" s="5">
        <v>1.6379999999999999</v>
      </c>
      <c r="E1123" s="5">
        <v>33.725999999999999</v>
      </c>
      <c r="F1123" s="16" t="s">
        <v>1302</v>
      </c>
      <c r="G1123" s="11">
        <v>0.68500000000000005</v>
      </c>
      <c r="H1123" s="5">
        <v>112.245</v>
      </c>
      <c r="I1123" s="8">
        <v>82</v>
      </c>
      <c r="J1123" s="8">
        <v>85</v>
      </c>
      <c r="K1123" s="8">
        <v>197</v>
      </c>
      <c r="L1123" s="8">
        <v>109</v>
      </c>
      <c r="M1123" t="s">
        <v>1306</v>
      </c>
      <c r="N1123" s="16" t="s">
        <v>22</v>
      </c>
      <c r="O1123" s="16" t="s">
        <v>23</v>
      </c>
      <c r="P1123" s="16" t="s">
        <v>24</v>
      </c>
      <c r="Q1123" s="10" t="s">
        <v>961</v>
      </c>
      <c r="R1123" s="3" t="str">
        <f t="shared" si="34"/>
        <v>93</v>
      </c>
      <c r="S1123" s="3" t="str">
        <f t="shared" si="35"/>
        <v>117</v>
      </c>
      <c r="T1123" s="16" t="s">
        <v>38</v>
      </c>
      <c r="U1123" s="3">
        <v>17.335000000000001</v>
      </c>
      <c r="V1123" s="16" t="str">
        <f>PROPER(Table1[[#This Row],[CVD Risk Level]])</f>
        <v>Intermediary</v>
      </c>
    </row>
    <row r="1124" spans="1:22" x14ac:dyDescent="0.3">
      <c r="A1124" t="s">
        <v>31</v>
      </c>
      <c r="B1124" s="8">
        <v>78</v>
      </c>
      <c r="C1124" s="8">
        <v>61.345999999999997</v>
      </c>
      <c r="D1124" s="5">
        <v>1.9690000000000001</v>
      </c>
      <c r="E1124" s="5">
        <v>27.276</v>
      </c>
      <c r="F1124" s="16" t="s">
        <v>1303</v>
      </c>
      <c r="G1124" s="11">
        <v>0.58099999999999996</v>
      </c>
      <c r="H1124" s="5">
        <v>114.44199999999999</v>
      </c>
      <c r="I1124" s="8">
        <v>82</v>
      </c>
      <c r="J1124" s="8">
        <v>109</v>
      </c>
      <c r="K1124" s="8">
        <v>223</v>
      </c>
      <c r="L1124" s="8">
        <v>108</v>
      </c>
      <c r="M1124" t="s">
        <v>1306</v>
      </c>
      <c r="N1124" s="16" t="s">
        <v>23</v>
      </c>
      <c r="O1124" s="16" t="s">
        <v>22</v>
      </c>
      <c r="P1124" s="16" t="s">
        <v>37</v>
      </c>
      <c r="Q1124" s="10" t="s">
        <v>610</v>
      </c>
      <c r="R1124" s="3" t="str">
        <f t="shared" si="34"/>
        <v>126</v>
      </c>
      <c r="S1124" s="3" t="str">
        <f t="shared" si="35"/>
        <v>91</v>
      </c>
      <c r="T1124" s="16" t="s">
        <v>38</v>
      </c>
      <c r="U1124" s="3">
        <v>16.215</v>
      </c>
      <c r="V1124" s="16" t="str">
        <f>PROPER(Table1[[#This Row],[CVD Risk Level]])</f>
        <v>High</v>
      </c>
    </row>
    <row r="1125" spans="1:22" x14ac:dyDescent="0.3">
      <c r="A1125" t="s">
        <v>20</v>
      </c>
      <c r="B1125" s="8">
        <v>78</v>
      </c>
      <c r="C1125" s="8">
        <v>54.046999999999997</v>
      </c>
      <c r="D1125" s="5">
        <v>1.794</v>
      </c>
      <c r="E1125" s="5">
        <v>33.164000000000001</v>
      </c>
      <c r="F1125" s="16" t="s">
        <v>1302</v>
      </c>
      <c r="G1125" s="11">
        <v>0.66600000000000004</v>
      </c>
      <c r="H1125" s="5">
        <v>119.48399999999999</v>
      </c>
      <c r="I1125" s="8">
        <v>57</v>
      </c>
      <c r="J1125" s="8">
        <v>91</v>
      </c>
      <c r="K1125" s="8">
        <v>178</v>
      </c>
      <c r="L1125" s="8">
        <v>96</v>
      </c>
      <c r="M1125" t="s">
        <v>33</v>
      </c>
      <c r="N1125" s="16" t="s">
        <v>22</v>
      </c>
      <c r="O1125" s="16" t="s">
        <v>23</v>
      </c>
      <c r="P1125" s="16" t="s">
        <v>24</v>
      </c>
      <c r="Q1125" s="10" t="s">
        <v>962</v>
      </c>
      <c r="R1125" s="3" t="str">
        <f t="shared" si="34"/>
        <v>93</v>
      </c>
      <c r="S1125" s="3" t="str">
        <f t="shared" si="35"/>
        <v>93</v>
      </c>
      <c r="T1125" s="16" t="s">
        <v>38</v>
      </c>
      <c r="U1125" s="3">
        <v>16.843</v>
      </c>
      <c r="V1125" s="16" t="str">
        <f>PROPER(Table1[[#This Row],[CVD Risk Level]])</f>
        <v>Low</v>
      </c>
    </row>
    <row r="1126" spans="1:22" x14ac:dyDescent="0.3">
      <c r="A1126" t="s">
        <v>20</v>
      </c>
      <c r="B1126" s="8">
        <v>72</v>
      </c>
      <c r="C1126" s="8">
        <v>109.136</v>
      </c>
      <c r="D1126" s="5">
        <v>1.905</v>
      </c>
      <c r="E1126" s="5">
        <v>31.61</v>
      </c>
      <c r="F1126" s="16" t="s">
        <v>1302</v>
      </c>
      <c r="G1126" s="11">
        <v>0.39100000000000001</v>
      </c>
      <c r="H1126" s="5">
        <v>74.462000000000003</v>
      </c>
      <c r="I1126" s="8">
        <v>60</v>
      </c>
      <c r="J1126" s="8">
        <v>19</v>
      </c>
      <c r="K1126" s="8">
        <v>109</v>
      </c>
      <c r="L1126" s="8">
        <v>104</v>
      </c>
      <c r="M1126" t="s">
        <v>1306</v>
      </c>
      <c r="N1126" s="16" t="s">
        <v>23</v>
      </c>
      <c r="O1126" s="16" t="s">
        <v>22</v>
      </c>
      <c r="P1126" s="16" t="s">
        <v>37</v>
      </c>
      <c r="Q1126" s="10" t="s">
        <v>963</v>
      </c>
      <c r="R1126" s="3" t="str">
        <f t="shared" si="34"/>
        <v>99</v>
      </c>
      <c r="S1126" s="3" t="str">
        <f t="shared" si="35"/>
        <v>71</v>
      </c>
      <c r="T1126" s="16" t="s">
        <v>33</v>
      </c>
      <c r="U1126" s="3">
        <v>13.452</v>
      </c>
      <c r="V1126" s="16" t="str">
        <f>PROPER(Table1[[#This Row],[CVD Risk Level]])</f>
        <v>High</v>
      </c>
    </row>
    <row r="1127" spans="1:22" x14ac:dyDescent="0.3">
      <c r="A1127" t="s">
        <v>31</v>
      </c>
      <c r="B1127" s="8">
        <v>56</v>
      </c>
      <c r="C1127" s="8">
        <v>94.117999999999995</v>
      </c>
      <c r="D1127" s="5">
        <v>1.7729999999999999</v>
      </c>
      <c r="E1127" s="5">
        <v>27.082999999999998</v>
      </c>
      <c r="F1127" s="16" t="s">
        <v>1303</v>
      </c>
      <c r="G1127" s="11">
        <v>0.435</v>
      </c>
      <c r="H1127" s="5">
        <v>77.094999999999999</v>
      </c>
      <c r="I1127" s="8">
        <v>44</v>
      </c>
      <c r="J1127" s="8">
        <v>86</v>
      </c>
      <c r="K1127" s="8">
        <v>160</v>
      </c>
      <c r="L1127" s="8">
        <v>179</v>
      </c>
      <c r="M1127" t="s">
        <v>1307</v>
      </c>
      <c r="N1127" s="16" t="s">
        <v>23</v>
      </c>
      <c r="O1127" s="16" t="s">
        <v>22</v>
      </c>
      <c r="P1127" s="16" t="s">
        <v>37</v>
      </c>
      <c r="Q1127" s="10" t="s">
        <v>964</v>
      </c>
      <c r="R1127" s="3" t="str">
        <f t="shared" si="34"/>
        <v>174</v>
      </c>
      <c r="S1127" s="3" t="str">
        <f t="shared" si="35"/>
        <v>78</v>
      </c>
      <c r="T1127" s="16" t="s">
        <v>38</v>
      </c>
      <c r="U1127" s="3">
        <v>17.317</v>
      </c>
      <c r="V1127" s="16" t="str">
        <f>PROPER(Table1[[#This Row],[CVD Risk Level]])</f>
        <v>Intermediary</v>
      </c>
    </row>
    <row r="1128" spans="1:22" x14ac:dyDescent="0.3">
      <c r="A1128" t="s">
        <v>20</v>
      </c>
      <c r="B1128" s="8">
        <v>60</v>
      </c>
      <c r="C1128" s="8">
        <v>51.871000000000002</v>
      </c>
      <c r="D1128" s="5">
        <v>1.8939999999999999</v>
      </c>
      <c r="E1128" s="5">
        <v>30.558</v>
      </c>
      <c r="F1128" s="16" t="s">
        <v>1302</v>
      </c>
      <c r="G1128" s="11">
        <v>0.44</v>
      </c>
      <c r="H1128" s="5">
        <v>83.375</v>
      </c>
      <c r="I1128" s="8">
        <v>36</v>
      </c>
      <c r="J1128" s="8">
        <v>195</v>
      </c>
      <c r="K1128" s="8">
        <v>261</v>
      </c>
      <c r="L1128" s="8">
        <v>117.48563611491107</v>
      </c>
      <c r="M1128" t="s">
        <v>1306</v>
      </c>
      <c r="N1128" s="16" t="s">
        <v>22</v>
      </c>
      <c r="O1128" s="16" t="s">
        <v>23</v>
      </c>
      <c r="P1128" s="16" t="s">
        <v>28</v>
      </c>
      <c r="Q1128" s="10" t="s">
        <v>965</v>
      </c>
      <c r="R1128" s="3" t="str">
        <f t="shared" si="34"/>
        <v>99</v>
      </c>
      <c r="S1128" s="3" t="str">
        <f t="shared" si="35"/>
        <v>108</v>
      </c>
      <c r="T1128" s="16" t="s">
        <v>38</v>
      </c>
      <c r="U1128" s="3">
        <v>18.282</v>
      </c>
      <c r="V1128" s="16" t="str">
        <f>PROPER(Table1[[#This Row],[CVD Risk Level]])</f>
        <v>High</v>
      </c>
    </row>
    <row r="1129" spans="1:22" x14ac:dyDescent="0.3">
      <c r="A1129" t="s">
        <v>20</v>
      </c>
      <c r="B1129" s="8">
        <v>41</v>
      </c>
      <c r="C1129" s="8">
        <v>117.726</v>
      </c>
      <c r="D1129" s="5">
        <v>2.1801718337796685</v>
      </c>
      <c r="E1129" s="5">
        <v>24.768000000000001</v>
      </c>
      <c r="F1129" s="16" t="s">
        <v>33</v>
      </c>
      <c r="G1129" s="11">
        <v>0.499</v>
      </c>
      <c r="H1129" s="5">
        <v>92.332999999999998</v>
      </c>
      <c r="I1129" s="8">
        <v>56.197377501725327</v>
      </c>
      <c r="J1129" s="8">
        <v>53</v>
      </c>
      <c r="K1129" s="8">
        <v>139</v>
      </c>
      <c r="L1129" s="8">
        <v>139</v>
      </c>
      <c r="M1129" t="s">
        <v>1307</v>
      </c>
      <c r="N1129" s="16" t="s">
        <v>22</v>
      </c>
      <c r="O1129" s="16" t="s">
        <v>22</v>
      </c>
      <c r="P1129" s="16" t="s">
        <v>37</v>
      </c>
      <c r="Q1129" s="10" t="s">
        <v>966</v>
      </c>
      <c r="R1129" s="3" t="str">
        <f t="shared" si="34"/>
        <v>166</v>
      </c>
      <c r="S1129" s="3" t="str">
        <f t="shared" si="35"/>
        <v>77</v>
      </c>
      <c r="T1129" s="16" t="s">
        <v>38</v>
      </c>
      <c r="U1129" s="3">
        <v>16.033999999999999</v>
      </c>
      <c r="V1129" s="16" t="str">
        <f>PROPER(Table1[[#This Row],[CVD Risk Level]])</f>
        <v>High</v>
      </c>
    </row>
    <row r="1130" spans="1:22" x14ac:dyDescent="0.3">
      <c r="A1130" t="s">
        <v>31</v>
      </c>
      <c r="B1130" s="8">
        <v>66</v>
      </c>
      <c r="C1130" s="8">
        <v>86.933000000000007</v>
      </c>
      <c r="D1130" s="5">
        <v>1.5169999999999999</v>
      </c>
      <c r="E1130" s="5">
        <v>39.320999999999998</v>
      </c>
      <c r="F1130" s="16" t="s">
        <v>1302</v>
      </c>
      <c r="G1130" s="11">
        <v>0.52400000000000002</v>
      </c>
      <c r="H1130" s="5">
        <v>79.563999999999993</v>
      </c>
      <c r="I1130" s="8">
        <v>36</v>
      </c>
      <c r="J1130" s="8">
        <v>191</v>
      </c>
      <c r="K1130" s="8">
        <v>257</v>
      </c>
      <c r="L1130" s="8">
        <v>105</v>
      </c>
      <c r="M1130" t="s">
        <v>1306</v>
      </c>
      <c r="N1130" s="16" t="s">
        <v>22</v>
      </c>
      <c r="O1130" s="16" t="s">
        <v>22</v>
      </c>
      <c r="P1130" s="16" t="s">
        <v>37</v>
      </c>
      <c r="Q1130" s="10" t="s">
        <v>967</v>
      </c>
      <c r="R1130" s="3" t="str">
        <f t="shared" si="34"/>
        <v>105</v>
      </c>
      <c r="S1130" s="3" t="str">
        <f t="shared" si="35"/>
        <v>68</v>
      </c>
      <c r="T1130" s="16" t="s">
        <v>33</v>
      </c>
      <c r="U1130" s="3">
        <v>18.254000000000001</v>
      </c>
      <c r="V1130" s="16" t="str">
        <f>PROPER(Table1[[#This Row],[CVD Risk Level]])</f>
        <v>Low</v>
      </c>
    </row>
    <row r="1131" spans="1:22" x14ac:dyDescent="0.3">
      <c r="A1131" t="s">
        <v>31</v>
      </c>
      <c r="B1131" s="8">
        <v>48</v>
      </c>
      <c r="C1131" s="8">
        <v>101.761</v>
      </c>
      <c r="D1131" s="5">
        <v>1.51</v>
      </c>
      <c r="E1131" s="5">
        <v>27.321999999999999</v>
      </c>
      <c r="F1131" s="16" t="s">
        <v>1303</v>
      </c>
      <c r="G1131" s="11">
        <v>0.70799999999999996</v>
      </c>
      <c r="H1131" s="5">
        <v>106.908</v>
      </c>
      <c r="I1131" s="8">
        <v>83</v>
      </c>
      <c r="J1131" s="8">
        <v>165</v>
      </c>
      <c r="K1131" s="8">
        <v>278</v>
      </c>
      <c r="L1131" s="8">
        <v>168</v>
      </c>
      <c r="M1131" t="s">
        <v>1307</v>
      </c>
      <c r="N1131" s="16" t="s">
        <v>23</v>
      </c>
      <c r="O1131" s="16" t="s">
        <v>22</v>
      </c>
      <c r="P1131" s="16" t="s">
        <v>28</v>
      </c>
      <c r="Q1131" s="10" t="s">
        <v>968</v>
      </c>
      <c r="R1131" s="3" t="str">
        <f t="shared" si="34"/>
        <v>136</v>
      </c>
      <c r="S1131" s="3" t="str">
        <f t="shared" si="35"/>
        <v>101</v>
      </c>
      <c r="T1131" s="16" t="s">
        <v>29</v>
      </c>
      <c r="U1131" s="3">
        <v>17.824000000000002</v>
      </c>
      <c r="V1131" s="16" t="str">
        <f>PROPER(Table1[[#This Row],[CVD Risk Level]])</f>
        <v>Low</v>
      </c>
    </row>
    <row r="1132" spans="1:22" x14ac:dyDescent="0.3">
      <c r="A1132" t="s">
        <v>31</v>
      </c>
      <c r="B1132" s="8">
        <v>38</v>
      </c>
      <c r="C1132" s="8">
        <v>76.971000000000004</v>
      </c>
      <c r="D1132" s="5">
        <v>1.921</v>
      </c>
      <c r="E1132" s="5">
        <v>39.555</v>
      </c>
      <c r="F1132" s="16" t="s">
        <v>1302</v>
      </c>
      <c r="G1132" s="11">
        <v>0.44400000000000001</v>
      </c>
      <c r="H1132" s="5">
        <v>85.308000000000007</v>
      </c>
      <c r="I1132" s="8">
        <v>31</v>
      </c>
      <c r="J1132" s="8">
        <v>87</v>
      </c>
      <c r="K1132" s="8">
        <v>148</v>
      </c>
      <c r="L1132" s="8">
        <v>117</v>
      </c>
      <c r="M1132" t="s">
        <v>1306</v>
      </c>
      <c r="N1132" s="16" t="s">
        <v>23</v>
      </c>
      <c r="O1132" s="16" t="s">
        <v>23</v>
      </c>
      <c r="P1132" s="16" t="s">
        <v>37</v>
      </c>
      <c r="Q1132" s="10" t="s">
        <v>969</v>
      </c>
      <c r="R1132" s="3" t="str">
        <f t="shared" si="34"/>
        <v>112</v>
      </c>
      <c r="S1132" s="3" t="str">
        <f t="shared" si="35"/>
        <v>119</v>
      </c>
      <c r="T1132" s="16" t="s">
        <v>38</v>
      </c>
      <c r="U1132" s="3">
        <v>18.471</v>
      </c>
      <c r="V1132" s="16" t="str">
        <f>PROPER(Table1[[#This Row],[CVD Risk Level]])</f>
        <v>High</v>
      </c>
    </row>
    <row r="1133" spans="1:22" x14ac:dyDescent="0.3">
      <c r="A1133" t="s">
        <v>31</v>
      </c>
      <c r="B1133" s="8">
        <v>47.025499655410059</v>
      </c>
      <c r="C1133" s="8">
        <v>115.322</v>
      </c>
      <c r="D1133" s="5">
        <v>1.589</v>
      </c>
      <c r="E1133" s="5">
        <v>27.756</v>
      </c>
      <c r="F1133" s="16" t="s">
        <v>1303</v>
      </c>
      <c r="G1133" s="11">
        <v>0.47799999999999998</v>
      </c>
      <c r="H1133" s="5">
        <v>75.941000000000003</v>
      </c>
      <c r="I1133" s="8">
        <v>53</v>
      </c>
      <c r="J1133" s="8">
        <v>38</v>
      </c>
      <c r="K1133" s="8">
        <v>121</v>
      </c>
      <c r="L1133" s="8">
        <v>103</v>
      </c>
      <c r="M1133" t="s">
        <v>1306</v>
      </c>
      <c r="N1133" s="16" t="s">
        <v>22</v>
      </c>
      <c r="O1133" s="16" t="s">
        <v>22</v>
      </c>
      <c r="P1133" s="16" t="s">
        <v>37</v>
      </c>
      <c r="Q1133" s="10" t="s">
        <v>970</v>
      </c>
      <c r="R1133" s="3" t="str">
        <f t="shared" si="34"/>
        <v>159</v>
      </c>
      <c r="S1133" s="3" t="str">
        <f t="shared" si="35"/>
        <v>89</v>
      </c>
      <c r="T1133" s="16" t="s">
        <v>29</v>
      </c>
      <c r="U1133" s="3">
        <v>15.920999999999999</v>
      </c>
      <c r="V1133" s="16" t="str">
        <f>PROPER(Table1[[#This Row],[CVD Risk Level]])</f>
        <v>Low</v>
      </c>
    </row>
    <row r="1134" spans="1:22" x14ac:dyDescent="0.3">
      <c r="A1134" t="s">
        <v>31</v>
      </c>
      <c r="B1134" s="8">
        <v>49</v>
      </c>
      <c r="C1134" s="8">
        <v>83.064999999999998</v>
      </c>
      <c r="D1134" s="5">
        <v>1.9710000000000001</v>
      </c>
      <c r="E1134" s="5">
        <v>28.154</v>
      </c>
      <c r="F1134" s="16" t="s">
        <v>1303</v>
      </c>
      <c r="G1134" s="11">
        <v>0.46899999999999997</v>
      </c>
      <c r="H1134" s="5">
        <v>92.423000000000002</v>
      </c>
      <c r="I1134" s="8">
        <v>89</v>
      </c>
      <c r="J1134" s="8">
        <v>109</v>
      </c>
      <c r="K1134" s="8">
        <v>104</v>
      </c>
      <c r="L1134" s="8">
        <v>71</v>
      </c>
      <c r="M1134" t="s">
        <v>33</v>
      </c>
      <c r="N1134" s="16" t="s">
        <v>22</v>
      </c>
      <c r="O1134" s="16" t="s">
        <v>22</v>
      </c>
      <c r="P1134" s="16" t="s">
        <v>24</v>
      </c>
      <c r="Q1134" s="10" t="s">
        <v>133</v>
      </c>
      <c r="R1134" s="3" t="str">
        <f t="shared" si="34"/>
        <v>103</v>
      </c>
      <c r="S1134" s="3" t="str">
        <f t="shared" si="35"/>
        <v>81</v>
      </c>
      <c r="T1134" s="16" t="s">
        <v>29</v>
      </c>
      <c r="U1134" s="3">
        <v>12.861000000000001</v>
      </c>
      <c r="V1134" s="16" t="str">
        <f>PROPER(Table1[[#This Row],[CVD Risk Level]])</f>
        <v>Intermediary</v>
      </c>
    </row>
    <row r="1135" spans="1:22" x14ac:dyDescent="0.3">
      <c r="A1135" t="s">
        <v>31</v>
      </c>
      <c r="B1135" s="8">
        <v>59</v>
      </c>
      <c r="C1135" s="8">
        <v>108.125</v>
      </c>
      <c r="D1135" s="5">
        <v>1.5680000000000001</v>
      </c>
      <c r="E1135" s="5">
        <v>25.887</v>
      </c>
      <c r="F1135" s="16" t="s">
        <v>1303</v>
      </c>
      <c r="G1135" s="11">
        <v>0.65700000000000003</v>
      </c>
      <c r="H1135" s="5">
        <v>103.05500000000001</v>
      </c>
      <c r="I1135" s="8">
        <v>56.197377501725327</v>
      </c>
      <c r="J1135" s="8">
        <v>180</v>
      </c>
      <c r="K1135" s="8">
        <v>255</v>
      </c>
      <c r="L1135" s="8">
        <v>137</v>
      </c>
      <c r="M1135" t="s">
        <v>1307</v>
      </c>
      <c r="N1135" s="16" t="s">
        <v>23</v>
      </c>
      <c r="O1135" s="16" t="s">
        <v>23</v>
      </c>
      <c r="P1135" s="16" t="s">
        <v>28</v>
      </c>
      <c r="Q1135" s="10" t="s">
        <v>971</v>
      </c>
      <c r="R1135" s="3" t="str">
        <f t="shared" si="34"/>
        <v>157</v>
      </c>
      <c r="S1135" s="3" t="str">
        <f t="shared" si="35"/>
        <v>61</v>
      </c>
      <c r="T1135" s="16" t="s">
        <v>38</v>
      </c>
      <c r="U1135" s="3">
        <v>20.126999999999999</v>
      </c>
      <c r="V1135" s="16" t="str">
        <f>PROPER(Table1[[#This Row],[CVD Risk Level]])</f>
        <v>Low</v>
      </c>
    </row>
    <row r="1136" spans="1:22" x14ac:dyDescent="0.3">
      <c r="A1136" t="s">
        <v>31</v>
      </c>
      <c r="B1136" s="8">
        <v>47.025499655410059</v>
      </c>
      <c r="C1136" s="8">
        <v>95.772000000000006</v>
      </c>
      <c r="D1136" s="5">
        <v>1.6890000000000001</v>
      </c>
      <c r="E1136" s="5">
        <v>21.716999999999999</v>
      </c>
      <c r="F1136" s="16" t="s">
        <v>33</v>
      </c>
      <c r="G1136" s="11">
        <v>0.46899999999999997</v>
      </c>
      <c r="H1136" s="5">
        <v>79.183999999999997</v>
      </c>
      <c r="I1136" s="8">
        <v>83</v>
      </c>
      <c r="J1136" s="8">
        <v>50</v>
      </c>
      <c r="K1136" s="8">
        <v>163</v>
      </c>
      <c r="L1136" s="8">
        <v>154</v>
      </c>
      <c r="M1136" t="s">
        <v>1307</v>
      </c>
      <c r="N1136" s="16" t="s">
        <v>22</v>
      </c>
      <c r="O1136" s="16" t="s">
        <v>23</v>
      </c>
      <c r="P1136" s="16" t="s">
        <v>28</v>
      </c>
      <c r="Q1136" s="10" t="s">
        <v>140</v>
      </c>
      <c r="R1136" s="3" t="str">
        <f t="shared" si="34"/>
        <v>113</v>
      </c>
      <c r="S1136" s="3" t="str">
        <f t="shared" si="35"/>
        <v>99</v>
      </c>
      <c r="T1136" s="16" t="s">
        <v>38</v>
      </c>
      <c r="U1136" s="3">
        <v>15.253</v>
      </c>
      <c r="V1136" s="16" t="str">
        <f>PROPER(Table1[[#This Row],[CVD Risk Level]])</f>
        <v>High</v>
      </c>
    </row>
    <row r="1137" spans="1:22" x14ac:dyDescent="0.3">
      <c r="A1137" t="s">
        <v>31</v>
      </c>
      <c r="B1137" s="8">
        <v>30</v>
      </c>
      <c r="C1137" s="8">
        <v>102.828</v>
      </c>
      <c r="D1137" s="5">
        <v>1.9770000000000001</v>
      </c>
      <c r="E1137" s="5">
        <v>38.314999999999998</v>
      </c>
      <c r="F1137" s="16" t="s">
        <v>1302</v>
      </c>
      <c r="G1137" s="11">
        <v>0.50800000000000001</v>
      </c>
      <c r="H1137" s="5">
        <v>100.4</v>
      </c>
      <c r="I1137" s="8">
        <v>30</v>
      </c>
      <c r="J1137" s="8">
        <v>234</v>
      </c>
      <c r="K1137" s="8">
        <v>294</v>
      </c>
      <c r="L1137" s="8">
        <v>88</v>
      </c>
      <c r="M1137" t="s">
        <v>33</v>
      </c>
      <c r="N1137" s="16" t="s">
        <v>23</v>
      </c>
      <c r="O1137" s="16" t="s">
        <v>23</v>
      </c>
      <c r="P1137" s="16" t="s">
        <v>28</v>
      </c>
      <c r="Q1137" s="10" t="s">
        <v>972</v>
      </c>
      <c r="R1137" s="3" t="str">
        <f t="shared" si="34"/>
        <v>151</v>
      </c>
      <c r="S1137" s="3" t="str">
        <f t="shared" si="35"/>
        <v>77</v>
      </c>
      <c r="T1137" s="16" t="s">
        <v>38</v>
      </c>
      <c r="U1137" s="3">
        <v>23.093</v>
      </c>
      <c r="V1137" s="16" t="str">
        <f>PROPER(Table1[[#This Row],[CVD Risk Level]])</f>
        <v>Low</v>
      </c>
    </row>
    <row r="1138" spans="1:22" x14ac:dyDescent="0.3">
      <c r="A1138" t="s">
        <v>31</v>
      </c>
      <c r="B1138" s="8">
        <v>26</v>
      </c>
      <c r="C1138" s="8">
        <v>58.953000000000003</v>
      </c>
      <c r="D1138" s="5">
        <v>1.6879999999999999</v>
      </c>
      <c r="E1138" s="5">
        <v>25.286000000000001</v>
      </c>
      <c r="F1138" s="16" t="s">
        <v>1303</v>
      </c>
      <c r="G1138" s="11">
        <v>0.45500000000000002</v>
      </c>
      <c r="H1138" s="5">
        <v>76.803999999999988</v>
      </c>
      <c r="I1138" s="8">
        <v>58</v>
      </c>
      <c r="J1138" s="8">
        <v>170</v>
      </c>
      <c r="K1138" s="8">
        <v>258</v>
      </c>
      <c r="L1138" s="8">
        <v>146</v>
      </c>
      <c r="M1138" t="s">
        <v>1307</v>
      </c>
      <c r="N1138" s="16" t="s">
        <v>22</v>
      </c>
      <c r="O1138" s="16" t="s">
        <v>22</v>
      </c>
      <c r="P1138" s="16" t="s">
        <v>28</v>
      </c>
      <c r="Q1138" s="10" t="s">
        <v>973</v>
      </c>
      <c r="R1138" s="3" t="str">
        <f t="shared" si="34"/>
        <v>110</v>
      </c>
      <c r="S1138" s="3" t="str">
        <f t="shared" si="35"/>
        <v>114</v>
      </c>
      <c r="T1138" s="16" t="s">
        <v>38</v>
      </c>
      <c r="U1138" s="3">
        <v>15.717000000000001</v>
      </c>
      <c r="V1138" s="16" t="str">
        <f>PROPER(Table1[[#This Row],[CVD Risk Level]])</f>
        <v>High</v>
      </c>
    </row>
    <row r="1139" spans="1:22" x14ac:dyDescent="0.3">
      <c r="A1139" t="s">
        <v>31</v>
      </c>
      <c r="B1139" s="8">
        <v>76</v>
      </c>
      <c r="C1139" s="8">
        <v>99.585999999999999</v>
      </c>
      <c r="D1139" s="5">
        <v>1.8979999999999999</v>
      </c>
      <c r="E1139" s="5">
        <v>39.517000000000003</v>
      </c>
      <c r="F1139" s="16" t="s">
        <v>1302</v>
      </c>
      <c r="G1139" s="11">
        <v>0.56599999999999995</v>
      </c>
      <c r="H1139" s="5">
        <v>107.48099999999999</v>
      </c>
      <c r="I1139" s="8">
        <v>45</v>
      </c>
      <c r="J1139" s="8">
        <v>50</v>
      </c>
      <c r="K1139" s="8">
        <v>125</v>
      </c>
      <c r="L1139" s="8">
        <v>101</v>
      </c>
      <c r="M1139" t="s">
        <v>1306</v>
      </c>
      <c r="N1139" s="16" t="s">
        <v>23</v>
      </c>
      <c r="O1139" s="16" t="s">
        <v>23</v>
      </c>
      <c r="P1139" s="16" t="s">
        <v>28</v>
      </c>
      <c r="Q1139" s="10" t="s">
        <v>974</v>
      </c>
      <c r="R1139" s="3" t="str">
        <f t="shared" si="34"/>
        <v>171</v>
      </c>
      <c r="S1139" s="3" t="str">
        <f t="shared" si="35"/>
        <v>80</v>
      </c>
      <c r="T1139" s="16" t="s">
        <v>29</v>
      </c>
      <c r="U1139" s="3">
        <v>20.952999999999999</v>
      </c>
      <c r="V1139" s="16" t="str">
        <f>PROPER(Table1[[#This Row],[CVD Risk Level]])</f>
        <v>Low</v>
      </c>
    </row>
    <row r="1140" spans="1:22" x14ac:dyDescent="0.3">
      <c r="A1140" t="s">
        <v>31</v>
      </c>
      <c r="B1140" s="8">
        <v>75</v>
      </c>
      <c r="C1140" s="8">
        <v>96.063000000000002</v>
      </c>
      <c r="D1140" s="5">
        <v>1.986</v>
      </c>
      <c r="E1140" s="5">
        <v>27.821000000000002</v>
      </c>
      <c r="F1140" s="16" t="s">
        <v>1303</v>
      </c>
      <c r="G1140" s="11">
        <v>0.36599999999999999</v>
      </c>
      <c r="H1140" s="5">
        <v>72.712999999999994</v>
      </c>
      <c r="I1140" s="8">
        <v>74</v>
      </c>
      <c r="J1140" s="8">
        <v>107</v>
      </c>
      <c r="K1140" s="8">
        <v>211</v>
      </c>
      <c r="L1140" s="8">
        <v>75</v>
      </c>
      <c r="M1140" t="s">
        <v>33</v>
      </c>
      <c r="N1140" s="16" t="s">
        <v>23</v>
      </c>
      <c r="O1140" s="16" t="s">
        <v>23</v>
      </c>
      <c r="P1140" s="16" t="s">
        <v>24</v>
      </c>
      <c r="Q1140" s="10" t="s">
        <v>902</v>
      </c>
      <c r="R1140" s="3" t="str">
        <f t="shared" si="34"/>
        <v>158</v>
      </c>
      <c r="S1140" s="3" t="str">
        <f t="shared" si="35"/>
        <v>74</v>
      </c>
      <c r="T1140" s="16" t="s">
        <v>38</v>
      </c>
      <c r="U1140" s="3">
        <v>19.684000000000001</v>
      </c>
      <c r="V1140" s="16" t="str">
        <f>PROPER(Table1[[#This Row],[CVD Risk Level]])</f>
        <v>Low</v>
      </c>
    </row>
    <row r="1141" spans="1:22" x14ac:dyDescent="0.3">
      <c r="A1141" t="s">
        <v>20</v>
      </c>
      <c r="B1141" s="8">
        <v>76</v>
      </c>
      <c r="C1141" s="8">
        <v>60.206000000000003</v>
      </c>
      <c r="D1141" s="5">
        <v>1.857</v>
      </c>
      <c r="E1141" s="5">
        <v>21.033000000000001</v>
      </c>
      <c r="F1141" s="16" t="s">
        <v>33</v>
      </c>
      <c r="G1141" s="11">
        <v>0.42399999999999999</v>
      </c>
      <c r="H1141" s="5">
        <v>78.745000000000005</v>
      </c>
      <c r="I1141" s="8">
        <v>76</v>
      </c>
      <c r="J1141" s="8">
        <v>17</v>
      </c>
      <c r="K1141" s="8">
        <v>123</v>
      </c>
      <c r="L1141" s="8">
        <v>109</v>
      </c>
      <c r="M1141" t="s">
        <v>1306</v>
      </c>
      <c r="N1141" s="16" t="s">
        <v>22</v>
      </c>
      <c r="O1141" s="16" t="s">
        <v>22</v>
      </c>
      <c r="P1141" s="16" t="s">
        <v>24</v>
      </c>
      <c r="Q1141" s="10" t="s">
        <v>975</v>
      </c>
      <c r="R1141" s="3" t="str">
        <f t="shared" si="34"/>
        <v>140</v>
      </c>
      <c r="S1141" s="3" t="str">
        <f t="shared" si="35"/>
        <v>61</v>
      </c>
      <c r="T1141" s="16" t="s">
        <v>38</v>
      </c>
      <c r="U1141" s="3">
        <v>13.667</v>
      </c>
      <c r="V1141" s="16" t="str">
        <f>PROPER(Table1[[#This Row],[CVD Risk Level]])</f>
        <v>Low</v>
      </c>
    </row>
    <row r="1142" spans="1:22" x14ac:dyDescent="0.3">
      <c r="A1142" t="s">
        <v>20</v>
      </c>
      <c r="B1142" s="8">
        <v>47.025499655410059</v>
      </c>
      <c r="C1142" s="8">
        <v>59.238</v>
      </c>
      <c r="D1142" s="5">
        <v>1.623</v>
      </c>
      <c r="E1142" s="5">
        <v>26.465</v>
      </c>
      <c r="F1142" s="16" t="s">
        <v>1303</v>
      </c>
      <c r="G1142" s="11">
        <v>0.60799999999999998</v>
      </c>
      <c r="H1142" s="5">
        <v>98.698999999999998</v>
      </c>
      <c r="I1142" s="8">
        <v>41</v>
      </c>
      <c r="J1142" s="8">
        <v>176</v>
      </c>
      <c r="K1142" s="8">
        <v>247</v>
      </c>
      <c r="L1142" s="8">
        <v>71</v>
      </c>
      <c r="M1142" t="s">
        <v>33</v>
      </c>
      <c r="N1142" s="16" t="s">
        <v>22</v>
      </c>
      <c r="O1142" s="16" t="s">
        <v>23</v>
      </c>
      <c r="P1142" s="16" t="s">
        <v>37</v>
      </c>
      <c r="Q1142" s="10" t="s">
        <v>976</v>
      </c>
      <c r="R1142" s="3" t="str">
        <f t="shared" si="34"/>
        <v>113</v>
      </c>
      <c r="S1142" s="3" t="str">
        <f t="shared" si="35"/>
        <v>66</v>
      </c>
      <c r="T1142" s="16" t="s">
        <v>33</v>
      </c>
      <c r="U1142" s="3">
        <v>17.882999999999999</v>
      </c>
      <c r="V1142" s="16" t="str">
        <f>PROPER(Table1[[#This Row],[CVD Risk Level]])</f>
        <v>Intermediary</v>
      </c>
    </row>
    <row r="1143" spans="1:22" x14ac:dyDescent="0.3">
      <c r="A1143" t="s">
        <v>31</v>
      </c>
      <c r="B1143" s="8">
        <v>33</v>
      </c>
      <c r="C1143" s="8">
        <v>116.375</v>
      </c>
      <c r="D1143" s="5">
        <v>1.91</v>
      </c>
      <c r="E1143" s="5">
        <v>33.597000000000001</v>
      </c>
      <c r="F1143" s="16" t="s">
        <v>1302</v>
      </c>
      <c r="G1143" s="11">
        <v>0.42599999999999999</v>
      </c>
      <c r="H1143" s="5">
        <v>81.366</v>
      </c>
      <c r="I1143" s="8">
        <v>60</v>
      </c>
      <c r="J1143" s="8">
        <v>150</v>
      </c>
      <c r="K1143" s="8">
        <v>240</v>
      </c>
      <c r="L1143" s="8">
        <v>180</v>
      </c>
      <c r="M1143" t="s">
        <v>1307</v>
      </c>
      <c r="N1143" s="16" t="s">
        <v>22</v>
      </c>
      <c r="O1143" s="16" t="s">
        <v>23</v>
      </c>
      <c r="P1143" s="16" t="s">
        <v>28</v>
      </c>
      <c r="Q1143" s="10" t="s">
        <v>977</v>
      </c>
      <c r="R1143" s="3" t="str">
        <f t="shared" si="34"/>
        <v>98</v>
      </c>
      <c r="S1143" s="3" t="str">
        <f t="shared" si="35"/>
        <v>91</v>
      </c>
      <c r="T1143" s="16" t="s">
        <v>38</v>
      </c>
      <c r="U1143" s="3">
        <v>18.419</v>
      </c>
      <c r="V1143" s="16" t="str">
        <f>PROPER(Table1[[#This Row],[CVD Risk Level]])</f>
        <v>Intermediary</v>
      </c>
    </row>
    <row r="1144" spans="1:22" x14ac:dyDescent="0.3">
      <c r="A1144" t="s">
        <v>31</v>
      </c>
      <c r="B1144" s="8">
        <v>64</v>
      </c>
      <c r="C1144" s="8">
        <v>92.384</v>
      </c>
      <c r="D1144" s="5">
        <v>1.5640000000000001</v>
      </c>
      <c r="E1144" s="5">
        <v>33.505000000000003</v>
      </c>
      <c r="F1144" s="16" t="s">
        <v>1302</v>
      </c>
      <c r="G1144" s="11">
        <v>0.53</v>
      </c>
      <c r="H1144" s="5">
        <v>82.86</v>
      </c>
      <c r="I1144" s="8">
        <v>84</v>
      </c>
      <c r="J1144" s="8">
        <v>32</v>
      </c>
      <c r="K1144" s="8">
        <v>146</v>
      </c>
      <c r="L1144" s="8">
        <v>117</v>
      </c>
      <c r="M1144" t="s">
        <v>1306</v>
      </c>
      <c r="N1144" s="16" t="s">
        <v>23</v>
      </c>
      <c r="O1144" s="16" t="s">
        <v>22</v>
      </c>
      <c r="P1144" s="16" t="s">
        <v>24</v>
      </c>
      <c r="Q1144" s="10" t="s">
        <v>978</v>
      </c>
      <c r="R1144" s="3" t="str">
        <f t="shared" si="34"/>
        <v>146</v>
      </c>
      <c r="S1144" s="3" t="str">
        <f t="shared" si="35"/>
        <v>72</v>
      </c>
      <c r="T1144" s="16" t="s">
        <v>38</v>
      </c>
      <c r="U1144" s="3">
        <v>16.920999999999999</v>
      </c>
      <c r="V1144" s="16" t="str">
        <f>PROPER(Table1[[#This Row],[CVD Risk Level]])</f>
        <v>Low</v>
      </c>
    </row>
    <row r="1145" spans="1:22" x14ac:dyDescent="0.3">
      <c r="A1145" t="s">
        <v>31</v>
      </c>
      <c r="B1145" s="8">
        <v>31</v>
      </c>
      <c r="C1145" s="8">
        <v>112.709</v>
      </c>
      <c r="D1145" s="5">
        <v>1.8420000000000001</v>
      </c>
      <c r="E1145" s="5">
        <v>26.524000000000001</v>
      </c>
      <c r="F1145" s="16" t="s">
        <v>1303</v>
      </c>
      <c r="G1145" s="11">
        <v>0.58199999999999996</v>
      </c>
      <c r="H1145" s="5">
        <v>107.197</v>
      </c>
      <c r="I1145" s="8">
        <v>64</v>
      </c>
      <c r="J1145" s="8">
        <v>61</v>
      </c>
      <c r="K1145" s="8">
        <v>155</v>
      </c>
      <c r="L1145" s="8">
        <v>160</v>
      </c>
      <c r="M1145" t="s">
        <v>1307</v>
      </c>
      <c r="N1145" s="16" t="s">
        <v>23</v>
      </c>
      <c r="O1145" s="16" t="s">
        <v>22</v>
      </c>
      <c r="P1145" s="16" t="s">
        <v>37</v>
      </c>
      <c r="Q1145" s="10" t="s">
        <v>979</v>
      </c>
      <c r="R1145" s="3" t="str">
        <f t="shared" si="34"/>
        <v>112</v>
      </c>
      <c r="S1145" s="3" t="str">
        <f t="shared" si="35"/>
        <v>77</v>
      </c>
      <c r="T1145" s="16" t="s">
        <v>33</v>
      </c>
      <c r="U1145" s="3">
        <v>14.005000000000001</v>
      </c>
      <c r="V1145" s="16" t="str">
        <f>PROPER(Table1[[#This Row],[CVD Risk Level]])</f>
        <v>High</v>
      </c>
    </row>
    <row r="1146" spans="1:22" x14ac:dyDescent="0.3">
      <c r="A1146" t="s">
        <v>31</v>
      </c>
      <c r="B1146" s="8">
        <v>79</v>
      </c>
      <c r="C1146" s="8">
        <v>71.227999999999994</v>
      </c>
      <c r="D1146" s="5">
        <v>1.7969999999999999</v>
      </c>
      <c r="E1146" s="5">
        <v>19.484999999999999</v>
      </c>
      <c r="F1146" s="16" t="s">
        <v>33</v>
      </c>
      <c r="G1146" s="11">
        <v>0.61199999999999999</v>
      </c>
      <c r="H1146" s="5">
        <v>109.94199999999999</v>
      </c>
      <c r="I1146" s="8">
        <v>75</v>
      </c>
      <c r="J1146" s="8">
        <v>45</v>
      </c>
      <c r="K1146" s="8">
        <v>150</v>
      </c>
      <c r="L1146" s="8">
        <v>97</v>
      </c>
      <c r="M1146" t="s">
        <v>33</v>
      </c>
      <c r="N1146" s="16" t="s">
        <v>22</v>
      </c>
      <c r="O1146" s="16" t="s">
        <v>23</v>
      </c>
      <c r="P1146" s="16" t="s">
        <v>28</v>
      </c>
      <c r="Q1146" s="10" t="s">
        <v>980</v>
      </c>
      <c r="R1146" s="3" t="str">
        <f t="shared" si="34"/>
        <v>132</v>
      </c>
      <c r="S1146" s="3" t="str">
        <f t="shared" si="35"/>
        <v>60</v>
      </c>
      <c r="T1146" s="16" t="s">
        <v>29</v>
      </c>
      <c r="U1146" s="3">
        <v>15.497</v>
      </c>
      <c r="V1146" s="16" t="str">
        <f>PROPER(Table1[[#This Row],[CVD Risk Level]])</f>
        <v>Low</v>
      </c>
    </row>
    <row r="1147" spans="1:22" x14ac:dyDescent="0.3">
      <c r="A1147" t="s">
        <v>20</v>
      </c>
      <c r="B1147" s="8">
        <v>58</v>
      </c>
      <c r="C1147" s="8">
        <v>69.87</v>
      </c>
      <c r="D1147" s="5">
        <v>1.944</v>
      </c>
      <c r="E1147" s="5">
        <v>20.785</v>
      </c>
      <c r="F1147" s="16" t="s">
        <v>33</v>
      </c>
      <c r="G1147" s="11">
        <v>0.44400000000000001</v>
      </c>
      <c r="H1147" s="5">
        <v>86.259</v>
      </c>
      <c r="I1147" s="8">
        <v>56.197377501725327</v>
      </c>
      <c r="J1147" s="8">
        <v>44</v>
      </c>
      <c r="K1147" s="8">
        <v>151</v>
      </c>
      <c r="L1147" s="8">
        <v>139</v>
      </c>
      <c r="M1147" t="s">
        <v>1307</v>
      </c>
      <c r="N1147" s="16" t="s">
        <v>23</v>
      </c>
      <c r="O1147" s="16" t="s">
        <v>22</v>
      </c>
      <c r="P1147" s="16" t="s">
        <v>37</v>
      </c>
      <c r="Q1147" s="10" t="s">
        <v>981</v>
      </c>
      <c r="R1147" s="3" t="str">
        <f t="shared" si="34"/>
        <v>162</v>
      </c>
      <c r="S1147" s="3" t="str">
        <f t="shared" si="35"/>
        <v>106</v>
      </c>
      <c r="T1147" s="16" t="s">
        <v>38</v>
      </c>
      <c r="U1147" s="3">
        <v>15.276999999999999</v>
      </c>
      <c r="V1147" s="16" t="str">
        <f>PROPER(Table1[[#This Row],[CVD Risk Level]])</f>
        <v>High</v>
      </c>
    </row>
    <row r="1148" spans="1:22" x14ac:dyDescent="0.3">
      <c r="A1148" t="s">
        <v>20</v>
      </c>
      <c r="B1148" s="8">
        <v>47.025499655410059</v>
      </c>
      <c r="C1148" s="8">
        <v>68.159000000000006</v>
      </c>
      <c r="D1148" s="5">
        <v>1.655</v>
      </c>
      <c r="E1148" s="5">
        <v>31.213999999999999</v>
      </c>
      <c r="F1148" s="16" t="s">
        <v>1302</v>
      </c>
      <c r="G1148" s="11">
        <v>0.55600000000000005</v>
      </c>
      <c r="H1148" s="5">
        <v>92.111000000000004</v>
      </c>
      <c r="I1148" s="8">
        <v>34</v>
      </c>
      <c r="J1148" s="8">
        <v>109</v>
      </c>
      <c r="K1148" s="8">
        <v>123</v>
      </c>
      <c r="L1148" s="8">
        <v>118</v>
      </c>
      <c r="M1148" t="s">
        <v>1306</v>
      </c>
      <c r="N1148" s="16" t="s">
        <v>23</v>
      </c>
      <c r="O1148" s="16" t="s">
        <v>22</v>
      </c>
      <c r="P1148" s="16" t="s">
        <v>28</v>
      </c>
      <c r="Q1148" s="10" t="s">
        <v>800</v>
      </c>
      <c r="R1148" s="3" t="str">
        <f t="shared" si="34"/>
        <v>113</v>
      </c>
      <c r="S1148" s="3" t="str">
        <f t="shared" si="35"/>
        <v>70</v>
      </c>
      <c r="T1148" s="16" t="s">
        <v>33</v>
      </c>
      <c r="U1148" s="3">
        <v>14.353</v>
      </c>
      <c r="V1148" s="16" t="str">
        <f>PROPER(Table1[[#This Row],[CVD Risk Level]])</f>
        <v>Low</v>
      </c>
    </row>
    <row r="1149" spans="1:22" x14ac:dyDescent="0.3">
      <c r="A1149" t="s">
        <v>20</v>
      </c>
      <c r="B1149" s="8">
        <v>47.025499655410059</v>
      </c>
      <c r="C1149" s="8">
        <v>104.46899999999999</v>
      </c>
      <c r="D1149" s="5">
        <v>1.9950000000000001</v>
      </c>
      <c r="E1149" s="5">
        <v>25.39</v>
      </c>
      <c r="F1149" s="16" t="s">
        <v>1303</v>
      </c>
      <c r="G1149" s="11">
        <v>0.436</v>
      </c>
      <c r="H1149" s="5">
        <v>86.894000000000005</v>
      </c>
      <c r="I1149" s="8">
        <v>82</v>
      </c>
      <c r="J1149" s="8">
        <v>147</v>
      </c>
      <c r="K1149" s="8">
        <v>458</v>
      </c>
      <c r="L1149" s="8">
        <v>175</v>
      </c>
      <c r="M1149" t="s">
        <v>1307</v>
      </c>
      <c r="N1149" s="16" t="s">
        <v>22</v>
      </c>
      <c r="O1149" s="16" t="s">
        <v>22</v>
      </c>
      <c r="P1149" s="16" t="s">
        <v>24</v>
      </c>
      <c r="Q1149" s="10" t="s">
        <v>982</v>
      </c>
      <c r="R1149" s="3" t="str">
        <f t="shared" si="34"/>
        <v>164</v>
      </c>
      <c r="S1149" s="3" t="str">
        <f t="shared" si="35"/>
        <v>90</v>
      </c>
      <c r="T1149" s="16" t="s">
        <v>38</v>
      </c>
      <c r="U1149" s="3">
        <v>18.457999999999998</v>
      </c>
      <c r="V1149" s="16" t="str">
        <f>PROPER(Table1[[#This Row],[CVD Risk Level]])</f>
        <v>High</v>
      </c>
    </row>
    <row r="1150" spans="1:22" x14ac:dyDescent="0.3">
      <c r="A1150" t="s">
        <v>20</v>
      </c>
      <c r="B1150" s="8">
        <v>36</v>
      </c>
      <c r="C1150" s="8">
        <v>113.298</v>
      </c>
      <c r="D1150" s="5">
        <v>1.5089999999999999</v>
      </c>
      <c r="E1150" s="5">
        <v>22.850999999999999</v>
      </c>
      <c r="F1150" s="16" t="s">
        <v>33</v>
      </c>
      <c r="G1150" s="11">
        <v>0.749</v>
      </c>
      <c r="H1150" s="5">
        <v>113.07</v>
      </c>
      <c r="I1150" s="8">
        <v>77</v>
      </c>
      <c r="J1150" s="8">
        <v>134</v>
      </c>
      <c r="K1150" s="8">
        <v>241</v>
      </c>
      <c r="L1150" s="8">
        <v>95</v>
      </c>
      <c r="M1150" t="s">
        <v>33</v>
      </c>
      <c r="N1150" s="16" t="s">
        <v>23</v>
      </c>
      <c r="O1150" s="16" t="s">
        <v>22</v>
      </c>
      <c r="P1150" s="16" t="s">
        <v>24</v>
      </c>
      <c r="Q1150" s="10" t="s">
        <v>983</v>
      </c>
      <c r="R1150" s="3" t="str">
        <f t="shared" si="34"/>
        <v>133</v>
      </c>
      <c r="S1150" s="3" t="str">
        <f t="shared" si="35"/>
        <v>115</v>
      </c>
      <c r="T1150" s="16" t="s">
        <v>29</v>
      </c>
      <c r="U1150" s="3">
        <v>16.04</v>
      </c>
      <c r="V1150" s="16" t="str">
        <f>PROPER(Table1[[#This Row],[CVD Risk Level]])</f>
        <v>Low</v>
      </c>
    </row>
    <row r="1151" spans="1:22" x14ac:dyDescent="0.3">
      <c r="A1151" t="s">
        <v>31</v>
      </c>
      <c r="B1151" s="8">
        <v>43</v>
      </c>
      <c r="C1151" s="8">
        <v>53.326999999999998</v>
      </c>
      <c r="D1151" s="5">
        <v>1.7050000000000001</v>
      </c>
      <c r="E1151" s="5">
        <v>34.231999999999999</v>
      </c>
      <c r="F1151" s="16" t="s">
        <v>1302</v>
      </c>
      <c r="G1151" s="11">
        <v>0.65600000000000003</v>
      </c>
      <c r="H1151" s="5">
        <v>111.739</v>
      </c>
      <c r="I1151" s="8">
        <v>82</v>
      </c>
      <c r="J1151" s="8">
        <v>175</v>
      </c>
      <c r="K1151" s="8">
        <v>287</v>
      </c>
      <c r="L1151" s="8">
        <v>140</v>
      </c>
      <c r="M1151" t="s">
        <v>1307</v>
      </c>
      <c r="N1151" s="16" t="s">
        <v>23</v>
      </c>
      <c r="O1151" s="16" t="s">
        <v>22</v>
      </c>
      <c r="P1151" s="16" t="s">
        <v>28</v>
      </c>
      <c r="Q1151" s="10" t="s">
        <v>984</v>
      </c>
      <c r="R1151" s="3" t="str">
        <f t="shared" si="34"/>
        <v>117</v>
      </c>
      <c r="S1151" s="3" t="str">
        <f t="shared" si="35"/>
        <v>116</v>
      </c>
      <c r="T1151" s="16" t="s">
        <v>38</v>
      </c>
      <c r="U1151" s="3">
        <v>18.436</v>
      </c>
      <c r="V1151" s="16" t="str">
        <f>PROPER(Table1[[#This Row],[CVD Risk Level]])</f>
        <v>High</v>
      </c>
    </row>
    <row r="1152" spans="1:22" x14ac:dyDescent="0.3">
      <c r="A1152" t="s">
        <v>31</v>
      </c>
      <c r="B1152" s="8">
        <v>30</v>
      </c>
      <c r="C1152" s="8">
        <v>58.401000000000003</v>
      </c>
      <c r="D1152" s="5">
        <v>1.998</v>
      </c>
      <c r="E1152" s="5">
        <v>30.402999999999999</v>
      </c>
      <c r="F1152" s="16" t="s">
        <v>1302</v>
      </c>
      <c r="G1152" s="11">
        <v>0.53</v>
      </c>
      <c r="H1152" s="5">
        <v>105.896</v>
      </c>
      <c r="I1152" s="8">
        <v>60</v>
      </c>
      <c r="J1152" s="8">
        <v>83</v>
      </c>
      <c r="K1152" s="8">
        <v>173</v>
      </c>
      <c r="L1152" s="8">
        <v>141</v>
      </c>
      <c r="M1152" t="s">
        <v>1307</v>
      </c>
      <c r="N1152" s="16" t="s">
        <v>23</v>
      </c>
      <c r="O1152" s="16" t="s">
        <v>23</v>
      </c>
      <c r="P1152" s="16" t="s">
        <v>24</v>
      </c>
      <c r="Q1152" s="10" t="s">
        <v>985</v>
      </c>
      <c r="R1152" s="3" t="str">
        <f t="shared" si="34"/>
        <v>154</v>
      </c>
      <c r="S1152" s="3" t="str">
        <f t="shared" si="35"/>
        <v>97</v>
      </c>
      <c r="T1152" s="16" t="s">
        <v>38</v>
      </c>
      <c r="U1152" s="3">
        <v>19.241</v>
      </c>
      <c r="V1152" s="16" t="str">
        <f>PROPER(Table1[[#This Row],[CVD Risk Level]])</f>
        <v>Intermediary</v>
      </c>
    </row>
    <row r="1153" spans="1:22" x14ac:dyDescent="0.3">
      <c r="A1153" t="s">
        <v>31</v>
      </c>
      <c r="B1153" s="8">
        <v>58</v>
      </c>
      <c r="C1153" s="8">
        <v>50.863999999999997</v>
      </c>
      <c r="D1153" s="5">
        <v>1.782</v>
      </c>
      <c r="E1153" s="5">
        <v>25.684999999999999</v>
      </c>
      <c r="F1153" s="16" t="s">
        <v>1303</v>
      </c>
      <c r="G1153" s="11">
        <v>0.67200000000000004</v>
      </c>
      <c r="H1153" s="5">
        <v>119.736</v>
      </c>
      <c r="I1153" s="8">
        <v>37</v>
      </c>
      <c r="J1153" s="8">
        <v>206</v>
      </c>
      <c r="K1153" s="8">
        <v>273</v>
      </c>
      <c r="L1153" s="8">
        <v>108</v>
      </c>
      <c r="M1153" t="s">
        <v>1306</v>
      </c>
      <c r="N1153" s="16" t="s">
        <v>22</v>
      </c>
      <c r="O1153" s="16" t="s">
        <v>23</v>
      </c>
      <c r="P1153" s="16" t="s">
        <v>28</v>
      </c>
      <c r="Q1153" s="10" t="s">
        <v>919</v>
      </c>
      <c r="R1153" s="3" t="str">
        <f t="shared" si="34"/>
        <v>117</v>
      </c>
      <c r="S1153" s="3" t="str">
        <f t="shared" si="35"/>
        <v>108</v>
      </c>
      <c r="T1153" s="16" t="s">
        <v>38</v>
      </c>
      <c r="U1153" s="3">
        <v>18.446999999999999</v>
      </c>
      <c r="V1153" s="16" t="str">
        <f>PROPER(Table1[[#This Row],[CVD Risk Level]])</f>
        <v>High</v>
      </c>
    </row>
    <row r="1154" spans="1:22" x14ac:dyDescent="0.3">
      <c r="A1154" t="s">
        <v>31</v>
      </c>
      <c r="B1154" s="8">
        <v>76</v>
      </c>
      <c r="C1154" s="8">
        <v>56.93</v>
      </c>
      <c r="D1154" s="5">
        <v>1.95</v>
      </c>
      <c r="E1154" s="5">
        <v>25.27</v>
      </c>
      <c r="F1154" s="16" t="s">
        <v>1303</v>
      </c>
      <c r="G1154" s="11">
        <v>0.45300000000000001</v>
      </c>
      <c r="H1154" s="5">
        <v>88.361000000000004</v>
      </c>
      <c r="I1154" s="8">
        <v>44</v>
      </c>
      <c r="J1154" s="8">
        <v>113</v>
      </c>
      <c r="K1154" s="8">
        <v>314</v>
      </c>
      <c r="L1154" s="8">
        <v>115</v>
      </c>
      <c r="M1154" t="s">
        <v>1306</v>
      </c>
      <c r="N1154" s="16" t="s">
        <v>22</v>
      </c>
      <c r="O1154" s="16" t="s">
        <v>23</v>
      </c>
      <c r="P1154" s="16" t="s">
        <v>24</v>
      </c>
      <c r="Q1154" s="10" t="s">
        <v>986</v>
      </c>
      <c r="R1154" s="3" t="str">
        <f t="shared" si="34"/>
        <v>110</v>
      </c>
      <c r="S1154" s="3" t="str">
        <f t="shared" si="35"/>
        <v>67</v>
      </c>
      <c r="T1154" s="16" t="s">
        <v>33</v>
      </c>
      <c r="U1154" s="3">
        <v>16.294</v>
      </c>
      <c r="V1154" s="16" t="str">
        <f>PROPER(Table1[[#This Row],[CVD Risk Level]])</f>
        <v>Intermediary</v>
      </c>
    </row>
    <row r="1155" spans="1:22" x14ac:dyDescent="0.3">
      <c r="A1155" t="s">
        <v>20</v>
      </c>
      <c r="B1155" s="8">
        <v>50</v>
      </c>
      <c r="C1155" s="8">
        <v>69.123000000000005</v>
      </c>
      <c r="D1155" s="5">
        <v>1.5820000000000001</v>
      </c>
      <c r="E1155" s="5">
        <v>35.716000000000001</v>
      </c>
      <c r="F1155" s="16" t="s">
        <v>1302</v>
      </c>
      <c r="G1155" s="11">
        <v>0.52300000000000002</v>
      </c>
      <c r="H1155" s="5">
        <v>82.75</v>
      </c>
      <c r="I1155" s="8">
        <v>75</v>
      </c>
      <c r="J1155" s="8">
        <v>146</v>
      </c>
      <c r="K1155" s="8">
        <v>251</v>
      </c>
      <c r="L1155" s="8">
        <v>117.48563611491107</v>
      </c>
      <c r="M1155" t="s">
        <v>1306</v>
      </c>
      <c r="N1155" s="16" t="s">
        <v>23</v>
      </c>
      <c r="O1155" s="16" t="s">
        <v>22</v>
      </c>
      <c r="P1155" s="16" t="s">
        <v>28</v>
      </c>
      <c r="Q1155" s="10" t="s">
        <v>987</v>
      </c>
      <c r="R1155" s="3" t="str">
        <f t="shared" ref="R1155:R1218" si="36">LEFT(Q1155,FIND("/",Q1155)-1)</f>
        <v>175</v>
      </c>
      <c r="S1155" s="3" t="str">
        <f t="shared" ref="S1155:S1218" si="37">RIGHT(Q1155,LEN(Q1155)-FIND("/",Q1155))</f>
        <v>98</v>
      </c>
      <c r="T1155" s="16" t="s">
        <v>38</v>
      </c>
      <c r="U1155" s="3">
        <v>20.913</v>
      </c>
      <c r="V1155" s="16" t="str">
        <f>PROPER(Table1[[#This Row],[CVD Risk Level]])</f>
        <v>High</v>
      </c>
    </row>
    <row r="1156" spans="1:22" x14ac:dyDescent="0.3">
      <c r="A1156" t="s">
        <v>31</v>
      </c>
      <c r="B1156" s="8">
        <v>50</v>
      </c>
      <c r="C1156" s="8">
        <v>110.31699999999999</v>
      </c>
      <c r="D1156" s="5">
        <v>1.8520000000000001</v>
      </c>
      <c r="E1156" s="5">
        <v>33.401000000000003</v>
      </c>
      <c r="F1156" s="16" t="s">
        <v>1302</v>
      </c>
      <c r="G1156" s="11">
        <v>0.54</v>
      </c>
      <c r="H1156" s="5">
        <v>100.033</v>
      </c>
      <c r="I1156" s="8">
        <v>87</v>
      </c>
      <c r="J1156" s="8">
        <v>158</v>
      </c>
      <c r="K1156" s="8">
        <v>490</v>
      </c>
      <c r="L1156" s="8">
        <v>180</v>
      </c>
      <c r="M1156" t="s">
        <v>1307</v>
      </c>
      <c r="N1156" s="16" t="s">
        <v>22</v>
      </c>
      <c r="O1156" s="16" t="s">
        <v>23</v>
      </c>
      <c r="P1156" s="16" t="s">
        <v>28</v>
      </c>
      <c r="Q1156" s="10" t="s">
        <v>988</v>
      </c>
      <c r="R1156" s="3" t="str">
        <f t="shared" si="36"/>
        <v>110</v>
      </c>
      <c r="S1156" s="3" t="str">
        <f t="shared" si="37"/>
        <v>90</v>
      </c>
      <c r="T1156" s="16" t="s">
        <v>38</v>
      </c>
      <c r="U1156" s="3">
        <v>19.68</v>
      </c>
      <c r="V1156" s="16" t="str">
        <f>PROPER(Table1[[#This Row],[CVD Risk Level]])</f>
        <v>Intermediary</v>
      </c>
    </row>
    <row r="1157" spans="1:22" x14ac:dyDescent="0.3">
      <c r="A1157" t="s">
        <v>20</v>
      </c>
      <c r="B1157" s="8">
        <v>29</v>
      </c>
      <c r="C1157" s="8">
        <v>64.171999999999997</v>
      </c>
      <c r="D1157" s="5">
        <v>1.6779999999999999</v>
      </c>
      <c r="E1157" s="5">
        <v>20.372</v>
      </c>
      <c r="F1157" s="16" t="s">
        <v>33</v>
      </c>
      <c r="G1157" s="11">
        <v>0.59899999999999998</v>
      </c>
      <c r="H1157" s="5">
        <v>100.568</v>
      </c>
      <c r="I1157" s="8">
        <v>78</v>
      </c>
      <c r="J1157" s="8">
        <v>109</v>
      </c>
      <c r="K1157" s="8">
        <v>225</v>
      </c>
      <c r="L1157" s="8">
        <v>140</v>
      </c>
      <c r="M1157" t="s">
        <v>1307</v>
      </c>
      <c r="N1157" s="16" t="s">
        <v>23</v>
      </c>
      <c r="O1157" s="16" t="s">
        <v>22</v>
      </c>
      <c r="P1157" s="16" t="s">
        <v>28</v>
      </c>
      <c r="Q1157" s="10" t="s">
        <v>989</v>
      </c>
      <c r="R1157" s="3" t="str">
        <f t="shared" si="36"/>
        <v>146</v>
      </c>
      <c r="S1157" s="3" t="str">
        <f t="shared" si="37"/>
        <v>96</v>
      </c>
      <c r="T1157" s="16" t="s">
        <v>38</v>
      </c>
      <c r="U1157" s="3">
        <v>15.874000000000001</v>
      </c>
      <c r="V1157" s="16" t="str">
        <f>PROPER(Table1[[#This Row],[CVD Risk Level]])</f>
        <v>Low</v>
      </c>
    </row>
    <row r="1158" spans="1:22" x14ac:dyDescent="0.3">
      <c r="A1158" t="s">
        <v>31</v>
      </c>
      <c r="B1158" s="8">
        <v>46</v>
      </c>
      <c r="C1158" s="8">
        <v>113.143</v>
      </c>
      <c r="D1158" s="5">
        <v>1.518</v>
      </c>
      <c r="E1158" s="5">
        <v>25.745000000000001</v>
      </c>
      <c r="F1158" s="16" t="s">
        <v>1303</v>
      </c>
      <c r="G1158" s="11">
        <v>0.64200000000000002</v>
      </c>
      <c r="H1158" s="5">
        <v>97.483000000000004</v>
      </c>
      <c r="I1158" s="8">
        <v>54</v>
      </c>
      <c r="J1158" s="8">
        <v>66</v>
      </c>
      <c r="K1158" s="8">
        <v>150</v>
      </c>
      <c r="L1158" s="8">
        <v>133</v>
      </c>
      <c r="M1158" t="s">
        <v>1307</v>
      </c>
      <c r="N1158" s="16" t="s">
        <v>23</v>
      </c>
      <c r="O1158" s="16" t="s">
        <v>23</v>
      </c>
      <c r="P1158" s="16" t="s">
        <v>24</v>
      </c>
      <c r="Q1158" s="10" t="s">
        <v>803</v>
      </c>
      <c r="R1158" s="3" t="str">
        <f t="shared" si="36"/>
        <v>133</v>
      </c>
      <c r="S1158" s="3" t="str">
        <f t="shared" si="37"/>
        <v>95</v>
      </c>
      <c r="T1158" s="16" t="s">
        <v>29</v>
      </c>
      <c r="U1158" s="3">
        <v>16.798999999999999</v>
      </c>
      <c r="V1158" s="16" t="str">
        <f>PROPER(Table1[[#This Row],[CVD Risk Level]])</f>
        <v>High</v>
      </c>
    </row>
    <row r="1159" spans="1:22" x14ac:dyDescent="0.3">
      <c r="A1159" t="s">
        <v>31</v>
      </c>
      <c r="B1159" s="8">
        <v>53</v>
      </c>
      <c r="C1159" s="8">
        <v>68.763999999999996</v>
      </c>
      <c r="D1159" s="5">
        <v>1.742</v>
      </c>
      <c r="E1159" s="5">
        <v>34.994</v>
      </c>
      <c r="F1159" s="16" t="s">
        <v>1302</v>
      </c>
      <c r="G1159" s="11">
        <v>0.54200000000000004</v>
      </c>
      <c r="H1159" s="5">
        <v>94.353999999999999</v>
      </c>
      <c r="I1159" s="8">
        <v>43</v>
      </c>
      <c r="J1159" s="8">
        <v>188</v>
      </c>
      <c r="K1159" s="8">
        <v>261</v>
      </c>
      <c r="L1159" s="8">
        <v>78</v>
      </c>
      <c r="M1159" t="s">
        <v>33</v>
      </c>
      <c r="N1159" s="16" t="s">
        <v>22</v>
      </c>
      <c r="O1159" s="16" t="s">
        <v>22</v>
      </c>
      <c r="P1159" s="16" t="s">
        <v>37</v>
      </c>
      <c r="Q1159" s="10" t="s">
        <v>990</v>
      </c>
      <c r="R1159" s="3" t="str">
        <f t="shared" si="36"/>
        <v>156</v>
      </c>
      <c r="S1159" s="3" t="str">
        <f t="shared" si="37"/>
        <v>64</v>
      </c>
      <c r="T1159" s="16" t="s">
        <v>38</v>
      </c>
      <c r="U1159" s="3">
        <v>20.018999999999998</v>
      </c>
      <c r="V1159" s="16" t="str">
        <f>PROPER(Table1[[#This Row],[CVD Risk Level]])</f>
        <v>Low</v>
      </c>
    </row>
    <row r="1160" spans="1:22" x14ac:dyDescent="0.3">
      <c r="A1160" t="s">
        <v>31</v>
      </c>
      <c r="B1160" s="8">
        <v>74</v>
      </c>
      <c r="C1160" s="8">
        <v>51.857999999999997</v>
      </c>
      <c r="D1160" s="5">
        <v>1.6080000000000001</v>
      </c>
      <c r="E1160" s="5">
        <v>33.293999999999997</v>
      </c>
      <c r="F1160" s="16" t="s">
        <v>1302</v>
      </c>
      <c r="G1160" s="11">
        <v>0.44500000000000001</v>
      </c>
      <c r="H1160" s="5">
        <v>71.58</v>
      </c>
      <c r="I1160" s="8">
        <v>60</v>
      </c>
      <c r="J1160" s="8">
        <v>34</v>
      </c>
      <c r="K1160" s="8">
        <v>124</v>
      </c>
      <c r="L1160" s="8">
        <v>135</v>
      </c>
      <c r="M1160" t="s">
        <v>1307</v>
      </c>
      <c r="N1160" s="16" t="s">
        <v>23</v>
      </c>
      <c r="O1160" s="16" t="s">
        <v>23</v>
      </c>
      <c r="P1160" s="16" t="s">
        <v>37</v>
      </c>
      <c r="Q1160" s="10" t="s">
        <v>991</v>
      </c>
      <c r="R1160" s="3" t="str">
        <f t="shared" si="36"/>
        <v>99</v>
      </c>
      <c r="S1160" s="3" t="str">
        <f t="shared" si="37"/>
        <v>78</v>
      </c>
      <c r="T1160" s="16" t="s">
        <v>33</v>
      </c>
      <c r="U1160" s="3">
        <v>16.088999999999999</v>
      </c>
      <c r="V1160" s="16" t="str">
        <f>PROPER(Table1[[#This Row],[CVD Risk Level]])</f>
        <v>Low</v>
      </c>
    </row>
    <row r="1161" spans="1:22" x14ac:dyDescent="0.3">
      <c r="A1161" t="s">
        <v>31</v>
      </c>
      <c r="B1161" s="8">
        <v>63</v>
      </c>
      <c r="C1161" s="8">
        <v>72.349999999999994</v>
      </c>
      <c r="D1161" s="5">
        <v>1.738</v>
      </c>
      <c r="E1161" s="5">
        <v>37.643999999999998</v>
      </c>
      <c r="F1161" s="16" t="s">
        <v>1302</v>
      </c>
      <c r="G1161" s="11">
        <v>0.42299999999999999</v>
      </c>
      <c r="H1161" s="5">
        <v>73.531000000000006</v>
      </c>
      <c r="I1161" s="8">
        <v>41</v>
      </c>
      <c r="J1161" s="8">
        <v>96</v>
      </c>
      <c r="K1161" s="8">
        <v>274</v>
      </c>
      <c r="L1161" s="8">
        <v>76</v>
      </c>
      <c r="M1161" t="s">
        <v>33</v>
      </c>
      <c r="N1161" s="16" t="s">
        <v>23</v>
      </c>
      <c r="O1161" s="16" t="s">
        <v>22</v>
      </c>
      <c r="P1161" s="16" t="s">
        <v>37</v>
      </c>
      <c r="Q1161" s="10" t="s">
        <v>992</v>
      </c>
      <c r="R1161" s="3" t="str">
        <f t="shared" si="36"/>
        <v>145</v>
      </c>
      <c r="S1161" s="3" t="str">
        <f t="shared" si="37"/>
        <v>103</v>
      </c>
      <c r="T1161" s="16" t="s">
        <v>38</v>
      </c>
      <c r="U1161" s="3">
        <v>18.119</v>
      </c>
      <c r="V1161" s="16" t="str">
        <f>PROPER(Table1[[#This Row],[CVD Risk Level]])</f>
        <v>Intermediary</v>
      </c>
    </row>
    <row r="1162" spans="1:22" x14ac:dyDescent="0.3">
      <c r="A1162" t="s">
        <v>31</v>
      </c>
      <c r="B1162" s="8">
        <v>76</v>
      </c>
      <c r="C1162" s="8">
        <v>100.935</v>
      </c>
      <c r="D1162" s="5">
        <v>1.512</v>
      </c>
      <c r="E1162" s="5">
        <v>32.673000000000002</v>
      </c>
      <c r="F1162" s="16" t="s">
        <v>1302</v>
      </c>
      <c r="G1162" s="11">
        <v>0.53400000000000003</v>
      </c>
      <c r="H1162" s="5">
        <v>80.738</v>
      </c>
      <c r="I1162" s="8">
        <v>30</v>
      </c>
      <c r="J1162" s="8">
        <v>46</v>
      </c>
      <c r="K1162" s="8">
        <v>106</v>
      </c>
      <c r="L1162" s="8">
        <v>191</v>
      </c>
      <c r="M1162" t="s">
        <v>1307</v>
      </c>
      <c r="N1162" s="16" t="s">
        <v>23</v>
      </c>
      <c r="O1162" s="16" t="s">
        <v>23</v>
      </c>
      <c r="P1162" s="16" t="s">
        <v>37</v>
      </c>
      <c r="Q1162" s="10" t="s">
        <v>993</v>
      </c>
      <c r="R1162" s="3" t="str">
        <f t="shared" si="36"/>
        <v>151</v>
      </c>
      <c r="S1162" s="3" t="str">
        <f t="shared" si="37"/>
        <v>78</v>
      </c>
      <c r="T1162" s="16" t="s">
        <v>38</v>
      </c>
      <c r="U1162" s="3">
        <v>18.204999999999998</v>
      </c>
      <c r="V1162" s="16" t="str">
        <f>PROPER(Table1[[#This Row],[CVD Risk Level]])</f>
        <v>Low</v>
      </c>
    </row>
    <row r="1163" spans="1:22" x14ac:dyDescent="0.3">
      <c r="A1163" t="s">
        <v>31</v>
      </c>
      <c r="B1163" s="8">
        <v>31</v>
      </c>
      <c r="C1163" s="8">
        <v>60.392000000000003</v>
      </c>
      <c r="D1163" s="5">
        <v>1.589</v>
      </c>
      <c r="E1163" s="5">
        <v>35.881</v>
      </c>
      <c r="F1163" s="16" t="s">
        <v>1302</v>
      </c>
      <c r="G1163" s="11">
        <v>0.67300000000000004</v>
      </c>
      <c r="H1163" s="5">
        <v>106.985</v>
      </c>
      <c r="I1163" s="8">
        <v>87</v>
      </c>
      <c r="J1163" s="8">
        <v>37</v>
      </c>
      <c r="K1163" s="8">
        <v>154</v>
      </c>
      <c r="L1163" s="8">
        <v>124</v>
      </c>
      <c r="M1163" t="s">
        <v>1306</v>
      </c>
      <c r="N1163" s="16" t="s">
        <v>22</v>
      </c>
      <c r="O1163" s="16" t="s">
        <v>23</v>
      </c>
      <c r="P1163" s="16" t="s">
        <v>28</v>
      </c>
      <c r="Q1163" s="10" t="s">
        <v>994</v>
      </c>
      <c r="R1163" s="3" t="str">
        <f t="shared" si="36"/>
        <v>155</v>
      </c>
      <c r="S1163" s="3" t="str">
        <f t="shared" si="37"/>
        <v>81</v>
      </c>
      <c r="T1163" s="16" t="s">
        <v>29</v>
      </c>
      <c r="U1163" s="3">
        <v>20.006</v>
      </c>
      <c r="V1163" s="16" t="str">
        <f>PROPER(Table1[[#This Row],[CVD Risk Level]])</f>
        <v>Intermediary</v>
      </c>
    </row>
    <row r="1164" spans="1:22" x14ac:dyDescent="0.3">
      <c r="A1164" t="s">
        <v>20</v>
      </c>
      <c r="B1164" s="8">
        <v>59</v>
      </c>
      <c r="C1164" s="8">
        <v>86.528999999999996</v>
      </c>
      <c r="D1164" s="5">
        <v>1.8140000000000001</v>
      </c>
      <c r="E1164" s="5">
        <v>27.254000000000001</v>
      </c>
      <c r="F1164" s="16" t="s">
        <v>1303</v>
      </c>
      <c r="G1164" s="11">
        <v>0.61099999999999999</v>
      </c>
      <c r="H1164" s="5">
        <v>110.922</v>
      </c>
      <c r="I1164" s="8">
        <v>37</v>
      </c>
      <c r="J1164" s="8">
        <v>220</v>
      </c>
      <c r="K1164" s="8">
        <v>287</v>
      </c>
      <c r="L1164" s="8">
        <v>117.48563611491107</v>
      </c>
      <c r="M1164" t="s">
        <v>1306</v>
      </c>
      <c r="N1164" s="16" t="s">
        <v>23</v>
      </c>
      <c r="O1164" s="16" t="s">
        <v>22</v>
      </c>
      <c r="P1164" s="16" t="s">
        <v>28</v>
      </c>
      <c r="Q1164" s="10" t="s">
        <v>995</v>
      </c>
      <c r="R1164" s="3" t="str">
        <f t="shared" si="36"/>
        <v>151</v>
      </c>
      <c r="S1164" s="3" t="str">
        <f t="shared" si="37"/>
        <v>90</v>
      </c>
      <c r="T1164" s="16" t="s">
        <v>38</v>
      </c>
      <c r="U1164" s="3">
        <v>18.741</v>
      </c>
      <c r="V1164" s="16" t="str">
        <f>PROPER(Table1[[#This Row],[CVD Risk Level]])</f>
        <v>Low</v>
      </c>
    </row>
    <row r="1165" spans="1:22" x14ac:dyDescent="0.3">
      <c r="A1165" t="s">
        <v>31</v>
      </c>
      <c r="B1165" s="8">
        <v>48</v>
      </c>
      <c r="C1165" s="8">
        <v>56.454000000000001</v>
      </c>
      <c r="D1165" s="5">
        <v>1.9319999999999999</v>
      </c>
      <c r="E1165" s="5">
        <v>18.731000000000002</v>
      </c>
      <c r="F1165" s="16" t="s">
        <v>33</v>
      </c>
      <c r="G1165" s="11">
        <v>0.376</v>
      </c>
      <c r="H1165" s="5">
        <v>72.643199999999993</v>
      </c>
      <c r="I1165" s="8">
        <v>39</v>
      </c>
      <c r="J1165" s="8">
        <v>109</v>
      </c>
      <c r="K1165" s="8">
        <v>278</v>
      </c>
      <c r="L1165" s="8">
        <v>117.48563611491107</v>
      </c>
      <c r="M1165" t="s">
        <v>1306</v>
      </c>
      <c r="N1165" s="16" t="s">
        <v>23</v>
      </c>
      <c r="O1165" s="16" t="s">
        <v>22</v>
      </c>
      <c r="P1165" s="16" t="s">
        <v>37</v>
      </c>
      <c r="Q1165" s="10" t="s">
        <v>996</v>
      </c>
      <c r="R1165" s="3" t="str">
        <f t="shared" si="36"/>
        <v>173</v>
      </c>
      <c r="S1165" s="3" t="str">
        <f t="shared" si="37"/>
        <v>109</v>
      </c>
      <c r="T1165" s="16" t="s">
        <v>38</v>
      </c>
      <c r="U1165" s="3">
        <v>17.956</v>
      </c>
      <c r="V1165" s="16" t="str">
        <f>PROPER(Table1[[#This Row],[CVD Risk Level]])</f>
        <v>Intermediary</v>
      </c>
    </row>
    <row r="1166" spans="1:22" x14ac:dyDescent="0.3">
      <c r="A1166" t="s">
        <v>31</v>
      </c>
      <c r="B1166" s="8">
        <v>25</v>
      </c>
      <c r="C1166" s="8">
        <v>114.988</v>
      </c>
      <c r="D1166" s="5">
        <v>1.978</v>
      </c>
      <c r="E1166" s="5">
        <v>25.492000000000001</v>
      </c>
      <c r="F1166" s="16" t="s">
        <v>1303</v>
      </c>
      <c r="G1166" s="11">
        <v>0.60665318503538923</v>
      </c>
      <c r="H1166" s="5">
        <v>119.996</v>
      </c>
      <c r="I1166" s="8">
        <v>67</v>
      </c>
      <c r="J1166" s="8">
        <v>35</v>
      </c>
      <c r="K1166" s="8">
        <v>132</v>
      </c>
      <c r="L1166" s="8">
        <v>148</v>
      </c>
      <c r="M1166" t="s">
        <v>1307</v>
      </c>
      <c r="N1166" s="16" t="s">
        <v>23</v>
      </c>
      <c r="O1166" s="16" t="s">
        <v>22</v>
      </c>
      <c r="P1166" s="16" t="s">
        <v>24</v>
      </c>
      <c r="Q1166" s="10" t="s">
        <v>997</v>
      </c>
      <c r="R1166" s="3" t="str">
        <f t="shared" si="36"/>
        <v>136</v>
      </c>
      <c r="S1166" s="3" t="str">
        <f t="shared" si="37"/>
        <v>72</v>
      </c>
      <c r="T1166" s="16" t="s">
        <v>29</v>
      </c>
      <c r="U1166" s="3">
        <v>14.538</v>
      </c>
      <c r="V1166" s="16" t="str">
        <f>PROPER(Table1[[#This Row],[CVD Risk Level]])</f>
        <v>High</v>
      </c>
    </row>
    <row r="1167" spans="1:22" x14ac:dyDescent="0.3">
      <c r="A1167" t="s">
        <v>31</v>
      </c>
      <c r="B1167" s="8">
        <v>67</v>
      </c>
      <c r="C1167" s="8">
        <v>103.637</v>
      </c>
      <c r="D1167" s="5">
        <v>1.7170000000000001</v>
      </c>
      <c r="E1167" s="5">
        <v>34.828000000000003</v>
      </c>
      <c r="F1167" s="16" t="s">
        <v>1302</v>
      </c>
      <c r="G1167" s="11">
        <v>0.58099999999999996</v>
      </c>
      <c r="H1167" s="5">
        <v>99.754999999999995</v>
      </c>
      <c r="I1167" s="8">
        <v>42</v>
      </c>
      <c r="J1167" s="8">
        <v>148</v>
      </c>
      <c r="K1167" s="8">
        <v>380</v>
      </c>
      <c r="L1167" s="8">
        <v>175</v>
      </c>
      <c r="M1167" t="s">
        <v>1307</v>
      </c>
      <c r="N1167" s="16" t="s">
        <v>23</v>
      </c>
      <c r="O1167" s="16" t="s">
        <v>23</v>
      </c>
      <c r="P1167" s="16" t="s">
        <v>37</v>
      </c>
      <c r="Q1167" s="10" t="s">
        <v>998</v>
      </c>
      <c r="R1167" s="3" t="str">
        <f t="shared" si="36"/>
        <v>128</v>
      </c>
      <c r="S1167" s="3" t="str">
        <f t="shared" si="37"/>
        <v>61</v>
      </c>
      <c r="T1167" s="16" t="s">
        <v>25</v>
      </c>
      <c r="U1167" s="3">
        <v>19.765999999999998</v>
      </c>
      <c r="V1167" s="16" t="str">
        <f>PROPER(Table1[[#This Row],[CVD Risk Level]])</f>
        <v>High</v>
      </c>
    </row>
    <row r="1168" spans="1:22" x14ac:dyDescent="0.3">
      <c r="A1168" t="s">
        <v>20</v>
      </c>
      <c r="B1168" s="8">
        <v>29</v>
      </c>
      <c r="C1168" s="8">
        <v>115.58199999999999</v>
      </c>
      <c r="D1168" s="5">
        <v>1.972</v>
      </c>
      <c r="E1168" s="5">
        <v>25.184999999999999</v>
      </c>
      <c r="F1168" s="16" t="s">
        <v>1303</v>
      </c>
      <c r="G1168" s="11">
        <v>0.56000000000000005</v>
      </c>
      <c r="H1168" s="5">
        <v>110.35899999999999</v>
      </c>
      <c r="I1168" s="8">
        <v>44</v>
      </c>
      <c r="J1168" s="8">
        <v>48</v>
      </c>
      <c r="K1168" s="8">
        <v>122</v>
      </c>
      <c r="L1168" s="8">
        <v>137</v>
      </c>
      <c r="M1168" t="s">
        <v>1307</v>
      </c>
      <c r="N1168" s="16" t="s">
        <v>23</v>
      </c>
      <c r="O1168" s="16" t="s">
        <v>23</v>
      </c>
      <c r="P1168" s="16" t="s">
        <v>28</v>
      </c>
      <c r="Q1168" s="10" t="s">
        <v>999</v>
      </c>
      <c r="R1168" s="3" t="str">
        <f t="shared" si="36"/>
        <v>158</v>
      </c>
      <c r="S1168" s="3" t="str">
        <f t="shared" si="37"/>
        <v>84</v>
      </c>
      <c r="T1168" s="16" t="s">
        <v>29</v>
      </c>
      <c r="U1168" s="3">
        <v>17.376999999999999</v>
      </c>
      <c r="V1168" s="16" t="str">
        <f>PROPER(Table1[[#This Row],[CVD Risk Level]])</f>
        <v>Intermediary</v>
      </c>
    </row>
    <row r="1169" spans="1:22" x14ac:dyDescent="0.3">
      <c r="A1169" t="s">
        <v>20</v>
      </c>
      <c r="B1169" s="8">
        <v>47.025499655410059</v>
      </c>
      <c r="C1169" s="8">
        <v>102.002</v>
      </c>
      <c r="D1169" s="5">
        <v>1.9470000000000001</v>
      </c>
      <c r="E1169" s="5">
        <v>31.382999999999999</v>
      </c>
      <c r="F1169" s="16" t="s">
        <v>1302</v>
      </c>
      <c r="G1169" s="11">
        <v>0.56499999999999995</v>
      </c>
      <c r="H1169" s="5">
        <v>110.059</v>
      </c>
      <c r="I1169" s="8">
        <v>76</v>
      </c>
      <c r="J1169" s="8">
        <v>55</v>
      </c>
      <c r="K1169" s="8">
        <v>161</v>
      </c>
      <c r="L1169" s="8">
        <v>100</v>
      </c>
      <c r="M1169" t="s">
        <v>1306</v>
      </c>
      <c r="N1169" s="16" t="s">
        <v>22</v>
      </c>
      <c r="O1169" s="16" t="s">
        <v>22</v>
      </c>
      <c r="P1169" s="16" t="s">
        <v>24</v>
      </c>
      <c r="Q1169" s="10" t="s">
        <v>1000</v>
      </c>
      <c r="R1169" s="3" t="str">
        <f t="shared" si="36"/>
        <v>136</v>
      </c>
      <c r="S1169" s="3" t="str">
        <f t="shared" si="37"/>
        <v>112</v>
      </c>
      <c r="T1169" s="16" t="s">
        <v>29</v>
      </c>
      <c r="U1169" s="3">
        <v>16.297000000000001</v>
      </c>
      <c r="V1169" s="16" t="str">
        <f>PROPER(Table1[[#This Row],[CVD Risk Level]])</f>
        <v>Intermediary</v>
      </c>
    </row>
    <row r="1170" spans="1:22" x14ac:dyDescent="0.3">
      <c r="A1170" t="s">
        <v>31</v>
      </c>
      <c r="B1170" s="8">
        <v>66</v>
      </c>
      <c r="C1170" s="8">
        <v>101.774</v>
      </c>
      <c r="D1170" s="5">
        <v>1.5760000000000001</v>
      </c>
      <c r="E1170" s="5">
        <v>24.568000000000001</v>
      </c>
      <c r="F1170" s="16" t="s">
        <v>33</v>
      </c>
      <c r="G1170" s="11">
        <v>0.56100000000000005</v>
      </c>
      <c r="H1170" s="5">
        <v>88.424999999999997</v>
      </c>
      <c r="I1170" s="8">
        <v>58</v>
      </c>
      <c r="J1170" s="8">
        <v>166</v>
      </c>
      <c r="K1170" s="8">
        <v>254</v>
      </c>
      <c r="L1170" s="8">
        <v>150</v>
      </c>
      <c r="M1170" t="s">
        <v>1307</v>
      </c>
      <c r="N1170" s="16" t="s">
        <v>22</v>
      </c>
      <c r="O1170" s="16" t="s">
        <v>23</v>
      </c>
      <c r="P1170" s="16" t="s">
        <v>37</v>
      </c>
      <c r="Q1170" s="10" t="s">
        <v>1001</v>
      </c>
      <c r="R1170" s="3" t="str">
        <f t="shared" si="36"/>
        <v>95</v>
      </c>
      <c r="S1170" s="3" t="str">
        <f t="shared" si="37"/>
        <v>105</v>
      </c>
      <c r="T1170" s="16" t="s">
        <v>38</v>
      </c>
      <c r="U1170" s="3">
        <v>16.744</v>
      </c>
      <c r="V1170" s="16" t="str">
        <f>PROPER(Table1[[#This Row],[CVD Risk Level]])</f>
        <v>Intermediary</v>
      </c>
    </row>
    <row r="1171" spans="1:22" x14ac:dyDescent="0.3">
      <c r="A1171" t="s">
        <v>20</v>
      </c>
      <c r="B1171" s="8">
        <v>79</v>
      </c>
      <c r="C1171" s="8">
        <v>105.30200000000001</v>
      </c>
      <c r="D1171" s="5">
        <v>1.5429999999999999</v>
      </c>
      <c r="E1171" s="5">
        <v>34.625</v>
      </c>
      <c r="F1171" s="16" t="s">
        <v>1302</v>
      </c>
      <c r="G1171" s="11">
        <v>0.73699999999999999</v>
      </c>
      <c r="H1171" s="5">
        <v>113.675</v>
      </c>
      <c r="I1171" s="8">
        <v>55</v>
      </c>
      <c r="J1171" s="8">
        <v>109</v>
      </c>
      <c r="K1171" s="8">
        <v>272</v>
      </c>
      <c r="L1171" s="8">
        <v>117</v>
      </c>
      <c r="M1171" t="s">
        <v>1306</v>
      </c>
      <c r="N1171" s="16" t="s">
        <v>22</v>
      </c>
      <c r="O1171" s="16" t="s">
        <v>22</v>
      </c>
      <c r="P1171" s="16" t="s">
        <v>37</v>
      </c>
      <c r="Q1171" s="10" t="s">
        <v>1002</v>
      </c>
      <c r="R1171" s="3" t="str">
        <f t="shared" si="36"/>
        <v>141</v>
      </c>
      <c r="S1171" s="3" t="str">
        <f t="shared" si="37"/>
        <v>87</v>
      </c>
      <c r="T1171" s="16" t="s">
        <v>29</v>
      </c>
      <c r="U1171" s="3">
        <v>19.414999999999999</v>
      </c>
      <c r="V1171" s="16" t="str">
        <f>PROPER(Table1[[#This Row],[CVD Risk Level]])</f>
        <v>Intermediary</v>
      </c>
    </row>
    <row r="1172" spans="1:22" x14ac:dyDescent="0.3">
      <c r="A1172" t="s">
        <v>31</v>
      </c>
      <c r="B1172" s="8">
        <v>42</v>
      </c>
      <c r="C1172" s="8">
        <v>100.479</v>
      </c>
      <c r="D1172" s="5">
        <v>1.9690000000000001</v>
      </c>
      <c r="E1172" s="5">
        <v>33.57</v>
      </c>
      <c r="F1172" s="16" t="s">
        <v>1302</v>
      </c>
      <c r="G1172" s="11">
        <v>0.435</v>
      </c>
      <c r="H1172" s="5">
        <v>85.733999999999995</v>
      </c>
      <c r="I1172" s="8">
        <v>89</v>
      </c>
      <c r="J1172" s="8">
        <v>174</v>
      </c>
      <c r="K1172" s="8">
        <v>293</v>
      </c>
      <c r="L1172" s="8">
        <v>95</v>
      </c>
      <c r="M1172" t="s">
        <v>33</v>
      </c>
      <c r="N1172" s="16" t="s">
        <v>23</v>
      </c>
      <c r="O1172" s="16" t="s">
        <v>23</v>
      </c>
      <c r="P1172" s="16" t="s">
        <v>28</v>
      </c>
      <c r="Q1172" s="10" t="s">
        <v>1003</v>
      </c>
      <c r="R1172" s="3" t="str">
        <f t="shared" si="36"/>
        <v>103</v>
      </c>
      <c r="S1172" s="3" t="str">
        <f t="shared" si="37"/>
        <v>119</v>
      </c>
      <c r="T1172" s="16" t="s">
        <v>38</v>
      </c>
      <c r="U1172" s="3">
        <v>19.724</v>
      </c>
      <c r="V1172" s="16" t="str">
        <f>PROPER(Table1[[#This Row],[CVD Risk Level]])</f>
        <v>Intermediary</v>
      </c>
    </row>
    <row r="1173" spans="1:22" x14ac:dyDescent="0.3">
      <c r="A1173" t="s">
        <v>31</v>
      </c>
      <c r="B1173" s="8">
        <v>43</v>
      </c>
      <c r="C1173" s="8">
        <v>57.829000000000001</v>
      </c>
      <c r="D1173" s="5">
        <v>1.526</v>
      </c>
      <c r="E1173" s="5">
        <v>19.004999999999999</v>
      </c>
      <c r="F1173" s="16" t="s">
        <v>33</v>
      </c>
      <c r="G1173" s="11">
        <v>0.59499999999999997</v>
      </c>
      <c r="H1173" s="5">
        <v>90.872</v>
      </c>
      <c r="I1173" s="8">
        <v>59</v>
      </c>
      <c r="J1173" s="8">
        <v>74</v>
      </c>
      <c r="K1173" s="8">
        <v>163</v>
      </c>
      <c r="L1173" s="8">
        <v>95</v>
      </c>
      <c r="M1173" t="s">
        <v>33</v>
      </c>
      <c r="N1173" s="16" t="s">
        <v>22</v>
      </c>
      <c r="O1173" s="16" t="s">
        <v>23</v>
      </c>
      <c r="P1173" s="16" t="s">
        <v>28</v>
      </c>
      <c r="Q1173" s="10" t="s">
        <v>1004</v>
      </c>
      <c r="R1173" s="3" t="str">
        <f t="shared" si="36"/>
        <v>177</v>
      </c>
      <c r="S1173" s="3" t="str">
        <f t="shared" si="37"/>
        <v>72</v>
      </c>
      <c r="T1173" s="16" t="s">
        <v>38</v>
      </c>
      <c r="U1173" s="3">
        <v>17.911000000000001</v>
      </c>
      <c r="V1173" s="16" t="str">
        <f>PROPER(Table1[[#This Row],[CVD Risk Level]])</f>
        <v>Low</v>
      </c>
    </row>
    <row r="1174" spans="1:22" x14ac:dyDescent="0.3">
      <c r="A1174" t="s">
        <v>31</v>
      </c>
      <c r="B1174" s="8">
        <v>79</v>
      </c>
      <c r="C1174" s="8">
        <v>85.79</v>
      </c>
      <c r="D1174" s="5">
        <v>1.4867793227122614</v>
      </c>
      <c r="E1174" s="5">
        <v>38.81</v>
      </c>
      <c r="F1174" s="16" t="s">
        <v>1302</v>
      </c>
      <c r="G1174" s="11">
        <v>0.46700000000000003</v>
      </c>
      <c r="H1174" s="5">
        <v>69.432594370662613</v>
      </c>
      <c r="I1174" s="8">
        <v>78</v>
      </c>
      <c r="J1174" s="8">
        <v>75</v>
      </c>
      <c r="K1174" s="8">
        <v>183</v>
      </c>
      <c r="L1174" s="8">
        <v>94</v>
      </c>
      <c r="M1174" t="s">
        <v>33</v>
      </c>
      <c r="N1174" s="16" t="s">
        <v>22</v>
      </c>
      <c r="O1174" s="16" t="s">
        <v>23</v>
      </c>
      <c r="P1174" s="16" t="s">
        <v>28</v>
      </c>
      <c r="Q1174" s="10" t="s">
        <v>1005</v>
      </c>
      <c r="R1174" s="3" t="str">
        <f t="shared" si="36"/>
        <v>166</v>
      </c>
      <c r="S1174" s="3" t="str">
        <f t="shared" si="37"/>
        <v>115</v>
      </c>
      <c r="T1174" s="16" t="s">
        <v>38</v>
      </c>
      <c r="U1174" s="3">
        <v>21.722000000000001</v>
      </c>
      <c r="V1174" s="16" t="str">
        <f>PROPER(Table1[[#This Row],[CVD Risk Level]])</f>
        <v>High</v>
      </c>
    </row>
    <row r="1175" spans="1:22" x14ac:dyDescent="0.3">
      <c r="A1175" t="s">
        <v>20</v>
      </c>
      <c r="B1175" s="8">
        <v>64</v>
      </c>
      <c r="C1175" s="8">
        <v>93.953999999999994</v>
      </c>
      <c r="D1175" s="5">
        <v>1.587</v>
      </c>
      <c r="E1175" s="5">
        <v>31.268999999999998</v>
      </c>
      <c r="F1175" s="16" t="s">
        <v>1302</v>
      </c>
      <c r="G1175" s="11">
        <v>0.68899999999999995</v>
      </c>
      <c r="H1175" s="5">
        <v>109.312</v>
      </c>
      <c r="I1175" s="8">
        <v>76</v>
      </c>
      <c r="J1175" s="8">
        <v>109</v>
      </c>
      <c r="K1175" s="8">
        <v>127</v>
      </c>
      <c r="L1175" s="8">
        <v>97</v>
      </c>
      <c r="M1175" t="s">
        <v>33</v>
      </c>
      <c r="N1175" s="16" t="s">
        <v>22</v>
      </c>
      <c r="O1175" s="16" t="s">
        <v>23</v>
      </c>
      <c r="P1175" s="16" t="s">
        <v>24</v>
      </c>
      <c r="Q1175" s="10" t="s">
        <v>1006</v>
      </c>
      <c r="R1175" s="3" t="str">
        <f t="shared" si="36"/>
        <v>138</v>
      </c>
      <c r="S1175" s="3" t="str">
        <f t="shared" si="37"/>
        <v>89</v>
      </c>
      <c r="T1175" s="16" t="s">
        <v>29</v>
      </c>
      <c r="U1175" s="3">
        <v>17.693999999999999</v>
      </c>
      <c r="V1175" s="16" t="str">
        <f>PROPER(Table1[[#This Row],[CVD Risk Level]])</f>
        <v>Low</v>
      </c>
    </row>
    <row r="1176" spans="1:22" x14ac:dyDescent="0.3">
      <c r="A1176" t="s">
        <v>31</v>
      </c>
      <c r="B1176" s="8">
        <v>33</v>
      </c>
      <c r="C1176" s="8">
        <v>69.347999999999999</v>
      </c>
      <c r="D1176" s="5">
        <v>1.621</v>
      </c>
      <c r="E1176" s="5">
        <v>23.952999999999999</v>
      </c>
      <c r="F1176" s="16" t="s">
        <v>33</v>
      </c>
      <c r="G1176" s="11">
        <v>0.58799999999999997</v>
      </c>
      <c r="H1176" s="5">
        <v>95.314799999999991</v>
      </c>
      <c r="I1176" s="8">
        <v>66</v>
      </c>
      <c r="J1176" s="8">
        <v>197</v>
      </c>
      <c r="K1176" s="8">
        <v>293</v>
      </c>
      <c r="L1176" s="8">
        <v>135</v>
      </c>
      <c r="M1176" t="s">
        <v>1307</v>
      </c>
      <c r="N1176" s="16" t="s">
        <v>22</v>
      </c>
      <c r="O1176" s="16" t="s">
        <v>22</v>
      </c>
      <c r="P1176" s="16" t="s">
        <v>37</v>
      </c>
      <c r="Q1176" s="10" t="s">
        <v>1007</v>
      </c>
      <c r="R1176" s="3" t="str">
        <f t="shared" si="36"/>
        <v>147</v>
      </c>
      <c r="S1176" s="3" t="str">
        <f t="shared" si="37"/>
        <v>119</v>
      </c>
      <c r="T1176" s="16" t="s">
        <v>38</v>
      </c>
      <c r="U1176" s="3">
        <v>18.001000000000001</v>
      </c>
      <c r="V1176" s="16" t="str">
        <f>PROPER(Table1[[#This Row],[CVD Risk Level]])</f>
        <v>High</v>
      </c>
    </row>
    <row r="1177" spans="1:22" x14ac:dyDescent="0.3">
      <c r="A1177" t="s">
        <v>20</v>
      </c>
      <c r="B1177" s="8">
        <v>51</v>
      </c>
      <c r="C1177" s="8">
        <v>82.313000000000002</v>
      </c>
      <c r="D1177" s="5">
        <v>1.518</v>
      </c>
      <c r="E1177" s="5">
        <v>35.055</v>
      </c>
      <c r="F1177" s="16" t="s">
        <v>1302</v>
      </c>
      <c r="G1177" s="11">
        <v>0.628</v>
      </c>
      <c r="H1177" s="5">
        <v>95.308000000000007</v>
      </c>
      <c r="I1177" s="8">
        <v>35</v>
      </c>
      <c r="J1177" s="8">
        <v>91</v>
      </c>
      <c r="K1177" s="8">
        <v>156</v>
      </c>
      <c r="L1177" s="8">
        <v>139</v>
      </c>
      <c r="M1177" t="s">
        <v>1307</v>
      </c>
      <c r="N1177" s="16" t="s">
        <v>22</v>
      </c>
      <c r="O1177" s="16" t="s">
        <v>23</v>
      </c>
      <c r="P1177" s="16" t="s">
        <v>24</v>
      </c>
      <c r="Q1177" s="10" t="s">
        <v>1008</v>
      </c>
      <c r="R1177" s="3" t="str">
        <f t="shared" si="36"/>
        <v>144</v>
      </c>
      <c r="S1177" s="3" t="str">
        <f t="shared" si="37"/>
        <v>90</v>
      </c>
      <c r="T1177" s="16" t="s">
        <v>38</v>
      </c>
      <c r="U1177" s="3">
        <v>19.331</v>
      </c>
      <c r="V1177" s="16" t="str">
        <f>PROPER(Table1[[#This Row],[CVD Risk Level]])</f>
        <v>High</v>
      </c>
    </row>
    <row r="1178" spans="1:22" x14ac:dyDescent="0.3">
      <c r="A1178" t="s">
        <v>20</v>
      </c>
      <c r="B1178" s="8">
        <v>43</v>
      </c>
      <c r="C1178" s="8">
        <v>89.83</v>
      </c>
      <c r="D1178" s="5">
        <v>1.857</v>
      </c>
      <c r="E1178" s="5">
        <v>28.135000000000002</v>
      </c>
      <c r="F1178" s="16" t="s">
        <v>1303</v>
      </c>
      <c r="G1178" s="11">
        <v>0.63400000000000001</v>
      </c>
      <c r="H1178" s="5">
        <v>117.79600000000001</v>
      </c>
      <c r="I1178" s="8">
        <v>33</v>
      </c>
      <c r="J1178" s="8">
        <v>187</v>
      </c>
      <c r="K1178" s="8">
        <v>250</v>
      </c>
      <c r="L1178" s="8">
        <v>92</v>
      </c>
      <c r="M1178" t="s">
        <v>33</v>
      </c>
      <c r="N1178" s="16" t="s">
        <v>23</v>
      </c>
      <c r="O1178" s="16" t="s">
        <v>23</v>
      </c>
      <c r="P1178" s="16" t="s">
        <v>37</v>
      </c>
      <c r="Q1178" s="10" t="s">
        <v>716</v>
      </c>
      <c r="R1178" s="3" t="str">
        <f t="shared" si="36"/>
        <v>110</v>
      </c>
      <c r="S1178" s="3" t="str">
        <f t="shared" si="37"/>
        <v>64</v>
      </c>
      <c r="T1178" s="16" t="s">
        <v>33</v>
      </c>
      <c r="U1178" s="3">
        <v>18.126999999999999</v>
      </c>
      <c r="V1178" s="16" t="str">
        <f>PROPER(Table1[[#This Row],[CVD Risk Level]])</f>
        <v>Intermediary</v>
      </c>
    </row>
    <row r="1179" spans="1:22" x14ac:dyDescent="0.3">
      <c r="A1179" t="s">
        <v>20</v>
      </c>
      <c r="B1179" s="8">
        <v>54</v>
      </c>
      <c r="C1179" s="8">
        <v>83.558000000000007</v>
      </c>
      <c r="D1179" s="5">
        <v>1.784</v>
      </c>
      <c r="E1179" s="5">
        <v>26.809000000000001</v>
      </c>
      <c r="F1179" s="16" t="s">
        <v>1303</v>
      </c>
      <c r="G1179" s="11">
        <v>0.57799999999999996</v>
      </c>
      <c r="H1179" s="5">
        <v>103.006</v>
      </c>
      <c r="I1179" s="8">
        <v>72</v>
      </c>
      <c r="J1179" s="8">
        <v>35</v>
      </c>
      <c r="K1179" s="8">
        <v>137</v>
      </c>
      <c r="L1179" s="8">
        <v>147</v>
      </c>
      <c r="M1179" t="s">
        <v>1307</v>
      </c>
      <c r="N1179" s="16" t="s">
        <v>23</v>
      </c>
      <c r="O1179" s="16" t="s">
        <v>23</v>
      </c>
      <c r="P1179" s="16" t="s">
        <v>28</v>
      </c>
      <c r="Q1179" s="10" t="s">
        <v>1009</v>
      </c>
      <c r="R1179" s="3" t="str">
        <f t="shared" si="36"/>
        <v>168</v>
      </c>
      <c r="S1179" s="3" t="str">
        <f t="shared" si="37"/>
        <v>110</v>
      </c>
      <c r="T1179" s="16" t="s">
        <v>38</v>
      </c>
      <c r="U1179" s="3">
        <v>18.501999999999999</v>
      </c>
      <c r="V1179" s="16" t="str">
        <f>PROPER(Table1[[#This Row],[CVD Risk Level]])</f>
        <v>High</v>
      </c>
    </row>
    <row r="1180" spans="1:22" x14ac:dyDescent="0.3">
      <c r="A1180" t="s">
        <v>31</v>
      </c>
      <c r="B1180" s="8">
        <v>49</v>
      </c>
      <c r="C1180" s="8">
        <v>70.563000000000002</v>
      </c>
      <c r="D1180" s="5">
        <v>1.901</v>
      </c>
      <c r="E1180" s="5">
        <v>31.814</v>
      </c>
      <c r="F1180" s="16" t="s">
        <v>1302</v>
      </c>
      <c r="G1180" s="11">
        <v>0.54</v>
      </c>
      <c r="H1180" s="5">
        <v>102.616</v>
      </c>
      <c r="I1180" s="8">
        <v>68</v>
      </c>
      <c r="J1180" s="8">
        <v>99</v>
      </c>
      <c r="K1180" s="8">
        <v>197</v>
      </c>
      <c r="L1180" s="8">
        <v>117.48563611491107</v>
      </c>
      <c r="M1180" t="s">
        <v>1306</v>
      </c>
      <c r="N1180" s="16" t="s">
        <v>23</v>
      </c>
      <c r="O1180" s="16" t="s">
        <v>22</v>
      </c>
      <c r="P1180" s="16" t="s">
        <v>28</v>
      </c>
      <c r="Q1180" s="10" t="s">
        <v>1010</v>
      </c>
      <c r="R1180" s="3" t="str">
        <f t="shared" si="36"/>
        <v>123</v>
      </c>
      <c r="S1180" s="3" t="str">
        <f t="shared" si="37"/>
        <v>91</v>
      </c>
      <c r="T1180" s="16" t="s">
        <v>38</v>
      </c>
      <c r="U1180" s="3">
        <v>16.452999999999999</v>
      </c>
      <c r="V1180" s="16" t="str">
        <f>PROPER(Table1[[#This Row],[CVD Risk Level]])</f>
        <v>Low</v>
      </c>
    </row>
    <row r="1181" spans="1:22" x14ac:dyDescent="0.3">
      <c r="A1181" t="s">
        <v>20</v>
      </c>
      <c r="B1181" s="8">
        <v>72</v>
      </c>
      <c r="C1181" s="8">
        <v>92.602000000000004</v>
      </c>
      <c r="D1181" s="5">
        <v>1.9359999999999999</v>
      </c>
      <c r="E1181" s="5">
        <v>31.960999999999999</v>
      </c>
      <c r="F1181" s="16" t="s">
        <v>1302</v>
      </c>
      <c r="G1181" s="11">
        <v>0.55900000000000005</v>
      </c>
      <c r="H1181" s="5">
        <v>108.304</v>
      </c>
      <c r="I1181" s="8">
        <v>69</v>
      </c>
      <c r="J1181" s="8">
        <v>199</v>
      </c>
      <c r="K1181" s="8">
        <v>298</v>
      </c>
      <c r="L1181" s="8">
        <v>107</v>
      </c>
      <c r="M1181" t="s">
        <v>1306</v>
      </c>
      <c r="N1181" s="16" t="s">
        <v>22</v>
      </c>
      <c r="O1181" s="16" t="s">
        <v>22</v>
      </c>
      <c r="P1181" s="16" t="s">
        <v>37</v>
      </c>
      <c r="Q1181" s="10" t="s">
        <v>1011</v>
      </c>
      <c r="R1181" s="3" t="str">
        <f t="shared" si="36"/>
        <v>91</v>
      </c>
      <c r="S1181" s="3" t="str">
        <f t="shared" si="37"/>
        <v>105</v>
      </c>
      <c r="T1181" s="16" t="s">
        <v>38</v>
      </c>
      <c r="U1181" s="3">
        <v>16.902000000000001</v>
      </c>
      <c r="V1181" s="16" t="str">
        <f>PROPER(Table1[[#This Row],[CVD Risk Level]])</f>
        <v>Intermediary</v>
      </c>
    </row>
    <row r="1182" spans="1:22" x14ac:dyDescent="0.3">
      <c r="A1182" t="s">
        <v>31</v>
      </c>
      <c r="B1182" s="8">
        <v>39</v>
      </c>
      <c r="C1182" s="8">
        <v>88.135000000000005</v>
      </c>
      <c r="D1182" s="5">
        <v>1.984</v>
      </c>
      <c r="E1182" s="5">
        <v>37.984000000000002</v>
      </c>
      <c r="F1182" s="16" t="s">
        <v>1302</v>
      </c>
      <c r="G1182" s="11">
        <v>0.46400000000000002</v>
      </c>
      <c r="H1182" s="5">
        <v>92.120999999999995</v>
      </c>
      <c r="I1182" s="8">
        <v>72</v>
      </c>
      <c r="J1182" s="8">
        <v>60</v>
      </c>
      <c r="K1182" s="8">
        <v>264</v>
      </c>
      <c r="L1182" s="8">
        <v>195</v>
      </c>
      <c r="M1182" t="s">
        <v>1307</v>
      </c>
      <c r="N1182" s="16" t="s">
        <v>23</v>
      </c>
      <c r="O1182" s="16" t="s">
        <v>22</v>
      </c>
      <c r="P1182" s="16" t="s">
        <v>24</v>
      </c>
      <c r="Q1182" s="10" t="s">
        <v>1012</v>
      </c>
      <c r="R1182" s="3" t="str">
        <f t="shared" si="36"/>
        <v>154</v>
      </c>
      <c r="S1182" s="3" t="str">
        <f t="shared" si="37"/>
        <v>71</v>
      </c>
      <c r="T1182" s="16" t="s">
        <v>38</v>
      </c>
      <c r="U1182" s="3">
        <v>18.536999999999999</v>
      </c>
      <c r="V1182" s="16" t="str">
        <f>PROPER(Table1[[#This Row],[CVD Risk Level]])</f>
        <v>Low</v>
      </c>
    </row>
    <row r="1183" spans="1:22" x14ac:dyDescent="0.3">
      <c r="A1183" t="s">
        <v>31</v>
      </c>
      <c r="B1183" s="8">
        <v>32</v>
      </c>
      <c r="C1183" s="8">
        <v>97.001999999999995</v>
      </c>
      <c r="D1183" s="5">
        <v>1.6419999999999999</v>
      </c>
      <c r="E1183" s="5">
        <v>25.102</v>
      </c>
      <c r="F1183" s="16" t="s">
        <v>1303</v>
      </c>
      <c r="G1183" s="11">
        <v>0.66900000000000004</v>
      </c>
      <c r="H1183" s="5">
        <v>109.869</v>
      </c>
      <c r="I1183" s="8">
        <v>44</v>
      </c>
      <c r="J1183" s="8">
        <v>86</v>
      </c>
      <c r="K1183" s="8">
        <v>160</v>
      </c>
      <c r="L1183" s="8">
        <v>86</v>
      </c>
      <c r="M1183" t="s">
        <v>33</v>
      </c>
      <c r="N1183" s="16" t="s">
        <v>22</v>
      </c>
      <c r="O1183" s="16" t="s">
        <v>23</v>
      </c>
      <c r="P1183" s="16" t="s">
        <v>37</v>
      </c>
      <c r="Q1183" s="10" t="s">
        <v>613</v>
      </c>
      <c r="R1183" s="3" t="str">
        <f t="shared" si="36"/>
        <v>105</v>
      </c>
      <c r="S1183" s="3" t="str">
        <f t="shared" si="37"/>
        <v>72</v>
      </c>
      <c r="T1183" s="16" t="s">
        <v>33</v>
      </c>
      <c r="U1183" s="3">
        <v>15.47</v>
      </c>
      <c r="V1183" s="16" t="str">
        <f>PROPER(Table1[[#This Row],[CVD Risk Level]])</f>
        <v>Low</v>
      </c>
    </row>
    <row r="1184" spans="1:22" x14ac:dyDescent="0.3">
      <c r="A1184" t="s">
        <v>20</v>
      </c>
      <c r="B1184" s="8">
        <v>31</v>
      </c>
      <c r="C1184" s="8">
        <v>90.448999999999998</v>
      </c>
      <c r="D1184" s="5">
        <v>1.9810000000000001</v>
      </c>
      <c r="E1184" s="5">
        <v>26.614000000000001</v>
      </c>
      <c r="F1184" s="16" t="s">
        <v>1303</v>
      </c>
      <c r="G1184" s="11">
        <v>0.441</v>
      </c>
      <c r="H1184" s="5">
        <v>87.471999999999994</v>
      </c>
      <c r="I1184" s="8">
        <v>43</v>
      </c>
      <c r="J1184" s="8">
        <v>135</v>
      </c>
      <c r="K1184" s="8">
        <v>208</v>
      </c>
      <c r="L1184" s="8">
        <v>73</v>
      </c>
      <c r="M1184" t="s">
        <v>33</v>
      </c>
      <c r="N1184" s="16" t="s">
        <v>23</v>
      </c>
      <c r="O1184" s="16" t="s">
        <v>22</v>
      </c>
      <c r="P1184" s="16" t="s">
        <v>24</v>
      </c>
      <c r="Q1184" s="10" t="s">
        <v>1013</v>
      </c>
      <c r="R1184" s="3" t="str">
        <f t="shared" si="36"/>
        <v>164</v>
      </c>
      <c r="S1184" s="3" t="str">
        <f t="shared" si="37"/>
        <v>63</v>
      </c>
      <c r="T1184" s="16" t="s">
        <v>38</v>
      </c>
      <c r="U1184" s="3">
        <v>17.683</v>
      </c>
      <c r="V1184" s="16" t="str">
        <f>PROPER(Table1[[#This Row],[CVD Risk Level]])</f>
        <v>Intermediary</v>
      </c>
    </row>
    <row r="1185" spans="1:22" x14ac:dyDescent="0.3">
      <c r="A1185" t="s">
        <v>31</v>
      </c>
      <c r="B1185" s="8">
        <v>31</v>
      </c>
      <c r="C1185" s="8">
        <v>51.340962400000002</v>
      </c>
      <c r="D1185" s="5">
        <v>1.58</v>
      </c>
      <c r="E1185" s="5">
        <v>20.565999999999999</v>
      </c>
      <c r="F1185" s="16" t="s">
        <v>33</v>
      </c>
      <c r="G1185" s="11">
        <v>0.55000000000000004</v>
      </c>
      <c r="H1185" s="5">
        <v>86.876000000000005</v>
      </c>
      <c r="I1185" s="8">
        <v>76</v>
      </c>
      <c r="J1185" s="8">
        <v>107</v>
      </c>
      <c r="K1185" s="8">
        <v>213</v>
      </c>
      <c r="L1185" s="8">
        <v>182</v>
      </c>
      <c r="M1185" t="s">
        <v>1307</v>
      </c>
      <c r="N1185" s="16" t="s">
        <v>23</v>
      </c>
      <c r="O1185" s="16" t="s">
        <v>22</v>
      </c>
      <c r="P1185" s="16" t="s">
        <v>28</v>
      </c>
      <c r="Q1185" s="10" t="s">
        <v>1014</v>
      </c>
      <c r="R1185" s="3" t="str">
        <f t="shared" si="36"/>
        <v>142</v>
      </c>
      <c r="S1185" s="3" t="str">
        <f t="shared" si="37"/>
        <v>74</v>
      </c>
      <c r="T1185" s="16" t="s">
        <v>38</v>
      </c>
      <c r="U1185" s="3">
        <v>15.473000000000001</v>
      </c>
      <c r="V1185" s="16" t="str">
        <f>PROPER(Table1[[#This Row],[CVD Risk Level]])</f>
        <v>High</v>
      </c>
    </row>
    <row r="1186" spans="1:22" x14ac:dyDescent="0.3">
      <c r="A1186" t="s">
        <v>31</v>
      </c>
      <c r="B1186" s="8">
        <v>64</v>
      </c>
      <c r="C1186" s="8">
        <v>105.461</v>
      </c>
      <c r="D1186" s="5">
        <v>1.5620000000000001</v>
      </c>
      <c r="E1186" s="5">
        <v>26.538</v>
      </c>
      <c r="F1186" s="16" t="s">
        <v>1303</v>
      </c>
      <c r="G1186" s="11">
        <v>0.69799999999999995</v>
      </c>
      <c r="H1186" s="5">
        <v>109.05</v>
      </c>
      <c r="I1186" s="8">
        <v>73</v>
      </c>
      <c r="J1186" s="8">
        <v>192</v>
      </c>
      <c r="K1186" s="8">
        <v>295</v>
      </c>
      <c r="L1186" s="8">
        <v>157</v>
      </c>
      <c r="M1186" t="s">
        <v>1307</v>
      </c>
      <c r="N1186" s="16" t="s">
        <v>23</v>
      </c>
      <c r="O1186" s="16" t="s">
        <v>23</v>
      </c>
      <c r="P1186" s="16" t="s">
        <v>28</v>
      </c>
      <c r="Q1186" s="10" t="s">
        <v>1015</v>
      </c>
      <c r="R1186" s="3" t="str">
        <f t="shared" si="36"/>
        <v>147</v>
      </c>
      <c r="S1186" s="3" t="str">
        <f t="shared" si="37"/>
        <v>73</v>
      </c>
      <c r="T1186" s="16" t="s">
        <v>38</v>
      </c>
      <c r="U1186" s="3">
        <v>20.558</v>
      </c>
      <c r="V1186" s="16" t="str">
        <f>PROPER(Table1[[#This Row],[CVD Risk Level]])</f>
        <v>Intermediary</v>
      </c>
    </row>
    <row r="1187" spans="1:22" x14ac:dyDescent="0.3">
      <c r="A1187" t="s">
        <v>20</v>
      </c>
      <c r="B1187" s="8">
        <v>33</v>
      </c>
      <c r="C1187" s="8">
        <v>112.497</v>
      </c>
      <c r="D1187" s="5">
        <v>1.657</v>
      </c>
      <c r="E1187" s="5">
        <v>34.683</v>
      </c>
      <c r="F1187" s="16" t="s">
        <v>1302</v>
      </c>
      <c r="G1187" s="11">
        <v>0.46800000000000003</v>
      </c>
      <c r="H1187" s="5">
        <v>77.507999999999996</v>
      </c>
      <c r="I1187" s="8">
        <v>87</v>
      </c>
      <c r="J1187" s="8">
        <v>13</v>
      </c>
      <c r="K1187" s="8">
        <v>130</v>
      </c>
      <c r="L1187" s="8">
        <v>81</v>
      </c>
      <c r="M1187" t="s">
        <v>33</v>
      </c>
      <c r="N1187" s="16" t="s">
        <v>23</v>
      </c>
      <c r="O1187" s="16" t="s">
        <v>23</v>
      </c>
      <c r="P1187" s="16" t="s">
        <v>37</v>
      </c>
      <c r="Q1187" s="10" t="s">
        <v>1016</v>
      </c>
      <c r="R1187" s="3" t="str">
        <f t="shared" si="36"/>
        <v>121</v>
      </c>
      <c r="S1187" s="3" t="str">
        <f t="shared" si="37"/>
        <v>73</v>
      </c>
      <c r="T1187" s="16" t="s">
        <v>25</v>
      </c>
      <c r="U1187" s="3">
        <v>17.587</v>
      </c>
      <c r="V1187" s="16" t="str">
        <f>PROPER(Table1[[#This Row],[CVD Risk Level]])</f>
        <v>Low</v>
      </c>
    </row>
    <row r="1188" spans="1:22" x14ac:dyDescent="0.3">
      <c r="A1188" t="s">
        <v>20</v>
      </c>
      <c r="B1188" s="8">
        <v>70</v>
      </c>
      <c r="C1188" s="8">
        <v>99.48</v>
      </c>
      <c r="D1188" s="5">
        <v>1.9750000000000001</v>
      </c>
      <c r="E1188" s="5">
        <v>38.491</v>
      </c>
      <c r="F1188" s="16" t="s">
        <v>1302</v>
      </c>
      <c r="G1188" s="11">
        <v>0.36199999999999999</v>
      </c>
      <c r="H1188" s="5">
        <v>71.545000000000002</v>
      </c>
      <c r="I1188" s="8">
        <v>76</v>
      </c>
      <c r="J1188" s="8">
        <v>55</v>
      </c>
      <c r="K1188" s="8">
        <v>161</v>
      </c>
      <c r="L1188" s="8">
        <v>130</v>
      </c>
      <c r="M1188" t="s">
        <v>1307</v>
      </c>
      <c r="N1188" s="16" t="s">
        <v>22</v>
      </c>
      <c r="O1188" s="16" t="s">
        <v>22</v>
      </c>
      <c r="P1188" s="16" t="s">
        <v>37</v>
      </c>
      <c r="Q1188" s="10" t="s">
        <v>1017</v>
      </c>
      <c r="R1188" s="3" t="str">
        <f t="shared" si="36"/>
        <v>129</v>
      </c>
      <c r="S1188" s="3" t="str">
        <f t="shared" si="37"/>
        <v>65</v>
      </c>
      <c r="T1188" s="16" t="s">
        <v>25</v>
      </c>
      <c r="U1188" s="3">
        <v>17.367999999999999</v>
      </c>
      <c r="V1188" s="16" t="str">
        <f>PROPER(Table1[[#This Row],[CVD Risk Level]])</f>
        <v>High</v>
      </c>
    </row>
    <row r="1189" spans="1:22" x14ac:dyDescent="0.3">
      <c r="A1189" t="s">
        <v>20</v>
      </c>
      <c r="B1189" s="8">
        <v>75</v>
      </c>
      <c r="C1189" s="8">
        <v>59.262999999999998</v>
      </c>
      <c r="D1189" s="5">
        <v>1.583</v>
      </c>
      <c r="E1189" s="5">
        <v>31.780999999999999</v>
      </c>
      <c r="F1189" s="16" t="s">
        <v>1302</v>
      </c>
      <c r="G1189" s="11">
        <v>0.66300000000000003</v>
      </c>
      <c r="H1189" s="5">
        <v>104.872</v>
      </c>
      <c r="I1189" s="8">
        <v>70</v>
      </c>
      <c r="J1189" s="8">
        <v>119</v>
      </c>
      <c r="K1189" s="8">
        <v>219</v>
      </c>
      <c r="L1189" s="8">
        <v>105</v>
      </c>
      <c r="M1189" t="s">
        <v>1306</v>
      </c>
      <c r="N1189" s="16" t="s">
        <v>22</v>
      </c>
      <c r="O1189" s="16" t="s">
        <v>23</v>
      </c>
      <c r="P1189" s="16" t="s">
        <v>24</v>
      </c>
      <c r="Q1189" s="10" t="s">
        <v>1018</v>
      </c>
      <c r="R1189" s="3" t="str">
        <f t="shared" si="36"/>
        <v>92</v>
      </c>
      <c r="S1189" s="3" t="str">
        <f t="shared" si="37"/>
        <v>86</v>
      </c>
      <c r="T1189" s="16" t="s">
        <v>29</v>
      </c>
      <c r="U1189" s="3">
        <v>17.335999999999999</v>
      </c>
      <c r="V1189" s="16" t="str">
        <f>PROPER(Table1[[#This Row],[CVD Risk Level]])</f>
        <v>High</v>
      </c>
    </row>
    <row r="1190" spans="1:22" x14ac:dyDescent="0.3">
      <c r="A1190" t="s">
        <v>31</v>
      </c>
      <c r="B1190" s="8">
        <v>64</v>
      </c>
      <c r="C1190" s="8">
        <v>73.349000000000004</v>
      </c>
      <c r="D1190" s="5">
        <v>1.966</v>
      </c>
      <c r="E1190" s="5">
        <v>31.843</v>
      </c>
      <c r="F1190" s="16" t="s">
        <v>1302</v>
      </c>
      <c r="G1190" s="11">
        <v>0.53400000000000003</v>
      </c>
      <c r="H1190" s="5">
        <v>104.876</v>
      </c>
      <c r="I1190" s="8">
        <v>86</v>
      </c>
      <c r="J1190" s="8">
        <v>183</v>
      </c>
      <c r="K1190" s="8">
        <v>299</v>
      </c>
      <c r="L1190" s="8">
        <v>139</v>
      </c>
      <c r="M1190" t="s">
        <v>1307</v>
      </c>
      <c r="N1190" s="16" t="s">
        <v>23</v>
      </c>
      <c r="O1190" s="16" t="s">
        <v>23</v>
      </c>
      <c r="P1190" s="16" t="s">
        <v>28</v>
      </c>
      <c r="Q1190" s="10" t="s">
        <v>1019</v>
      </c>
      <c r="R1190" s="3" t="str">
        <f t="shared" si="36"/>
        <v>116</v>
      </c>
      <c r="S1190" s="3" t="str">
        <f t="shared" si="37"/>
        <v>82</v>
      </c>
      <c r="T1190" s="16" t="s">
        <v>29</v>
      </c>
      <c r="U1190" s="3">
        <v>20.149000000000001</v>
      </c>
      <c r="V1190" s="16" t="str">
        <f>PROPER(Table1[[#This Row],[CVD Risk Level]])</f>
        <v>High</v>
      </c>
    </row>
    <row r="1191" spans="1:22" x14ac:dyDescent="0.3">
      <c r="A1191" t="s">
        <v>31</v>
      </c>
      <c r="B1191" s="8">
        <v>36</v>
      </c>
      <c r="C1191" s="8">
        <v>89.56</v>
      </c>
      <c r="D1191" s="5">
        <v>1.5960000000000001</v>
      </c>
      <c r="E1191" s="5">
        <v>31.536999999999999</v>
      </c>
      <c r="F1191" s="16" t="s">
        <v>1302</v>
      </c>
      <c r="G1191" s="11">
        <v>0.52700000000000002</v>
      </c>
      <c r="H1191" s="5">
        <v>84.117999999999995</v>
      </c>
      <c r="I1191" s="8">
        <v>72</v>
      </c>
      <c r="J1191" s="8">
        <v>187</v>
      </c>
      <c r="K1191" s="8">
        <v>289</v>
      </c>
      <c r="L1191" s="8">
        <v>70</v>
      </c>
      <c r="M1191" t="s">
        <v>33</v>
      </c>
      <c r="N1191" s="16" t="s">
        <v>22</v>
      </c>
      <c r="O1191" s="16" t="s">
        <v>22</v>
      </c>
      <c r="P1191" s="16" t="s">
        <v>37</v>
      </c>
      <c r="Q1191" s="10" t="s">
        <v>1020</v>
      </c>
      <c r="R1191" s="3" t="str">
        <f t="shared" si="36"/>
        <v>91</v>
      </c>
      <c r="S1191" s="3" t="str">
        <f t="shared" si="37"/>
        <v>92</v>
      </c>
      <c r="T1191" s="16" t="s">
        <v>38</v>
      </c>
      <c r="U1191" s="3">
        <v>16.637</v>
      </c>
      <c r="V1191" s="16" t="str">
        <f>PROPER(Table1[[#This Row],[CVD Risk Level]])</f>
        <v>Low</v>
      </c>
    </row>
    <row r="1192" spans="1:22" x14ac:dyDescent="0.3">
      <c r="A1192" t="s">
        <v>31</v>
      </c>
      <c r="B1192" s="8">
        <v>73</v>
      </c>
      <c r="C1192" s="8">
        <v>118.88800000000001</v>
      </c>
      <c r="D1192" s="5">
        <v>1.8396538641986211</v>
      </c>
      <c r="E1192" s="5">
        <v>35.128999999999998</v>
      </c>
      <c r="F1192" s="16" t="s">
        <v>1302</v>
      </c>
      <c r="G1192" s="11">
        <v>0.54300000000000004</v>
      </c>
      <c r="H1192" s="5">
        <v>97.39</v>
      </c>
      <c r="I1192" s="8">
        <v>43</v>
      </c>
      <c r="J1192" s="8">
        <v>74</v>
      </c>
      <c r="K1192" s="8">
        <v>147</v>
      </c>
      <c r="L1192" s="8">
        <v>135</v>
      </c>
      <c r="M1192" t="s">
        <v>1307</v>
      </c>
      <c r="N1192" s="16" t="s">
        <v>23</v>
      </c>
      <c r="O1192" s="16" t="s">
        <v>23</v>
      </c>
      <c r="P1192" s="16" t="s">
        <v>37</v>
      </c>
      <c r="Q1192" s="10" t="s">
        <v>1021</v>
      </c>
      <c r="R1192" s="3" t="str">
        <f t="shared" si="36"/>
        <v>101</v>
      </c>
      <c r="S1192" s="3" t="str">
        <f t="shared" si="37"/>
        <v>95</v>
      </c>
      <c r="T1192" s="16" t="s">
        <v>38</v>
      </c>
      <c r="U1192" s="3">
        <v>17.015999999999998</v>
      </c>
      <c r="V1192" s="16" t="str">
        <f>PROPER(Table1[[#This Row],[CVD Risk Level]])</f>
        <v>Low</v>
      </c>
    </row>
    <row r="1193" spans="1:22" x14ac:dyDescent="0.3">
      <c r="A1193" t="s">
        <v>20</v>
      </c>
      <c r="B1193" s="8">
        <v>59</v>
      </c>
      <c r="C1193" s="8">
        <v>117.124</v>
      </c>
      <c r="D1193" s="5">
        <v>1.8029999999999999</v>
      </c>
      <c r="E1193" s="5">
        <v>31.814</v>
      </c>
      <c r="F1193" s="16" t="s">
        <v>1302</v>
      </c>
      <c r="G1193" s="11">
        <v>0.64800000000000002</v>
      </c>
      <c r="H1193" s="5">
        <v>116.892</v>
      </c>
      <c r="I1193" s="8">
        <v>64</v>
      </c>
      <c r="J1193" s="8">
        <v>113</v>
      </c>
      <c r="K1193" s="8">
        <v>207</v>
      </c>
      <c r="L1193" s="8">
        <v>127</v>
      </c>
      <c r="M1193" t="s">
        <v>1307</v>
      </c>
      <c r="N1193" s="16" t="s">
        <v>23</v>
      </c>
      <c r="O1193" s="16" t="s">
        <v>23</v>
      </c>
      <c r="P1193" s="16" t="s">
        <v>28</v>
      </c>
      <c r="Q1193" s="10" t="s">
        <v>1022</v>
      </c>
      <c r="R1193" s="3" t="str">
        <f t="shared" si="36"/>
        <v>161</v>
      </c>
      <c r="S1193" s="3" t="str">
        <f t="shared" si="37"/>
        <v>99</v>
      </c>
      <c r="T1193" s="16" t="s">
        <v>38</v>
      </c>
      <c r="U1193" s="3">
        <v>20.553000000000001</v>
      </c>
      <c r="V1193" s="16" t="str">
        <f>PROPER(Table1[[#This Row],[CVD Risk Level]])</f>
        <v>Low</v>
      </c>
    </row>
    <row r="1194" spans="1:22" x14ac:dyDescent="0.3">
      <c r="A1194" t="s">
        <v>31</v>
      </c>
      <c r="B1194" s="8">
        <v>75</v>
      </c>
      <c r="C1194" s="8">
        <v>54.893000000000001</v>
      </c>
      <c r="D1194" s="5">
        <v>1.9139999999999999</v>
      </c>
      <c r="E1194" s="5">
        <v>30.824999999999999</v>
      </c>
      <c r="F1194" s="16" t="s">
        <v>1302</v>
      </c>
      <c r="G1194" s="11">
        <v>0.41203239289446186</v>
      </c>
      <c r="H1194" s="5">
        <v>78.863</v>
      </c>
      <c r="I1194" s="8">
        <v>64</v>
      </c>
      <c r="J1194" s="8">
        <v>117</v>
      </c>
      <c r="K1194" s="8">
        <v>211</v>
      </c>
      <c r="L1194" s="8">
        <v>117.48563611491107</v>
      </c>
      <c r="M1194" t="s">
        <v>1306</v>
      </c>
      <c r="N1194" s="16" t="s">
        <v>22</v>
      </c>
      <c r="O1194" s="16" t="s">
        <v>22</v>
      </c>
      <c r="P1194" s="16" t="s">
        <v>28</v>
      </c>
      <c r="Q1194" s="10" t="s">
        <v>129</v>
      </c>
      <c r="R1194" s="3" t="str">
        <f t="shared" si="36"/>
        <v>124</v>
      </c>
      <c r="S1194" s="3" t="str">
        <f t="shared" si="37"/>
        <v>72</v>
      </c>
      <c r="T1194" s="16" t="s">
        <v>25</v>
      </c>
      <c r="U1194" s="3">
        <v>16.585000000000001</v>
      </c>
      <c r="V1194" s="16" t="str">
        <f>PROPER(Table1[[#This Row],[CVD Risk Level]])</f>
        <v>High</v>
      </c>
    </row>
    <row r="1195" spans="1:22" x14ac:dyDescent="0.3">
      <c r="A1195" t="s">
        <v>31</v>
      </c>
      <c r="B1195" s="8">
        <v>39</v>
      </c>
      <c r="C1195" s="8">
        <v>111.4</v>
      </c>
      <c r="D1195" s="5">
        <v>1.8620000000000001</v>
      </c>
      <c r="E1195" s="5">
        <v>24.745000000000001</v>
      </c>
      <c r="F1195" s="16" t="s">
        <v>33</v>
      </c>
      <c r="G1195" s="11">
        <v>0.5</v>
      </c>
      <c r="H1195" s="5">
        <v>93.126999999999995</v>
      </c>
      <c r="I1195" s="8">
        <v>61</v>
      </c>
      <c r="J1195" s="8">
        <v>90</v>
      </c>
      <c r="K1195" s="8">
        <v>181</v>
      </c>
      <c r="L1195" s="8">
        <v>123</v>
      </c>
      <c r="M1195" t="s">
        <v>1306</v>
      </c>
      <c r="N1195" s="16" t="s">
        <v>22</v>
      </c>
      <c r="O1195" s="16" t="s">
        <v>23</v>
      </c>
      <c r="P1195" s="16" t="s">
        <v>28</v>
      </c>
      <c r="Q1195" s="10" t="s">
        <v>1023</v>
      </c>
      <c r="R1195" s="3" t="str">
        <f t="shared" si="36"/>
        <v>157</v>
      </c>
      <c r="S1195" s="3" t="str">
        <f t="shared" si="37"/>
        <v>109</v>
      </c>
      <c r="T1195" s="16" t="s">
        <v>38</v>
      </c>
      <c r="U1195" s="3">
        <v>18.419</v>
      </c>
      <c r="V1195" s="16" t="str">
        <f>PROPER(Table1[[#This Row],[CVD Risk Level]])</f>
        <v>Intermediary</v>
      </c>
    </row>
    <row r="1196" spans="1:22" x14ac:dyDescent="0.3">
      <c r="A1196" t="s">
        <v>31</v>
      </c>
      <c r="B1196" s="8">
        <v>55</v>
      </c>
      <c r="C1196" s="8">
        <v>63.582999999999998</v>
      </c>
      <c r="D1196" s="5">
        <v>1.9810000000000001</v>
      </c>
      <c r="E1196" s="5">
        <v>30.974</v>
      </c>
      <c r="F1196" s="16" t="s">
        <v>1302</v>
      </c>
      <c r="G1196" s="11">
        <v>0.41499999999999998</v>
      </c>
      <c r="H1196" s="5">
        <v>82.141999999999996</v>
      </c>
      <c r="I1196" s="8">
        <v>75</v>
      </c>
      <c r="J1196" s="8">
        <v>89</v>
      </c>
      <c r="K1196" s="8">
        <v>194</v>
      </c>
      <c r="L1196" s="8">
        <v>150</v>
      </c>
      <c r="M1196" t="s">
        <v>1307</v>
      </c>
      <c r="N1196" s="16" t="s">
        <v>23</v>
      </c>
      <c r="O1196" s="16" t="s">
        <v>22</v>
      </c>
      <c r="P1196" s="16" t="s">
        <v>37</v>
      </c>
      <c r="Q1196" s="10" t="s">
        <v>1024</v>
      </c>
      <c r="R1196" s="3" t="str">
        <f t="shared" si="36"/>
        <v>172</v>
      </c>
      <c r="S1196" s="3" t="str">
        <f t="shared" si="37"/>
        <v>79</v>
      </c>
      <c r="T1196" s="16" t="s">
        <v>38</v>
      </c>
      <c r="U1196" s="3">
        <v>18.675000000000001</v>
      </c>
      <c r="V1196" s="16" t="str">
        <f>PROPER(Table1[[#This Row],[CVD Risk Level]])</f>
        <v>Low</v>
      </c>
    </row>
    <row r="1197" spans="1:22" x14ac:dyDescent="0.3">
      <c r="A1197" t="s">
        <v>20</v>
      </c>
      <c r="B1197" s="8">
        <v>30</v>
      </c>
      <c r="C1197" s="8">
        <v>71.600999999999999</v>
      </c>
      <c r="D1197" s="5">
        <v>1.782</v>
      </c>
      <c r="E1197" s="5">
        <v>19.030999999999999</v>
      </c>
      <c r="F1197" s="16" t="s">
        <v>33</v>
      </c>
      <c r="G1197" s="11">
        <v>0.40600000000000003</v>
      </c>
      <c r="H1197" s="5">
        <v>72.418999999999997</v>
      </c>
      <c r="I1197" s="8">
        <v>44</v>
      </c>
      <c r="J1197" s="8">
        <v>190</v>
      </c>
      <c r="K1197" s="8">
        <v>264</v>
      </c>
      <c r="L1197" s="8">
        <v>189</v>
      </c>
      <c r="M1197" t="s">
        <v>1307</v>
      </c>
      <c r="N1197" s="16" t="s">
        <v>23</v>
      </c>
      <c r="O1197" s="16" t="s">
        <v>22</v>
      </c>
      <c r="P1197" s="16" t="s">
        <v>24</v>
      </c>
      <c r="Q1197" s="10" t="s">
        <v>1025</v>
      </c>
      <c r="R1197" s="3" t="str">
        <f t="shared" si="36"/>
        <v>126</v>
      </c>
      <c r="S1197" s="3" t="str">
        <f t="shared" si="37"/>
        <v>106</v>
      </c>
      <c r="T1197" s="16" t="s">
        <v>38</v>
      </c>
      <c r="U1197" s="3">
        <v>15.385999999999999</v>
      </c>
      <c r="V1197" s="16" t="str">
        <f>PROPER(Table1[[#This Row],[CVD Risk Level]])</f>
        <v>Low</v>
      </c>
    </row>
    <row r="1198" spans="1:22" x14ac:dyDescent="0.3">
      <c r="A1198" t="s">
        <v>20</v>
      </c>
      <c r="B1198" s="8">
        <v>37</v>
      </c>
      <c r="C1198" s="8">
        <v>113.34099999999999</v>
      </c>
      <c r="D1198" s="5">
        <v>1.7869999999999999</v>
      </c>
      <c r="E1198" s="5">
        <v>29.344999999999999</v>
      </c>
      <c r="F1198" s="16" t="s">
        <v>1303</v>
      </c>
      <c r="G1198" s="11">
        <v>0.44800000000000001</v>
      </c>
      <c r="H1198" s="5">
        <v>80.006</v>
      </c>
      <c r="I1198" s="8">
        <v>85</v>
      </c>
      <c r="J1198" s="8">
        <v>151</v>
      </c>
      <c r="K1198" s="8">
        <v>266</v>
      </c>
      <c r="L1198" s="8">
        <v>185</v>
      </c>
      <c r="M1198" t="s">
        <v>1307</v>
      </c>
      <c r="N1198" s="16" t="s">
        <v>23</v>
      </c>
      <c r="O1198" s="16" t="s">
        <v>23</v>
      </c>
      <c r="P1198" s="16" t="s">
        <v>28</v>
      </c>
      <c r="Q1198" s="10" t="s">
        <v>317</v>
      </c>
      <c r="R1198" s="3" t="str">
        <f t="shared" si="36"/>
        <v>129</v>
      </c>
      <c r="S1198" s="3" t="str">
        <f t="shared" si="37"/>
        <v>63</v>
      </c>
      <c r="T1198" s="16" t="s">
        <v>25</v>
      </c>
      <c r="U1198" s="3">
        <v>19.638999999999999</v>
      </c>
      <c r="V1198" s="16" t="str">
        <f>PROPER(Table1[[#This Row],[CVD Risk Level]])</f>
        <v>High</v>
      </c>
    </row>
    <row r="1199" spans="1:22" x14ac:dyDescent="0.3">
      <c r="A1199" t="s">
        <v>20</v>
      </c>
      <c r="B1199" s="8">
        <v>68</v>
      </c>
      <c r="C1199" s="8">
        <v>78.561000000000007</v>
      </c>
      <c r="D1199" s="5">
        <v>1.5555683894417089</v>
      </c>
      <c r="E1199" s="5">
        <v>32.466000000000001</v>
      </c>
      <c r="F1199" s="16" t="s">
        <v>1302</v>
      </c>
      <c r="G1199" s="11">
        <v>0.45200000000000001</v>
      </c>
      <c r="H1199" s="5">
        <v>77.183999999999997</v>
      </c>
      <c r="I1199" s="8">
        <v>73</v>
      </c>
      <c r="J1199" s="8">
        <v>75</v>
      </c>
      <c r="K1199" s="8">
        <v>178</v>
      </c>
      <c r="L1199" s="8">
        <v>143</v>
      </c>
      <c r="M1199" t="s">
        <v>1307</v>
      </c>
      <c r="N1199" s="16" t="s">
        <v>23</v>
      </c>
      <c r="O1199" s="16" t="s">
        <v>23</v>
      </c>
      <c r="P1199" s="16" t="s">
        <v>28</v>
      </c>
      <c r="Q1199" s="10" t="s">
        <v>434</v>
      </c>
      <c r="R1199" s="3" t="str">
        <f t="shared" si="36"/>
        <v>141</v>
      </c>
      <c r="S1199" s="3" t="str">
        <f t="shared" si="37"/>
        <v>76</v>
      </c>
      <c r="T1199" s="16" t="s">
        <v>38</v>
      </c>
      <c r="U1199" s="3">
        <v>19.103000000000002</v>
      </c>
      <c r="V1199" s="16" t="str">
        <f>PROPER(Table1[[#This Row],[CVD Risk Level]])</f>
        <v>High</v>
      </c>
    </row>
    <row r="1200" spans="1:22" x14ac:dyDescent="0.3">
      <c r="A1200" t="s">
        <v>31</v>
      </c>
      <c r="B1200" s="8">
        <v>39</v>
      </c>
      <c r="C1200" s="8">
        <v>54.08</v>
      </c>
      <c r="D1200" s="5">
        <v>1.56</v>
      </c>
      <c r="E1200" s="5">
        <v>19.771999999999998</v>
      </c>
      <c r="F1200" s="16" t="s">
        <v>33</v>
      </c>
      <c r="G1200" s="11">
        <v>0.69199999999999995</v>
      </c>
      <c r="H1200" s="5">
        <v>107.995</v>
      </c>
      <c r="I1200" s="8">
        <v>56</v>
      </c>
      <c r="J1200" s="8">
        <v>201</v>
      </c>
      <c r="K1200" s="8">
        <v>287</v>
      </c>
      <c r="L1200" s="8">
        <v>176</v>
      </c>
      <c r="M1200" t="s">
        <v>1307</v>
      </c>
      <c r="N1200" s="16" t="s">
        <v>23</v>
      </c>
      <c r="O1200" s="16" t="s">
        <v>23</v>
      </c>
      <c r="P1200" s="16" t="s">
        <v>37</v>
      </c>
      <c r="Q1200" s="10" t="s">
        <v>1026</v>
      </c>
      <c r="R1200" s="3" t="str">
        <f t="shared" si="36"/>
        <v>116</v>
      </c>
      <c r="S1200" s="3" t="str">
        <f t="shared" si="37"/>
        <v>71</v>
      </c>
      <c r="T1200" s="16" t="s">
        <v>33</v>
      </c>
      <c r="U1200" s="3">
        <v>17.494</v>
      </c>
      <c r="V1200" s="16" t="str">
        <f>PROPER(Table1[[#This Row],[CVD Risk Level]])</f>
        <v>Intermediary</v>
      </c>
    </row>
    <row r="1201" spans="1:22" x14ac:dyDescent="0.3">
      <c r="A1201" t="s">
        <v>31</v>
      </c>
      <c r="B1201" s="8">
        <v>38</v>
      </c>
      <c r="C1201" s="8">
        <v>60.436</v>
      </c>
      <c r="D1201" s="5">
        <v>1.506</v>
      </c>
      <c r="E1201" s="5">
        <v>20.268999999999998</v>
      </c>
      <c r="F1201" s="16" t="s">
        <v>33</v>
      </c>
      <c r="G1201" s="11">
        <v>0.52900000000000003</v>
      </c>
      <c r="H1201" s="5">
        <v>79.7</v>
      </c>
      <c r="I1201" s="8">
        <v>46</v>
      </c>
      <c r="J1201" s="8">
        <v>43</v>
      </c>
      <c r="K1201" s="8">
        <v>119</v>
      </c>
      <c r="L1201" s="8">
        <v>190</v>
      </c>
      <c r="M1201" t="s">
        <v>1307</v>
      </c>
      <c r="N1201" s="16" t="s">
        <v>22</v>
      </c>
      <c r="O1201" s="16" t="s">
        <v>22</v>
      </c>
      <c r="P1201" s="16" t="s">
        <v>28</v>
      </c>
      <c r="Q1201" s="10" t="s">
        <v>1027</v>
      </c>
      <c r="R1201" s="3" t="str">
        <f t="shared" si="36"/>
        <v>168</v>
      </c>
      <c r="S1201" s="3" t="str">
        <f t="shared" si="37"/>
        <v>63</v>
      </c>
      <c r="T1201" s="16" t="s">
        <v>38</v>
      </c>
      <c r="U1201" s="3">
        <v>14.834</v>
      </c>
      <c r="V1201" s="16" t="str">
        <f>PROPER(Table1[[#This Row],[CVD Risk Level]])</f>
        <v>High</v>
      </c>
    </row>
    <row r="1202" spans="1:22" x14ac:dyDescent="0.3">
      <c r="A1202" t="s">
        <v>31</v>
      </c>
      <c r="B1202" s="8">
        <v>53</v>
      </c>
      <c r="C1202" s="8">
        <v>108.15900000000001</v>
      </c>
      <c r="D1202" s="5">
        <v>1.925</v>
      </c>
      <c r="E1202" s="5">
        <v>24.081</v>
      </c>
      <c r="F1202" s="16" t="s">
        <v>33</v>
      </c>
      <c r="G1202" s="11">
        <v>0.41099999999999998</v>
      </c>
      <c r="H1202" s="5">
        <v>79.117499999999993</v>
      </c>
      <c r="I1202" s="8">
        <v>56.197377501725327</v>
      </c>
      <c r="J1202" s="8">
        <v>63</v>
      </c>
      <c r="K1202" s="8">
        <v>141</v>
      </c>
      <c r="L1202" s="8">
        <v>178</v>
      </c>
      <c r="M1202" t="s">
        <v>1307</v>
      </c>
      <c r="N1202" s="16" t="s">
        <v>23</v>
      </c>
      <c r="O1202" s="16" t="s">
        <v>23</v>
      </c>
      <c r="P1202" s="16" t="s">
        <v>37</v>
      </c>
      <c r="Q1202" s="10" t="s">
        <v>1028</v>
      </c>
      <c r="R1202" s="3" t="str">
        <f t="shared" si="36"/>
        <v>162</v>
      </c>
      <c r="S1202" s="3" t="str">
        <f t="shared" si="37"/>
        <v>94</v>
      </c>
      <c r="T1202" s="16" t="s">
        <v>38</v>
      </c>
      <c r="U1202" s="3">
        <v>17.736000000000001</v>
      </c>
      <c r="V1202" s="16" t="str">
        <f>PROPER(Table1[[#This Row],[CVD Risk Level]])</f>
        <v>High</v>
      </c>
    </row>
    <row r="1203" spans="1:22" x14ac:dyDescent="0.3">
      <c r="A1203" t="s">
        <v>31</v>
      </c>
      <c r="B1203" s="8">
        <v>47.025499655410059</v>
      </c>
      <c r="C1203" s="8">
        <v>119.806</v>
      </c>
      <c r="D1203" s="5">
        <v>1.6080000000000001</v>
      </c>
      <c r="E1203" s="5">
        <v>31.884</v>
      </c>
      <c r="F1203" s="16" t="s">
        <v>1302</v>
      </c>
      <c r="G1203" s="11">
        <v>0.501</v>
      </c>
      <c r="H1203" s="5">
        <v>80.539000000000001</v>
      </c>
      <c r="I1203" s="8">
        <v>78</v>
      </c>
      <c r="J1203" s="8">
        <v>134</v>
      </c>
      <c r="K1203" s="8">
        <v>242</v>
      </c>
      <c r="L1203" s="8">
        <v>116</v>
      </c>
      <c r="M1203" t="s">
        <v>1306</v>
      </c>
      <c r="N1203" s="16" t="s">
        <v>23</v>
      </c>
      <c r="O1203" s="16" t="s">
        <v>22</v>
      </c>
      <c r="P1203" s="16" t="s">
        <v>37</v>
      </c>
      <c r="Q1203" s="10" t="s">
        <v>1029</v>
      </c>
      <c r="R1203" s="3" t="str">
        <f t="shared" si="36"/>
        <v>124</v>
      </c>
      <c r="S1203" s="3" t="str">
        <f t="shared" si="37"/>
        <v>100</v>
      </c>
      <c r="T1203" s="16" t="s">
        <v>38</v>
      </c>
      <c r="U1203" s="3">
        <v>16.960925291295425</v>
      </c>
      <c r="V1203" s="16" t="str">
        <f>PROPER(Table1[[#This Row],[CVD Risk Level]])</f>
        <v>High</v>
      </c>
    </row>
    <row r="1204" spans="1:22" x14ac:dyDescent="0.3">
      <c r="A1204" t="s">
        <v>20</v>
      </c>
      <c r="B1204" s="8">
        <v>46</v>
      </c>
      <c r="C1204" s="8">
        <v>103.504</v>
      </c>
      <c r="D1204" s="5">
        <v>1.5389999999999999</v>
      </c>
      <c r="E1204" s="5">
        <v>27.606000000000002</v>
      </c>
      <c r="F1204" s="16" t="s">
        <v>1303</v>
      </c>
      <c r="G1204" s="11">
        <v>0.60899999999999999</v>
      </c>
      <c r="H1204" s="5">
        <v>93.716999999999999</v>
      </c>
      <c r="I1204" s="8">
        <v>87</v>
      </c>
      <c r="J1204" s="8">
        <v>121</v>
      </c>
      <c r="K1204" s="8">
        <v>238</v>
      </c>
      <c r="L1204" s="8">
        <v>117.48563611491107</v>
      </c>
      <c r="M1204" t="s">
        <v>1306</v>
      </c>
      <c r="N1204" s="16" t="s">
        <v>22</v>
      </c>
      <c r="O1204" s="16" t="s">
        <v>22</v>
      </c>
      <c r="P1204" s="16" t="s">
        <v>28</v>
      </c>
      <c r="Q1204" s="10" t="s">
        <v>1030</v>
      </c>
      <c r="R1204" s="3" t="str">
        <f t="shared" si="36"/>
        <v>156</v>
      </c>
      <c r="S1204" s="3" t="str">
        <f t="shared" si="37"/>
        <v>103</v>
      </c>
      <c r="T1204" s="16" t="s">
        <v>38</v>
      </c>
      <c r="U1204" s="3">
        <v>18.081</v>
      </c>
      <c r="V1204" s="16" t="str">
        <f>PROPER(Table1[[#This Row],[CVD Risk Level]])</f>
        <v>Intermediary</v>
      </c>
    </row>
    <row r="1205" spans="1:22" x14ac:dyDescent="0.3">
      <c r="A1205" t="s">
        <v>31</v>
      </c>
      <c r="B1205" s="8">
        <v>33</v>
      </c>
      <c r="C1205" s="8">
        <v>74.183999999999997</v>
      </c>
      <c r="D1205" s="5">
        <v>1.966</v>
      </c>
      <c r="E1205" s="5">
        <v>32.116</v>
      </c>
      <c r="F1205" s="16" t="s">
        <v>1302</v>
      </c>
      <c r="G1205" s="11">
        <v>0.45100000000000001</v>
      </c>
      <c r="H1205" s="5">
        <v>88.628</v>
      </c>
      <c r="I1205" s="8">
        <v>77</v>
      </c>
      <c r="J1205" s="8">
        <v>135</v>
      </c>
      <c r="K1205" s="8">
        <v>242</v>
      </c>
      <c r="L1205" s="8">
        <v>112</v>
      </c>
      <c r="M1205" t="s">
        <v>1306</v>
      </c>
      <c r="N1205" s="16" t="s">
        <v>23</v>
      </c>
      <c r="O1205" s="16" t="s">
        <v>23</v>
      </c>
      <c r="P1205" s="16" t="s">
        <v>24</v>
      </c>
      <c r="Q1205" s="10" t="s">
        <v>1031</v>
      </c>
      <c r="R1205" s="3" t="str">
        <f t="shared" si="36"/>
        <v>171</v>
      </c>
      <c r="S1205" s="3" t="str">
        <f t="shared" si="37"/>
        <v>76</v>
      </c>
      <c r="T1205" s="16" t="s">
        <v>38</v>
      </c>
      <c r="U1205" s="3">
        <v>21.812999999999999</v>
      </c>
      <c r="V1205" s="16" t="str">
        <f>PROPER(Table1[[#This Row],[CVD Risk Level]])</f>
        <v>High</v>
      </c>
    </row>
    <row r="1206" spans="1:22" x14ac:dyDescent="0.3">
      <c r="A1206" t="s">
        <v>20</v>
      </c>
      <c r="B1206" s="8">
        <v>55</v>
      </c>
      <c r="C1206" s="8">
        <v>63.18</v>
      </c>
      <c r="D1206" s="5">
        <v>1.954</v>
      </c>
      <c r="E1206" s="5">
        <v>16.547428103284449</v>
      </c>
      <c r="F1206" s="16" t="s">
        <v>1304</v>
      </c>
      <c r="G1206" s="11">
        <v>0.38193449334698054</v>
      </c>
      <c r="H1206" s="5">
        <v>74.63</v>
      </c>
      <c r="I1206" s="8">
        <v>73</v>
      </c>
      <c r="J1206" s="8">
        <v>143</v>
      </c>
      <c r="K1206" s="8">
        <v>246</v>
      </c>
      <c r="L1206" s="8">
        <v>122</v>
      </c>
      <c r="M1206" t="s">
        <v>1306</v>
      </c>
      <c r="N1206" s="16" t="s">
        <v>22</v>
      </c>
      <c r="O1206" s="16" t="s">
        <v>23</v>
      </c>
      <c r="P1206" s="16" t="s">
        <v>24</v>
      </c>
      <c r="Q1206" s="10" t="s">
        <v>1032</v>
      </c>
      <c r="R1206" s="3" t="str">
        <f t="shared" si="36"/>
        <v>152</v>
      </c>
      <c r="S1206" s="3" t="str">
        <f t="shared" si="37"/>
        <v>61</v>
      </c>
      <c r="T1206" s="16" t="s">
        <v>38</v>
      </c>
      <c r="U1206" s="3">
        <v>19.07</v>
      </c>
      <c r="V1206" s="16" t="str">
        <f>PROPER(Table1[[#This Row],[CVD Risk Level]])</f>
        <v>Intermediary</v>
      </c>
    </row>
    <row r="1207" spans="1:22" x14ac:dyDescent="0.3">
      <c r="A1207" t="s">
        <v>20</v>
      </c>
      <c r="B1207" s="8">
        <v>51</v>
      </c>
      <c r="C1207" s="8">
        <v>81.921999999999997</v>
      </c>
      <c r="D1207" s="5">
        <v>1.5660000000000001</v>
      </c>
      <c r="E1207" s="5">
        <v>29.849</v>
      </c>
      <c r="F1207" s="16" t="s">
        <v>1303</v>
      </c>
      <c r="G1207" s="11">
        <v>0.57199999999999995</v>
      </c>
      <c r="H1207" s="5">
        <v>89.554000000000002</v>
      </c>
      <c r="I1207" s="8">
        <v>87</v>
      </c>
      <c r="J1207" s="8">
        <v>78</v>
      </c>
      <c r="K1207" s="8">
        <v>195</v>
      </c>
      <c r="L1207" s="8">
        <v>112</v>
      </c>
      <c r="M1207" t="s">
        <v>1306</v>
      </c>
      <c r="N1207" s="16" t="s">
        <v>22</v>
      </c>
      <c r="O1207" s="16" t="s">
        <v>23</v>
      </c>
      <c r="P1207" s="16" t="s">
        <v>37</v>
      </c>
      <c r="Q1207" s="10" t="s">
        <v>1033</v>
      </c>
      <c r="R1207" s="3" t="str">
        <f t="shared" si="36"/>
        <v>95</v>
      </c>
      <c r="S1207" s="3" t="str">
        <f t="shared" si="37"/>
        <v>115</v>
      </c>
      <c r="T1207" s="16" t="s">
        <v>38</v>
      </c>
      <c r="U1207" s="3">
        <v>16.960925291295425</v>
      </c>
      <c r="V1207" s="16" t="str">
        <f>PROPER(Table1[[#This Row],[CVD Risk Level]])</f>
        <v>Low</v>
      </c>
    </row>
    <row r="1208" spans="1:22" x14ac:dyDescent="0.3">
      <c r="A1208" t="s">
        <v>31</v>
      </c>
      <c r="B1208" s="8">
        <v>47.025499655410059</v>
      </c>
      <c r="C1208" s="8">
        <v>59.493000000000002</v>
      </c>
      <c r="D1208" s="5">
        <v>1.8959999999999999</v>
      </c>
      <c r="E1208" s="5">
        <v>25.012</v>
      </c>
      <c r="F1208" s="16" t="s">
        <v>1303</v>
      </c>
      <c r="G1208" s="11">
        <v>0.439</v>
      </c>
      <c r="H1208" s="5">
        <v>83.275999999999996</v>
      </c>
      <c r="I1208" s="8">
        <v>83</v>
      </c>
      <c r="J1208" s="8">
        <v>113</v>
      </c>
      <c r="K1208" s="8">
        <v>226</v>
      </c>
      <c r="L1208" s="8">
        <v>174</v>
      </c>
      <c r="M1208" t="s">
        <v>1307</v>
      </c>
      <c r="N1208" s="16" t="s">
        <v>23</v>
      </c>
      <c r="O1208" s="16" t="s">
        <v>22</v>
      </c>
      <c r="P1208" s="16" t="s">
        <v>37</v>
      </c>
      <c r="Q1208" s="10" t="s">
        <v>1034</v>
      </c>
      <c r="R1208" s="3" t="str">
        <f t="shared" si="36"/>
        <v>120</v>
      </c>
      <c r="S1208" s="3" t="str">
        <f t="shared" si="37"/>
        <v>61</v>
      </c>
      <c r="T1208" s="16" t="s">
        <v>25</v>
      </c>
      <c r="U1208" s="3">
        <v>15.522</v>
      </c>
      <c r="V1208" s="16" t="str">
        <f>PROPER(Table1[[#This Row],[CVD Risk Level]])</f>
        <v>Low</v>
      </c>
    </row>
    <row r="1209" spans="1:22" x14ac:dyDescent="0.3">
      <c r="A1209" t="s">
        <v>31</v>
      </c>
      <c r="B1209" s="8">
        <v>73</v>
      </c>
      <c r="C1209" s="8">
        <v>117.136</v>
      </c>
      <c r="D1209" s="5">
        <v>1.637</v>
      </c>
      <c r="E1209" s="5">
        <v>30.518000000000001</v>
      </c>
      <c r="F1209" s="16" t="s">
        <v>1302</v>
      </c>
      <c r="G1209" s="11">
        <v>0.64700000000000002</v>
      </c>
      <c r="H1209" s="5">
        <v>105.836</v>
      </c>
      <c r="I1209" s="8">
        <v>83</v>
      </c>
      <c r="J1209" s="8">
        <v>99</v>
      </c>
      <c r="K1209" s="8">
        <v>364</v>
      </c>
      <c r="L1209" s="8">
        <v>106</v>
      </c>
      <c r="M1209" t="s">
        <v>1306</v>
      </c>
      <c r="N1209" s="16" t="s">
        <v>22</v>
      </c>
      <c r="O1209" s="16" t="s">
        <v>23</v>
      </c>
      <c r="P1209" s="16" t="s">
        <v>24</v>
      </c>
      <c r="Q1209" s="10" t="s">
        <v>1035</v>
      </c>
      <c r="R1209" s="3" t="str">
        <f t="shared" si="36"/>
        <v>168</v>
      </c>
      <c r="S1209" s="3" t="str">
        <f t="shared" si="37"/>
        <v>61</v>
      </c>
      <c r="T1209" s="16" t="s">
        <v>38</v>
      </c>
      <c r="U1209" s="3">
        <v>20.744</v>
      </c>
      <c r="V1209" s="16" t="str">
        <f>PROPER(Table1[[#This Row],[CVD Risk Level]])</f>
        <v>High</v>
      </c>
    </row>
    <row r="1210" spans="1:22" x14ac:dyDescent="0.3">
      <c r="A1210" t="s">
        <v>20</v>
      </c>
      <c r="B1210" s="8">
        <v>28</v>
      </c>
      <c r="C1210" s="8">
        <v>116.072</v>
      </c>
      <c r="D1210" s="5">
        <v>1.508</v>
      </c>
      <c r="E1210" s="5">
        <v>19.613</v>
      </c>
      <c r="F1210" s="16" t="s">
        <v>33</v>
      </c>
      <c r="G1210" s="11">
        <v>0.627</v>
      </c>
      <c r="H1210" s="5">
        <v>94.575999999999993</v>
      </c>
      <c r="I1210" s="8">
        <v>50</v>
      </c>
      <c r="J1210" s="8">
        <v>63</v>
      </c>
      <c r="K1210" s="8">
        <v>143</v>
      </c>
      <c r="L1210" s="8">
        <v>120</v>
      </c>
      <c r="M1210" t="s">
        <v>1306</v>
      </c>
      <c r="N1210" s="16" t="s">
        <v>22</v>
      </c>
      <c r="O1210" s="16" t="s">
        <v>22</v>
      </c>
      <c r="P1210" s="16" t="s">
        <v>24</v>
      </c>
      <c r="Q1210" s="10" t="s">
        <v>1036</v>
      </c>
      <c r="R1210" s="3" t="str">
        <f t="shared" si="36"/>
        <v>97</v>
      </c>
      <c r="S1210" s="3" t="str">
        <f t="shared" si="37"/>
        <v>101</v>
      </c>
      <c r="T1210" s="16" t="s">
        <v>38</v>
      </c>
      <c r="U1210" s="3">
        <v>11.632999999999999</v>
      </c>
      <c r="V1210" s="16" t="str">
        <f>PROPER(Table1[[#This Row],[CVD Risk Level]])</f>
        <v>Low</v>
      </c>
    </row>
    <row r="1211" spans="1:22" x14ac:dyDescent="0.3">
      <c r="A1211" t="s">
        <v>20</v>
      </c>
      <c r="B1211" s="8">
        <v>66</v>
      </c>
      <c r="C1211" s="8">
        <v>99.887</v>
      </c>
      <c r="D1211" s="5">
        <v>1.738</v>
      </c>
      <c r="E1211" s="5">
        <v>29.832999999999998</v>
      </c>
      <c r="F1211" s="16" t="s">
        <v>1303</v>
      </c>
      <c r="G1211" s="11">
        <v>0.48199999999999998</v>
      </c>
      <c r="H1211" s="5">
        <v>83.744</v>
      </c>
      <c r="I1211" s="8">
        <v>82</v>
      </c>
      <c r="J1211" s="8">
        <v>171</v>
      </c>
      <c r="K1211" s="8">
        <v>283</v>
      </c>
      <c r="L1211" s="8">
        <v>122</v>
      </c>
      <c r="M1211" t="s">
        <v>1306</v>
      </c>
      <c r="N1211" s="16" t="s">
        <v>23</v>
      </c>
      <c r="O1211" s="16" t="s">
        <v>23</v>
      </c>
      <c r="P1211" s="16" t="s">
        <v>24</v>
      </c>
      <c r="Q1211" s="10" t="s">
        <v>1037</v>
      </c>
      <c r="R1211" s="3" t="str">
        <f t="shared" si="36"/>
        <v>144</v>
      </c>
      <c r="S1211" s="3" t="str">
        <f t="shared" si="37"/>
        <v>105</v>
      </c>
      <c r="T1211" s="16" t="s">
        <v>38</v>
      </c>
      <c r="U1211" s="3">
        <v>20.827000000000002</v>
      </c>
      <c r="V1211" s="16" t="str">
        <f>PROPER(Table1[[#This Row],[CVD Risk Level]])</f>
        <v>Intermediary</v>
      </c>
    </row>
    <row r="1212" spans="1:22" x14ac:dyDescent="0.3">
      <c r="A1212" t="s">
        <v>20</v>
      </c>
      <c r="B1212" s="8">
        <v>74</v>
      </c>
      <c r="C1212" s="8">
        <v>68.647999999999996</v>
      </c>
      <c r="D1212" s="5">
        <v>1.665</v>
      </c>
      <c r="E1212" s="5">
        <v>24.762780798816831</v>
      </c>
      <c r="F1212" s="16" t="s">
        <v>33</v>
      </c>
      <c r="G1212" s="11">
        <v>0.66800000000000004</v>
      </c>
      <c r="H1212" s="5">
        <v>111.22200000000001</v>
      </c>
      <c r="I1212" s="8">
        <v>64</v>
      </c>
      <c r="J1212" s="8">
        <v>17</v>
      </c>
      <c r="K1212" s="8">
        <v>111</v>
      </c>
      <c r="L1212" s="8">
        <v>198</v>
      </c>
      <c r="M1212" t="s">
        <v>1307</v>
      </c>
      <c r="N1212" s="16" t="s">
        <v>22</v>
      </c>
      <c r="O1212" s="16" t="s">
        <v>23</v>
      </c>
      <c r="P1212" s="16" t="s">
        <v>24</v>
      </c>
      <c r="Q1212" s="10" t="s">
        <v>1038</v>
      </c>
      <c r="R1212" s="3" t="str">
        <f t="shared" si="36"/>
        <v>152</v>
      </c>
      <c r="S1212" s="3" t="str">
        <f t="shared" si="37"/>
        <v>108</v>
      </c>
      <c r="T1212" s="16" t="s">
        <v>38</v>
      </c>
      <c r="U1212" s="3">
        <v>17.794</v>
      </c>
      <c r="V1212" s="16" t="str">
        <f>PROPER(Table1[[#This Row],[CVD Risk Level]])</f>
        <v>Low</v>
      </c>
    </row>
    <row r="1213" spans="1:22" x14ac:dyDescent="0.3">
      <c r="A1213" t="s">
        <v>31</v>
      </c>
      <c r="B1213" s="8">
        <v>44</v>
      </c>
      <c r="C1213" s="8">
        <v>106.965</v>
      </c>
      <c r="D1213" s="5">
        <v>1.8680000000000001</v>
      </c>
      <c r="E1213" s="5">
        <v>37.476999999999997</v>
      </c>
      <c r="F1213" s="16" t="s">
        <v>1302</v>
      </c>
      <c r="G1213" s="11">
        <v>0.60499999999999998</v>
      </c>
      <c r="H1213" s="5">
        <v>113.002</v>
      </c>
      <c r="I1213" s="8">
        <v>88</v>
      </c>
      <c r="J1213" s="8">
        <v>177</v>
      </c>
      <c r="K1213" s="8">
        <v>295</v>
      </c>
      <c r="L1213" s="8">
        <v>151</v>
      </c>
      <c r="M1213" t="s">
        <v>1307</v>
      </c>
      <c r="N1213" s="16" t="s">
        <v>23</v>
      </c>
      <c r="O1213" s="16" t="s">
        <v>23</v>
      </c>
      <c r="P1213" s="16" t="s">
        <v>24</v>
      </c>
      <c r="Q1213" s="10" t="s">
        <v>1039</v>
      </c>
      <c r="R1213" s="3" t="str">
        <f t="shared" si="36"/>
        <v>156</v>
      </c>
      <c r="S1213" s="3" t="str">
        <f t="shared" si="37"/>
        <v>68</v>
      </c>
      <c r="T1213" s="16" t="s">
        <v>38</v>
      </c>
      <c r="U1213" s="3">
        <v>23.195</v>
      </c>
      <c r="V1213" s="16" t="str">
        <f>PROPER(Table1[[#This Row],[CVD Risk Level]])</f>
        <v>High</v>
      </c>
    </row>
    <row r="1214" spans="1:22" x14ac:dyDescent="0.3">
      <c r="A1214" t="s">
        <v>20</v>
      </c>
      <c r="B1214" s="8">
        <v>61</v>
      </c>
      <c r="C1214" s="8">
        <v>57.841000000000001</v>
      </c>
      <c r="D1214" s="5">
        <v>1.7889999999999999</v>
      </c>
      <c r="E1214" s="5">
        <v>27.015000000000001</v>
      </c>
      <c r="F1214" s="16" t="s">
        <v>1303</v>
      </c>
      <c r="G1214" s="11">
        <v>0.39632196757965343</v>
      </c>
      <c r="H1214" s="5">
        <v>70.902000000000001</v>
      </c>
      <c r="I1214" s="8">
        <v>77</v>
      </c>
      <c r="J1214" s="8">
        <v>173</v>
      </c>
      <c r="K1214" s="8">
        <v>280</v>
      </c>
      <c r="L1214" s="8">
        <v>187</v>
      </c>
      <c r="M1214" t="s">
        <v>1307</v>
      </c>
      <c r="N1214" s="16" t="s">
        <v>23</v>
      </c>
      <c r="O1214" s="16" t="s">
        <v>22</v>
      </c>
      <c r="P1214" s="16" t="s">
        <v>24</v>
      </c>
      <c r="Q1214" s="10" t="s">
        <v>1012</v>
      </c>
      <c r="R1214" s="3" t="str">
        <f t="shared" si="36"/>
        <v>154</v>
      </c>
      <c r="S1214" s="3" t="str">
        <f t="shared" si="37"/>
        <v>71</v>
      </c>
      <c r="T1214" s="16" t="s">
        <v>38</v>
      </c>
      <c r="U1214" s="3">
        <v>18.702999999999999</v>
      </c>
      <c r="V1214" s="16" t="str">
        <f>PROPER(Table1[[#This Row],[CVD Risk Level]])</f>
        <v>High</v>
      </c>
    </row>
    <row r="1215" spans="1:22" x14ac:dyDescent="0.3">
      <c r="A1215" t="s">
        <v>31</v>
      </c>
      <c r="B1215" s="8">
        <v>32</v>
      </c>
      <c r="C1215" s="8">
        <v>51.237000000000002</v>
      </c>
      <c r="D1215" s="5">
        <v>1.544</v>
      </c>
      <c r="E1215" s="5">
        <v>21.132999999999999</v>
      </c>
      <c r="F1215" s="16" t="s">
        <v>33</v>
      </c>
      <c r="G1215" s="11">
        <v>0.47099999999999997</v>
      </c>
      <c r="H1215" s="5">
        <v>72.805999999999997</v>
      </c>
      <c r="I1215" s="8">
        <v>47</v>
      </c>
      <c r="J1215" s="8">
        <v>45</v>
      </c>
      <c r="K1215" s="8">
        <v>122</v>
      </c>
      <c r="L1215" s="8">
        <v>176</v>
      </c>
      <c r="M1215" t="s">
        <v>1307</v>
      </c>
      <c r="N1215" s="16" t="s">
        <v>22</v>
      </c>
      <c r="O1215" s="16" t="s">
        <v>23</v>
      </c>
      <c r="P1215" s="16" t="s">
        <v>24</v>
      </c>
      <c r="Q1215" s="10" t="s">
        <v>1040</v>
      </c>
      <c r="R1215" s="3" t="str">
        <f t="shared" si="36"/>
        <v>146</v>
      </c>
      <c r="S1215" s="3" t="str">
        <f t="shared" si="37"/>
        <v>118</v>
      </c>
      <c r="T1215" s="16" t="s">
        <v>38</v>
      </c>
      <c r="U1215" s="3">
        <v>15.967000000000001</v>
      </c>
      <c r="V1215" s="16" t="str">
        <f>PROPER(Table1[[#This Row],[CVD Risk Level]])</f>
        <v>Low</v>
      </c>
    </row>
    <row r="1216" spans="1:22" x14ac:dyDescent="0.3">
      <c r="A1216" t="s">
        <v>31</v>
      </c>
      <c r="B1216" s="8">
        <v>79</v>
      </c>
      <c r="C1216" s="8">
        <v>84.51</v>
      </c>
      <c r="D1216" s="5">
        <v>1.6839999999999999</v>
      </c>
      <c r="E1216" s="5">
        <v>19.545999999999999</v>
      </c>
      <c r="F1216" s="16" t="s">
        <v>33</v>
      </c>
      <c r="G1216" s="11">
        <v>0.58099999999999996</v>
      </c>
      <c r="H1216" s="5">
        <v>97.86</v>
      </c>
      <c r="I1216" s="8">
        <v>63</v>
      </c>
      <c r="J1216" s="8">
        <v>22</v>
      </c>
      <c r="K1216" s="8">
        <v>115</v>
      </c>
      <c r="L1216" s="8">
        <v>120</v>
      </c>
      <c r="M1216" t="s">
        <v>1306</v>
      </c>
      <c r="N1216" s="16" t="s">
        <v>22</v>
      </c>
      <c r="O1216" s="16" t="s">
        <v>22</v>
      </c>
      <c r="P1216" s="16" t="s">
        <v>37</v>
      </c>
      <c r="Q1216" s="10" t="s">
        <v>1041</v>
      </c>
      <c r="R1216" s="3" t="str">
        <f t="shared" si="36"/>
        <v>157</v>
      </c>
      <c r="S1216" s="3" t="str">
        <f t="shared" si="37"/>
        <v>65</v>
      </c>
      <c r="T1216" s="16" t="s">
        <v>38</v>
      </c>
      <c r="U1216" s="3">
        <v>14.058999999999999</v>
      </c>
      <c r="V1216" s="16" t="str">
        <f>PROPER(Table1[[#This Row],[CVD Risk Level]])</f>
        <v>Intermediary</v>
      </c>
    </row>
    <row r="1217" spans="1:22" x14ac:dyDescent="0.3">
      <c r="A1217" t="s">
        <v>20</v>
      </c>
      <c r="B1217" s="8">
        <v>29</v>
      </c>
      <c r="C1217" s="8">
        <v>109.058527424</v>
      </c>
      <c r="D1217" s="5">
        <v>1.6719999999999999</v>
      </c>
      <c r="E1217" s="5">
        <v>39.011000000000003</v>
      </c>
      <c r="F1217" s="16" t="s">
        <v>1302</v>
      </c>
      <c r="G1217" s="11">
        <v>0.68799999999999994</v>
      </c>
      <c r="H1217" s="5">
        <v>114.98099999999999</v>
      </c>
      <c r="I1217" s="8">
        <v>34</v>
      </c>
      <c r="J1217" s="8">
        <v>111</v>
      </c>
      <c r="K1217" s="8">
        <v>175</v>
      </c>
      <c r="L1217" s="8">
        <v>178</v>
      </c>
      <c r="M1217" t="s">
        <v>1307</v>
      </c>
      <c r="N1217" s="16" t="s">
        <v>23</v>
      </c>
      <c r="O1217" s="16" t="s">
        <v>22</v>
      </c>
      <c r="P1217" s="16" t="s">
        <v>28</v>
      </c>
      <c r="Q1217" s="10" t="s">
        <v>1042</v>
      </c>
      <c r="R1217" s="3" t="str">
        <f t="shared" si="36"/>
        <v>123</v>
      </c>
      <c r="S1217" s="3" t="str">
        <f t="shared" si="37"/>
        <v>114</v>
      </c>
      <c r="T1217" s="16" t="s">
        <v>38</v>
      </c>
      <c r="U1217" s="3">
        <v>16.960925291295425</v>
      </c>
      <c r="V1217" s="16" t="str">
        <f>PROPER(Table1[[#This Row],[CVD Risk Level]])</f>
        <v>Low</v>
      </c>
    </row>
    <row r="1218" spans="1:22" x14ac:dyDescent="0.3">
      <c r="A1218" t="s">
        <v>20</v>
      </c>
      <c r="B1218" s="8">
        <v>75</v>
      </c>
      <c r="C1218" s="8">
        <v>119.42100000000001</v>
      </c>
      <c r="D1218" s="5">
        <v>1.6140000000000001</v>
      </c>
      <c r="E1218" s="5">
        <v>20.669</v>
      </c>
      <c r="F1218" s="16" t="s">
        <v>33</v>
      </c>
      <c r="G1218" s="11">
        <v>0.62</v>
      </c>
      <c r="H1218" s="5">
        <v>100.03</v>
      </c>
      <c r="I1218" s="8">
        <v>42</v>
      </c>
      <c r="J1218" s="8">
        <v>91</v>
      </c>
      <c r="K1218" s="8">
        <v>163</v>
      </c>
      <c r="L1218" s="8">
        <v>117.48563611491107</v>
      </c>
      <c r="M1218" t="s">
        <v>1306</v>
      </c>
      <c r="N1218" s="16" t="s">
        <v>22</v>
      </c>
      <c r="O1218" s="16" t="s">
        <v>22</v>
      </c>
      <c r="P1218" s="16" t="s">
        <v>24</v>
      </c>
      <c r="Q1218" s="10" t="s">
        <v>1043</v>
      </c>
      <c r="R1218" s="3" t="str">
        <f t="shared" si="36"/>
        <v>111</v>
      </c>
      <c r="S1218" s="3" t="str">
        <f t="shared" si="37"/>
        <v>82</v>
      </c>
      <c r="T1218" s="16" t="s">
        <v>29</v>
      </c>
      <c r="U1218" s="3">
        <v>12.944000000000001</v>
      </c>
      <c r="V1218" s="16" t="str">
        <f>PROPER(Table1[[#This Row],[CVD Risk Level]])</f>
        <v>Low</v>
      </c>
    </row>
    <row r="1219" spans="1:22" x14ac:dyDescent="0.3">
      <c r="A1219" t="s">
        <v>31</v>
      </c>
      <c r="B1219" s="8">
        <v>39</v>
      </c>
      <c r="C1219" s="8">
        <v>89.867999999999995</v>
      </c>
      <c r="D1219" s="5">
        <v>1.8640000000000001</v>
      </c>
      <c r="E1219" s="5">
        <v>38.767000000000003</v>
      </c>
      <c r="F1219" s="16" t="s">
        <v>1302</v>
      </c>
      <c r="G1219" s="11">
        <v>0.52400000000000002</v>
      </c>
      <c r="H1219" s="5">
        <v>97.74</v>
      </c>
      <c r="I1219" s="8">
        <v>38</v>
      </c>
      <c r="J1219" s="8">
        <v>101</v>
      </c>
      <c r="K1219" s="8">
        <v>169</v>
      </c>
      <c r="L1219" s="8">
        <v>154</v>
      </c>
      <c r="M1219" t="s">
        <v>1307</v>
      </c>
      <c r="N1219" s="16" t="s">
        <v>22</v>
      </c>
      <c r="O1219" s="16" t="s">
        <v>23</v>
      </c>
      <c r="P1219" s="16" t="s">
        <v>24</v>
      </c>
      <c r="Q1219" s="10" t="s">
        <v>1044</v>
      </c>
      <c r="R1219" s="3" t="str">
        <f t="shared" ref="R1219:R1282" si="38">LEFT(Q1219,FIND("/",Q1219)-1)</f>
        <v>178</v>
      </c>
      <c r="S1219" s="3" t="str">
        <f t="shared" ref="S1219:S1282" si="39">RIGHT(Q1219,LEN(Q1219)-FIND("/",Q1219))</f>
        <v>111</v>
      </c>
      <c r="T1219" s="16" t="s">
        <v>38</v>
      </c>
      <c r="U1219" s="3">
        <v>22.033000000000001</v>
      </c>
      <c r="V1219" s="16" t="str">
        <f>PROPER(Table1[[#This Row],[CVD Risk Level]])</f>
        <v>Low</v>
      </c>
    </row>
    <row r="1220" spans="1:22" x14ac:dyDescent="0.3">
      <c r="A1220" t="s">
        <v>20</v>
      </c>
      <c r="B1220" s="8">
        <v>49</v>
      </c>
      <c r="C1220" s="8">
        <v>99.522000000000006</v>
      </c>
      <c r="D1220" s="5">
        <v>1.9690000000000001</v>
      </c>
      <c r="E1220" s="5">
        <v>25.670106044399205</v>
      </c>
      <c r="F1220" s="16" t="s">
        <v>1303</v>
      </c>
      <c r="G1220" s="11">
        <v>0.437</v>
      </c>
      <c r="H1220" s="5">
        <v>85.954999999999998</v>
      </c>
      <c r="I1220" s="8">
        <v>55</v>
      </c>
      <c r="J1220" s="8">
        <v>50</v>
      </c>
      <c r="K1220" s="8">
        <v>135</v>
      </c>
      <c r="L1220" s="8">
        <v>120</v>
      </c>
      <c r="M1220" t="s">
        <v>1306</v>
      </c>
      <c r="N1220" s="16" t="s">
        <v>22</v>
      </c>
      <c r="O1220" s="16" t="s">
        <v>23</v>
      </c>
      <c r="P1220" s="16" t="s">
        <v>28</v>
      </c>
      <c r="Q1220" s="10" t="s">
        <v>130</v>
      </c>
      <c r="R1220" s="3" t="str">
        <f t="shared" si="38"/>
        <v>127</v>
      </c>
      <c r="S1220" s="3" t="str">
        <f t="shared" si="39"/>
        <v>98</v>
      </c>
      <c r="T1220" s="16" t="s">
        <v>38</v>
      </c>
      <c r="U1220" s="3">
        <v>15.167999999999999</v>
      </c>
      <c r="V1220" s="16" t="str">
        <f>PROPER(Table1[[#This Row],[CVD Risk Level]])</f>
        <v>Intermediary</v>
      </c>
    </row>
    <row r="1221" spans="1:22" x14ac:dyDescent="0.3">
      <c r="A1221" t="s">
        <v>20</v>
      </c>
      <c r="B1221" s="8">
        <v>47</v>
      </c>
      <c r="C1221" s="8">
        <v>72.641000000000005</v>
      </c>
      <c r="D1221" s="5">
        <v>1.9370000000000001</v>
      </c>
      <c r="E1221" s="5">
        <v>22.629000000000001</v>
      </c>
      <c r="F1221" s="16" t="s">
        <v>33</v>
      </c>
      <c r="G1221" s="11">
        <v>0.49199999999999999</v>
      </c>
      <c r="H1221" s="5">
        <v>95.209000000000003</v>
      </c>
      <c r="I1221" s="8">
        <v>34</v>
      </c>
      <c r="J1221" s="8">
        <v>69</v>
      </c>
      <c r="K1221" s="8">
        <v>133</v>
      </c>
      <c r="L1221" s="8">
        <v>120</v>
      </c>
      <c r="M1221" t="s">
        <v>1306</v>
      </c>
      <c r="N1221" s="16" t="s">
        <v>23</v>
      </c>
      <c r="O1221" s="16" t="s">
        <v>22</v>
      </c>
      <c r="P1221" s="16" t="s">
        <v>24</v>
      </c>
      <c r="Q1221" s="10" t="s">
        <v>1045</v>
      </c>
      <c r="R1221" s="3" t="str">
        <f t="shared" si="38"/>
        <v>139</v>
      </c>
      <c r="S1221" s="3" t="str">
        <f t="shared" si="39"/>
        <v>108</v>
      </c>
      <c r="T1221" s="16" t="s">
        <v>29</v>
      </c>
      <c r="U1221" s="3">
        <v>14.135999999999999</v>
      </c>
      <c r="V1221" s="16" t="str">
        <f>PROPER(Table1[[#This Row],[CVD Risk Level]])</f>
        <v>Intermediary</v>
      </c>
    </row>
    <row r="1222" spans="1:22" x14ac:dyDescent="0.3">
      <c r="A1222" t="s">
        <v>20</v>
      </c>
      <c r="B1222" s="8">
        <v>44</v>
      </c>
      <c r="C1222" s="8">
        <v>84.462999999999994</v>
      </c>
      <c r="D1222" s="5">
        <v>1.84</v>
      </c>
      <c r="E1222" s="5">
        <v>24.947719754253306</v>
      </c>
      <c r="F1222" s="16" t="s">
        <v>33</v>
      </c>
      <c r="G1222" s="11">
        <v>0.39500000000000002</v>
      </c>
      <c r="H1222" s="5">
        <v>72.656999999999996</v>
      </c>
      <c r="I1222" s="8">
        <v>53</v>
      </c>
      <c r="J1222" s="8">
        <v>27</v>
      </c>
      <c r="K1222" s="8">
        <v>110</v>
      </c>
      <c r="L1222" s="8">
        <v>117.48563611491107</v>
      </c>
      <c r="M1222" t="s">
        <v>1306</v>
      </c>
      <c r="N1222" s="16" t="s">
        <v>23</v>
      </c>
      <c r="O1222" s="16" t="s">
        <v>23</v>
      </c>
      <c r="P1222" s="16" t="s">
        <v>28</v>
      </c>
      <c r="Q1222" s="10" t="s">
        <v>1046</v>
      </c>
      <c r="R1222" s="3" t="str">
        <f t="shared" si="38"/>
        <v>93</v>
      </c>
      <c r="S1222" s="3" t="str">
        <f t="shared" si="39"/>
        <v>96</v>
      </c>
      <c r="T1222" s="16" t="s">
        <v>38</v>
      </c>
      <c r="U1222" s="3">
        <v>16.047000000000001</v>
      </c>
      <c r="V1222" s="16" t="str">
        <f>PROPER(Table1[[#This Row],[CVD Risk Level]])</f>
        <v>Intermediary</v>
      </c>
    </row>
    <row r="1223" spans="1:22" x14ac:dyDescent="0.3">
      <c r="A1223" t="s">
        <v>31</v>
      </c>
      <c r="B1223" s="8">
        <v>45</v>
      </c>
      <c r="C1223" s="8">
        <v>94.435000000000002</v>
      </c>
      <c r="D1223" s="5">
        <v>1.528</v>
      </c>
      <c r="E1223" s="5">
        <v>39.621000000000002</v>
      </c>
      <c r="F1223" s="16" t="s">
        <v>1302</v>
      </c>
      <c r="G1223" s="11">
        <v>0.59499999999999997</v>
      </c>
      <c r="H1223" s="5">
        <v>90.915999999999997</v>
      </c>
      <c r="I1223" s="8">
        <v>86</v>
      </c>
      <c r="J1223" s="8">
        <v>168</v>
      </c>
      <c r="K1223" s="8">
        <v>284</v>
      </c>
      <c r="L1223" s="8">
        <v>144</v>
      </c>
      <c r="M1223" t="s">
        <v>1307</v>
      </c>
      <c r="N1223" s="16" t="s">
        <v>23</v>
      </c>
      <c r="O1223" s="16" t="s">
        <v>22</v>
      </c>
      <c r="P1223" s="16" t="s">
        <v>24</v>
      </c>
      <c r="Q1223" s="10" t="s">
        <v>1047</v>
      </c>
      <c r="R1223" s="3" t="str">
        <f t="shared" si="38"/>
        <v>167</v>
      </c>
      <c r="S1223" s="3" t="str">
        <f t="shared" si="39"/>
        <v>90</v>
      </c>
      <c r="T1223" s="16" t="s">
        <v>38</v>
      </c>
      <c r="U1223" s="3">
        <v>21.954000000000001</v>
      </c>
      <c r="V1223" s="16" t="str">
        <f>PROPER(Table1[[#This Row],[CVD Risk Level]])</f>
        <v>Low</v>
      </c>
    </row>
    <row r="1224" spans="1:22" x14ac:dyDescent="0.3">
      <c r="A1224" t="s">
        <v>20</v>
      </c>
      <c r="B1224" s="8">
        <v>30</v>
      </c>
      <c r="C1224" s="8">
        <v>51.725999999999999</v>
      </c>
      <c r="D1224" s="5">
        <v>1.619</v>
      </c>
      <c r="E1224" s="5">
        <v>28.905999999999999</v>
      </c>
      <c r="F1224" s="16" t="s">
        <v>1303</v>
      </c>
      <c r="G1224" s="11">
        <v>0.60599999999999998</v>
      </c>
      <c r="H1224" s="5">
        <v>98.12</v>
      </c>
      <c r="I1224" s="8">
        <v>43</v>
      </c>
      <c r="J1224" s="8">
        <v>40</v>
      </c>
      <c r="K1224" s="8">
        <v>113</v>
      </c>
      <c r="L1224" s="8">
        <v>91</v>
      </c>
      <c r="M1224" t="s">
        <v>33</v>
      </c>
      <c r="N1224" s="16" t="s">
        <v>23</v>
      </c>
      <c r="O1224" s="16" t="s">
        <v>22</v>
      </c>
      <c r="P1224" s="16" t="s">
        <v>37</v>
      </c>
      <c r="Q1224" s="10" t="s">
        <v>1048</v>
      </c>
      <c r="R1224" s="3" t="str">
        <f t="shared" si="38"/>
        <v>173</v>
      </c>
      <c r="S1224" s="3" t="str">
        <f t="shared" si="39"/>
        <v>102</v>
      </c>
      <c r="T1224" s="16" t="s">
        <v>38</v>
      </c>
      <c r="U1224" s="3">
        <v>16.690999999999999</v>
      </c>
      <c r="V1224" s="16" t="str">
        <f>PROPER(Table1[[#This Row],[CVD Risk Level]])</f>
        <v>High</v>
      </c>
    </row>
    <row r="1225" spans="1:22" x14ac:dyDescent="0.3">
      <c r="A1225" t="s">
        <v>31</v>
      </c>
      <c r="B1225" s="8">
        <v>39</v>
      </c>
      <c r="C1225" s="8">
        <v>51.042999999999999</v>
      </c>
      <c r="D1225" s="5">
        <v>1.625</v>
      </c>
      <c r="E1225" s="5">
        <v>19.056000000000001</v>
      </c>
      <c r="F1225" s="16" t="s">
        <v>33</v>
      </c>
      <c r="G1225" s="11">
        <v>0.56000000000000005</v>
      </c>
      <c r="H1225" s="5">
        <v>90.965000000000003</v>
      </c>
      <c r="I1225" s="8">
        <v>56.197377501725327</v>
      </c>
      <c r="J1225" s="8">
        <v>61</v>
      </c>
      <c r="K1225" s="8">
        <v>179</v>
      </c>
      <c r="L1225" s="8">
        <v>131</v>
      </c>
      <c r="M1225" t="s">
        <v>1307</v>
      </c>
      <c r="N1225" s="16" t="s">
        <v>22</v>
      </c>
      <c r="O1225" s="16" t="s">
        <v>23</v>
      </c>
      <c r="P1225" s="16" t="s">
        <v>37</v>
      </c>
      <c r="Q1225" s="10" t="s">
        <v>1049</v>
      </c>
      <c r="R1225" s="3" t="str">
        <f t="shared" si="38"/>
        <v>119</v>
      </c>
      <c r="S1225" s="3" t="str">
        <f t="shared" si="39"/>
        <v>100</v>
      </c>
      <c r="T1225" s="16" t="s">
        <v>38</v>
      </c>
      <c r="U1225" s="3">
        <v>15.340999999999999</v>
      </c>
      <c r="V1225" s="16" t="str">
        <f>PROPER(Table1[[#This Row],[CVD Risk Level]])</f>
        <v>Low</v>
      </c>
    </row>
    <row r="1226" spans="1:22" x14ac:dyDescent="0.3">
      <c r="A1226" t="s">
        <v>20</v>
      </c>
      <c r="B1226" s="8">
        <v>38</v>
      </c>
      <c r="C1226" s="8">
        <v>50.625999999999998</v>
      </c>
      <c r="D1226" s="5">
        <v>1.9279999999999999</v>
      </c>
      <c r="E1226" s="5">
        <v>28.959</v>
      </c>
      <c r="F1226" s="16" t="s">
        <v>1303</v>
      </c>
      <c r="G1226" s="11">
        <v>0.58599999999999997</v>
      </c>
      <c r="H1226" s="5">
        <v>113.04</v>
      </c>
      <c r="I1226" s="8">
        <v>59</v>
      </c>
      <c r="J1226" s="8">
        <v>28</v>
      </c>
      <c r="K1226" s="8">
        <v>117</v>
      </c>
      <c r="L1226" s="8">
        <v>117.48563611491107</v>
      </c>
      <c r="M1226" t="s">
        <v>1306</v>
      </c>
      <c r="N1226" s="16" t="s">
        <v>22</v>
      </c>
      <c r="O1226" s="16" t="s">
        <v>22</v>
      </c>
      <c r="P1226" s="16" t="s">
        <v>24</v>
      </c>
      <c r="Q1226" s="10" t="s">
        <v>1050</v>
      </c>
      <c r="R1226" s="3" t="str">
        <f t="shared" si="38"/>
        <v>179</v>
      </c>
      <c r="S1226" s="3" t="str">
        <f t="shared" si="39"/>
        <v>94</v>
      </c>
      <c r="T1226" s="16" t="s">
        <v>38</v>
      </c>
      <c r="U1226" s="3">
        <v>17.082000000000001</v>
      </c>
      <c r="V1226" s="16" t="str">
        <f>PROPER(Table1[[#This Row],[CVD Risk Level]])</f>
        <v>Intermediary</v>
      </c>
    </row>
    <row r="1227" spans="1:22" x14ac:dyDescent="0.3">
      <c r="A1227" t="s">
        <v>20</v>
      </c>
      <c r="B1227" s="8">
        <v>72</v>
      </c>
      <c r="C1227" s="8">
        <v>63.320999999999998</v>
      </c>
      <c r="D1227" s="5">
        <v>1.722</v>
      </c>
      <c r="E1227" s="5">
        <v>28.718</v>
      </c>
      <c r="F1227" s="16" t="s">
        <v>1303</v>
      </c>
      <c r="G1227" s="11">
        <v>0.52400000000000002</v>
      </c>
      <c r="H1227" s="5">
        <v>90.281999999999996</v>
      </c>
      <c r="I1227" s="8">
        <v>34</v>
      </c>
      <c r="J1227" s="8">
        <v>94</v>
      </c>
      <c r="K1227" s="8">
        <v>158</v>
      </c>
      <c r="L1227" s="8">
        <v>175</v>
      </c>
      <c r="M1227" t="s">
        <v>1307</v>
      </c>
      <c r="N1227" s="16" t="s">
        <v>23</v>
      </c>
      <c r="O1227" s="16" t="s">
        <v>22</v>
      </c>
      <c r="P1227" s="16" t="s">
        <v>37</v>
      </c>
      <c r="Q1227" s="10" t="s">
        <v>741</v>
      </c>
      <c r="R1227" s="3" t="str">
        <f t="shared" si="38"/>
        <v>132</v>
      </c>
      <c r="S1227" s="3" t="str">
        <f t="shared" si="39"/>
        <v>76</v>
      </c>
      <c r="T1227" s="16" t="s">
        <v>29</v>
      </c>
      <c r="U1227" s="3">
        <v>15.504</v>
      </c>
      <c r="V1227" s="16" t="str">
        <f>PROPER(Table1[[#This Row],[CVD Risk Level]])</f>
        <v>High</v>
      </c>
    </row>
    <row r="1228" spans="1:22" x14ac:dyDescent="0.3">
      <c r="A1228" t="s">
        <v>20</v>
      </c>
      <c r="B1228" s="8">
        <v>40</v>
      </c>
      <c r="C1228" s="8">
        <v>58.029000000000003</v>
      </c>
      <c r="D1228" s="5">
        <v>1.8440000000000001</v>
      </c>
      <c r="E1228" s="5">
        <v>29.207000000000001</v>
      </c>
      <c r="F1228" s="16" t="s">
        <v>1303</v>
      </c>
      <c r="G1228" s="11">
        <v>0.501</v>
      </c>
      <c r="H1228" s="5">
        <v>92.4</v>
      </c>
      <c r="I1228" s="8">
        <v>42</v>
      </c>
      <c r="J1228" s="8">
        <v>201</v>
      </c>
      <c r="K1228" s="8">
        <v>273</v>
      </c>
      <c r="L1228" s="8">
        <v>103</v>
      </c>
      <c r="M1228" t="s">
        <v>1306</v>
      </c>
      <c r="N1228" s="16" t="s">
        <v>23</v>
      </c>
      <c r="O1228" s="16" t="s">
        <v>22</v>
      </c>
      <c r="P1228" s="16" t="s">
        <v>28</v>
      </c>
      <c r="Q1228" s="10" t="s">
        <v>1051</v>
      </c>
      <c r="R1228" s="3" t="str">
        <f t="shared" si="38"/>
        <v>140</v>
      </c>
      <c r="S1228" s="3" t="str">
        <f t="shared" si="39"/>
        <v>105</v>
      </c>
      <c r="T1228" s="16" t="s">
        <v>38</v>
      </c>
      <c r="U1228" s="3">
        <v>18.300999999999998</v>
      </c>
      <c r="V1228" s="16" t="str">
        <f>PROPER(Table1[[#This Row],[CVD Risk Level]])</f>
        <v>Low</v>
      </c>
    </row>
    <row r="1229" spans="1:22" x14ac:dyDescent="0.3">
      <c r="A1229" t="s">
        <v>31</v>
      </c>
      <c r="B1229" s="8">
        <v>38</v>
      </c>
      <c r="C1229" s="8">
        <v>85.623000000000005</v>
      </c>
      <c r="D1229" s="5">
        <v>1.6719999999999999</v>
      </c>
      <c r="E1229" s="5">
        <v>30.795000000000002</v>
      </c>
      <c r="F1229" s="16" t="s">
        <v>1302</v>
      </c>
      <c r="G1229" s="11">
        <v>0.56699999999999995</v>
      </c>
      <c r="H1229" s="5">
        <v>94.795000000000002</v>
      </c>
      <c r="I1229" s="8">
        <v>40</v>
      </c>
      <c r="J1229" s="8">
        <v>78</v>
      </c>
      <c r="K1229" s="8">
        <v>148</v>
      </c>
      <c r="L1229" s="8">
        <v>178</v>
      </c>
      <c r="M1229" t="s">
        <v>1307</v>
      </c>
      <c r="N1229" s="16" t="s">
        <v>22</v>
      </c>
      <c r="O1229" s="16" t="s">
        <v>22</v>
      </c>
      <c r="P1229" s="16" t="s">
        <v>37</v>
      </c>
      <c r="Q1229" s="10" t="s">
        <v>1052</v>
      </c>
      <c r="R1229" s="3" t="str">
        <f t="shared" si="38"/>
        <v>140</v>
      </c>
      <c r="S1229" s="3" t="str">
        <f t="shared" si="39"/>
        <v>87</v>
      </c>
      <c r="T1229" s="16" t="s">
        <v>29</v>
      </c>
      <c r="U1229" s="3">
        <v>16.119</v>
      </c>
      <c r="V1229" s="16" t="str">
        <f>PROPER(Table1[[#This Row],[CVD Risk Level]])</f>
        <v>Intermediary</v>
      </c>
    </row>
    <row r="1230" spans="1:22" x14ac:dyDescent="0.3">
      <c r="A1230" t="s">
        <v>31</v>
      </c>
      <c r="B1230" s="8">
        <v>30</v>
      </c>
      <c r="C1230" s="8">
        <v>72.192999999999998</v>
      </c>
      <c r="D1230" s="5">
        <v>1.5960000000000001</v>
      </c>
      <c r="E1230" s="5">
        <v>31.677</v>
      </c>
      <c r="F1230" s="16" t="s">
        <v>1302</v>
      </c>
      <c r="G1230" s="11">
        <v>0.66</v>
      </c>
      <c r="H1230" s="5">
        <v>105.31699999999999</v>
      </c>
      <c r="I1230" s="8">
        <v>79</v>
      </c>
      <c r="J1230" s="8">
        <v>137</v>
      </c>
      <c r="K1230" s="8">
        <v>246</v>
      </c>
      <c r="L1230" s="8">
        <v>72</v>
      </c>
      <c r="M1230" t="s">
        <v>33</v>
      </c>
      <c r="N1230" s="16" t="s">
        <v>23</v>
      </c>
      <c r="O1230" s="16" t="s">
        <v>22</v>
      </c>
      <c r="P1230" s="16" t="s">
        <v>24</v>
      </c>
      <c r="Q1230" s="10" t="s">
        <v>751</v>
      </c>
      <c r="R1230" s="3" t="str">
        <f t="shared" si="38"/>
        <v>116</v>
      </c>
      <c r="S1230" s="3" t="str">
        <f t="shared" si="39"/>
        <v>85</v>
      </c>
      <c r="T1230" s="16" t="s">
        <v>29</v>
      </c>
      <c r="U1230" s="3">
        <v>17.055</v>
      </c>
      <c r="V1230" s="16" t="str">
        <f>PROPER(Table1[[#This Row],[CVD Risk Level]])</f>
        <v>High</v>
      </c>
    </row>
    <row r="1231" spans="1:22" x14ac:dyDescent="0.3">
      <c r="A1231" t="s">
        <v>31</v>
      </c>
      <c r="B1231" s="8">
        <v>32</v>
      </c>
      <c r="C1231" s="8">
        <v>73.239000000000004</v>
      </c>
      <c r="D1231" s="5">
        <v>1.988</v>
      </c>
      <c r="E1231" s="5">
        <v>30.581</v>
      </c>
      <c r="F1231" s="16" t="s">
        <v>1302</v>
      </c>
      <c r="G1231" s="11">
        <v>0.59499999999999997</v>
      </c>
      <c r="H1231" s="5">
        <v>118.324</v>
      </c>
      <c r="I1231" s="8">
        <v>30</v>
      </c>
      <c r="J1231" s="8">
        <v>128</v>
      </c>
      <c r="K1231" s="8">
        <v>188</v>
      </c>
      <c r="L1231" s="8">
        <v>137</v>
      </c>
      <c r="M1231" t="s">
        <v>1307</v>
      </c>
      <c r="N1231" s="16" t="s">
        <v>22</v>
      </c>
      <c r="O1231" s="16" t="s">
        <v>22</v>
      </c>
      <c r="P1231" s="16" t="s">
        <v>24</v>
      </c>
      <c r="Q1231" s="10" t="s">
        <v>714</v>
      </c>
      <c r="R1231" s="3" t="str">
        <f t="shared" si="38"/>
        <v>142</v>
      </c>
      <c r="S1231" s="3" t="str">
        <f t="shared" si="39"/>
        <v>88</v>
      </c>
      <c r="T1231" s="16" t="s">
        <v>29</v>
      </c>
      <c r="U1231" s="3">
        <v>16.975999999999999</v>
      </c>
      <c r="V1231" s="16" t="str">
        <f>PROPER(Table1[[#This Row],[CVD Risk Level]])</f>
        <v>Intermediary</v>
      </c>
    </row>
    <row r="1232" spans="1:22" x14ac:dyDescent="0.3">
      <c r="A1232" t="s">
        <v>31</v>
      </c>
      <c r="B1232" s="8">
        <v>69</v>
      </c>
      <c r="C1232" s="8">
        <v>87.713999999999999</v>
      </c>
      <c r="D1232" s="5">
        <v>1.7230000000000001</v>
      </c>
      <c r="E1232" s="5">
        <v>39.732999999999997</v>
      </c>
      <c r="F1232" s="16" t="s">
        <v>1302</v>
      </c>
      <c r="G1232" s="11">
        <v>0.64900000000000002</v>
      </c>
      <c r="H1232" s="5">
        <v>111.803</v>
      </c>
      <c r="I1232" s="8">
        <v>41</v>
      </c>
      <c r="J1232" s="8">
        <v>37</v>
      </c>
      <c r="K1232" s="8">
        <v>108</v>
      </c>
      <c r="L1232" s="8">
        <v>93</v>
      </c>
      <c r="M1232" t="s">
        <v>33</v>
      </c>
      <c r="N1232" s="16" t="s">
        <v>23</v>
      </c>
      <c r="O1232" s="16" t="s">
        <v>22</v>
      </c>
      <c r="P1232" s="16" t="s">
        <v>37</v>
      </c>
      <c r="Q1232" s="10" t="s">
        <v>1053</v>
      </c>
      <c r="R1232" s="3" t="str">
        <f t="shared" si="38"/>
        <v>132</v>
      </c>
      <c r="S1232" s="3" t="str">
        <f t="shared" si="39"/>
        <v>101</v>
      </c>
      <c r="T1232" s="16" t="s">
        <v>29</v>
      </c>
      <c r="U1232" s="3">
        <v>16.707000000000001</v>
      </c>
      <c r="V1232" s="16" t="str">
        <f>PROPER(Table1[[#This Row],[CVD Risk Level]])</f>
        <v>High</v>
      </c>
    </row>
    <row r="1233" spans="1:22" x14ac:dyDescent="0.3">
      <c r="A1233" t="s">
        <v>31</v>
      </c>
      <c r="B1233" s="8">
        <v>31</v>
      </c>
      <c r="C1233" s="8">
        <v>99.921000000000006</v>
      </c>
      <c r="D1233" s="5">
        <v>1.5880000000000001</v>
      </c>
      <c r="E1233" s="5">
        <v>21.277000000000001</v>
      </c>
      <c r="F1233" s="16" t="s">
        <v>33</v>
      </c>
      <c r="G1233" s="11">
        <v>0.66700000000000004</v>
      </c>
      <c r="H1233" s="5">
        <v>105.875</v>
      </c>
      <c r="I1233" s="8">
        <v>75</v>
      </c>
      <c r="J1233" s="8">
        <v>109</v>
      </c>
      <c r="K1233" s="8">
        <v>287</v>
      </c>
      <c r="L1233" s="8">
        <v>92</v>
      </c>
      <c r="M1233" t="s">
        <v>33</v>
      </c>
      <c r="N1233" s="16" t="s">
        <v>23</v>
      </c>
      <c r="O1233" s="16" t="s">
        <v>22</v>
      </c>
      <c r="P1233" s="16" t="s">
        <v>28</v>
      </c>
      <c r="Q1233" s="10" t="s">
        <v>878</v>
      </c>
      <c r="R1233" s="3" t="str">
        <f t="shared" si="38"/>
        <v>121</v>
      </c>
      <c r="S1233" s="3" t="str">
        <f t="shared" si="39"/>
        <v>115</v>
      </c>
      <c r="T1233" s="16" t="s">
        <v>38</v>
      </c>
      <c r="U1233" s="3">
        <v>16.045000000000002</v>
      </c>
      <c r="V1233" s="16" t="str">
        <f>PROPER(Table1[[#This Row],[CVD Risk Level]])</f>
        <v>Intermediary</v>
      </c>
    </row>
    <row r="1234" spans="1:22" x14ac:dyDescent="0.3">
      <c r="A1234" t="s">
        <v>31</v>
      </c>
      <c r="B1234" s="8">
        <v>25</v>
      </c>
      <c r="C1234" s="8">
        <v>94.281999999999996</v>
      </c>
      <c r="D1234" s="5">
        <v>1.5435879094065914</v>
      </c>
      <c r="E1234" s="5">
        <v>39.57</v>
      </c>
      <c r="F1234" s="16" t="s">
        <v>1302</v>
      </c>
      <c r="G1234" s="11">
        <v>0.58599999999999997</v>
      </c>
      <c r="H1234" s="5">
        <v>88.016999999999996</v>
      </c>
      <c r="I1234" s="8">
        <v>49</v>
      </c>
      <c r="J1234" s="8">
        <v>109</v>
      </c>
      <c r="K1234" s="8">
        <v>245</v>
      </c>
      <c r="L1234" s="8">
        <v>145</v>
      </c>
      <c r="M1234" t="s">
        <v>1307</v>
      </c>
      <c r="N1234" s="16" t="s">
        <v>22</v>
      </c>
      <c r="O1234" s="16" t="s">
        <v>22</v>
      </c>
      <c r="P1234" s="16" t="s">
        <v>37</v>
      </c>
      <c r="Q1234" s="10" t="s">
        <v>209</v>
      </c>
      <c r="R1234" s="3" t="str">
        <f t="shared" si="38"/>
        <v>102</v>
      </c>
      <c r="S1234" s="3" t="str">
        <f t="shared" si="39"/>
        <v>60</v>
      </c>
      <c r="T1234" s="16" t="s">
        <v>33</v>
      </c>
      <c r="U1234" s="3">
        <v>17.914000000000001</v>
      </c>
      <c r="V1234" s="16" t="str">
        <f>PROPER(Table1[[#This Row],[CVD Risk Level]])</f>
        <v>High</v>
      </c>
    </row>
    <row r="1235" spans="1:22" x14ac:dyDescent="0.3">
      <c r="A1235" t="s">
        <v>31</v>
      </c>
      <c r="B1235" s="8">
        <v>38</v>
      </c>
      <c r="C1235" s="8">
        <v>80.879000000000005</v>
      </c>
      <c r="D1235" s="5">
        <v>1.6419999999999999</v>
      </c>
      <c r="E1235" s="5">
        <v>32.671999999999997</v>
      </c>
      <c r="F1235" s="16" t="s">
        <v>1302</v>
      </c>
      <c r="G1235" s="11">
        <v>0.53200000000000003</v>
      </c>
      <c r="H1235" s="5">
        <v>87.366</v>
      </c>
      <c r="I1235" s="8">
        <v>75</v>
      </c>
      <c r="J1235" s="8">
        <v>33</v>
      </c>
      <c r="K1235" s="8">
        <v>138</v>
      </c>
      <c r="L1235" s="8">
        <v>128</v>
      </c>
      <c r="M1235" t="s">
        <v>1307</v>
      </c>
      <c r="N1235" s="16" t="s">
        <v>22</v>
      </c>
      <c r="O1235" s="16" t="s">
        <v>22</v>
      </c>
      <c r="P1235" s="16" t="s">
        <v>24</v>
      </c>
      <c r="Q1235" s="10" t="s">
        <v>1054</v>
      </c>
      <c r="R1235" s="3" t="str">
        <f t="shared" si="38"/>
        <v>106</v>
      </c>
      <c r="S1235" s="3" t="str">
        <f t="shared" si="39"/>
        <v>89</v>
      </c>
      <c r="T1235" s="16" t="s">
        <v>29</v>
      </c>
      <c r="U1235" s="3">
        <v>14.593999999999999</v>
      </c>
      <c r="V1235" s="16" t="str">
        <f>PROPER(Table1[[#This Row],[CVD Risk Level]])</f>
        <v>Intermediary</v>
      </c>
    </row>
    <row r="1236" spans="1:22" x14ac:dyDescent="0.3">
      <c r="A1236" t="s">
        <v>20</v>
      </c>
      <c r="B1236" s="8">
        <v>43</v>
      </c>
      <c r="C1236" s="8">
        <v>56.215000000000003</v>
      </c>
      <c r="D1236" s="5">
        <v>1.9450000000000001</v>
      </c>
      <c r="E1236" s="5">
        <v>30.687000000000001</v>
      </c>
      <c r="F1236" s="16" t="s">
        <v>1302</v>
      </c>
      <c r="G1236" s="11">
        <v>0.53600000000000003</v>
      </c>
      <c r="H1236" s="5">
        <v>104.30800000000001</v>
      </c>
      <c r="I1236" s="8">
        <v>50</v>
      </c>
      <c r="J1236" s="8">
        <v>114</v>
      </c>
      <c r="K1236" s="8">
        <v>194</v>
      </c>
      <c r="L1236" s="8">
        <v>97</v>
      </c>
      <c r="M1236" t="s">
        <v>33</v>
      </c>
      <c r="N1236" s="16" t="s">
        <v>22</v>
      </c>
      <c r="O1236" s="16" t="s">
        <v>23</v>
      </c>
      <c r="P1236" s="16" t="s">
        <v>24</v>
      </c>
      <c r="Q1236" s="10" t="s">
        <v>1055</v>
      </c>
      <c r="R1236" s="3" t="str">
        <f t="shared" si="38"/>
        <v>159</v>
      </c>
      <c r="S1236" s="3" t="str">
        <f t="shared" si="39"/>
        <v>82</v>
      </c>
      <c r="T1236" s="16" t="s">
        <v>29</v>
      </c>
      <c r="U1236" s="3">
        <v>16.960925291295425</v>
      </c>
      <c r="V1236" s="16" t="str">
        <f>PROPER(Table1[[#This Row],[CVD Risk Level]])</f>
        <v>High</v>
      </c>
    </row>
    <row r="1237" spans="1:22" x14ac:dyDescent="0.3">
      <c r="A1237" t="s">
        <v>31</v>
      </c>
      <c r="B1237" s="8">
        <v>55</v>
      </c>
      <c r="C1237" s="8">
        <v>77.948999999999998</v>
      </c>
      <c r="D1237" s="5">
        <v>1.7470000000000001</v>
      </c>
      <c r="E1237" s="5">
        <v>20.678999999999998</v>
      </c>
      <c r="F1237" s="16" t="s">
        <v>33</v>
      </c>
      <c r="G1237" s="11">
        <v>0.51200000000000001</v>
      </c>
      <c r="H1237" s="5">
        <v>89.384</v>
      </c>
      <c r="I1237" s="8">
        <v>35</v>
      </c>
      <c r="J1237" s="8">
        <v>189</v>
      </c>
      <c r="K1237" s="8">
        <v>254</v>
      </c>
      <c r="L1237" s="8">
        <v>180</v>
      </c>
      <c r="M1237" t="s">
        <v>1307</v>
      </c>
      <c r="N1237" s="16" t="s">
        <v>23</v>
      </c>
      <c r="O1237" s="16" t="s">
        <v>23</v>
      </c>
      <c r="P1237" s="16" t="s">
        <v>24</v>
      </c>
      <c r="Q1237" s="10" t="s">
        <v>982</v>
      </c>
      <c r="R1237" s="3" t="str">
        <f t="shared" si="38"/>
        <v>164</v>
      </c>
      <c r="S1237" s="3" t="str">
        <f t="shared" si="39"/>
        <v>90</v>
      </c>
      <c r="T1237" s="16" t="s">
        <v>38</v>
      </c>
      <c r="U1237" s="3">
        <v>19.416</v>
      </c>
      <c r="V1237" s="16" t="str">
        <f>PROPER(Table1[[#This Row],[CVD Risk Level]])</f>
        <v>Low</v>
      </c>
    </row>
    <row r="1238" spans="1:22" x14ac:dyDescent="0.3">
      <c r="A1238" t="s">
        <v>20</v>
      </c>
      <c r="B1238" s="8">
        <v>41</v>
      </c>
      <c r="C1238" s="8">
        <v>111.047</v>
      </c>
      <c r="D1238" s="5">
        <v>1.5069999999999999</v>
      </c>
      <c r="E1238" s="5">
        <v>24.111999999999998</v>
      </c>
      <c r="F1238" s="16" t="s">
        <v>33</v>
      </c>
      <c r="G1238" s="11">
        <v>0.56899999999999995</v>
      </c>
      <c r="H1238" s="5">
        <v>85.741</v>
      </c>
      <c r="I1238" s="8">
        <v>45</v>
      </c>
      <c r="J1238" s="8">
        <v>97</v>
      </c>
      <c r="K1238" s="8">
        <v>172</v>
      </c>
      <c r="L1238" s="8">
        <v>129</v>
      </c>
      <c r="M1238" t="s">
        <v>1307</v>
      </c>
      <c r="N1238" s="16" t="s">
        <v>22</v>
      </c>
      <c r="O1238" s="16" t="s">
        <v>23</v>
      </c>
      <c r="P1238" s="16" t="s">
        <v>24</v>
      </c>
      <c r="Q1238" s="10" t="s">
        <v>1056</v>
      </c>
      <c r="R1238" s="3" t="str">
        <f t="shared" si="38"/>
        <v>125</v>
      </c>
      <c r="S1238" s="3" t="str">
        <f t="shared" si="39"/>
        <v>78</v>
      </c>
      <c r="T1238" s="16" t="s">
        <v>25</v>
      </c>
      <c r="U1238" s="3">
        <v>16.512</v>
      </c>
      <c r="V1238" s="16" t="str">
        <f>PROPER(Table1[[#This Row],[CVD Risk Level]])</f>
        <v>Intermediary</v>
      </c>
    </row>
    <row r="1239" spans="1:22" x14ac:dyDescent="0.3">
      <c r="A1239" t="s">
        <v>20</v>
      </c>
      <c r="B1239" s="8">
        <v>62</v>
      </c>
      <c r="C1239" s="8">
        <v>103.39</v>
      </c>
      <c r="D1239" s="5">
        <v>1.917</v>
      </c>
      <c r="E1239" s="5">
        <v>21.050999999999998</v>
      </c>
      <c r="F1239" s="16" t="s">
        <v>33</v>
      </c>
      <c r="G1239" s="11">
        <v>0.46200000000000002</v>
      </c>
      <c r="H1239" s="5">
        <v>88.534000000000006</v>
      </c>
      <c r="I1239" s="8">
        <v>74</v>
      </c>
      <c r="J1239" s="8">
        <v>30</v>
      </c>
      <c r="K1239" s="8">
        <v>134</v>
      </c>
      <c r="L1239" s="8">
        <v>152</v>
      </c>
      <c r="M1239" t="s">
        <v>1307</v>
      </c>
      <c r="N1239" s="16" t="s">
        <v>22</v>
      </c>
      <c r="O1239" s="16" t="s">
        <v>22</v>
      </c>
      <c r="P1239" s="16" t="s">
        <v>28</v>
      </c>
      <c r="Q1239" s="10" t="s">
        <v>1057</v>
      </c>
      <c r="R1239" s="3" t="str">
        <f t="shared" si="38"/>
        <v>125</v>
      </c>
      <c r="S1239" s="3" t="str">
        <f t="shared" si="39"/>
        <v>85</v>
      </c>
      <c r="T1239" s="16" t="s">
        <v>29</v>
      </c>
      <c r="U1239" s="3">
        <v>13.14</v>
      </c>
      <c r="V1239" s="16" t="str">
        <f>PROPER(Table1[[#This Row],[CVD Risk Level]])</f>
        <v>High</v>
      </c>
    </row>
    <row r="1240" spans="1:22" x14ac:dyDescent="0.3">
      <c r="A1240" t="s">
        <v>31</v>
      </c>
      <c r="B1240" s="8">
        <v>74</v>
      </c>
      <c r="C1240" s="8">
        <v>117.717</v>
      </c>
      <c r="D1240" s="5">
        <v>1.984</v>
      </c>
      <c r="E1240" s="5">
        <v>27.812999999999999</v>
      </c>
      <c r="F1240" s="16" t="s">
        <v>1303</v>
      </c>
      <c r="G1240" s="11">
        <v>0.54100000000000004</v>
      </c>
      <c r="H1240" s="5">
        <v>107.255</v>
      </c>
      <c r="I1240" s="8">
        <v>68</v>
      </c>
      <c r="J1240" s="8">
        <v>146</v>
      </c>
      <c r="K1240" s="8">
        <v>244</v>
      </c>
      <c r="L1240" s="8">
        <v>85</v>
      </c>
      <c r="M1240" t="s">
        <v>33</v>
      </c>
      <c r="N1240" s="16" t="s">
        <v>23</v>
      </c>
      <c r="O1240" s="16" t="s">
        <v>22</v>
      </c>
      <c r="P1240" s="16" t="s">
        <v>37</v>
      </c>
      <c r="Q1240" s="10" t="s">
        <v>1058</v>
      </c>
      <c r="R1240" s="3" t="str">
        <f t="shared" si="38"/>
        <v>144</v>
      </c>
      <c r="S1240" s="3" t="str">
        <f t="shared" si="39"/>
        <v>95</v>
      </c>
      <c r="T1240" s="16" t="s">
        <v>38</v>
      </c>
      <c r="U1240" s="3">
        <v>17.643000000000001</v>
      </c>
      <c r="V1240" s="16" t="str">
        <f>PROPER(Table1[[#This Row],[CVD Risk Level]])</f>
        <v>Intermediary</v>
      </c>
    </row>
    <row r="1241" spans="1:22" x14ac:dyDescent="0.3">
      <c r="A1241" t="s">
        <v>31</v>
      </c>
      <c r="B1241" s="8">
        <v>61</v>
      </c>
      <c r="C1241" s="8">
        <v>108.873</v>
      </c>
      <c r="D1241" s="5">
        <v>1.9690000000000001</v>
      </c>
      <c r="E1241" s="5">
        <v>18.678999999999998</v>
      </c>
      <c r="F1241" s="16" t="s">
        <v>33</v>
      </c>
      <c r="G1241" s="11">
        <v>0.48</v>
      </c>
      <c r="H1241" s="5">
        <v>94.512</v>
      </c>
      <c r="I1241" s="8">
        <v>83</v>
      </c>
      <c r="J1241" s="8">
        <v>182</v>
      </c>
      <c r="K1241" s="8">
        <v>295</v>
      </c>
      <c r="L1241" s="8">
        <v>119</v>
      </c>
      <c r="M1241" t="s">
        <v>1306</v>
      </c>
      <c r="N1241" s="16" t="s">
        <v>23</v>
      </c>
      <c r="O1241" s="16" t="s">
        <v>22</v>
      </c>
      <c r="P1241" s="16" t="s">
        <v>24</v>
      </c>
      <c r="Q1241" s="10" t="s">
        <v>1059</v>
      </c>
      <c r="R1241" s="3" t="str">
        <f t="shared" si="38"/>
        <v>109</v>
      </c>
      <c r="S1241" s="3" t="str">
        <f t="shared" si="39"/>
        <v>82</v>
      </c>
      <c r="T1241" s="16" t="s">
        <v>29</v>
      </c>
      <c r="U1241" s="3">
        <v>15.086</v>
      </c>
      <c r="V1241" s="16" t="str">
        <f>PROPER(Table1[[#This Row],[CVD Risk Level]])</f>
        <v>High</v>
      </c>
    </row>
    <row r="1242" spans="1:22" x14ac:dyDescent="0.3">
      <c r="A1242" t="s">
        <v>31</v>
      </c>
      <c r="B1242" s="8">
        <v>47.025499655410059</v>
      </c>
      <c r="C1242" s="8">
        <v>112.068</v>
      </c>
      <c r="D1242" s="5">
        <v>1.9450000000000001</v>
      </c>
      <c r="E1242" s="5">
        <v>32.357999999999997</v>
      </c>
      <c r="F1242" s="16" t="s">
        <v>1302</v>
      </c>
      <c r="G1242" s="11">
        <v>0.54700000000000004</v>
      </c>
      <c r="H1242" s="5">
        <v>106.46</v>
      </c>
      <c r="I1242" s="8">
        <v>34</v>
      </c>
      <c r="J1242" s="8">
        <v>216</v>
      </c>
      <c r="K1242" s="8">
        <v>280</v>
      </c>
      <c r="L1242" s="8">
        <v>158</v>
      </c>
      <c r="M1242" t="s">
        <v>1307</v>
      </c>
      <c r="N1242" s="16" t="s">
        <v>23</v>
      </c>
      <c r="O1242" s="16" t="s">
        <v>22</v>
      </c>
      <c r="P1242" s="16" t="s">
        <v>37</v>
      </c>
      <c r="Q1242" s="10" t="s">
        <v>1060</v>
      </c>
      <c r="R1242" s="3" t="str">
        <f t="shared" si="38"/>
        <v>102</v>
      </c>
      <c r="S1242" s="3" t="str">
        <f t="shared" si="39"/>
        <v>88</v>
      </c>
      <c r="T1242" s="16" t="s">
        <v>29</v>
      </c>
      <c r="U1242" s="3">
        <v>17.172000000000001</v>
      </c>
      <c r="V1242" s="16" t="str">
        <f>PROPER(Table1[[#This Row],[CVD Risk Level]])</f>
        <v>Low</v>
      </c>
    </row>
    <row r="1243" spans="1:22" x14ac:dyDescent="0.3">
      <c r="A1243" t="s">
        <v>20</v>
      </c>
      <c r="B1243" s="8">
        <v>50</v>
      </c>
      <c r="C1243" s="8">
        <v>54.962671575000009</v>
      </c>
      <c r="D1243" s="5">
        <v>1.7150000000000001</v>
      </c>
      <c r="E1243" s="5">
        <v>18.687000000000001</v>
      </c>
      <c r="F1243" s="16" t="s">
        <v>33</v>
      </c>
      <c r="G1243" s="11">
        <v>0.68799999999999994</v>
      </c>
      <c r="H1243" s="5">
        <v>117.9</v>
      </c>
      <c r="I1243" s="8">
        <v>43</v>
      </c>
      <c r="J1243" s="8">
        <v>109</v>
      </c>
      <c r="K1243" s="8">
        <v>208</v>
      </c>
      <c r="L1243" s="8">
        <v>155</v>
      </c>
      <c r="M1243" t="s">
        <v>1307</v>
      </c>
      <c r="N1243" s="16" t="s">
        <v>23</v>
      </c>
      <c r="O1243" s="16" t="s">
        <v>23</v>
      </c>
      <c r="P1243" s="16" t="s">
        <v>28</v>
      </c>
      <c r="Q1243" s="10" t="s">
        <v>1061</v>
      </c>
      <c r="R1243" s="3" t="str">
        <f t="shared" si="38"/>
        <v>164</v>
      </c>
      <c r="S1243" s="3" t="str">
        <f t="shared" si="39"/>
        <v>81</v>
      </c>
      <c r="T1243" s="16" t="s">
        <v>29</v>
      </c>
      <c r="U1243" s="3">
        <v>18.097000000000001</v>
      </c>
      <c r="V1243" s="16" t="str">
        <f>PROPER(Table1[[#This Row],[CVD Risk Level]])</f>
        <v>Low</v>
      </c>
    </row>
    <row r="1244" spans="1:22" x14ac:dyDescent="0.3">
      <c r="A1244" t="s">
        <v>20</v>
      </c>
      <c r="B1244" s="8">
        <v>44</v>
      </c>
      <c r="C1244" s="8">
        <v>106.675</v>
      </c>
      <c r="D1244" s="5">
        <v>1.7989999999999999</v>
      </c>
      <c r="E1244" s="5">
        <v>20.375</v>
      </c>
      <c r="F1244" s="16" t="s">
        <v>33</v>
      </c>
      <c r="G1244" s="11">
        <v>0.46200000000000002</v>
      </c>
      <c r="H1244" s="5">
        <v>83.194000000000003</v>
      </c>
      <c r="I1244" s="8">
        <v>66</v>
      </c>
      <c r="J1244" s="8">
        <v>35</v>
      </c>
      <c r="K1244" s="8">
        <v>131</v>
      </c>
      <c r="L1244" s="8">
        <v>166</v>
      </c>
      <c r="M1244" t="s">
        <v>1307</v>
      </c>
      <c r="N1244" s="16" t="s">
        <v>22</v>
      </c>
      <c r="O1244" s="16" t="s">
        <v>22</v>
      </c>
      <c r="P1244" s="16" t="s">
        <v>28</v>
      </c>
      <c r="Q1244" s="10" t="s">
        <v>1062</v>
      </c>
      <c r="R1244" s="3" t="str">
        <f t="shared" si="38"/>
        <v>106</v>
      </c>
      <c r="S1244" s="3" t="str">
        <f t="shared" si="39"/>
        <v>105</v>
      </c>
      <c r="T1244" s="16" t="s">
        <v>38</v>
      </c>
      <c r="U1244" s="3">
        <v>11.994999999999999</v>
      </c>
      <c r="V1244" s="16" t="str">
        <f>PROPER(Table1[[#This Row],[CVD Risk Level]])</f>
        <v>High</v>
      </c>
    </row>
    <row r="1245" spans="1:22" x14ac:dyDescent="0.3">
      <c r="A1245" t="s">
        <v>20</v>
      </c>
      <c r="B1245" s="8">
        <v>52</v>
      </c>
      <c r="C1245" s="8">
        <v>78.588999999999999</v>
      </c>
      <c r="D1245" s="5">
        <v>1.9319999999999999</v>
      </c>
      <c r="E1245" s="5">
        <v>27.216999999999999</v>
      </c>
      <c r="F1245" s="16" t="s">
        <v>1303</v>
      </c>
      <c r="G1245" s="11">
        <v>0.58199999999999996</v>
      </c>
      <c r="H1245" s="5">
        <v>112.51</v>
      </c>
      <c r="I1245" s="8">
        <v>56.197377501725327</v>
      </c>
      <c r="J1245" s="8">
        <v>60</v>
      </c>
      <c r="K1245" s="8">
        <v>123</v>
      </c>
      <c r="L1245" s="8">
        <v>103</v>
      </c>
      <c r="M1245" t="s">
        <v>1306</v>
      </c>
      <c r="N1245" s="16" t="s">
        <v>22</v>
      </c>
      <c r="O1245" s="16" t="s">
        <v>22</v>
      </c>
      <c r="P1245" s="16" t="s">
        <v>28</v>
      </c>
      <c r="Q1245" s="10" t="s">
        <v>1063</v>
      </c>
      <c r="R1245" s="3" t="str">
        <f t="shared" si="38"/>
        <v>129</v>
      </c>
      <c r="S1245" s="3" t="str">
        <f t="shared" si="39"/>
        <v>99</v>
      </c>
      <c r="T1245" s="16" t="s">
        <v>38</v>
      </c>
      <c r="U1245" s="3">
        <v>14.353</v>
      </c>
      <c r="V1245" s="16" t="str">
        <f>PROPER(Table1[[#This Row],[CVD Risk Level]])</f>
        <v>Intermediary</v>
      </c>
    </row>
    <row r="1246" spans="1:22" x14ac:dyDescent="0.3">
      <c r="A1246" t="s">
        <v>20</v>
      </c>
      <c r="B1246" s="8">
        <v>47.025499655410059</v>
      </c>
      <c r="C1246" s="8">
        <v>111.474</v>
      </c>
      <c r="D1246" s="5">
        <v>1.542</v>
      </c>
      <c r="E1246" s="5">
        <v>24.814</v>
      </c>
      <c r="F1246" s="16" t="s">
        <v>33</v>
      </c>
      <c r="G1246" s="11">
        <v>0.504</v>
      </c>
      <c r="H1246" s="5">
        <v>77.655000000000001</v>
      </c>
      <c r="I1246" s="8">
        <v>46</v>
      </c>
      <c r="J1246" s="8">
        <v>184</v>
      </c>
      <c r="K1246" s="8">
        <v>260</v>
      </c>
      <c r="L1246" s="8">
        <v>95</v>
      </c>
      <c r="M1246" t="s">
        <v>33</v>
      </c>
      <c r="N1246" s="16" t="s">
        <v>22</v>
      </c>
      <c r="O1246" s="16" t="s">
        <v>22</v>
      </c>
      <c r="P1246" s="16" t="s">
        <v>24</v>
      </c>
      <c r="Q1246" s="10" t="s">
        <v>1064</v>
      </c>
      <c r="R1246" s="3" t="str">
        <f t="shared" si="38"/>
        <v>164</v>
      </c>
      <c r="S1246" s="3" t="str">
        <f t="shared" si="39"/>
        <v>100</v>
      </c>
      <c r="T1246" s="16" t="s">
        <v>38</v>
      </c>
      <c r="U1246" s="3">
        <v>18.363</v>
      </c>
      <c r="V1246" s="16" t="str">
        <f>PROPER(Table1[[#This Row],[CVD Risk Level]])</f>
        <v>Intermediary</v>
      </c>
    </row>
    <row r="1247" spans="1:22" x14ac:dyDescent="0.3">
      <c r="A1247" t="s">
        <v>20</v>
      </c>
      <c r="B1247" s="8">
        <v>47.025499655410059</v>
      </c>
      <c r="C1247" s="8">
        <v>89.647000000000006</v>
      </c>
      <c r="D1247" s="5">
        <v>1.8069999999999999</v>
      </c>
      <c r="E1247" s="5">
        <v>24.763000000000002</v>
      </c>
      <c r="F1247" s="16" t="s">
        <v>33</v>
      </c>
      <c r="G1247" s="11">
        <v>0.43099999999999999</v>
      </c>
      <c r="H1247" s="5">
        <v>77.941999999999993</v>
      </c>
      <c r="I1247" s="8">
        <v>40</v>
      </c>
      <c r="J1247" s="8">
        <v>157</v>
      </c>
      <c r="K1247" s="8">
        <v>227</v>
      </c>
      <c r="L1247" s="8">
        <v>175</v>
      </c>
      <c r="M1247" t="s">
        <v>1307</v>
      </c>
      <c r="N1247" s="16" t="s">
        <v>23</v>
      </c>
      <c r="O1247" s="16" t="s">
        <v>22</v>
      </c>
      <c r="P1247" s="16" t="s">
        <v>28</v>
      </c>
      <c r="Q1247" s="10" t="s">
        <v>1035</v>
      </c>
      <c r="R1247" s="3" t="str">
        <f t="shared" si="38"/>
        <v>168</v>
      </c>
      <c r="S1247" s="3" t="str">
        <f t="shared" si="39"/>
        <v>61</v>
      </c>
      <c r="T1247" s="16" t="s">
        <v>38</v>
      </c>
      <c r="U1247" s="3">
        <v>17.893000000000001</v>
      </c>
      <c r="V1247" s="16" t="str">
        <f>PROPER(Table1[[#This Row],[CVD Risk Level]])</f>
        <v>Low</v>
      </c>
    </row>
    <row r="1248" spans="1:22" x14ac:dyDescent="0.3">
      <c r="A1248" t="s">
        <v>20</v>
      </c>
      <c r="B1248" s="8">
        <v>77</v>
      </c>
      <c r="C1248" s="8">
        <v>60.106999999999999</v>
      </c>
      <c r="D1248" s="5">
        <v>1.728</v>
      </c>
      <c r="E1248" s="5">
        <v>22.247</v>
      </c>
      <c r="F1248" s="16" t="s">
        <v>33</v>
      </c>
      <c r="G1248" s="11">
        <v>0.5151099537037036</v>
      </c>
      <c r="H1248" s="5">
        <v>89.010999999999996</v>
      </c>
      <c r="I1248" s="8">
        <v>37</v>
      </c>
      <c r="J1248" s="8">
        <v>109</v>
      </c>
      <c r="K1248" s="8">
        <v>108</v>
      </c>
      <c r="L1248" s="8">
        <v>179</v>
      </c>
      <c r="M1248" t="s">
        <v>1307</v>
      </c>
      <c r="N1248" s="16" t="s">
        <v>23</v>
      </c>
      <c r="O1248" s="16" t="s">
        <v>22</v>
      </c>
      <c r="P1248" s="16" t="s">
        <v>24</v>
      </c>
      <c r="Q1248" s="10" t="s">
        <v>1065</v>
      </c>
      <c r="R1248" s="3" t="str">
        <f t="shared" si="38"/>
        <v>166</v>
      </c>
      <c r="S1248" s="3" t="str">
        <f t="shared" si="39"/>
        <v>116</v>
      </c>
      <c r="T1248" s="16" t="s">
        <v>38</v>
      </c>
      <c r="U1248" s="3">
        <v>14.909000000000001</v>
      </c>
      <c r="V1248" s="16" t="str">
        <f>PROPER(Table1[[#This Row],[CVD Risk Level]])</f>
        <v>High</v>
      </c>
    </row>
    <row r="1249" spans="1:22" x14ac:dyDescent="0.3">
      <c r="A1249" t="s">
        <v>20</v>
      </c>
      <c r="B1249" s="8">
        <v>42</v>
      </c>
      <c r="C1249" s="8">
        <v>52.707999999999998</v>
      </c>
      <c r="D1249" s="5">
        <v>1.587</v>
      </c>
      <c r="E1249" s="5">
        <v>20.927756992164998</v>
      </c>
      <c r="F1249" s="16" t="s">
        <v>33</v>
      </c>
      <c r="G1249" s="11">
        <v>0.69799999999999995</v>
      </c>
      <c r="H1249" s="5">
        <v>110.821</v>
      </c>
      <c r="I1249" s="8">
        <v>45</v>
      </c>
      <c r="J1249" s="8">
        <v>62</v>
      </c>
      <c r="K1249" s="8">
        <v>137</v>
      </c>
      <c r="L1249" s="8">
        <v>120</v>
      </c>
      <c r="M1249" t="s">
        <v>1306</v>
      </c>
      <c r="N1249" s="16" t="s">
        <v>22</v>
      </c>
      <c r="O1249" s="16" t="s">
        <v>22</v>
      </c>
      <c r="P1249" s="16" t="s">
        <v>37</v>
      </c>
      <c r="Q1249" s="10" t="s">
        <v>1066</v>
      </c>
      <c r="R1249" s="3" t="str">
        <f t="shared" si="38"/>
        <v>117</v>
      </c>
      <c r="S1249" s="3" t="str">
        <f t="shared" si="39"/>
        <v>113</v>
      </c>
      <c r="T1249" s="16" t="s">
        <v>38</v>
      </c>
      <c r="U1249" s="3">
        <v>13.826000000000001</v>
      </c>
      <c r="V1249" s="16" t="str">
        <f>PROPER(Table1[[#This Row],[CVD Risk Level]])</f>
        <v>High</v>
      </c>
    </row>
    <row r="1250" spans="1:22" x14ac:dyDescent="0.3">
      <c r="A1250" t="s">
        <v>20</v>
      </c>
      <c r="B1250" s="8">
        <v>30</v>
      </c>
      <c r="C1250" s="8">
        <v>86.364000000000004</v>
      </c>
      <c r="D1250" s="5">
        <v>1.7050000000000001</v>
      </c>
      <c r="E1250" s="5">
        <v>35.158999999999999</v>
      </c>
      <c r="F1250" s="16" t="s">
        <v>1302</v>
      </c>
      <c r="G1250" s="11">
        <v>0.42699999999999999</v>
      </c>
      <c r="H1250" s="5">
        <v>72.730999999999995</v>
      </c>
      <c r="I1250" s="8">
        <v>71</v>
      </c>
      <c r="J1250" s="8">
        <v>97</v>
      </c>
      <c r="K1250" s="8">
        <v>198</v>
      </c>
      <c r="L1250" s="8">
        <v>130</v>
      </c>
      <c r="M1250" t="s">
        <v>1307</v>
      </c>
      <c r="N1250" s="16" t="s">
        <v>23</v>
      </c>
      <c r="O1250" s="16" t="s">
        <v>22</v>
      </c>
      <c r="P1250" s="16" t="s">
        <v>28</v>
      </c>
      <c r="Q1250" s="10" t="s">
        <v>1067</v>
      </c>
      <c r="R1250" s="3" t="str">
        <f t="shared" si="38"/>
        <v>95</v>
      </c>
      <c r="S1250" s="3" t="str">
        <f t="shared" si="39"/>
        <v>87</v>
      </c>
      <c r="T1250" s="16" t="s">
        <v>29</v>
      </c>
      <c r="U1250" s="3">
        <v>16.960925291295425</v>
      </c>
      <c r="V1250" s="16" t="str">
        <f>PROPER(Table1[[#This Row],[CVD Risk Level]])</f>
        <v>Intermediary</v>
      </c>
    </row>
    <row r="1251" spans="1:22" x14ac:dyDescent="0.3">
      <c r="A1251" t="s">
        <v>31</v>
      </c>
      <c r="B1251" s="8">
        <v>35</v>
      </c>
      <c r="C1251" s="8">
        <v>117.19</v>
      </c>
      <c r="D1251" s="5">
        <v>1.702</v>
      </c>
      <c r="E1251" s="5">
        <v>24.965</v>
      </c>
      <c r="F1251" s="16" t="s">
        <v>33</v>
      </c>
      <c r="G1251" s="11">
        <v>0.60699999999999998</v>
      </c>
      <c r="H1251" s="5">
        <v>103.38200000000001</v>
      </c>
      <c r="I1251" s="8">
        <v>89</v>
      </c>
      <c r="J1251" s="8">
        <v>61</v>
      </c>
      <c r="K1251" s="8">
        <v>180</v>
      </c>
      <c r="L1251" s="8">
        <v>99</v>
      </c>
      <c r="M1251" t="s">
        <v>33</v>
      </c>
      <c r="N1251" s="16" t="s">
        <v>23</v>
      </c>
      <c r="O1251" s="16" t="s">
        <v>23</v>
      </c>
      <c r="P1251" s="16" t="s">
        <v>24</v>
      </c>
      <c r="Q1251" s="10" t="s">
        <v>1068</v>
      </c>
      <c r="R1251" s="3" t="str">
        <f t="shared" si="38"/>
        <v>102</v>
      </c>
      <c r="S1251" s="3" t="str">
        <f t="shared" si="39"/>
        <v>69</v>
      </c>
      <c r="T1251" s="16" t="s">
        <v>33</v>
      </c>
      <c r="U1251" s="3">
        <v>15.693</v>
      </c>
      <c r="V1251" s="16" t="str">
        <f>PROPER(Table1[[#This Row],[CVD Risk Level]])</f>
        <v>High</v>
      </c>
    </row>
    <row r="1252" spans="1:22" x14ac:dyDescent="0.3">
      <c r="A1252" t="s">
        <v>31</v>
      </c>
      <c r="B1252" s="8">
        <v>47.025499655410059</v>
      </c>
      <c r="C1252" s="8">
        <v>87.055000000000007</v>
      </c>
      <c r="D1252" s="5">
        <v>1.5269999999999999</v>
      </c>
      <c r="E1252" s="5">
        <v>23.245000000000001</v>
      </c>
      <c r="F1252" s="16" t="s">
        <v>33</v>
      </c>
      <c r="G1252" s="11">
        <v>0.63200000000000001</v>
      </c>
      <c r="H1252" s="5">
        <v>96.492999999999995</v>
      </c>
      <c r="I1252" s="8">
        <v>80</v>
      </c>
      <c r="J1252" s="8">
        <v>22</v>
      </c>
      <c r="K1252" s="8">
        <v>132</v>
      </c>
      <c r="L1252" s="8">
        <v>188</v>
      </c>
      <c r="M1252" t="s">
        <v>1307</v>
      </c>
      <c r="N1252" s="16" t="s">
        <v>23</v>
      </c>
      <c r="O1252" s="16" t="s">
        <v>22</v>
      </c>
      <c r="P1252" s="16" t="s">
        <v>24</v>
      </c>
      <c r="Q1252" s="10" t="s">
        <v>1069</v>
      </c>
      <c r="R1252" s="3" t="str">
        <f t="shared" si="38"/>
        <v>103</v>
      </c>
      <c r="S1252" s="3" t="str">
        <f t="shared" si="39"/>
        <v>72</v>
      </c>
      <c r="T1252" s="16" t="s">
        <v>33</v>
      </c>
      <c r="U1252" s="3">
        <v>12.439</v>
      </c>
      <c r="V1252" s="16" t="str">
        <f>PROPER(Table1[[#This Row],[CVD Risk Level]])</f>
        <v>Intermediary</v>
      </c>
    </row>
    <row r="1253" spans="1:22" x14ac:dyDescent="0.3">
      <c r="A1253" t="s">
        <v>31</v>
      </c>
      <c r="B1253" s="8">
        <v>25</v>
      </c>
      <c r="C1253" s="8">
        <v>102.449</v>
      </c>
      <c r="D1253" s="5">
        <v>1.6890000000000001</v>
      </c>
      <c r="E1253" s="5">
        <v>21.762</v>
      </c>
      <c r="F1253" s="16" t="s">
        <v>33</v>
      </c>
      <c r="G1253" s="11">
        <v>0.53989934872705736</v>
      </c>
      <c r="H1253" s="5">
        <v>91.188999999999993</v>
      </c>
      <c r="I1253" s="8">
        <v>79</v>
      </c>
      <c r="J1253" s="8">
        <v>148</v>
      </c>
      <c r="K1253" s="8">
        <v>257</v>
      </c>
      <c r="L1253" s="8">
        <v>164</v>
      </c>
      <c r="M1253" t="s">
        <v>1307</v>
      </c>
      <c r="N1253" s="16" t="s">
        <v>22</v>
      </c>
      <c r="O1253" s="16" t="s">
        <v>22</v>
      </c>
      <c r="P1253" s="16" t="s">
        <v>37</v>
      </c>
      <c r="Q1253" s="10" t="s">
        <v>1070</v>
      </c>
      <c r="R1253" s="3" t="str">
        <f t="shared" si="38"/>
        <v>112</v>
      </c>
      <c r="S1253" s="3" t="str">
        <f t="shared" si="39"/>
        <v>117</v>
      </c>
      <c r="T1253" s="16" t="s">
        <v>38</v>
      </c>
      <c r="U1253" s="3">
        <v>15.092000000000001</v>
      </c>
      <c r="V1253" s="16" t="str">
        <f>PROPER(Table1[[#This Row],[CVD Risk Level]])</f>
        <v>High</v>
      </c>
    </row>
    <row r="1254" spans="1:22" x14ac:dyDescent="0.3">
      <c r="A1254" t="s">
        <v>20</v>
      </c>
      <c r="B1254" s="8">
        <v>32</v>
      </c>
      <c r="C1254" s="8">
        <v>57.814</v>
      </c>
      <c r="D1254" s="5">
        <v>1.5960000000000001</v>
      </c>
      <c r="E1254" s="5">
        <v>20.405000000000001</v>
      </c>
      <c r="F1254" s="16" t="s">
        <v>33</v>
      </c>
      <c r="G1254" s="11">
        <v>0.61499999999999999</v>
      </c>
      <c r="H1254" s="5">
        <v>98.225999999999999</v>
      </c>
      <c r="I1254" s="8">
        <v>58</v>
      </c>
      <c r="J1254" s="8">
        <v>197</v>
      </c>
      <c r="K1254" s="8">
        <v>285</v>
      </c>
      <c r="L1254" s="8">
        <v>107</v>
      </c>
      <c r="M1254" t="s">
        <v>1306</v>
      </c>
      <c r="N1254" s="16" t="s">
        <v>22</v>
      </c>
      <c r="O1254" s="16" t="s">
        <v>23</v>
      </c>
      <c r="P1254" s="16" t="s">
        <v>37</v>
      </c>
      <c r="Q1254" s="10" t="s">
        <v>1071</v>
      </c>
      <c r="R1254" s="3" t="str">
        <f t="shared" si="38"/>
        <v>130</v>
      </c>
      <c r="S1254" s="3" t="str">
        <f t="shared" si="39"/>
        <v>70</v>
      </c>
      <c r="T1254" s="16" t="s">
        <v>29</v>
      </c>
      <c r="U1254" s="3">
        <v>18.280999999999999</v>
      </c>
      <c r="V1254" s="16" t="str">
        <f>PROPER(Table1[[#This Row],[CVD Risk Level]])</f>
        <v>Low</v>
      </c>
    </row>
    <row r="1255" spans="1:22" x14ac:dyDescent="0.3">
      <c r="A1255" t="s">
        <v>31</v>
      </c>
      <c r="B1255" s="8">
        <v>47</v>
      </c>
      <c r="C1255" s="8">
        <v>86.468000000000004</v>
      </c>
      <c r="D1255" s="5">
        <v>1.5509999999999999</v>
      </c>
      <c r="E1255" s="5">
        <v>24.102</v>
      </c>
      <c r="F1255" s="16" t="s">
        <v>33</v>
      </c>
      <c r="G1255" s="11">
        <v>0.58399999999999996</v>
      </c>
      <c r="H1255" s="5">
        <v>90.585999999999999</v>
      </c>
      <c r="I1255" s="8">
        <v>38</v>
      </c>
      <c r="J1255" s="8">
        <v>81</v>
      </c>
      <c r="K1255" s="8">
        <v>149</v>
      </c>
      <c r="L1255" s="8">
        <v>117.48563611491107</v>
      </c>
      <c r="M1255" t="s">
        <v>1306</v>
      </c>
      <c r="N1255" s="16" t="s">
        <v>22</v>
      </c>
      <c r="O1255" s="16" t="s">
        <v>22</v>
      </c>
      <c r="P1255" s="16" t="s">
        <v>24</v>
      </c>
      <c r="Q1255" s="10" t="s">
        <v>1072</v>
      </c>
      <c r="R1255" s="3" t="str">
        <f t="shared" si="38"/>
        <v>90</v>
      </c>
      <c r="S1255" s="3" t="str">
        <f t="shared" si="39"/>
        <v>66</v>
      </c>
      <c r="T1255" s="16" t="s">
        <v>33</v>
      </c>
      <c r="U1255" s="3">
        <v>12.3</v>
      </c>
      <c r="V1255" s="16" t="str">
        <f>PROPER(Table1[[#This Row],[CVD Risk Level]])</f>
        <v>Intermediary</v>
      </c>
    </row>
    <row r="1256" spans="1:22" x14ac:dyDescent="0.3">
      <c r="A1256" t="s">
        <v>20</v>
      </c>
      <c r="B1256" s="8">
        <v>29</v>
      </c>
      <c r="C1256" s="8">
        <v>97.284999999999997</v>
      </c>
      <c r="D1256" s="5">
        <v>1.863</v>
      </c>
      <c r="E1256" s="5">
        <v>31.457000000000001</v>
      </c>
      <c r="F1256" s="16" t="s">
        <v>1302</v>
      </c>
      <c r="G1256" s="11">
        <v>0.58099999999999996</v>
      </c>
      <c r="H1256" s="5">
        <v>108.324</v>
      </c>
      <c r="I1256" s="8">
        <v>72</v>
      </c>
      <c r="J1256" s="8">
        <v>193</v>
      </c>
      <c r="K1256" s="8">
        <v>295</v>
      </c>
      <c r="L1256" s="8">
        <v>143</v>
      </c>
      <c r="M1256" t="s">
        <v>1307</v>
      </c>
      <c r="N1256" s="16" t="s">
        <v>23</v>
      </c>
      <c r="O1256" s="16" t="s">
        <v>23</v>
      </c>
      <c r="P1256" s="16" t="s">
        <v>37</v>
      </c>
      <c r="Q1256" s="10" t="s">
        <v>1073</v>
      </c>
      <c r="R1256" s="3" t="str">
        <f t="shared" si="38"/>
        <v>111</v>
      </c>
      <c r="S1256" s="3" t="str">
        <f t="shared" si="39"/>
        <v>108</v>
      </c>
      <c r="T1256" s="16" t="s">
        <v>38</v>
      </c>
      <c r="U1256" s="3">
        <v>19.741</v>
      </c>
      <c r="V1256" s="16" t="str">
        <f>PROPER(Table1[[#This Row],[CVD Risk Level]])</f>
        <v>High</v>
      </c>
    </row>
    <row r="1257" spans="1:22" x14ac:dyDescent="0.3">
      <c r="A1257" t="s">
        <v>20</v>
      </c>
      <c r="B1257" s="8">
        <v>33</v>
      </c>
      <c r="C1257" s="8">
        <v>88.7</v>
      </c>
      <c r="D1257" s="5">
        <v>1.5860000000000001</v>
      </c>
      <c r="E1257" s="5">
        <v>21.158000000000001</v>
      </c>
      <c r="F1257" s="16" t="s">
        <v>33</v>
      </c>
      <c r="G1257" s="11">
        <v>0.47499999999999998</v>
      </c>
      <c r="H1257" s="5">
        <v>75.322000000000003</v>
      </c>
      <c r="I1257" s="8">
        <v>51</v>
      </c>
      <c r="J1257" s="8">
        <v>152</v>
      </c>
      <c r="K1257" s="8">
        <v>233</v>
      </c>
      <c r="L1257" s="8">
        <v>135</v>
      </c>
      <c r="M1257" t="s">
        <v>1307</v>
      </c>
      <c r="N1257" s="16" t="s">
        <v>23</v>
      </c>
      <c r="O1257" s="16" t="s">
        <v>23</v>
      </c>
      <c r="P1257" s="16" t="s">
        <v>24</v>
      </c>
      <c r="Q1257" s="10" t="s">
        <v>1074</v>
      </c>
      <c r="R1257" s="3" t="str">
        <f t="shared" si="38"/>
        <v>145</v>
      </c>
      <c r="S1257" s="3" t="str">
        <f t="shared" si="39"/>
        <v>110</v>
      </c>
      <c r="T1257" s="16" t="s">
        <v>38</v>
      </c>
      <c r="U1257" s="3">
        <v>18.141999999999999</v>
      </c>
      <c r="V1257" s="16" t="str">
        <f>PROPER(Table1[[#This Row],[CVD Risk Level]])</f>
        <v>Low</v>
      </c>
    </row>
    <row r="1258" spans="1:22" x14ac:dyDescent="0.3">
      <c r="A1258" t="s">
        <v>31</v>
      </c>
      <c r="B1258" s="8">
        <v>38</v>
      </c>
      <c r="C1258" s="8">
        <v>53.383000000000003</v>
      </c>
      <c r="D1258" s="5">
        <v>1.736</v>
      </c>
      <c r="E1258" s="5">
        <v>30.614000000000001</v>
      </c>
      <c r="F1258" s="16" t="s">
        <v>1302</v>
      </c>
      <c r="G1258" s="11">
        <v>0.45300000000000001</v>
      </c>
      <c r="H1258" s="5">
        <v>78.617999999999995</v>
      </c>
      <c r="I1258" s="8">
        <v>46</v>
      </c>
      <c r="J1258" s="8">
        <v>86</v>
      </c>
      <c r="K1258" s="8">
        <v>162</v>
      </c>
      <c r="L1258" s="8">
        <v>105</v>
      </c>
      <c r="M1258" t="s">
        <v>1306</v>
      </c>
      <c r="N1258" s="16" t="s">
        <v>22</v>
      </c>
      <c r="O1258" s="16" t="s">
        <v>23</v>
      </c>
      <c r="P1258" s="16" t="s">
        <v>37</v>
      </c>
      <c r="Q1258" s="10" t="s">
        <v>1075</v>
      </c>
      <c r="R1258" s="3" t="str">
        <f t="shared" si="38"/>
        <v>102</v>
      </c>
      <c r="S1258" s="3" t="str">
        <f t="shared" si="39"/>
        <v>97</v>
      </c>
      <c r="T1258" s="16" t="s">
        <v>38</v>
      </c>
      <c r="U1258" s="3">
        <v>16.960925291295425</v>
      </c>
      <c r="V1258" s="16" t="str">
        <f>PROPER(Table1[[#This Row],[CVD Risk Level]])</f>
        <v>Intermediary</v>
      </c>
    </row>
    <row r="1259" spans="1:22" x14ac:dyDescent="0.3">
      <c r="A1259" t="s">
        <v>20</v>
      </c>
      <c r="B1259" s="8">
        <v>79</v>
      </c>
      <c r="C1259" s="8">
        <v>110.631</v>
      </c>
      <c r="D1259" s="5">
        <v>2.3949410077341682</v>
      </c>
      <c r="E1259" s="5">
        <v>19.288</v>
      </c>
      <c r="F1259" s="16" t="s">
        <v>33</v>
      </c>
      <c r="G1259" s="11">
        <v>0.58699999999999997</v>
      </c>
      <c r="H1259" s="5">
        <v>102.27200000000001</v>
      </c>
      <c r="I1259" s="8">
        <v>56</v>
      </c>
      <c r="J1259" s="8">
        <v>175</v>
      </c>
      <c r="K1259" s="8">
        <v>261</v>
      </c>
      <c r="L1259" s="8">
        <v>75</v>
      </c>
      <c r="M1259" t="s">
        <v>33</v>
      </c>
      <c r="N1259" s="16" t="s">
        <v>23</v>
      </c>
      <c r="O1259" s="16" t="s">
        <v>23</v>
      </c>
      <c r="P1259" s="16" t="s">
        <v>28</v>
      </c>
      <c r="Q1259" s="10" t="s">
        <v>1076</v>
      </c>
      <c r="R1259" s="3" t="str">
        <f t="shared" si="38"/>
        <v>176</v>
      </c>
      <c r="S1259" s="3" t="str">
        <f t="shared" si="39"/>
        <v>89</v>
      </c>
      <c r="T1259" s="16" t="s">
        <v>29</v>
      </c>
      <c r="U1259" s="3">
        <v>19.878</v>
      </c>
      <c r="V1259" s="16" t="str">
        <f>PROPER(Table1[[#This Row],[CVD Risk Level]])</f>
        <v>Low</v>
      </c>
    </row>
    <row r="1260" spans="1:22" x14ac:dyDescent="0.3">
      <c r="A1260" t="s">
        <v>20</v>
      </c>
      <c r="B1260" s="8">
        <v>56</v>
      </c>
      <c r="C1260" s="8">
        <v>49.5310281</v>
      </c>
      <c r="D1260" s="5">
        <v>1.585</v>
      </c>
      <c r="E1260" s="5">
        <v>19.716000000000001</v>
      </c>
      <c r="F1260" s="16" t="s">
        <v>33</v>
      </c>
      <c r="G1260" s="11">
        <v>0.46711671924290221</v>
      </c>
      <c r="H1260" s="5">
        <v>74.037999999999997</v>
      </c>
      <c r="I1260" s="8">
        <v>76</v>
      </c>
      <c r="J1260" s="8">
        <v>5</v>
      </c>
      <c r="K1260" s="8">
        <v>111</v>
      </c>
      <c r="L1260" s="8">
        <v>117.48563611491107</v>
      </c>
      <c r="M1260" t="s">
        <v>1306</v>
      </c>
      <c r="N1260" s="16" t="s">
        <v>22</v>
      </c>
      <c r="O1260" s="16" t="s">
        <v>22</v>
      </c>
      <c r="P1260" s="16" t="s">
        <v>37</v>
      </c>
      <c r="Q1260" s="10" t="s">
        <v>1077</v>
      </c>
      <c r="R1260" s="3" t="str">
        <f t="shared" si="38"/>
        <v>126</v>
      </c>
      <c r="S1260" s="3" t="str">
        <f t="shared" si="39"/>
        <v>113</v>
      </c>
      <c r="T1260" s="16" t="s">
        <v>38</v>
      </c>
      <c r="U1260" s="3">
        <v>12.462999999999999</v>
      </c>
      <c r="V1260" s="16" t="str">
        <f>PROPER(Table1[[#This Row],[CVD Risk Level]])</f>
        <v>High</v>
      </c>
    </row>
    <row r="1261" spans="1:22" x14ac:dyDescent="0.3">
      <c r="A1261" t="s">
        <v>20</v>
      </c>
      <c r="B1261" s="8">
        <v>50</v>
      </c>
      <c r="C1261" s="8">
        <v>107.755</v>
      </c>
      <c r="D1261" s="5">
        <v>1.5780000000000001</v>
      </c>
      <c r="E1261" s="5">
        <v>33.746000000000002</v>
      </c>
      <c r="F1261" s="16" t="s">
        <v>1302</v>
      </c>
      <c r="G1261" s="11">
        <v>0.46800000000000003</v>
      </c>
      <c r="H1261" s="5">
        <v>73.831000000000003</v>
      </c>
      <c r="I1261" s="8">
        <v>78</v>
      </c>
      <c r="J1261" s="8">
        <v>156</v>
      </c>
      <c r="K1261" s="8">
        <v>264</v>
      </c>
      <c r="L1261" s="8">
        <v>119</v>
      </c>
      <c r="M1261" t="s">
        <v>1306</v>
      </c>
      <c r="N1261" s="16" t="s">
        <v>23</v>
      </c>
      <c r="O1261" s="16" t="s">
        <v>23</v>
      </c>
      <c r="P1261" s="16" t="s">
        <v>24</v>
      </c>
      <c r="Q1261" s="10" t="s">
        <v>1078</v>
      </c>
      <c r="R1261" s="3" t="str">
        <f t="shared" si="38"/>
        <v>160</v>
      </c>
      <c r="S1261" s="3" t="str">
        <f t="shared" si="39"/>
        <v>71</v>
      </c>
      <c r="T1261" s="16" t="s">
        <v>38</v>
      </c>
      <c r="U1261" s="3">
        <v>22.029</v>
      </c>
      <c r="V1261" s="16" t="str">
        <f>PROPER(Table1[[#This Row],[CVD Risk Level]])</f>
        <v>High</v>
      </c>
    </row>
    <row r="1262" spans="1:22" x14ac:dyDescent="0.3">
      <c r="A1262" t="s">
        <v>31</v>
      </c>
      <c r="B1262" s="8">
        <v>73</v>
      </c>
      <c r="C1262" s="8">
        <v>98.596000000000004</v>
      </c>
      <c r="D1262" s="5">
        <v>1.9890000000000001</v>
      </c>
      <c r="E1262" s="5">
        <v>30.504000000000001</v>
      </c>
      <c r="F1262" s="16" t="s">
        <v>1302</v>
      </c>
      <c r="G1262" s="11">
        <v>0.4719105077928607</v>
      </c>
      <c r="H1262" s="5">
        <v>93.863</v>
      </c>
      <c r="I1262" s="8">
        <v>32</v>
      </c>
      <c r="J1262" s="8">
        <v>159</v>
      </c>
      <c r="K1262" s="8">
        <v>221</v>
      </c>
      <c r="L1262" s="8">
        <v>120</v>
      </c>
      <c r="M1262" t="s">
        <v>1306</v>
      </c>
      <c r="N1262" s="16" t="s">
        <v>23</v>
      </c>
      <c r="O1262" s="16" t="s">
        <v>23</v>
      </c>
      <c r="P1262" s="16" t="s">
        <v>24</v>
      </c>
      <c r="Q1262" s="10" t="s">
        <v>1079</v>
      </c>
      <c r="R1262" s="3" t="str">
        <f t="shared" si="38"/>
        <v>100</v>
      </c>
      <c r="S1262" s="3" t="str">
        <f t="shared" si="39"/>
        <v>75</v>
      </c>
      <c r="T1262" s="16" t="s">
        <v>33</v>
      </c>
      <c r="U1262" s="3">
        <v>17.521000000000001</v>
      </c>
      <c r="V1262" s="16" t="str">
        <f>PROPER(Table1[[#This Row],[CVD Risk Level]])</f>
        <v>High</v>
      </c>
    </row>
    <row r="1263" spans="1:22" x14ac:dyDescent="0.3">
      <c r="A1263" t="s">
        <v>20</v>
      </c>
      <c r="B1263" s="8">
        <v>68</v>
      </c>
      <c r="C1263" s="8">
        <v>63.100999999999999</v>
      </c>
      <c r="D1263" s="5">
        <v>1.66</v>
      </c>
      <c r="E1263" s="5">
        <v>35.878</v>
      </c>
      <c r="F1263" s="16" t="s">
        <v>1302</v>
      </c>
      <c r="G1263" s="11">
        <v>0.71699999999999997</v>
      </c>
      <c r="H1263" s="5">
        <v>119.02199999999999</v>
      </c>
      <c r="I1263" s="8">
        <v>47</v>
      </c>
      <c r="J1263" s="8">
        <v>109</v>
      </c>
      <c r="K1263" s="8">
        <v>186</v>
      </c>
      <c r="L1263" s="8">
        <v>158</v>
      </c>
      <c r="M1263" t="s">
        <v>1307</v>
      </c>
      <c r="N1263" s="16" t="s">
        <v>22</v>
      </c>
      <c r="O1263" s="16" t="s">
        <v>23</v>
      </c>
      <c r="P1263" s="16" t="s">
        <v>28</v>
      </c>
      <c r="Q1263" s="10" t="s">
        <v>1080</v>
      </c>
      <c r="R1263" s="3" t="str">
        <f t="shared" si="38"/>
        <v>146</v>
      </c>
      <c r="S1263" s="3" t="str">
        <f t="shared" si="39"/>
        <v>69</v>
      </c>
      <c r="T1263" s="16" t="s">
        <v>38</v>
      </c>
      <c r="U1263" s="3">
        <v>20.196000000000002</v>
      </c>
      <c r="V1263" s="16" t="str">
        <f>PROPER(Table1[[#This Row],[CVD Risk Level]])</f>
        <v>Intermediary</v>
      </c>
    </row>
    <row r="1264" spans="1:22" x14ac:dyDescent="0.3">
      <c r="A1264" t="s">
        <v>31</v>
      </c>
      <c r="B1264" s="8">
        <v>51</v>
      </c>
      <c r="C1264" s="8">
        <v>85.79</v>
      </c>
      <c r="D1264" s="5">
        <v>1.9996504005799951</v>
      </c>
      <c r="E1264" s="5">
        <v>21.454999999999998</v>
      </c>
      <c r="F1264" s="16" t="s">
        <v>33</v>
      </c>
      <c r="G1264" s="11">
        <v>0.4654063528955194</v>
      </c>
      <c r="H1264" s="5">
        <v>93.064999999999998</v>
      </c>
      <c r="I1264" s="8">
        <v>45</v>
      </c>
      <c r="J1264" s="8">
        <v>221</v>
      </c>
      <c r="K1264" s="8">
        <v>296</v>
      </c>
      <c r="L1264" s="8">
        <v>75</v>
      </c>
      <c r="M1264" t="s">
        <v>33</v>
      </c>
      <c r="N1264" s="16" t="s">
        <v>22</v>
      </c>
      <c r="O1264" s="16" t="s">
        <v>22</v>
      </c>
      <c r="P1264" s="16" t="s">
        <v>28</v>
      </c>
      <c r="Q1264" s="10" t="s">
        <v>1081</v>
      </c>
      <c r="R1264" s="3" t="str">
        <f t="shared" si="38"/>
        <v>144</v>
      </c>
      <c r="S1264" s="3" t="str">
        <f t="shared" si="39"/>
        <v>115</v>
      </c>
      <c r="T1264" s="16" t="s">
        <v>38</v>
      </c>
      <c r="U1264" s="3">
        <v>17.411000000000001</v>
      </c>
      <c r="V1264" s="16" t="str">
        <f>PROPER(Table1[[#This Row],[CVD Risk Level]])</f>
        <v>Intermediary</v>
      </c>
    </row>
    <row r="1265" spans="1:22" x14ac:dyDescent="0.3">
      <c r="A1265" t="s">
        <v>20</v>
      </c>
      <c r="B1265" s="8">
        <v>46</v>
      </c>
      <c r="C1265" s="8">
        <v>117.717</v>
      </c>
      <c r="D1265" s="5">
        <v>1.633</v>
      </c>
      <c r="E1265" s="5">
        <v>24.689</v>
      </c>
      <c r="F1265" s="16" t="s">
        <v>33</v>
      </c>
      <c r="G1265" s="11">
        <v>0.73199999999999998</v>
      </c>
      <c r="H1265" s="5">
        <v>119.49299999999999</v>
      </c>
      <c r="I1265" s="8">
        <v>46</v>
      </c>
      <c r="J1265" s="8">
        <v>64</v>
      </c>
      <c r="K1265" s="8">
        <v>140</v>
      </c>
      <c r="L1265" s="8">
        <v>156</v>
      </c>
      <c r="M1265" t="s">
        <v>1307</v>
      </c>
      <c r="N1265" s="16" t="s">
        <v>22</v>
      </c>
      <c r="O1265" s="16" t="s">
        <v>23</v>
      </c>
      <c r="P1265" s="16" t="s">
        <v>24</v>
      </c>
      <c r="Q1265" s="10" t="s">
        <v>1082</v>
      </c>
      <c r="R1265" s="3" t="str">
        <f t="shared" si="38"/>
        <v>93</v>
      </c>
      <c r="S1265" s="3" t="str">
        <f t="shared" si="39"/>
        <v>105</v>
      </c>
      <c r="T1265" s="16" t="s">
        <v>38</v>
      </c>
      <c r="U1265" s="3">
        <v>14.388</v>
      </c>
      <c r="V1265" s="16" t="str">
        <f>PROPER(Table1[[#This Row],[CVD Risk Level]])</f>
        <v>Intermediary</v>
      </c>
    </row>
    <row r="1266" spans="1:22" x14ac:dyDescent="0.3">
      <c r="A1266" t="s">
        <v>31</v>
      </c>
      <c r="B1266" s="8">
        <v>46</v>
      </c>
      <c r="C1266" s="8">
        <v>110.214</v>
      </c>
      <c r="D1266" s="5">
        <v>1.784</v>
      </c>
      <c r="E1266" s="5">
        <v>36.942999999999998</v>
      </c>
      <c r="F1266" s="16" t="s">
        <v>1302</v>
      </c>
      <c r="G1266" s="11">
        <v>0.442</v>
      </c>
      <c r="H1266" s="5">
        <v>78.817999999999998</v>
      </c>
      <c r="I1266" s="8">
        <v>75</v>
      </c>
      <c r="J1266" s="8">
        <v>64</v>
      </c>
      <c r="K1266" s="8">
        <v>169</v>
      </c>
      <c r="L1266" s="8">
        <v>114</v>
      </c>
      <c r="M1266" t="s">
        <v>1306</v>
      </c>
      <c r="N1266" s="16" t="s">
        <v>22</v>
      </c>
      <c r="O1266" s="16" t="s">
        <v>22</v>
      </c>
      <c r="P1266" s="16" t="s">
        <v>24</v>
      </c>
      <c r="Q1266" s="10" t="s">
        <v>1083</v>
      </c>
      <c r="R1266" s="3" t="str">
        <f t="shared" si="38"/>
        <v>178</v>
      </c>
      <c r="S1266" s="3" t="str">
        <f t="shared" si="39"/>
        <v>109</v>
      </c>
      <c r="T1266" s="16" t="s">
        <v>38</v>
      </c>
      <c r="U1266" s="3">
        <v>19.669</v>
      </c>
      <c r="V1266" s="16" t="str">
        <f>PROPER(Table1[[#This Row],[CVD Risk Level]])</f>
        <v>Low</v>
      </c>
    </row>
    <row r="1267" spans="1:22" x14ac:dyDescent="0.3">
      <c r="A1267" t="s">
        <v>20</v>
      </c>
      <c r="B1267" s="8">
        <v>70</v>
      </c>
      <c r="C1267" s="8">
        <v>58.35</v>
      </c>
      <c r="D1267" s="5">
        <v>1.542</v>
      </c>
      <c r="E1267" s="5">
        <v>23.760999999999999</v>
      </c>
      <c r="F1267" s="16" t="s">
        <v>33</v>
      </c>
      <c r="G1267" s="11">
        <v>0.65250972762645909</v>
      </c>
      <c r="H1267" s="5">
        <v>100.617</v>
      </c>
      <c r="I1267" s="8">
        <v>37</v>
      </c>
      <c r="J1267" s="8">
        <v>64</v>
      </c>
      <c r="K1267" s="8">
        <v>202</v>
      </c>
      <c r="L1267" s="8">
        <v>119</v>
      </c>
      <c r="M1267" t="s">
        <v>1306</v>
      </c>
      <c r="N1267" s="16" t="s">
        <v>23</v>
      </c>
      <c r="O1267" s="16" t="s">
        <v>22</v>
      </c>
      <c r="P1267" s="16" t="s">
        <v>37</v>
      </c>
      <c r="Q1267" s="10" t="s">
        <v>1084</v>
      </c>
      <c r="R1267" s="3" t="str">
        <f t="shared" si="38"/>
        <v>95</v>
      </c>
      <c r="S1267" s="3" t="str">
        <f t="shared" si="39"/>
        <v>110</v>
      </c>
      <c r="T1267" s="16" t="s">
        <v>38</v>
      </c>
      <c r="U1267" s="3">
        <v>12.122</v>
      </c>
      <c r="V1267" s="16" t="str">
        <f>PROPER(Table1[[#This Row],[CVD Risk Level]])</f>
        <v>Intermediary</v>
      </c>
    </row>
    <row r="1268" spans="1:22" x14ac:dyDescent="0.3">
      <c r="A1268" t="s">
        <v>20</v>
      </c>
      <c r="B1268" s="8">
        <v>35</v>
      </c>
      <c r="C1268" s="8">
        <v>64.837000000000003</v>
      </c>
      <c r="D1268" s="5">
        <v>1.958</v>
      </c>
      <c r="E1268" s="5">
        <v>33.180999999999997</v>
      </c>
      <c r="F1268" s="16" t="s">
        <v>1302</v>
      </c>
      <c r="G1268" s="11">
        <v>0.45400000000000001</v>
      </c>
      <c r="H1268" s="5">
        <v>88.896000000000001</v>
      </c>
      <c r="I1268" s="8">
        <v>59</v>
      </c>
      <c r="J1268" s="8">
        <v>63</v>
      </c>
      <c r="K1268" s="8">
        <v>152</v>
      </c>
      <c r="L1268" s="8">
        <v>150</v>
      </c>
      <c r="M1268" t="s">
        <v>1307</v>
      </c>
      <c r="N1268" s="16" t="s">
        <v>22</v>
      </c>
      <c r="O1268" s="16" t="s">
        <v>22</v>
      </c>
      <c r="P1268" s="16" t="s">
        <v>28</v>
      </c>
      <c r="Q1268" s="10" t="s">
        <v>1085</v>
      </c>
      <c r="R1268" s="3" t="str">
        <f t="shared" si="38"/>
        <v>160</v>
      </c>
      <c r="S1268" s="3" t="str">
        <f t="shared" si="39"/>
        <v>78</v>
      </c>
      <c r="T1268" s="16" t="s">
        <v>38</v>
      </c>
      <c r="U1268" s="3">
        <v>17.675999999999998</v>
      </c>
      <c r="V1268" s="16" t="str">
        <f>PROPER(Table1[[#This Row],[CVD Risk Level]])</f>
        <v>High</v>
      </c>
    </row>
    <row r="1269" spans="1:22" x14ac:dyDescent="0.3">
      <c r="A1269" t="s">
        <v>20</v>
      </c>
      <c r="B1269" s="8">
        <v>68</v>
      </c>
      <c r="C1269" s="8">
        <v>102.432</v>
      </c>
      <c r="D1269" s="5">
        <v>1.849</v>
      </c>
      <c r="E1269" s="5">
        <v>34.941000000000003</v>
      </c>
      <c r="F1269" s="16" t="s">
        <v>1302</v>
      </c>
      <c r="G1269" s="11">
        <v>0.48799999999999999</v>
      </c>
      <c r="H1269" s="5">
        <v>90.284000000000006</v>
      </c>
      <c r="I1269" s="8">
        <v>52</v>
      </c>
      <c r="J1269" s="8">
        <v>120</v>
      </c>
      <c r="K1269" s="8">
        <v>202</v>
      </c>
      <c r="L1269" s="8">
        <v>135</v>
      </c>
      <c r="M1269" t="s">
        <v>1307</v>
      </c>
      <c r="N1269" s="16" t="s">
        <v>23</v>
      </c>
      <c r="O1269" s="16" t="s">
        <v>22</v>
      </c>
      <c r="P1269" s="16" t="s">
        <v>24</v>
      </c>
      <c r="Q1269" s="10" t="s">
        <v>1086</v>
      </c>
      <c r="R1269" s="3" t="str">
        <f t="shared" si="38"/>
        <v>155</v>
      </c>
      <c r="S1269" s="3" t="str">
        <f t="shared" si="39"/>
        <v>68</v>
      </c>
      <c r="T1269" s="16" t="s">
        <v>38</v>
      </c>
      <c r="U1269" s="3">
        <v>18.777999999999999</v>
      </c>
      <c r="V1269" s="16" t="str">
        <f>PROPER(Table1[[#This Row],[CVD Risk Level]])</f>
        <v>High</v>
      </c>
    </row>
    <row r="1270" spans="1:22" x14ac:dyDescent="0.3">
      <c r="A1270" t="s">
        <v>31</v>
      </c>
      <c r="B1270" s="8">
        <v>47</v>
      </c>
      <c r="C1270" s="8">
        <v>50.343000000000004</v>
      </c>
      <c r="D1270" s="5">
        <v>1.1960621359288808</v>
      </c>
      <c r="E1270" s="5">
        <v>35.191000000000003</v>
      </c>
      <c r="F1270" s="16" t="s">
        <v>1302</v>
      </c>
      <c r="G1270" s="11">
        <v>0.61299999999999999</v>
      </c>
      <c r="H1270" s="5">
        <v>103.605</v>
      </c>
      <c r="I1270" s="8">
        <v>42</v>
      </c>
      <c r="J1270" s="8">
        <v>133</v>
      </c>
      <c r="K1270" s="8">
        <v>205</v>
      </c>
      <c r="L1270" s="8">
        <v>176</v>
      </c>
      <c r="M1270" t="s">
        <v>1307</v>
      </c>
      <c r="N1270" s="16" t="s">
        <v>23</v>
      </c>
      <c r="O1270" s="16" t="s">
        <v>22</v>
      </c>
      <c r="P1270" s="16" t="s">
        <v>24</v>
      </c>
      <c r="Q1270" s="10" t="s">
        <v>1087</v>
      </c>
      <c r="R1270" s="3" t="str">
        <f t="shared" si="38"/>
        <v>173</v>
      </c>
      <c r="S1270" s="3" t="str">
        <f t="shared" si="39"/>
        <v>114</v>
      </c>
      <c r="T1270" s="16" t="s">
        <v>38</v>
      </c>
      <c r="U1270" s="3">
        <v>19.788</v>
      </c>
      <c r="V1270" s="16" t="str">
        <f>PROPER(Table1[[#This Row],[CVD Risk Level]])</f>
        <v>High</v>
      </c>
    </row>
    <row r="1271" spans="1:22" x14ac:dyDescent="0.3">
      <c r="A1271" t="s">
        <v>31</v>
      </c>
      <c r="B1271" s="8">
        <v>29</v>
      </c>
      <c r="C1271" s="8">
        <v>80.427999999999997</v>
      </c>
      <c r="D1271" s="5">
        <v>1.865</v>
      </c>
      <c r="E1271" s="5">
        <v>38.709000000000003</v>
      </c>
      <c r="F1271" s="16" t="s">
        <v>1302</v>
      </c>
      <c r="G1271" s="11">
        <v>0.441</v>
      </c>
      <c r="H1271" s="5">
        <v>82.287000000000006</v>
      </c>
      <c r="I1271" s="8">
        <v>59</v>
      </c>
      <c r="J1271" s="8">
        <v>19</v>
      </c>
      <c r="K1271" s="8">
        <v>108</v>
      </c>
      <c r="L1271" s="8">
        <v>121</v>
      </c>
      <c r="M1271" t="s">
        <v>1306</v>
      </c>
      <c r="N1271" s="16" t="s">
        <v>23</v>
      </c>
      <c r="O1271" s="16" t="s">
        <v>22</v>
      </c>
      <c r="P1271" s="16" t="s">
        <v>37</v>
      </c>
      <c r="Q1271" s="10" t="s">
        <v>1088</v>
      </c>
      <c r="R1271" s="3" t="str">
        <f t="shared" si="38"/>
        <v>151</v>
      </c>
      <c r="S1271" s="3" t="str">
        <f t="shared" si="39"/>
        <v>93</v>
      </c>
      <c r="T1271" s="16" t="s">
        <v>38</v>
      </c>
      <c r="U1271" s="3">
        <v>17.452000000000002</v>
      </c>
      <c r="V1271" s="16" t="str">
        <f>PROPER(Table1[[#This Row],[CVD Risk Level]])</f>
        <v>High</v>
      </c>
    </row>
    <row r="1272" spans="1:22" x14ac:dyDescent="0.3">
      <c r="A1272" t="s">
        <v>20</v>
      </c>
      <c r="B1272" s="8">
        <v>65</v>
      </c>
      <c r="C1272" s="8">
        <v>112.07599999999999</v>
      </c>
      <c r="D1272" s="5">
        <v>1.883</v>
      </c>
      <c r="E1272" s="5">
        <v>37.783999999999999</v>
      </c>
      <c r="F1272" s="16" t="s">
        <v>1302</v>
      </c>
      <c r="G1272" s="11">
        <v>0.44600000000000001</v>
      </c>
      <c r="H1272" s="5">
        <v>83.951999999999998</v>
      </c>
      <c r="I1272" s="8">
        <v>80</v>
      </c>
      <c r="J1272" s="8">
        <v>109</v>
      </c>
      <c r="K1272" s="8">
        <v>107</v>
      </c>
      <c r="L1272" s="8">
        <v>161</v>
      </c>
      <c r="M1272" t="s">
        <v>1307</v>
      </c>
      <c r="N1272" s="16" t="s">
        <v>23</v>
      </c>
      <c r="O1272" s="16" t="s">
        <v>22</v>
      </c>
      <c r="P1272" s="16" t="s">
        <v>28</v>
      </c>
      <c r="Q1272" s="10" t="s">
        <v>488</v>
      </c>
      <c r="R1272" s="3" t="str">
        <f t="shared" si="38"/>
        <v>141</v>
      </c>
      <c r="S1272" s="3" t="str">
        <f t="shared" si="39"/>
        <v>81</v>
      </c>
      <c r="T1272" s="16" t="s">
        <v>29</v>
      </c>
      <c r="U1272" s="3">
        <v>16.747</v>
      </c>
      <c r="V1272" s="16" t="str">
        <f>PROPER(Table1[[#This Row],[CVD Risk Level]])</f>
        <v>High</v>
      </c>
    </row>
    <row r="1273" spans="1:22" x14ac:dyDescent="0.3">
      <c r="A1273" t="s">
        <v>31</v>
      </c>
      <c r="B1273" s="8">
        <v>61</v>
      </c>
      <c r="C1273" s="8">
        <v>108.642</v>
      </c>
      <c r="D1273" s="5">
        <v>1.7549999999999999</v>
      </c>
      <c r="E1273" s="5">
        <v>39.877000000000002</v>
      </c>
      <c r="F1273" s="16" t="s">
        <v>1302</v>
      </c>
      <c r="G1273" s="11">
        <v>0.5</v>
      </c>
      <c r="H1273" s="5">
        <v>87.74</v>
      </c>
      <c r="I1273" s="8">
        <v>75</v>
      </c>
      <c r="J1273" s="8">
        <v>74</v>
      </c>
      <c r="K1273" s="8">
        <v>179</v>
      </c>
      <c r="L1273" s="8">
        <v>160</v>
      </c>
      <c r="M1273" t="s">
        <v>1307</v>
      </c>
      <c r="N1273" s="16" t="s">
        <v>23</v>
      </c>
      <c r="O1273" s="16" t="s">
        <v>22</v>
      </c>
      <c r="P1273" s="16" t="s">
        <v>28</v>
      </c>
      <c r="Q1273" s="10" t="s">
        <v>1089</v>
      </c>
      <c r="R1273" s="3" t="str">
        <f t="shared" si="38"/>
        <v>156</v>
      </c>
      <c r="S1273" s="3" t="str">
        <f t="shared" si="39"/>
        <v>66</v>
      </c>
      <c r="T1273" s="16" t="s">
        <v>38</v>
      </c>
      <c r="U1273" s="3">
        <v>19.355</v>
      </c>
      <c r="V1273" s="16" t="str">
        <f>PROPER(Table1[[#This Row],[CVD Risk Level]])</f>
        <v>High</v>
      </c>
    </row>
    <row r="1274" spans="1:22" x14ac:dyDescent="0.3">
      <c r="A1274" t="s">
        <v>31</v>
      </c>
      <c r="B1274" s="8">
        <v>39</v>
      </c>
      <c r="C1274" s="8">
        <v>86.426000000000002</v>
      </c>
      <c r="D1274" s="5">
        <v>1.8240000000000001</v>
      </c>
      <c r="E1274" s="5">
        <v>27.754999999999999</v>
      </c>
      <c r="F1274" s="16" t="s">
        <v>1303</v>
      </c>
      <c r="G1274" s="11">
        <v>0.56299999999999994</v>
      </c>
      <c r="H1274" s="5">
        <v>102.672</v>
      </c>
      <c r="I1274" s="8">
        <v>56.197377501725327</v>
      </c>
      <c r="J1274" s="8">
        <v>172</v>
      </c>
      <c r="K1274" s="8">
        <v>267</v>
      </c>
      <c r="L1274" s="8">
        <v>117.48563611491107</v>
      </c>
      <c r="M1274" t="s">
        <v>1306</v>
      </c>
      <c r="N1274" s="16" t="s">
        <v>23</v>
      </c>
      <c r="O1274" s="16" t="s">
        <v>23</v>
      </c>
      <c r="P1274" s="16" t="s">
        <v>28</v>
      </c>
      <c r="Q1274" s="10" t="s">
        <v>764</v>
      </c>
      <c r="R1274" s="3" t="str">
        <f t="shared" si="38"/>
        <v>132</v>
      </c>
      <c r="S1274" s="3" t="str">
        <f t="shared" si="39"/>
        <v>77</v>
      </c>
      <c r="T1274" s="16" t="s">
        <v>29</v>
      </c>
      <c r="U1274" s="3">
        <v>19.491</v>
      </c>
      <c r="V1274" s="16" t="str">
        <f>PROPER(Table1[[#This Row],[CVD Risk Level]])</f>
        <v>High</v>
      </c>
    </row>
    <row r="1275" spans="1:22" x14ac:dyDescent="0.3">
      <c r="A1275" t="s">
        <v>20</v>
      </c>
      <c r="B1275" s="8">
        <v>41</v>
      </c>
      <c r="C1275" s="8">
        <v>98.17</v>
      </c>
      <c r="D1275" s="5">
        <v>1.964</v>
      </c>
      <c r="E1275" s="5">
        <v>34.151000000000003</v>
      </c>
      <c r="F1275" s="16" t="s">
        <v>1302</v>
      </c>
      <c r="G1275" s="11">
        <v>0.439</v>
      </c>
      <c r="H1275" s="5">
        <v>86.302999999999997</v>
      </c>
      <c r="I1275" s="8">
        <v>89</v>
      </c>
      <c r="J1275" s="8">
        <v>108</v>
      </c>
      <c r="K1275" s="8">
        <v>227</v>
      </c>
      <c r="L1275" s="8">
        <v>88</v>
      </c>
      <c r="M1275" t="s">
        <v>33</v>
      </c>
      <c r="N1275" s="16" t="s">
        <v>23</v>
      </c>
      <c r="O1275" s="16" t="s">
        <v>23</v>
      </c>
      <c r="P1275" s="16" t="s">
        <v>28</v>
      </c>
      <c r="Q1275" s="10" t="s">
        <v>1090</v>
      </c>
      <c r="R1275" s="3" t="str">
        <f t="shared" si="38"/>
        <v>172</v>
      </c>
      <c r="S1275" s="3" t="str">
        <f t="shared" si="39"/>
        <v>68</v>
      </c>
      <c r="T1275" s="16" t="s">
        <v>38</v>
      </c>
      <c r="U1275" s="3">
        <v>21.97</v>
      </c>
      <c r="V1275" s="16" t="str">
        <f>PROPER(Table1[[#This Row],[CVD Risk Level]])</f>
        <v>Low</v>
      </c>
    </row>
    <row r="1276" spans="1:22" x14ac:dyDescent="0.3">
      <c r="A1276" t="s">
        <v>20</v>
      </c>
      <c r="B1276" s="8">
        <v>26</v>
      </c>
      <c r="C1276" s="8">
        <v>97.701999999999998</v>
      </c>
      <c r="D1276" s="5">
        <v>1.8009999999999999</v>
      </c>
      <c r="E1276" s="5">
        <v>32.79</v>
      </c>
      <c r="F1276" s="16" t="s">
        <v>1302</v>
      </c>
      <c r="G1276" s="11">
        <v>0.60099999999999998</v>
      </c>
      <c r="H1276" s="5">
        <v>108.242</v>
      </c>
      <c r="I1276" s="8">
        <v>79</v>
      </c>
      <c r="J1276" s="8">
        <v>153</v>
      </c>
      <c r="K1276" s="8">
        <v>464</v>
      </c>
      <c r="L1276" s="8">
        <v>185</v>
      </c>
      <c r="M1276" t="s">
        <v>1307</v>
      </c>
      <c r="N1276" s="16" t="s">
        <v>22</v>
      </c>
      <c r="O1276" s="16" t="s">
        <v>22</v>
      </c>
      <c r="P1276" s="16" t="s">
        <v>28</v>
      </c>
      <c r="Q1276" s="10" t="s">
        <v>1091</v>
      </c>
      <c r="R1276" s="3" t="str">
        <f t="shared" si="38"/>
        <v>108</v>
      </c>
      <c r="S1276" s="3" t="str">
        <f t="shared" si="39"/>
        <v>117</v>
      </c>
      <c r="T1276" s="16" t="s">
        <v>38</v>
      </c>
      <c r="U1276" s="3">
        <v>17.198</v>
      </c>
      <c r="V1276" s="16" t="str">
        <f>PROPER(Table1[[#This Row],[CVD Risk Level]])</f>
        <v>High</v>
      </c>
    </row>
    <row r="1277" spans="1:22" x14ac:dyDescent="0.3">
      <c r="A1277" t="s">
        <v>20</v>
      </c>
      <c r="B1277" s="8">
        <v>26</v>
      </c>
      <c r="C1277" s="8">
        <v>66.394000000000005</v>
      </c>
      <c r="D1277" s="5">
        <v>1.86</v>
      </c>
      <c r="E1277" s="5">
        <v>27.704000000000001</v>
      </c>
      <c r="F1277" s="16" t="s">
        <v>1303</v>
      </c>
      <c r="G1277" s="11">
        <v>0.49299999999999999</v>
      </c>
      <c r="H1277" s="5">
        <v>91.594999999999999</v>
      </c>
      <c r="I1277" s="8">
        <v>78</v>
      </c>
      <c r="J1277" s="8">
        <v>109</v>
      </c>
      <c r="K1277" s="8">
        <v>106</v>
      </c>
      <c r="L1277" s="8">
        <v>103</v>
      </c>
      <c r="M1277" t="s">
        <v>1306</v>
      </c>
      <c r="N1277" s="16" t="s">
        <v>22</v>
      </c>
      <c r="O1277" s="16" t="s">
        <v>23</v>
      </c>
      <c r="P1277" s="16" t="s">
        <v>28</v>
      </c>
      <c r="Q1277" s="10" t="s">
        <v>1092</v>
      </c>
      <c r="R1277" s="3" t="str">
        <f t="shared" si="38"/>
        <v>165</v>
      </c>
      <c r="S1277" s="3" t="str">
        <f t="shared" si="39"/>
        <v>101</v>
      </c>
      <c r="T1277" s="16" t="s">
        <v>38</v>
      </c>
      <c r="U1277" s="3">
        <v>16.960925291295425</v>
      </c>
      <c r="V1277" s="16" t="str">
        <f>PROPER(Table1[[#This Row],[CVD Risk Level]])</f>
        <v>Low</v>
      </c>
    </row>
    <row r="1278" spans="1:22" x14ac:dyDescent="0.3">
      <c r="A1278" t="s">
        <v>20</v>
      </c>
      <c r="B1278" s="8">
        <v>68</v>
      </c>
      <c r="C1278" s="8">
        <v>117.43859767500001</v>
      </c>
      <c r="D1278" s="5">
        <v>1.9950000000000001</v>
      </c>
      <c r="E1278" s="5">
        <v>29.507000000000001</v>
      </c>
      <c r="F1278" s="16" t="s">
        <v>1303</v>
      </c>
      <c r="G1278" s="11">
        <v>0.51900000000000002</v>
      </c>
      <c r="H1278" s="5">
        <v>103.497</v>
      </c>
      <c r="I1278" s="8">
        <v>45</v>
      </c>
      <c r="J1278" s="8">
        <v>59</v>
      </c>
      <c r="K1278" s="8">
        <v>134</v>
      </c>
      <c r="L1278" s="8">
        <v>175</v>
      </c>
      <c r="M1278" t="s">
        <v>1307</v>
      </c>
      <c r="N1278" s="16" t="s">
        <v>23</v>
      </c>
      <c r="O1278" s="16" t="s">
        <v>22</v>
      </c>
      <c r="P1278" s="16" t="s">
        <v>24</v>
      </c>
      <c r="Q1278" s="10" t="s">
        <v>318</v>
      </c>
      <c r="R1278" s="3" t="str">
        <f t="shared" si="38"/>
        <v>128</v>
      </c>
      <c r="S1278" s="3" t="str">
        <f t="shared" si="39"/>
        <v>88</v>
      </c>
      <c r="T1278" s="16" t="s">
        <v>29</v>
      </c>
      <c r="U1278" s="3">
        <v>14.981</v>
      </c>
      <c r="V1278" s="16" t="str">
        <f>PROPER(Table1[[#This Row],[CVD Risk Level]])</f>
        <v>High</v>
      </c>
    </row>
    <row r="1279" spans="1:22" x14ac:dyDescent="0.3">
      <c r="A1279" t="s">
        <v>31</v>
      </c>
      <c r="B1279" s="8">
        <v>33</v>
      </c>
      <c r="C1279" s="8">
        <v>104.748</v>
      </c>
      <c r="D1279" s="5">
        <v>1.9830000000000001</v>
      </c>
      <c r="E1279" s="5">
        <v>18.852</v>
      </c>
      <c r="F1279" s="16" t="s">
        <v>33</v>
      </c>
      <c r="G1279" s="11">
        <v>0.52800000000000002</v>
      </c>
      <c r="H1279" s="5">
        <v>104.754</v>
      </c>
      <c r="I1279" s="8">
        <v>81</v>
      </c>
      <c r="J1279" s="8">
        <v>65</v>
      </c>
      <c r="K1279" s="8">
        <v>176</v>
      </c>
      <c r="L1279" s="8">
        <v>161</v>
      </c>
      <c r="M1279" t="s">
        <v>1307</v>
      </c>
      <c r="N1279" s="16" t="s">
        <v>22</v>
      </c>
      <c r="O1279" s="16" t="s">
        <v>22</v>
      </c>
      <c r="P1279" s="16" t="s">
        <v>37</v>
      </c>
      <c r="Q1279" s="10" t="s">
        <v>1093</v>
      </c>
      <c r="R1279" s="3" t="str">
        <f t="shared" si="38"/>
        <v>178</v>
      </c>
      <c r="S1279" s="3" t="str">
        <f t="shared" si="39"/>
        <v>65</v>
      </c>
      <c r="T1279" s="16" t="s">
        <v>38</v>
      </c>
      <c r="U1279" s="3">
        <v>16.190000000000001</v>
      </c>
      <c r="V1279" s="16" t="str">
        <f>PROPER(Table1[[#This Row],[CVD Risk Level]])</f>
        <v>High</v>
      </c>
    </row>
    <row r="1280" spans="1:22" x14ac:dyDescent="0.3">
      <c r="A1280" t="s">
        <v>20</v>
      </c>
      <c r="B1280" s="8">
        <v>75</v>
      </c>
      <c r="C1280" s="8">
        <v>113.605</v>
      </c>
      <c r="D1280" s="5">
        <v>1.8640000000000001</v>
      </c>
      <c r="E1280" s="5">
        <v>22.713999999999999</v>
      </c>
      <c r="F1280" s="16" t="s">
        <v>33</v>
      </c>
      <c r="G1280" s="11">
        <v>0.47499999999999998</v>
      </c>
      <c r="H1280" s="5">
        <v>88.545000000000002</v>
      </c>
      <c r="I1280" s="8">
        <v>63</v>
      </c>
      <c r="J1280" s="8">
        <v>58</v>
      </c>
      <c r="K1280" s="8">
        <v>151</v>
      </c>
      <c r="L1280" s="8">
        <v>105</v>
      </c>
      <c r="M1280" t="s">
        <v>1306</v>
      </c>
      <c r="N1280" s="16" t="s">
        <v>22</v>
      </c>
      <c r="O1280" s="16" t="s">
        <v>23</v>
      </c>
      <c r="P1280" s="16" t="s">
        <v>24</v>
      </c>
      <c r="Q1280" s="10" t="s">
        <v>1094</v>
      </c>
      <c r="R1280" s="3" t="str">
        <f t="shared" si="38"/>
        <v>159</v>
      </c>
      <c r="S1280" s="3" t="str">
        <f t="shared" si="39"/>
        <v>100</v>
      </c>
      <c r="T1280" s="16" t="s">
        <v>38</v>
      </c>
      <c r="U1280" s="3">
        <v>17.513000000000002</v>
      </c>
      <c r="V1280" s="16" t="str">
        <f>PROPER(Table1[[#This Row],[CVD Risk Level]])</f>
        <v>Low</v>
      </c>
    </row>
    <row r="1281" spans="1:22" x14ac:dyDescent="0.3">
      <c r="A1281" t="s">
        <v>31</v>
      </c>
      <c r="B1281" s="8">
        <v>75</v>
      </c>
      <c r="C1281" s="8">
        <v>124.36650420300001</v>
      </c>
      <c r="D1281" s="5">
        <v>1.9830000000000001</v>
      </c>
      <c r="E1281" s="5">
        <v>31.626999999999999</v>
      </c>
      <c r="F1281" s="16" t="s">
        <v>1302</v>
      </c>
      <c r="G1281" s="11">
        <v>0.56299999999999994</v>
      </c>
      <c r="H1281" s="5">
        <v>111.6429</v>
      </c>
      <c r="I1281" s="8">
        <v>46</v>
      </c>
      <c r="J1281" s="8">
        <v>103</v>
      </c>
      <c r="K1281" s="8">
        <v>179</v>
      </c>
      <c r="L1281" s="8">
        <v>138</v>
      </c>
      <c r="M1281" t="s">
        <v>1307</v>
      </c>
      <c r="N1281" s="16" t="s">
        <v>22</v>
      </c>
      <c r="O1281" s="16" t="s">
        <v>22</v>
      </c>
      <c r="P1281" s="16" t="s">
        <v>28</v>
      </c>
      <c r="Q1281" s="10" t="s">
        <v>1095</v>
      </c>
      <c r="R1281" s="3" t="str">
        <f t="shared" si="38"/>
        <v>159</v>
      </c>
      <c r="S1281" s="3" t="str">
        <f t="shared" si="39"/>
        <v>101</v>
      </c>
      <c r="T1281" s="16" t="s">
        <v>38</v>
      </c>
      <c r="U1281" s="3">
        <v>17.855</v>
      </c>
      <c r="V1281" s="16" t="str">
        <f>PROPER(Table1[[#This Row],[CVD Risk Level]])</f>
        <v>Intermediary</v>
      </c>
    </row>
    <row r="1282" spans="1:22" x14ac:dyDescent="0.3">
      <c r="A1282" t="s">
        <v>31</v>
      </c>
      <c r="B1282" s="8">
        <v>63</v>
      </c>
      <c r="C1282" s="8">
        <v>55.338999999999999</v>
      </c>
      <c r="D1282" s="5">
        <v>1.4909979074340389</v>
      </c>
      <c r="E1282" s="5">
        <v>24.893000000000001</v>
      </c>
      <c r="F1282" s="16" t="s">
        <v>33</v>
      </c>
      <c r="G1282" s="11">
        <v>0.59199999999999997</v>
      </c>
      <c r="H1282" s="5">
        <v>103.179</v>
      </c>
      <c r="I1282" s="8">
        <v>42</v>
      </c>
      <c r="J1282" s="8">
        <v>180</v>
      </c>
      <c r="K1282" s="8">
        <v>252</v>
      </c>
      <c r="L1282" s="8">
        <v>147</v>
      </c>
      <c r="M1282" t="s">
        <v>1307</v>
      </c>
      <c r="N1282" s="16" t="s">
        <v>22</v>
      </c>
      <c r="O1282" s="16" t="s">
        <v>22</v>
      </c>
      <c r="P1282" s="16" t="s">
        <v>24</v>
      </c>
      <c r="Q1282" s="10" t="s">
        <v>656</v>
      </c>
      <c r="R1282" s="3" t="str">
        <f t="shared" si="38"/>
        <v>101</v>
      </c>
      <c r="S1282" s="3" t="str">
        <f t="shared" si="39"/>
        <v>77</v>
      </c>
      <c r="T1282" s="16" t="s">
        <v>33</v>
      </c>
      <c r="U1282" s="3">
        <v>15.069000000000001</v>
      </c>
      <c r="V1282" s="16" t="str">
        <f>PROPER(Table1[[#This Row],[CVD Risk Level]])</f>
        <v>Intermediary</v>
      </c>
    </row>
    <row r="1283" spans="1:22" x14ac:dyDescent="0.3">
      <c r="A1283" t="s">
        <v>20</v>
      </c>
      <c r="B1283" s="8">
        <v>38</v>
      </c>
      <c r="C1283" s="8">
        <v>107.316</v>
      </c>
      <c r="D1283" s="5">
        <v>1.9890000000000001</v>
      </c>
      <c r="E1283" s="5">
        <v>20.888000000000002</v>
      </c>
      <c r="F1283" s="16" t="s">
        <v>33</v>
      </c>
      <c r="G1283" s="11">
        <v>0.56899999999999995</v>
      </c>
      <c r="H1283" s="5">
        <v>113.22</v>
      </c>
      <c r="I1283" s="8">
        <v>52</v>
      </c>
      <c r="J1283" s="8">
        <v>136</v>
      </c>
      <c r="K1283" s="8">
        <v>218</v>
      </c>
      <c r="L1283" s="8">
        <v>72</v>
      </c>
      <c r="M1283" t="s">
        <v>33</v>
      </c>
      <c r="N1283" s="16" t="s">
        <v>22</v>
      </c>
      <c r="O1283" s="16" t="s">
        <v>22</v>
      </c>
      <c r="P1283" s="16" t="s">
        <v>24</v>
      </c>
      <c r="Q1283" s="10" t="s">
        <v>1096</v>
      </c>
      <c r="R1283" s="3" t="str">
        <f t="shared" ref="R1283:R1346" si="40">LEFT(Q1283,FIND("/",Q1283)-1)</f>
        <v>103</v>
      </c>
      <c r="S1283" s="3" t="str">
        <f t="shared" ref="S1283:S1346" si="41">RIGHT(Q1283,LEN(Q1283)-FIND("/",Q1283))</f>
        <v>71</v>
      </c>
      <c r="T1283" s="16" t="s">
        <v>33</v>
      </c>
      <c r="U1283" s="3">
        <v>13.688000000000001</v>
      </c>
      <c r="V1283" s="16" t="str">
        <f>PROPER(Table1[[#This Row],[CVD Risk Level]])</f>
        <v>High</v>
      </c>
    </row>
    <row r="1284" spans="1:22" x14ac:dyDescent="0.3">
      <c r="A1284" t="s">
        <v>20</v>
      </c>
      <c r="B1284" s="8">
        <v>76</v>
      </c>
      <c r="C1284" s="8">
        <v>119.517</v>
      </c>
      <c r="D1284" s="5">
        <v>1.895</v>
      </c>
      <c r="E1284" s="5">
        <v>22.664999999999999</v>
      </c>
      <c r="F1284" s="16" t="s">
        <v>33</v>
      </c>
      <c r="G1284" s="11">
        <v>0.55000000000000004</v>
      </c>
      <c r="H1284" s="5">
        <v>104.21</v>
      </c>
      <c r="I1284" s="8">
        <v>41</v>
      </c>
      <c r="J1284" s="8">
        <v>159</v>
      </c>
      <c r="K1284" s="8">
        <v>230</v>
      </c>
      <c r="L1284" s="8">
        <v>198</v>
      </c>
      <c r="M1284" t="s">
        <v>1307</v>
      </c>
      <c r="N1284" s="16" t="s">
        <v>22</v>
      </c>
      <c r="O1284" s="16" t="s">
        <v>23</v>
      </c>
      <c r="P1284" s="16" t="s">
        <v>28</v>
      </c>
      <c r="Q1284" s="10" t="s">
        <v>1097</v>
      </c>
      <c r="R1284" s="3" t="str">
        <f t="shared" si="40"/>
        <v>157</v>
      </c>
      <c r="S1284" s="3" t="str">
        <f t="shared" si="41"/>
        <v>67</v>
      </c>
      <c r="T1284" s="16" t="s">
        <v>38</v>
      </c>
      <c r="U1284" s="3">
        <v>18.983000000000001</v>
      </c>
      <c r="V1284" s="16" t="str">
        <f>PROPER(Table1[[#This Row],[CVD Risk Level]])</f>
        <v>High</v>
      </c>
    </row>
    <row r="1285" spans="1:22" x14ac:dyDescent="0.3">
      <c r="A1285" t="s">
        <v>20</v>
      </c>
      <c r="B1285" s="8">
        <v>39</v>
      </c>
      <c r="C1285" s="8">
        <v>86.203999999999994</v>
      </c>
      <c r="D1285" s="5">
        <v>1.909</v>
      </c>
      <c r="E1285" s="5">
        <v>23.654597436366732</v>
      </c>
      <c r="F1285" s="16" t="s">
        <v>33</v>
      </c>
      <c r="G1285" s="11">
        <v>0.58899999999999997</v>
      </c>
      <c r="H1285" s="5">
        <v>112.36</v>
      </c>
      <c r="I1285" s="8">
        <v>38</v>
      </c>
      <c r="J1285" s="8">
        <v>59</v>
      </c>
      <c r="K1285" s="8">
        <v>127</v>
      </c>
      <c r="L1285" s="8">
        <v>85</v>
      </c>
      <c r="M1285" t="s">
        <v>33</v>
      </c>
      <c r="N1285" s="16" t="s">
        <v>22</v>
      </c>
      <c r="O1285" s="16" t="s">
        <v>22</v>
      </c>
      <c r="P1285" s="16" t="s">
        <v>24</v>
      </c>
      <c r="Q1285" s="10" t="s">
        <v>1098</v>
      </c>
      <c r="R1285" s="3" t="str">
        <f t="shared" si="40"/>
        <v>141</v>
      </c>
      <c r="S1285" s="3" t="str">
        <f t="shared" si="41"/>
        <v>118</v>
      </c>
      <c r="T1285" s="16" t="s">
        <v>38</v>
      </c>
      <c r="U1285" s="3">
        <v>16.785</v>
      </c>
      <c r="V1285" s="16" t="str">
        <f>PROPER(Table1[[#This Row],[CVD Risk Level]])</f>
        <v>High</v>
      </c>
    </row>
    <row r="1286" spans="1:22" x14ac:dyDescent="0.3">
      <c r="A1286" t="s">
        <v>20</v>
      </c>
      <c r="B1286" s="8">
        <v>42</v>
      </c>
      <c r="C1286" s="8">
        <v>101.874</v>
      </c>
      <c r="D1286" s="5">
        <v>2.3461292494563311</v>
      </c>
      <c r="E1286" s="5">
        <v>18.507999999999999</v>
      </c>
      <c r="F1286" s="16" t="s">
        <v>33</v>
      </c>
      <c r="G1286" s="11">
        <v>0.496</v>
      </c>
      <c r="H1286" s="5">
        <v>93.102999999999994</v>
      </c>
      <c r="I1286" s="8">
        <v>51</v>
      </c>
      <c r="J1286" s="8">
        <v>57</v>
      </c>
      <c r="K1286" s="8">
        <v>138</v>
      </c>
      <c r="L1286" s="8">
        <v>180</v>
      </c>
      <c r="M1286" t="s">
        <v>1307</v>
      </c>
      <c r="N1286" s="16" t="s">
        <v>23</v>
      </c>
      <c r="O1286" s="16" t="s">
        <v>23</v>
      </c>
      <c r="P1286" s="16" t="s">
        <v>28</v>
      </c>
      <c r="Q1286" s="10" t="s">
        <v>1099</v>
      </c>
      <c r="R1286" s="3" t="str">
        <f t="shared" si="40"/>
        <v>94</v>
      </c>
      <c r="S1286" s="3" t="str">
        <f t="shared" si="41"/>
        <v>67</v>
      </c>
      <c r="T1286" s="16" t="s">
        <v>33</v>
      </c>
      <c r="U1286" s="3">
        <v>13.162000000000001</v>
      </c>
      <c r="V1286" s="16" t="str">
        <f>PROPER(Table1[[#This Row],[CVD Risk Level]])</f>
        <v>Intermediary</v>
      </c>
    </row>
    <row r="1287" spans="1:22" x14ac:dyDescent="0.3">
      <c r="A1287" t="s">
        <v>20</v>
      </c>
      <c r="B1287" s="8">
        <v>26</v>
      </c>
      <c r="C1287" s="8">
        <v>85.659000000000006</v>
      </c>
      <c r="D1287" s="5">
        <v>1.8029999999999999</v>
      </c>
      <c r="E1287" s="5">
        <v>32.454000000000001</v>
      </c>
      <c r="F1287" s="16" t="s">
        <v>1302</v>
      </c>
      <c r="G1287" s="11">
        <v>0.59799999999999998</v>
      </c>
      <c r="H1287" s="5">
        <v>107.746</v>
      </c>
      <c r="I1287" s="8">
        <v>66</v>
      </c>
      <c r="J1287" s="8">
        <v>117</v>
      </c>
      <c r="K1287" s="8">
        <v>213</v>
      </c>
      <c r="L1287" s="8">
        <v>133</v>
      </c>
      <c r="M1287" t="s">
        <v>1307</v>
      </c>
      <c r="N1287" s="16" t="s">
        <v>22</v>
      </c>
      <c r="O1287" s="16" t="s">
        <v>23</v>
      </c>
      <c r="P1287" s="16" t="s">
        <v>24</v>
      </c>
      <c r="Q1287" s="10" t="s">
        <v>1100</v>
      </c>
      <c r="R1287" s="3" t="str">
        <f t="shared" si="40"/>
        <v>156</v>
      </c>
      <c r="S1287" s="3" t="str">
        <f t="shared" si="41"/>
        <v>118</v>
      </c>
      <c r="T1287" s="16" t="s">
        <v>38</v>
      </c>
      <c r="U1287" s="3">
        <v>20.550999999999998</v>
      </c>
      <c r="V1287" s="16" t="str">
        <f>PROPER(Table1[[#This Row],[CVD Risk Level]])</f>
        <v>Intermediary</v>
      </c>
    </row>
    <row r="1288" spans="1:22" x14ac:dyDescent="0.3">
      <c r="A1288" t="s">
        <v>31</v>
      </c>
      <c r="B1288" s="8">
        <v>26</v>
      </c>
      <c r="C1288" s="8">
        <v>114.55500000000001</v>
      </c>
      <c r="D1288" s="5">
        <v>1.8759999999999999</v>
      </c>
      <c r="E1288" s="5">
        <v>35.426000000000002</v>
      </c>
      <c r="F1288" s="16" t="s">
        <v>1302</v>
      </c>
      <c r="G1288" s="11">
        <v>0.52100000000000002</v>
      </c>
      <c r="H1288" s="5">
        <v>97.783000000000001</v>
      </c>
      <c r="I1288" s="8">
        <v>54</v>
      </c>
      <c r="J1288" s="8">
        <v>109</v>
      </c>
      <c r="K1288" s="8">
        <v>224</v>
      </c>
      <c r="L1288" s="8">
        <v>125</v>
      </c>
      <c r="M1288" t="s">
        <v>1306</v>
      </c>
      <c r="N1288" s="16" t="s">
        <v>22</v>
      </c>
      <c r="O1288" s="16" t="s">
        <v>23</v>
      </c>
      <c r="P1288" s="16" t="s">
        <v>37</v>
      </c>
      <c r="Q1288" s="10" t="s">
        <v>1101</v>
      </c>
      <c r="R1288" s="3" t="str">
        <f t="shared" si="40"/>
        <v>101</v>
      </c>
      <c r="S1288" s="3" t="str">
        <f t="shared" si="41"/>
        <v>60</v>
      </c>
      <c r="T1288" s="16" t="s">
        <v>33</v>
      </c>
      <c r="U1288" s="3">
        <v>18.614999999999998</v>
      </c>
      <c r="V1288" s="16" t="str">
        <f>PROPER(Table1[[#This Row],[CVD Risk Level]])</f>
        <v>Intermediary</v>
      </c>
    </row>
    <row r="1289" spans="1:22" x14ac:dyDescent="0.3">
      <c r="A1289" t="s">
        <v>20</v>
      </c>
      <c r="B1289" s="8">
        <v>57</v>
      </c>
      <c r="C1289" s="8">
        <v>94.534000000000006</v>
      </c>
      <c r="D1289" s="5">
        <v>1.5129999999999999</v>
      </c>
      <c r="E1289" s="5">
        <v>25.206</v>
      </c>
      <c r="F1289" s="16" t="s">
        <v>1303</v>
      </c>
      <c r="G1289" s="11">
        <v>0.61899999999999999</v>
      </c>
      <c r="H1289" s="5">
        <v>93.727000000000004</v>
      </c>
      <c r="I1289" s="8">
        <v>88</v>
      </c>
      <c r="J1289" s="8">
        <v>9</v>
      </c>
      <c r="K1289" s="8">
        <v>127</v>
      </c>
      <c r="L1289" s="8">
        <v>112</v>
      </c>
      <c r="M1289" t="s">
        <v>1306</v>
      </c>
      <c r="N1289" s="16" t="s">
        <v>22</v>
      </c>
      <c r="O1289" s="16" t="s">
        <v>22</v>
      </c>
      <c r="P1289" s="16" t="s">
        <v>37</v>
      </c>
      <c r="Q1289" s="10" t="s">
        <v>1102</v>
      </c>
      <c r="R1289" s="3" t="str">
        <f t="shared" si="40"/>
        <v>138</v>
      </c>
      <c r="S1289" s="3" t="str">
        <f t="shared" si="41"/>
        <v>65</v>
      </c>
      <c r="T1289" s="16" t="s">
        <v>29</v>
      </c>
      <c r="U1289" s="3">
        <v>14.481</v>
      </c>
      <c r="V1289" s="16" t="str">
        <f>PROPER(Table1[[#This Row],[CVD Risk Level]])</f>
        <v>Intermediary</v>
      </c>
    </row>
    <row r="1290" spans="1:22" x14ac:dyDescent="0.3">
      <c r="A1290" t="s">
        <v>20</v>
      </c>
      <c r="B1290" s="8">
        <v>52</v>
      </c>
      <c r="C1290" s="8">
        <v>88.475999999999999</v>
      </c>
      <c r="D1290" s="5">
        <v>1.9430000000000001</v>
      </c>
      <c r="E1290" s="5">
        <v>30.212</v>
      </c>
      <c r="F1290" s="16" t="s">
        <v>1302</v>
      </c>
      <c r="G1290" s="11">
        <v>0.41799999999999998</v>
      </c>
      <c r="H1290" s="5">
        <v>81.132000000000005</v>
      </c>
      <c r="I1290" s="8">
        <v>58</v>
      </c>
      <c r="J1290" s="8">
        <v>169</v>
      </c>
      <c r="K1290" s="8">
        <v>257</v>
      </c>
      <c r="L1290" s="8">
        <v>103</v>
      </c>
      <c r="M1290" t="s">
        <v>1306</v>
      </c>
      <c r="N1290" s="16" t="s">
        <v>22</v>
      </c>
      <c r="O1290" s="16" t="s">
        <v>23</v>
      </c>
      <c r="P1290" s="16" t="s">
        <v>37</v>
      </c>
      <c r="Q1290" s="10" t="s">
        <v>70</v>
      </c>
      <c r="R1290" s="3" t="str">
        <f t="shared" si="40"/>
        <v>99</v>
      </c>
      <c r="S1290" s="3" t="str">
        <f t="shared" si="41"/>
        <v>99</v>
      </c>
      <c r="T1290" s="16" t="s">
        <v>38</v>
      </c>
      <c r="U1290" s="3">
        <v>18.132000000000001</v>
      </c>
      <c r="V1290" s="16" t="str">
        <f>PROPER(Table1[[#This Row],[CVD Risk Level]])</f>
        <v>Low</v>
      </c>
    </row>
    <row r="1291" spans="1:22" x14ac:dyDescent="0.3">
      <c r="A1291" t="s">
        <v>31</v>
      </c>
      <c r="B1291" s="8">
        <v>65</v>
      </c>
      <c r="C1291" s="8">
        <v>73.667000000000002</v>
      </c>
      <c r="D1291" s="5">
        <v>1.946</v>
      </c>
      <c r="E1291" s="5">
        <v>29.553999999999998</v>
      </c>
      <c r="F1291" s="16" t="s">
        <v>1303</v>
      </c>
      <c r="G1291" s="11">
        <v>0.51800000000000002</v>
      </c>
      <c r="H1291" s="5">
        <v>100.702</v>
      </c>
      <c r="I1291" s="8">
        <v>38</v>
      </c>
      <c r="J1291" s="8">
        <v>64</v>
      </c>
      <c r="K1291" s="8">
        <v>132</v>
      </c>
      <c r="L1291" s="8">
        <v>148</v>
      </c>
      <c r="M1291" t="s">
        <v>1307</v>
      </c>
      <c r="N1291" s="16" t="s">
        <v>23</v>
      </c>
      <c r="O1291" s="16" t="s">
        <v>23</v>
      </c>
      <c r="P1291" s="16" t="s">
        <v>28</v>
      </c>
      <c r="Q1291" s="10" t="s">
        <v>1103</v>
      </c>
      <c r="R1291" s="3" t="str">
        <f t="shared" si="40"/>
        <v>136</v>
      </c>
      <c r="S1291" s="3" t="str">
        <f t="shared" si="41"/>
        <v>74</v>
      </c>
      <c r="T1291" s="16" t="s">
        <v>29</v>
      </c>
      <c r="U1291" s="3">
        <v>17.350999999999999</v>
      </c>
      <c r="V1291" s="16" t="str">
        <f>PROPER(Table1[[#This Row],[CVD Risk Level]])</f>
        <v>Intermediary</v>
      </c>
    </row>
    <row r="1292" spans="1:22" x14ac:dyDescent="0.3">
      <c r="A1292" t="s">
        <v>31</v>
      </c>
      <c r="B1292" s="8">
        <v>58</v>
      </c>
      <c r="C1292" s="8">
        <v>68.584000000000003</v>
      </c>
      <c r="D1292" s="5">
        <v>1.7849999999999999</v>
      </c>
      <c r="E1292" s="5">
        <v>23.355</v>
      </c>
      <c r="F1292" s="16" t="s">
        <v>33</v>
      </c>
      <c r="G1292" s="11">
        <v>0.497</v>
      </c>
      <c r="H1292" s="5">
        <v>88.625</v>
      </c>
      <c r="I1292" s="8">
        <v>57</v>
      </c>
      <c r="J1292" s="8">
        <v>40</v>
      </c>
      <c r="K1292" s="8">
        <v>127</v>
      </c>
      <c r="L1292" s="8">
        <v>113</v>
      </c>
      <c r="M1292" t="s">
        <v>1306</v>
      </c>
      <c r="N1292" s="16" t="s">
        <v>23</v>
      </c>
      <c r="O1292" s="16" t="s">
        <v>23</v>
      </c>
      <c r="P1292" s="16" t="s">
        <v>24</v>
      </c>
      <c r="Q1292" s="10" t="s">
        <v>1104</v>
      </c>
      <c r="R1292" s="3" t="str">
        <f t="shared" si="40"/>
        <v>143</v>
      </c>
      <c r="S1292" s="3" t="str">
        <f t="shared" si="41"/>
        <v>65</v>
      </c>
      <c r="T1292" s="16" t="s">
        <v>38</v>
      </c>
      <c r="U1292" s="3">
        <v>16.361000000000001</v>
      </c>
      <c r="V1292" s="16" t="str">
        <f>PROPER(Table1[[#This Row],[CVD Risk Level]])</f>
        <v>Intermediary</v>
      </c>
    </row>
    <row r="1293" spans="1:22" x14ac:dyDescent="0.3">
      <c r="A1293" t="s">
        <v>31</v>
      </c>
      <c r="B1293" s="8">
        <v>47.025499655410059</v>
      </c>
      <c r="C1293" s="8">
        <v>112.30200000000001</v>
      </c>
      <c r="D1293" s="5">
        <v>1.8220000000000001</v>
      </c>
      <c r="E1293" s="5">
        <v>26.527999999999999</v>
      </c>
      <c r="F1293" s="16" t="s">
        <v>1303</v>
      </c>
      <c r="G1293" s="11">
        <v>0.436</v>
      </c>
      <c r="H1293" s="5">
        <v>79.536000000000001</v>
      </c>
      <c r="I1293" s="8">
        <v>75</v>
      </c>
      <c r="J1293" s="8">
        <v>187</v>
      </c>
      <c r="K1293" s="8">
        <v>524</v>
      </c>
      <c r="L1293" s="8">
        <v>76</v>
      </c>
      <c r="M1293" t="s">
        <v>33</v>
      </c>
      <c r="N1293" s="16" t="s">
        <v>22</v>
      </c>
      <c r="O1293" s="16" t="s">
        <v>22</v>
      </c>
      <c r="P1293" s="16" t="s">
        <v>37</v>
      </c>
      <c r="Q1293" s="10" t="s">
        <v>1105</v>
      </c>
      <c r="R1293" s="3" t="str">
        <f t="shared" si="40"/>
        <v>150</v>
      </c>
      <c r="S1293" s="3" t="str">
        <f t="shared" si="41"/>
        <v>100</v>
      </c>
      <c r="T1293" s="16" t="s">
        <v>38</v>
      </c>
      <c r="U1293" s="3">
        <v>18.646000000000001</v>
      </c>
      <c r="V1293" s="16" t="str">
        <f>PROPER(Table1[[#This Row],[CVD Risk Level]])</f>
        <v>Low</v>
      </c>
    </row>
    <row r="1294" spans="1:22" x14ac:dyDescent="0.3">
      <c r="A1294" t="s">
        <v>20</v>
      </c>
      <c r="B1294" s="8">
        <v>47.025499655410059</v>
      </c>
      <c r="C1294" s="8">
        <v>54.496000000000002</v>
      </c>
      <c r="D1294" s="5">
        <v>1.8360000000000001</v>
      </c>
      <c r="E1294" s="5">
        <v>30.847000000000001</v>
      </c>
      <c r="F1294" s="16" t="s">
        <v>1302</v>
      </c>
      <c r="G1294" s="11">
        <v>0.64500000000000002</v>
      </c>
      <c r="H1294" s="5">
        <v>118.374</v>
      </c>
      <c r="I1294" s="8">
        <v>79</v>
      </c>
      <c r="J1294" s="8">
        <v>76</v>
      </c>
      <c r="K1294" s="8">
        <v>185</v>
      </c>
      <c r="L1294" s="8">
        <v>117.48563611491107</v>
      </c>
      <c r="M1294" t="s">
        <v>1306</v>
      </c>
      <c r="N1294" s="16" t="s">
        <v>22</v>
      </c>
      <c r="O1294" s="16" t="s">
        <v>22</v>
      </c>
      <c r="P1294" s="16" t="s">
        <v>37</v>
      </c>
      <c r="Q1294" s="10" t="s">
        <v>787</v>
      </c>
      <c r="R1294" s="3" t="str">
        <f t="shared" si="40"/>
        <v>92</v>
      </c>
      <c r="S1294" s="3" t="str">
        <f t="shared" si="41"/>
        <v>100</v>
      </c>
      <c r="T1294" s="16" t="s">
        <v>38</v>
      </c>
      <c r="U1294" s="3">
        <v>14.468999999999999</v>
      </c>
      <c r="V1294" s="16" t="str">
        <f>PROPER(Table1[[#This Row],[CVD Risk Level]])</f>
        <v>Intermediary</v>
      </c>
    </row>
    <row r="1295" spans="1:22" x14ac:dyDescent="0.3">
      <c r="A1295" t="s">
        <v>31</v>
      </c>
      <c r="B1295" s="8">
        <v>40</v>
      </c>
      <c r="C1295" s="8">
        <v>63.656999999999996</v>
      </c>
      <c r="D1295" s="5">
        <v>1.9790000000000001</v>
      </c>
      <c r="E1295" s="5">
        <v>38.796999999999997</v>
      </c>
      <c r="F1295" s="16" t="s">
        <v>1302</v>
      </c>
      <c r="G1295" s="11">
        <v>0.53300000000000003</v>
      </c>
      <c r="H1295" s="5">
        <v>105.43300000000001</v>
      </c>
      <c r="I1295" s="8">
        <v>34</v>
      </c>
      <c r="J1295" s="8">
        <v>149</v>
      </c>
      <c r="K1295" s="8">
        <v>213</v>
      </c>
      <c r="L1295" s="8">
        <v>138</v>
      </c>
      <c r="M1295" t="s">
        <v>1307</v>
      </c>
      <c r="N1295" s="16" t="s">
        <v>22</v>
      </c>
      <c r="O1295" s="16" t="s">
        <v>23</v>
      </c>
      <c r="P1295" s="16" t="s">
        <v>37</v>
      </c>
      <c r="Q1295" s="10" t="s">
        <v>1106</v>
      </c>
      <c r="R1295" s="3" t="str">
        <f t="shared" si="40"/>
        <v>147</v>
      </c>
      <c r="S1295" s="3" t="str">
        <f t="shared" si="41"/>
        <v>90</v>
      </c>
      <c r="T1295" s="16" t="s">
        <v>38</v>
      </c>
      <c r="U1295" s="3">
        <v>16.960925291295425</v>
      </c>
      <c r="V1295" s="16" t="str">
        <f>PROPER(Table1[[#This Row],[CVD Risk Level]])</f>
        <v>Low</v>
      </c>
    </row>
    <row r="1296" spans="1:22" x14ac:dyDescent="0.3">
      <c r="A1296" t="s">
        <v>20</v>
      </c>
      <c r="B1296" s="8">
        <v>30</v>
      </c>
      <c r="C1296" s="8">
        <v>55.924999999999997</v>
      </c>
      <c r="D1296" s="5">
        <v>1.506</v>
      </c>
      <c r="E1296" s="5">
        <v>20.962</v>
      </c>
      <c r="F1296" s="16" t="s">
        <v>33</v>
      </c>
      <c r="G1296" s="11">
        <v>0.72899999999999998</v>
      </c>
      <c r="H1296" s="5">
        <v>109.86199999999999</v>
      </c>
      <c r="I1296" s="8">
        <v>44</v>
      </c>
      <c r="J1296" s="8">
        <v>43</v>
      </c>
      <c r="K1296" s="8">
        <v>117</v>
      </c>
      <c r="L1296" s="8">
        <v>77</v>
      </c>
      <c r="M1296" t="s">
        <v>33</v>
      </c>
      <c r="N1296" s="16" t="s">
        <v>23</v>
      </c>
      <c r="O1296" s="16" t="s">
        <v>23</v>
      </c>
      <c r="P1296" s="16" t="s">
        <v>28</v>
      </c>
      <c r="Q1296" s="10" t="s">
        <v>1107</v>
      </c>
      <c r="R1296" s="3" t="str">
        <f t="shared" si="40"/>
        <v>128</v>
      </c>
      <c r="S1296" s="3" t="str">
        <f t="shared" si="41"/>
        <v>101</v>
      </c>
      <c r="T1296" s="16" t="s">
        <v>38</v>
      </c>
      <c r="U1296" s="3">
        <v>14.932</v>
      </c>
      <c r="V1296" s="16" t="str">
        <f>PROPER(Table1[[#This Row],[CVD Risk Level]])</f>
        <v>Intermediary</v>
      </c>
    </row>
    <row r="1297" spans="1:22" x14ac:dyDescent="0.3">
      <c r="A1297" t="s">
        <v>20</v>
      </c>
      <c r="B1297" s="8">
        <v>25</v>
      </c>
      <c r="C1297" s="8">
        <v>65.882999999999996</v>
      </c>
      <c r="D1297" s="5">
        <v>1.7410000000000001</v>
      </c>
      <c r="E1297" s="5">
        <v>37.06</v>
      </c>
      <c r="F1297" s="16" t="s">
        <v>1302</v>
      </c>
      <c r="G1297" s="11">
        <v>0.61699999999999999</v>
      </c>
      <c r="H1297" s="5">
        <v>107.392</v>
      </c>
      <c r="I1297" s="8">
        <v>34</v>
      </c>
      <c r="J1297" s="8">
        <v>165</v>
      </c>
      <c r="K1297" s="8">
        <v>229</v>
      </c>
      <c r="L1297" s="8">
        <v>89</v>
      </c>
      <c r="M1297" t="s">
        <v>33</v>
      </c>
      <c r="N1297" s="16" t="s">
        <v>23</v>
      </c>
      <c r="O1297" s="16" t="s">
        <v>23</v>
      </c>
      <c r="P1297" s="16" t="s">
        <v>28</v>
      </c>
      <c r="Q1297" s="10" t="s">
        <v>1108</v>
      </c>
      <c r="R1297" s="3" t="str">
        <f t="shared" si="40"/>
        <v>163</v>
      </c>
      <c r="S1297" s="3" t="str">
        <f t="shared" si="41"/>
        <v>61</v>
      </c>
      <c r="T1297" s="16" t="s">
        <v>38</v>
      </c>
      <c r="U1297" s="3">
        <v>22.141999999999999</v>
      </c>
      <c r="V1297" s="16" t="str">
        <f>PROPER(Table1[[#This Row],[CVD Risk Level]])</f>
        <v>High</v>
      </c>
    </row>
    <row r="1298" spans="1:22" x14ac:dyDescent="0.3">
      <c r="A1298" t="s">
        <v>31</v>
      </c>
      <c r="B1298" s="8">
        <v>47.025499655410059</v>
      </c>
      <c r="C1298" s="8">
        <v>70.34</v>
      </c>
      <c r="D1298" s="5">
        <v>1.6990000000000001</v>
      </c>
      <c r="E1298" s="5">
        <v>35.125999999999998</v>
      </c>
      <c r="F1298" s="16" t="s">
        <v>1302</v>
      </c>
      <c r="G1298" s="11">
        <v>0.46400000000000002</v>
      </c>
      <c r="H1298" s="5">
        <v>78.756</v>
      </c>
      <c r="I1298" s="8">
        <v>87</v>
      </c>
      <c r="J1298" s="8">
        <v>147</v>
      </c>
      <c r="K1298" s="8">
        <v>264</v>
      </c>
      <c r="L1298" s="8">
        <v>159</v>
      </c>
      <c r="M1298" t="s">
        <v>1307</v>
      </c>
      <c r="N1298" s="16" t="s">
        <v>22</v>
      </c>
      <c r="O1298" s="16" t="s">
        <v>23</v>
      </c>
      <c r="P1298" s="16" t="s">
        <v>24</v>
      </c>
      <c r="Q1298" s="10" t="s">
        <v>1109</v>
      </c>
      <c r="R1298" s="3" t="str">
        <f t="shared" si="40"/>
        <v>150</v>
      </c>
      <c r="S1298" s="3" t="str">
        <f t="shared" si="41"/>
        <v>108</v>
      </c>
      <c r="T1298" s="16" t="s">
        <v>38</v>
      </c>
      <c r="U1298" s="3">
        <v>21.805</v>
      </c>
      <c r="V1298" s="16" t="str">
        <f>PROPER(Table1[[#This Row],[CVD Risk Level]])</f>
        <v>Intermediary</v>
      </c>
    </row>
    <row r="1299" spans="1:22" x14ac:dyDescent="0.3">
      <c r="A1299" t="s">
        <v>20</v>
      </c>
      <c r="B1299" s="8">
        <v>25</v>
      </c>
      <c r="C1299" s="8">
        <v>94.236999999999995</v>
      </c>
      <c r="D1299" s="5">
        <v>1.837</v>
      </c>
      <c r="E1299" s="5">
        <v>19.024000000000001</v>
      </c>
      <c r="F1299" s="16" t="s">
        <v>33</v>
      </c>
      <c r="G1299" s="11">
        <v>0.64500000000000002</v>
      </c>
      <c r="H1299" s="5">
        <v>118.386</v>
      </c>
      <c r="I1299" s="8">
        <v>66</v>
      </c>
      <c r="J1299" s="8">
        <v>194</v>
      </c>
      <c r="K1299" s="8">
        <v>290</v>
      </c>
      <c r="L1299" s="8">
        <v>155</v>
      </c>
      <c r="M1299" t="s">
        <v>1307</v>
      </c>
      <c r="N1299" s="16" t="s">
        <v>22</v>
      </c>
      <c r="O1299" s="16" t="s">
        <v>22</v>
      </c>
      <c r="P1299" s="16" t="s">
        <v>37</v>
      </c>
      <c r="Q1299" s="10" t="s">
        <v>1110</v>
      </c>
      <c r="R1299" s="3" t="str">
        <f t="shared" si="40"/>
        <v>175</v>
      </c>
      <c r="S1299" s="3" t="str">
        <f t="shared" si="41"/>
        <v>105</v>
      </c>
      <c r="T1299" s="16" t="s">
        <v>38</v>
      </c>
      <c r="U1299" s="3">
        <v>18.355</v>
      </c>
      <c r="V1299" s="16" t="str">
        <f>PROPER(Table1[[#This Row],[CVD Risk Level]])</f>
        <v>Intermediary</v>
      </c>
    </row>
    <row r="1300" spans="1:22" x14ac:dyDescent="0.3">
      <c r="A1300" t="s">
        <v>20</v>
      </c>
      <c r="B1300" s="8">
        <v>68</v>
      </c>
      <c r="C1300" s="8">
        <v>73.73</v>
      </c>
      <c r="D1300" s="5">
        <v>1.6910000000000001</v>
      </c>
      <c r="E1300" s="5">
        <v>22.972000000000001</v>
      </c>
      <c r="F1300" s="16" t="s">
        <v>33</v>
      </c>
      <c r="G1300" s="11">
        <v>0.68799999999999994</v>
      </c>
      <c r="H1300" s="5">
        <v>116.24299999999999</v>
      </c>
      <c r="I1300" s="8">
        <v>76</v>
      </c>
      <c r="J1300" s="8">
        <v>179</v>
      </c>
      <c r="K1300" s="8">
        <v>285</v>
      </c>
      <c r="L1300" s="8">
        <v>131</v>
      </c>
      <c r="M1300" t="s">
        <v>1307</v>
      </c>
      <c r="N1300" s="16" t="s">
        <v>22</v>
      </c>
      <c r="O1300" s="16" t="s">
        <v>22</v>
      </c>
      <c r="P1300" s="16" t="s">
        <v>24</v>
      </c>
      <c r="Q1300" s="10" t="s">
        <v>116</v>
      </c>
      <c r="R1300" s="3" t="str">
        <f t="shared" si="40"/>
        <v>114</v>
      </c>
      <c r="S1300" s="3" t="str">
        <f t="shared" si="41"/>
        <v>63</v>
      </c>
      <c r="T1300" s="16" t="s">
        <v>33</v>
      </c>
      <c r="U1300" s="3">
        <v>15.994</v>
      </c>
      <c r="V1300" s="16" t="str">
        <f>PROPER(Table1[[#This Row],[CVD Risk Level]])</f>
        <v>Intermediary</v>
      </c>
    </row>
    <row r="1301" spans="1:22" x14ac:dyDescent="0.3">
      <c r="A1301" t="s">
        <v>31</v>
      </c>
      <c r="B1301" s="8">
        <v>55</v>
      </c>
      <c r="C1301" s="8">
        <v>85.79</v>
      </c>
      <c r="D1301" s="5">
        <v>1.752788516461917</v>
      </c>
      <c r="E1301" s="5">
        <v>27.923999999999999</v>
      </c>
      <c r="F1301" s="16" t="s">
        <v>1303</v>
      </c>
      <c r="G1301" s="11">
        <v>0.495</v>
      </c>
      <c r="H1301" s="5">
        <v>88.421000000000006</v>
      </c>
      <c r="I1301" s="8">
        <v>63</v>
      </c>
      <c r="J1301" s="8">
        <v>157</v>
      </c>
      <c r="K1301" s="8">
        <v>440</v>
      </c>
      <c r="L1301" s="8">
        <v>172</v>
      </c>
      <c r="M1301" t="s">
        <v>1307</v>
      </c>
      <c r="N1301" s="16" t="s">
        <v>22</v>
      </c>
      <c r="O1301" s="16" t="s">
        <v>23</v>
      </c>
      <c r="P1301" s="16" t="s">
        <v>28</v>
      </c>
      <c r="Q1301" s="10" t="s">
        <v>1111</v>
      </c>
      <c r="R1301" s="3" t="str">
        <f t="shared" si="40"/>
        <v>164</v>
      </c>
      <c r="S1301" s="3" t="str">
        <f t="shared" si="41"/>
        <v>118</v>
      </c>
      <c r="T1301" s="16" t="s">
        <v>38</v>
      </c>
      <c r="U1301" s="3">
        <v>20.785</v>
      </c>
      <c r="V1301" s="16" t="str">
        <f>PROPER(Table1[[#This Row],[CVD Risk Level]])</f>
        <v>High</v>
      </c>
    </row>
    <row r="1302" spans="1:22" x14ac:dyDescent="0.3">
      <c r="A1302" t="s">
        <v>31</v>
      </c>
      <c r="B1302" s="8">
        <v>76</v>
      </c>
      <c r="C1302" s="8">
        <v>58.82</v>
      </c>
      <c r="D1302" s="5">
        <v>1.92</v>
      </c>
      <c r="E1302" s="5">
        <v>21.324000000000002</v>
      </c>
      <c r="F1302" s="16" t="s">
        <v>33</v>
      </c>
      <c r="G1302" s="11">
        <v>0.45</v>
      </c>
      <c r="H1302" s="5">
        <v>86.471000000000004</v>
      </c>
      <c r="I1302" s="8">
        <v>83</v>
      </c>
      <c r="J1302" s="8">
        <v>80</v>
      </c>
      <c r="K1302" s="8">
        <v>193</v>
      </c>
      <c r="L1302" s="8">
        <v>172</v>
      </c>
      <c r="M1302" t="s">
        <v>1307</v>
      </c>
      <c r="N1302" s="16" t="s">
        <v>22</v>
      </c>
      <c r="O1302" s="16" t="s">
        <v>23</v>
      </c>
      <c r="P1302" s="16" t="s">
        <v>24</v>
      </c>
      <c r="Q1302" s="10" t="s">
        <v>1112</v>
      </c>
      <c r="R1302" s="3" t="str">
        <f t="shared" si="40"/>
        <v>94</v>
      </c>
      <c r="S1302" s="3" t="str">
        <f t="shared" si="41"/>
        <v>77</v>
      </c>
      <c r="T1302" s="16" t="s">
        <v>33</v>
      </c>
      <c r="U1302" s="3">
        <v>14.824999999999999</v>
      </c>
      <c r="V1302" s="16" t="str">
        <f>PROPER(Table1[[#This Row],[CVD Risk Level]])</f>
        <v>Intermediary</v>
      </c>
    </row>
    <row r="1303" spans="1:22" x14ac:dyDescent="0.3">
      <c r="A1303" t="s">
        <v>20</v>
      </c>
      <c r="B1303" s="8">
        <v>28</v>
      </c>
      <c r="C1303" s="8">
        <v>88.953999999999994</v>
      </c>
      <c r="D1303" s="5">
        <v>1.877</v>
      </c>
      <c r="E1303" s="5">
        <v>32.024999999999999</v>
      </c>
      <c r="F1303" s="16" t="s">
        <v>1302</v>
      </c>
      <c r="G1303" s="11">
        <v>0.39831646244006391</v>
      </c>
      <c r="H1303" s="5">
        <v>74.763999999999996</v>
      </c>
      <c r="I1303" s="8">
        <v>54</v>
      </c>
      <c r="J1303" s="8">
        <v>184</v>
      </c>
      <c r="K1303" s="8">
        <v>268</v>
      </c>
      <c r="L1303" s="8">
        <v>96</v>
      </c>
      <c r="M1303" t="s">
        <v>33</v>
      </c>
      <c r="N1303" s="16" t="s">
        <v>22</v>
      </c>
      <c r="O1303" s="16" t="s">
        <v>22</v>
      </c>
      <c r="P1303" s="16" t="s">
        <v>28</v>
      </c>
      <c r="Q1303" s="10" t="s">
        <v>588</v>
      </c>
      <c r="R1303" s="3" t="str">
        <f t="shared" si="40"/>
        <v>139</v>
      </c>
      <c r="S1303" s="3" t="str">
        <f t="shared" si="41"/>
        <v>98</v>
      </c>
      <c r="T1303" s="16" t="s">
        <v>29</v>
      </c>
      <c r="U1303" s="3">
        <v>18.715</v>
      </c>
      <c r="V1303" s="16" t="str">
        <f>PROPER(Table1[[#This Row],[CVD Risk Level]])</f>
        <v>High</v>
      </c>
    </row>
    <row r="1304" spans="1:22" x14ac:dyDescent="0.3">
      <c r="A1304" t="s">
        <v>20</v>
      </c>
      <c r="B1304" s="8">
        <v>64</v>
      </c>
      <c r="C1304" s="8">
        <v>87.152000000000001</v>
      </c>
      <c r="D1304" s="5">
        <v>1.8130819461990877</v>
      </c>
      <c r="E1304" s="5">
        <v>26.512</v>
      </c>
      <c r="F1304" s="16" t="s">
        <v>1303</v>
      </c>
      <c r="G1304" s="11">
        <v>0.45200000000000001</v>
      </c>
      <c r="H1304" s="5">
        <v>80.593000000000004</v>
      </c>
      <c r="I1304" s="8">
        <v>62</v>
      </c>
      <c r="J1304" s="8">
        <v>155</v>
      </c>
      <c r="K1304" s="8">
        <v>247</v>
      </c>
      <c r="L1304" s="8">
        <v>96</v>
      </c>
      <c r="M1304" t="s">
        <v>33</v>
      </c>
      <c r="N1304" s="16" t="s">
        <v>23</v>
      </c>
      <c r="O1304" s="16" t="s">
        <v>23</v>
      </c>
      <c r="P1304" s="16" t="s">
        <v>28</v>
      </c>
      <c r="Q1304" s="10" t="s">
        <v>1113</v>
      </c>
      <c r="R1304" s="3" t="str">
        <f t="shared" si="40"/>
        <v>99</v>
      </c>
      <c r="S1304" s="3" t="str">
        <f t="shared" si="41"/>
        <v>77</v>
      </c>
      <c r="T1304" s="16" t="s">
        <v>33</v>
      </c>
      <c r="U1304" s="3">
        <v>17.192</v>
      </c>
      <c r="V1304" s="16" t="str">
        <f>PROPER(Table1[[#This Row],[CVD Risk Level]])</f>
        <v>Intermediary</v>
      </c>
    </row>
    <row r="1305" spans="1:22" x14ac:dyDescent="0.3">
      <c r="A1305" t="s">
        <v>31</v>
      </c>
      <c r="B1305" s="8">
        <v>31</v>
      </c>
      <c r="C1305" s="8">
        <v>46.650936023999996</v>
      </c>
      <c r="D1305" s="5">
        <v>1.5629999999999999</v>
      </c>
      <c r="E1305" s="5">
        <v>19.096</v>
      </c>
      <c r="F1305" s="16" t="s">
        <v>33</v>
      </c>
      <c r="G1305" s="11">
        <v>0.60299999999999998</v>
      </c>
      <c r="H1305" s="5">
        <v>94.248899999999992</v>
      </c>
      <c r="I1305" s="8">
        <v>39</v>
      </c>
      <c r="J1305" s="8">
        <v>196</v>
      </c>
      <c r="K1305" s="8">
        <v>265</v>
      </c>
      <c r="L1305" s="8">
        <v>171</v>
      </c>
      <c r="M1305" t="s">
        <v>1307</v>
      </c>
      <c r="N1305" s="16" t="s">
        <v>23</v>
      </c>
      <c r="O1305" s="16" t="s">
        <v>23</v>
      </c>
      <c r="P1305" s="16" t="s">
        <v>28</v>
      </c>
      <c r="Q1305" s="10" t="s">
        <v>1114</v>
      </c>
      <c r="R1305" s="3" t="str">
        <f t="shared" si="40"/>
        <v>126</v>
      </c>
      <c r="S1305" s="3" t="str">
        <f t="shared" si="41"/>
        <v>84</v>
      </c>
      <c r="T1305" s="16" t="s">
        <v>29</v>
      </c>
      <c r="U1305" s="3">
        <v>17.419</v>
      </c>
      <c r="V1305" s="16" t="str">
        <f>PROPER(Table1[[#This Row],[CVD Risk Level]])</f>
        <v>Low</v>
      </c>
    </row>
    <row r="1306" spans="1:22" x14ac:dyDescent="0.3">
      <c r="A1306" t="s">
        <v>31</v>
      </c>
      <c r="B1306" s="8">
        <v>77</v>
      </c>
      <c r="C1306" s="8">
        <v>71.846999999999994</v>
      </c>
      <c r="D1306" s="5">
        <v>1.9359999999999999</v>
      </c>
      <c r="E1306" s="5">
        <v>19.053000000000001</v>
      </c>
      <c r="F1306" s="16" t="s">
        <v>33</v>
      </c>
      <c r="G1306" s="11">
        <v>0.6079183884297521</v>
      </c>
      <c r="H1306" s="5">
        <v>117.693</v>
      </c>
      <c r="I1306" s="8">
        <v>65</v>
      </c>
      <c r="J1306" s="8">
        <v>106</v>
      </c>
      <c r="K1306" s="8">
        <v>201</v>
      </c>
      <c r="L1306" s="8">
        <v>142</v>
      </c>
      <c r="M1306" t="s">
        <v>1307</v>
      </c>
      <c r="N1306" s="16" t="s">
        <v>23</v>
      </c>
      <c r="O1306" s="16" t="s">
        <v>22</v>
      </c>
      <c r="P1306" s="16" t="s">
        <v>24</v>
      </c>
      <c r="Q1306" s="10" t="s">
        <v>1115</v>
      </c>
      <c r="R1306" s="3" t="str">
        <f t="shared" si="40"/>
        <v>178</v>
      </c>
      <c r="S1306" s="3" t="str">
        <f t="shared" si="41"/>
        <v>63</v>
      </c>
      <c r="T1306" s="16" t="s">
        <v>38</v>
      </c>
      <c r="U1306" s="3">
        <v>16.731000000000002</v>
      </c>
      <c r="V1306" s="16" t="str">
        <f>PROPER(Table1[[#This Row],[CVD Risk Level]])</f>
        <v>Low</v>
      </c>
    </row>
    <row r="1307" spans="1:22" x14ac:dyDescent="0.3">
      <c r="A1307" t="s">
        <v>20</v>
      </c>
      <c r="B1307" s="8">
        <v>54</v>
      </c>
      <c r="C1307" s="8">
        <v>98.480999999999995</v>
      </c>
      <c r="D1307" s="5">
        <v>1.798</v>
      </c>
      <c r="E1307" s="5">
        <v>25.846</v>
      </c>
      <c r="F1307" s="16" t="s">
        <v>1303</v>
      </c>
      <c r="G1307" s="11">
        <v>0.43099999999999999</v>
      </c>
      <c r="H1307" s="5">
        <v>77.537000000000006</v>
      </c>
      <c r="I1307" s="8">
        <v>81</v>
      </c>
      <c r="J1307" s="8">
        <v>15</v>
      </c>
      <c r="K1307" s="8">
        <v>126</v>
      </c>
      <c r="L1307" s="8">
        <v>86</v>
      </c>
      <c r="M1307" t="s">
        <v>33</v>
      </c>
      <c r="N1307" s="16" t="s">
        <v>23</v>
      </c>
      <c r="O1307" s="16" t="s">
        <v>23</v>
      </c>
      <c r="P1307" s="16" t="s">
        <v>24</v>
      </c>
      <c r="Q1307" s="10" t="s">
        <v>590</v>
      </c>
      <c r="R1307" s="3" t="str">
        <f t="shared" si="40"/>
        <v>125</v>
      </c>
      <c r="S1307" s="3" t="str">
        <f t="shared" si="41"/>
        <v>88</v>
      </c>
      <c r="T1307" s="16" t="s">
        <v>29</v>
      </c>
      <c r="U1307" s="3">
        <v>15.939</v>
      </c>
      <c r="V1307" s="16" t="str">
        <f>PROPER(Table1[[#This Row],[CVD Risk Level]])</f>
        <v>Low</v>
      </c>
    </row>
    <row r="1308" spans="1:22" x14ac:dyDescent="0.3">
      <c r="A1308" t="s">
        <v>20</v>
      </c>
      <c r="B1308" s="8">
        <v>36</v>
      </c>
      <c r="C1308" s="8">
        <v>106.83199999999999</v>
      </c>
      <c r="D1308" s="5">
        <v>1.583</v>
      </c>
      <c r="E1308" s="5">
        <v>31.925999999999998</v>
      </c>
      <c r="F1308" s="16" t="s">
        <v>1302</v>
      </c>
      <c r="G1308" s="11">
        <v>0.70299999999999996</v>
      </c>
      <c r="H1308" s="5">
        <v>111.33199999999999</v>
      </c>
      <c r="I1308" s="8">
        <v>53</v>
      </c>
      <c r="J1308" s="8">
        <v>164</v>
      </c>
      <c r="K1308" s="8">
        <v>247</v>
      </c>
      <c r="L1308" s="8">
        <v>129</v>
      </c>
      <c r="M1308" t="s">
        <v>1307</v>
      </c>
      <c r="N1308" s="16" t="s">
        <v>23</v>
      </c>
      <c r="O1308" s="16" t="s">
        <v>22</v>
      </c>
      <c r="P1308" s="16" t="s">
        <v>24</v>
      </c>
      <c r="Q1308" s="10" t="s">
        <v>1116</v>
      </c>
      <c r="R1308" s="3" t="str">
        <f t="shared" si="40"/>
        <v>170</v>
      </c>
      <c r="S1308" s="3" t="str">
        <f t="shared" si="41"/>
        <v>116</v>
      </c>
      <c r="T1308" s="16" t="s">
        <v>38</v>
      </c>
      <c r="U1308" s="3">
        <v>16.960925291295425</v>
      </c>
      <c r="V1308" s="16" t="str">
        <f>PROPER(Table1[[#This Row],[CVD Risk Level]])</f>
        <v>Intermediary</v>
      </c>
    </row>
    <row r="1309" spans="1:22" x14ac:dyDescent="0.3">
      <c r="A1309" t="s">
        <v>20</v>
      </c>
      <c r="B1309" s="8">
        <v>27</v>
      </c>
      <c r="C1309" s="8">
        <v>115.14400000000001</v>
      </c>
      <c r="D1309" s="5">
        <v>1.5269999999999999</v>
      </c>
      <c r="E1309" s="5">
        <v>24.876999999999999</v>
      </c>
      <c r="F1309" s="16" t="s">
        <v>33</v>
      </c>
      <c r="G1309" s="11">
        <v>0.78200000000000003</v>
      </c>
      <c r="H1309" s="5">
        <v>119.495</v>
      </c>
      <c r="I1309" s="8">
        <v>82</v>
      </c>
      <c r="J1309" s="8">
        <v>137</v>
      </c>
      <c r="K1309" s="8">
        <v>249</v>
      </c>
      <c r="L1309" s="8">
        <v>177</v>
      </c>
      <c r="M1309" t="s">
        <v>1307</v>
      </c>
      <c r="N1309" s="16" t="s">
        <v>22</v>
      </c>
      <c r="O1309" s="16" t="s">
        <v>23</v>
      </c>
      <c r="P1309" s="16" t="s">
        <v>24</v>
      </c>
      <c r="Q1309" s="10" t="s">
        <v>1106</v>
      </c>
      <c r="R1309" s="3" t="str">
        <f t="shared" si="40"/>
        <v>147</v>
      </c>
      <c r="S1309" s="3" t="str">
        <f t="shared" si="41"/>
        <v>90</v>
      </c>
      <c r="T1309" s="16" t="s">
        <v>38</v>
      </c>
      <c r="U1309" s="3">
        <v>19.305</v>
      </c>
      <c r="V1309" s="16" t="str">
        <f>PROPER(Table1[[#This Row],[CVD Risk Level]])</f>
        <v>Intermediary</v>
      </c>
    </row>
    <row r="1310" spans="1:22" x14ac:dyDescent="0.3">
      <c r="A1310" t="s">
        <v>20</v>
      </c>
      <c r="B1310" s="8">
        <v>79</v>
      </c>
      <c r="C1310" s="8">
        <v>89.738</v>
      </c>
      <c r="D1310" s="5">
        <v>1.8720000000000001</v>
      </c>
      <c r="E1310" s="5">
        <v>25.768999999999998</v>
      </c>
      <c r="F1310" s="16" t="s">
        <v>1303</v>
      </c>
      <c r="G1310" s="11">
        <v>0.59199999999999997</v>
      </c>
      <c r="H1310" s="5">
        <v>110.836</v>
      </c>
      <c r="I1310" s="8">
        <v>63</v>
      </c>
      <c r="J1310" s="8">
        <v>123</v>
      </c>
      <c r="K1310" s="8">
        <v>216</v>
      </c>
      <c r="L1310" s="8">
        <v>108</v>
      </c>
      <c r="M1310" t="s">
        <v>1306</v>
      </c>
      <c r="N1310" s="16" t="s">
        <v>22</v>
      </c>
      <c r="O1310" s="16" t="s">
        <v>22</v>
      </c>
      <c r="P1310" s="16" t="s">
        <v>37</v>
      </c>
      <c r="Q1310" s="10" t="s">
        <v>1117</v>
      </c>
      <c r="R1310" s="3" t="str">
        <f t="shared" si="40"/>
        <v>147</v>
      </c>
      <c r="S1310" s="3" t="str">
        <f t="shared" si="41"/>
        <v>108</v>
      </c>
      <c r="T1310" s="16" t="s">
        <v>38</v>
      </c>
      <c r="U1310" s="3">
        <v>16.824000000000002</v>
      </c>
      <c r="V1310" s="16" t="str">
        <f>PROPER(Table1[[#This Row],[CVD Risk Level]])</f>
        <v>Low</v>
      </c>
    </row>
    <row r="1311" spans="1:22" x14ac:dyDescent="0.3">
      <c r="A1311" t="s">
        <v>20</v>
      </c>
      <c r="B1311" s="8">
        <v>29</v>
      </c>
      <c r="C1311" s="8">
        <v>53.847000000000001</v>
      </c>
      <c r="D1311" s="5">
        <v>1.8</v>
      </c>
      <c r="E1311" s="5">
        <v>30.696000000000002</v>
      </c>
      <c r="F1311" s="16" t="s">
        <v>1302</v>
      </c>
      <c r="G1311" s="11">
        <v>0.57299999999999995</v>
      </c>
      <c r="H1311" s="5">
        <v>103.182</v>
      </c>
      <c r="I1311" s="8">
        <v>56.197377501725327</v>
      </c>
      <c r="J1311" s="8">
        <v>167</v>
      </c>
      <c r="K1311" s="8">
        <v>252</v>
      </c>
      <c r="L1311" s="8">
        <v>98</v>
      </c>
      <c r="M1311" t="s">
        <v>33</v>
      </c>
      <c r="N1311" s="16" t="s">
        <v>23</v>
      </c>
      <c r="O1311" s="16" t="s">
        <v>23</v>
      </c>
      <c r="P1311" s="16" t="s">
        <v>37</v>
      </c>
      <c r="Q1311" s="10" t="s">
        <v>1118</v>
      </c>
      <c r="R1311" s="3" t="str">
        <f t="shared" si="40"/>
        <v>141</v>
      </c>
      <c r="S1311" s="3" t="str">
        <f t="shared" si="41"/>
        <v>108</v>
      </c>
      <c r="T1311" s="16" t="s">
        <v>38</v>
      </c>
      <c r="U1311" s="3">
        <v>20.228999999999999</v>
      </c>
      <c r="V1311" s="16" t="str">
        <f>PROPER(Table1[[#This Row],[CVD Risk Level]])</f>
        <v>High</v>
      </c>
    </row>
    <row r="1312" spans="1:22" x14ac:dyDescent="0.3">
      <c r="A1312" t="s">
        <v>20</v>
      </c>
      <c r="B1312" s="8">
        <v>71</v>
      </c>
      <c r="C1312" s="8">
        <v>81.444999999999993</v>
      </c>
      <c r="D1312" s="5">
        <v>1.958</v>
      </c>
      <c r="E1312" s="5">
        <v>25.209</v>
      </c>
      <c r="F1312" s="16" t="s">
        <v>1303</v>
      </c>
      <c r="G1312" s="11">
        <v>0.44600000000000001</v>
      </c>
      <c r="H1312" s="5">
        <v>87.242000000000004</v>
      </c>
      <c r="I1312" s="8">
        <v>34</v>
      </c>
      <c r="J1312" s="8">
        <v>109</v>
      </c>
      <c r="K1312" s="8">
        <v>295</v>
      </c>
      <c r="L1312" s="8">
        <v>117.48563611491107</v>
      </c>
      <c r="M1312" t="s">
        <v>1306</v>
      </c>
      <c r="N1312" s="16" t="s">
        <v>22</v>
      </c>
      <c r="O1312" s="16" t="s">
        <v>22</v>
      </c>
      <c r="P1312" s="16" t="s">
        <v>37</v>
      </c>
      <c r="Q1312" s="10" t="s">
        <v>408</v>
      </c>
      <c r="R1312" s="3" t="str">
        <f t="shared" si="40"/>
        <v>149</v>
      </c>
      <c r="S1312" s="3" t="str">
        <f t="shared" si="41"/>
        <v>78</v>
      </c>
      <c r="T1312" s="16" t="s">
        <v>38</v>
      </c>
      <c r="U1312" s="3">
        <v>18.391999999999999</v>
      </c>
      <c r="V1312" s="16" t="str">
        <f>PROPER(Table1[[#This Row],[CVD Risk Level]])</f>
        <v>Low</v>
      </c>
    </row>
    <row r="1313" spans="1:22" x14ac:dyDescent="0.3">
      <c r="A1313" t="s">
        <v>31</v>
      </c>
      <c r="B1313" s="8">
        <v>47.025499655410059</v>
      </c>
      <c r="C1313" s="8">
        <v>83.971000000000004</v>
      </c>
      <c r="D1313" s="5">
        <v>1.925</v>
      </c>
      <c r="E1313" s="5">
        <v>27.524999999999999</v>
      </c>
      <c r="F1313" s="16" t="s">
        <v>1303</v>
      </c>
      <c r="G1313" s="11">
        <v>0.47399999999999998</v>
      </c>
      <c r="H1313" s="5">
        <v>91.305000000000007</v>
      </c>
      <c r="I1313" s="8">
        <v>62</v>
      </c>
      <c r="J1313" s="8">
        <v>58</v>
      </c>
      <c r="K1313" s="8">
        <v>150</v>
      </c>
      <c r="L1313" s="8">
        <v>173</v>
      </c>
      <c r="M1313" t="s">
        <v>1307</v>
      </c>
      <c r="N1313" s="16" t="s">
        <v>22</v>
      </c>
      <c r="O1313" s="16" t="s">
        <v>23</v>
      </c>
      <c r="P1313" s="16" t="s">
        <v>28</v>
      </c>
      <c r="Q1313" s="10" t="s">
        <v>612</v>
      </c>
      <c r="R1313" s="3" t="str">
        <f t="shared" si="40"/>
        <v>91</v>
      </c>
      <c r="S1313" s="3" t="str">
        <f t="shared" si="41"/>
        <v>98</v>
      </c>
      <c r="T1313" s="16" t="s">
        <v>38</v>
      </c>
      <c r="U1313" s="3">
        <v>15.055</v>
      </c>
      <c r="V1313" s="16" t="str">
        <f>PROPER(Table1[[#This Row],[CVD Risk Level]])</f>
        <v>High</v>
      </c>
    </row>
    <row r="1314" spans="1:22" x14ac:dyDescent="0.3">
      <c r="A1314" t="s">
        <v>20</v>
      </c>
      <c r="B1314" s="8">
        <v>30</v>
      </c>
      <c r="C1314" s="8">
        <v>115.794</v>
      </c>
      <c r="D1314" s="5">
        <v>1.641</v>
      </c>
      <c r="E1314" s="5">
        <v>20.564</v>
      </c>
      <c r="F1314" s="16" t="s">
        <v>33</v>
      </c>
      <c r="G1314" s="11">
        <v>0.63800000000000001</v>
      </c>
      <c r="H1314" s="5">
        <v>104.69579999999999</v>
      </c>
      <c r="I1314" s="8">
        <v>56.197377501725327</v>
      </c>
      <c r="J1314" s="8">
        <v>152</v>
      </c>
      <c r="K1314" s="8">
        <v>219</v>
      </c>
      <c r="L1314" s="8">
        <v>115</v>
      </c>
      <c r="M1314" t="s">
        <v>1306</v>
      </c>
      <c r="N1314" s="16" t="s">
        <v>23</v>
      </c>
      <c r="O1314" s="16" t="s">
        <v>22</v>
      </c>
      <c r="P1314" s="16" t="s">
        <v>24</v>
      </c>
      <c r="Q1314" s="10" t="s">
        <v>1119</v>
      </c>
      <c r="R1314" s="3" t="str">
        <f t="shared" si="40"/>
        <v>99</v>
      </c>
      <c r="S1314" s="3" t="str">
        <f t="shared" si="41"/>
        <v>73</v>
      </c>
      <c r="T1314" s="16" t="s">
        <v>33</v>
      </c>
      <c r="U1314" s="3">
        <v>13.443</v>
      </c>
      <c r="V1314" s="16" t="str">
        <f>PROPER(Table1[[#This Row],[CVD Risk Level]])</f>
        <v>Intermediary</v>
      </c>
    </row>
    <row r="1315" spans="1:22" x14ac:dyDescent="0.3">
      <c r="A1315" t="s">
        <v>31</v>
      </c>
      <c r="B1315" s="8">
        <v>41</v>
      </c>
      <c r="C1315" s="8">
        <v>116.024</v>
      </c>
      <c r="D1315" s="5">
        <v>1.5389999999999999</v>
      </c>
      <c r="E1315" s="5">
        <v>23.917000000000002</v>
      </c>
      <c r="F1315" s="16" t="s">
        <v>33</v>
      </c>
      <c r="G1315" s="11">
        <v>0.47299999999999998</v>
      </c>
      <c r="H1315" s="5">
        <v>72.846999999999994</v>
      </c>
      <c r="I1315" s="8">
        <v>69</v>
      </c>
      <c r="J1315" s="8">
        <v>109</v>
      </c>
      <c r="K1315" s="8">
        <v>208</v>
      </c>
      <c r="L1315" s="8">
        <v>84</v>
      </c>
      <c r="M1315" t="s">
        <v>33</v>
      </c>
      <c r="N1315" s="16" t="s">
        <v>22</v>
      </c>
      <c r="O1315" s="16" t="s">
        <v>23</v>
      </c>
      <c r="P1315" s="16" t="s">
        <v>37</v>
      </c>
      <c r="Q1315" s="10" t="s">
        <v>1120</v>
      </c>
      <c r="R1315" s="3" t="str">
        <f t="shared" si="40"/>
        <v>161</v>
      </c>
      <c r="S1315" s="3" t="str">
        <f t="shared" si="41"/>
        <v>92</v>
      </c>
      <c r="T1315" s="16" t="s">
        <v>38</v>
      </c>
      <c r="U1315" s="3">
        <v>18.992999999999999</v>
      </c>
      <c r="V1315" s="16" t="str">
        <f>PROPER(Table1[[#This Row],[CVD Risk Level]])</f>
        <v>Intermediary</v>
      </c>
    </row>
    <row r="1316" spans="1:22" x14ac:dyDescent="0.3">
      <c r="A1316" t="s">
        <v>31</v>
      </c>
      <c r="B1316" s="8">
        <v>67</v>
      </c>
      <c r="C1316" s="8">
        <v>82.055338848000005</v>
      </c>
      <c r="D1316" s="5">
        <v>1.722</v>
      </c>
      <c r="E1316" s="5">
        <v>27.672000000000001</v>
      </c>
      <c r="F1316" s="16" t="s">
        <v>1303</v>
      </c>
      <c r="G1316" s="11">
        <v>0.495</v>
      </c>
      <c r="H1316" s="5">
        <v>85.176000000000002</v>
      </c>
      <c r="I1316" s="8">
        <v>34</v>
      </c>
      <c r="J1316" s="8">
        <v>168</v>
      </c>
      <c r="K1316" s="8">
        <v>232</v>
      </c>
      <c r="L1316" s="8">
        <v>192</v>
      </c>
      <c r="M1316" t="s">
        <v>1307</v>
      </c>
      <c r="N1316" s="16" t="s">
        <v>22</v>
      </c>
      <c r="O1316" s="16" t="s">
        <v>22</v>
      </c>
      <c r="P1316" s="16" t="s">
        <v>37</v>
      </c>
      <c r="Q1316" s="10" t="s">
        <v>1121</v>
      </c>
      <c r="R1316" s="3" t="str">
        <f t="shared" si="40"/>
        <v>162</v>
      </c>
      <c r="S1316" s="3" t="str">
        <f t="shared" si="41"/>
        <v>79</v>
      </c>
      <c r="T1316" s="16" t="s">
        <v>38</v>
      </c>
      <c r="U1316" s="3">
        <v>18.274000000000001</v>
      </c>
      <c r="V1316" s="16" t="str">
        <f>PROPER(Table1[[#This Row],[CVD Risk Level]])</f>
        <v>High</v>
      </c>
    </row>
    <row r="1317" spans="1:22" x14ac:dyDescent="0.3">
      <c r="A1317" t="s">
        <v>20</v>
      </c>
      <c r="B1317" s="8">
        <v>60</v>
      </c>
      <c r="C1317" s="8">
        <v>107.84099999999999</v>
      </c>
      <c r="D1317" s="5">
        <v>1.7030000000000001</v>
      </c>
      <c r="E1317" s="5">
        <v>37.747</v>
      </c>
      <c r="F1317" s="16" t="s">
        <v>1302</v>
      </c>
      <c r="G1317" s="11">
        <v>0.52100000000000002</v>
      </c>
      <c r="H1317" s="5">
        <v>88.787000000000006</v>
      </c>
      <c r="I1317" s="8">
        <v>73</v>
      </c>
      <c r="J1317" s="8">
        <v>111</v>
      </c>
      <c r="K1317" s="8">
        <v>214</v>
      </c>
      <c r="L1317" s="8">
        <v>118</v>
      </c>
      <c r="M1317" t="s">
        <v>1306</v>
      </c>
      <c r="N1317" s="16" t="s">
        <v>23</v>
      </c>
      <c r="O1317" s="16" t="s">
        <v>22</v>
      </c>
      <c r="P1317" s="16" t="s">
        <v>37</v>
      </c>
      <c r="Q1317" s="10" t="s">
        <v>1122</v>
      </c>
      <c r="R1317" s="3" t="str">
        <f t="shared" si="40"/>
        <v>132</v>
      </c>
      <c r="S1317" s="3" t="str">
        <f t="shared" si="41"/>
        <v>63</v>
      </c>
      <c r="T1317" s="16" t="s">
        <v>29</v>
      </c>
      <c r="U1317" s="3">
        <v>16.960925291295425</v>
      </c>
      <c r="V1317" s="16" t="str">
        <f>PROPER(Table1[[#This Row],[CVD Risk Level]])</f>
        <v>Low</v>
      </c>
    </row>
    <row r="1318" spans="1:22" x14ac:dyDescent="0.3">
      <c r="A1318" t="s">
        <v>31</v>
      </c>
      <c r="B1318" s="8">
        <v>63</v>
      </c>
      <c r="C1318" s="8">
        <v>96.870999999999995</v>
      </c>
      <c r="D1318" s="5">
        <v>1.673</v>
      </c>
      <c r="E1318" s="5">
        <v>31.201000000000001</v>
      </c>
      <c r="F1318" s="16" t="s">
        <v>1302</v>
      </c>
      <c r="G1318" s="11">
        <v>0.61799999999999999</v>
      </c>
      <c r="H1318" s="5">
        <v>103.46299999999999</v>
      </c>
      <c r="I1318" s="8">
        <v>62</v>
      </c>
      <c r="J1318" s="8">
        <v>197</v>
      </c>
      <c r="K1318" s="8">
        <v>289</v>
      </c>
      <c r="L1318" s="8">
        <v>117.48563611491107</v>
      </c>
      <c r="M1318" t="s">
        <v>1306</v>
      </c>
      <c r="N1318" s="16" t="s">
        <v>22</v>
      </c>
      <c r="O1318" s="16" t="s">
        <v>22</v>
      </c>
      <c r="P1318" s="16" t="s">
        <v>24</v>
      </c>
      <c r="Q1318" s="10" t="s">
        <v>1123</v>
      </c>
      <c r="R1318" s="3" t="str">
        <f t="shared" si="40"/>
        <v>107</v>
      </c>
      <c r="S1318" s="3" t="str">
        <f t="shared" si="41"/>
        <v>65</v>
      </c>
      <c r="T1318" s="16" t="s">
        <v>33</v>
      </c>
      <c r="U1318" s="3">
        <v>17.37</v>
      </c>
      <c r="V1318" s="16" t="str">
        <f>PROPER(Table1[[#This Row],[CVD Risk Level]])</f>
        <v>Intermediary</v>
      </c>
    </row>
    <row r="1319" spans="1:22" x14ac:dyDescent="0.3">
      <c r="A1319" t="s">
        <v>31</v>
      </c>
      <c r="B1319" s="8">
        <v>64</v>
      </c>
      <c r="C1319" s="8">
        <v>109.962</v>
      </c>
      <c r="D1319" s="5">
        <v>1.865</v>
      </c>
      <c r="E1319" s="5">
        <v>31.501999999999999</v>
      </c>
      <c r="F1319" s="16" t="s">
        <v>1302</v>
      </c>
      <c r="G1319" s="11">
        <v>0.44600000000000001</v>
      </c>
      <c r="H1319" s="5">
        <v>83.17</v>
      </c>
      <c r="I1319" s="8">
        <v>75</v>
      </c>
      <c r="J1319" s="8">
        <v>55</v>
      </c>
      <c r="K1319" s="8">
        <v>160</v>
      </c>
      <c r="L1319" s="8">
        <v>134</v>
      </c>
      <c r="M1319" t="s">
        <v>1307</v>
      </c>
      <c r="N1319" s="16" t="s">
        <v>23</v>
      </c>
      <c r="O1319" s="16" t="s">
        <v>22</v>
      </c>
      <c r="P1319" s="16" t="s">
        <v>37</v>
      </c>
      <c r="Q1319" s="10" t="s">
        <v>1124</v>
      </c>
      <c r="R1319" s="3" t="str">
        <f t="shared" si="40"/>
        <v>163</v>
      </c>
      <c r="S1319" s="3" t="str">
        <f t="shared" si="41"/>
        <v>78</v>
      </c>
      <c r="T1319" s="16" t="s">
        <v>38</v>
      </c>
      <c r="U1319" s="3">
        <v>17.649999999999999</v>
      </c>
      <c r="V1319" s="16" t="str">
        <f>PROPER(Table1[[#This Row],[CVD Risk Level]])</f>
        <v>High</v>
      </c>
    </row>
    <row r="1320" spans="1:22" x14ac:dyDescent="0.3">
      <c r="A1320" t="s">
        <v>20</v>
      </c>
      <c r="B1320" s="8">
        <v>47.025499655410059</v>
      </c>
      <c r="C1320" s="8">
        <v>112.52</v>
      </c>
      <c r="D1320" s="5">
        <v>1.52</v>
      </c>
      <c r="E1320" s="5">
        <v>21.988</v>
      </c>
      <c r="F1320" s="16" t="s">
        <v>33</v>
      </c>
      <c r="G1320" s="11">
        <v>0.69799999999999995</v>
      </c>
      <c r="H1320" s="5">
        <v>106.12</v>
      </c>
      <c r="I1320" s="8">
        <v>40</v>
      </c>
      <c r="J1320" s="8">
        <v>158</v>
      </c>
      <c r="K1320" s="8">
        <v>228</v>
      </c>
      <c r="L1320" s="8">
        <v>91</v>
      </c>
      <c r="M1320" t="s">
        <v>33</v>
      </c>
      <c r="N1320" s="16" t="s">
        <v>22</v>
      </c>
      <c r="O1320" s="16" t="s">
        <v>23</v>
      </c>
      <c r="P1320" s="16" t="s">
        <v>24</v>
      </c>
      <c r="Q1320" s="10" t="s">
        <v>1125</v>
      </c>
      <c r="R1320" s="3" t="str">
        <f t="shared" si="40"/>
        <v>117</v>
      </c>
      <c r="S1320" s="3" t="str">
        <f t="shared" si="41"/>
        <v>96</v>
      </c>
      <c r="T1320" s="16" t="s">
        <v>38</v>
      </c>
      <c r="U1320" s="3">
        <v>16.808</v>
      </c>
      <c r="V1320" s="16" t="str">
        <f>PROPER(Table1[[#This Row],[CVD Risk Level]])</f>
        <v>Low</v>
      </c>
    </row>
    <row r="1321" spans="1:22" x14ac:dyDescent="0.3">
      <c r="A1321" t="s">
        <v>31</v>
      </c>
      <c r="B1321" s="8">
        <v>49</v>
      </c>
      <c r="C1321" s="8">
        <v>66.072999999999993</v>
      </c>
      <c r="D1321" s="5">
        <v>1.94</v>
      </c>
      <c r="E1321" s="5">
        <v>32.301000000000002</v>
      </c>
      <c r="F1321" s="16" t="s">
        <v>1302</v>
      </c>
      <c r="G1321" s="11">
        <v>0.46600000000000003</v>
      </c>
      <c r="H1321" s="5">
        <v>90.433000000000007</v>
      </c>
      <c r="I1321" s="8">
        <v>37</v>
      </c>
      <c r="J1321" s="8">
        <v>173</v>
      </c>
      <c r="K1321" s="8">
        <v>240</v>
      </c>
      <c r="L1321" s="8">
        <v>157</v>
      </c>
      <c r="M1321" t="s">
        <v>1307</v>
      </c>
      <c r="N1321" s="16" t="s">
        <v>22</v>
      </c>
      <c r="O1321" s="16" t="s">
        <v>23</v>
      </c>
      <c r="P1321" s="16" t="s">
        <v>37</v>
      </c>
      <c r="Q1321" s="10" t="s">
        <v>790</v>
      </c>
      <c r="R1321" s="3" t="str">
        <f t="shared" si="40"/>
        <v>122</v>
      </c>
      <c r="S1321" s="3" t="str">
        <f t="shared" si="41"/>
        <v>97</v>
      </c>
      <c r="T1321" s="16" t="s">
        <v>38</v>
      </c>
      <c r="U1321" s="3">
        <v>19.36</v>
      </c>
      <c r="V1321" s="16" t="str">
        <f>PROPER(Table1[[#This Row],[CVD Risk Level]])</f>
        <v>High</v>
      </c>
    </row>
    <row r="1322" spans="1:22" x14ac:dyDescent="0.3">
      <c r="A1322" t="s">
        <v>20</v>
      </c>
      <c r="B1322" s="8">
        <v>66</v>
      </c>
      <c r="C1322" s="8">
        <v>56.363</v>
      </c>
      <c r="D1322" s="5">
        <v>1.6659999999999999</v>
      </c>
      <c r="E1322" s="5">
        <v>27.126999999999999</v>
      </c>
      <c r="F1322" s="16" t="s">
        <v>1303</v>
      </c>
      <c r="G1322" s="11">
        <v>0.45100000000000001</v>
      </c>
      <c r="H1322" s="5">
        <v>75.180999999999997</v>
      </c>
      <c r="I1322" s="8">
        <v>34</v>
      </c>
      <c r="J1322" s="8">
        <v>115</v>
      </c>
      <c r="K1322" s="8">
        <v>179</v>
      </c>
      <c r="L1322" s="8">
        <v>148</v>
      </c>
      <c r="M1322" t="s">
        <v>1307</v>
      </c>
      <c r="N1322" s="16" t="s">
        <v>22</v>
      </c>
      <c r="O1322" s="16" t="s">
        <v>22</v>
      </c>
      <c r="P1322" s="16" t="s">
        <v>24</v>
      </c>
      <c r="Q1322" s="10" t="s">
        <v>1126</v>
      </c>
      <c r="R1322" s="3" t="str">
        <f t="shared" si="40"/>
        <v>101</v>
      </c>
      <c r="S1322" s="3" t="str">
        <f t="shared" si="41"/>
        <v>91</v>
      </c>
      <c r="T1322" s="16" t="s">
        <v>38</v>
      </c>
      <c r="U1322" s="3">
        <v>14.055</v>
      </c>
      <c r="V1322" s="16" t="str">
        <f>PROPER(Table1[[#This Row],[CVD Risk Level]])</f>
        <v>Intermediary</v>
      </c>
    </row>
    <row r="1323" spans="1:22" x14ac:dyDescent="0.3">
      <c r="A1323" t="s">
        <v>20</v>
      </c>
      <c r="B1323" s="8">
        <v>31</v>
      </c>
      <c r="C1323" s="8">
        <v>61.393000000000001</v>
      </c>
      <c r="D1323" s="5">
        <v>1.63</v>
      </c>
      <c r="E1323" s="5">
        <v>22.696000000000002</v>
      </c>
      <c r="F1323" s="16" t="s">
        <v>33</v>
      </c>
      <c r="G1323" s="11">
        <v>0.68100000000000005</v>
      </c>
      <c r="H1323" s="5">
        <v>111.024</v>
      </c>
      <c r="I1323" s="8">
        <v>85</v>
      </c>
      <c r="J1323" s="8">
        <v>49</v>
      </c>
      <c r="K1323" s="8">
        <v>164</v>
      </c>
      <c r="L1323" s="8">
        <v>195</v>
      </c>
      <c r="M1323" t="s">
        <v>1307</v>
      </c>
      <c r="N1323" s="16" t="s">
        <v>23</v>
      </c>
      <c r="O1323" s="16" t="s">
        <v>22</v>
      </c>
      <c r="P1323" s="16" t="s">
        <v>37</v>
      </c>
      <c r="Q1323" s="10" t="s">
        <v>1127</v>
      </c>
      <c r="R1323" s="3" t="str">
        <f t="shared" si="40"/>
        <v>154</v>
      </c>
      <c r="S1323" s="3" t="str">
        <f t="shared" si="41"/>
        <v>112</v>
      </c>
      <c r="T1323" s="16" t="s">
        <v>38</v>
      </c>
      <c r="U1323" s="3">
        <v>15.519</v>
      </c>
      <c r="V1323" s="16" t="str">
        <f>PROPER(Table1[[#This Row],[CVD Risk Level]])</f>
        <v>High</v>
      </c>
    </row>
    <row r="1324" spans="1:22" x14ac:dyDescent="0.3">
      <c r="A1324" t="s">
        <v>20</v>
      </c>
      <c r="B1324" s="8">
        <v>64</v>
      </c>
      <c r="C1324" s="8">
        <v>62.584000000000003</v>
      </c>
      <c r="D1324" s="5">
        <v>1.627</v>
      </c>
      <c r="E1324" s="5">
        <v>38.851999999999997</v>
      </c>
      <c r="F1324" s="16" t="s">
        <v>1302</v>
      </c>
      <c r="G1324" s="11">
        <v>0.56699999999999995</v>
      </c>
      <c r="H1324" s="5">
        <v>92.159000000000006</v>
      </c>
      <c r="I1324" s="8">
        <v>58</v>
      </c>
      <c r="J1324" s="8">
        <v>153</v>
      </c>
      <c r="K1324" s="8">
        <v>241</v>
      </c>
      <c r="L1324" s="8">
        <v>166</v>
      </c>
      <c r="M1324" t="s">
        <v>1307</v>
      </c>
      <c r="N1324" s="16" t="s">
        <v>23</v>
      </c>
      <c r="O1324" s="16" t="s">
        <v>23</v>
      </c>
      <c r="P1324" s="16" t="s">
        <v>28</v>
      </c>
      <c r="Q1324" s="10" t="s">
        <v>1128</v>
      </c>
      <c r="R1324" s="3" t="str">
        <f t="shared" si="40"/>
        <v>143</v>
      </c>
      <c r="S1324" s="3" t="str">
        <f t="shared" si="41"/>
        <v>84</v>
      </c>
      <c r="T1324" s="16" t="s">
        <v>29</v>
      </c>
      <c r="U1324" s="3">
        <v>21.74</v>
      </c>
      <c r="V1324" s="16" t="str">
        <f>PROPER(Table1[[#This Row],[CVD Risk Level]])</f>
        <v>High</v>
      </c>
    </row>
    <row r="1325" spans="1:22" x14ac:dyDescent="0.3">
      <c r="A1325" t="s">
        <v>31</v>
      </c>
      <c r="B1325" s="8">
        <v>45</v>
      </c>
      <c r="C1325" s="8">
        <v>119.054</v>
      </c>
      <c r="D1325" s="5">
        <v>1.5309999999999999</v>
      </c>
      <c r="E1325" s="5">
        <v>25.117000000000001</v>
      </c>
      <c r="F1325" s="16" t="s">
        <v>1303</v>
      </c>
      <c r="G1325" s="11">
        <v>0.64500000000000002</v>
      </c>
      <c r="H1325" s="5">
        <v>98.700999999999993</v>
      </c>
      <c r="I1325" s="8">
        <v>53</v>
      </c>
      <c r="J1325" s="8">
        <v>142</v>
      </c>
      <c r="K1325" s="8">
        <v>225</v>
      </c>
      <c r="L1325" s="8">
        <v>126</v>
      </c>
      <c r="M1325" t="s">
        <v>1307</v>
      </c>
      <c r="N1325" s="16" t="s">
        <v>23</v>
      </c>
      <c r="O1325" s="16" t="s">
        <v>23</v>
      </c>
      <c r="P1325" s="16" t="s">
        <v>37</v>
      </c>
      <c r="Q1325" s="10" t="s">
        <v>44</v>
      </c>
      <c r="R1325" s="3" t="str">
        <f t="shared" si="40"/>
        <v>134</v>
      </c>
      <c r="S1325" s="3" t="str">
        <f t="shared" si="41"/>
        <v>91</v>
      </c>
      <c r="T1325" s="16" t="s">
        <v>29</v>
      </c>
      <c r="U1325" s="3">
        <v>18.222999999999999</v>
      </c>
      <c r="V1325" s="16" t="str">
        <f>PROPER(Table1[[#This Row],[CVD Risk Level]])</f>
        <v>Low</v>
      </c>
    </row>
    <row r="1326" spans="1:22" x14ac:dyDescent="0.3">
      <c r="A1326" t="s">
        <v>31</v>
      </c>
      <c r="B1326" s="8">
        <v>61</v>
      </c>
      <c r="C1326" s="8">
        <v>108.191</v>
      </c>
      <c r="D1326" s="5">
        <v>1.8129999999999999</v>
      </c>
      <c r="E1326" s="5">
        <v>37.866</v>
      </c>
      <c r="F1326" s="16" t="s">
        <v>1302</v>
      </c>
      <c r="G1326" s="11">
        <v>0.621</v>
      </c>
      <c r="H1326" s="5">
        <v>112.492</v>
      </c>
      <c r="I1326" s="8">
        <v>71</v>
      </c>
      <c r="J1326" s="8">
        <v>81</v>
      </c>
      <c r="K1326" s="8">
        <v>182</v>
      </c>
      <c r="L1326" s="8">
        <v>72</v>
      </c>
      <c r="M1326" t="s">
        <v>33</v>
      </c>
      <c r="N1326" s="16" t="s">
        <v>23</v>
      </c>
      <c r="O1326" s="16" t="s">
        <v>22</v>
      </c>
      <c r="P1326" s="16" t="s">
        <v>37</v>
      </c>
      <c r="Q1326" s="10" t="s">
        <v>1129</v>
      </c>
      <c r="R1326" s="3" t="str">
        <f t="shared" si="40"/>
        <v>173</v>
      </c>
      <c r="S1326" s="3" t="str">
        <f t="shared" si="41"/>
        <v>68</v>
      </c>
      <c r="T1326" s="16" t="s">
        <v>38</v>
      </c>
      <c r="U1326" s="3">
        <v>19.863</v>
      </c>
      <c r="V1326" s="16" t="str">
        <f>PROPER(Table1[[#This Row],[CVD Risk Level]])</f>
        <v>High</v>
      </c>
    </row>
    <row r="1327" spans="1:22" x14ac:dyDescent="0.3">
      <c r="A1327" t="s">
        <v>20</v>
      </c>
      <c r="B1327" s="8">
        <v>59</v>
      </c>
      <c r="C1327" s="8">
        <v>101.614</v>
      </c>
      <c r="D1327" s="5">
        <v>1.5760000000000001</v>
      </c>
      <c r="E1327" s="5">
        <v>34.651000000000003</v>
      </c>
      <c r="F1327" s="16" t="s">
        <v>1302</v>
      </c>
      <c r="G1327" s="11">
        <v>0.60899999999999999</v>
      </c>
      <c r="H1327" s="5">
        <v>95.959000000000003</v>
      </c>
      <c r="I1327" s="8">
        <v>54</v>
      </c>
      <c r="J1327" s="8">
        <v>80</v>
      </c>
      <c r="K1327" s="8">
        <v>164</v>
      </c>
      <c r="L1327" s="8">
        <v>165</v>
      </c>
      <c r="M1327" t="s">
        <v>1307</v>
      </c>
      <c r="N1327" s="16" t="s">
        <v>22</v>
      </c>
      <c r="O1327" s="16" t="s">
        <v>23</v>
      </c>
      <c r="P1327" s="16" t="s">
        <v>28</v>
      </c>
      <c r="Q1327" s="10" t="s">
        <v>1130</v>
      </c>
      <c r="R1327" s="3" t="str">
        <f t="shared" si="40"/>
        <v>178</v>
      </c>
      <c r="S1327" s="3" t="str">
        <f t="shared" si="41"/>
        <v>108</v>
      </c>
      <c r="T1327" s="16" t="s">
        <v>38</v>
      </c>
      <c r="U1327" s="3">
        <v>21.11</v>
      </c>
      <c r="V1327" s="16" t="str">
        <f>PROPER(Table1[[#This Row],[CVD Risk Level]])</f>
        <v>Low</v>
      </c>
    </row>
    <row r="1328" spans="1:22" x14ac:dyDescent="0.3">
      <c r="A1328" t="s">
        <v>20</v>
      </c>
      <c r="B1328" s="8">
        <v>59</v>
      </c>
      <c r="C1328" s="8">
        <v>94.435000000000002</v>
      </c>
      <c r="D1328" s="5">
        <v>1.75</v>
      </c>
      <c r="E1328" s="5">
        <v>30.835918367346938</v>
      </c>
      <c r="F1328" s="16" t="s">
        <v>1302</v>
      </c>
      <c r="G1328" s="11">
        <v>0.58899999999999997</v>
      </c>
      <c r="H1328" s="5">
        <v>98.32</v>
      </c>
      <c r="I1328" s="8">
        <v>37</v>
      </c>
      <c r="J1328" s="8">
        <v>225</v>
      </c>
      <c r="K1328" s="8">
        <v>292</v>
      </c>
      <c r="L1328" s="8">
        <v>117.48563611491107</v>
      </c>
      <c r="M1328" t="s">
        <v>1306</v>
      </c>
      <c r="N1328" s="16" t="s">
        <v>22</v>
      </c>
      <c r="O1328" s="16" t="s">
        <v>22</v>
      </c>
      <c r="P1328" s="16" t="s">
        <v>28</v>
      </c>
      <c r="Q1328" s="10" t="s">
        <v>1131</v>
      </c>
      <c r="R1328" s="3" t="str">
        <f t="shared" si="40"/>
        <v>99</v>
      </c>
      <c r="S1328" s="3" t="str">
        <f t="shared" si="41"/>
        <v>64</v>
      </c>
      <c r="T1328" s="16" t="s">
        <v>33</v>
      </c>
      <c r="U1328" s="3">
        <v>16.779</v>
      </c>
      <c r="V1328" s="16" t="str">
        <f>PROPER(Table1[[#This Row],[CVD Risk Level]])</f>
        <v>High</v>
      </c>
    </row>
    <row r="1329" spans="1:22" x14ac:dyDescent="0.3">
      <c r="A1329" t="s">
        <v>20</v>
      </c>
      <c r="B1329" s="8">
        <v>73</v>
      </c>
      <c r="C1329" s="8">
        <v>56.05</v>
      </c>
      <c r="D1329" s="5">
        <v>1.704</v>
      </c>
      <c r="E1329" s="5">
        <v>35.158999999999999</v>
      </c>
      <c r="F1329" s="16" t="s">
        <v>1302</v>
      </c>
      <c r="G1329" s="11">
        <v>0.56999999999999995</v>
      </c>
      <c r="H1329" s="5">
        <v>97.144999999999996</v>
      </c>
      <c r="I1329" s="8">
        <v>31</v>
      </c>
      <c r="J1329" s="8">
        <v>145</v>
      </c>
      <c r="K1329" s="8">
        <v>206</v>
      </c>
      <c r="L1329" s="8">
        <v>80</v>
      </c>
      <c r="M1329" t="s">
        <v>33</v>
      </c>
      <c r="N1329" s="16" t="s">
        <v>23</v>
      </c>
      <c r="O1329" s="16" t="s">
        <v>22</v>
      </c>
      <c r="P1329" s="16" t="s">
        <v>24</v>
      </c>
      <c r="Q1329" s="10" t="s">
        <v>1132</v>
      </c>
      <c r="R1329" s="3" t="str">
        <f t="shared" si="40"/>
        <v>134</v>
      </c>
      <c r="S1329" s="3" t="str">
        <f t="shared" si="41"/>
        <v>76</v>
      </c>
      <c r="T1329" s="16" t="s">
        <v>29</v>
      </c>
      <c r="U1329" s="3">
        <v>17.852</v>
      </c>
      <c r="V1329" s="16" t="str">
        <f>PROPER(Table1[[#This Row],[CVD Risk Level]])</f>
        <v>Intermediary</v>
      </c>
    </row>
    <row r="1330" spans="1:22" x14ac:dyDescent="0.3">
      <c r="A1330" t="s">
        <v>20</v>
      </c>
      <c r="B1330" s="8">
        <v>47.025499655410059</v>
      </c>
      <c r="C1330" s="8">
        <v>72.75</v>
      </c>
      <c r="D1330" s="5">
        <v>1.861</v>
      </c>
      <c r="E1330" s="5">
        <v>18.565000000000001</v>
      </c>
      <c r="F1330" s="16" t="s">
        <v>33</v>
      </c>
      <c r="G1330" s="11">
        <v>0.40799999999999997</v>
      </c>
      <c r="H1330" s="5">
        <v>75.935000000000002</v>
      </c>
      <c r="I1330" s="8">
        <v>74</v>
      </c>
      <c r="J1330" s="8">
        <v>2</v>
      </c>
      <c r="K1330" s="8">
        <v>106</v>
      </c>
      <c r="L1330" s="8">
        <v>121</v>
      </c>
      <c r="M1330" t="s">
        <v>1306</v>
      </c>
      <c r="N1330" s="16" t="s">
        <v>23</v>
      </c>
      <c r="O1330" s="16" t="s">
        <v>22</v>
      </c>
      <c r="P1330" s="16" t="s">
        <v>24</v>
      </c>
      <c r="Q1330" s="10" t="s">
        <v>1133</v>
      </c>
      <c r="R1330" s="3" t="str">
        <f t="shared" si="40"/>
        <v>130</v>
      </c>
      <c r="S1330" s="3" t="str">
        <f t="shared" si="41"/>
        <v>78</v>
      </c>
      <c r="T1330" s="16" t="s">
        <v>29</v>
      </c>
      <c r="U1330" s="3">
        <v>12.333</v>
      </c>
      <c r="V1330" s="16" t="str">
        <f>PROPER(Table1[[#This Row],[CVD Risk Level]])</f>
        <v>Low</v>
      </c>
    </row>
    <row r="1331" spans="1:22" x14ac:dyDescent="0.3">
      <c r="A1331" t="s">
        <v>31</v>
      </c>
      <c r="B1331" s="8">
        <v>56</v>
      </c>
      <c r="C1331" s="8">
        <v>87.994</v>
      </c>
      <c r="D1331" s="5">
        <v>1.583</v>
      </c>
      <c r="E1331" s="5">
        <v>18.669</v>
      </c>
      <c r="F1331" s="16" t="s">
        <v>33</v>
      </c>
      <c r="G1331" s="11">
        <v>0.73699999999999999</v>
      </c>
      <c r="H1331" s="5">
        <v>116.67100000000001</v>
      </c>
      <c r="I1331" s="8">
        <v>46</v>
      </c>
      <c r="J1331" s="8">
        <v>204</v>
      </c>
      <c r="K1331" s="8">
        <v>280</v>
      </c>
      <c r="L1331" s="8">
        <v>117.48563611491107</v>
      </c>
      <c r="M1331" t="s">
        <v>1306</v>
      </c>
      <c r="N1331" s="16" t="s">
        <v>23</v>
      </c>
      <c r="O1331" s="16" t="s">
        <v>23</v>
      </c>
      <c r="P1331" s="16" t="s">
        <v>37</v>
      </c>
      <c r="Q1331" s="10" t="s">
        <v>1134</v>
      </c>
      <c r="R1331" s="3" t="str">
        <f t="shared" si="40"/>
        <v>159</v>
      </c>
      <c r="S1331" s="3" t="str">
        <f t="shared" si="41"/>
        <v>60</v>
      </c>
      <c r="T1331" s="16" t="s">
        <v>38</v>
      </c>
      <c r="U1331" s="3">
        <v>19.283999999999999</v>
      </c>
      <c r="V1331" s="16" t="str">
        <f>PROPER(Table1[[#This Row],[CVD Risk Level]])</f>
        <v>Low</v>
      </c>
    </row>
    <row r="1332" spans="1:22" x14ac:dyDescent="0.3">
      <c r="A1332" t="s">
        <v>20</v>
      </c>
      <c r="B1332" s="8">
        <v>35</v>
      </c>
      <c r="C1332" s="8">
        <v>92.004999999999995</v>
      </c>
      <c r="D1332" s="5">
        <v>1.726</v>
      </c>
      <c r="E1332" s="5">
        <v>30.883737105062103</v>
      </c>
      <c r="F1332" s="16" t="s">
        <v>1302</v>
      </c>
      <c r="G1332" s="11">
        <v>0.57199999999999995</v>
      </c>
      <c r="H1332" s="5">
        <v>98.691999999999993</v>
      </c>
      <c r="I1332" s="8">
        <v>80</v>
      </c>
      <c r="J1332" s="8">
        <v>46</v>
      </c>
      <c r="K1332" s="8">
        <v>156</v>
      </c>
      <c r="L1332" s="8">
        <v>80</v>
      </c>
      <c r="M1332" t="s">
        <v>33</v>
      </c>
      <c r="N1332" s="16" t="s">
        <v>22</v>
      </c>
      <c r="O1332" s="16" t="s">
        <v>23</v>
      </c>
      <c r="P1332" s="16" t="s">
        <v>28</v>
      </c>
      <c r="Q1332" s="10" t="s">
        <v>1135</v>
      </c>
      <c r="R1332" s="3" t="str">
        <f t="shared" si="40"/>
        <v>95</v>
      </c>
      <c r="S1332" s="3" t="str">
        <f t="shared" si="41"/>
        <v>111</v>
      </c>
      <c r="T1332" s="16" t="s">
        <v>38</v>
      </c>
      <c r="U1332" s="3">
        <v>14.316000000000001</v>
      </c>
      <c r="V1332" s="16" t="str">
        <f>PROPER(Table1[[#This Row],[CVD Risk Level]])</f>
        <v>Low</v>
      </c>
    </row>
    <row r="1333" spans="1:22" x14ac:dyDescent="0.3">
      <c r="A1333" t="s">
        <v>20</v>
      </c>
      <c r="B1333" s="8">
        <v>35</v>
      </c>
      <c r="C1333" s="8">
        <v>66.656999999999996</v>
      </c>
      <c r="D1333" s="5">
        <v>1.9359999999999999</v>
      </c>
      <c r="E1333" s="5">
        <v>31.658000000000001</v>
      </c>
      <c r="F1333" s="16" t="s">
        <v>1302</v>
      </c>
      <c r="G1333" s="11">
        <v>0.4</v>
      </c>
      <c r="H1333" s="5">
        <v>77.477000000000004</v>
      </c>
      <c r="I1333" s="8">
        <v>48</v>
      </c>
      <c r="J1333" s="8">
        <v>173</v>
      </c>
      <c r="K1333" s="8">
        <v>251</v>
      </c>
      <c r="L1333" s="8">
        <v>144</v>
      </c>
      <c r="M1333" t="s">
        <v>1307</v>
      </c>
      <c r="N1333" s="16" t="s">
        <v>22</v>
      </c>
      <c r="O1333" s="16" t="s">
        <v>22</v>
      </c>
      <c r="P1333" s="16" t="s">
        <v>37</v>
      </c>
      <c r="Q1333" s="10" t="s">
        <v>1136</v>
      </c>
      <c r="R1333" s="3" t="str">
        <f t="shared" si="40"/>
        <v>148</v>
      </c>
      <c r="S1333" s="3" t="str">
        <f t="shared" si="41"/>
        <v>93</v>
      </c>
      <c r="T1333" s="16" t="s">
        <v>38</v>
      </c>
      <c r="U1333" s="3">
        <v>18.751999999999999</v>
      </c>
      <c r="V1333" s="16" t="str">
        <f>PROPER(Table1[[#This Row],[CVD Risk Level]])</f>
        <v>High</v>
      </c>
    </row>
    <row r="1334" spans="1:22" x14ac:dyDescent="0.3">
      <c r="A1334" t="s">
        <v>20</v>
      </c>
      <c r="B1334" s="8">
        <v>72</v>
      </c>
      <c r="C1334" s="8">
        <v>113.375</v>
      </c>
      <c r="D1334" s="5">
        <v>1.8420000000000001</v>
      </c>
      <c r="E1334" s="5">
        <v>28.870999999999999</v>
      </c>
      <c r="F1334" s="16" t="s">
        <v>1303</v>
      </c>
      <c r="G1334" s="11">
        <v>0.44500000000000001</v>
      </c>
      <c r="H1334" s="5">
        <v>81.93</v>
      </c>
      <c r="I1334" s="8">
        <v>76</v>
      </c>
      <c r="J1334" s="8">
        <v>149</v>
      </c>
      <c r="K1334" s="8">
        <v>255</v>
      </c>
      <c r="L1334" s="8">
        <v>94</v>
      </c>
      <c r="M1334" t="s">
        <v>33</v>
      </c>
      <c r="N1334" s="16" t="s">
        <v>23</v>
      </c>
      <c r="O1334" s="16" t="s">
        <v>22</v>
      </c>
      <c r="P1334" s="16" t="s">
        <v>24</v>
      </c>
      <c r="Q1334" s="10" t="s">
        <v>1137</v>
      </c>
      <c r="R1334" s="3" t="str">
        <f t="shared" si="40"/>
        <v>177</v>
      </c>
      <c r="S1334" s="3" t="str">
        <f t="shared" si="41"/>
        <v>67</v>
      </c>
      <c r="T1334" s="16" t="s">
        <v>38</v>
      </c>
      <c r="U1334" s="3">
        <v>19.724</v>
      </c>
      <c r="V1334" s="16" t="str">
        <f>PROPER(Table1[[#This Row],[CVD Risk Level]])</f>
        <v>High</v>
      </c>
    </row>
    <row r="1335" spans="1:22" x14ac:dyDescent="0.3">
      <c r="A1335" t="s">
        <v>20</v>
      </c>
      <c r="B1335" s="8">
        <v>72</v>
      </c>
      <c r="C1335" s="8">
        <v>114.687</v>
      </c>
      <c r="D1335" s="5">
        <v>1.611</v>
      </c>
      <c r="E1335" s="5">
        <v>39.601999999999997</v>
      </c>
      <c r="F1335" s="16" t="s">
        <v>1302</v>
      </c>
      <c r="G1335" s="11">
        <v>0.45800000000000002</v>
      </c>
      <c r="H1335" s="5">
        <v>73.828999999999994</v>
      </c>
      <c r="I1335" s="8">
        <v>48</v>
      </c>
      <c r="J1335" s="8">
        <v>59</v>
      </c>
      <c r="K1335" s="8">
        <v>137</v>
      </c>
      <c r="L1335" s="8">
        <v>123</v>
      </c>
      <c r="M1335" t="s">
        <v>1306</v>
      </c>
      <c r="N1335" s="16" t="s">
        <v>23</v>
      </c>
      <c r="O1335" s="16" t="s">
        <v>22</v>
      </c>
      <c r="P1335" s="16" t="s">
        <v>24</v>
      </c>
      <c r="Q1335" s="10" t="s">
        <v>1138</v>
      </c>
      <c r="R1335" s="3" t="str">
        <f t="shared" si="40"/>
        <v>143</v>
      </c>
      <c r="S1335" s="3" t="str">
        <f t="shared" si="41"/>
        <v>62</v>
      </c>
      <c r="T1335" s="16" t="s">
        <v>38</v>
      </c>
      <c r="U1335" s="3">
        <v>17.809999999999999</v>
      </c>
      <c r="V1335" s="16" t="str">
        <f>PROPER(Table1[[#This Row],[CVD Risk Level]])</f>
        <v>High</v>
      </c>
    </row>
    <row r="1336" spans="1:22" x14ac:dyDescent="0.3">
      <c r="A1336" t="s">
        <v>31</v>
      </c>
      <c r="B1336" s="8">
        <v>25</v>
      </c>
      <c r="C1336" s="8">
        <v>59.59</v>
      </c>
      <c r="D1336" s="5">
        <v>1.5780000000000001</v>
      </c>
      <c r="E1336" s="5">
        <v>25.876999999999999</v>
      </c>
      <c r="F1336" s="16" t="s">
        <v>1303</v>
      </c>
      <c r="G1336" s="11">
        <v>0.57099999999999995</v>
      </c>
      <c r="H1336" s="5">
        <v>90.146000000000001</v>
      </c>
      <c r="I1336" s="8">
        <v>78</v>
      </c>
      <c r="J1336" s="8">
        <v>131</v>
      </c>
      <c r="K1336" s="8">
        <v>239</v>
      </c>
      <c r="L1336" s="8">
        <v>70</v>
      </c>
      <c r="M1336" t="s">
        <v>33</v>
      </c>
      <c r="N1336" s="16" t="s">
        <v>22</v>
      </c>
      <c r="O1336" s="16" t="s">
        <v>22</v>
      </c>
      <c r="P1336" s="16" t="s">
        <v>37</v>
      </c>
      <c r="Q1336" s="10" t="s">
        <v>1139</v>
      </c>
      <c r="R1336" s="3" t="str">
        <f t="shared" si="40"/>
        <v>93</v>
      </c>
      <c r="S1336" s="3" t="str">
        <f t="shared" si="41"/>
        <v>79</v>
      </c>
      <c r="T1336" s="16" t="s">
        <v>33</v>
      </c>
      <c r="U1336" s="3">
        <v>14.605</v>
      </c>
      <c r="V1336" s="16" t="str">
        <f>PROPER(Table1[[#This Row],[CVD Risk Level]])</f>
        <v>Low</v>
      </c>
    </row>
    <row r="1337" spans="1:22" x14ac:dyDescent="0.3">
      <c r="A1337" t="s">
        <v>20</v>
      </c>
      <c r="B1337" s="8">
        <v>79</v>
      </c>
      <c r="C1337" s="8">
        <v>118.551</v>
      </c>
      <c r="D1337" s="5">
        <v>1.8740000000000001</v>
      </c>
      <c r="E1337" s="5">
        <v>34.009</v>
      </c>
      <c r="F1337" s="16" t="s">
        <v>1302</v>
      </c>
      <c r="G1337" s="11">
        <v>0.51</v>
      </c>
      <c r="H1337" s="5">
        <v>95.67</v>
      </c>
      <c r="I1337" s="8">
        <v>56.197377501725327</v>
      </c>
      <c r="J1337" s="8">
        <v>37</v>
      </c>
      <c r="K1337" s="8">
        <v>116</v>
      </c>
      <c r="L1337" s="8">
        <v>138</v>
      </c>
      <c r="M1337" t="s">
        <v>1307</v>
      </c>
      <c r="N1337" s="16" t="s">
        <v>23</v>
      </c>
      <c r="O1337" s="16" t="s">
        <v>23</v>
      </c>
      <c r="P1337" s="16" t="s">
        <v>24</v>
      </c>
      <c r="Q1337" s="10" t="s">
        <v>1140</v>
      </c>
      <c r="R1337" s="3" t="str">
        <f t="shared" si="40"/>
        <v>133</v>
      </c>
      <c r="S1337" s="3" t="str">
        <f t="shared" si="41"/>
        <v>110</v>
      </c>
      <c r="T1337" s="16" t="s">
        <v>29</v>
      </c>
      <c r="U1337" s="3">
        <v>17.771999999999998</v>
      </c>
      <c r="V1337" s="16" t="str">
        <f>PROPER(Table1[[#This Row],[CVD Risk Level]])</f>
        <v>Low</v>
      </c>
    </row>
    <row r="1338" spans="1:22" x14ac:dyDescent="0.3">
      <c r="A1338" t="s">
        <v>20</v>
      </c>
      <c r="B1338" s="8">
        <v>59</v>
      </c>
      <c r="C1338" s="8">
        <v>113.852</v>
      </c>
      <c r="D1338" s="5">
        <v>1.8979999999999999</v>
      </c>
      <c r="E1338" s="5">
        <v>27.341999999999999</v>
      </c>
      <c r="F1338" s="16" t="s">
        <v>1303</v>
      </c>
      <c r="G1338" s="11">
        <v>0.51900000000000002</v>
      </c>
      <c r="H1338" s="5">
        <v>98.588999999999999</v>
      </c>
      <c r="I1338" s="8">
        <v>83</v>
      </c>
      <c r="J1338" s="8">
        <v>115</v>
      </c>
      <c r="K1338" s="8">
        <v>228</v>
      </c>
      <c r="L1338" s="8">
        <v>189</v>
      </c>
      <c r="M1338" t="s">
        <v>1307</v>
      </c>
      <c r="N1338" s="16" t="s">
        <v>23</v>
      </c>
      <c r="O1338" s="16" t="s">
        <v>23</v>
      </c>
      <c r="P1338" s="16" t="s">
        <v>28</v>
      </c>
      <c r="Q1338" s="10" t="s">
        <v>1141</v>
      </c>
      <c r="R1338" s="3" t="str">
        <f t="shared" si="40"/>
        <v>139</v>
      </c>
      <c r="S1338" s="3" t="str">
        <f t="shared" si="41"/>
        <v>72</v>
      </c>
      <c r="T1338" s="16" t="s">
        <v>29</v>
      </c>
      <c r="U1338" s="3">
        <v>18.978000000000002</v>
      </c>
      <c r="V1338" s="16" t="str">
        <f>PROPER(Table1[[#This Row],[CVD Risk Level]])</f>
        <v>Low</v>
      </c>
    </row>
    <row r="1339" spans="1:22" x14ac:dyDescent="0.3">
      <c r="A1339" t="s">
        <v>20</v>
      </c>
      <c r="B1339" s="8">
        <v>39</v>
      </c>
      <c r="C1339" s="8">
        <v>80.778000000000006</v>
      </c>
      <c r="D1339" s="5">
        <v>1.514</v>
      </c>
      <c r="E1339" s="5">
        <v>39.4</v>
      </c>
      <c r="F1339" s="16" t="s">
        <v>1302</v>
      </c>
      <c r="G1339" s="11">
        <v>0.55100000000000005</v>
      </c>
      <c r="H1339" s="5">
        <v>83.332999999999998</v>
      </c>
      <c r="I1339" s="8">
        <v>48</v>
      </c>
      <c r="J1339" s="8">
        <v>124</v>
      </c>
      <c r="K1339" s="8">
        <v>202</v>
      </c>
      <c r="L1339" s="8">
        <v>119</v>
      </c>
      <c r="M1339" t="s">
        <v>1306</v>
      </c>
      <c r="N1339" s="16" t="s">
        <v>23</v>
      </c>
      <c r="O1339" s="16" t="s">
        <v>23</v>
      </c>
      <c r="P1339" s="16" t="s">
        <v>24</v>
      </c>
      <c r="Q1339" s="10" t="s">
        <v>1142</v>
      </c>
      <c r="R1339" s="3" t="str">
        <f t="shared" si="40"/>
        <v>147</v>
      </c>
      <c r="S1339" s="3" t="str">
        <f t="shared" si="41"/>
        <v>107</v>
      </c>
      <c r="T1339" s="16" t="s">
        <v>38</v>
      </c>
      <c r="U1339" s="3">
        <v>21.27</v>
      </c>
      <c r="V1339" s="16" t="str">
        <f>PROPER(Table1[[#This Row],[CVD Risk Level]])</f>
        <v>High</v>
      </c>
    </row>
    <row r="1340" spans="1:22" x14ac:dyDescent="0.3">
      <c r="A1340" t="s">
        <v>20</v>
      </c>
      <c r="B1340" s="8">
        <v>70</v>
      </c>
      <c r="C1340" s="8">
        <v>80.209999999999994</v>
      </c>
      <c r="D1340" s="5">
        <v>1.5169999999999999</v>
      </c>
      <c r="E1340" s="5">
        <v>39.329000000000001</v>
      </c>
      <c r="F1340" s="16" t="s">
        <v>1302</v>
      </c>
      <c r="G1340" s="11">
        <v>0.55900000000000005</v>
      </c>
      <c r="H1340" s="5">
        <v>84.858999999999995</v>
      </c>
      <c r="I1340" s="8">
        <v>56.197377501725327</v>
      </c>
      <c r="J1340" s="8">
        <v>62</v>
      </c>
      <c r="K1340" s="8">
        <v>132</v>
      </c>
      <c r="L1340" s="8">
        <v>194</v>
      </c>
      <c r="M1340" t="s">
        <v>1307</v>
      </c>
      <c r="N1340" s="16" t="s">
        <v>22</v>
      </c>
      <c r="O1340" s="16" t="s">
        <v>23</v>
      </c>
      <c r="P1340" s="16" t="s">
        <v>28</v>
      </c>
      <c r="Q1340" s="10" t="s">
        <v>1143</v>
      </c>
      <c r="R1340" s="3" t="str">
        <f t="shared" si="40"/>
        <v>90</v>
      </c>
      <c r="S1340" s="3" t="str">
        <f t="shared" si="41"/>
        <v>109</v>
      </c>
      <c r="T1340" s="16" t="s">
        <v>38</v>
      </c>
      <c r="U1340" s="3">
        <v>17.006</v>
      </c>
      <c r="V1340" s="16" t="str">
        <f>PROPER(Table1[[#This Row],[CVD Risk Level]])</f>
        <v>High</v>
      </c>
    </row>
    <row r="1341" spans="1:22" x14ac:dyDescent="0.3">
      <c r="A1341" t="s">
        <v>20</v>
      </c>
      <c r="B1341" s="8">
        <v>29</v>
      </c>
      <c r="C1341" s="8">
        <v>99.355000000000004</v>
      </c>
      <c r="D1341" s="5">
        <v>1.6043369500510924</v>
      </c>
      <c r="E1341" s="5">
        <v>38.600999999999999</v>
      </c>
      <c r="F1341" s="16" t="s">
        <v>1302</v>
      </c>
      <c r="G1341" s="11">
        <v>0.58899999999999997</v>
      </c>
      <c r="H1341" s="5">
        <v>106.727</v>
      </c>
      <c r="I1341" s="8">
        <v>43</v>
      </c>
      <c r="J1341" s="8">
        <v>188</v>
      </c>
      <c r="K1341" s="8">
        <v>261</v>
      </c>
      <c r="L1341" s="8">
        <v>169</v>
      </c>
      <c r="M1341" t="s">
        <v>1307</v>
      </c>
      <c r="N1341" s="16" t="s">
        <v>23</v>
      </c>
      <c r="O1341" s="16" t="s">
        <v>22</v>
      </c>
      <c r="P1341" s="16" t="s">
        <v>37</v>
      </c>
      <c r="Q1341" s="10" t="s">
        <v>1144</v>
      </c>
      <c r="R1341" s="3" t="str">
        <f t="shared" si="40"/>
        <v>169</v>
      </c>
      <c r="S1341" s="3" t="str">
        <f t="shared" si="41"/>
        <v>119</v>
      </c>
      <c r="T1341" s="16" t="s">
        <v>38</v>
      </c>
      <c r="U1341" s="3">
        <v>21.39</v>
      </c>
      <c r="V1341" s="16" t="str">
        <f>PROPER(Table1[[#This Row],[CVD Risk Level]])</f>
        <v>High</v>
      </c>
    </row>
    <row r="1342" spans="1:22" x14ac:dyDescent="0.3">
      <c r="A1342" t="s">
        <v>20</v>
      </c>
      <c r="B1342" s="8">
        <v>39</v>
      </c>
      <c r="C1342" s="8">
        <v>64.724000000000004</v>
      </c>
      <c r="D1342" s="5">
        <v>1.8440000000000001</v>
      </c>
      <c r="E1342" s="5">
        <v>25.879000000000001</v>
      </c>
      <c r="F1342" s="16" t="s">
        <v>1303</v>
      </c>
      <c r="G1342" s="11">
        <v>0.47599999999999998</v>
      </c>
      <c r="H1342" s="5">
        <v>87.762</v>
      </c>
      <c r="I1342" s="8">
        <v>50</v>
      </c>
      <c r="J1342" s="8">
        <v>28</v>
      </c>
      <c r="K1342" s="8">
        <v>108</v>
      </c>
      <c r="L1342" s="8">
        <v>92</v>
      </c>
      <c r="M1342" t="s">
        <v>33</v>
      </c>
      <c r="N1342" s="16" t="s">
        <v>23</v>
      </c>
      <c r="O1342" s="16" t="s">
        <v>22</v>
      </c>
      <c r="P1342" s="16" t="s">
        <v>37</v>
      </c>
      <c r="Q1342" s="10" t="s">
        <v>1145</v>
      </c>
      <c r="R1342" s="3" t="str">
        <f t="shared" si="40"/>
        <v>149</v>
      </c>
      <c r="S1342" s="3" t="str">
        <f t="shared" si="41"/>
        <v>82</v>
      </c>
      <c r="T1342" s="16" t="s">
        <v>29</v>
      </c>
      <c r="U1342" s="3">
        <v>14.786</v>
      </c>
      <c r="V1342" s="16" t="str">
        <f>PROPER(Table1[[#This Row],[CVD Risk Level]])</f>
        <v>High</v>
      </c>
    </row>
    <row r="1343" spans="1:22" x14ac:dyDescent="0.3">
      <c r="A1343" t="s">
        <v>31</v>
      </c>
      <c r="B1343" s="8">
        <v>26</v>
      </c>
      <c r="C1343" s="8">
        <v>61.716999999999999</v>
      </c>
      <c r="D1343" s="5">
        <v>1.7010000000000001</v>
      </c>
      <c r="E1343" s="5">
        <v>26.474</v>
      </c>
      <c r="F1343" s="16" t="s">
        <v>1303</v>
      </c>
      <c r="G1343" s="11">
        <v>0.60099999999999998</v>
      </c>
      <c r="H1343" s="5">
        <v>102.253</v>
      </c>
      <c r="I1343" s="8">
        <v>82</v>
      </c>
      <c r="J1343" s="8">
        <v>109</v>
      </c>
      <c r="K1343" s="8">
        <v>284</v>
      </c>
      <c r="L1343" s="8">
        <v>95</v>
      </c>
      <c r="M1343" t="s">
        <v>33</v>
      </c>
      <c r="N1343" s="16" t="s">
        <v>22</v>
      </c>
      <c r="O1343" s="16" t="s">
        <v>23</v>
      </c>
      <c r="P1343" s="16" t="s">
        <v>37</v>
      </c>
      <c r="Q1343" s="10" t="s">
        <v>1139</v>
      </c>
      <c r="R1343" s="3" t="str">
        <f t="shared" si="40"/>
        <v>93</v>
      </c>
      <c r="S1343" s="3" t="str">
        <f t="shared" si="41"/>
        <v>79</v>
      </c>
      <c r="T1343" s="16" t="s">
        <v>33</v>
      </c>
      <c r="U1343" s="3">
        <v>17.625</v>
      </c>
      <c r="V1343" s="16" t="str">
        <f>PROPER(Table1[[#This Row],[CVD Risk Level]])</f>
        <v>Low</v>
      </c>
    </row>
    <row r="1344" spans="1:22" x14ac:dyDescent="0.3">
      <c r="A1344" t="s">
        <v>20</v>
      </c>
      <c r="B1344" s="8">
        <v>41</v>
      </c>
      <c r="C1344" s="8">
        <v>110.67100000000001</v>
      </c>
      <c r="D1344" s="5">
        <v>1.853</v>
      </c>
      <c r="E1344" s="5">
        <v>33.140999999999998</v>
      </c>
      <c r="F1344" s="16" t="s">
        <v>1302</v>
      </c>
      <c r="G1344" s="11">
        <v>0.61199999999999999</v>
      </c>
      <c r="H1344" s="5">
        <v>113.437</v>
      </c>
      <c r="I1344" s="8">
        <v>62</v>
      </c>
      <c r="J1344" s="8">
        <v>44</v>
      </c>
      <c r="K1344" s="8">
        <v>136</v>
      </c>
      <c r="L1344" s="8">
        <v>181</v>
      </c>
      <c r="M1344" t="s">
        <v>1307</v>
      </c>
      <c r="N1344" s="16" t="s">
        <v>22</v>
      </c>
      <c r="O1344" s="16" t="s">
        <v>22</v>
      </c>
      <c r="P1344" s="16" t="s">
        <v>24</v>
      </c>
      <c r="Q1344" s="10" t="s">
        <v>86</v>
      </c>
      <c r="R1344" s="3" t="str">
        <f t="shared" si="40"/>
        <v>102</v>
      </c>
      <c r="S1344" s="3" t="str">
        <f t="shared" si="41"/>
        <v>71</v>
      </c>
      <c r="T1344" s="16" t="s">
        <v>33</v>
      </c>
      <c r="U1344" s="3">
        <v>14.448</v>
      </c>
      <c r="V1344" s="16" t="str">
        <f>PROPER(Table1[[#This Row],[CVD Risk Level]])</f>
        <v>Intermediary</v>
      </c>
    </row>
    <row r="1345" spans="1:22" x14ac:dyDescent="0.3">
      <c r="A1345" t="s">
        <v>20</v>
      </c>
      <c r="B1345" s="8">
        <v>63</v>
      </c>
      <c r="C1345" s="8">
        <v>102.85899999999999</v>
      </c>
      <c r="D1345" s="5">
        <v>1.593</v>
      </c>
      <c r="E1345" s="5">
        <v>38.125</v>
      </c>
      <c r="F1345" s="16" t="s">
        <v>1302</v>
      </c>
      <c r="G1345" s="11">
        <v>0.45900000000000002</v>
      </c>
      <c r="H1345" s="5">
        <v>73.057000000000002</v>
      </c>
      <c r="I1345" s="8">
        <v>33</v>
      </c>
      <c r="J1345" s="8">
        <v>63</v>
      </c>
      <c r="K1345" s="8">
        <v>126</v>
      </c>
      <c r="L1345" s="8">
        <v>102</v>
      </c>
      <c r="M1345" t="s">
        <v>1306</v>
      </c>
      <c r="N1345" s="16" t="s">
        <v>23</v>
      </c>
      <c r="O1345" s="16" t="s">
        <v>22</v>
      </c>
      <c r="P1345" s="16" t="s">
        <v>28</v>
      </c>
      <c r="Q1345" s="10" t="s">
        <v>1146</v>
      </c>
      <c r="R1345" s="3" t="str">
        <f t="shared" si="40"/>
        <v>125</v>
      </c>
      <c r="S1345" s="3" t="str">
        <f t="shared" si="41"/>
        <v>94</v>
      </c>
      <c r="T1345" s="16" t="s">
        <v>38</v>
      </c>
      <c r="U1345" s="3">
        <v>16.395</v>
      </c>
      <c r="V1345" s="16" t="str">
        <f>PROPER(Table1[[#This Row],[CVD Risk Level]])</f>
        <v>High</v>
      </c>
    </row>
    <row r="1346" spans="1:22" x14ac:dyDescent="0.3">
      <c r="A1346" t="s">
        <v>31</v>
      </c>
      <c r="B1346" s="8">
        <v>47.025499655410059</v>
      </c>
      <c r="C1346" s="8">
        <v>61.262</v>
      </c>
      <c r="D1346" s="5">
        <v>1.712</v>
      </c>
      <c r="E1346" s="5">
        <v>23.332999999999998</v>
      </c>
      <c r="F1346" s="16" t="s">
        <v>33</v>
      </c>
      <c r="G1346" s="11">
        <v>0.57599999999999996</v>
      </c>
      <c r="H1346" s="5">
        <v>98.600999999999999</v>
      </c>
      <c r="I1346" s="8">
        <v>83</v>
      </c>
      <c r="J1346" s="8">
        <v>109</v>
      </c>
      <c r="K1346" s="8">
        <v>103</v>
      </c>
      <c r="L1346" s="8">
        <v>127</v>
      </c>
      <c r="M1346" t="s">
        <v>1307</v>
      </c>
      <c r="N1346" s="16" t="s">
        <v>22</v>
      </c>
      <c r="O1346" s="16" t="s">
        <v>23</v>
      </c>
      <c r="P1346" s="16" t="s">
        <v>37</v>
      </c>
      <c r="Q1346" s="10" t="s">
        <v>1147</v>
      </c>
      <c r="R1346" s="3" t="str">
        <f t="shared" si="40"/>
        <v>129</v>
      </c>
      <c r="S1346" s="3" t="str">
        <f t="shared" si="41"/>
        <v>85</v>
      </c>
      <c r="T1346" s="16" t="s">
        <v>29</v>
      </c>
      <c r="U1346" s="3">
        <v>15.177</v>
      </c>
      <c r="V1346" s="16" t="str">
        <f>PROPER(Table1[[#This Row],[CVD Risk Level]])</f>
        <v>High</v>
      </c>
    </row>
    <row r="1347" spans="1:22" x14ac:dyDescent="0.3">
      <c r="A1347" t="s">
        <v>31</v>
      </c>
      <c r="B1347" s="8">
        <v>66</v>
      </c>
      <c r="C1347" s="8">
        <v>97.128</v>
      </c>
      <c r="D1347" s="5">
        <v>1.6619999999999999</v>
      </c>
      <c r="E1347" s="5">
        <v>20.533000000000001</v>
      </c>
      <c r="F1347" s="16" t="s">
        <v>33</v>
      </c>
      <c r="G1347" s="11">
        <v>0.60099999999999998</v>
      </c>
      <c r="H1347" s="5">
        <v>99.930999999999997</v>
      </c>
      <c r="I1347" s="8">
        <v>60</v>
      </c>
      <c r="J1347" s="8">
        <v>170</v>
      </c>
      <c r="K1347" s="8">
        <v>260</v>
      </c>
      <c r="L1347" s="8">
        <v>105</v>
      </c>
      <c r="M1347" t="s">
        <v>1306</v>
      </c>
      <c r="N1347" s="16" t="s">
        <v>22</v>
      </c>
      <c r="O1347" s="16" t="s">
        <v>22</v>
      </c>
      <c r="P1347" s="16" t="s">
        <v>24</v>
      </c>
      <c r="Q1347" s="10" t="s">
        <v>1148</v>
      </c>
      <c r="R1347" s="3" t="str">
        <f t="shared" ref="R1347:R1410" si="42">LEFT(Q1347,FIND("/",Q1347)-1)</f>
        <v>143</v>
      </c>
      <c r="S1347" s="3" t="str">
        <f t="shared" ref="S1347:S1410" si="43">RIGHT(Q1347,LEN(Q1347)-FIND("/",Q1347))</f>
        <v>91</v>
      </c>
      <c r="T1347" s="16" t="s">
        <v>38</v>
      </c>
      <c r="U1347" s="3">
        <v>16.457000000000001</v>
      </c>
      <c r="V1347" s="16" t="str">
        <f>PROPER(Table1[[#This Row],[CVD Risk Level]])</f>
        <v>Low</v>
      </c>
    </row>
    <row r="1348" spans="1:22" x14ac:dyDescent="0.3">
      <c r="A1348" t="s">
        <v>20</v>
      </c>
      <c r="B1348" s="8">
        <v>26</v>
      </c>
      <c r="C1348" s="8">
        <v>75.631</v>
      </c>
      <c r="D1348" s="5">
        <v>1.7749999999999999</v>
      </c>
      <c r="E1348" s="5">
        <v>31.672000000000001</v>
      </c>
      <c r="F1348" s="16" t="s">
        <v>1302</v>
      </c>
      <c r="G1348" s="11">
        <v>0.63900000000000001</v>
      </c>
      <c r="H1348" s="5">
        <v>113.36199999999999</v>
      </c>
      <c r="I1348" s="8">
        <v>89</v>
      </c>
      <c r="J1348" s="8">
        <v>159</v>
      </c>
      <c r="K1348" s="8">
        <v>278</v>
      </c>
      <c r="L1348" s="8">
        <v>191</v>
      </c>
      <c r="M1348" t="s">
        <v>1307</v>
      </c>
      <c r="N1348" s="16" t="s">
        <v>23</v>
      </c>
      <c r="O1348" s="16" t="s">
        <v>23</v>
      </c>
      <c r="P1348" s="16" t="s">
        <v>28</v>
      </c>
      <c r="Q1348" s="10" t="s">
        <v>1149</v>
      </c>
      <c r="R1348" s="3" t="str">
        <f t="shared" si="42"/>
        <v>104</v>
      </c>
      <c r="S1348" s="3" t="str">
        <f t="shared" si="43"/>
        <v>113</v>
      </c>
      <c r="T1348" s="16" t="s">
        <v>38</v>
      </c>
      <c r="U1348" s="3">
        <v>19.094000000000001</v>
      </c>
      <c r="V1348" s="16" t="str">
        <f>PROPER(Table1[[#This Row],[CVD Risk Level]])</f>
        <v>Low</v>
      </c>
    </row>
    <row r="1349" spans="1:22" x14ac:dyDescent="0.3">
      <c r="A1349" t="s">
        <v>20</v>
      </c>
      <c r="B1349" s="8">
        <v>58</v>
      </c>
      <c r="C1349" s="8">
        <v>76.506</v>
      </c>
      <c r="D1349" s="5">
        <v>1.5129999999999999</v>
      </c>
      <c r="E1349" s="5">
        <v>24.196999999999999</v>
      </c>
      <c r="F1349" s="16" t="s">
        <v>33</v>
      </c>
      <c r="G1349" s="11">
        <v>0.78400000000000003</v>
      </c>
      <c r="H1349" s="5">
        <v>118.583</v>
      </c>
      <c r="I1349" s="8">
        <v>63</v>
      </c>
      <c r="J1349" s="8">
        <v>41</v>
      </c>
      <c r="K1349" s="8">
        <v>208</v>
      </c>
      <c r="L1349" s="8">
        <v>120</v>
      </c>
      <c r="M1349" t="s">
        <v>1306</v>
      </c>
      <c r="N1349" s="16" t="s">
        <v>23</v>
      </c>
      <c r="O1349" s="16" t="s">
        <v>22</v>
      </c>
      <c r="P1349" s="16" t="s">
        <v>37</v>
      </c>
      <c r="Q1349" s="10" t="s">
        <v>1150</v>
      </c>
      <c r="R1349" s="3" t="str">
        <f t="shared" si="42"/>
        <v>115</v>
      </c>
      <c r="S1349" s="3" t="str">
        <f t="shared" si="43"/>
        <v>105</v>
      </c>
      <c r="T1349" s="16" t="s">
        <v>38</v>
      </c>
      <c r="U1349" s="3">
        <v>13.269</v>
      </c>
      <c r="V1349" s="16" t="str">
        <f>PROPER(Table1[[#This Row],[CVD Risk Level]])</f>
        <v>Intermediary</v>
      </c>
    </row>
    <row r="1350" spans="1:22" x14ac:dyDescent="0.3">
      <c r="A1350" t="s">
        <v>20</v>
      </c>
      <c r="B1350" s="8">
        <v>57</v>
      </c>
      <c r="C1350" s="8">
        <v>92.923000000000002</v>
      </c>
      <c r="D1350" s="5">
        <v>1.8420000000000001</v>
      </c>
      <c r="E1350" s="5">
        <v>33.116</v>
      </c>
      <c r="F1350" s="16" t="s">
        <v>1302</v>
      </c>
      <c r="G1350" s="11">
        <v>0.57699999999999996</v>
      </c>
      <c r="H1350" s="5">
        <v>106.315</v>
      </c>
      <c r="I1350" s="8">
        <v>71</v>
      </c>
      <c r="J1350" s="8">
        <v>57</v>
      </c>
      <c r="K1350" s="8">
        <v>158</v>
      </c>
      <c r="L1350" s="8">
        <v>76</v>
      </c>
      <c r="M1350" t="s">
        <v>33</v>
      </c>
      <c r="N1350" s="16" t="s">
        <v>22</v>
      </c>
      <c r="O1350" s="16" t="s">
        <v>23</v>
      </c>
      <c r="P1350" s="16" t="s">
        <v>28</v>
      </c>
      <c r="Q1350" s="10" t="s">
        <v>1126</v>
      </c>
      <c r="R1350" s="3" t="str">
        <f t="shared" si="42"/>
        <v>101</v>
      </c>
      <c r="S1350" s="3" t="str">
        <f t="shared" si="43"/>
        <v>91</v>
      </c>
      <c r="T1350" s="16" t="s">
        <v>38</v>
      </c>
      <c r="U1350" s="3">
        <v>16.832999999999998</v>
      </c>
      <c r="V1350" s="16" t="str">
        <f>PROPER(Table1[[#This Row],[CVD Risk Level]])</f>
        <v>Intermediary</v>
      </c>
    </row>
    <row r="1351" spans="1:22" x14ac:dyDescent="0.3">
      <c r="A1351" t="s">
        <v>20</v>
      </c>
      <c r="B1351" s="8">
        <v>72</v>
      </c>
      <c r="C1351" s="8">
        <v>97.58</v>
      </c>
      <c r="D1351" s="5">
        <v>1.5049999999999999</v>
      </c>
      <c r="E1351" s="5">
        <v>24.2</v>
      </c>
      <c r="F1351" s="16" t="s">
        <v>33</v>
      </c>
      <c r="G1351" s="11">
        <v>0.63600000000000001</v>
      </c>
      <c r="H1351" s="5">
        <v>95.757999999999996</v>
      </c>
      <c r="I1351" s="8">
        <v>58</v>
      </c>
      <c r="J1351" s="8">
        <v>157</v>
      </c>
      <c r="K1351" s="8">
        <v>245</v>
      </c>
      <c r="L1351" s="8">
        <v>194</v>
      </c>
      <c r="M1351" t="s">
        <v>1307</v>
      </c>
      <c r="N1351" s="16" t="s">
        <v>23</v>
      </c>
      <c r="O1351" s="16" t="s">
        <v>22</v>
      </c>
      <c r="P1351" s="16" t="s">
        <v>28</v>
      </c>
      <c r="Q1351" s="10" t="s">
        <v>981</v>
      </c>
      <c r="R1351" s="3" t="str">
        <f t="shared" si="42"/>
        <v>162</v>
      </c>
      <c r="S1351" s="3" t="str">
        <f t="shared" si="43"/>
        <v>106</v>
      </c>
      <c r="T1351" s="16" t="s">
        <v>38</v>
      </c>
      <c r="U1351" s="3">
        <v>17.84</v>
      </c>
      <c r="V1351" s="16" t="str">
        <f>PROPER(Table1[[#This Row],[CVD Risk Level]])</f>
        <v>Intermediary</v>
      </c>
    </row>
    <row r="1352" spans="1:22" x14ac:dyDescent="0.3">
      <c r="A1352" t="s">
        <v>31</v>
      </c>
      <c r="B1352" s="8">
        <v>71</v>
      </c>
      <c r="C1352" s="8">
        <v>73.605999999999995</v>
      </c>
      <c r="D1352" s="5">
        <v>1.72</v>
      </c>
      <c r="E1352" s="5">
        <v>31.202999999999999</v>
      </c>
      <c r="F1352" s="16" t="s">
        <v>1302</v>
      </c>
      <c r="G1352" s="11">
        <v>0.53</v>
      </c>
      <c r="H1352" s="5">
        <v>91.233999999999995</v>
      </c>
      <c r="I1352" s="8">
        <v>32</v>
      </c>
      <c r="J1352" s="8">
        <v>173</v>
      </c>
      <c r="K1352" s="8">
        <v>235</v>
      </c>
      <c r="L1352" s="8">
        <v>174</v>
      </c>
      <c r="M1352" t="s">
        <v>1307</v>
      </c>
      <c r="N1352" s="16" t="s">
        <v>22</v>
      </c>
      <c r="O1352" s="16" t="s">
        <v>23</v>
      </c>
      <c r="P1352" s="16" t="s">
        <v>37</v>
      </c>
      <c r="Q1352" s="10" t="s">
        <v>1151</v>
      </c>
      <c r="R1352" s="3" t="str">
        <f t="shared" si="42"/>
        <v>105</v>
      </c>
      <c r="S1352" s="3" t="str">
        <f t="shared" si="43"/>
        <v>107</v>
      </c>
      <c r="T1352" s="16" t="s">
        <v>38</v>
      </c>
      <c r="U1352" s="3">
        <v>18.190999999999999</v>
      </c>
      <c r="V1352" s="16" t="str">
        <f>PROPER(Table1[[#This Row],[CVD Risk Level]])</f>
        <v>High</v>
      </c>
    </row>
    <row r="1353" spans="1:22" x14ac:dyDescent="0.3">
      <c r="A1353" t="s">
        <v>31</v>
      </c>
      <c r="B1353" s="8">
        <v>68</v>
      </c>
      <c r="C1353" s="8">
        <v>70.148039273999998</v>
      </c>
      <c r="D1353" s="5">
        <v>1.851</v>
      </c>
      <c r="E1353" s="5">
        <v>20.474</v>
      </c>
      <c r="F1353" s="16" t="s">
        <v>33</v>
      </c>
      <c r="G1353" s="11">
        <v>0.52600000000000002</v>
      </c>
      <c r="H1353" s="5">
        <v>97.393000000000001</v>
      </c>
      <c r="I1353" s="8">
        <v>47</v>
      </c>
      <c r="J1353" s="8">
        <v>109</v>
      </c>
      <c r="K1353" s="8">
        <v>279</v>
      </c>
      <c r="L1353" s="8">
        <v>88</v>
      </c>
      <c r="M1353" t="s">
        <v>33</v>
      </c>
      <c r="N1353" s="16" t="s">
        <v>23</v>
      </c>
      <c r="O1353" s="16" t="s">
        <v>22</v>
      </c>
      <c r="P1353" s="16" t="s">
        <v>28</v>
      </c>
      <c r="Q1353" s="10" t="s">
        <v>1152</v>
      </c>
      <c r="R1353" s="3" t="str">
        <f t="shared" si="42"/>
        <v>160</v>
      </c>
      <c r="S1353" s="3" t="str">
        <f t="shared" si="43"/>
        <v>99</v>
      </c>
      <c r="T1353" s="16" t="s">
        <v>38</v>
      </c>
      <c r="U1353" s="3">
        <v>17.675000000000001</v>
      </c>
      <c r="V1353" s="16" t="str">
        <f>PROPER(Table1[[#This Row],[CVD Risk Level]])</f>
        <v>Intermediary</v>
      </c>
    </row>
    <row r="1354" spans="1:22" x14ac:dyDescent="0.3">
      <c r="A1354" t="s">
        <v>31</v>
      </c>
      <c r="B1354" s="8">
        <v>47.025499655410059</v>
      </c>
      <c r="C1354" s="8">
        <v>69.944999999999993</v>
      </c>
      <c r="D1354" s="5">
        <v>1.6479999999999999</v>
      </c>
      <c r="E1354" s="5">
        <v>38.807000000000002</v>
      </c>
      <c r="F1354" s="16" t="s">
        <v>1302</v>
      </c>
      <c r="G1354" s="11">
        <v>0.48399999999999999</v>
      </c>
      <c r="H1354" s="5">
        <v>79.69</v>
      </c>
      <c r="I1354" s="8">
        <v>42</v>
      </c>
      <c r="J1354" s="8">
        <v>51</v>
      </c>
      <c r="K1354" s="8">
        <v>123</v>
      </c>
      <c r="L1354" s="8">
        <v>92</v>
      </c>
      <c r="M1354" t="s">
        <v>33</v>
      </c>
      <c r="N1354" s="16" t="s">
        <v>23</v>
      </c>
      <c r="O1354" s="16" t="s">
        <v>23</v>
      </c>
      <c r="P1354" s="16" t="s">
        <v>24</v>
      </c>
      <c r="Q1354" s="10" t="s">
        <v>388</v>
      </c>
      <c r="R1354" s="3" t="str">
        <f t="shared" si="42"/>
        <v>139</v>
      </c>
      <c r="S1354" s="3" t="str">
        <f t="shared" si="43"/>
        <v>79</v>
      </c>
      <c r="T1354" s="16" t="s">
        <v>29</v>
      </c>
      <c r="U1354" s="3">
        <v>19.170999999999999</v>
      </c>
      <c r="V1354" s="16" t="str">
        <f>PROPER(Table1[[#This Row],[CVD Risk Level]])</f>
        <v>High</v>
      </c>
    </row>
    <row r="1355" spans="1:22" x14ac:dyDescent="0.3">
      <c r="A1355" t="s">
        <v>20</v>
      </c>
      <c r="B1355" s="8">
        <v>60</v>
      </c>
      <c r="C1355" s="8">
        <v>55.317999999999998</v>
      </c>
      <c r="D1355" s="5">
        <v>1.99</v>
      </c>
      <c r="E1355" s="5">
        <v>27.309000000000001</v>
      </c>
      <c r="F1355" s="16" t="s">
        <v>1303</v>
      </c>
      <c r="G1355" s="11">
        <v>0.38200000000000001</v>
      </c>
      <c r="H1355" s="5">
        <v>75.926000000000002</v>
      </c>
      <c r="I1355" s="8">
        <v>63</v>
      </c>
      <c r="J1355" s="8">
        <v>150</v>
      </c>
      <c r="K1355" s="8">
        <v>243</v>
      </c>
      <c r="L1355" s="8">
        <v>143</v>
      </c>
      <c r="M1355" t="s">
        <v>1307</v>
      </c>
      <c r="N1355" s="16" t="s">
        <v>22</v>
      </c>
      <c r="O1355" s="16" t="s">
        <v>23</v>
      </c>
      <c r="P1355" s="16" t="s">
        <v>24</v>
      </c>
      <c r="Q1355" s="10" t="s">
        <v>1153</v>
      </c>
      <c r="R1355" s="3" t="str">
        <f t="shared" si="42"/>
        <v>170</v>
      </c>
      <c r="S1355" s="3" t="str">
        <f t="shared" si="43"/>
        <v>100</v>
      </c>
      <c r="T1355" s="16" t="s">
        <v>38</v>
      </c>
      <c r="U1355" s="3">
        <v>20.821999999999999</v>
      </c>
      <c r="V1355" s="16" t="str">
        <f>PROPER(Table1[[#This Row],[CVD Risk Level]])</f>
        <v>High</v>
      </c>
    </row>
    <row r="1356" spans="1:22" x14ac:dyDescent="0.3">
      <c r="A1356" t="s">
        <v>20</v>
      </c>
      <c r="B1356" s="8">
        <v>26</v>
      </c>
      <c r="C1356" s="8">
        <v>100.47499999999999</v>
      </c>
      <c r="D1356" s="5">
        <v>1.881</v>
      </c>
      <c r="E1356" s="5">
        <v>23.193999999999999</v>
      </c>
      <c r="F1356" s="16" t="s">
        <v>33</v>
      </c>
      <c r="G1356" s="11">
        <v>0.60099999999999998</v>
      </c>
      <c r="H1356" s="5">
        <v>113.065</v>
      </c>
      <c r="I1356" s="8">
        <v>68</v>
      </c>
      <c r="J1356" s="8">
        <v>141</v>
      </c>
      <c r="K1356" s="8">
        <v>418</v>
      </c>
      <c r="L1356" s="8">
        <v>92</v>
      </c>
      <c r="M1356" t="s">
        <v>33</v>
      </c>
      <c r="N1356" s="16" t="s">
        <v>22</v>
      </c>
      <c r="O1356" s="16" t="s">
        <v>23</v>
      </c>
      <c r="P1356" s="16" t="s">
        <v>28</v>
      </c>
      <c r="Q1356" s="10" t="s">
        <v>1154</v>
      </c>
      <c r="R1356" s="3" t="str">
        <f t="shared" si="42"/>
        <v>112</v>
      </c>
      <c r="S1356" s="3" t="str">
        <f t="shared" si="43"/>
        <v>92</v>
      </c>
      <c r="T1356" s="16" t="s">
        <v>38</v>
      </c>
      <c r="U1356" s="3">
        <v>17.018999999999998</v>
      </c>
      <c r="V1356" s="16" t="str">
        <f>PROPER(Table1[[#This Row],[CVD Risk Level]])</f>
        <v>Low</v>
      </c>
    </row>
    <row r="1357" spans="1:22" x14ac:dyDescent="0.3">
      <c r="A1357" t="s">
        <v>31</v>
      </c>
      <c r="B1357" s="8">
        <v>42</v>
      </c>
      <c r="C1357" s="8">
        <v>87.025000000000006</v>
      </c>
      <c r="D1357" s="5">
        <v>1.9550000000000001</v>
      </c>
      <c r="E1357" s="5">
        <v>27.308</v>
      </c>
      <c r="F1357" s="16" t="s">
        <v>1303</v>
      </c>
      <c r="G1357" s="11">
        <v>0.441</v>
      </c>
      <c r="H1357" s="5">
        <v>86.331000000000003</v>
      </c>
      <c r="I1357" s="8">
        <v>61</v>
      </c>
      <c r="J1357" s="8">
        <v>160</v>
      </c>
      <c r="K1357" s="8">
        <v>251</v>
      </c>
      <c r="L1357" s="8">
        <v>177</v>
      </c>
      <c r="M1357" t="s">
        <v>1307</v>
      </c>
      <c r="N1357" s="16" t="s">
        <v>22</v>
      </c>
      <c r="O1357" s="16" t="s">
        <v>22</v>
      </c>
      <c r="P1357" s="16" t="s">
        <v>28</v>
      </c>
      <c r="Q1357" s="10" t="s">
        <v>779</v>
      </c>
      <c r="R1357" s="3" t="str">
        <f t="shared" si="42"/>
        <v>104</v>
      </c>
      <c r="S1357" s="3" t="str">
        <f t="shared" si="43"/>
        <v>95</v>
      </c>
      <c r="T1357" s="16" t="s">
        <v>38</v>
      </c>
      <c r="U1357" s="3">
        <v>15.682</v>
      </c>
      <c r="V1357" s="16" t="str">
        <f>PROPER(Table1[[#This Row],[CVD Risk Level]])</f>
        <v>Intermediary</v>
      </c>
    </row>
    <row r="1358" spans="1:22" x14ac:dyDescent="0.3">
      <c r="A1358" t="s">
        <v>31</v>
      </c>
      <c r="B1358" s="8">
        <v>30</v>
      </c>
      <c r="C1358" s="8">
        <v>89.924000000000007</v>
      </c>
      <c r="D1358" s="5">
        <v>1.5029999999999999</v>
      </c>
      <c r="E1358" s="5">
        <v>35.781999999999996</v>
      </c>
      <c r="F1358" s="16" t="s">
        <v>1302</v>
      </c>
      <c r="G1358" s="11">
        <v>0.51800000000000002</v>
      </c>
      <c r="H1358" s="5">
        <v>77.900000000000006</v>
      </c>
      <c r="I1358" s="8">
        <v>64</v>
      </c>
      <c r="J1358" s="8">
        <v>99</v>
      </c>
      <c r="K1358" s="8">
        <v>193</v>
      </c>
      <c r="L1358" s="8">
        <v>129</v>
      </c>
      <c r="M1358" t="s">
        <v>1307</v>
      </c>
      <c r="N1358" s="16" t="s">
        <v>23</v>
      </c>
      <c r="O1358" s="16" t="s">
        <v>22</v>
      </c>
      <c r="P1358" s="16" t="s">
        <v>28</v>
      </c>
      <c r="Q1358" s="10" t="s">
        <v>464</v>
      </c>
      <c r="R1358" s="3" t="str">
        <f t="shared" si="42"/>
        <v>92</v>
      </c>
      <c r="S1358" s="3" t="str">
        <f t="shared" si="43"/>
        <v>66</v>
      </c>
      <c r="T1358" s="16" t="s">
        <v>33</v>
      </c>
      <c r="U1358" s="3">
        <v>15.616</v>
      </c>
      <c r="V1358" s="16" t="str">
        <f>PROPER(Table1[[#This Row],[CVD Risk Level]])</f>
        <v>Low</v>
      </c>
    </row>
    <row r="1359" spans="1:22" x14ac:dyDescent="0.3">
      <c r="A1359" t="s">
        <v>31</v>
      </c>
      <c r="B1359" s="8">
        <v>54</v>
      </c>
      <c r="C1359" s="8">
        <v>55.92</v>
      </c>
      <c r="D1359" s="5">
        <v>1.7330000000000001</v>
      </c>
      <c r="E1359" s="5">
        <v>19.805</v>
      </c>
      <c r="F1359" s="16" t="s">
        <v>33</v>
      </c>
      <c r="G1359" s="11">
        <v>0.61299999999999999</v>
      </c>
      <c r="H1359" s="5">
        <v>106.169</v>
      </c>
      <c r="I1359" s="8">
        <v>44</v>
      </c>
      <c r="J1359" s="8">
        <v>96</v>
      </c>
      <c r="K1359" s="8">
        <v>170</v>
      </c>
      <c r="L1359" s="8">
        <v>190</v>
      </c>
      <c r="M1359" t="s">
        <v>1307</v>
      </c>
      <c r="N1359" s="16" t="s">
        <v>22</v>
      </c>
      <c r="O1359" s="16" t="s">
        <v>22</v>
      </c>
      <c r="P1359" s="16" t="s">
        <v>37</v>
      </c>
      <c r="Q1359" s="10" t="s">
        <v>1155</v>
      </c>
      <c r="R1359" s="3" t="str">
        <f t="shared" si="42"/>
        <v>159</v>
      </c>
      <c r="S1359" s="3" t="str">
        <f t="shared" si="43"/>
        <v>75</v>
      </c>
      <c r="T1359" s="16" t="s">
        <v>38</v>
      </c>
      <c r="U1359" s="3">
        <v>15.311</v>
      </c>
      <c r="V1359" s="16" t="str">
        <f>PROPER(Table1[[#This Row],[CVD Risk Level]])</f>
        <v>High</v>
      </c>
    </row>
    <row r="1360" spans="1:22" x14ac:dyDescent="0.3">
      <c r="A1360" t="s">
        <v>31</v>
      </c>
      <c r="B1360" s="8">
        <v>63</v>
      </c>
      <c r="C1360" s="8">
        <v>56.610999999999997</v>
      </c>
      <c r="D1360" s="5">
        <v>1.6969094041642285</v>
      </c>
      <c r="E1360" s="5">
        <v>19.66</v>
      </c>
      <c r="F1360" s="16" t="s">
        <v>33</v>
      </c>
      <c r="G1360" s="11">
        <v>0.7</v>
      </c>
      <c r="H1360" s="5">
        <v>113.152</v>
      </c>
      <c r="I1360" s="8">
        <v>46</v>
      </c>
      <c r="J1360" s="8">
        <v>126</v>
      </c>
      <c r="K1360" s="8">
        <v>202</v>
      </c>
      <c r="L1360" s="8">
        <v>175</v>
      </c>
      <c r="M1360" t="s">
        <v>1307</v>
      </c>
      <c r="N1360" s="16" t="s">
        <v>22</v>
      </c>
      <c r="O1360" s="16" t="s">
        <v>22</v>
      </c>
      <c r="P1360" s="16" t="s">
        <v>28</v>
      </c>
      <c r="Q1360" s="10" t="s">
        <v>1156</v>
      </c>
      <c r="R1360" s="3" t="str">
        <f t="shared" si="42"/>
        <v>115</v>
      </c>
      <c r="S1360" s="3" t="str">
        <f t="shared" si="43"/>
        <v>70</v>
      </c>
      <c r="T1360" s="16" t="s">
        <v>33</v>
      </c>
      <c r="U1360" s="3">
        <v>13.722</v>
      </c>
      <c r="V1360" s="16" t="str">
        <f>PROPER(Table1[[#This Row],[CVD Risk Level]])</f>
        <v>Low</v>
      </c>
    </row>
    <row r="1361" spans="1:22" x14ac:dyDescent="0.3">
      <c r="A1361" t="s">
        <v>31</v>
      </c>
      <c r="B1361" s="8">
        <v>60</v>
      </c>
      <c r="C1361" s="8">
        <v>81.135999999999996</v>
      </c>
      <c r="D1361" s="5">
        <v>1.67</v>
      </c>
      <c r="E1361" s="5">
        <v>34.347000000000001</v>
      </c>
      <c r="F1361" s="16" t="s">
        <v>1302</v>
      </c>
      <c r="G1361" s="11">
        <v>0.628</v>
      </c>
      <c r="H1361" s="5">
        <v>104.875</v>
      </c>
      <c r="I1361" s="8">
        <v>49</v>
      </c>
      <c r="J1361" s="8">
        <v>167</v>
      </c>
      <c r="K1361" s="8">
        <v>246</v>
      </c>
      <c r="L1361" s="8">
        <v>144</v>
      </c>
      <c r="M1361" t="s">
        <v>1307</v>
      </c>
      <c r="N1361" s="16" t="s">
        <v>23</v>
      </c>
      <c r="O1361" s="16" t="s">
        <v>23</v>
      </c>
      <c r="P1361" s="16" t="s">
        <v>24</v>
      </c>
      <c r="Q1361" s="10" t="s">
        <v>1157</v>
      </c>
      <c r="R1361" s="3" t="str">
        <f t="shared" si="42"/>
        <v>166</v>
      </c>
      <c r="S1361" s="3" t="str">
        <f t="shared" si="43"/>
        <v>80</v>
      </c>
      <c r="T1361" s="16" t="s">
        <v>29</v>
      </c>
      <c r="U1361" s="3">
        <v>22.088999999999999</v>
      </c>
      <c r="V1361" s="16" t="str">
        <f>PROPER(Table1[[#This Row],[CVD Risk Level]])</f>
        <v>High</v>
      </c>
    </row>
    <row r="1362" spans="1:22" x14ac:dyDescent="0.3">
      <c r="A1362" t="s">
        <v>20</v>
      </c>
      <c r="B1362" s="8">
        <v>46</v>
      </c>
      <c r="C1362" s="8">
        <v>63.779000000000003</v>
      </c>
      <c r="D1362" s="5">
        <v>1.502</v>
      </c>
      <c r="E1362" s="5">
        <v>34.183999999999997</v>
      </c>
      <c r="F1362" s="16" t="s">
        <v>1302</v>
      </c>
      <c r="G1362" s="11">
        <v>0.75800000000000001</v>
      </c>
      <c r="H1362" s="5">
        <v>113.836</v>
      </c>
      <c r="I1362" s="8">
        <v>33</v>
      </c>
      <c r="J1362" s="8">
        <v>109</v>
      </c>
      <c r="K1362" s="8">
        <v>241</v>
      </c>
      <c r="L1362" s="8">
        <v>71</v>
      </c>
      <c r="M1362" t="s">
        <v>33</v>
      </c>
      <c r="N1362" s="16" t="s">
        <v>23</v>
      </c>
      <c r="O1362" s="16" t="s">
        <v>23</v>
      </c>
      <c r="P1362" s="16" t="s">
        <v>37</v>
      </c>
      <c r="Q1362" s="10" t="s">
        <v>1158</v>
      </c>
      <c r="R1362" s="3" t="str">
        <f t="shared" si="42"/>
        <v>173</v>
      </c>
      <c r="S1362" s="3" t="str">
        <f t="shared" si="43"/>
        <v>73</v>
      </c>
      <c r="T1362" s="16" t="s">
        <v>38</v>
      </c>
      <c r="U1362" s="3">
        <v>22.306999999999999</v>
      </c>
      <c r="V1362" s="16" t="str">
        <f>PROPER(Table1[[#This Row],[CVD Risk Level]])</f>
        <v>High</v>
      </c>
    </row>
    <row r="1363" spans="1:22" x14ac:dyDescent="0.3">
      <c r="A1363" t="s">
        <v>31</v>
      </c>
      <c r="B1363" s="8">
        <v>33</v>
      </c>
      <c r="C1363" s="8">
        <v>78.203999999999994</v>
      </c>
      <c r="D1363" s="5">
        <v>1.5940000000000001</v>
      </c>
      <c r="E1363" s="5">
        <v>37.316000000000003</v>
      </c>
      <c r="F1363" s="16" t="s">
        <v>1302</v>
      </c>
      <c r="G1363" s="11">
        <v>0.53500000000000003</v>
      </c>
      <c r="H1363" s="5">
        <v>85.284000000000006</v>
      </c>
      <c r="I1363" s="8">
        <v>35</v>
      </c>
      <c r="J1363" s="8">
        <v>208</v>
      </c>
      <c r="K1363" s="8">
        <v>273</v>
      </c>
      <c r="L1363" s="8">
        <v>114</v>
      </c>
      <c r="M1363" t="s">
        <v>1306</v>
      </c>
      <c r="N1363" s="16" t="s">
        <v>23</v>
      </c>
      <c r="O1363" s="16" t="s">
        <v>22</v>
      </c>
      <c r="P1363" s="16" t="s">
        <v>37</v>
      </c>
      <c r="Q1363" s="10" t="s">
        <v>1159</v>
      </c>
      <c r="R1363" s="3" t="str">
        <f t="shared" si="42"/>
        <v>101</v>
      </c>
      <c r="S1363" s="3" t="str">
        <f t="shared" si="43"/>
        <v>83</v>
      </c>
      <c r="T1363" s="16" t="s">
        <v>29</v>
      </c>
      <c r="U1363" s="3">
        <v>17.972999999999999</v>
      </c>
      <c r="V1363" s="16" t="str">
        <f>PROPER(Table1[[#This Row],[CVD Risk Level]])</f>
        <v>Low</v>
      </c>
    </row>
    <row r="1364" spans="1:22" x14ac:dyDescent="0.3">
      <c r="A1364" t="s">
        <v>20</v>
      </c>
      <c r="B1364" s="8">
        <v>39</v>
      </c>
      <c r="C1364" s="8">
        <v>83.658000000000001</v>
      </c>
      <c r="D1364" s="5">
        <v>1.5035289641605387</v>
      </c>
      <c r="E1364" s="5">
        <v>37.006999999999998</v>
      </c>
      <c r="F1364" s="16" t="s">
        <v>1302</v>
      </c>
      <c r="G1364" s="11">
        <v>0.47399999999999998</v>
      </c>
      <c r="H1364" s="5">
        <v>75.284999999999997</v>
      </c>
      <c r="I1364" s="8">
        <v>83</v>
      </c>
      <c r="J1364" s="8">
        <v>109</v>
      </c>
      <c r="K1364" s="8">
        <v>110</v>
      </c>
      <c r="L1364" s="8">
        <v>117</v>
      </c>
      <c r="M1364" t="s">
        <v>1306</v>
      </c>
      <c r="N1364" s="16" t="s">
        <v>22</v>
      </c>
      <c r="O1364" s="16" t="s">
        <v>22</v>
      </c>
      <c r="P1364" s="16" t="s">
        <v>28</v>
      </c>
      <c r="Q1364" s="10" t="s">
        <v>1160</v>
      </c>
      <c r="R1364" s="3" t="str">
        <f t="shared" si="42"/>
        <v>147</v>
      </c>
      <c r="S1364" s="3" t="str">
        <f t="shared" si="43"/>
        <v>110</v>
      </c>
      <c r="T1364" s="16" t="s">
        <v>38</v>
      </c>
      <c r="U1364" s="3">
        <v>16.951000000000001</v>
      </c>
      <c r="V1364" s="16" t="str">
        <f>PROPER(Table1[[#This Row],[CVD Risk Level]])</f>
        <v>Intermediary</v>
      </c>
    </row>
    <row r="1365" spans="1:22" x14ac:dyDescent="0.3">
      <c r="A1365" t="s">
        <v>31</v>
      </c>
      <c r="B1365" s="8">
        <v>47.025499655410059</v>
      </c>
      <c r="C1365" s="8">
        <v>107.13500000000001</v>
      </c>
      <c r="D1365" s="5">
        <v>1.7210000000000001</v>
      </c>
      <c r="E1365" s="5">
        <v>25.052</v>
      </c>
      <c r="F1365" s="16" t="s">
        <v>1303</v>
      </c>
      <c r="G1365" s="11">
        <v>0.55400000000000005</v>
      </c>
      <c r="H1365" s="5">
        <v>95.3</v>
      </c>
      <c r="I1365" s="8">
        <v>74</v>
      </c>
      <c r="J1365" s="8">
        <v>131</v>
      </c>
      <c r="K1365" s="8">
        <v>235</v>
      </c>
      <c r="L1365" s="8">
        <v>77</v>
      </c>
      <c r="M1365" t="s">
        <v>33</v>
      </c>
      <c r="N1365" s="16" t="s">
        <v>22</v>
      </c>
      <c r="O1365" s="16" t="s">
        <v>23</v>
      </c>
      <c r="P1365" s="16" t="s">
        <v>37</v>
      </c>
      <c r="Q1365" s="10" t="s">
        <v>1161</v>
      </c>
      <c r="R1365" s="3" t="str">
        <f t="shared" si="42"/>
        <v>114</v>
      </c>
      <c r="S1365" s="3" t="str">
        <f t="shared" si="43"/>
        <v>97</v>
      </c>
      <c r="T1365" s="16" t="s">
        <v>38</v>
      </c>
      <c r="U1365" s="3">
        <v>17.41</v>
      </c>
      <c r="V1365" s="16" t="str">
        <f>PROPER(Table1[[#This Row],[CVD Risk Level]])</f>
        <v>Intermediary</v>
      </c>
    </row>
    <row r="1366" spans="1:22" x14ac:dyDescent="0.3">
      <c r="A1366" t="s">
        <v>20</v>
      </c>
      <c r="B1366" s="8">
        <v>46</v>
      </c>
      <c r="C1366" s="8">
        <v>118.98</v>
      </c>
      <c r="D1366" s="5">
        <v>1.82</v>
      </c>
      <c r="E1366" s="5">
        <v>34.694000000000003</v>
      </c>
      <c r="F1366" s="16" t="s">
        <v>1302</v>
      </c>
      <c r="G1366" s="11">
        <v>0.57699999999999996</v>
      </c>
      <c r="H1366" s="5">
        <v>104.985</v>
      </c>
      <c r="I1366" s="8">
        <v>34</v>
      </c>
      <c r="J1366" s="8">
        <v>36</v>
      </c>
      <c r="K1366" s="8">
        <v>100</v>
      </c>
      <c r="L1366" s="8">
        <v>80</v>
      </c>
      <c r="M1366" t="s">
        <v>33</v>
      </c>
      <c r="N1366" s="16" t="s">
        <v>23</v>
      </c>
      <c r="O1366" s="16" t="s">
        <v>22</v>
      </c>
      <c r="P1366" s="16" t="s">
        <v>24</v>
      </c>
      <c r="Q1366" s="10" t="s">
        <v>1162</v>
      </c>
      <c r="R1366" s="3" t="str">
        <f t="shared" si="42"/>
        <v>156</v>
      </c>
      <c r="S1366" s="3" t="str">
        <f t="shared" si="43"/>
        <v>99</v>
      </c>
      <c r="T1366" s="16" t="s">
        <v>38</v>
      </c>
      <c r="U1366" s="3">
        <v>16.739000000000001</v>
      </c>
      <c r="V1366" s="16" t="str">
        <f>PROPER(Table1[[#This Row],[CVD Risk Level]])</f>
        <v>Low</v>
      </c>
    </row>
    <row r="1367" spans="1:22" x14ac:dyDescent="0.3">
      <c r="A1367" t="s">
        <v>20</v>
      </c>
      <c r="B1367" s="8">
        <v>54</v>
      </c>
      <c r="C1367" s="8">
        <v>53.967175200000007</v>
      </c>
      <c r="D1367" s="5">
        <v>1.58</v>
      </c>
      <c r="E1367" s="5">
        <v>21.617999999999999</v>
      </c>
      <c r="F1367" s="16" t="s">
        <v>33</v>
      </c>
      <c r="G1367" s="11">
        <v>0.65900000000000003</v>
      </c>
      <c r="H1367" s="5">
        <v>104.07599999999999</v>
      </c>
      <c r="I1367" s="8">
        <v>51</v>
      </c>
      <c r="J1367" s="8">
        <v>36</v>
      </c>
      <c r="K1367" s="8">
        <v>117</v>
      </c>
      <c r="L1367" s="8">
        <v>97</v>
      </c>
      <c r="M1367" t="s">
        <v>33</v>
      </c>
      <c r="N1367" s="16" t="s">
        <v>23</v>
      </c>
      <c r="O1367" s="16" t="s">
        <v>22</v>
      </c>
      <c r="P1367" s="16" t="s">
        <v>37</v>
      </c>
      <c r="Q1367" s="10" t="s">
        <v>1163</v>
      </c>
      <c r="R1367" s="3" t="str">
        <f t="shared" si="42"/>
        <v>122</v>
      </c>
      <c r="S1367" s="3" t="str">
        <f t="shared" si="43"/>
        <v>115</v>
      </c>
      <c r="T1367" s="16" t="s">
        <v>38</v>
      </c>
      <c r="U1367" s="3">
        <v>12.763999999999999</v>
      </c>
      <c r="V1367" s="16" t="str">
        <f>PROPER(Table1[[#This Row],[CVD Risk Level]])</f>
        <v>Intermediary</v>
      </c>
    </row>
    <row r="1368" spans="1:22" x14ac:dyDescent="0.3">
      <c r="A1368" t="s">
        <v>31</v>
      </c>
      <c r="B1368" s="8">
        <v>27</v>
      </c>
      <c r="C1368" s="8">
        <v>84.010999999999996</v>
      </c>
      <c r="D1368" s="5">
        <v>1.74</v>
      </c>
      <c r="E1368" s="5">
        <v>26.893999999999998</v>
      </c>
      <c r="F1368" s="16" t="s">
        <v>1303</v>
      </c>
      <c r="G1368" s="11">
        <v>0.45200000000000001</v>
      </c>
      <c r="H1368" s="5">
        <v>78.637</v>
      </c>
      <c r="I1368" s="8">
        <v>37</v>
      </c>
      <c r="J1368" s="8">
        <v>85</v>
      </c>
      <c r="K1368" s="8">
        <v>152</v>
      </c>
      <c r="L1368" s="8">
        <v>133</v>
      </c>
      <c r="M1368" t="s">
        <v>1307</v>
      </c>
      <c r="N1368" s="16" t="s">
        <v>22</v>
      </c>
      <c r="O1368" s="16" t="s">
        <v>23</v>
      </c>
      <c r="P1368" s="16" t="s">
        <v>37</v>
      </c>
      <c r="Q1368" s="10" t="s">
        <v>1164</v>
      </c>
      <c r="R1368" s="3" t="str">
        <f t="shared" si="42"/>
        <v>97</v>
      </c>
      <c r="S1368" s="3" t="str">
        <f t="shared" si="43"/>
        <v>113</v>
      </c>
      <c r="T1368" s="16" t="s">
        <v>38</v>
      </c>
      <c r="U1368" s="3">
        <v>15.269</v>
      </c>
      <c r="V1368" s="16" t="str">
        <f>PROPER(Table1[[#This Row],[CVD Risk Level]])</f>
        <v>Intermediary</v>
      </c>
    </row>
    <row r="1369" spans="1:22" x14ac:dyDescent="0.3">
      <c r="A1369" t="s">
        <v>31</v>
      </c>
      <c r="B1369" s="8">
        <v>31</v>
      </c>
      <c r="C1369" s="8">
        <v>123.021964111</v>
      </c>
      <c r="D1369" s="5">
        <v>1.7769999999999999</v>
      </c>
      <c r="E1369" s="5">
        <v>38.959000000000003</v>
      </c>
      <c r="F1369" s="16" t="s">
        <v>1302</v>
      </c>
      <c r="G1369" s="11">
        <v>0.55200000000000005</v>
      </c>
      <c r="H1369" s="5">
        <v>98.105000000000004</v>
      </c>
      <c r="I1369" s="8">
        <v>56.197377501725327</v>
      </c>
      <c r="J1369" s="8">
        <v>23</v>
      </c>
      <c r="K1369" s="8">
        <v>134</v>
      </c>
      <c r="L1369" s="8">
        <v>177</v>
      </c>
      <c r="M1369" t="s">
        <v>1307</v>
      </c>
      <c r="N1369" s="16" t="s">
        <v>22</v>
      </c>
      <c r="O1369" s="16" t="s">
        <v>22</v>
      </c>
      <c r="P1369" s="16" t="s">
        <v>28</v>
      </c>
      <c r="Q1369" s="10" t="s">
        <v>1165</v>
      </c>
      <c r="R1369" s="3" t="str">
        <f t="shared" si="42"/>
        <v>91</v>
      </c>
      <c r="S1369" s="3" t="str">
        <f t="shared" si="43"/>
        <v>107</v>
      </c>
      <c r="T1369" s="16" t="s">
        <v>38</v>
      </c>
      <c r="U1369" s="3">
        <v>15.022</v>
      </c>
      <c r="V1369" s="16" t="str">
        <f>PROPER(Table1[[#This Row],[CVD Risk Level]])</f>
        <v>Intermediary</v>
      </c>
    </row>
    <row r="1370" spans="1:22" x14ac:dyDescent="0.3">
      <c r="A1370" t="s">
        <v>20</v>
      </c>
      <c r="B1370" s="8">
        <v>46</v>
      </c>
      <c r="C1370" s="8">
        <v>61.011000000000003</v>
      </c>
      <c r="D1370" s="5">
        <v>1.613</v>
      </c>
      <c r="E1370" s="5">
        <v>21.335999999999999</v>
      </c>
      <c r="F1370" s="16" t="s">
        <v>33</v>
      </c>
      <c r="G1370" s="11">
        <v>0.51700000000000002</v>
      </c>
      <c r="H1370" s="5">
        <v>83.373000000000005</v>
      </c>
      <c r="I1370" s="8">
        <v>46</v>
      </c>
      <c r="J1370" s="8">
        <v>71</v>
      </c>
      <c r="K1370" s="8">
        <v>147</v>
      </c>
      <c r="L1370" s="8">
        <v>127</v>
      </c>
      <c r="M1370" t="s">
        <v>1307</v>
      </c>
      <c r="N1370" s="16" t="s">
        <v>22</v>
      </c>
      <c r="O1370" s="16" t="s">
        <v>23</v>
      </c>
      <c r="P1370" s="16" t="s">
        <v>28</v>
      </c>
      <c r="Q1370" s="10" t="s">
        <v>1166</v>
      </c>
      <c r="R1370" s="3" t="str">
        <f t="shared" si="42"/>
        <v>176</v>
      </c>
      <c r="S1370" s="3" t="str">
        <f t="shared" si="43"/>
        <v>100</v>
      </c>
      <c r="T1370" s="16" t="s">
        <v>38</v>
      </c>
      <c r="U1370" s="3">
        <v>18.007000000000001</v>
      </c>
      <c r="V1370" s="16" t="str">
        <f>PROPER(Table1[[#This Row],[CVD Risk Level]])</f>
        <v>Intermediary</v>
      </c>
    </row>
    <row r="1371" spans="1:22" x14ac:dyDescent="0.3">
      <c r="A1371" t="s">
        <v>20</v>
      </c>
      <c r="B1371" s="8">
        <v>70</v>
      </c>
      <c r="C1371" s="8">
        <v>98.961079531999985</v>
      </c>
      <c r="D1371" s="5">
        <v>1.8939999999999999</v>
      </c>
      <c r="E1371" s="5">
        <v>27.587</v>
      </c>
      <c r="F1371" s="16" t="s">
        <v>1303</v>
      </c>
      <c r="G1371" s="11">
        <v>0.49399999999999999</v>
      </c>
      <c r="H1371" s="5">
        <v>93.554000000000002</v>
      </c>
      <c r="I1371" s="8">
        <v>40</v>
      </c>
      <c r="J1371" s="8">
        <v>109</v>
      </c>
      <c r="K1371" s="8">
        <v>179</v>
      </c>
      <c r="L1371" s="8">
        <v>70</v>
      </c>
      <c r="M1371" t="s">
        <v>33</v>
      </c>
      <c r="N1371" s="16" t="s">
        <v>22</v>
      </c>
      <c r="O1371" s="16" t="s">
        <v>22</v>
      </c>
      <c r="P1371" s="16" t="s">
        <v>28</v>
      </c>
      <c r="Q1371" s="10" t="s">
        <v>1167</v>
      </c>
      <c r="R1371" s="3" t="str">
        <f t="shared" si="42"/>
        <v>127</v>
      </c>
      <c r="S1371" s="3" t="str">
        <f t="shared" si="43"/>
        <v>66</v>
      </c>
      <c r="T1371" s="16" t="s">
        <v>25</v>
      </c>
      <c r="U1371" s="3">
        <v>15.446999999999999</v>
      </c>
      <c r="V1371" s="16" t="str">
        <f>PROPER(Table1[[#This Row],[CVD Risk Level]])</f>
        <v>Low</v>
      </c>
    </row>
    <row r="1372" spans="1:22" x14ac:dyDescent="0.3">
      <c r="A1372" t="s">
        <v>20</v>
      </c>
      <c r="B1372" s="8">
        <v>69</v>
      </c>
      <c r="C1372" s="8">
        <v>108.428</v>
      </c>
      <c r="D1372" s="5">
        <v>1.579</v>
      </c>
      <c r="E1372" s="5">
        <v>30.689</v>
      </c>
      <c r="F1372" s="16" t="s">
        <v>1302</v>
      </c>
      <c r="G1372" s="11">
        <v>0.48</v>
      </c>
      <c r="H1372" s="5">
        <v>75.798000000000002</v>
      </c>
      <c r="I1372" s="8">
        <v>89</v>
      </c>
      <c r="J1372" s="8">
        <v>40</v>
      </c>
      <c r="K1372" s="8">
        <v>159</v>
      </c>
      <c r="L1372" s="8">
        <v>137</v>
      </c>
      <c r="M1372" t="s">
        <v>1307</v>
      </c>
      <c r="N1372" s="16" t="s">
        <v>22</v>
      </c>
      <c r="O1372" s="16" t="s">
        <v>23</v>
      </c>
      <c r="P1372" s="16" t="s">
        <v>37</v>
      </c>
      <c r="Q1372" s="10" t="s">
        <v>1168</v>
      </c>
      <c r="R1372" s="3" t="str">
        <f t="shared" si="42"/>
        <v>122</v>
      </c>
      <c r="S1372" s="3" t="str">
        <f t="shared" si="43"/>
        <v>112</v>
      </c>
      <c r="T1372" s="16" t="s">
        <v>38</v>
      </c>
      <c r="U1372" s="3">
        <v>17.417999999999999</v>
      </c>
      <c r="V1372" s="16" t="str">
        <f>PROPER(Table1[[#This Row],[CVD Risk Level]])</f>
        <v>High</v>
      </c>
    </row>
    <row r="1373" spans="1:22" x14ac:dyDescent="0.3">
      <c r="A1373" t="s">
        <v>20</v>
      </c>
      <c r="B1373" s="8">
        <v>54</v>
      </c>
      <c r="C1373" s="8">
        <v>119.571</v>
      </c>
      <c r="D1373" s="5">
        <v>1.764</v>
      </c>
      <c r="E1373" s="5">
        <v>29.949000000000002</v>
      </c>
      <c r="F1373" s="16" t="s">
        <v>1303</v>
      </c>
      <c r="G1373" s="11">
        <v>0.55200000000000005</v>
      </c>
      <c r="H1373" s="5">
        <v>97.328999999999994</v>
      </c>
      <c r="I1373" s="8">
        <v>46</v>
      </c>
      <c r="J1373" s="8">
        <v>168</v>
      </c>
      <c r="K1373" s="8">
        <v>244</v>
      </c>
      <c r="L1373" s="8">
        <v>155</v>
      </c>
      <c r="M1373" t="s">
        <v>1307</v>
      </c>
      <c r="N1373" s="16" t="s">
        <v>23</v>
      </c>
      <c r="O1373" s="16" t="s">
        <v>23</v>
      </c>
      <c r="P1373" s="16" t="s">
        <v>37</v>
      </c>
      <c r="Q1373" s="10" t="s">
        <v>1169</v>
      </c>
      <c r="R1373" s="3" t="str">
        <f t="shared" si="42"/>
        <v>161</v>
      </c>
      <c r="S1373" s="3" t="str">
        <f t="shared" si="43"/>
        <v>85</v>
      </c>
      <c r="T1373" s="16" t="s">
        <v>29</v>
      </c>
      <c r="U1373" s="3">
        <v>20.92</v>
      </c>
      <c r="V1373" s="16" t="str">
        <f>PROPER(Table1[[#This Row],[CVD Risk Level]])</f>
        <v>Intermediary</v>
      </c>
    </row>
    <row r="1374" spans="1:22" x14ac:dyDescent="0.3">
      <c r="A1374" t="s">
        <v>31</v>
      </c>
      <c r="B1374" s="8">
        <v>52</v>
      </c>
      <c r="C1374" s="8">
        <v>101.49299999999999</v>
      </c>
      <c r="D1374" s="5">
        <v>1.8340000000000001</v>
      </c>
      <c r="E1374" s="5">
        <v>30.829000000000001</v>
      </c>
      <c r="F1374" s="16" t="s">
        <v>1302</v>
      </c>
      <c r="G1374" s="11">
        <v>0.65100000000000002</v>
      </c>
      <c r="H1374" s="5">
        <v>119.43600000000001</v>
      </c>
      <c r="I1374" s="8">
        <v>84</v>
      </c>
      <c r="J1374" s="8">
        <v>147</v>
      </c>
      <c r="K1374" s="8">
        <v>261</v>
      </c>
      <c r="L1374" s="8">
        <v>151</v>
      </c>
      <c r="M1374" t="s">
        <v>1307</v>
      </c>
      <c r="N1374" s="16" t="s">
        <v>23</v>
      </c>
      <c r="O1374" s="16" t="s">
        <v>23</v>
      </c>
      <c r="P1374" s="16" t="s">
        <v>37</v>
      </c>
      <c r="Q1374" s="10" t="s">
        <v>1170</v>
      </c>
      <c r="R1374" s="3" t="str">
        <f t="shared" si="42"/>
        <v>101</v>
      </c>
      <c r="S1374" s="3" t="str">
        <f t="shared" si="43"/>
        <v>63</v>
      </c>
      <c r="T1374" s="16" t="s">
        <v>33</v>
      </c>
      <c r="U1374" s="3">
        <v>18.436</v>
      </c>
      <c r="V1374" s="16" t="str">
        <f>PROPER(Table1[[#This Row],[CVD Risk Level]])</f>
        <v>High</v>
      </c>
    </row>
    <row r="1375" spans="1:22" x14ac:dyDescent="0.3">
      <c r="A1375" t="s">
        <v>20</v>
      </c>
      <c r="B1375" s="8">
        <v>56</v>
      </c>
      <c r="C1375" s="8">
        <v>85.436000000000007</v>
      </c>
      <c r="D1375" s="5">
        <v>1.8089999999999999</v>
      </c>
      <c r="E1375" s="5">
        <v>29.928000000000001</v>
      </c>
      <c r="F1375" s="16" t="s">
        <v>1303</v>
      </c>
      <c r="G1375" s="11">
        <v>0.39900000000000002</v>
      </c>
      <c r="H1375" s="5">
        <v>72.209999999999994</v>
      </c>
      <c r="I1375" s="8">
        <v>49</v>
      </c>
      <c r="J1375" s="8">
        <v>26</v>
      </c>
      <c r="K1375" s="8">
        <v>105</v>
      </c>
      <c r="L1375" s="8">
        <v>93</v>
      </c>
      <c r="M1375" t="s">
        <v>33</v>
      </c>
      <c r="N1375" s="16" t="s">
        <v>23</v>
      </c>
      <c r="O1375" s="16" t="s">
        <v>23</v>
      </c>
      <c r="P1375" s="16" t="s">
        <v>37</v>
      </c>
      <c r="Q1375" s="10" t="s">
        <v>1171</v>
      </c>
      <c r="R1375" s="3" t="str">
        <f t="shared" si="42"/>
        <v>124</v>
      </c>
      <c r="S1375" s="3" t="str">
        <f t="shared" si="43"/>
        <v>60</v>
      </c>
      <c r="T1375" s="16" t="s">
        <v>25</v>
      </c>
      <c r="U1375" s="3">
        <v>16.286000000000001</v>
      </c>
      <c r="V1375" s="16" t="str">
        <f>PROPER(Table1[[#This Row],[CVD Risk Level]])</f>
        <v>Low</v>
      </c>
    </row>
    <row r="1376" spans="1:22" x14ac:dyDescent="0.3">
      <c r="A1376" t="s">
        <v>31</v>
      </c>
      <c r="B1376" s="8">
        <v>75</v>
      </c>
      <c r="C1376" s="8">
        <v>71.018000000000001</v>
      </c>
      <c r="D1376" s="5">
        <v>1.8660000000000001</v>
      </c>
      <c r="E1376" s="5">
        <v>29.228999999999999</v>
      </c>
      <c r="F1376" s="16" t="s">
        <v>1303</v>
      </c>
      <c r="G1376" s="11">
        <v>0.435</v>
      </c>
      <c r="H1376" s="5">
        <v>81.180999999999997</v>
      </c>
      <c r="I1376" s="8">
        <v>58</v>
      </c>
      <c r="J1376" s="8">
        <v>193</v>
      </c>
      <c r="K1376" s="8">
        <v>281</v>
      </c>
      <c r="L1376" s="8">
        <v>111</v>
      </c>
      <c r="M1376" t="s">
        <v>1306</v>
      </c>
      <c r="N1376" s="16" t="s">
        <v>22</v>
      </c>
      <c r="O1376" s="16" t="s">
        <v>22</v>
      </c>
      <c r="P1376" s="16" t="s">
        <v>24</v>
      </c>
      <c r="Q1376" s="10" t="s">
        <v>1172</v>
      </c>
      <c r="R1376" s="3" t="str">
        <f t="shared" si="42"/>
        <v>119</v>
      </c>
      <c r="S1376" s="3" t="str">
        <f t="shared" si="43"/>
        <v>86</v>
      </c>
      <c r="T1376" s="16" t="s">
        <v>29</v>
      </c>
      <c r="U1376" s="3">
        <v>17.416</v>
      </c>
      <c r="V1376" s="16" t="str">
        <f>PROPER(Table1[[#This Row],[CVD Risk Level]])</f>
        <v>High</v>
      </c>
    </row>
    <row r="1377" spans="1:22" x14ac:dyDescent="0.3">
      <c r="A1377" t="s">
        <v>31</v>
      </c>
      <c r="B1377" s="8">
        <v>76</v>
      </c>
      <c r="C1377" s="8">
        <v>88.176000000000002</v>
      </c>
      <c r="D1377" s="5">
        <v>1.73</v>
      </c>
      <c r="E1377" s="5">
        <v>32.064</v>
      </c>
      <c r="F1377" s="16" t="s">
        <v>1302</v>
      </c>
      <c r="G1377" s="11">
        <v>0.629</v>
      </c>
      <c r="H1377" s="5">
        <v>108.771</v>
      </c>
      <c r="I1377" s="8">
        <v>79</v>
      </c>
      <c r="J1377" s="8">
        <v>144</v>
      </c>
      <c r="K1377" s="8">
        <v>253</v>
      </c>
      <c r="L1377" s="8">
        <v>168</v>
      </c>
      <c r="M1377" t="s">
        <v>1307</v>
      </c>
      <c r="N1377" s="16" t="s">
        <v>23</v>
      </c>
      <c r="O1377" s="16" t="s">
        <v>23</v>
      </c>
      <c r="P1377" s="16" t="s">
        <v>24</v>
      </c>
      <c r="Q1377" s="10" t="s">
        <v>1041</v>
      </c>
      <c r="R1377" s="3" t="str">
        <f t="shared" si="42"/>
        <v>157</v>
      </c>
      <c r="S1377" s="3" t="str">
        <f t="shared" si="43"/>
        <v>65</v>
      </c>
      <c r="T1377" s="16" t="s">
        <v>38</v>
      </c>
      <c r="U1377" s="3">
        <v>21.323</v>
      </c>
      <c r="V1377" s="16" t="str">
        <f>PROPER(Table1[[#This Row],[CVD Risk Level]])</f>
        <v>Intermediary</v>
      </c>
    </row>
    <row r="1378" spans="1:22" x14ac:dyDescent="0.3">
      <c r="A1378" t="s">
        <v>20</v>
      </c>
      <c r="B1378" s="8">
        <v>25</v>
      </c>
      <c r="C1378" s="8">
        <v>89.625</v>
      </c>
      <c r="D1378" s="5">
        <v>1.6180000000000001</v>
      </c>
      <c r="E1378" s="5">
        <v>39.646000000000001</v>
      </c>
      <c r="F1378" s="16" t="s">
        <v>1302</v>
      </c>
      <c r="G1378" s="11">
        <v>0.69199999999999995</v>
      </c>
      <c r="H1378" s="5">
        <v>112.02500000000001</v>
      </c>
      <c r="I1378" s="8">
        <v>52</v>
      </c>
      <c r="J1378" s="8">
        <v>55</v>
      </c>
      <c r="K1378" s="8">
        <v>137</v>
      </c>
      <c r="L1378" s="8">
        <v>77</v>
      </c>
      <c r="M1378" t="s">
        <v>33</v>
      </c>
      <c r="N1378" s="16" t="s">
        <v>23</v>
      </c>
      <c r="O1378" s="16" t="s">
        <v>23</v>
      </c>
      <c r="P1378" s="16" t="s">
        <v>28</v>
      </c>
      <c r="Q1378" s="10" t="s">
        <v>1173</v>
      </c>
      <c r="R1378" s="3" t="str">
        <f t="shared" si="42"/>
        <v>166</v>
      </c>
      <c r="S1378" s="3" t="str">
        <f t="shared" si="43"/>
        <v>96</v>
      </c>
      <c r="T1378" s="16" t="s">
        <v>38</v>
      </c>
      <c r="U1378" s="3">
        <v>20.969000000000001</v>
      </c>
      <c r="V1378" s="16" t="str">
        <f>PROPER(Table1[[#This Row],[CVD Risk Level]])</f>
        <v>Low</v>
      </c>
    </row>
    <row r="1379" spans="1:22" x14ac:dyDescent="0.3">
      <c r="A1379" t="s">
        <v>20</v>
      </c>
      <c r="B1379" s="8">
        <v>49</v>
      </c>
      <c r="C1379" s="8">
        <v>72.513999999999996</v>
      </c>
      <c r="D1379" s="5">
        <v>1.8089999999999999</v>
      </c>
      <c r="E1379" s="5">
        <v>25.928000000000001</v>
      </c>
      <c r="F1379" s="16" t="s">
        <v>1303</v>
      </c>
      <c r="G1379" s="11">
        <v>0.498</v>
      </c>
      <c r="H1379" s="5">
        <v>90.137</v>
      </c>
      <c r="I1379" s="8">
        <v>88</v>
      </c>
      <c r="J1379" s="8">
        <v>133</v>
      </c>
      <c r="K1379" s="8">
        <v>251</v>
      </c>
      <c r="L1379" s="8">
        <v>125</v>
      </c>
      <c r="M1379" t="s">
        <v>1306</v>
      </c>
      <c r="N1379" s="16" t="s">
        <v>23</v>
      </c>
      <c r="O1379" s="16" t="s">
        <v>23</v>
      </c>
      <c r="P1379" s="16" t="s">
        <v>28</v>
      </c>
      <c r="Q1379" s="10" t="s">
        <v>1174</v>
      </c>
      <c r="R1379" s="3" t="str">
        <f t="shared" si="42"/>
        <v>176</v>
      </c>
      <c r="S1379" s="3" t="str">
        <f t="shared" si="43"/>
        <v>92</v>
      </c>
      <c r="T1379" s="16" t="s">
        <v>38</v>
      </c>
      <c r="U1379" s="3">
        <v>21.006</v>
      </c>
      <c r="V1379" s="16" t="str">
        <f>PROPER(Table1[[#This Row],[CVD Risk Level]])</f>
        <v>Intermediary</v>
      </c>
    </row>
    <row r="1380" spans="1:22" x14ac:dyDescent="0.3">
      <c r="A1380" t="s">
        <v>31</v>
      </c>
      <c r="B1380" s="8">
        <v>63</v>
      </c>
      <c r="C1380" s="8">
        <v>59.067999999999998</v>
      </c>
      <c r="D1380" s="5">
        <v>1.556</v>
      </c>
      <c r="E1380" s="5">
        <v>29.125</v>
      </c>
      <c r="F1380" s="16" t="s">
        <v>1303</v>
      </c>
      <c r="G1380" s="11">
        <v>0.45600000000000002</v>
      </c>
      <c r="H1380" s="5">
        <v>71.025999999999996</v>
      </c>
      <c r="I1380" s="8">
        <v>56.197377501725327</v>
      </c>
      <c r="J1380" s="8">
        <v>109</v>
      </c>
      <c r="K1380" s="8">
        <v>238</v>
      </c>
      <c r="L1380" s="8">
        <v>119</v>
      </c>
      <c r="M1380" t="s">
        <v>1306</v>
      </c>
      <c r="N1380" s="16" t="s">
        <v>23</v>
      </c>
      <c r="O1380" s="16" t="s">
        <v>22</v>
      </c>
      <c r="P1380" s="16" t="s">
        <v>28</v>
      </c>
      <c r="Q1380" s="10" t="s">
        <v>1175</v>
      </c>
      <c r="R1380" s="3" t="str">
        <f t="shared" si="42"/>
        <v>162</v>
      </c>
      <c r="S1380" s="3" t="str">
        <f t="shared" si="43"/>
        <v>80</v>
      </c>
      <c r="T1380" s="16" t="s">
        <v>29</v>
      </c>
      <c r="U1380" s="3">
        <v>18.684999999999999</v>
      </c>
      <c r="V1380" s="16" t="str">
        <f>PROPER(Table1[[#This Row],[CVD Risk Level]])</f>
        <v>Low</v>
      </c>
    </row>
    <row r="1381" spans="1:22" x14ac:dyDescent="0.3">
      <c r="A1381" t="s">
        <v>20</v>
      </c>
      <c r="B1381" s="8">
        <v>26</v>
      </c>
      <c r="C1381" s="8">
        <v>83.855999999999995</v>
      </c>
      <c r="D1381" s="5">
        <v>1.95</v>
      </c>
      <c r="E1381" s="5">
        <v>36.851999999999997</v>
      </c>
      <c r="F1381" s="16" t="s">
        <v>1302</v>
      </c>
      <c r="G1381" s="11">
        <v>0.39600000000000002</v>
      </c>
      <c r="H1381" s="5">
        <v>77.156999999999996</v>
      </c>
      <c r="I1381" s="8">
        <v>32</v>
      </c>
      <c r="J1381" s="8">
        <v>78</v>
      </c>
      <c r="K1381" s="8">
        <v>140</v>
      </c>
      <c r="L1381" s="8">
        <v>174</v>
      </c>
      <c r="M1381" t="s">
        <v>1307</v>
      </c>
      <c r="N1381" s="16" t="s">
        <v>23</v>
      </c>
      <c r="O1381" s="16" t="s">
        <v>23</v>
      </c>
      <c r="P1381" s="16" t="s">
        <v>24</v>
      </c>
      <c r="Q1381" s="10" t="s">
        <v>1176</v>
      </c>
      <c r="R1381" s="3" t="str">
        <f t="shared" si="42"/>
        <v>96</v>
      </c>
      <c r="S1381" s="3" t="str">
        <f t="shared" si="43"/>
        <v>68</v>
      </c>
      <c r="T1381" s="16" t="s">
        <v>33</v>
      </c>
      <c r="U1381" s="3">
        <v>16.97</v>
      </c>
      <c r="V1381" s="16" t="str">
        <f>PROPER(Table1[[#This Row],[CVD Risk Level]])</f>
        <v>High</v>
      </c>
    </row>
    <row r="1382" spans="1:22" x14ac:dyDescent="0.3">
      <c r="A1382" t="s">
        <v>31</v>
      </c>
      <c r="B1382" s="8">
        <v>28</v>
      </c>
      <c r="C1382" s="8">
        <v>88.733999999999995</v>
      </c>
      <c r="D1382" s="5">
        <v>1.863</v>
      </c>
      <c r="E1382" s="5">
        <v>22.917999999999999</v>
      </c>
      <c r="F1382" s="16" t="s">
        <v>33</v>
      </c>
      <c r="G1382" s="11">
        <v>0.40400000000000003</v>
      </c>
      <c r="H1382" s="5">
        <v>75.188000000000002</v>
      </c>
      <c r="I1382" s="8">
        <v>62</v>
      </c>
      <c r="J1382" s="8">
        <v>28</v>
      </c>
      <c r="K1382" s="8">
        <v>120</v>
      </c>
      <c r="L1382" s="8">
        <v>141</v>
      </c>
      <c r="M1382" t="s">
        <v>1307</v>
      </c>
      <c r="N1382" s="16" t="s">
        <v>23</v>
      </c>
      <c r="O1382" s="16" t="s">
        <v>23</v>
      </c>
      <c r="P1382" s="16" t="s">
        <v>28</v>
      </c>
      <c r="Q1382" s="10" t="s">
        <v>1177</v>
      </c>
      <c r="R1382" s="3" t="str">
        <f t="shared" si="42"/>
        <v>148</v>
      </c>
      <c r="S1382" s="3" t="str">
        <f t="shared" si="43"/>
        <v>84</v>
      </c>
      <c r="T1382" s="16" t="s">
        <v>29</v>
      </c>
      <c r="U1382" s="3">
        <v>16.384</v>
      </c>
      <c r="V1382" s="16" t="str">
        <f>PROPER(Table1[[#This Row],[CVD Risk Level]])</f>
        <v>Low</v>
      </c>
    </row>
    <row r="1383" spans="1:22" x14ac:dyDescent="0.3">
      <c r="A1383" t="s">
        <v>20</v>
      </c>
      <c r="B1383" s="8">
        <v>52</v>
      </c>
      <c r="C1383" s="8">
        <v>99.356999999999999</v>
      </c>
      <c r="D1383" s="5">
        <v>1.8979999999999999</v>
      </c>
      <c r="E1383" s="5">
        <v>31.597000000000001</v>
      </c>
      <c r="F1383" s="16" t="s">
        <v>1302</v>
      </c>
      <c r="G1383" s="11">
        <v>0.48799999999999999</v>
      </c>
      <c r="H1383" s="5">
        <v>92.525999999999996</v>
      </c>
      <c r="I1383" s="8">
        <v>49</v>
      </c>
      <c r="J1383" s="8">
        <v>161</v>
      </c>
      <c r="K1383" s="8">
        <v>240</v>
      </c>
      <c r="L1383" s="8">
        <v>164</v>
      </c>
      <c r="M1383" t="s">
        <v>1307</v>
      </c>
      <c r="N1383" s="16" t="s">
        <v>23</v>
      </c>
      <c r="O1383" s="16" t="s">
        <v>22</v>
      </c>
      <c r="P1383" s="16" t="s">
        <v>28</v>
      </c>
      <c r="Q1383" s="10" t="s">
        <v>1178</v>
      </c>
      <c r="R1383" s="3" t="str">
        <f t="shared" si="42"/>
        <v>142</v>
      </c>
      <c r="S1383" s="3" t="str">
        <f t="shared" si="43"/>
        <v>95</v>
      </c>
      <c r="T1383" s="16" t="s">
        <v>38</v>
      </c>
      <c r="U1383" s="3">
        <v>18.219000000000001</v>
      </c>
      <c r="V1383" s="16" t="str">
        <f>PROPER(Table1[[#This Row],[CVD Risk Level]])</f>
        <v>Low</v>
      </c>
    </row>
    <row r="1384" spans="1:22" x14ac:dyDescent="0.3">
      <c r="A1384" t="s">
        <v>31</v>
      </c>
      <c r="B1384" s="8">
        <v>64</v>
      </c>
      <c r="C1384" s="8">
        <v>100.94</v>
      </c>
      <c r="D1384" s="5">
        <v>1.7509999999999999</v>
      </c>
      <c r="E1384" s="5">
        <v>22.696999999999999</v>
      </c>
      <c r="F1384" s="16" t="s">
        <v>33</v>
      </c>
      <c r="G1384" s="11">
        <v>0.40920616790405484</v>
      </c>
      <c r="H1384" s="5">
        <v>71.652000000000001</v>
      </c>
      <c r="I1384" s="8">
        <v>81</v>
      </c>
      <c r="J1384" s="8">
        <v>17</v>
      </c>
      <c r="K1384" s="8">
        <v>128</v>
      </c>
      <c r="L1384" s="8">
        <v>103</v>
      </c>
      <c r="M1384" t="s">
        <v>1306</v>
      </c>
      <c r="N1384" s="16" t="s">
        <v>23</v>
      </c>
      <c r="O1384" s="16" t="s">
        <v>23</v>
      </c>
      <c r="P1384" s="16" t="s">
        <v>28</v>
      </c>
      <c r="Q1384" s="10" t="s">
        <v>1179</v>
      </c>
      <c r="R1384" s="3" t="str">
        <f t="shared" si="42"/>
        <v>115</v>
      </c>
      <c r="S1384" s="3" t="str">
        <f t="shared" si="43"/>
        <v>113</v>
      </c>
      <c r="T1384" s="16" t="s">
        <v>38</v>
      </c>
      <c r="U1384" s="3">
        <v>14.849</v>
      </c>
      <c r="V1384" s="16" t="str">
        <f>PROPER(Table1[[#This Row],[CVD Risk Level]])</f>
        <v>Intermediary</v>
      </c>
    </row>
    <row r="1385" spans="1:22" x14ac:dyDescent="0.3">
      <c r="A1385" t="s">
        <v>31</v>
      </c>
      <c r="B1385" s="8">
        <v>31</v>
      </c>
      <c r="C1385" s="8">
        <v>61.213000000000001</v>
      </c>
      <c r="D1385" s="5">
        <v>1.829</v>
      </c>
      <c r="E1385" s="5">
        <v>19.643999999999998</v>
      </c>
      <c r="F1385" s="16" t="s">
        <v>33</v>
      </c>
      <c r="G1385" s="11">
        <v>0.46</v>
      </c>
      <c r="H1385" s="5">
        <v>84.102000000000004</v>
      </c>
      <c r="I1385" s="8">
        <v>70</v>
      </c>
      <c r="J1385" s="8">
        <v>45</v>
      </c>
      <c r="K1385" s="8">
        <v>145</v>
      </c>
      <c r="L1385" s="8">
        <v>168</v>
      </c>
      <c r="M1385" t="s">
        <v>1307</v>
      </c>
      <c r="N1385" s="16" t="s">
        <v>22</v>
      </c>
      <c r="O1385" s="16" t="s">
        <v>22</v>
      </c>
      <c r="P1385" s="16" t="s">
        <v>28</v>
      </c>
      <c r="Q1385" s="10" t="s">
        <v>384</v>
      </c>
      <c r="R1385" s="3" t="str">
        <f t="shared" si="42"/>
        <v>108</v>
      </c>
      <c r="S1385" s="3" t="str">
        <f t="shared" si="43"/>
        <v>61</v>
      </c>
      <c r="T1385" s="16" t="s">
        <v>33</v>
      </c>
      <c r="U1385" s="3">
        <v>12.228999999999999</v>
      </c>
      <c r="V1385" s="16" t="str">
        <f>PROPER(Table1[[#This Row],[CVD Risk Level]])</f>
        <v>Intermediary</v>
      </c>
    </row>
    <row r="1386" spans="1:22" x14ac:dyDescent="0.3">
      <c r="A1386" t="s">
        <v>31</v>
      </c>
      <c r="B1386" s="8">
        <v>62</v>
      </c>
      <c r="C1386" s="8">
        <v>76.988</v>
      </c>
      <c r="D1386" s="5">
        <v>1.792</v>
      </c>
      <c r="E1386" s="5">
        <v>21.911999999999999</v>
      </c>
      <c r="F1386" s="16" t="s">
        <v>33</v>
      </c>
      <c r="G1386" s="11">
        <v>0.65300000000000002</v>
      </c>
      <c r="H1386" s="5">
        <v>116.937</v>
      </c>
      <c r="I1386" s="8">
        <v>71</v>
      </c>
      <c r="J1386" s="8">
        <v>117</v>
      </c>
      <c r="K1386" s="8">
        <v>218</v>
      </c>
      <c r="L1386" s="8">
        <v>88</v>
      </c>
      <c r="M1386" t="s">
        <v>33</v>
      </c>
      <c r="N1386" s="16" t="s">
        <v>22</v>
      </c>
      <c r="O1386" s="16" t="s">
        <v>22</v>
      </c>
      <c r="P1386" s="16" t="s">
        <v>24</v>
      </c>
      <c r="Q1386" s="10" t="s">
        <v>1180</v>
      </c>
      <c r="R1386" s="3" t="str">
        <f t="shared" si="42"/>
        <v>103</v>
      </c>
      <c r="S1386" s="3" t="str">
        <f t="shared" si="43"/>
        <v>93</v>
      </c>
      <c r="T1386" s="16" t="s">
        <v>38</v>
      </c>
      <c r="U1386" s="3">
        <v>13.891999999999999</v>
      </c>
      <c r="V1386" s="16" t="str">
        <f>PROPER(Table1[[#This Row],[CVD Risk Level]])</f>
        <v>Low</v>
      </c>
    </row>
    <row r="1387" spans="1:22" x14ac:dyDescent="0.3">
      <c r="A1387" t="s">
        <v>20</v>
      </c>
      <c r="B1387" s="8">
        <v>64</v>
      </c>
      <c r="C1387" s="8">
        <v>57.871000000000002</v>
      </c>
      <c r="D1387" s="5">
        <v>1.752</v>
      </c>
      <c r="E1387" s="5">
        <v>18.510000000000002</v>
      </c>
      <c r="F1387" s="16" t="s">
        <v>33</v>
      </c>
      <c r="G1387" s="11">
        <v>0.622</v>
      </c>
      <c r="H1387" s="5">
        <v>108.94199999999999</v>
      </c>
      <c r="I1387" s="8">
        <v>58</v>
      </c>
      <c r="J1387" s="8">
        <v>125</v>
      </c>
      <c r="K1387" s="8">
        <v>213</v>
      </c>
      <c r="L1387" s="8">
        <v>84</v>
      </c>
      <c r="M1387" t="s">
        <v>33</v>
      </c>
      <c r="N1387" s="16" t="s">
        <v>23</v>
      </c>
      <c r="O1387" s="16" t="s">
        <v>23</v>
      </c>
      <c r="P1387" s="16" t="s">
        <v>37</v>
      </c>
      <c r="Q1387" s="10" t="s">
        <v>1181</v>
      </c>
      <c r="R1387" s="3" t="str">
        <f t="shared" si="42"/>
        <v>175</v>
      </c>
      <c r="S1387" s="3" t="str">
        <f t="shared" si="43"/>
        <v>69</v>
      </c>
      <c r="T1387" s="16" t="s">
        <v>38</v>
      </c>
      <c r="U1387" s="3">
        <v>16.960925291295425</v>
      </c>
      <c r="V1387" s="16" t="str">
        <f>PROPER(Table1[[#This Row],[CVD Risk Level]])</f>
        <v>Low</v>
      </c>
    </row>
    <row r="1388" spans="1:22" x14ac:dyDescent="0.3">
      <c r="A1388" t="s">
        <v>31</v>
      </c>
      <c r="B1388" s="8">
        <v>27</v>
      </c>
      <c r="C1388" s="8">
        <v>116.52500000000001</v>
      </c>
      <c r="D1388" s="5">
        <v>1.9379999999999999</v>
      </c>
      <c r="E1388" s="5">
        <v>33.296999999999997</v>
      </c>
      <c r="F1388" s="16" t="s">
        <v>1302</v>
      </c>
      <c r="G1388" s="11">
        <v>0.60899999999999999</v>
      </c>
      <c r="H1388" s="5">
        <v>117.983</v>
      </c>
      <c r="I1388" s="8">
        <v>56.197377501725327</v>
      </c>
      <c r="J1388" s="8">
        <v>17</v>
      </c>
      <c r="K1388" s="8">
        <v>133</v>
      </c>
      <c r="L1388" s="8">
        <v>117.48563611491107</v>
      </c>
      <c r="M1388" t="s">
        <v>1306</v>
      </c>
      <c r="N1388" s="16" t="s">
        <v>23</v>
      </c>
      <c r="O1388" s="16" t="s">
        <v>22</v>
      </c>
      <c r="P1388" s="16" t="s">
        <v>37</v>
      </c>
      <c r="Q1388" s="10" t="s">
        <v>1182</v>
      </c>
      <c r="R1388" s="3" t="str">
        <f t="shared" si="42"/>
        <v>107</v>
      </c>
      <c r="S1388" s="3" t="str">
        <f t="shared" si="43"/>
        <v>92</v>
      </c>
      <c r="T1388" s="16" t="s">
        <v>38</v>
      </c>
      <c r="U1388" s="3">
        <v>14.669</v>
      </c>
      <c r="V1388" s="16" t="str">
        <f>PROPER(Table1[[#This Row],[CVD Risk Level]])</f>
        <v>Intermediary</v>
      </c>
    </row>
    <row r="1389" spans="1:22" x14ac:dyDescent="0.3">
      <c r="A1389" t="s">
        <v>20</v>
      </c>
      <c r="B1389" s="8">
        <v>49</v>
      </c>
      <c r="C1389" s="8">
        <v>117.84699999999999</v>
      </c>
      <c r="D1389" s="5">
        <v>1.68</v>
      </c>
      <c r="E1389" s="5">
        <v>36.276000000000003</v>
      </c>
      <c r="F1389" s="16" t="s">
        <v>1302</v>
      </c>
      <c r="G1389" s="11">
        <v>0.48599999999999999</v>
      </c>
      <c r="H1389" s="5">
        <v>81.599000000000004</v>
      </c>
      <c r="I1389" s="8">
        <v>66</v>
      </c>
      <c r="J1389" s="8">
        <v>158</v>
      </c>
      <c r="K1389" s="8">
        <v>254</v>
      </c>
      <c r="L1389" s="8">
        <v>131</v>
      </c>
      <c r="M1389" t="s">
        <v>1307</v>
      </c>
      <c r="N1389" s="16" t="s">
        <v>23</v>
      </c>
      <c r="O1389" s="16" t="s">
        <v>23</v>
      </c>
      <c r="P1389" s="16" t="s">
        <v>37</v>
      </c>
      <c r="Q1389" s="10" t="s">
        <v>1183</v>
      </c>
      <c r="R1389" s="3" t="str">
        <f t="shared" si="42"/>
        <v>118</v>
      </c>
      <c r="S1389" s="3" t="str">
        <f t="shared" si="43"/>
        <v>119</v>
      </c>
      <c r="T1389" s="16" t="s">
        <v>38</v>
      </c>
      <c r="U1389" s="3">
        <v>20.234999999999999</v>
      </c>
      <c r="V1389" s="16" t="str">
        <f>PROPER(Table1[[#This Row],[CVD Risk Level]])</f>
        <v>Low</v>
      </c>
    </row>
    <row r="1390" spans="1:22" x14ac:dyDescent="0.3">
      <c r="A1390" t="s">
        <v>31</v>
      </c>
      <c r="B1390" s="8">
        <v>56</v>
      </c>
      <c r="C1390" s="8">
        <v>80.566999999999993</v>
      </c>
      <c r="D1390" s="5">
        <v>1.597</v>
      </c>
      <c r="E1390" s="5">
        <v>22.382999999999999</v>
      </c>
      <c r="F1390" s="16" t="s">
        <v>33</v>
      </c>
      <c r="G1390" s="11">
        <v>0.54</v>
      </c>
      <c r="H1390" s="5">
        <v>86.290999999999997</v>
      </c>
      <c r="I1390" s="8">
        <v>63</v>
      </c>
      <c r="J1390" s="8">
        <v>156</v>
      </c>
      <c r="K1390" s="8">
        <v>249</v>
      </c>
      <c r="L1390" s="8">
        <v>186</v>
      </c>
      <c r="M1390" t="s">
        <v>1307</v>
      </c>
      <c r="N1390" s="16" t="s">
        <v>23</v>
      </c>
      <c r="O1390" s="16" t="s">
        <v>22</v>
      </c>
      <c r="P1390" s="16" t="s">
        <v>24</v>
      </c>
      <c r="Q1390" s="10" t="s">
        <v>1184</v>
      </c>
      <c r="R1390" s="3" t="str">
        <f t="shared" si="42"/>
        <v>108</v>
      </c>
      <c r="S1390" s="3" t="str">
        <f t="shared" si="43"/>
        <v>101</v>
      </c>
      <c r="T1390" s="16" t="s">
        <v>38</v>
      </c>
      <c r="U1390" s="3">
        <v>14.856999999999999</v>
      </c>
      <c r="V1390" s="16" t="str">
        <f>PROPER(Table1[[#This Row],[CVD Risk Level]])</f>
        <v>Intermediary</v>
      </c>
    </row>
    <row r="1391" spans="1:22" x14ac:dyDescent="0.3">
      <c r="A1391" t="s">
        <v>31</v>
      </c>
      <c r="B1391" s="8">
        <v>60</v>
      </c>
      <c r="C1391" s="8">
        <v>67.97</v>
      </c>
      <c r="D1391" s="5">
        <v>1.841</v>
      </c>
      <c r="E1391" s="5">
        <v>34.814999999999998</v>
      </c>
      <c r="F1391" s="16" t="s">
        <v>1302</v>
      </c>
      <c r="G1391" s="11">
        <v>0.61199999999999999</v>
      </c>
      <c r="H1391" s="5">
        <v>112.65900000000001</v>
      </c>
      <c r="I1391" s="8">
        <v>80</v>
      </c>
      <c r="J1391" s="8">
        <v>152</v>
      </c>
      <c r="K1391" s="8">
        <v>262</v>
      </c>
      <c r="L1391" s="8">
        <v>198</v>
      </c>
      <c r="M1391" t="s">
        <v>1307</v>
      </c>
      <c r="N1391" s="16" t="s">
        <v>22</v>
      </c>
      <c r="O1391" s="16" t="s">
        <v>23</v>
      </c>
      <c r="P1391" s="16" t="s">
        <v>24</v>
      </c>
      <c r="Q1391" s="10" t="s">
        <v>1185</v>
      </c>
      <c r="R1391" s="3" t="str">
        <f t="shared" si="42"/>
        <v>153</v>
      </c>
      <c r="S1391" s="3" t="str">
        <f t="shared" si="43"/>
        <v>103</v>
      </c>
      <c r="T1391" s="16" t="s">
        <v>38</v>
      </c>
      <c r="U1391" s="3">
        <v>21.853000000000002</v>
      </c>
      <c r="V1391" s="16" t="str">
        <f>PROPER(Table1[[#This Row],[CVD Risk Level]])</f>
        <v>High</v>
      </c>
    </row>
    <row r="1392" spans="1:22" x14ac:dyDescent="0.3">
      <c r="A1392" t="s">
        <v>20</v>
      </c>
      <c r="B1392" s="8">
        <v>25</v>
      </c>
      <c r="C1392" s="8">
        <v>65.816000000000003</v>
      </c>
      <c r="D1392" s="5">
        <v>1.8939999999999999</v>
      </c>
      <c r="E1392" s="5">
        <v>24.122</v>
      </c>
      <c r="F1392" s="16" t="s">
        <v>33</v>
      </c>
      <c r="G1392" s="11">
        <v>0.59210665258711725</v>
      </c>
      <c r="H1392" s="5">
        <v>112.145</v>
      </c>
      <c r="I1392" s="8">
        <v>55</v>
      </c>
      <c r="J1392" s="8">
        <v>160</v>
      </c>
      <c r="K1392" s="8">
        <v>245</v>
      </c>
      <c r="L1392" s="8">
        <v>88</v>
      </c>
      <c r="M1392" t="s">
        <v>33</v>
      </c>
      <c r="N1392" s="16" t="s">
        <v>23</v>
      </c>
      <c r="O1392" s="16" t="s">
        <v>22</v>
      </c>
      <c r="P1392" s="16" t="s">
        <v>24</v>
      </c>
      <c r="Q1392" s="10" t="s">
        <v>71</v>
      </c>
      <c r="R1392" s="3" t="str">
        <f t="shared" si="42"/>
        <v>144</v>
      </c>
      <c r="S1392" s="3" t="str">
        <f t="shared" si="43"/>
        <v>73</v>
      </c>
      <c r="T1392" s="16" t="s">
        <v>38</v>
      </c>
      <c r="U1392" s="3">
        <v>16.923999999999999</v>
      </c>
      <c r="V1392" s="16" t="str">
        <f>PROPER(Table1[[#This Row],[CVD Risk Level]])</f>
        <v>Low</v>
      </c>
    </row>
    <row r="1393" spans="1:22" x14ac:dyDescent="0.3">
      <c r="A1393" t="s">
        <v>20</v>
      </c>
      <c r="B1393" s="8">
        <v>36</v>
      </c>
      <c r="C1393" s="8">
        <v>85.825916801999981</v>
      </c>
      <c r="D1393" s="5">
        <v>1.7969999999999999</v>
      </c>
      <c r="E1393" s="5">
        <v>26.577999999999999</v>
      </c>
      <c r="F1393" s="16" t="s">
        <v>1303</v>
      </c>
      <c r="G1393" s="11">
        <v>0.58199999999999996</v>
      </c>
      <c r="H1393" s="5">
        <v>104.59</v>
      </c>
      <c r="I1393" s="8">
        <v>51</v>
      </c>
      <c r="J1393" s="8">
        <v>64</v>
      </c>
      <c r="K1393" s="8">
        <v>145</v>
      </c>
      <c r="L1393" s="8">
        <v>89</v>
      </c>
      <c r="M1393" t="s">
        <v>33</v>
      </c>
      <c r="N1393" s="16" t="s">
        <v>23</v>
      </c>
      <c r="O1393" s="16" t="s">
        <v>22</v>
      </c>
      <c r="P1393" s="16" t="s">
        <v>37</v>
      </c>
      <c r="Q1393" s="10" t="s">
        <v>1186</v>
      </c>
      <c r="R1393" s="3" t="str">
        <f t="shared" si="42"/>
        <v>116</v>
      </c>
      <c r="S1393" s="3" t="str">
        <f t="shared" si="43"/>
        <v>68</v>
      </c>
      <c r="T1393" s="16" t="s">
        <v>33</v>
      </c>
      <c r="U1393" s="3">
        <v>14.016</v>
      </c>
      <c r="V1393" s="16" t="str">
        <f>PROPER(Table1[[#This Row],[CVD Risk Level]])</f>
        <v>Low</v>
      </c>
    </row>
    <row r="1394" spans="1:22" x14ac:dyDescent="0.3">
      <c r="A1394" t="s">
        <v>20</v>
      </c>
      <c r="B1394" s="8">
        <v>26</v>
      </c>
      <c r="C1394" s="8">
        <v>57.25</v>
      </c>
      <c r="D1394" s="5">
        <v>1.859</v>
      </c>
      <c r="E1394" s="5">
        <v>29.971</v>
      </c>
      <c r="F1394" s="16" t="s">
        <v>1303</v>
      </c>
      <c r="G1394" s="11">
        <v>0.437</v>
      </c>
      <c r="H1394" s="5">
        <v>81.215000000000003</v>
      </c>
      <c r="I1394" s="8">
        <v>56.197377501725327</v>
      </c>
      <c r="J1394" s="8">
        <v>60</v>
      </c>
      <c r="K1394" s="8">
        <v>147</v>
      </c>
      <c r="L1394" s="8">
        <v>117.48563611491107</v>
      </c>
      <c r="M1394" t="s">
        <v>1306</v>
      </c>
      <c r="N1394" s="16" t="s">
        <v>23</v>
      </c>
      <c r="O1394" s="16" t="s">
        <v>23</v>
      </c>
      <c r="P1394" s="16" t="s">
        <v>28</v>
      </c>
      <c r="Q1394" s="10" t="s">
        <v>347</v>
      </c>
      <c r="R1394" s="3" t="str">
        <f t="shared" si="42"/>
        <v>111</v>
      </c>
      <c r="S1394" s="3" t="str">
        <f t="shared" si="43"/>
        <v>76</v>
      </c>
      <c r="T1394" s="16" t="s">
        <v>33</v>
      </c>
      <c r="U1394" s="3">
        <v>16.484000000000002</v>
      </c>
      <c r="V1394" s="16" t="str">
        <f>PROPER(Table1[[#This Row],[CVD Risk Level]])</f>
        <v>High</v>
      </c>
    </row>
    <row r="1395" spans="1:22" x14ac:dyDescent="0.3">
      <c r="A1395" t="s">
        <v>31</v>
      </c>
      <c r="B1395" s="8">
        <v>78</v>
      </c>
      <c r="C1395" s="8">
        <v>118.83</v>
      </c>
      <c r="D1395" s="5">
        <v>1.827</v>
      </c>
      <c r="E1395" s="5">
        <v>34.781999999999996</v>
      </c>
      <c r="F1395" s="16" t="s">
        <v>1302</v>
      </c>
      <c r="G1395" s="11">
        <v>0.623</v>
      </c>
      <c r="H1395" s="5">
        <v>113.748</v>
      </c>
      <c r="I1395" s="8">
        <v>65</v>
      </c>
      <c r="J1395" s="8">
        <v>122</v>
      </c>
      <c r="K1395" s="8">
        <v>217</v>
      </c>
      <c r="L1395" s="8">
        <v>117.48563611491107</v>
      </c>
      <c r="M1395" t="s">
        <v>1306</v>
      </c>
      <c r="N1395" s="16" t="s">
        <v>22</v>
      </c>
      <c r="O1395" s="16" t="s">
        <v>22</v>
      </c>
      <c r="P1395" s="16" t="s">
        <v>37</v>
      </c>
      <c r="Q1395" s="10" t="s">
        <v>1187</v>
      </c>
      <c r="R1395" s="3" t="str">
        <f t="shared" si="42"/>
        <v>160</v>
      </c>
      <c r="S1395" s="3" t="str">
        <f t="shared" si="43"/>
        <v>82</v>
      </c>
      <c r="T1395" s="16" t="s">
        <v>29</v>
      </c>
      <c r="U1395" s="3">
        <v>19.295999999999999</v>
      </c>
      <c r="V1395" s="16" t="str">
        <f>PROPER(Table1[[#This Row],[CVD Risk Level]])</f>
        <v>Intermediary</v>
      </c>
    </row>
    <row r="1396" spans="1:22" x14ac:dyDescent="0.3">
      <c r="A1396" t="s">
        <v>20</v>
      </c>
      <c r="B1396" s="8">
        <v>41</v>
      </c>
      <c r="C1396" s="8">
        <v>108.949</v>
      </c>
      <c r="D1396" s="5">
        <v>1.5169999999999999</v>
      </c>
      <c r="E1396" s="5">
        <v>30.24</v>
      </c>
      <c r="F1396" s="16" t="s">
        <v>1302</v>
      </c>
      <c r="G1396" s="11">
        <v>0.66900000000000004</v>
      </c>
      <c r="H1396" s="5">
        <v>101.419</v>
      </c>
      <c r="I1396" s="8">
        <v>38</v>
      </c>
      <c r="J1396" s="8">
        <v>109</v>
      </c>
      <c r="K1396" s="8">
        <v>220</v>
      </c>
      <c r="L1396" s="8">
        <v>120</v>
      </c>
      <c r="M1396" t="s">
        <v>1306</v>
      </c>
      <c r="N1396" s="16" t="s">
        <v>23</v>
      </c>
      <c r="O1396" s="16" t="s">
        <v>22</v>
      </c>
      <c r="P1396" s="16" t="s">
        <v>28</v>
      </c>
      <c r="Q1396" s="10" t="s">
        <v>317</v>
      </c>
      <c r="R1396" s="3" t="str">
        <f t="shared" si="42"/>
        <v>129</v>
      </c>
      <c r="S1396" s="3" t="str">
        <f t="shared" si="43"/>
        <v>63</v>
      </c>
      <c r="T1396" s="16" t="s">
        <v>25</v>
      </c>
      <c r="U1396" s="3">
        <v>16.898</v>
      </c>
      <c r="V1396" s="16" t="str">
        <f>PROPER(Table1[[#This Row],[CVD Risk Level]])</f>
        <v>Intermediary</v>
      </c>
    </row>
    <row r="1397" spans="1:22" x14ac:dyDescent="0.3">
      <c r="A1397" t="s">
        <v>31</v>
      </c>
      <c r="B1397" s="8">
        <v>60</v>
      </c>
      <c r="C1397" s="8">
        <v>102.474</v>
      </c>
      <c r="D1397" s="5">
        <v>1.94</v>
      </c>
      <c r="E1397" s="5">
        <v>26.036000000000001</v>
      </c>
      <c r="F1397" s="16" t="s">
        <v>1303</v>
      </c>
      <c r="G1397" s="11">
        <v>0.39400000000000002</v>
      </c>
      <c r="H1397" s="5">
        <v>76.486999999999995</v>
      </c>
      <c r="I1397" s="8">
        <v>48</v>
      </c>
      <c r="J1397" s="8">
        <v>70</v>
      </c>
      <c r="K1397" s="8">
        <v>148</v>
      </c>
      <c r="L1397" s="8">
        <v>117.48563611491107</v>
      </c>
      <c r="M1397" t="s">
        <v>1306</v>
      </c>
      <c r="N1397" s="16" t="s">
        <v>23</v>
      </c>
      <c r="O1397" s="16" t="s">
        <v>22</v>
      </c>
      <c r="P1397" s="16" t="s">
        <v>37</v>
      </c>
      <c r="Q1397" s="10" t="s">
        <v>1188</v>
      </c>
      <c r="R1397" s="3" t="str">
        <f t="shared" si="42"/>
        <v>162</v>
      </c>
      <c r="S1397" s="3" t="str">
        <f t="shared" si="43"/>
        <v>110</v>
      </c>
      <c r="T1397" s="16" t="s">
        <v>38</v>
      </c>
      <c r="U1397" s="3">
        <v>16.266999999999999</v>
      </c>
      <c r="V1397" s="16" t="str">
        <f>PROPER(Table1[[#This Row],[CVD Risk Level]])</f>
        <v>Intermediary</v>
      </c>
    </row>
    <row r="1398" spans="1:22" x14ac:dyDescent="0.3">
      <c r="A1398" t="s">
        <v>31</v>
      </c>
      <c r="B1398" s="8">
        <v>52</v>
      </c>
      <c r="C1398" s="8">
        <v>102.224</v>
      </c>
      <c r="D1398" s="5">
        <v>1.81</v>
      </c>
      <c r="E1398" s="5">
        <v>27.765999999999998</v>
      </c>
      <c r="F1398" s="16" t="s">
        <v>1303</v>
      </c>
      <c r="G1398" s="11">
        <v>0.45900000000000002</v>
      </c>
      <c r="H1398" s="5">
        <v>83.057000000000002</v>
      </c>
      <c r="I1398" s="8">
        <v>72</v>
      </c>
      <c r="J1398" s="8">
        <v>184</v>
      </c>
      <c r="K1398" s="8">
        <v>286</v>
      </c>
      <c r="L1398" s="8">
        <v>150</v>
      </c>
      <c r="M1398" t="s">
        <v>1307</v>
      </c>
      <c r="N1398" s="16" t="s">
        <v>22</v>
      </c>
      <c r="O1398" s="16" t="s">
        <v>23</v>
      </c>
      <c r="P1398" s="16" t="s">
        <v>24</v>
      </c>
      <c r="Q1398" s="10" t="s">
        <v>1189</v>
      </c>
      <c r="R1398" s="3" t="str">
        <f t="shared" si="42"/>
        <v>97</v>
      </c>
      <c r="S1398" s="3" t="str">
        <f t="shared" si="43"/>
        <v>92</v>
      </c>
      <c r="T1398" s="16" t="s">
        <v>38</v>
      </c>
      <c r="U1398" s="3">
        <v>18.123000000000001</v>
      </c>
      <c r="V1398" s="16" t="str">
        <f>PROPER(Table1[[#This Row],[CVD Risk Level]])</f>
        <v>Low</v>
      </c>
    </row>
    <row r="1399" spans="1:22" x14ac:dyDescent="0.3">
      <c r="A1399" t="s">
        <v>31</v>
      </c>
      <c r="B1399" s="8">
        <v>38</v>
      </c>
      <c r="C1399" s="8">
        <v>116.742</v>
      </c>
      <c r="D1399" s="5">
        <v>1.6970000000000001</v>
      </c>
      <c r="E1399" s="5">
        <v>34.604999999999997</v>
      </c>
      <c r="F1399" s="16" t="s">
        <v>1302</v>
      </c>
      <c r="G1399" s="11">
        <v>0.69978786093105472</v>
      </c>
      <c r="H1399" s="5">
        <v>118.754</v>
      </c>
      <c r="I1399" s="8">
        <v>56</v>
      </c>
      <c r="J1399" s="8">
        <v>193</v>
      </c>
      <c r="K1399" s="8">
        <v>279</v>
      </c>
      <c r="L1399" s="8">
        <v>117.48563611491107</v>
      </c>
      <c r="M1399" t="s">
        <v>1306</v>
      </c>
      <c r="N1399" s="16" t="s">
        <v>23</v>
      </c>
      <c r="O1399" s="16" t="s">
        <v>23</v>
      </c>
      <c r="P1399" s="16" t="s">
        <v>37</v>
      </c>
      <c r="Q1399" s="10" t="s">
        <v>1190</v>
      </c>
      <c r="R1399" s="3" t="str">
        <f t="shared" si="42"/>
        <v>177</v>
      </c>
      <c r="S1399" s="3" t="str">
        <f t="shared" si="43"/>
        <v>76</v>
      </c>
      <c r="T1399" s="16" t="s">
        <v>38</v>
      </c>
      <c r="U1399" s="3">
        <v>23.350999999999999</v>
      </c>
      <c r="V1399" s="16" t="str">
        <f>PROPER(Table1[[#This Row],[CVD Risk Level]])</f>
        <v>High</v>
      </c>
    </row>
    <row r="1400" spans="1:22" x14ac:dyDescent="0.3">
      <c r="A1400" t="s">
        <v>20</v>
      </c>
      <c r="B1400" s="8">
        <v>27</v>
      </c>
      <c r="C1400" s="8">
        <v>69.138999999999996</v>
      </c>
      <c r="D1400" s="5">
        <v>1.734</v>
      </c>
      <c r="E1400" s="5">
        <v>21.824999999999999</v>
      </c>
      <c r="F1400" s="16" t="s">
        <v>33</v>
      </c>
      <c r="G1400" s="11">
        <v>0.55300000000000005</v>
      </c>
      <c r="H1400" s="5">
        <v>95.866</v>
      </c>
      <c r="I1400" s="8">
        <v>84</v>
      </c>
      <c r="J1400" s="8">
        <v>62</v>
      </c>
      <c r="K1400" s="8">
        <v>176</v>
      </c>
      <c r="L1400" s="8">
        <v>87</v>
      </c>
      <c r="M1400" t="s">
        <v>33</v>
      </c>
      <c r="N1400" s="16" t="s">
        <v>22</v>
      </c>
      <c r="O1400" s="16" t="s">
        <v>23</v>
      </c>
      <c r="P1400" s="16" t="s">
        <v>37</v>
      </c>
      <c r="Q1400" s="10" t="s">
        <v>1191</v>
      </c>
      <c r="R1400" s="3" t="str">
        <f t="shared" si="42"/>
        <v>139</v>
      </c>
      <c r="S1400" s="3" t="str">
        <f t="shared" si="43"/>
        <v>113</v>
      </c>
      <c r="T1400" s="16" t="s">
        <v>29</v>
      </c>
      <c r="U1400" s="3">
        <v>16.835000000000001</v>
      </c>
      <c r="V1400" s="16" t="str">
        <f>PROPER(Table1[[#This Row],[CVD Risk Level]])</f>
        <v>High</v>
      </c>
    </row>
    <row r="1401" spans="1:22" x14ac:dyDescent="0.3">
      <c r="A1401" t="s">
        <v>20</v>
      </c>
      <c r="B1401" s="8">
        <v>40</v>
      </c>
      <c r="C1401" s="8">
        <v>99.555000000000007</v>
      </c>
      <c r="D1401" s="5">
        <v>1.5740000000000001</v>
      </c>
      <c r="E1401" s="5">
        <v>39.323</v>
      </c>
      <c r="F1401" s="16" t="s">
        <v>1302</v>
      </c>
      <c r="G1401" s="11">
        <v>0.56399999999999995</v>
      </c>
      <c r="H1401" s="5">
        <v>88.724999999999994</v>
      </c>
      <c r="I1401" s="8">
        <v>48</v>
      </c>
      <c r="J1401" s="8">
        <v>190</v>
      </c>
      <c r="K1401" s="8">
        <v>268</v>
      </c>
      <c r="L1401" s="8">
        <v>115</v>
      </c>
      <c r="M1401" t="s">
        <v>1306</v>
      </c>
      <c r="N1401" s="16" t="s">
        <v>22</v>
      </c>
      <c r="O1401" s="16" t="s">
        <v>23</v>
      </c>
      <c r="P1401" s="16" t="s">
        <v>24</v>
      </c>
      <c r="Q1401" s="10" t="s">
        <v>1192</v>
      </c>
      <c r="R1401" s="3" t="str">
        <f t="shared" si="42"/>
        <v>115</v>
      </c>
      <c r="S1401" s="3" t="str">
        <f t="shared" si="43"/>
        <v>114</v>
      </c>
      <c r="T1401" s="16" t="s">
        <v>38</v>
      </c>
      <c r="U1401" s="3">
        <v>20.975000000000001</v>
      </c>
      <c r="V1401" s="16" t="str">
        <f>PROPER(Table1[[#This Row],[CVD Risk Level]])</f>
        <v>Low</v>
      </c>
    </row>
    <row r="1402" spans="1:22" x14ac:dyDescent="0.3">
      <c r="A1402" t="s">
        <v>31</v>
      </c>
      <c r="B1402" s="8">
        <v>47.025499655410059</v>
      </c>
      <c r="C1402" s="8">
        <v>75.358000000000004</v>
      </c>
      <c r="D1402" s="5">
        <v>1.9039999999999999</v>
      </c>
      <c r="E1402" s="5">
        <v>32.084000000000003</v>
      </c>
      <c r="F1402" s="16" t="s">
        <v>1302</v>
      </c>
      <c r="G1402" s="11">
        <v>0.48099999999999998</v>
      </c>
      <c r="H1402" s="5">
        <v>91.513000000000005</v>
      </c>
      <c r="I1402" s="8">
        <v>84</v>
      </c>
      <c r="J1402" s="8">
        <v>120</v>
      </c>
      <c r="K1402" s="8">
        <v>234</v>
      </c>
      <c r="L1402" s="8">
        <v>141</v>
      </c>
      <c r="M1402" t="s">
        <v>1307</v>
      </c>
      <c r="N1402" s="16" t="s">
        <v>23</v>
      </c>
      <c r="O1402" s="16" t="s">
        <v>22</v>
      </c>
      <c r="P1402" s="16" t="s">
        <v>37</v>
      </c>
      <c r="Q1402" s="10" t="s">
        <v>1193</v>
      </c>
      <c r="R1402" s="3" t="str">
        <f t="shared" si="42"/>
        <v>145</v>
      </c>
      <c r="S1402" s="3" t="str">
        <f t="shared" si="43"/>
        <v>68</v>
      </c>
      <c r="T1402" s="16" t="s">
        <v>38</v>
      </c>
      <c r="U1402" s="3">
        <v>18.347000000000001</v>
      </c>
      <c r="V1402" s="16" t="str">
        <f>PROPER(Table1[[#This Row],[CVD Risk Level]])</f>
        <v>Intermediary</v>
      </c>
    </row>
    <row r="1403" spans="1:22" x14ac:dyDescent="0.3">
      <c r="A1403" t="s">
        <v>31</v>
      </c>
      <c r="B1403" s="8">
        <v>68</v>
      </c>
      <c r="C1403" s="8">
        <v>107.491</v>
      </c>
      <c r="D1403" s="5">
        <v>1.976</v>
      </c>
      <c r="E1403" s="5">
        <v>29.614000000000001</v>
      </c>
      <c r="F1403" s="16" t="s">
        <v>1303</v>
      </c>
      <c r="G1403" s="11">
        <v>0.47099999999999997</v>
      </c>
      <c r="H1403" s="5">
        <v>93.15</v>
      </c>
      <c r="I1403" s="8">
        <v>86</v>
      </c>
      <c r="J1403" s="8">
        <v>90</v>
      </c>
      <c r="K1403" s="8">
        <v>206</v>
      </c>
      <c r="L1403" s="8">
        <v>165</v>
      </c>
      <c r="M1403" t="s">
        <v>1307</v>
      </c>
      <c r="N1403" s="16" t="s">
        <v>23</v>
      </c>
      <c r="O1403" s="16" t="s">
        <v>22</v>
      </c>
      <c r="P1403" s="16" t="s">
        <v>24</v>
      </c>
      <c r="Q1403" s="10" t="s">
        <v>1194</v>
      </c>
      <c r="R1403" s="3" t="str">
        <f t="shared" si="42"/>
        <v>136</v>
      </c>
      <c r="S1403" s="3" t="str">
        <f t="shared" si="43"/>
        <v>115</v>
      </c>
      <c r="T1403" s="16" t="s">
        <v>29</v>
      </c>
      <c r="U1403" s="3">
        <v>16.843</v>
      </c>
      <c r="V1403" s="16" t="str">
        <f>PROPER(Table1[[#This Row],[CVD Risk Level]])</f>
        <v>Low</v>
      </c>
    </row>
    <row r="1404" spans="1:22" x14ac:dyDescent="0.3">
      <c r="A1404" t="s">
        <v>20</v>
      </c>
      <c r="B1404" s="8">
        <v>30</v>
      </c>
      <c r="C1404" s="8">
        <v>71.926000000000002</v>
      </c>
      <c r="D1404" s="5">
        <v>1.831</v>
      </c>
      <c r="E1404" s="5">
        <v>38.911999999999999</v>
      </c>
      <c r="F1404" s="16" t="s">
        <v>1302</v>
      </c>
      <c r="G1404" s="11">
        <v>0.48399999999999999</v>
      </c>
      <c r="H1404" s="5">
        <v>88.626999999999995</v>
      </c>
      <c r="I1404" s="8">
        <v>64</v>
      </c>
      <c r="J1404" s="8">
        <v>124</v>
      </c>
      <c r="K1404" s="8">
        <v>218</v>
      </c>
      <c r="L1404" s="8">
        <v>83</v>
      </c>
      <c r="M1404" t="s">
        <v>33</v>
      </c>
      <c r="N1404" s="16" t="s">
        <v>23</v>
      </c>
      <c r="O1404" s="16" t="s">
        <v>23</v>
      </c>
      <c r="P1404" s="16" t="s">
        <v>28</v>
      </c>
      <c r="Q1404" s="10" t="s">
        <v>1195</v>
      </c>
      <c r="R1404" s="3" t="str">
        <f t="shared" si="42"/>
        <v>134</v>
      </c>
      <c r="S1404" s="3" t="str">
        <f t="shared" si="43"/>
        <v>98</v>
      </c>
      <c r="T1404" s="16" t="s">
        <v>29</v>
      </c>
      <c r="U1404" s="3">
        <v>20.841999999999999</v>
      </c>
      <c r="V1404" s="16" t="str">
        <f>PROPER(Table1[[#This Row],[CVD Risk Level]])</f>
        <v>Intermediary</v>
      </c>
    </row>
    <row r="1405" spans="1:22" x14ac:dyDescent="0.3">
      <c r="A1405" t="s">
        <v>20</v>
      </c>
      <c r="B1405" s="8">
        <v>59</v>
      </c>
      <c r="C1405" s="8">
        <v>59.642000000000003</v>
      </c>
      <c r="D1405" s="5">
        <v>1.6539999999999999</v>
      </c>
      <c r="E1405" s="5">
        <v>21.801239602356389</v>
      </c>
      <c r="F1405" s="16" t="s">
        <v>33</v>
      </c>
      <c r="G1405" s="11">
        <v>0.53900000000000003</v>
      </c>
      <c r="H1405" s="5">
        <v>89.134</v>
      </c>
      <c r="I1405" s="8">
        <v>35</v>
      </c>
      <c r="J1405" s="8">
        <v>126</v>
      </c>
      <c r="K1405" s="8">
        <v>191</v>
      </c>
      <c r="L1405" s="8">
        <v>112</v>
      </c>
      <c r="M1405" t="s">
        <v>1306</v>
      </c>
      <c r="N1405" s="16" t="s">
        <v>22</v>
      </c>
      <c r="O1405" s="16" t="s">
        <v>23</v>
      </c>
      <c r="P1405" s="16" t="s">
        <v>24</v>
      </c>
      <c r="Q1405" s="10" t="s">
        <v>1196</v>
      </c>
      <c r="R1405" s="3" t="str">
        <f t="shared" si="42"/>
        <v>110</v>
      </c>
      <c r="S1405" s="3" t="str">
        <f t="shared" si="43"/>
        <v>116</v>
      </c>
      <c r="T1405" s="16" t="s">
        <v>38</v>
      </c>
      <c r="U1405" s="3">
        <v>17.045999999999999</v>
      </c>
      <c r="V1405" s="16" t="str">
        <f>PROPER(Table1[[#This Row],[CVD Risk Level]])</f>
        <v>High</v>
      </c>
    </row>
    <row r="1406" spans="1:22" x14ac:dyDescent="0.3">
      <c r="A1406" t="s">
        <v>31</v>
      </c>
      <c r="B1406" s="8">
        <v>40</v>
      </c>
      <c r="C1406" s="8">
        <v>71.555999999999997</v>
      </c>
      <c r="D1406" s="5">
        <v>1.7050000000000001</v>
      </c>
      <c r="E1406" s="5">
        <v>38.381</v>
      </c>
      <c r="F1406" s="16" t="s">
        <v>1302</v>
      </c>
      <c r="G1406" s="11">
        <v>0.42899999999999999</v>
      </c>
      <c r="H1406" s="5">
        <v>73.153999999999996</v>
      </c>
      <c r="I1406" s="8">
        <v>56</v>
      </c>
      <c r="J1406" s="8">
        <v>160</v>
      </c>
      <c r="K1406" s="8">
        <v>246</v>
      </c>
      <c r="L1406" s="8">
        <v>88</v>
      </c>
      <c r="M1406" t="s">
        <v>33</v>
      </c>
      <c r="N1406" s="16" t="s">
        <v>22</v>
      </c>
      <c r="O1406" s="16" t="s">
        <v>22</v>
      </c>
      <c r="P1406" s="16" t="s">
        <v>24</v>
      </c>
      <c r="Q1406" s="10" t="s">
        <v>1197</v>
      </c>
      <c r="R1406" s="3" t="str">
        <f t="shared" si="42"/>
        <v>125</v>
      </c>
      <c r="S1406" s="3" t="str">
        <f t="shared" si="43"/>
        <v>112</v>
      </c>
      <c r="T1406" s="16" t="s">
        <v>38</v>
      </c>
      <c r="U1406" s="3">
        <v>18.846</v>
      </c>
      <c r="V1406" s="16" t="str">
        <f>PROPER(Table1[[#This Row],[CVD Risk Level]])</f>
        <v>Intermediary</v>
      </c>
    </row>
    <row r="1407" spans="1:22" x14ac:dyDescent="0.3">
      <c r="A1407" t="s">
        <v>31</v>
      </c>
      <c r="B1407" s="8">
        <v>55</v>
      </c>
      <c r="C1407" s="8">
        <v>88.834000000000003</v>
      </c>
      <c r="D1407" s="5">
        <v>1.665</v>
      </c>
      <c r="E1407" s="5">
        <v>27.856000000000002</v>
      </c>
      <c r="F1407" s="16" t="s">
        <v>1303</v>
      </c>
      <c r="G1407" s="11">
        <v>0.54876876876876879</v>
      </c>
      <c r="H1407" s="5">
        <v>91.37</v>
      </c>
      <c r="I1407" s="8">
        <v>56.197377501725327</v>
      </c>
      <c r="J1407" s="8">
        <v>39</v>
      </c>
      <c r="K1407" s="8">
        <v>106</v>
      </c>
      <c r="L1407" s="8">
        <v>87</v>
      </c>
      <c r="M1407" t="s">
        <v>33</v>
      </c>
      <c r="N1407" s="16" t="s">
        <v>23</v>
      </c>
      <c r="O1407" s="16" t="s">
        <v>22</v>
      </c>
      <c r="P1407" s="16" t="s">
        <v>24</v>
      </c>
      <c r="Q1407" s="10" t="s">
        <v>1198</v>
      </c>
      <c r="R1407" s="3" t="str">
        <f t="shared" si="42"/>
        <v>120</v>
      </c>
      <c r="S1407" s="3" t="str">
        <f t="shared" si="43"/>
        <v>75</v>
      </c>
      <c r="T1407" s="16" t="s">
        <v>25</v>
      </c>
      <c r="U1407" s="3">
        <v>13.691000000000001</v>
      </c>
      <c r="V1407" s="16" t="str">
        <f>PROPER(Table1[[#This Row],[CVD Risk Level]])</f>
        <v>Intermediary</v>
      </c>
    </row>
    <row r="1408" spans="1:22" x14ac:dyDescent="0.3">
      <c r="A1408" t="s">
        <v>31</v>
      </c>
      <c r="B1408" s="8">
        <v>47.025499655410059</v>
      </c>
      <c r="C1408" s="8">
        <v>74.671000000000006</v>
      </c>
      <c r="D1408" s="5">
        <v>1.982</v>
      </c>
      <c r="E1408" s="5">
        <v>26.564</v>
      </c>
      <c r="F1408" s="16" t="s">
        <v>1303</v>
      </c>
      <c r="G1408" s="11">
        <v>0.51700000000000002</v>
      </c>
      <c r="H1408" s="5">
        <v>102.538</v>
      </c>
      <c r="I1408" s="8">
        <v>88</v>
      </c>
      <c r="J1408" s="8">
        <v>42</v>
      </c>
      <c r="K1408" s="8">
        <v>160</v>
      </c>
      <c r="L1408" s="8">
        <v>126</v>
      </c>
      <c r="M1408" t="s">
        <v>1307</v>
      </c>
      <c r="N1408" s="16" t="s">
        <v>22</v>
      </c>
      <c r="O1408" s="16" t="s">
        <v>22</v>
      </c>
      <c r="P1408" s="16" t="s">
        <v>28</v>
      </c>
      <c r="Q1408" s="10" t="s">
        <v>491</v>
      </c>
      <c r="R1408" s="3" t="str">
        <f t="shared" si="42"/>
        <v>135</v>
      </c>
      <c r="S1408" s="3" t="str">
        <f t="shared" si="43"/>
        <v>87</v>
      </c>
      <c r="T1408" s="16" t="s">
        <v>29</v>
      </c>
      <c r="U1408" s="3">
        <v>15.263</v>
      </c>
      <c r="V1408" s="16" t="str">
        <f>PROPER(Table1[[#This Row],[CVD Risk Level]])</f>
        <v>Low</v>
      </c>
    </row>
    <row r="1409" spans="1:22" x14ac:dyDescent="0.3">
      <c r="A1409" t="s">
        <v>20</v>
      </c>
      <c r="B1409" s="8">
        <v>67</v>
      </c>
      <c r="C1409" s="8">
        <v>99.519000000000005</v>
      </c>
      <c r="D1409" s="5">
        <v>1.609</v>
      </c>
      <c r="E1409" s="5">
        <v>22.722000000000001</v>
      </c>
      <c r="F1409" s="16" t="s">
        <v>33</v>
      </c>
      <c r="G1409" s="11">
        <v>0.69099999999999995</v>
      </c>
      <c r="H1409" s="5">
        <v>111.179</v>
      </c>
      <c r="I1409" s="8">
        <v>54</v>
      </c>
      <c r="J1409" s="8">
        <v>151</v>
      </c>
      <c r="K1409" s="8">
        <v>235</v>
      </c>
      <c r="L1409" s="8">
        <v>85</v>
      </c>
      <c r="M1409" t="s">
        <v>33</v>
      </c>
      <c r="N1409" s="16" t="s">
        <v>23</v>
      </c>
      <c r="O1409" s="16" t="s">
        <v>22</v>
      </c>
      <c r="P1409" s="16" t="s">
        <v>24</v>
      </c>
      <c r="Q1409" s="10" t="s">
        <v>1199</v>
      </c>
      <c r="R1409" s="3" t="str">
        <f t="shared" si="42"/>
        <v>178</v>
      </c>
      <c r="S1409" s="3" t="str">
        <f t="shared" si="43"/>
        <v>100</v>
      </c>
      <c r="T1409" s="16" t="s">
        <v>38</v>
      </c>
      <c r="U1409" s="3">
        <v>18.143999999999998</v>
      </c>
      <c r="V1409" s="16" t="str">
        <f>PROPER(Table1[[#This Row],[CVD Risk Level]])</f>
        <v>Low</v>
      </c>
    </row>
    <row r="1410" spans="1:22" x14ac:dyDescent="0.3">
      <c r="A1410" t="s">
        <v>20</v>
      </c>
      <c r="B1410" s="8">
        <v>67</v>
      </c>
      <c r="C1410" s="8">
        <v>70.894999999999996</v>
      </c>
      <c r="D1410" s="5">
        <v>1.6759999999999999</v>
      </c>
      <c r="E1410" s="5">
        <v>28.332000000000001</v>
      </c>
      <c r="F1410" s="16" t="s">
        <v>1303</v>
      </c>
      <c r="G1410" s="11">
        <v>0.68500000000000005</v>
      </c>
      <c r="H1410" s="5">
        <v>114.88500000000001</v>
      </c>
      <c r="I1410" s="8">
        <v>88</v>
      </c>
      <c r="J1410" s="8">
        <v>47</v>
      </c>
      <c r="K1410" s="8">
        <v>165</v>
      </c>
      <c r="L1410" s="8">
        <v>198</v>
      </c>
      <c r="M1410" t="s">
        <v>1307</v>
      </c>
      <c r="N1410" s="16" t="s">
        <v>22</v>
      </c>
      <c r="O1410" s="16" t="s">
        <v>22</v>
      </c>
      <c r="P1410" s="16" t="s">
        <v>37</v>
      </c>
      <c r="Q1410" s="10" t="s">
        <v>1200</v>
      </c>
      <c r="R1410" s="3" t="str">
        <f t="shared" si="42"/>
        <v>176</v>
      </c>
      <c r="S1410" s="3" t="str">
        <f t="shared" si="43"/>
        <v>103</v>
      </c>
      <c r="T1410" s="16" t="s">
        <v>38</v>
      </c>
      <c r="U1410" s="3">
        <v>17.765999999999998</v>
      </c>
      <c r="V1410" s="16" t="str">
        <f>PROPER(Table1[[#This Row],[CVD Risk Level]])</f>
        <v>High</v>
      </c>
    </row>
    <row r="1411" spans="1:22" x14ac:dyDescent="0.3">
      <c r="A1411" t="s">
        <v>20</v>
      </c>
      <c r="B1411" s="8">
        <v>47.025499655410059</v>
      </c>
      <c r="C1411" s="8">
        <v>92.667000000000002</v>
      </c>
      <c r="D1411" s="5">
        <v>1.7210000000000001</v>
      </c>
      <c r="E1411" s="5">
        <v>24.405000000000001</v>
      </c>
      <c r="F1411" s="16" t="s">
        <v>33</v>
      </c>
      <c r="G1411" s="11">
        <v>0.55300000000000005</v>
      </c>
      <c r="H1411" s="5">
        <v>95.191999999999993</v>
      </c>
      <c r="I1411" s="8">
        <v>84</v>
      </c>
      <c r="J1411" s="8">
        <v>19</v>
      </c>
      <c r="K1411" s="8">
        <v>133</v>
      </c>
      <c r="L1411" s="8">
        <v>111</v>
      </c>
      <c r="M1411" t="s">
        <v>1306</v>
      </c>
      <c r="N1411" s="16" t="s">
        <v>23</v>
      </c>
      <c r="O1411" s="16" t="s">
        <v>22</v>
      </c>
      <c r="P1411" s="16" t="s">
        <v>24</v>
      </c>
      <c r="Q1411" s="10" t="s">
        <v>1201</v>
      </c>
      <c r="R1411" s="3" t="str">
        <f t="shared" ref="R1411:R1474" si="44">LEFT(Q1411,FIND("/",Q1411)-1)</f>
        <v>137</v>
      </c>
      <c r="S1411" s="3" t="str">
        <f t="shared" ref="S1411:S1474" si="45">RIGHT(Q1411,LEN(Q1411)-FIND("/",Q1411))</f>
        <v>84</v>
      </c>
      <c r="T1411" s="16" t="s">
        <v>29</v>
      </c>
      <c r="U1411" s="3">
        <v>16.960925291295425</v>
      </c>
      <c r="V1411" s="16" t="str">
        <f>PROPER(Table1[[#This Row],[CVD Risk Level]])</f>
        <v>High</v>
      </c>
    </row>
    <row r="1412" spans="1:22" x14ac:dyDescent="0.3">
      <c r="A1412" t="s">
        <v>31</v>
      </c>
      <c r="B1412" s="8">
        <v>75</v>
      </c>
      <c r="C1412" s="8">
        <v>107.53400000000001</v>
      </c>
      <c r="D1412" s="5">
        <v>1.65</v>
      </c>
      <c r="E1412" s="5">
        <v>31.065999999999999</v>
      </c>
      <c r="F1412" s="16" t="s">
        <v>1302</v>
      </c>
      <c r="G1412" s="11">
        <v>0.54300000000000004</v>
      </c>
      <c r="H1412" s="5">
        <v>89.564999999999998</v>
      </c>
      <c r="I1412" s="8">
        <v>50</v>
      </c>
      <c r="J1412" s="8">
        <v>38</v>
      </c>
      <c r="K1412" s="8">
        <v>118</v>
      </c>
      <c r="L1412" s="8">
        <v>131</v>
      </c>
      <c r="M1412" t="s">
        <v>1307</v>
      </c>
      <c r="N1412" s="16" t="s">
        <v>23</v>
      </c>
      <c r="O1412" s="16" t="s">
        <v>22</v>
      </c>
      <c r="P1412" s="16" t="s">
        <v>37</v>
      </c>
      <c r="Q1412" s="10" t="s">
        <v>1086</v>
      </c>
      <c r="R1412" s="3" t="str">
        <f t="shared" si="44"/>
        <v>155</v>
      </c>
      <c r="S1412" s="3" t="str">
        <f t="shared" si="45"/>
        <v>68</v>
      </c>
      <c r="T1412" s="16" t="s">
        <v>38</v>
      </c>
      <c r="U1412" s="3">
        <v>16.323</v>
      </c>
      <c r="V1412" s="16" t="str">
        <f>PROPER(Table1[[#This Row],[CVD Risk Level]])</f>
        <v>Intermediary</v>
      </c>
    </row>
    <row r="1413" spans="1:22" x14ac:dyDescent="0.3">
      <c r="A1413" t="s">
        <v>20</v>
      </c>
      <c r="B1413" s="8">
        <v>44</v>
      </c>
      <c r="C1413" s="8">
        <v>112.97799999999999</v>
      </c>
      <c r="D1413" s="5">
        <v>1.5069999999999999</v>
      </c>
      <c r="E1413" s="5">
        <v>36.380000000000003</v>
      </c>
      <c r="F1413" s="16" t="s">
        <v>1302</v>
      </c>
      <c r="G1413" s="11">
        <v>0.78700000000000003</v>
      </c>
      <c r="H1413" s="5">
        <v>118.586</v>
      </c>
      <c r="I1413" s="8">
        <v>61</v>
      </c>
      <c r="J1413" s="8">
        <v>77</v>
      </c>
      <c r="K1413" s="8">
        <v>168</v>
      </c>
      <c r="L1413" s="8">
        <v>170</v>
      </c>
      <c r="M1413" t="s">
        <v>1307</v>
      </c>
      <c r="N1413" s="16" t="s">
        <v>22</v>
      </c>
      <c r="O1413" s="16" t="s">
        <v>22</v>
      </c>
      <c r="P1413" s="16" t="s">
        <v>37</v>
      </c>
      <c r="Q1413" s="10" t="s">
        <v>1202</v>
      </c>
      <c r="R1413" s="3" t="str">
        <f t="shared" si="44"/>
        <v>142</v>
      </c>
      <c r="S1413" s="3" t="str">
        <f t="shared" si="45"/>
        <v>101</v>
      </c>
      <c r="T1413" s="16" t="s">
        <v>38</v>
      </c>
      <c r="U1413" s="3">
        <v>17.736000000000001</v>
      </c>
      <c r="V1413" s="16" t="str">
        <f>PROPER(Table1[[#This Row],[CVD Risk Level]])</f>
        <v>High</v>
      </c>
    </row>
    <row r="1414" spans="1:22" x14ac:dyDescent="0.3">
      <c r="A1414" t="s">
        <v>20</v>
      </c>
      <c r="B1414" s="8">
        <v>62</v>
      </c>
      <c r="C1414" s="8">
        <v>112.81399999999999</v>
      </c>
      <c r="D1414" s="5">
        <v>1.7270000000000001</v>
      </c>
      <c r="E1414" s="5">
        <v>35.835000000000001</v>
      </c>
      <c r="F1414" s="16" t="s">
        <v>1302</v>
      </c>
      <c r="G1414" s="11">
        <v>0.40699999999999997</v>
      </c>
      <c r="H1414" s="5">
        <v>70.332999999999998</v>
      </c>
      <c r="I1414" s="8">
        <v>87</v>
      </c>
      <c r="J1414" s="8">
        <v>108</v>
      </c>
      <c r="K1414" s="8">
        <v>225</v>
      </c>
      <c r="L1414" s="8">
        <v>117.48563611491107</v>
      </c>
      <c r="M1414" t="s">
        <v>1306</v>
      </c>
      <c r="N1414" s="16" t="s">
        <v>22</v>
      </c>
      <c r="O1414" s="16" t="s">
        <v>22</v>
      </c>
      <c r="P1414" s="16" t="s">
        <v>24</v>
      </c>
      <c r="Q1414" s="10" t="s">
        <v>1203</v>
      </c>
      <c r="R1414" s="3" t="str">
        <f t="shared" si="44"/>
        <v>178</v>
      </c>
      <c r="S1414" s="3" t="str">
        <f t="shared" si="45"/>
        <v>73</v>
      </c>
      <c r="T1414" s="16" t="s">
        <v>38</v>
      </c>
      <c r="U1414" s="3">
        <v>20.567</v>
      </c>
      <c r="V1414" s="16" t="str">
        <f>PROPER(Table1[[#This Row],[CVD Risk Level]])</f>
        <v>High</v>
      </c>
    </row>
    <row r="1415" spans="1:22" x14ac:dyDescent="0.3">
      <c r="A1415" t="s">
        <v>20</v>
      </c>
      <c r="B1415" s="8">
        <v>45</v>
      </c>
      <c r="C1415" s="8">
        <v>103.49983564800003</v>
      </c>
      <c r="D1415" s="5">
        <v>1.6160000000000001</v>
      </c>
      <c r="E1415" s="5">
        <v>39.633000000000003</v>
      </c>
      <c r="F1415" s="16" t="s">
        <v>1302</v>
      </c>
      <c r="G1415" s="11">
        <v>0.67700000000000005</v>
      </c>
      <c r="H1415" s="5">
        <v>109.352</v>
      </c>
      <c r="I1415" s="8">
        <v>75</v>
      </c>
      <c r="J1415" s="8">
        <v>151</v>
      </c>
      <c r="K1415" s="8">
        <v>256</v>
      </c>
      <c r="L1415" s="8">
        <v>160</v>
      </c>
      <c r="M1415" t="s">
        <v>1307</v>
      </c>
      <c r="N1415" s="16" t="s">
        <v>22</v>
      </c>
      <c r="O1415" s="16" t="s">
        <v>23</v>
      </c>
      <c r="P1415" s="16" t="s">
        <v>28</v>
      </c>
      <c r="Q1415" s="10" t="s">
        <v>987</v>
      </c>
      <c r="R1415" s="3" t="str">
        <f t="shared" si="44"/>
        <v>175</v>
      </c>
      <c r="S1415" s="3" t="str">
        <f t="shared" si="45"/>
        <v>98</v>
      </c>
      <c r="T1415" s="16" t="s">
        <v>38</v>
      </c>
      <c r="U1415" s="3">
        <v>23.797000000000001</v>
      </c>
      <c r="V1415" s="16" t="str">
        <f>PROPER(Table1[[#This Row],[CVD Risk Level]])</f>
        <v>Low</v>
      </c>
    </row>
    <row r="1416" spans="1:22" x14ac:dyDescent="0.3">
      <c r="A1416" t="s">
        <v>31</v>
      </c>
      <c r="B1416" s="8">
        <v>50</v>
      </c>
      <c r="C1416" s="8">
        <v>71.126999999999995</v>
      </c>
      <c r="D1416" s="5">
        <v>1.754</v>
      </c>
      <c r="E1416" s="5">
        <v>31.042000000000002</v>
      </c>
      <c r="F1416" s="16" t="s">
        <v>1302</v>
      </c>
      <c r="G1416" s="11">
        <v>0.63900000000000001</v>
      </c>
      <c r="H1416" s="5">
        <v>112.11199999999999</v>
      </c>
      <c r="I1416" s="8">
        <v>89</v>
      </c>
      <c r="J1416" s="8">
        <v>51</v>
      </c>
      <c r="K1416" s="8">
        <v>170</v>
      </c>
      <c r="L1416" s="8">
        <v>175</v>
      </c>
      <c r="M1416" t="s">
        <v>1307</v>
      </c>
      <c r="N1416" s="16" t="s">
        <v>23</v>
      </c>
      <c r="O1416" s="16" t="s">
        <v>22</v>
      </c>
      <c r="P1416" s="16" t="s">
        <v>24</v>
      </c>
      <c r="Q1416" s="10" t="s">
        <v>1204</v>
      </c>
      <c r="R1416" s="3" t="str">
        <f t="shared" si="44"/>
        <v>154</v>
      </c>
      <c r="S1416" s="3" t="str">
        <f t="shared" si="45"/>
        <v>99</v>
      </c>
      <c r="T1416" s="16" t="s">
        <v>38</v>
      </c>
      <c r="U1416" s="3">
        <v>17.308</v>
      </c>
      <c r="V1416" s="16" t="str">
        <f>PROPER(Table1[[#This Row],[CVD Risk Level]])</f>
        <v>Low</v>
      </c>
    </row>
    <row r="1417" spans="1:22" x14ac:dyDescent="0.3">
      <c r="A1417" t="s">
        <v>31</v>
      </c>
      <c r="B1417" s="8">
        <v>43</v>
      </c>
      <c r="C1417" s="8">
        <v>107.21899999999999</v>
      </c>
      <c r="D1417" s="5">
        <v>1.5760000000000001</v>
      </c>
      <c r="E1417" s="5">
        <v>22.565000000000001</v>
      </c>
      <c r="F1417" s="16" t="s">
        <v>33</v>
      </c>
      <c r="G1417" s="11">
        <v>0.68300000000000005</v>
      </c>
      <c r="H1417" s="5">
        <v>107.586</v>
      </c>
      <c r="I1417" s="8">
        <v>70</v>
      </c>
      <c r="J1417" s="8">
        <v>110</v>
      </c>
      <c r="K1417" s="8">
        <v>210</v>
      </c>
      <c r="L1417" s="8">
        <v>81</v>
      </c>
      <c r="M1417" t="s">
        <v>33</v>
      </c>
      <c r="N1417" s="16" t="s">
        <v>23</v>
      </c>
      <c r="O1417" s="16" t="s">
        <v>22</v>
      </c>
      <c r="P1417" s="16" t="s">
        <v>28</v>
      </c>
      <c r="Q1417" s="10" t="s">
        <v>448</v>
      </c>
      <c r="R1417" s="3" t="str">
        <f t="shared" si="44"/>
        <v>112</v>
      </c>
      <c r="S1417" s="3" t="str">
        <f t="shared" si="45"/>
        <v>71</v>
      </c>
      <c r="T1417" s="16" t="s">
        <v>33</v>
      </c>
      <c r="U1417" s="3">
        <v>14.313000000000001</v>
      </c>
      <c r="V1417" s="16" t="str">
        <f>PROPER(Table1[[#This Row],[CVD Risk Level]])</f>
        <v>Low</v>
      </c>
    </row>
    <row r="1418" spans="1:22" x14ac:dyDescent="0.3">
      <c r="A1418" t="s">
        <v>31</v>
      </c>
      <c r="B1418" s="8">
        <v>47</v>
      </c>
      <c r="C1418" s="8">
        <v>62.204000000000001</v>
      </c>
      <c r="D1418" s="5">
        <v>1.887</v>
      </c>
      <c r="E1418" s="5">
        <v>38.322000000000003</v>
      </c>
      <c r="F1418" s="16" t="s">
        <v>1302</v>
      </c>
      <c r="G1418" s="11">
        <v>0.57699999999999996</v>
      </c>
      <c r="H1418" s="5">
        <v>108.822</v>
      </c>
      <c r="I1418" s="8">
        <v>76</v>
      </c>
      <c r="J1418" s="8">
        <v>58</v>
      </c>
      <c r="K1418" s="8">
        <v>164</v>
      </c>
      <c r="L1418" s="8">
        <v>148</v>
      </c>
      <c r="M1418" t="s">
        <v>1307</v>
      </c>
      <c r="N1418" s="16" t="s">
        <v>22</v>
      </c>
      <c r="O1418" s="16" t="s">
        <v>22</v>
      </c>
      <c r="P1418" s="16" t="s">
        <v>24</v>
      </c>
      <c r="Q1418" s="10" t="s">
        <v>459</v>
      </c>
      <c r="R1418" s="3" t="str">
        <f t="shared" si="44"/>
        <v>113</v>
      </c>
      <c r="S1418" s="3" t="str">
        <f t="shared" si="45"/>
        <v>79</v>
      </c>
      <c r="T1418" s="16" t="s">
        <v>33</v>
      </c>
      <c r="U1418" s="3">
        <v>16.594000000000001</v>
      </c>
      <c r="V1418" s="16" t="str">
        <f>PROPER(Table1[[#This Row],[CVD Risk Level]])</f>
        <v>Intermediary</v>
      </c>
    </row>
    <row r="1419" spans="1:22" x14ac:dyDescent="0.3">
      <c r="A1419" t="s">
        <v>31</v>
      </c>
      <c r="B1419" s="8">
        <v>57</v>
      </c>
      <c r="C1419" s="8">
        <v>116.77200000000001</v>
      </c>
      <c r="D1419" s="5">
        <v>1.569</v>
      </c>
      <c r="E1419" s="5">
        <v>34.125999999999998</v>
      </c>
      <c r="F1419" s="16" t="s">
        <v>1302</v>
      </c>
      <c r="G1419" s="11">
        <v>0.57799999999999996</v>
      </c>
      <c r="H1419" s="5">
        <v>90.736999999999995</v>
      </c>
      <c r="I1419" s="8">
        <v>60</v>
      </c>
      <c r="J1419" s="8">
        <v>164</v>
      </c>
      <c r="K1419" s="8">
        <v>254</v>
      </c>
      <c r="L1419" s="8">
        <v>177</v>
      </c>
      <c r="M1419" t="s">
        <v>1307</v>
      </c>
      <c r="N1419" s="16" t="s">
        <v>22</v>
      </c>
      <c r="O1419" s="16" t="s">
        <v>22</v>
      </c>
      <c r="P1419" s="16" t="s">
        <v>24</v>
      </c>
      <c r="Q1419" s="10" t="s">
        <v>984</v>
      </c>
      <c r="R1419" s="3" t="str">
        <f t="shared" si="44"/>
        <v>117</v>
      </c>
      <c r="S1419" s="3" t="str">
        <f t="shared" si="45"/>
        <v>116</v>
      </c>
      <c r="T1419" s="16" t="s">
        <v>38</v>
      </c>
      <c r="U1419" s="3">
        <v>17.754999999999999</v>
      </c>
      <c r="V1419" s="16" t="str">
        <f>PROPER(Table1[[#This Row],[CVD Risk Level]])</f>
        <v>High</v>
      </c>
    </row>
    <row r="1420" spans="1:22" x14ac:dyDescent="0.3">
      <c r="A1420" t="s">
        <v>20</v>
      </c>
      <c r="B1420" s="8">
        <v>47.025499655410059</v>
      </c>
      <c r="C1420" s="8">
        <v>80.421000000000006</v>
      </c>
      <c r="D1420" s="5">
        <v>1.53</v>
      </c>
      <c r="E1420" s="5">
        <v>26.79</v>
      </c>
      <c r="F1420" s="16" t="s">
        <v>1303</v>
      </c>
      <c r="G1420" s="11">
        <v>0.47899999999999998</v>
      </c>
      <c r="H1420" s="5">
        <v>73.218000000000004</v>
      </c>
      <c r="I1420" s="8">
        <v>73</v>
      </c>
      <c r="J1420" s="8">
        <v>136</v>
      </c>
      <c r="K1420" s="8">
        <v>239</v>
      </c>
      <c r="L1420" s="8">
        <v>96</v>
      </c>
      <c r="M1420" t="s">
        <v>33</v>
      </c>
      <c r="N1420" s="16" t="s">
        <v>23</v>
      </c>
      <c r="O1420" s="16" t="s">
        <v>23</v>
      </c>
      <c r="P1420" s="16" t="s">
        <v>28</v>
      </c>
      <c r="Q1420" s="10" t="s">
        <v>607</v>
      </c>
      <c r="R1420" s="3" t="str">
        <f t="shared" si="44"/>
        <v>113</v>
      </c>
      <c r="S1420" s="3" t="str">
        <f t="shared" si="45"/>
        <v>77</v>
      </c>
      <c r="T1420" s="16" t="s">
        <v>33</v>
      </c>
      <c r="U1420" s="3">
        <v>17.788</v>
      </c>
      <c r="V1420" s="16" t="str">
        <f>PROPER(Table1[[#This Row],[CVD Risk Level]])</f>
        <v>Low</v>
      </c>
    </row>
    <row r="1421" spans="1:22" x14ac:dyDescent="0.3">
      <c r="A1421" t="s">
        <v>20</v>
      </c>
      <c r="B1421" s="8">
        <v>30</v>
      </c>
      <c r="C1421" s="8">
        <v>60.472000000000001</v>
      </c>
      <c r="D1421" s="5">
        <v>1.601</v>
      </c>
      <c r="E1421" s="5">
        <v>31.989000000000001</v>
      </c>
      <c r="F1421" s="16" t="s">
        <v>1302</v>
      </c>
      <c r="G1421" s="11">
        <v>0.58599999999999997</v>
      </c>
      <c r="H1421" s="5">
        <v>93.816999999999993</v>
      </c>
      <c r="I1421" s="8">
        <v>88</v>
      </c>
      <c r="J1421" s="8">
        <v>175</v>
      </c>
      <c r="K1421" s="8">
        <v>293</v>
      </c>
      <c r="L1421" s="8">
        <v>104</v>
      </c>
      <c r="M1421" t="s">
        <v>1306</v>
      </c>
      <c r="N1421" s="16" t="s">
        <v>23</v>
      </c>
      <c r="O1421" s="16" t="s">
        <v>23</v>
      </c>
      <c r="P1421" s="16" t="s">
        <v>28</v>
      </c>
      <c r="Q1421" s="10" t="s">
        <v>1205</v>
      </c>
      <c r="R1421" s="3" t="str">
        <f t="shared" si="44"/>
        <v>151</v>
      </c>
      <c r="S1421" s="3" t="str">
        <f t="shared" si="45"/>
        <v>101</v>
      </c>
      <c r="T1421" s="16" t="s">
        <v>38</v>
      </c>
      <c r="U1421" s="3">
        <v>21.808</v>
      </c>
      <c r="V1421" s="16" t="str">
        <f>PROPER(Table1[[#This Row],[CVD Risk Level]])</f>
        <v>High</v>
      </c>
    </row>
    <row r="1422" spans="1:22" x14ac:dyDescent="0.3">
      <c r="A1422" t="s">
        <v>31</v>
      </c>
      <c r="B1422" s="8">
        <v>79</v>
      </c>
      <c r="C1422" s="8">
        <v>118.544</v>
      </c>
      <c r="D1422" s="5">
        <v>1.591</v>
      </c>
      <c r="E1422" s="5">
        <v>27.881</v>
      </c>
      <c r="F1422" s="16" t="s">
        <v>1303</v>
      </c>
      <c r="G1422" s="11">
        <v>0.57399999999999995</v>
      </c>
      <c r="H1422" s="5">
        <v>91.388000000000005</v>
      </c>
      <c r="I1422" s="8">
        <v>36</v>
      </c>
      <c r="J1422" s="8">
        <v>149</v>
      </c>
      <c r="K1422" s="8">
        <v>215</v>
      </c>
      <c r="L1422" s="8">
        <v>115</v>
      </c>
      <c r="M1422" t="s">
        <v>1306</v>
      </c>
      <c r="N1422" s="16" t="s">
        <v>23</v>
      </c>
      <c r="O1422" s="16" t="s">
        <v>23</v>
      </c>
      <c r="P1422" s="16" t="s">
        <v>37</v>
      </c>
      <c r="Q1422" s="10" t="s">
        <v>1206</v>
      </c>
      <c r="R1422" s="3" t="str">
        <f t="shared" si="44"/>
        <v>179</v>
      </c>
      <c r="S1422" s="3" t="str">
        <f t="shared" si="45"/>
        <v>74</v>
      </c>
      <c r="T1422" s="16" t="s">
        <v>38</v>
      </c>
      <c r="U1422" s="3">
        <v>20.826000000000001</v>
      </c>
      <c r="V1422" s="16" t="str">
        <f>PROPER(Table1[[#This Row],[CVD Risk Level]])</f>
        <v>Low</v>
      </c>
    </row>
    <row r="1423" spans="1:22" x14ac:dyDescent="0.3">
      <c r="A1423" t="s">
        <v>31</v>
      </c>
      <c r="B1423" s="8">
        <v>55</v>
      </c>
      <c r="C1423" s="8">
        <v>60.109000000000002</v>
      </c>
      <c r="D1423" s="5">
        <v>1.9330000000000001</v>
      </c>
      <c r="E1423" s="5">
        <v>26.309000000000001</v>
      </c>
      <c r="F1423" s="16" t="s">
        <v>1303</v>
      </c>
      <c r="G1423" s="11">
        <v>0.3736885669943093</v>
      </c>
      <c r="H1423" s="5">
        <v>72.233999999999995</v>
      </c>
      <c r="I1423" s="8">
        <v>72</v>
      </c>
      <c r="J1423" s="8">
        <v>8</v>
      </c>
      <c r="K1423" s="8">
        <v>110</v>
      </c>
      <c r="L1423" s="8">
        <v>150</v>
      </c>
      <c r="M1423" t="s">
        <v>1307</v>
      </c>
      <c r="N1423" s="16" t="s">
        <v>23</v>
      </c>
      <c r="O1423" s="16" t="s">
        <v>22</v>
      </c>
      <c r="P1423" s="16" t="s">
        <v>37</v>
      </c>
      <c r="Q1423" s="10" t="s">
        <v>1207</v>
      </c>
      <c r="R1423" s="3" t="str">
        <f t="shared" si="44"/>
        <v>177</v>
      </c>
      <c r="S1423" s="3" t="str">
        <f t="shared" si="45"/>
        <v>107</v>
      </c>
      <c r="T1423" s="16" t="s">
        <v>38</v>
      </c>
      <c r="U1423" s="3">
        <v>16.312000000000001</v>
      </c>
      <c r="V1423" s="16" t="str">
        <f>PROPER(Table1[[#This Row],[CVD Risk Level]])</f>
        <v>Intermediary</v>
      </c>
    </row>
    <row r="1424" spans="1:22" x14ac:dyDescent="0.3">
      <c r="A1424" t="s">
        <v>31</v>
      </c>
      <c r="B1424" s="8">
        <v>28</v>
      </c>
      <c r="C1424" s="8">
        <v>60.411000000000001</v>
      </c>
      <c r="D1424" s="5">
        <v>1.762</v>
      </c>
      <c r="E1424" s="5">
        <v>19.332999999999998</v>
      </c>
      <c r="F1424" s="16" t="s">
        <v>33</v>
      </c>
      <c r="G1424" s="11">
        <v>0.437</v>
      </c>
      <c r="H1424" s="5">
        <v>77.022000000000006</v>
      </c>
      <c r="I1424" s="8">
        <v>55</v>
      </c>
      <c r="J1424" s="8">
        <v>47</v>
      </c>
      <c r="K1424" s="8">
        <v>132</v>
      </c>
      <c r="L1424" s="8">
        <v>168</v>
      </c>
      <c r="M1424" t="s">
        <v>1307</v>
      </c>
      <c r="N1424" s="16" t="s">
        <v>23</v>
      </c>
      <c r="O1424" s="16" t="s">
        <v>22</v>
      </c>
      <c r="P1424" s="16" t="s">
        <v>24</v>
      </c>
      <c r="Q1424" s="10" t="s">
        <v>1208</v>
      </c>
      <c r="R1424" s="3" t="str">
        <f t="shared" si="44"/>
        <v>128</v>
      </c>
      <c r="S1424" s="3" t="str">
        <f t="shared" si="45"/>
        <v>110</v>
      </c>
      <c r="T1424" s="16" t="s">
        <v>38</v>
      </c>
      <c r="U1424" s="3">
        <v>12.907</v>
      </c>
      <c r="V1424" s="16" t="str">
        <f>PROPER(Table1[[#This Row],[CVD Risk Level]])</f>
        <v>High</v>
      </c>
    </row>
    <row r="1425" spans="1:22" x14ac:dyDescent="0.3">
      <c r="A1425" t="s">
        <v>20</v>
      </c>
      <c r="B1425" s="8">
        <v>75</v>
      </c>
      <c r="C1425" s="8">
        <v>73.453000000000003</v>
      </c>
      <c r="D1425" s="5">
        <v>1.8959999999999999</v>
      </c>
      <c r="E1425" s="5">
        <v>23.978999999999999</v>
      </c>
      <c r="F1425" s="16" t="s">
        <v>33</v>
      </c>
      <c r="G1425" s="11">
        <v>0.49299999999999999</v>
      </c>
      <c r="H1425" s="5">
        <v>93.376999999999995</v>
      </c>
      <c r="I1425" s="8">
        <v>56.197377501725327</v>
      </c>
      <c r="J1425" s="8">
        <v>208</v>
      </c>
      <c r="K1425" s="8">
        <v>275</v>
      </c>
      <c r="L1425" s="8">
        <v>74</v>
      </c>
      <c r="M1425" t="s">
        <v>33</v>
      </c>
      <c r="N1425" s="16" t="s">
        <v>22</v>
      </c>
      <c r="O1425" s="16" t="s">
        <v>22</v>
      </c>
      <c r="P1425" s="16" t="s">
        <v>37</v>
      </c>
      <c r="Q1425" s="10" t="s">
        <v>1209</v>
      </c>
      <c r="R1425" s="3" t="str">
        <f t="shared" si="44"/>
        <v>166</v>
      </c>
      <c r="S1425" s="3" t="str">
        <f t="shared" si="45"/>
        <v>111</v>
      </c>
      <c r="T1425" s="16" t="s">
        <v>38</v>
      </c>
      <c r="U1425" s="3">
        <v>18.596</v>
      </c>
      <c r="V1425" s="16" t="str">
        <f>PROPER(Table1[[#This Row],[CVD Risk Level]])</f>
        <v>High</v>
      </c>
    </row>
    <row r="1426" spans="1:22" x14ac:dyDescent="0.3">
      <c r="A1426" t="s">
        <v>20</v>
      </c>
      <c r="B1426" s="8">
        <v>26</v>
      </c>
      <c r="C1426" s="8">
        <v>50.716999999999999</v>
      </c>
      <c r="D1426" s="5">
        <v>1.8360000000000001</v>
      </c>
      <c r="E1426" s="5">
        <v>35.741999999999997</v>
      </c>
      <c r="F1426" s="16" t="s">
        <v>1302</v>
      </c>
      <c r="G1426" s="11">
        <v>0.64600000000000002</v>
      </c>
      <c r="H1426" s="5">
        <v>118.6056</v>
      </c>
      <c r="I1426" s="8">
        <v>82</v>
      </c>
      <c r="J1426" s="8">
        <v>148</v>
      </c>
      <c r="K1426" s="8">
        <v>260</v>
      </c>
      <c r="L1426" s="8">
        <v>124</v>
      </c>
      <c r="M1426" t="s">
        <v>1306</v>
      </c>
      <c r="N1426" s="16" t="s">
        <v>23</v>
      </c>
      <c r="O1426" s="16" t="s">
        <v>22</v>
      </c>
      <c r="P1426" s="16" t="s">
        <v>28</v>
      </c>
      <c r="Q1426" s="10" t="s">
        <v>1210</v>
      </c>
      <c r="R1426" s="3" t="str">
        <f t="shared" si="44"/>
        <v>159</v>
      </c>
      <c r="S1426" s="3" t="str">
        <f t="shared" si="45"/>
        <v>81</v>
      </c>
      <c r="T1426" s="16" t="s">
        <v>29</v>
      </c>
      <c r="U1426" s="3">
        <v>20.297999999999998</v>
      </c>
      <c r="V1426" s="16" t="str">
        <f>PROPER(Table1[[#This Row],[CVD Risk Level]])</f>
        <v>High</v>
      </c>
    </row>
    <row r="1427" spans="1:22" x14ac:dyDescent="0.3">
      <c r="A1427" t="s">
        <v>20</v>
      </c>
      <c r="B1427" s="8">
        <v>47</v>
      </c>
      <c r="C1427" s="8">
        <v>115.197</v>
      </c>
      <c r="D1427" s="5">
        <v>2.4803974052934108</v>
      </c>
      <c r="E1427" s="5">
        <v>18.724</v>
      </c>
      <c r="F1427" s="16" t="s">
        <v>33</v>
      </c>
      <c r="G1427" s="11">
        <v>0.63500000000000001</v>
      </c>
      <c r="H1427" s="5">
        <v>116.8</v>
      </c>
      <c r="I1427" s="8">
        <v>45</v>
      </c>
      <c r="J1427" s="8">
        <v>128</v>
      </c>
      <c r="K1427" s="8">
        <v>203</v>
      </c>
      <c r="L1427" s="8">
        <v>123</v>
      </c>
      <c r="M1427" t="s">
        <v>1306</v>
      </c>
      <c r="N1427" s="16" t="s">
        <v>22</v>
      </c>
      <c r="O1427" s="16" t="s">
        <v>23</v>
      </c>
      <c r="P1427" s="16" t="s">
        <v>37</v>
      </c>
      <c r="Q1427" s="10" t="s">
        <v>538</v>
      </c>
      <c r="R1427" s="3" t="str">
        <f t="shared" si="44"/>
        <v>102</v>
      </c>
      <c r="S1427" s="3" t="str">
        <f t="shared" si="45"/>
        <v>84</v>
      </c>
      <c r="T1427" s="16" t="s">
        <v>29</v>
      </c>
      <c r="U1427" s="3">
        <v>14.904999999999999</v>
      </c>
      <c r="V1427" s="16" t="str">
        <f>PROPER(Table1[[#This Row],[CVD Risk Level]])</f>
        <v>Low</v>
      </c>
    </row>
    <row r="1428" spans="1:22" x14ac:dyDescent="0.3">
      <c r="A1428" t="s">
        <v>20</v>
      </c>
      <c r="B1428" s="8">
        <v>62</v>
      </c>
      <c r="C1428" s="8">
        <v>103.37</v>
      </c>
      <c r="D1428" s="5">
        <v>1.571</v>
      </c>
      <c r="E1428" s="5">
        <v>37.728000000000002</v>
      </c>
      <c r="F1428" s="16" t="s">
        <v>1302</v>
      </c>
      <c r="G1428" s="11">
        <v>0.59899999999999998</v>
      </c>
      <c r="H1428" s="5">
        <v>94.123999999999995</v>
      </c>
      <c r="I1428" s="8">
        <v>38</v>
      </c>
      <c r="J1428" s="8">
        <v>205</v>
      </c>
      <c r="K1428" s="8">
        <v>273</v>
      </c>
      <c r="L1428" s="8">
        <v>177</v>
      </c>
      <c r="M1428" t="s">
        <v>1307</v>
      </c>
      <c r="N1428" s="16" t="s">
        <v>23</v>
      </c>
      <c r="O1428" s="16" t="s">
        <v>23</v>
      </c>
      <c r="P1428" s="16" t="s">
        <v>37</v>
      </c>
      <c r="Q1428" s="10" t="s">
        <v>1211</v>
      </c>
      <c r="R1428" s="3" t="str">
        <f t="shared" si="44"/>
        <v>134</v>
      </c>
      <c r="S1428" s="3" t="str">
        <f t="shared" si="45"/>
        <v>110</v>
      </c>
      <c r="T1428" s="16" t="s">
        <v>29</v>
      </c>
      <c r="U1428" s="3">
        <v>21.706</v>
      </c>
      <c r="V1428" s="16" t="str">
        <f>PROPER(Table1[[#This Row],[CVD Risk Level]])</f>
        <v>Low</v>
      </c>
    </row>
    <row r="1429" spans="1:22" x14ac:dyDescent="0.3">
      <c r="A1429" t="s">
        <v>31</v>
      </c>
      <c r="B1429" s="8">
        <v>64</v>
      </c>
      <c r="C1429" s="8">
        <v>74.294953002</v>
      </c>
      <c r="D1429" s="5">
        <v>1.899</v>
      </c>
      <c r="E1429" s="5">
        <v>20.602</v>
      </c>
      <c r="F1429" s="16" t="s">
        <v>33</v>
      </c>
      <c r="G1429" s="11">
        <v>0.42299999999999999</v>
      </c>
      <c r="H1429" s="5">
        <v>80.350999999999999</v>
      </c>
      <c r="I1429" s="8">
        <v>83</v>
      </c>
      <c r="J1429" s="8">
        <v>183</v>
      </c>
      <c r="K1429" s="8">
        <v>296</v>
      </c>
      <c r="L1429" s="8">
        <v>139</v>
      </c>
      <c r="M1429" t="s">
        <v>1307</v>
      </c>
      <c r="N1429" s="16" t="s">
        <v>23</v>
      </c>
      <c r="O1429" s="16" t="s">
        <v>22</v>
      </c>
      <c r="P1429" s="16" t="s">
        <v>37</v>
      </c>
      <c r="Q1429" s="10" t="s">
        <v>1212</v>
      </c>
      <c r="R1429" s="3" t="str">
        <f t="shared" si="44"/>
        <v>144</v>
      </c>
      <c r="S1429" s="3" t="str">
        <f t="shared" si="45"/>
        <v>77</v>
      </c>
      <c r="T1429" s="16" t="s">
        <v>38</v>
      </c>
      <c r="U1429" s="3">
        <v>17.239999999999998</v>
      </c>
      <c r="V1429" s="16" t="str">
        <f>PROPER(Table1[[#This Row],[CVD Risk Level]])</f>
        <v>Intermediary</v>
      </c>
    </row>
    <row r="1430" spans="1:22" x14ac:dyDescent="0.3">
      <c r="A1430" t="s">
        <v>31</v>
      </c>
      <c r="B1430" s="8">
        <v>50</v>
      </c>
      <c r="C1430" s="8">
        <v>50.427999999999997</v>
      </c>
      <c r="D1430" s="5">
        <v>1.7629999999999999</v>
      </c>
      <c r="E1430" s="5">
        <v>36.606999999999999</v>
      </c>
      <c r="F1430" s="16" t="s">
        <v>1302</v>
      </c>
      <c r="G1430" s="11">
        <v>0.42299999999999999</v>
      </c>
      <c r="H1430" s="5">
        <v>74.566999999999993</v>
      </c>
      <c r="I1430" s="8">
        <v>35</v>
      </c>
      <c r="J1430" s="8">
        <v>190</v>
      </c>
      <c r="K1430" s="8">
        <v>255</v>
      </c>
      <c r="L1430" s="8">
        <v>107</v>
      </c>
      <c r="M1430" t="s">
        <v>1306</v>
      </c>
      <c r="N1430" s="16" t="s">
        <v>22</v>
      </c>
      <c r="O1430" s="16" t="s">
        <v>22</v>
      </c>
      <c r="P1430" s="16" t="s">
        <v>37</v>
      </c>
      <c r="Q1430" s="10" t="s">
        <v>1213</v>
      </c>
      <c r="R1430" s="3" t="str">
        <f t="shared" si="44"/>
        <v>172</v>
      </c>
      <c r="S1430" s="3" t="str">
        <f t="shared" si="45"/>
        <v>111</v>
      </c>
      <c r="T1430" s="16" t="s">
        <v>38</v>
      </c>
      <c r="U1430" s="3">
        <v>21.021000000000001</v>
      </c>
      <c r="V1430" s="16" t="str">
        <f>PROPER(Table1[[#This Row],[CVD Risk Level]])</f>
        <v>Low</v>
      </c>
    </row>
    <row r="1431" spans="1:22" x14ac:dyDescent="0.3">
      <c r="A1431" t="s">
        <v>31</v>
      </c>
      <c r="B1431" s="8">
        <v>67</v>
      </c>
      <c r="C1431" s="8">
        <v>70.423000000000002</v>
      </c>
      <c r="D1431" s="5">
        <v>1.7829999999999999</v>
      </c>
      <c r="E1431" s="5">
        <v>19.995000000000001</v>
      </c>
      <c r="F1431" s="16" t="s">
        <v>33</v>
      </c>
      <c r="G1431" s="11">
        <v>0.53600000000000003</v>
      </c>
      <c r="H1431" s="5">
        <v>95.591999999999999</v>
      </c>
      <c r="I1431" s="8">
        <v>72</v>
      </c>
      <c r="J1431" s="8">
        <v>124</v>
      </c>
      <c r="K1431" s="8">
        <v>226</v>
      </c>
      <c r="L1431" s="8">
        <v>136</v>
      </c>
      <c r="M1431" t="s">
        <v>1307</v>
      </c>
      <c r="N1431" s="16" t="s">
        <v>23</v>
      </c>
      <c r="O1431" s="16" t="s">
        <v>23</v>
      </c>
      <c r="P1431" s="16" t="s">
        <v>37</v>
      </c>
      <c r="Q1431" s="10" t="s">
        <v>1214</v>
      </c>
      <c r="R1431" s="3" t="str">
        <f t="shared" si="44"/>
        <v>175</v>
      </c>
      <c r="S1431" s="3" t="str">
        <f t="shared" si="45"/>
        <v>107</v>
      </c>
      <c r="T1431" s="16" t="s">
        <v>38</v>
      </c>
      <c r="U1431" s="3">
        <v>19.268999999999998</v>
      </c>
      <c r="V1431" s="16" t="str">
        <f>PROPER(Table1[[#This Row],[CVD Risk Level]])</f>
        <v>Low</v>
      </c>
    </row>
    <row r="1432" spans="1:22" x14ac:dyDescent="0.3">
      <c r="A1432" t="s">
        <v>31</v>
      </c>
      <c r="B1432" s="8">
        <v>57</v>
      </c>
      <c r="C1432" s="8">
        <v>51.844999999999999</v>
      </c>
      <c r="D1432" s="5">
        <v>1.7549999999999999</v>
      </c>
      <c r="E1432" s="5">
        <v>23.094000000000001</v>
      </c>
      <c r="F1432" s="16" t="s">
        <v>33</v>
      </c>
      <c r="G1432" s="11">
        <v>0.63900000000000001</v>
      </c>
      <c r="H1432" s="5">
        <v>112.218</v>
      </c>
      <c r="I1432" s="8">
        <v>30</v>
      </c>
      <c r="J1432" s="8">
        <v>151</v>
      </c>
      <c r="K1432" s="8">
        <v>211</v>
      </c>
      <c r="L1432" s="8">
        <v>79</v>
      </c>
      <c r="M1432" t="s">
        <v>33</v>
      </c>
      <c r="N1432" s="16" t="s">
        <v>23</v>
      </c>
      <c r="O1432" s="16" t="s">
        <v>23</v>
      </c>
      <c r="P1432" s="16" t="s">
        <v>28</v>
      </c>
      <c r="Q1432" s="10" t="s">
        <v>1215</v>
      </c>
      <c r="R1432" s="3" t="str">
        <f t="shared" si="44"/>
        <v>164</v>
      </c>
      <c r="S1432" s="3" t="str">
        <f t="shared" si="45"/>
        <v>78</v>
      </c>
      <c r="T1432" s="16" t="s">
        <v>38</v>
      </c>
      <c r="U1432" s="3">
        <v>19.039000000000001</v>
      </c>
      <c r="V1432" s="16" t="str">
        <f>PROPER(Table1[[#This Row],[CVD Risk Level]])</f>
        <v>Intermediary</v>
      </c>
    </row>
    <row r="1433" spans="1:22" x14ac:dyDescent="0.3">
      <c r="A1433" t="s">
        <v>31</v>
      </c>
      <c r="B1433" s="8">
        <v>77</v>
      </c>
      <c r="C1433" s="8">
        <v>79.807000000000002</v>
      </c>
      <c r="D1433" s="5">
        <v>1.5449999999999999</v>
      </c>
      <c r="E1433" s="5">
        <v>38.128</v>
      </c>
      <c r="F1433" s="16" t="s">
        <v>1302</v>
      </c>
      <c r="G1433" s="11">
        <v>0.47199999999999998</v>
      </c>
      <c r="H1433" s="5">
        <v>72.923999999999992</v>
      </c>
      <c r="I1433" s="8">
        <v>44</v>
      </c>
      <c r="J1433" s="8">
        <v>127</v>
      </c>
      <c r="K1433" s="8">
        <v>201</v>
      </c>
      <c r="L1433" s="8">
        <v>147</v>
      </c>
      <c r="M1433" t="s">
        <v>1307</v>
      </c>
      <c r="N1433" s="16" t="s">
        <v>22</v>
      </c>
      <c r="O1433" s="16" t="s">
        <v>23</v>
      </c>
      <c r="P1433" s="16" t="s">
        <v>28</v>
      </c>
      <c r="Q1433" s="10" t="s">
        <v>152</v>
      </c>
      <c r="R1433" s="3" t="str">
        <f t="shared" si="44"/>
        <v>128</v>
      </c>
      <c r="S1433" s="3" t="str">
        <f t="shared" si="45"/>
        <v>91</v>
      </c>
      <c r="T1433" s="16" t="s">
        <v>38</v>
      </c>
      <c r="U1433" s="3">
        <v>16.960925291295425</v>
      </c>
      <c r="V1433" s="16" t="str">
        <f>PROPER(Table1[[#This Row],[CVD Risk Level]])</f>
        <v>Low</v>
      </c>
    </row>
    <row r="1434" spans="1:22" x14ac:dyDescent="0.3">
      <c r="A1434" t="s">
        <v>31</v>
      </c>
      <c r="B1434" s="8">
        <v>69</v>
      </c>
      <c r="C1434" s="8">
        <v>59.683999999999997</v>
      </c>
      <c r="D1434" s="5">
        <v>1.94</v>
      </c>
      <c r="E1434" s="5">
        <v>23.914000000000001</v>
      </c>
      <c r="F1434" s="16" t="s">
        <v>33</v>
      </c>
      <c r="G1434" s="11">
        <v>0.60799999999999998</v>
      </c>
      <c r="H1434" s="5">
        <v>117.986</v>
      </c>
      <c r="I1434" s="8">
        <v>42</v>
      </c>
      <c r="J1434" s="8">
        <v>134</v>
      </c>
      <c r="K1434" s="8">
        <v>206</v>
      </c>
      <c r="L1434" s="8">
        <v>140</v>
      </c>
      <c r="M1434" t="s">
        <v>1307</v>
      </c>
      <c r="N1434" s="16" t="s">
        <v>23</v>
      </c>
      <c r="O1434" s="16" t="s">
        <v>23</v>
      </c>
      <c r="P1434" s="16" t="s">
        <v>28</v>
      </c>
      <c r="Q1434" s="10" t="s">
        <v>1216</v>
      </c>
      <c r="R1434" s="3" t="str">
        <f t="shared" si="44"/>
        <v>106</v>
      </c>
      <c r="S1434" s="3" t="str">
        <f t="shared" si="45"/>
        <v>115</v>
      </c>
      <c r="T1434" s="16" t="s">
        <v>38</v>
      </c>
      <c r="U1434" s="3">
        <v>16.202999999999999</v>
      </c>
      <c r="V1434" s="16" t="str">
        <f>PROPER(Table1[[#This Row],[CVD Risk Level]])</f>
        <v>High</v>
      </c>
    </row>
    <row r="1435" spans="1:22" x14ac:dyDescent="0.3">
      <c r="A1435" t="s">
        <v>31</v>
      </c>
      <c r="B1435" s="8">
        <v>47.025499655410059</v>
      </c>
      <c r="C1435" s="8">
        <v>69.769000000000005</v>
      </c>
      <c r="D1435" s="5">
        <v>1.696</v>
      </c>
      <c r="E1435" s="5">
        <v>22.06</v>
      </c>
      <c r="F1435" s="16" t="s">
        <v>33</v>
      </c>
      <c r="G1435" s="11">
        <v>0.438</v>
      </c>
      <c r="H1435" s="5">
        <v>74.183999999999997</v>
      </c>
      <c r="I1435" s="8">
        <v>65</v>
      </c>
      <c r="J1435" s="8">
        <v>109</v>
      </c>
      <c r="K1435" s="8">
        <v>197</v>
      </c>
      <c r="L1435" s="8">
        <v>151</v>
      </c>
      <c r="M1435" t="s">
        <v>1307</v>
      </c>
      <c r="N1435" s="16" t="s">
        <v>23</v>
      </c>
      <c r="O1435" s="16" t="s">
        <v>22</v>
      </c>
      <c r="P1435" s="16" t="s">
        <v>24</v>
      </c>
      <c r="Q1435" s="10" t="s">
        <v>1217</v>
      </c>
      <c r="R1435" s="3" t="str">
        <f t="shared" si="44"/>
        <v>120</v>
      </c>
      <c r="S1435" s="3" t="str">
        <f t="shared" si="45"/>
        <v>76</v>
      </c>
      <c r="T1435" s="16" t="s">
        <v>25</v>
      </c>
      <c r="U1435" s="3">
        <v>14.352</v>
      </c>
      <c r="V1435" s="16" t="str">
        <f>PROPER(Table1[[#This Row],[CVD Risk Level]])</f>
        <v>Intermediary</v>
      </c>
    </row>
    <row r="1436" spans="1:22" x14ac:dyDescent="0.3">
      <c r="A1436" t="s">
        <v>31</v>
      </c>
      <c r="B1436" s="8">
        <v>51</v>
      </c>
      <c r="C1436" s="8">
        <v>96.491560473000007</v>
      </c>
      <c r="D1436" s="5">
        <v>1.917</v>
      </c>
      <c r="E1436" s="5">
        <v>26.257000000000001</v>
      </c>
      <c r="F1436" s="16" t="s">
        <v>1303</v>
      </c>
      <c r="G1436" s="11">
        <v>0.52</v>
      </c>
      <c r="H1436" s="5">
        <v>99.63</v>
      </c>
      <c r="I1436" s="8">
        <v>62</v>
      </c>
      <c r="J1436" s="8">
        <v>65</v>
      </c>
      <c r="K1436" s="8">
        <v>157</v>
      </c>
      <c r="L1436" s="8">
        <v>168</v>
      </c>
      <c r="M1436" t="s">
        <v>1307</v>
      </c>
      <c r="N1436" s="16" t="s">
        <v>22</v>
      </c>
      <c r="O1436" s="16" t="s">
        <v>23</v>
      </c>
      <c r="P1436" s="16" t="s">
        <v>24</v>
      </c>
      <c r="Q1436" s="10" t="s">
        <v>1218</v>
      </c>
      <c r="R1436" s="3" t="str">
        <f t="shared" si="44"/>
        <v>173</v>
      </c>
      <c r="S1436" s="3" t="str">
        <f t="shared" si="45"/>
        <v>70</v>
      </c>
      <c r="T1436" s="16" t="s">
        <v>38</v>
      </c>
      <c r="U1436" s="3">
        <v>19.041</v>
      </c>
      <c r="V1436" s="16" t="str">
        <f>PROPER(Table1[[#This Row],[CVD Risk Level]])</f>
        <v>Intermediary</v>
      </c>
    </row>
    <row r="1437" spans="1:22" x14ac:dyDescent="0.3">
      <c r="A1437" t="s">
        <v>20</v>
      </c>
      <c r="B1437" s="8">
        <v>31</v>
      </c>
      <c r="C1437" s="8">
        <v>95.747</v>
      </c>
      <c r="D1437" s="5">
        <v>1.758</v>
      </c>
      <c r="E1437" s="5">
        <v>26.721</v>
      </c>
      <c r="F1437" s="16" t="s">
        <v>1303</v>
      </c>
      <c r="G1437" s="11">
        <v>0.42299999999999999</v>
      </c>
      <c r="H1437" s="5">
        <v>74.381</v>
      </c>
      <c r="I1437" s="8">
        <v>74</v>
      </c>
      <c r="J1437" s="8">
        <v>57</v>
      </c>
      <c r="K1437" s="8">
        <v>161</v>
      </c>
      <c r="L1437" s="8">
        <v>187</v>
      </c>
      <c r="M1437" t="s">
        <v>1307</v>
      </c>
      <c r="N1437" s="16" t="s">
        <v>23</v>
      </c>
      <c r="O1437" s="16" t="s">
        <v>23</v>
      </c>
      <c r="P1437" s="16" t="s">
        <v>28</v>
      </c>
      <c r="Q1437" s="10" t="s">
        <v>1219</v>
      </c>
      <c r="R1437" s="3" t="str">
        <f t="shared" si="44"/>
        <v>121</v>
      </c>
      <c r="S1437" s="3" t="str">
        <f t="shared" si="45"/>
        <v>96</v>
      </c>
      <c r="T1437" s="16" t="s">
        <v>38</v>
      </c>
      <c r="U1437" s="3">
        <v>16.614000000000001</v>
      </c>
      <c r="V1437" s="16" t="str">
        <f>PROPER(Table1[[#This Row],[CVD Risk Level]])</f>
        <v>Intermediary</v>
      </c>
    </row>
    <row r="1438" spans="1:22" x14ac:dyDescent="0.3">
      <c r="A1438" t="s">
        <v>31</v>
      </c>
      <c r="B1438" s="8">
        <v>62</v>
      </c>
      <c r="C1438" s="8">
        <v>89.04</v>
      </c>
      <c r="D1438" s="5">
        <v>1.57</v>
      </c>
      <c r="E1438" s="5">
        <v>37.698999999999998</v>
      </c>
      <c r="F1438" s="16" t="s">
        <v>1302</v>
      </c>
      <c r="G1438" s="11">
        <v>0.45900000000000002</v>
      </c>
      <c r="H1438" s="5">
        <v>72.102000000000004</v>
      </c>
      <c r="I1438" s="8">
        <v>81</v>
      </c>
      <c r="J1438" s="8">
        <v>109</v>
      </c>
      <c r="K1438" s="8">
        <v>214</v>
      </c>
      <c r="L1438" s="8">
        <v>73</v>
      </c>
      <c r="M1438" t="s">
        <v>33</v>
      </c>
      <c r="N1438" s="16" t="s">
        <v>23</v>
      </c>
      <c r="O1438" s="16" t="s">
        <v>23</v>
      </c>
      <c r="P1438" s="16" t="s">
        <v>28</v>
      </c>
      <c r="Q1438" s="10" t="s">
        <v>1220</v>
      </c>
      <c r="R1438" s="3" t="str">
        <f t="shared" si="44"/>
        <v>124</v>
      </c>
      <c r="S1438" s="3" t="str">
        <f t="shared" si="45"/>
        <v>102</v>
      </c>
      <c r="T1438" s="16" t="s">
        <v>38</v>
      </c>
      <c r="U1438" s="3">
        <v>20.02</v>
      </c>
      <c r="V1438" s="16" t="str">
        <f>PROPER(Table1[[#This Row],[CVD Risk Level]])</f>
        <v>High</v>
      </c>
    </row>
    <row r="1439" spans="1:22" x14ac:dyDescent="0.3">
      <c r="A1439" t="s">
        <v>31</v>
      </c>
      <c r="B1439" s="8">
        <v>62</v>
      </c>
      <c r="C1439" s="8">
        <v>71.14</v>
      </c>
      <c r="D1439" s="5">
        <v>1.9650000000000001</v>
      </c>
      <c r="E1439" s="5">
        <v>36.601999999999997</v>
      </c>
      <c r="F1439" s="16" t="s">
        <v>1302</v>
      </c>
      <c r="G1439" s="11">
        <v>0.54500000000000004</v>
      </c>
      <c r="H1439" s="5">
        <v>107.11</v>
      </c>
      <c r="I1439" s="8">
        <v>39</v>
      </c>
      <c r="J1439" s="8">
        <v>140</v>
      </c>
      <c r="K1439" s="8">
        <v>209</v>
      </c>
      <c r="L1439" s="8">
        <v>113</v>
      </c>
      <c r="M1439" t="s">
        <v>1306</v>
      </c>
      <c r="N1439" s="16" t="s">
        <v>22</v>
      </c>
      <c r="O1439" s="16" t="s">
        <v>22</v>
      </c>
      <c r="P1439" s="16" t="s">
        <v>28</v>
      </c>
      <c r="Q1439" s="10" t="s">
        <v>1221</v>
      </c>
      <c r="R1439" s="3" t="str">
        <f t="shared" si="44"/>
        <v>178</v>
      </c>
      <c r="S1439" s="3" t="str">
        <f t="shared" si="45"/>
        <v>81</v>
      </c>
      <c r="T1439" s="16" t="s">
        <v>29</v>
      </c>
      <c r="U1439" s="3">
        <v>20.399999999999999</v>
      </c>
      <c r="V1439" s="16" t="str">
        <f>PROPER(Table1[[#This Row],[CVD Risk Level]])</f>
        <v>Intermediary</v>
      </c>
    </row>
    <row r="1440" spans="1:22" x14ac:dyDescent="0.3">
      <c r="A1440" t="s">
        <v>31</v>
      </c>
      <c r="B1440" s="8">
        <v>55</v>
      </c>
      <c r="C1440" s="8">
        <v>73.143000000000001</v>
      </c>
      <c r="D1440" s="5">
        <v>1.9259999999999999</v>
      </c>
      <c r="E1440" s="5">
        <v>23.826000000000001</v>
      </c>
      <c r="F1440" s="16" t="s">
        <v>33</v>
      </c>
      <c r="G1440" s="11">
        <v>0.55000000000000004</v>
      </c>
      <c r="H1440" s="5">
        <v>105.997</v>
      </c>
      <c r="I1440" s="8">
        <v>65</v>
      </c>
      <c r="J1440" s="8">
        <v>203</v>
      </c>
      <c r="K1440" s="8">
        <v>298</v>
      </c>
      <c r="L1440" s="8">
        <v>133</v>
      </c>
      <c r="M1440" t="s">
        <v>1307</v>
      </c>
      <c r="N1440" s="16" t="s">
        <v>22</v>
      </c>
      <c r="O1440" s="16" t="s">
        <v>23</v>
      </c>
      <c r="P1440" s="16" t="s">
        <v>28</v>
      </c>
      <c r="Q1440" s="10" t="s">
        <v>49</v>
      </c>
      <c r="R1440" s="3" t="str">
        <f t="shared" si="44"/>
        <v>138</v>
      </c>
      <c r="S1440" s="3" t="str">
        <f t="shared" si="45"/>
        <v>99</v>
      </c>
      <c r="T1440" s="16" t="s">
        <v>29</v>
      </c>
      <c r="U1440" s="3">
        <v>19.625</v>
      </c>
      <c r="V1440" s="16" t="str">
        <f>PROPER(Table1[[#This Row],[CVD Risk Level]])</f>
        <v>Low</v>
      </c>
    </row>
    <row r="1441" spans="1:22" x14ac:dyDescent="0.3">
      <c r="A1441" t="s">
        <v>31</v>
      </c>
      <c r="B1441" s="8">
        <v>47</v>
      </c>
      <c r="C1441" s="8">
        <v>110.756</v>
      </c>
      <c r="D1441" s="5">
        <v>1.7230000000000001</v>
      </c>
      <c r="E1441" s="5">
        <v>34.107999999999997</v>
      </c>
      <c r="F1441" s="16" t="s">
        <v>1302</v>
      </c>
      <c r="G1441" s="11">
        <v>0.56399999999999995</v>
      </c>
      <c r="H1441" s="5">
        <v>97.134</v>
      </c>
      <c r="I1441" s="8">
        <v>87</v>
      </c>
      <c r="J1441" s="8">
        <v>75</v>
      </c>
      <c r="K1441" s="8">
        <v>192</v>
      </c>
      <c r="L1441" s="8">
        <v>133</v>
      </c>
      <c r="M1441" t="s">
        <v>1307</v>
      </c>
      <c r="N1441" s="16" t="s">
        <v>22</v>
      </c>
      <c r="O1441" s="16" t="s">
        <v>23</v>
      </c>
      <c r="P1441" s="16" t="s">
        <v>28</v>
      </c>
      <c r="Q1441" s="10" t="s">
        <v>1127</v>
      </c>
      <c r="R1441" s="3" t="str">
        <f t="shared" si="44"/>
        <v>154</v>
      </c>
      <c r="S1441" s="3" t="str">
        <f t="shared" si="45"/>
        <v>112</v>
      </c>
      <c r="T1441" s="16" t="s">
        <v>38</v>
      </c>
      <c r="U1441" s="3">
        <v>20.361999999999998</v>
      </c>
      <c r="V1441" s="16" t="str">
        <f>PROPER(Table1[[#This Row],[CVD Risk Level]])</f>
        <v>Low</v>
      </c>
    </row>
    <row r="1442" spans="1:22" x14ac:dyDescent="0.3">
      <c r="A1442" t="s">
        <v>31</v>
      </c>
      <c r="B1442" s="8">
        <v>26</v>
      </c>
      <c r="C1442" s="8">
        <v>66.629000000000005</v>
      </c>
      <c r="D1442" s="5">
        <v>1.8420000000000001</v>
      </c>
      <c r="E1442" s="5">
        <v>37.856999999999999</v>
      </c>
      <c r="F1442" s="16" t="s">
        <v>1302</v>
      </c>
      <c r="G1442" s="11">
        <v>0.61015743756786101</v>
      </c>
      <c r="H1442" s="5">
        <v>112.39100000000001</v>
      </c>
      <c r="I1442" s="8">
        <v>35</v>
      </c>
      <c r="J1442" s="8">
        <v>89</v>
      </c>
      <c r="K1442" s="8">
        <v>154</v>
      </c>
      <c r="L1442" s="8">
        <v>113</v>
      </c>
      <c r="M1442" t="s">
        <v>1306</v>
      </c>
      <c r="N1442" s="16" t="s">
        <v>22</v>
      </c>
      <c r="O1442" s="16" t="s">
        <v>23</v>
      </c>
      <c r="P1442" s="16" t="s">
        <v>24</v>
      </c>
      <c r="Q1442" s="10" t="s">
        <v>1222</v>
      </c>
      <c r="R1442" s="3" t="str">
        <f t="shared" si="44"/>
        <v>108</v>
      </c>
      <c r="S1442" s="3" t="str">
        <f t="shared" si="45"/>
        <v>88</v>
      </c>
      <c r="T1442" s="16" t="s">
        <v>29</v>
      </c>
      <c r="U1442" s="3">
        <v>18.050999999999998</v>
      </c>
      <c r="V1442" s="16" t="str">
        <f>PROPER(Table1[[#This Row],[CVD Risk Level]])</f>
        <v>High</v>
      </c>
    </row>
    <row r="1443" spans="1:22" x14ac:dyDescent="0.3">
      <c r="A1443" t="s">
        <v>31</v>
      </c>
      <c r="B1443" s="8">
        <v>46</v>
      </c>
      <c r="C1443" s="8">
        <v>107.048</v>
      </c>
      <c r="D1443" s="5">
        <v>1.595</v>
      </c>
      <c r="E1443" s="5">
        <v>22.024999999999999</v>
      </c>
      <c r="F1443" s="16" t="s">
        <v>33</v>
      </c>
      <c r="G1443" s="11">
        <v>0.51</v>
      </c>
      <c r="H1443" s="5">
        <v>81.302999999999997</v>
      </c>
      <c r="I1443" s="8">
        <v>56.197377501725327</v>
      </c>
      <c r="J1443" s="8">
        <v>109</v>
      </c>
      <c r="K1443" s="8">
        <v>173</v>
      </c>
      <c r="L1443" s="8">
        <v>181</v>
      </c>
      <c r="M1443" t="s">
        <v>1307</v>
      </c>
      <c r="N1443" s="16" t="s">
        <v>22</v>
      </c>
      <c r="O1443" s="16" t="s">
        <v>23</v>
      </c>
      <c r="P1443" s="16" t="s">
        <v>28</v>
      </c>
      <c r="Q1443" s="10" t="s">
        <v>1223</v>
      </c>
      <c r="R1443" s="3" t="str">
        <f t="shared" si="44"/>
        <v>178</v>
      </c>
      <c r="S1443" s="3" t="str">
        <f t="shared" si="45"/>
        <v>77</v>
      </c>
      <c r="T1443" s="16" t="s">
        <v>38</v>
      </c>
      <c r="U1443" s="3">
        <v>18.765000000000001</v>
      </c>
      <c r="V1443" s="16" t="str">
        <f>PROPER(Table1[[#This Row],[CVD Risk Level]])</f>
        <v>Low</v>
      </c>
    </row>
    <row r="1444" spans="1:22" x14ac:dyDescent="0.3">
      <c r="A1444" t="s">
        <v>20</v>
      </c>
      <c r="B1444" s="8">
        <v>67</v>
      </c>
      <c r="C1444" s="8">
        <v>69.983999999999995</v>
      </c>
      <c r="D1444" s="5">
        <v>1.6719999999999999</v>
      </c>
      <c r="E1444" s="5">
        <v>25.939</v>
      </c>
      <c r="F1444" s="16" t="s">
        <v>1303</v>
      </c>
      <c r="G1444" s="11">
        <v>0.54800000000000004</v>
      </c>
      <c r="H1444" s="5">
        <v>91.655000000000001</v>
      </c>
      <c r="I1444" s="8">
        <v>71</v>
      </c>
      <c r="J1444" s="8">
        <v>35</v>
      </c>
      <c r="K1444" s="8">
        <v>136</v>
      </c>
      <c r="L1444" s="8">
        <v>127</v>
      </c>
      <c r="M1444" t="s">
        <v>1307</v>
      </c>
      <c r="N1444" s="16" t="s">
        <v>23</v>
      </c>
      <c r="O1444" s="16" t="s">
        <v>23</v>
      </c>
      <c r="P1444" s="16" t="s">
        <v>24</v>
      </c>
      <c r="Q1444" s="10" t="s">
        <v>911</v>
      </c>
      <c r="R1444" s="3" t="str">
        <f t="shared" si="44"/>
        <v>129</v>
      </c>
      <c r="S1444" s="3" t="str">
        <f t="shared" si="45"/>
        <v>113</v>
      </c>
      <c r="T1444" s="16" t="s">
        <v>38</v>
      </c>
      <c r="U1444" s="3">
        <v>16.358000000000001</v>
      </c>
      <c r="V1444" s="16" t="str">
        <f>PROPER(Table1[[#This Row],[CVD Risk Level]])</f>
        <v>High</v>
      </c>
    </row>
    <row r="1445" spans="1:22" x14ac:dyDescent="0.3">
      <c r="A1445" t="s">
        <v>31</v>
      </c>
      <c r="B1445" s="8">
        <v>49</v>
      </c>
      <c r="C1445" s="8">
        <v>62.814</v>
      </c>
      <c r="D1445" s="5">
        <v>1.8360000000000001</v>
      </c>
      <c r="E1445" s="5">
        <v>23.748999999999999</v>
      </c>
      <c r="F1445" s="16" t="s">
        <v>33</v>
      </c>
      <c r="G1445" s="11">
        <v>0.53600000000000003</v>
      </c>
      <c r="H1445" s="5">
        <v>98.415000000000006</v>
      </c>
      <c r="I1445" s="8">
        <v>44</v>
      </c>
      <c r="J1445" s="8">
        <v>180</v>
      </c>
      <c r="K1445" s="8">
        <v>254</v>
      </c>
      <c r="L1445" s="8">
        <v>143</v>
      </c>
      <c r="M1445" t="s">
        <v>1307</v>
      </c>
      <c r="N1445" s="16" t="s">
        <v>23</v>
      </c>
      <c r="O1445" s="16" t="s">
        <v>23</v>
      </c>
      <c r="P1445" s="16" t="s">
        <v>24</v>
      </c>
      <c r="Q1445" s="10" t="s">
        <v>693</v>
      </c>
      <c r="R1445" s="3" t="str">
        <f t="shared" si="44"/>
        <v>150</v>
      </c>
      <c r="S1445" s="3" t="str">
        <f t="shared" si="45"/>
        <v>81</v>
      </c>
      <c r="T1445" s="16" t="s">
        <v>29</v>
      </c>
      <c r="U1445" s="3">
        <v>19.329999999999998</v>
      </c>
      <c r="V1445" s="16" t="str">
        <f>PROPER(Table1[[#This Row],[CVD Risk Level]])</f>
        <v>High</v>
      </c>
    </row>
    <row r="1446" spans="1:22" x14ac:dyDescent="0.3">
      <c r="A1446" t="s">
        <v>20</v>
      </c>
      <c r="B1446" s="8">
        <v>67</v>
      </c>
      <c r="C1446" s="8">
        <v>75.801000000000002</v>
      </c>
      <c r="D1446" s="5">
        <v>1.988</v>
      </c>
      <c r="E1446" s="5">
        <v>26.556000000000001</v>
      </c>
      <c r="F1446" s="16" t="s">
        <v>1303</v>
      </c>
      <c r="G1446" s="11">
        <v>0.51600000000000001</v>
      </c>
      <c r="H1446" s="5">
        <v>102.511</v>
      </c>
      <c r="I1446" s="8">
        <v>72</v>
      </c>
      <c r="J1446" s="8">
        <v>6</v>
      </c>
      <c r="K1446" s="8">
        <v>108</v>
      </c>
      <c r="L1446" s="8">
        <v>184</v>
      </c>
      <c r="M1446" t="s">
        <v>1307</v>
      </c>
      <c r="N1446" s="16" t="s">
        <v>22</v>
      </c>
      <c r="O1446" s="16" t="s">
        <v>22</v>
      </c>
      <c r="P1446" s="16" t="s">
        <v>28</v>
      </c>
      <c r="Q1446" s="10" t="s">
        <v>1224</v>
      </c>
      <c r="R1446" s="3" t="str">
        <f t="shared" si="44"/>
        <v>147</v>
      </c>
      <c r="S1446" s="3" t="str">
        <f t="shared" si="45"/>
        <v>116</v>
      </c>
      <c r="T1446" s="16" t="s">
        <v>38</v>
      </c>
      <c r="U1446" s="3">
        <v>14.821</v>
      </c>
      <c r="V1446" s="16" t="str">
        <f>PROPER(Table1[[#This Row],[CVD Risk Level]])</f>
        <v>Intermediary</v>
      </c>
    </row>
    <row r="1447" spans="1:22" x14ac:dyDescent="0.3">
      <c r="A1447" t="s">
        <v>31</v>
      </c>
      <c r="B1447" s="8">
        <v>49</v>
      </c>
      <c r="C1447" s="8">
        <v>93.019000000000005</v>
      </c>
      <c r="D1447" s="5">
        <v>1.6459999999999999</v>
      </c>
      <c r="E1447" s="5">
        <v>31.42</v>
      </c>
      <c r="F1447" s="16" t="s">
        <v>1302</v>
      </c>
      <c r="G1447" s="11">
        <v>0.55600000000000005</v>
      </c>
      <c r="H1447" s="5">
        <v>91.486999999999995</v>
      </c>
      <c r="I1447" s="8">
        <v>59</v>
      </c>
      <c r="J1447" s="8">
        <v>149</v>
      </c>
      <c r="K1447" s="8">
        <v>238</v>
      </c>
      <c r="L1447" s="8">
        <v>126</v>
      </c>
      <c r="M1447" t="s">
        <v>1307</v>
      </c>
      <c r="N1447" s="16" t="s">
        <v>23</v>
      </c>
      <c r="O1447" s="16" t="s">
        <v>22</v>
      </c>
      <c r="P1447" s="16" t="s">
        <v>37</v>
      </c>
      <c r="Q1447" s="10" t="s">
        <v>1225</v>
      </c>
      <c r="R1447" s="3" t="str">
        <f t="shared" si="44"/>
        <v>105</v>
      </c>
      <c r="S1447" s="3" t="str">
        <f t="shared" si="45"/>
        <v>104</v>
      </c>
      <c r="T1447" s="16" t="s">
        <v>38</v>
      </c>
      <c r="U1447" s="3">
        <v>16.294</v>
      </c>
      <c r="V1447" s="16" t="str">
        <f>PROPER(Table1[[#This Row],[CVD Risk Level]])</f>
        <v>High</v>
      </c>
    </row>
    <row r="1448" spans="1:22" x14ac:dyDescent="0.3">
      <c r="A1448" t="s">
        <v>20</v>
      </c>
      <c r="B1448" s="8">
        <v>75</v>
      </c>
      <c r="C1448" s="8">
        <v>55.365000000000002</v>
      </c>
      <c r="D1448" s="5">
        <v>1.5369999999999999</v>
      </c>
      <c r="E1448" s="5">
        <v>36.322000000000003</v>
      </c>
      <c r="F1448" s="16" t="s">
        <v>1302</v>
      </c>
      <c r="G1448" s="11">
        <v>0.755</v>
      </c>
      <c r="H1448" s="5">
        <v>116.04900000000001</v>
      </c>
      <c r="I1448" s="8">
        <v>78</v>
      </c>
      <c r="J1448" s="8">
        <v>178</v>
      </c>
      <c r="K1448" s="8">
        <v>286</v>
      </c>
      <c r="L1448" s="8">
        <v>125</v>
      </c>
      <c r="M1448" t="s">
        <v>1306</v>
      </c>
      <c r="N1448" s="16" t="s">
        <v>22</v>
      </c>
      <c r="O1448" s="16" t="s">
        <v>22</v>
      </c>
      <c r="P1448" s="16" t="s">
        <v>28</v>
      </c>
      <c r="Q1448" s="10" t="s">
        <v>1226</v>
      </c>
      <c r="R1448" s="3" t="str">
        <f t="shared" si="44"/>
        <v>139</v>
      </c>
      <c r="S1448" s="3" t="str">
        <f t="shared" si="45"/>
        <v>90</v>
      </c>
      <c r="T1448" s="16" t="s">
        <v>29</v>
      </c>
      <c r="U1448" s="3">
        <v>19.934000000000001</v>
      </c>
      <c r="V1448" s="16" t="str">
        <f>PROPER(Table1[[#This Row],[CVD Risk Level]])</f>
        <v>High</v>
      </c>
    </row>
    <row r="1449" spans="1:22" x14ac:dyDescent="0.3">
      <c r="A1449" t="s">
        <v>20</v>
      </c>
      <c r="B1449" s="8">
        <v>58</v>
      </c>
      <c r="C1449" s="8">
        <v>94.09</v>
      </c>
      <c r="D1449" s="5">
        <v>1.6679999999999999</v>
      </c>
      <c r="E1449" s="5">
        <v>35.261000000000003</v>
      </c>
      <c r="F1449" s="16" t="s">
        <v>1302</v>
      </c>
      <c r="G1449" s="11">
        <v>0.71799999999999997</v>
      </c>
      <c r="H1449" s="5">
        <v>119.874</v>
      </c>
      <c r="I1449" s="8">
        <v>39</v>
      </c>
      <c r="J1449" s="8">
        <v>225</v>
      </c>
      <c r="K1449" s="8">
        <v>294</v>
      </c>
      <c r="L1449" s="8">
        <v>94</v>
      </c>
      <c r="M1449" t="s">
        <v>33</v>
      </c>
      <c r="N1449" s="16" t="s">
        <v>22</v>
      </c>
      <c r="O1449" s="16" t="s">
        <v>23</v>
      </c>
      <c r="P1449" s="16" t="s">
        <v>24</v>
      </c>
      <c r="Q1449" s="10" t="s">
        <v>1227</v>
      </c>
      <c r="R1449" s="3" t="str">
        <f t="shared" si="44"/>
        <v>172</v>
      </c>
      <c r="S1449" s="3" t="str">
        <f t="shared" si="45"/>
        <v>63</v>
      </c>
      <c r="T1449" s="16" t="s">
        <v>38</v>
      </c>
      <c r="U1449" s="3">
        <v>23.532</v>
      </c>
      <c r="V1449" s="16" t="str">
        <f>PROPER(Table1[[#This Row],[CVD Risk Level]])</f>
        <v>High</v>
      </c>
    </row>
    <row r="1450" spans="1:22" x14ac:dyDescent="0.3">
      <c r="A1450" t="s">
        <v>20</v>
      </c>
      <c r="B1450" s="8">
        <v>37</v>
      </c>
      <c r="C1450" s="8">
        <v>76.597999999999999</v>
      </c>
      <c r="D1450" s="5">
        <v>1.891</v>
      </c>
      <c r="E1450" s="5">
        <v>27.643000000000001</v>
      </c>
      <c r="F1450" s="16" t="s">
        <v>1303</v>
      </c>
      <c r="G1450" s="11">
        <v>0.55000000000000004</v>
      </c>
      <c r="H1450" s="5">
        <v>103.955</v>
      </c>
      <c r="I1450" s="8">
        <v>53</v>
      </c>
      <c r="J1450" s="8">
        <v>148</v>
      </c>
      <c r="K1450" s="8">
        <v>231</v>
      </c>
      <c r="L1450" s="8">
        <v>138</v>
      </c>
      <c r="M1450" t="s">
        <v>1307</v>
      </c>
      <c r="N1450" s="16" t="s">
        <v>22</v>
      </c>
      <c r="O1450" s="16" t="s">
        <v>22</v>
      </c>
      <c r="P1450" s="16" t="s">
        <v>24</v>
      </c>
      <c r="Q1450" s="10" t="s">
        <v>1228</v>
      </c>
      <c r="R1450" s="3" t="str">
        <f t="shared" si="44"/>
        <v>91</v>
      </c>
      <c r="S1450" s="3" t="str">
        <f t="shared" si="45"/>
        <v>108</v>
      </c>
      <c r="T1450" s="16" t="s">
        <v>38</v>
      </c>
      <c r="U1450" s="3">
        <v>14.699</v>
      </c>
      <c r="V1450" s="16" t="str">
        <f>PROPER(Table1[[#This Row],[CVD Risk Level]])</f>
        <v>High</v>
      </c>
    </row>
    <row r="1451" spans="1:22" x14ac:dyDescent="0.3">
      <c r="A1451" t="s">
        <v>31</v>
      </c>
      <c r="B1451" s="8">
        <v>71</v>
      </c>
      <c r="C1451" s="8">
        <v>77.877215324999995</v>
      </c>
      <c r="D1451" s="5">
        <v>1.911</v>
      </c>
      <c r="E1451" s="5">
        <v>21.324999999999999</v>
      </c>
      <c r="F1451" s="16" t="s">
        <v>33</v>
      </c>
      <c r="G1451" s="11">
        <v>0.59799999999999998</v>
      </c>
      <c r="H1451" s="5">
        <v>114.265</v>
      </c>
      <c r="I1451" s="8">
        <v>76</v>
      </c>
      <c r="J1451" s="8">
        <v>54</v>
      </c>
      <c r="K1451" s="8">
        <v>160</v>
      </c>
      <c r="L1451" s="8">
        <v>117.48563611491107</v>
      </c>
      <c r="M1451" t="s">
        <v>1306</v>
      </c>
      <c r="N1451" s="16" t="s">
        <v>23</v>
      </c>
      <c r="O1451" s="16" t="s">
        <v>23</v>
      </c>
      <c r="P1451" s="16" t="s">
        <v>28</v>
      </c>
      <c r="Q1451" s="10" t="s">
        <v>785</v>
      </c>
      <c r="R1451" s="3" t="str">
        <f t="shared" si="44"/>
        <v>140</v>
      </c>
      <c r="S1451" s="3" t="str">
        <f t="shared" si="45"/>
        <v>67</v>
      </c>
      <c r="T1451" s="16" t="s">
        <v>38</v>
      </c>
      <c r="U1451" s="3">
        <v>16.465</v>
      </c>
      <c r="V1451" s="16" t="str">
        <f>PROPER(Table1[[#This Row],[CVD Risk Level]])</f>
        <v>Intermediary</v>
      </c>
    </row>
    <row r="1452" spans="1:22" x14ac:dyDescent="0.3">
      <c r="A1452" t="s">
        <v>31</v>
      </c>
      <c r="B1452" s="8">
        <v>41</v>
      </c>
      <c r="C1452" s="8">
        <v>112.22</v>
      </c>
      <c r="D1452" s="5">
        <v>1.968</v>
      </c>
      <c r="E1452" s="5">
        <v>27.899000000000001</v>
      </c>
      <c r="F1452" s="16" t="s">
        <v>1303</v>
      </c>
      <c r="G1452" s="11">
        <v>0.55100000000000005</v>
      </c>
      <c r="H1452" s="5">
        <v>108.46899999999999</v>
      </c>
      <c r="I1452" s="8">
        <v>80</v>
      </c>
      <c r="J1452" s="8">
        <v>93</v>
      </c>
      <c r="K1452" s="8">
        <v>203</v>
      </c>
      <c r="L1452" s="8">
        <v>165</v>
      </c>
      <c r="M1452" t="s">
        <v>1307</v>
      </c>
      <c r="N1452" s="16" t="s">
        <v>23</v>
      </c>
      <c r="O1452" s="16" t="s">
        <v>22</v>
      </c>
      <c r="P1452" s="16" t="s">
        <v>37</v>
      </c>
      <c r="Q1452" s="10" t="s">
        <v>169</v>
      </c>
      <c r="R1452" s="3" t="str">
        <f t="shared" si="44"/>
        <v>126</v>
      </c>
      <c r="S1452" s="3" t="str">
        <f t="shared" si="45"/>
        <v>64</v>
      </c>
      <c r="T1452" s="16" t="s">
        <v>25</v>
      </c>
      <c r="U1452" s="3">
        <v>16.960925291295425</v>
      </c>
      <c r="V1452" s="16" t="str">
        <f>PROPER(Table1[[#This Row],[CVD Risk Level]])</f>
        <v>High</v>
      </c>
    </row>
    <row r="1453" spans="1:22" x14ac:dyDescent="0.3">
      <c r="A1453" t="s">
        <v>20</v>
      </c>
      <c r="B1453" s="8">
        <v>67</v>
      </c>
      <c r="C1453" s="8">
        <v>96.234999999999999</v>
      </c>
      <c r="D1453" s="5">
        <v>1.661</v>
      </c>
      <c r="E1453" s="5">
        <v>28.343</v>
      </c>
      <c r="F1453" s="16" t="s">
        <v>1303</v>
      </c>
      <c r="G1453" s="11">
        <v>0.71299999999999997</v>
      </c>
      <c r="H1453" s="5">
        <v>118.402</v>
      </c>
      <c r="I1453" s="8">
        <v>46</v>
      </c>
      <c r="J1453" s="8">
        <v>103</v>
      </c>
      <c r="K1453" s="8">
        <v>179</v>
      </c>
      <c r="L1453" s="8">
        <v>112</v>
      </c>
      <c r="M1453" t="s">
        <v>1306</v>
      </c>
      <c r="N1453" s="16" t="s">
        <v>23</v>
      </c>
      <c r="O1453" s="16" t="s">
        <v>22</v>
      </c>
      <c r="P1453" s="16" t="s">
        <v>37</v>
      </c>
      <c r="Q1453" s="10" t="s">
        <v>1229</v>
      </c>
      <c r="R1453" s="3" t="str">
        <f t="shared" si="44"/>
        <v>92</v>
      </c>
      <c r="S1453" s="3" t="str">
        <f t="shared" si="45"/>
        <v>107</v>
      </c>
      <c r="T1453" s="16" t="s">
        <v>38</v>
      </c>
      <c r="U1453" s="3">
        <v>13.849</v>
      </c>
      <c r="V1453" s="16" t="str">
        <f>PROPER(Table1[[#This Row],[CVD Risk Level]])</f>
        <v>High</v>
      </c>
    </row>
    <row r="1454" spans="1:22" x14ac:dyDescent="0.3">
      <c r="A1454" t="s">
        <v>20</v>
      </c>
      <c r="B1454" s="8">
        <v>44</v>
      </c>
      <c r="C1454" s="8">
        <v>56.978000000000002</v>
      </c>
      <c r="D1454" s="5">
        <v>1.629</v>
      </c>
      <c r="E1454" s="5">
        <v>29.390999999999998</v>
      </c>
      <c r="F1454" s="16" t="s">
        <v>1303</v>
      </c>
      <c r="G1454" s="11">
        <v>0.59299999999999997</v>
      </c>
      <c r="H1454" s="5">
        <v>96.63</v>
      </c>
      <c r="I1454" s="8">
        <v>56.197377501725327</v>
      </c>
      <c r="J1454" s="8">
        <v>103</v>
      </c>
      <c r="K1454" s="8">
        <v>178</v>
      </c>
      <c r="L1454" s="8">
        <v>167</v>
      </c>
      <c r="M1454" t="s">
        <v>1307</v>
      </c>
      <c r="N1454" s="16" t="s">
        <v>22</v>
      </c>
      <c r="O1454" s="16" t="s">
        <v>23</v>
      </c>
      <c r="P1454" s="16" t="s">
        <v>28</v>
      </c>
      <c r="Q1454" s="10" t="s">
        <v>1230</v>
      </c>
      <c r="R1454" s="3" t="str">
        <f t="shared" si="44"/>
        <v>148</v>
      </c>
      <c r="S1454" s="3" t="str">
        <f t="shared" si="45"/>
        <v>71</v>
      </c>
      <c r="T1454" s="16" t="s">
        <v>38</v>
      </c>
      <c r="U1454" s="3">
        <v>18.838000000000001</v>
      </c>
      <c r="V1454" s="16" t="str">
        <f>PROPER(Table1[[#This Row],[CVD Risk Level]])</f>
        <v>High</v>
      </c>
    </row>
    <row r="1455" spans="1:22" x14ac:dyDescent="0.3">
      <c r="A1455" t="s">
        <v>20</v>
      </c>
      <c r="B1455" s="8">
        <v>73</v>
      </c>
      <c r="C1455" s="8">
        <v>66.073999999999998</v>
      </c>
      <c r="D1455" s="5">
        <v>1.5511618873938009</v>
      </c>
      <c r="E1455" s="5">
        <v>27.460999999999999</v>
      </c>
      <c r="F1455" s="16" t="s">
        <v>1303</v>
      </c>
      <c r="G1455" s="11">
        <v>0.39100000000000001</v>
      </c>
      <c r="H1455" s="5">
        <v>76.599000000000004</v>
      </c>
      <c r="I1455" s="8">
        <v>55</v>
      </c>
      <c r="J1455" s="8">
        <v>112</v>
      </c>
      <c r="K1455" s="8">
        <v>197</v>
      </c>
      <c r="L1455" s="8">
        <v>131</v>
      </c>
      <c r="M1455" t="s">
        <v>1307</v>
      </c>
      <c r="N1455" s="16" t="s">
        <v>22</v>
      </c>
      <c r="O1455" s="16" t="s">
        <v>22</v>
      </c>
      <c r="P1455" s="16" t="s">
        <v>24</v>
      </c>
      <c r="Q1455" s="10" t="s">
        <v>1231</v>
      </c>
      <c r="R1455" s="3" t="str">
        <f t="shared" si="44"/>
        <v>112</v>
      </c>
      <c r="S1455" s="3" t="str">
        <f t="shared" si="45"/>
        <v>106</v>
      </c>
      <c r="T1455" s="16" t="s">
        <v>38</v>
      </c>
      <c r="U1455" s="3">
        <v>16.960925291295425</v>
      </c>
      <c r="V1455" s="16" t="str">
        <f>PROPER(Table1[[#This Row],[CVD Risk Level]])</f>
        <v>Intermediary</v>
      </c>
    </row>
    <row r="1456" spans="1:22" x14ac:dyDescent="0.3">
      <c r="A1456" t="s">
        <v>31</v>
      </c>
      <c r="B1456" s="8">
        <v>39</v>
      </c>
      <c r="C1456" s="8">
        <v>52.640999999999998</v>
      </c>
      <c r="D1456" s="5">
        <v>1.8979999999999999</v>
      </c>
      <c r="E1456" s="5">
        <v>33.1</v>
      </c>
      <c r="F1456" s="16" t="s">
        <v>1302</v>
      </c>
      <c r="G1456" s="11">
        <v>0.38800000000000001</v>
      </c>
      <c r="H1456" s="5">
        <v>73.69</v>
      </c>
      <c r="I1456" s="8">
        <v>38</v>
      </c>
      <c r="J1456" s="8">
        <v>160</v>
      </c>
      <c r="K1456" s="8">
        <v>228</v>
      </c>
      <c r="L1456" s="8">
        <v>112</v>
      </c>
      <c r="M1456" t="s">
        <v>1306</v>
      </c>
      <c r="N1456" s="16" t="s">
        <v>23</v>
      </c>
      <c r="O1456" s="16" t="s">
        <v>23</v>
      </c>
      <c r="P1456" s="16" t="s">
        <v>37</v>
      </c>
      <c r="Q1456" s="10" t="s">
        <v>1232</v>
      </c>
      <c r="R1456" s="3" t="str">
        <f t="shared" si="44"/>
        <v>120</v>
      </c>
      <c r="S1456" s="3" t="str">
        <f t="shared" si="45"/>
        <v>78</v>
      </c>
      <c r="T1456" s="16" t="s">
        <v>25</v>
      </c>
      <c r="U1456" s="3">
        <v>19.18</v>
      </c>
      <c r="V1456" s="16" t="str">
        <f>PROPER(Table1[[#This Row],[CVD Risk Level]])</f>
        <v>Intermediary</v>
      </c>
    </row>
    <row r="1457" spans="1:22" x14ac:dyDescent="0.3">
      <c r="A1457" t="s">
        <v>31</v>
      </c>
      <c r="B1457" s="8">
        <v>29</v>
      </c>
      <c r="C1457" s="8">
        <v>88.179000000000002</v>
      </c>
      <c r="D1457" s="5">
        <v>1.802</v>
      </c>
      <c r="E1457" s="5">
        <v>28.2</v>
      </c>
      <c r="F1457" s="16" t="s">
        <v>1303</v>
      </c>
      <c r="G1457" s="11">
        <v>0.53300000000000003</v>
      </c>
      <c r="H1457" s="5">
        <v>96.090999999999994</v>
      </c>
      <c r="I1457" s="8">
        <v>56</v>
      </c>
      <c r="J1457" s="8">
        <v>85</v>
      </c>
      <c r="K1457" s="8">
        <v>171</v>
      </c>
      <c r="L1457" s="8">
        <v>144</v>
      </c>
      <c r="M1457" t="s">
        <v>1307</v>
      </c>
      <c r="N1457" s="16" t="s">
        <v>23</v>
      </c>
      <c r="O1457" s="16" t="s">
        <v>22</v>
      </c>
      <c r="P1457" s="16" t="s">
        <v>24</v>
      </c>
      <c r="Q1457" s="10" t="s">
        <v>1233</v>
      </c>
      <c r="R1457" s="3" t="str">
        <f t="shared" si="44"/>
        <v>165</v>
      </c>
      <c r="S1457" s="3" t="str">
        <f t="shared" si="45"/>
        <v>72</v>
      </c>
      <c r="T1457" s="16" t="s">
        <v>38</v>
      </c>
      <c r="U1457" s="3">
        <v>17.309999999999999</v>
      </c>
      <c r="V1457" s="16" t="str">
        <f>PROPER(Table1[[#This Row],[CVD Risk Level]])</f>
        <v>Intermediary</v>
      </c>
    </row>
    <row r="1458" spans="1:22" x14ac:dyDescent="0.3">
      <c r="A1458" t="s">
        <v>31</v>
      </c>
      <c r="B1458" s="8">
        <v>55</v>
      </c>
      <c r="C1458" s="8">
        <v>74.451999999999998</v>
      </c>
      <c r="D1458" s="5">
        <v>1.643</v>
      </c>
      <c r="E1458" s="5">
        <v>37.512</v>
      </c>
      <c r="F1458" s="16" t="s">
        <v>1302</v>
      </c>
      <c r="G1458" s="11">
        <v>0.48399999999999999</v>
      </c>
      <c r="H1458" s="5">
        <v>79.587999999999994</v>
      </c>
      <c r="I1458" s="8">
        <v>48</v>
      </c>
      <c r="J1458" s="8">
        <v>82</v>
      </c>
      <c r="K1458" s="8">
        <v>160</v>
      </c>
      <c r="L1458" s="8">
        <v>161</v>
      </c>
      <c r="M1458" t="s">
        <v>1307</v>
      </c>
      <c r="N1458" s="16" t="s">
        <v>23</v>
      </c>
      <c r="O1458" s="16" t="s">
        <v>22</v>
      </c>
      <c r="P1458" s="16" t="s">
        <v>37</v>
      </c>
      <c r="Q1458" s="10" t="s">
        <v>1234</v>
      </c>
      <c r="R1458" s="3" t="str">
        <f t="shared" si="44"/>
        <v>102</v>
      </c>
      <c r="S1458" s="3" t="str">
        <f t="shared" si="45"/>
        <v>90</v>
      </c>
      <c r="T1458" s="16" t="s">
        <v>38</v>
      </c>
      <c r="U1458" s="3">
        <v>16.960925291295425</v>
      </c>
      <c r="V1458" s="16" t="str">
        <f>PROPER(Table1[[#This Row],[CVD Risk Level]])</f>
        <v>Low</v>
      </c>
    </row>
    <row r="1459" spans="1:22" x14ac:dyDescent="0.3">
      <c r="A1459" t="s">
        <v>31</v>
      </c>
      <c r="B1459" s="8">
        <v>46</v>
      </c>
      <c r="C1459" s="8">
        <v>61.985999999999997</v>
      </c>
      <c r="D1459" s="5">
        <v>1.841</v>
      </c>
      <c r="E1459" s="5">
        <v>18.288834711550916</v>
      </c>
      <c r="F1459" s="16" t="s">
        <v>1304</v>
      </c>
      <c r="G1459" s="11">
        <v>0.64600000000000002</v>
      </c>
      <c r="H1459" s="5">
        <v>118.99</v>
      </c>
      <c r="I1459" s="8">
        <v>61</v>
      </c>
      <c r="J1459" s="8">
        <v>31</v>
      </c>
      <c r="K1459" s="8">
        <v>184</v>
      </c>
      <c r="L1459" s="8">
        <v>155</v>
      </c>
      <c r="M1459" t="s">
        <v>1307</v>
      </c>
      <c r="N1459" s="16" t="s">
        <v>23</v>
      </c>
      <c r="O1459" s="16" t="s">
        <v>22</v>
      </c>
      <c r="P1459" s="16" t="s">
        <v>24</v>
      </c>
      <c r="Q1459" s="10" t="s">
        <v>1235</v>
      </c>
      <c r="R1459" s="3" t="str">
        <f t="shared" si="44"/>
        <v>169</v>
      </c>
      <c r="S1459" s="3" t="str">
        <f t="shared" si="45"/>
        <v>87</v>
      </c>
      <c r="T1459" s="16" t="s">
        <v>29</v>
      </c>
      <c r="U1459" s="3">
        <v>16.75</v>
      </c>
      <c r="V1459" s="16" t="str">
        <f>PROPER(Table1[[#This Row],[CVD Risk Level]])</f>
        <v>High</v>
      </c>
    </row>
    <row r="1460" spans="1:22" x14ac:dyDescent="0.3">
      <c r="A1460" t="s">
        <v>20</v>
      </c>
      <c r="B1460" s="8">
        <v>46</v>
      </c>
      <c r="C1460" s="8">
        <v>98.034999999999997</v>
      </c>
      <c r="D1460" s="5">
        <v>1.86</v>
      </c>
      <c r="E1460" s="5">
        <v>24.27</v>
      </c>
      <c r="F1460" s="16" t="s">
        <v>33</v>
      </c>
      <c r="G1460" s="11">
        <v>0.48099999999999998</v>
      </c>
      <c r="H1460" s="5">
        <v>89.5</v>
      </c>
      <c r="I1460" s="8">
        <v>56.197377501725327</v>
      </c>
      <c r="J1460" s="8">
        <v>77</v>
      </c>
      <c r="K1460" s="8">
        <v>150</v>
      </c>
      <c r="L1460" s="8">
        <v>174</v>
      </c>
      <c r="M1460" t="s">
        <v>1307</v>
      </c>
      <c r="N1460" s="16" t="s">
        <v>22</v>
      </c>
      <c r="O1460" s="16" t="s">
        <v>22</v>
      </c>
      <c r="P1460" s="16" t="s">
        <v>28</v>
      </c>
      <c r="Q1460" s="10" t="s">
        <v>1236</v>
      </c>
      <c r="R1460" s="3" t="str">
        <f t="shared" si="44"/>
        <v>117</v>
      </c>
      <c r="S1460" s="3" t="str">
        <f t="shared" si="45"/>
        <v>77</v>
      </c>
      <c r="T1460" s="16" t="s">
        <v>33</v>
      </c>
      <c r="U1460" s="3">
        <v>13.704000000000001</v>
      </c>
      <c r="V1460" s="16" t="str">
        <f>PROPER(Table1[[#This Row],[CVD Risk Level]])</f>
        <v>High</v>
      </c>
    </row>
    <row r="1461" spans="1:22" x14ac:dyDescent="0.3">
      <c r="A1461" t="s">
        <v>20</v>
      </c>
      <c r="B1461" s="8">
        <v>76</v>
      </c>
      <c r="C1461" s="8">
        <v>114.22799999999999</v>
      </c>
      <c r="D1461" s="5">
        <v>1.6180000000000001</v>
      </c>
      <c r="E1461" s="5">
        <v>43.633046643065263</v>
      </c>
      <c r="F1461" s="16" t="s">
        <v>1302</v>
      </c>
      <c r="G1461" s="11">
        <v>0.48199999999999998</v>
      </c>
      <c r="H1461" s="5">
        <v>77.89</v>
      </c>
      <c r="I1461" s="8">
        <v>70</v>
      </c>
      <c r="J1461" s="8">
        <v>37</v>
      </c>
      <c r="K1461" s="8">
        <v>137</v>
      </c>
      <c r="L1461" s="8">
        <v>90</v>
      </c>
      <c r="M1461" t="s">
        <v>33</v>
      </c>
      <c r="N1461" s="16" t="s">
        <v>22</v>
      </c>
      <c r="O1461" s="16" t="s">
        <v>23</v>
      </c>
      <c r="P1461" s="16" t="s">
        <v>37</v>
      </c>
      <c r="Q1461" s="10" t="s">
        <v>1237</v>
      </c>
      <c r="R1461" s="3" t="str">
        <f t="shared" si="44"/>
        <v>163</v>
      </c>
      <c r="S1461" s="3" t="str">
        <f t="shared" si="45"/>
        <v>82</v>
      </c>
      <c r="T1461" s="16" t="s">
        <v>29</v>
      </c>
      <c r="U1461" s="3">
        <v>19.716000000000001</v>
      </c>
      <c r="V1461" s="16" t="str">
        <f>PROPER(Table1[[#This Row],[CVD Risk Level]])</f>
        <v>High</v>
      </c>
    </row>
    <row r="1462" spans="1:22" x14ac:dyDescent="0.3">
      <c r="A1462" t="s">
        <v>20</v>
      </c>
      <c r="B1462" s="8">
        <v>75</v>
      </c>
      <c r="C1462" s="8">
        <v>103.54300000000001</v>
      </c>
      <c r="D1462" s="5">
        <v>1.8520000000000001</v>
      </c>
      <c r="E1462" s="5">
        <v>29.792999999999999</v>
      </c>
      <c r="F1462" s="16" t="s">
        <v>1303</v>
      </c>
      <c r="G1462" s="11">
        <v>0.59699999999999998</v>
      </c>
      <c r="H1462" s="5">
        <v>110.663</v>
      </c>
      <c r="I1462" s="8">
        <v>49</v>
      </c>
      <c r="J1462" s="8">
        <v>170</v>
      </c>
      <c r="K1462" s="8">
        <v>249</v>
      </c>
      <c r="L1462" s="8">
        <v>191</v>
      </c>
      <c r="M1462" t="s">
        <v>1307</v>
      </c>
      <c r="N1462" s="16" t="s">
        <v>23</v>
      </c>
      <c r="O1462" s="16" t="s">
        <v>23</v>
      </c>
      <c r="P1462" s="16" t="s">
        <v>28</v>
      </c>
      <c r="Q1462" s="10" t="s">
        <v>1238</v>
      </c>
      <c r="R1462" s="3" t="str">
        <f t="shared" si="44"/>
        <v>96</v>
      </c>
      <c r="S1462" s="3" t="str">
        <f t="shared" si="45"/>
        <v>89</v>
      </c>
      <c r="T1462" s="16" t="s">
        <v>29</v>
      </c>
      <c r="U1462" s="3">
        <v>17.739000000000001</v>
      </c>
      <c r="V1462" s="16" t="str">
        <f>PROPER(Table1[[#This Row],[CVD Risk Level]])</f>
        <v>Low</v>
      </c>
    </row>
    <row r="1463" spans="1:22" x14ac:dyDescent="0.3">
      <c r="A1463" t="s">
        <v>20</v>
      </c>
      <c r="B1463" s="8">
        <v>41</v>
      </c>
      <c r="C1463" s="8">
        <v>114.34699999999999</v>
      </c>
      <c r="D1463" s="5">
        <v>1.8720000000000001</v>
      </c>
      <c r="E1463" s="5">
        <v>27.49</v>
      </c>
      <c r="F1463" s="16" t="s">
        <v>1303</v>
      </c>
      <c r="G1463" s="11">
        <v>0.55200000000000005</v>
      </c>
      <c r="H1463" s="5">
        <v>103.441</v>
      </c>
      <c r="I1463" s="8">
        <v>42</v>
      </c>
      <c r="J1463" s="8">
        <v>227</v>
      </c>
      <c r="K1463" s="8">
        <v>299</v>
      </c>
      <c r="L1463" s="8">
        <v>134</v>
      </c>
      <c r="M1463" t="s">
        <v>1307</v>
      </c>
      <c r="N1463" s="16" t="s">
        <v>22</v>
      </c>
      <c r="O1463" s="16" t="s">
        <v>23</v>
      </c>
      <c r="P1463" s="16" t="s">
        <v>28</v>
      </c>
      <c r="Q1463" s="10" t="s">
        <v>1239</v>
      </c>
      <c r="R1463" s="3" t="str">
        <f t="shared" si="44"/>
        <v>107</v>
      </c>
      <c r="S1463" s="3" t="str">
        <f t="shared" si="45"/>
        <v>91</v>
      </c>
      <c r="T1463" s="16" t="s">
        <v>38</v>
      </c>
      <c r="U1463" s="3">
        <v>18.827999999999999</v>
      </c>
      <c r="V1463" s="16" t="str">
        <f>PROPER(Table1[[#This Row],[CVD Risk Level]])</f>
        <v>Intermediary</v>
      </c>
    </row>
    <row r="1464" spans="1:22" x14ac:dyDescent="0.3">
      <c r="A1464" t="s">
        <v>31</v>
      </c>
      <c r="B1464" s="8">
        <v>69</v>
      </c>
      <c r="C1464" s="8">
        <v>85.474000000000004</v>
      </c>
      <c r="D1464" s="5">
        <v>1.879</v>
      </c>
      <c r="E1464" s="5">
        <v>36.134999999999998</v>
      </c>
      <c r="F1464" s="16" t="s">
        <v>1302</v>
      </c>
      <c r="G1464" s="11">
        <v>0.54200000000000004</v>
      </c>
      <c r="H1464" s="5">
        <v>101.905</v>
      </c>
      <c r="I1464" s="8">
        <v>89</v>
      </c>
      <c r="J1464" s="8">
        <v>86</v>
      </c>
      <c r="K1464" s="8">
        <v>205</v>
      </c>
      <c r="L1464" s="8">
        <v>171</v>
      </c>
      <c r="M1464" t="s">
        <v>1307</v>
      </c>
      <c r="N1464" s="16" t="s">
        <v>23</v>
      </c>
      <c r="O1464" s="16" t="s">
        <v>23</v>
      </c>
      <c r="P1464" s="16" t="s">
        <v>24</v>
      </c>
      <c r="Q1464" s="10" t="s">
        <v>1240</v>
      </c>
      <c r="R1464" s="3" t="str">
        <f t="shared" si="44"/>
        <v>131</v>
      </c>
      <c r="S1464" s="3" t="str">
        <f t="shared" si="45"/>
        <v>98</v>
      </c>
      <c r="T1464" s="16" t="s">
        <v>29</v>
      </c>
      <c r="U1464" s="3">
        <v>19.876999999999999</v>
      </c>
      <c r="V1464" s="16" t="str">
        <f>PROPER(Table1[[#This Row],[CVD Risk Level]])</f>
        <v>Low</v>
      </c>
    </row>
    <row r="1465" spans="1:22" x14ac:dyDescent="0.3">
      <c r="A1465" t="s">
        <v>20</v>
      </c>
      <c r="B1465" s="8">
        <v>62</v>
      </c>
      <c r="C1465" s="8">
        <v>66.498000000000005</v>
      </c>
      <c r="D1465" s="5">
        <v>1.6439999999999999</v>
      </c>
      <c r="E1465" s="5">
        <v>33.527999999999999</v>
      </c>
      <c r="F1465" s="16" t="s">
        <v>1302</v>
      </c>
      <c r="G1465" s="11">
        <v>0.70899999999999996</v>
      </c>
      <c r="H1465" s="5">
        <v>116.551</v>
      </c>
      <c r="I1465" s="8">
        <v>53</v>
      </c>
      <c r="J1465" s="8">
        <v>134</v>
      </c>
      <c r="K1465" s="8">
        <v>374</v>
      </c>
      <c r="L1465" s="8">
        <v>193</v>
      </c>
      <c r="M1465" t="s">
        <v>1307</v>
      </c>
      <c r="N1465" s="16" t="s">
        <v>23</v>
      </c>
      <c r="O1465" s="16" t="s">
        <v>22</v>
      </c>
      <c r="P1465" s="16" t="s">
        <v>37</v>
      </c>
      <c r="Q1465" s="10" t="s">
        <v>1241</v>
      </c>
      <c r="R1465" s="3" t="str">
        <f t="shared" si="44"/>
        <v>179</v>
      </c>
      <c r="S1465" s="3" t="str">
        <f t="shared" si="45"/>
        <v>91</v>
      </c>
      <c r="T1465" s="16" t="s">
        <v>38</v>
      </c>
      <c r="U1465" s="3">
        <v>19.995999999999999</v>
      </c>
      <c r="V1465" s="16" t="str">
        <f>PROPER(Table1[[#This Row],[CVD Risk Level]])</f>
        <v>Low</v>
      </c>
    </row>
    <row r="1466" spans="1:22" x14ac:dyDescent="0.3">
      <c r="A1466" t="s">
        <v>31</v>
      </c>
      <c r="B1466" s="8">
        <v>47.025499655410059</v>
      </c>
      <c r="C1466" s="8">
        <v>104.80200000000001</v>
      </c>
      <c r="D1466" s="5">
        <v>1.927</v>
      </c>
      <c r="E1466" s="5">
        <v>36.368000000000002</v>
      </c>
      <c r="F1466" s="16" t="s">
        <v>1302</v>
      </c>
      <c r="G1466" s="11">
        <v>0.36499999999999999</v>
      </c>
      <c r="H1466" s="5">
        <v>70.411000000000001</v>
      </c>
      <c r="I1466" s="8">
        <v>31</v>
      </c>
      <c r="J1466" s="8">
        <v>43</v>
      </c>
      <c r="K1466" s="8">
        <v>104</v>
      </c>
      <c r="L1466" s="8">
        <v>78</v>
      </c>
      <c r="M1466" t="s">
        <v>33</v>
      </c>
      <c r="N1466" s="16" t="s">
        <v>22</v>
      </c>
      <c r="O1466" s="16" t="s">
        <v>23</v>
      </c>
      <c r="P1466" s="16" t="s">
        <v>24</v>
      </c>
      <c r="Q1466" s="10" t="s">
        <v>1242</v>
      </c>
      <c r="R1466" s="3" t="str">
        <f t="shared" si="44"/>
        <v>90</v>
      </c>
      <c r="S1466" s="3" t="str">
        <f t="shared" si="45"/>
        <v>111</v>
      </c>
      <c r="T1466" s="16" t="s">
        <v>38</v>
      </c>
      <c r="U1466" s="3">
        <v>15.853999999999999</v>
      </c>
      <c r="V1466" s="16" t="str">
        <f>PROPER(Table1[[#This Row],[CVD Risk Level]])</f>
        <v>High</v>
      </c>
    </row>
    <row r="1467" spans="1:22" x14ac:dyDescent="0.3">
      <c r="A1467" t="s">
        <v>31</v>
      </c>
      <c r="B1467" s="8">
        <v>35</v>
      </c>
      <c r="C1467" s="8">
        <v>117.825</v>
      </c>
      <c r="D1467" s="5">
        <v>1.5509999999999999</v>
      </c>
      <c r="E1467" s="5">
        <v>21.128</v>
      </c>
      <c r="F1467" s="16" t="s">
        <v>33</v>
      </c>
      <c r="G1467" s="11">
        <v>0.48099999999999998</v>
      </c>
      <c r="H1467" s="5">
        <v>74.558999999999997</v>
      </c>
      <c r="I1467" s="8">
        <v>49</v>
      </c>
      <c r="J1467" s="8">
        <v>209</v>
      </c>
      <c r="K1467" s="8">
        <v>288</v>
      </c>
      <c r="L1467" s="8">
        <v>117.48563611491107</v>
      </c>
      <c r="M1467" t="s">
        <v>1306</v>
      </c>
      <c r="N1467" s="16" t="s">
        <v>23</v>
      </c>
      <c r="O1467" s="16" t="s">
        <v>23</v>
      </c>
      <c r="P1467" s="16" t="s">
        <v>24</v>
      </c>
      <c r="Q1467" s="10" t="s">
        <v>1243</v>
      </c>
      <c r="R1467" s="3" t="str">
        <f t="shared" si="44"/>
        <v>110</v>
      </c>
      <c r="S1467" s="3" t="str">
        <f t="shared" si="45"/>
        <v>112</v>
      </c>
      <c r="T1467" s="16" t="s">
        <v>38</v>
      </c>
      <c r="U1467" s="3">
        <v>17.486000000000001</v>
      </c>
      <c r="V1467" s="16" t="str">
        <f>PROPER(Table1[[#This Row],[CVD Risk Level]])</f>
        <v>Intermediary</v>
      </c>
    </row>
    <row r="1468" spans="1:22" x14ac:dyDescent="0.3">
      <c r="A1468" t="s">
        <v>20</v>
      </c>
      <c r="B1468" s="8">
        <v>70</v>
      </c>
      <c r="C1468" s="8">
        <v>56.381</v>
      </c>
      <c r="D1468" s="5">
        <v>1.9</v>
      </c>
      <c r="E1468" s="5">
        <v>33.984000000000002</v>
      </c>
      <c r="F1468" s="16" t="s">
        <v>1302</v>
      </c>
      <c r="G1468" s="11">
        <v>0.41399999999999998</v>
      </c>
      <c r="H1468" s="5">
        <v>78.763999999999996</v>
      </c>
      <c r="I1468" s="8">
        <v>52</v>
      </c>
      <c r="J1468" s="8">
        <v>133</v>
      </c>
      <c r="K1468" s="8">
        <v>215</v>
      </c>
      <c r="L1468" s="8">
        <v>166</v>
      </c>
      <c r="M1468" t="s">
        <v>1307</v>
      </c>
      <c r="N1468" s="16" t="s">
        <v>22</v>
      </c>
      <c r="O1468" s="16" t="s">
        <v>23</v>
      </c>
      <c r="P1468" s="16" t="s">
        <v>28</v>
      </c>
      <c r="Q1468" s="10" t="s">
        <v>1244</v>
      </c>
      <c r="R1468" s="3" t="str">
        <f t="shared" si="44"/>
        <v>176</v>
      </c>
      <c r="S1468" s="3" t="str">
        <f t="shared" si="45"/>
        <v>95</v>
      </c>
      <c r="T1468" s="16" t="s">
        <v>38</v>
      </c>
      <c r="U1468" s="3">
        <v>21.896999999999998</v>
      </c>
      <c r="V1468" s="16" t="str">
        <f>PROPER(Table1[[#This Row],[CVD Risk Level]])</f>
        <v>Intermediary</v>
      </c>
    </row>
    <row r="1469" spans="1:22" x14ac:dyDescent="0.3">
      <c r="A1469" t="s">
        <v>20</v>
      </c>
      <c r="B1469" s="8">
        <v>33</v>
      </c>
      <c r="C1469" s="8">
        <v>65.016999999999996</v>
      </c>
      <c r="D1469" s="5">
        <v>1.5780000000000001</v>
      </c>
      <c r="E1469" s="5">
        <v>21.577000000000002</v>
      </c>
      <c r="F1469" s="16" t="s">
        <v>33</v>
      </c>
      <c r="G1469" s="11">
        <v>0.70199999999999996</v>
      </c>
      <c r="H1469" s="5">
        <v>110.809</v>
      </c>
      <c r="I1469" s="8">
        <v>48</v>
      </c>
      <c r="J1469" s="8">
        <v>43</v>
      </c>
      <c r="K1469" s="8">
        <v>121</v>
      </c>
      <c r="L1469" s="8">
        <v>148</v>
      </c>
      <c r="M1469" t="s">
        <v>1307</v>
      </c>
      <c r="N1469" s="16" t="s">
        <v>22</v>
      </c>
      <c r="O1469" s="16" t="s">
        <v>22</v>
      </c>
      <c r="P1469" s="16" t="s">
        <v>24</v>
      </c>
      <c r="Q1469" s="10" t="s">
        <v>662</v>
      </c>
      <c r="R1469" s="3" t="str">
        <f t="shared" si="44"/>
        <v>102</v>
      </c>
      <c r="S1469" s="3" t="str">
        <f t="shared" si="45"/>
        <v>73</v>
      </c>
      <c r="T1469" s="16" t="s">
        <v>33</v>
      </c>
      <c r="U1469" s="3">
        <v>11.835000000000001</v>
      </c>
      <c r="V1469" s="16" t="str">
        <f>PROPER(Table1[[#This Row],[CVD Risk Level]])</f>
        <v>Intermediary</v>
      </c>
    </row>
    <row r="1470" spans="1:22" x14ac:dyDescent="0.3">
      <c r="A1470" t="s">
        <v>31</v>
      </c>
      <c r="B1470" s="8">
        <v>41</v>
      </c>
      <c r="C1470" s="8">
        <v>111.548</v>
      </c>
      <c r="D1470" s="5">
        <v>1.9119999999999999</v>
      </c>
      <c r="E1470" s="5">
        <v>30.513077502144572</v>
      </c>
      <c r="F1470" s="16" t="s">
        <v>1302</v>
      </c>
      <c r="G1470" s="11">
        <v>0.46100000000000002</v>
      </c>
      <c r="H1470" s="5">
        <v>88.150999999999996</v>
      </c>
      <c r="I1470" s="8">
        <v>46</v>
      </c>
      <c r="J1470" s="8">
        <v>26</v>
      </c>
      <c r="K1470" s="8">
        <v>102</v>
      </c>
      <c r="L1470" s="8">
        <v>90</v>
      </c>
      <c r="M1470" t="s">
        <v>33</v>
      </c>
      <c r="N1470" s="16" t="s">
        <v>23</v>
      </c>
      <c r="O1470" s="16" t="s">
        <v>23</v>
      </c>
      <c r="P1470" s="16" t="s">
        <v>24</v>
      </c>
      <c r="Q1470" s="10" t="s">
        <v>207</v>
      </c>
      <c r="R1470" s="3" t="str">
        <f t="shared" si="44"/>
        <v>130</v>
      </c>
      <c r="S1470" s="3" t="str">
        <f t="shared" si="45"/>
        <v>71</v>
      </c>
      <c r="T1470" s="16" t="s">
        <v>29</v>
      </c>
      <c r="U1470" s="3">
        <v>16.672999999999998</v>
      </c>
      <c r="V1470" s="16" t="str">
        <f>PROPER(Table1[[#This Row],[CVD Risk Level]])</f>
        <v>Intermediary</v>
      </c>
    </row>
    <row r="1471" spans="1:22" x14ac:dyDescent="0.3">
      <c r="A1471" t="s">
        <v>20</v>
      </c>
      <c r="B1471" s="8">
        <v>28</v>
      </c>
      <c r="C1471" s="8">
        <v>92.683000000000007</v>
      </c>
      <c r="D1471" s="5">
        <v>1.839</v>
      </c>
      <c r="E1471" s="5">
        <v>31.26</v>
      </c>
      <c r="F1471" s="16" t="s">
        <v>1302</v>
      </c>
      <c r="G1471" s="11">
        <v>0.41499999999999998</v>
      </c>
      <c r="H1471" s="5">
        <v>76.347999999999999</v>
      </c>
      <c r="I1471" s="8">
        <v>81</v>
      </c>
      <c r="J1471" s="8">
        <v>186</v>
      </c>
      <c r="K1471" s="8">
        <v>297</v>
      </c>
      <c r="L1471" s="8">
        <v>147</v>
      </c>
      <c r="M1471" t="s">
        <v>1307</v>
      </c>
      <c r="N1471" s="16" t="s">
        <v>22</v>
      </c>
      <c r="O1471" s="16" t="s">
        <v>23</v>
      </c>
      <c r="P1471" s="16" t="s">
        <v>28</v>
      </c>
      <c r="Q1471" s="10" t="s">
        <v>1245</v>
      </c>
      <c r="R1471" s="3" t="str">
        <f t="shared" si="44"/>
        <v>169</v>
      </c>
      <c r="S1471" s="3" t="str">
        <f t="shared" si="45"/>
        <v>95</v>
      </c>
      <c r="T1471" s="16" t="s">
        <v>38</v>
      </c>
      <c r="U1471" s="3">
        <v>22.641999999999999</v>
      </c>
      <c r="V1471" s="16" t="str">
        <f>PROPER(Table1[[#This Row],[CVD Risk Level]])</f>
        <v>Low</v>
      </c>
    </row>
    <row r="1472" spans="1:22" x14ac:dyDescent="0.3">
      <c r="A1472" t="s">
        <v>20</v>
      </c>
      <c r="B1472" s="8">
        <v>75</v>
      </c>
      <c r="C1472" s="8">
        <v>109.986</v>
      </c>
      <c r="D1472" s="5">
        <v>1.5740000000000001</v>
      </c>
      <c r="E1472" s="5">
        <v>35.325000000000003</v>
      </c>
      <c r="F1472" s="16" t="s">
        <v>1302</v>
      </c>
      <c r="G1472" s="11">
        <v>0.69199999999999995</v>
      </c>
      <c r="H1472" s="5">
        <v>109.006</v>
      </c>
      <c r="I1472" s="8">
        <v>77</v>
      </c>
      <c r="J1472" s="8">
        <v>188</v>
      </c>
      <c r="K1472" s="8">
        <v>295</v>
      </c>
      <c r="L1472" s="8">
        <v>134</v>
      </c>
      <c r="M1472" t="s">
        <v>1307</v>
      </c>
      <c r="N1472" s="16" t="s">
        <v>22</v>
      </c>
      <c r="O1472" s="16" t="s">
        <v>22</v>
      </c>
      <c r="P1472" s="16" t="s">
        <v>37</v>
      </c>
      <c r="Q1472" s="10" t="s">
        <v>511</v>
      </c>
      <c r="R1472" s="3" t="str">
        <f t="shared" si="44"/>
        <v>119</v>
      </c>
      <c r="S1472" s="3" t="str">
        <f t="shared" si="45"/>
        <v>88</v>
      </c>
      <c r="T1472" s="16" t="s">
        <v>29</v>
      </c>
      <c r="U1472" s="3">
        <v>18.914999999999999</v>
      </c>
      <c r="V1472" s="16" t="str">
        <f>PROPER(Table1[[#This Row],[CVD Risk Level]])</f>
        <v>High</v>
      </c>
    </row>
    <row r="1473" spans="1:22" x14ac:dyDescent="0.3">
      <c r="A1473" t="s">
        <v>31</v>
      </c>
      <c r="B1473" s="8">
        <v>51</v>
      </c>
      <c r="C1473" s="8">
        <v>62.890999999999998</v>
      </c>
      <c r="D1473" s="5">
        <v>1.639</v>
      </c>
      <c r="E1473" s="5">
        <v>39.597000000000001</v>
      </c>
      <c r="F1473" s="16" t="s">
        <v>1302</v>
      </c>
      <c r="G1473" s="11">
        <v>0.56100000000000005</v>
      </c>
      <c r="H1473" s="5">
        <v>91.942999999999998</v>
      </c>
      <c r="I1473" s="8">
        <v>55</v>
      </c>
      <c r="J1473" s="8">
        <v>72</v>
      </c>
      <c r="K1473" s="8">
        <v>157</v>
      </c>
      <c r="L1473" s="8">
        <v>128</v>
      </c>
      <c r="M1473" t="s">
        <v>1307</v>
      </c>
      <c r="N1473" s="16" t="s">
        <v>22</v>
      </c>
      <c r="O1473" s="16" t="s">
        <v>22</v>
      </c>
      <c r="P1473" s="16" t="s">
        <v>24</v>
      </c>
      <c r="Q1473" s="10" t="s">
        <v>315</v>
      </c>
      <c r="R1473" s="3" t="str">
        <f t="shared" si="44"/>
        <v>100</v>
      </c>
      <c r="S1473" s="3" t="str">
        <f t="shared" si="45"/>
        <v>90</v>
      </c>
      <c r="T1473" s="16" t="s">
        <v>38</v>
      </c>
      <c r="U1473" s="3">
        <v>16.059000000000001</v>
      </c>
      <c r="V1473" s="16" t="str">
        <f>PROPER(Table1[[#This Row],[CVD Risk Level]])</f>
        <v>Intermediary</v>
      </c>
    </row>
    <row r="1474" spans="1:22" x14ac:dyDescent="0.3">
      <c r="A1474" t="s">
        <v>31</v>
      </c>
      <c r="B1474" s="8">
        <v>64</v>
      </c>
      <c r="C1474" s="8">
        <v>58.137999999999998</v>
      </c>
      <c r="D1474" s="5">
        <v>1.8640000000000001</v>
      </c>
      <c r="E1474" s="5">
        <v>31.123000000000001</v>
      </c>
      <c r="F1474" s="16" t="s">
        <v>1302</v>
      </c>
      <c r="G1474" s="11">
        <v>0.45700000000000002</v>
      </c>
      <c r="H1474" s="5">
        <v>85.182000000000002</v>
      </c>
      <c r="I1474" s="8">
        <v>78</v>
      </c>
      <c r="J1474" s="8">
        <v>151</v>
      </c>
      <c r="K1474" s="8">
        <v>259</v>
      </c>
      <c r="L1474" s="8">
        <v>147</v>
      </c>
      <c r="M1474" t="s">
        <v>1307</v>
      </c>
      <c r="N1474" s="16" t="s">
        <v>23</v>
      </c>
      <c r="O1474" s="16" t="s">
        <v>23</v>
      </c>
      <c r="P1474" s="16" t="s">
        <v>24</v>
      </c>
      <c r="Q1474" s="10" t="s">
        <v>1246</v>
      </c>
      <c r="R1474" s="3" t="str">
        <f t="shared" si="44"/>
        <v>149</v>
      </c>
      <c r="S1474" s="3" t="str">
        <f t="shared" si="45"/>
        <v>71</v>
      </c>
      <c r="T1474" s="16" t="s">
        <v>38</v>
      </c>
      <c r="U1474" s="3">
        <v>20.855</v>
      </c>
      <c r="V1474" s="16" t="str">
        <f>PROPER(Table1[[#This Row],[CVD Risk Level]])</f>
        <v>High</v>
      </c>
    </row>
    <row r="1475" spans="1:22" x14ac:dyDescent="0.3">
      <c r="A1475" t="s">
        <v>31</v>
      </c>
      <c r="B1475" s="8">
        <v>66</v>
      </c>
      <c r="C1475" s="8">
        <v>105.196</v>
      </c>
      <c r="D1475" s="5">
        <v>1.9953771181621152</v>
      </c>
      <c r="E1475" s="5">
        <v>26.420999999999999</v>
      </c>
      <c r="F1475" s="16" t="s">
        <v>1303</v>
      </c>
      <c r="G1475" s="11">
        <v>0.54700000000000004</v>
      </c>
      <c r="H1475" s="5">
        <v>92.346999999999994</v>
      </c>
      <c r="I1475" s="8">
        <v>87</v>
      </c>
      <c r="J1475" s="8">
        <v>158</v>
      </c>
      <c r="K1475" s="8">
        <v>275</v>
      </c>
      <c r="L1475" s="8">
        <v>93</v>
      </c>
      <c r="M1475" t="s">
        <v>33</v>
      </c>
      <c r="N1475" s="16" t="s">
        <v>22</v>
      </c>
      <c r="O1475" s="16" t="s">
        <v>23</v>
      </c>
      <c r="P1475" s="16" t="s">
        <v>28</v>
      </c>
      <c r="Q1475" s="10" t="s">
        <v>1247</v>
      </c>
      <c r="R1475" s="3" t="str">
        <f t="shared" ref="R1475:R1530" si="46">LEFT(Q1475,FIND("/",Q1475)-1)</f>
        <v>91</v>
      </c>
      <c r="S1475" s="3" t="str">
        <f t="shared" ref="S1475:S1530" si="47">RIGHT(Q1475,LEN(Q1475)-FIND("/",Q1475))</f>
        <v>97</v>
      </c>
      <c r="T1475" s="16" t="s">
        <v>38</v>
      </c>
      <c r="U1475" s="3">
        <v>17.334</v>
      </c>
      <c r="V1475" s="16" t="str">
        <f>PROPER(Table1[[#This Row],[CVD Risk Level]])</f>
        <v>Intermediary</v>
      </c>
    </row>
    <row r="1476" spans="1:22" x14ac:dyDescent="0.3">
      <c r="A1476" t="s">
        <v>20</v>
      </c>
      <c r="B1476" s="8">
        <v>64</v>
      </c>
      <c r="C1476" s="8">
        <v>108.820901574</v>
      </c>
      <c r="D1476" s="5">
        <v>1.7490000000000001</v>
      </c>
      <c r="E1476" s="5">
        <v>35.573999999999998</v>
      </c>
      <c r="F1476" s="16" t="s">
        <v>1302</v>
      </c>
      <c r="G1476" s="11">
        <v>0.43099999999999999</v>
      </c>
      <c r="H1476" s="5">
        <v>75.444999999999993</v>
      </c>
      <c r="I1476" s="8">
        <v>79</v>
      </c>
      <c r="J1476" s="8">
        <v>60</v>
      </c>
      <c r="K1476" s="8">
        <v>169</v>
      </c>
      <c r="L1476" s="8">
        <v>192</v>
      </c>
      <c r="M1476" t="s">
        <v>1307</v>
      </c>
      <c r="N1476" s="16" t="s">
        <v>23</v>
      </c>
      <c r="O1476" s="16" t="s">
        <v>23</v>
      </c>
      <c r="P1476" s="16" t="s">
        <v>37</v>
      </c>
      <c r="Q1476" s="10" t="s">
        <v>1248</v>
      </c>
      <c r="R1476" s="3" t="str">
        <f t="shared" si="46"/>
        <v>147</v>
      </c>
      <c r="S1476" s="3" t="str">
        <f t="shared" si="47"/>
        <v>105</v>
      </c>
      <c r="T1476" s="16" t="s">
        <v>38</v>
      </c>
      <c r="U1476" s="3">
        <v>19.844999999999999</v>
      </c>
      <c r="V1476" s="16" t="str">
        <f>PROPER(Table1[[#This Row],[CVD Risk Level]])</f>
        <v>High</v>
      </c>
    </row>
    <row r="1477" spans="1:22" x14ac:dyDescent="0.3">
      <c r="A1477" t="s">
        <v>31</v>
      </c>
      <c r="B1477" s="8">
        <v>57</v>
      </c>
      <c r="C1477" s="8">
        <v>111.959</v>
      </c>
      <c r="D1477" s="5">
        <v>1.772</v>
      </c>
      <c r="E1477" s="5">
        <v>32.305999999999997</v>
      </c>
      <c r="F1477" s="16" t="s">
        <v>1302</v>
      </c>
      <c r="G1477" s="11">
        <v>0.57899999999999996</v>
      </c>
      <c r="H1477" s="5">
        <v>102.645</v>
      </c>
      <c r="I1477" s="8">
        <v>36</v>
      </c>
      <c r="J1477" s="8">
        <v>89</v>
      </c>
      <c r="K1477" s="8">
        <v>155</v>
      </c>
      <c r="L1477" s="8">
        <v>130</v>
      </c>
      <c r="M1477" t="s">
        <v>1307</v>
      </c>
      <c r="N1477" s="16" t="s">
        <v>23</v>
      </c>
      <c r="O1477" s="16" t="s">
        <v>23</v>
      </c>
      <c r="P1477" s="16" t="s">
        <v>37</v>
      </c>
      <c r="Q1477" s="10" t="s">
        <v>1249</v>
      </c>
      <c r="R1477" s="3" t="str">
        <f t="shared" si="46"/>
        <v>171</v>
      </c>
      <c r="S1477" s="3" t="str">
        <f t="shared" si="47"/>
        <v>75</v>
      </c>
      <c r="T1477" s="16" t="s">
        <v>38</v>
      </c>
      <c r="U1477" s="3">
        <v>20.111000000000001</v>
      </c>
      <c r="V1477" s="16" t="str">
        <f>PROPER(Table1[[#This Row],[CVD Risk Level]])</f>
        <v>High</v>
      </c>
    </row>
    <row r="1478" spans="1:22" x14ac:dyDescent="0.3">
      <c r="A1478" t="s">
        <v>20</v>
      </c>
      <c r="B1478" s="8">
        <v>54</v>
      </c>
      <c r="C1478" s="8">
        <v>74.241</v>
      </c>
      <c r="D1478" s="5">
        <v>1.5549999999999999</v>
      </c>
      <c r="E1478" s="5">
        <v>24.553999999999998</v>
      </c>
      <c r="F1478" s="16" t="s">
        <v>33</v>
      </c>
      <c r="G1478" s="11">
        <v>0.752</v>
      </c>
      <c r="H1478" s="5">
        <v>116.941</v>
      </c>
      <c r="I1478" s="8">
        <v>85</v>
      </c>
      <c r="J1478" s="8">
        <v>109</v>
      </c>
      <c r="K1478" s="8">
        <v>105</v>
      </c>
      <c r="L1478" s="8">
        <v>122</v>
      </c>
      <c r="M1478" t="s">
        <v>1306</v>
      </c>
      <c r="N1478" s="16" t="s">
        <v>22</v>
      </c>
      <c r="O1478" s="16" t="s">
        <v>22</v>
      </c>
      <c r="P1478" s="16" t="s">
        <v>37</v>
      </c>
      <c r="Q1478" s="10" t="s">
        <v>1250</v>
      </c>
      <c r="R1478" s="3" t="str">
        <f t="shared" si="46"/>
        <v>104</v>
      </c>
      <c r="S1478" s="3" t="str">
        <f t="shared" si="47"/>
        <v>107</v>
      </c>
      <c r="T1478" s="16" t="s">
        <v>38</v>
      </c>
      <c r="U1478" s="3">
        <v>12.211</v>
      </c>
      <c r="V1478" s="16" t="str">
        <f>PROPER(Table1[[#This Row],[CVD Risk Level]])</f>
        <v>High</v>
      </c>
    </row>
    <row r="1479" spans="1:22" x14ac:dyDescent="0.3">
      <c r="A1479" t="s">
        <v>20</v>
      </c>
      <c r="B1479" s="8">
        <v>47.025499655410059</v>
      </c>
      <c r="C1479" s="8">
        <v>62.551000000000002</v>
      </c>
      <c r="D1479" s="5">
        <v>1.8460000000000001</v>
      </c>
      <c r="E1479" s="5">
        <v>36.387</v>
      </c>
      <c r="F1479" s="16" t="s">
        <v>1302</v>
      </c>
      <c r="G1479" s="11">
        <v>0.56999999999999995</v>
      </c>
      <c r="H1479" s="5">
        <v>105.20699999999999</v>
      </c>
      <c r="I1479" s="8">
        <v>77</v>
      </c>
      <c r="J1479" s="8">
        <v>144</v>
      </c>
      <c r="K1479" s="8">
        <v>251</v>
      </c>
      <c r="L1479" s="8">
        <v>191</v>
      </c>
      <c r="M1479" t="s">
        <v>1307</v>
      </c>
      <c r="N1479" s="16" t="s">
        <v>23</v>
      </c>
      <c r="O1479" s="16" t="s">
        <v>22</v>
      </c>
      <c r="P1479" s="16" t="s">
        <v>37</v>
      </c>
      <c r="Q1479" s="10" t="s">
        <v>1251</v>
      </c>
      <c r="R1479" s="3" t="str">
        <f t="shared" si="46"/>
        <v>177</v>
      </c>
      <c r="S1479" s="3" t="str">
        <f t="shared" si="47"/>
        <v>62</v>
      </c>
      <c r="T1479" s="16" t="s">
        <v>38</v>
      </c>
      <c r="U1479" s="3">
        <v>21.146999999999998</v>
      </c>
      <c r="V1479" s="16" t="str">
        <f>PROPER(Table1[[#This Row],[CVD Risk Level]])</f>
        <v>Intermediary</v>
      </c>
    </row>
    <row r="1480" spans="1:22" x14ac:dyDescent="0.3">
      <c r="A1480" t="s">
        <v>20</v>
      </c>
      <c r="B1480" s="8">
        <v>29</v>
      </c>
      <c r="C1480" s="8">
        <v>113.154</v>
      </c>
      <c r="D1480" s="5">
        <v>1.6579999999999999</v>
      </c>
      <c r="E1480" s="5">
        <v>23.254000000000001</v>
      </c>
      <c r="F1480" s="16" t="s">
        <v>33</v>
      </c>
      <c r="G1480" s="11">
        <v>0.60499999999999998</v>
      </c>
      <c r="H1480" s="5">
        <v>100.246</v>
      </c>
      <c r="I1480" s="8">
        <v>34</v>
      </c>
      <c r="J1480" s="8">
        <v>186</v>
      </c>
      <c r="K1480" s="8">
        <v>250</v>
      </c>
      <c r="L1480" s="8">
        <v>150</v>
      </c>
      <c r="M1480" t="s">
        <v>1307</v>
      </c>
      <c r="N1480" s="16" t="s">
        <v>22</v>
      </c>
      <c r="O1480" s="16" t="s">
        <v>23</v>
      </c>
      <c r="P1480" s="16" t="s">
        <v>28</v>
      </c>
      <c r="Q1480" s="10" t="s">
        <v>1252</v>
      </c>
      <c r="R1480" s="3" t="str">
        <f t="shared" si="46"/>
        <v>148</v>
      </c>
      <c r="S1480" s="3" t="str">
        <f t="shared" si="47"/>
        <v>81</v>
      </c>
      <c r="T1480" s="16" t="s">
        <v>29</v>
      </c>
      <c r="U1480" s="3">
        <v>19.050999999999998</v>
      </c>
      <c r="V1480" s="16" t="str">
        <f>PROPER(Table1[[#This Row],[CVD Risk Level]])</f>
        <v>Intermediary</v>
      </c>
    </row>
    <row r="1481" spans="1:22" x14ac:dyDescent="0.3">
      <c r="A1481" t="s">
        <v>31</v>
      </c>
      <c r="B1481" s="8">
        <v>52</v>
      </c>
      <c r="C1481" s="8">
        <v>80.463999999999999</v>
      </c>
      <c r="D1481" s="5">
        <v>1.5226006636393743</v>
      </c>
      <c r="E1481" s="5">
        <v>34.707999999999998</v>
      </c>
      <c r="F1481" s="16" t="s">
        <v>1302</v>
      </c>
      <c r="G1481" s="11">
        <v>0.624</v>
      </c>
      <c r="H1481" s="5">
        <v>115.123</v>
      </c>
      <c r="I1481" s="8">
        <v>61</v>
      </c>
      <c r="J1481" s="8">
        <v>190</v>
      </c>
      <c r="K1481" s="8">
        <v>281</v>
      </c>
      <c r="L1481" s="8">
        <v>93</v>
      </c>
      <c r="M1481" t="s">
        <v>33</v>
      </c>
      <c r="N1481" s="16" t="s">
        <v>22</v>
      </c>
      <c r="O1481" s="16" t="s">
        <v>23</v>
      </c>
      <c r="P1481" s="16" t="s">
        <v>37</v>
      </c>
      <c r="Q1481" s="10" t="s">
        <v>1253</v>
      </c>
      <c r="R1481" s="3" t="str">
        <f t="shared" si="46"/>
        <v>142</v>
      </c>
      <c r="S1481" s="3" t="str">
        <f t="shared" si="47"/>
        <v>107</v>
      </c>
      <c r="T1481" s="16" t="s">
        <v>38</v>
      </c>
      <c r="U1481" s="3">
        <v>21.661999999999999</v>
      </c>
      <c r="V1481" s="16" t="str">
        <f>PROPER(Table1[[#This Row],[CVD Risk Level]])</f>
        <v>Low</v>
      </c>
    </row>
    <row r="1482" spans="1:22" x14ac:dyDescent="0.3">
      <c r="A1482" t="s">
        <v>20</v>
      </c>
      <c r="B1482" s="8">
        <v>72</v>
      </c>
      <c r="C1482" s="8">
        <v>63.569000000000003</v>
      </c>
      <c r="D1482" s="5">
        <v>1.6160000000000001</v>
      </c>
      <c r="E1482" s="5">
        <v>21.219000000000001</v>
      </c>
      <c r="F1482" s="16" t="s">
        <v>33</v>
      </c>
      <c r="G1482" s="11">
        <v>0.499</v>
      </c>
      <c r="H1482" s="5">
        <v>80.661000000000001</v>
      </c>
      <c r="I1482" s="8">
        <v>79</v>
      </c>
      <c r="J1482" s="8">
        <v>57</v>
      </c>
      <c r="K1482" s="8">
        <v>166</v>
      </c>
      <c r="L1482" s="8">
        <v>181</v>
      </c>
      <c r="M1482" t="s">
        <v>1307</v>
      </c>
      <c r="N1482" s="16" t="s">
        <v>22</v>
      </c>
      <c r="O1482" s="16" t="s">
        <v>23</v>
      </c>
      <c r="P1482" s="16" t="s">
        <v>24</v>
      </c>
      <c r="Q1482" s="10" t="s">
        <v>618</v>
      </c>
      <c r="R1482" s="3" t="str">
        <f t="shared" si="46"/>
        <v>148</v>
      </c>
      <c r="S1482" s="3" t="str">
        <f t="shared" si="47"/>
        <v>98</v>
      </c>
      <c r="T1482" s="16" t="s">
        <v>38</v>
      </c>
      <c r="U1482" s="3">
        <v>16.963999999999999</v>
      </c>
      <c r="V1482" s="16" t="str">
        <f>PROPER(Table1[[#This Row],[CVD Risk Level]])</f>
        <v>High</v>
      </c>
    </row>
    <row r="1483" spans="1:22" x14ac:dyDescent="0.3">
      <c r="A1483" t="s">
        <v>31</v>
      </c>
      <c r="B1483" s="8">
        <v>65</v>
      </c>
      <c r="C1483" s="8">
        <v>63.04</v>
      </c>
      <c r="D1483" s="5">
        <v>1.524</v>
      </c>
      <c r="E1483" s="5">
        <v>18.866</v>
      </c>
      <c r="F1483" s="16" t="s">
        <v>33</v>
      </c>
      <c r="G1483" s="11">
        <v>0.47519028871391072</v>
      </c>
      <c r="H1483" s="5">
        <v>72.418999999999997</v>
      </c>
      <c r="I1483" s="8">
        <v>77</v>
      </c>
      <c r="J1483" s="8">
        <v>80</v>
      </c>
      <c r="K1483" s="8">
        <v>187</v>
      </c>
      <c r="L1483" s="8">
        <v>146</v>
      </c>
      <c r="M1483" t="s">
        <v>1307</v>
      </c>
      <c r="N1483" s="16" t="s">
        <v>22</v>
      </c>
      <c r="O1483" s="16" t="s">
        <v>22</v>
      </c>
      <c r="P1483" s="16" t="s">
        <v>28</v>
      </c>
      <c r="Q1483" s="10" t="s">
        <v>507</v>
      </c>
      <c r="R1483" s="3" t="str">
        <f t="shared" si="46"/>
        <v>111</v>
      </c>
      <c r="S1483" s="3" t="str">
        <f t="shared" si="47"/>
        <v>83</v>
      </c>
      <c r="T1483" s="16" t="s">
        <v>29</v>
      </c>
      <c r="U1483" s="3">
        <v>13.063000000000001</v>
      </c>
      <c r="V1483" s="16" t="str">
        <f>PROPER(Table1[[#This Row],[CVD Risk Level]])</f>
        <v>High</v>
      </c>
    </row>
    <row r="1484" spans="1:22" x14ac:dyDescent="0.3">
      <c r="A1484" t="s">
        <v>20</v>
      </c>
      <c r="B1484" s="8">
        <v>25</v>
      </c>
      <c r="C1484" s="8">
        <v>55.975000000000001</v>
      </c>
      <c r="D1484" s="5">
        <v>1.8320000000000001</v>
      </c>
      <c r="E1484" s="5">
        <v>24.033999999999999</v>
      </c>
      <c r="F1484" s="16" t="s">
        <v>33</v>
      </c>
      <c r="G1484" s="11">
        <v>0.63300000000000001</v>
      </c>
      <c r="H1484" s="5">
        <v>115.905</v>
      </c>
      <c r="I1484" s="8">
        <v>57</v>
      </c>
      <c r="J1484" s="8">
        <v>109</v>
      </c>
      <c r="K1484" s="8">
        <v>270</v>
      </c>
      <c r="L1484" s="8">
        <v>146</v>
      </c>
      <c r="M1484" t="s">
        <v>1307</v>
      </c>
      <c r="N1484" s="16" t="s">
        <v>23</v>
      </c>
      <c r="O1484" s="16" t="s">
        <v>23</v>
      </c>
      <c r="P1484" s="16" t="s">
        <v>37</v>
      </c>
      <c r="Q1484" s="10" t="s">
        <v>1254</v>
      </c>
      <c r="R1484" s="3" t="str">
        <f t="shared" si="46"/>
        <v>128</v>
      </c>
      <c r="S1484" s="3" t="str">
        <f t="shared" si="47"/>
        <v>99</v>
      </c>
      <c r="T1484" s="16" t="s">
        <v>38</v>
      </c>
      <c r="U1484" s="3">
        <v>18.606999999999999</v>
      </c>
      <c r="V1484" s="16" t="str">
        <f>PROPER(Table1[[#This Row],[CVD Risk Level]])</f>
        <v>High</v>
      </c>
    </row>
    <row r="1485" spans="1:22" x14ac:dyDescent="0.3">
      <c r="A1485" t="s">
        <v>31</v>
      </c>
      <c r="B1485" s="8">
        <v>47.025499655410059</v>
      </c>
      <c r="C1485" s="8">
        <v>56.551000000000002</v>
      </c>
      <c r="D1485" s="5">
        <v>1.9159999999999999</v>
      </c>
      <c r="E1485" s="5">
        <v>23.640999999999998</v>
      </c>
      <c r="F1485" s="16" t="s">
        <v>33</v>
      </c>
      <c r="G1485" s="11">
        <v>0.46358037578288103</v>
      </c>
      <c r="H1485" s="5">
        <v>88.822000000000003</v>
      </c>
      <c r="I1485" s="8">
        <v>73</v>
      </c>
      <c r="J1485" s="8">
        <v>179</v>
      </c>
      <c r="K1485" s="8">
        <v>504</v>
      </c>
      <c r="L1485" s="8">
        <v>169</v>
      </c>
      <c r="M1485" t="s">
        <v>1307</v>
      </c>
      <c r="N1485" s="16" t="s">
        <v>23</v>
      </c>
      <c r="O1485" s="16" t="s">
        <v>23</v>
      </c>
      <c r="P1485" s="16" t="s">
        <v>24</v>
      </c>
      <c r="Q1485" s="10" t="s">
        <v>1255</v>
      </c>
      <c r="R1485" s="3" t="str">
        <f t="shared" si="46"/>
        <v>106</v>
      </c>
      <c r="S1485" s="3" t="str">
        <f t="shared" si="47"/>
        <v>79</v>
      </c>
      <c r="T1485" s="16" t="s">
        <v>33</v>
      </c>
      <c r="U1485" s="3">
        <v>17.667999999999999</v>
      </c>
      <c r="V1485" s="16" t="str">
        <f>PROPER(Table1[[#This Row],[CVD Risk Level]])</f>
        <v>Low</v>
      </c>
    </row>
    <row r="1486" spans="1:22" x14ac:dyDescent="0.3">
      <c r="A1486" t="s">
        <v>31</v>
      </c>
      <c r="B1486" s="8">
        <v>71</v>
      </c>
      <c r="C1486" s="8">
        <v>86.263999999999996</v>
      </c>
      <c r="D1486" s="5">
        <v>1.694</v>
      </c>
      <c r="E1486" s="5">
        <v>29.422999999999998</v>
      </c>
      <c r="F1486" s="16" t="s">
        <v>1303</v>
      </c>
      <c r="G1486" s="11">
        <v>0.70399999999999996</v>
      </c>
      <c r="H1486" s="5">
        <v>119.233</v>
      </c>
      <c r="I1486" s="8">
        <v>65</v>
      </c>
      <c r="J1486" s="8">
        <v>109</v>
      </c>
      <c r="K1486" s="8">
        <v>204</v>
      </c>
      <c r="L1486" s="8">
        <v>82</v>
      </c>
      <c r="M1486" t="s">
        <v>33</v>
      </c>
      <c r="N1486" s="16" t="s">
        <v>22</v>
      </c>
      <c r="O1486" s="16" t="s">
        <v>22</v>
      </c>
      <c r="P1486" s="16" t="s">
        <v>28</v>
      </c>
      <c r="Q1486" s="10" t="s">
        <v>1256</v>
      </c>
      <c r="R1486" s="3" t="str">
        <f t="shared" si="46"/>
        <v>170</v>
      </c>
      <c r="S1486" s="3" t="str">
        <f t="shared" si="47"/>
        <v>62</v>
      </c>
      <c r="T1486" s="16" t="s">
        <v>38</v>
      </c>
      <c r="U1486" s="3">
        <v>18.465</v>
      </c>
      <c r="V1486" s="16" t="str">
        <f>PROPER(Table1[[#This Row],[CVD Risk Level]])</f>
        <v>Intermediary</v>
      </c>
    </row>
    <row r="1487" spans="1:22" x14ac:dyDescent="0.3">
      <c r="A1487" t="s">
        <v>31</v>
      </c>
      <c r="B1487" s="8">
        <v>50</v>
      </c>
      <c r="C1487" s="8">
        <v>72.364000000000004</v>
      </c>
      <c r="D1487" s="5">
        <v>1.9279999999999999</v>
      </c>
      <c r="E1487" s="5">
        <v>35.698999999999998</v>
      </c>
      <c r="F1487" s="16" t="s">
        <v>1302</v>
      </c>
      <c r="G1487" s="11">
        <v>0.56499999999999995</v>
      </c>
      <c r="H1487" s="5">
        <v>108.85299999999999</v>
      </c>
      <c r="I1487" s="8">
        <v>38</v>
      </c>
      <c r="J1487" s="8">
        <v>131</v>
      </c>
      <c r="K1487" s="8">
        <v>199</v>
      </c>
      <c r="L1487" s="8">
        <v>168</v>
      </c>
      <c r="M1487" t="s">
        <v>1307</v>
      </c>
      <c r="N1487" s="16" t="s">
        <v>23</v>
      </c>
      <c r="O1487" s="16" t="s">
        <v>23</v>
      </c>
      <c r="P1487" s="16" t="s">
        <v>37</v>
      </c>
      <c r="Q1487" s="10" t="s">
        <v>1257</v>
      </c>
      <c r="R1487" s="3" t="str">
        <f t="shared" si="46"/>
        <v>115</v>
      </c>
      <c r="S1487" s="3" t="str">
        <f t="shared" si="47"/>
        <v>115</v>
      </c>
      <c r="T1487" s="16" t="s">
        <v>38</v>
      </c>
      <c r="U1487" s="3">
        <v>18.87</v>
      </c>
      <c r="V1487" s="16" t="str">
        <f>PROPER(Table1[[#This Row],[CVD Risk Level]])</f>
        <v>Low</v>
      </c>
    </row>
    <row r="1488" spans="1:22" x14ac:dyDescent="0.3">
      <c r="A1488" t="s">
        <v>31</v>
      </c>
      <c r="B1488" s="8">
        <v>50</v>
      </c>
      <c r="C1488" s="8">
        <v>62.459000000000003</v>
      </c>
      <c r="D1488" s="5">
        <v>1.579</v>
      </c>
      <c r="E1488" s="5">
        <v>20.474</v>
      </c>
      <c r="F1488" s="16" t="s">
        <v>33</v>
      </c>
      <c r="G1488" s="11">
        <v>0.64800000000000002</v>
      </c>
      <c r="H1488" s="5">
        <v>102.31920000000001</v>
      </c>
      <c r="I1488" s="8">
        <v>36</v>
      </c>
      <c r="J1488" s="8">
        <v>115</v>
      </c>
      <c r="K1488" s="8">
        <v>181</v>
      </c>
      <c r="L1488" s="8">
        <v>74</v>
      </c>
      <c r="M1488" t="s">
        <v>33</v>
      </c>
      <c r="N1488" s="16" t="s">
        <v>23</v>
      </c>
      <c r="O1488" s="16" t="s">
        <v>22</v>
      </c>
      <c r="P1488" s="16" t="s">
        <v>28</v>
      </c>
      <c r="Q1488" s="10" t="s">
        <v>1258</v>
      </c>
      <c r="R1488" s="3" t="str">
        <f t="shared" si="46"/>
        <v>177</v>
      </c>
      <c r="S1488" s="3" t="str">
        <f t="shared" si="47"/>
        <v>81</v>
      </c>
      <c r="T1488" s="16" t="s">
        <v>29</v>
      </c>
      <c r="U1488" s="3">
        <v>16.565000000000001</v>
      </c>
      <c r="V1488" s="16" t="str">
        <f>PROPER(Table1[[#This Row],[CVD Risk Level]])</f>
        <v>High</v>
      </c>
    </row>
    <row r="1489" spans="1:22" x14ac:dyDescent="0.3">
      <c r="A1489" t="s">
        <v>20</v>
      </c>
      <c r="B1489" s="8">
        <v>57</v>
      </c>
      <c r="C1489" s="8">
        <v>89.650999999999996</v>
      </c>
      <c r="D1489" s="5">
        <v>1.603</v>
      </c>
      <c r="E1489" s="5">
        <v>27.783000000000001</v>
      </c>
      <c r="F1489" s="16" t="s">
        <v>1303</v>
      </c>
      <c r="G1489" s="11">
        <v>0.439</v>
      </c>
      <c r="H1489" s="5">
        <v>70.403000000000006</v>
      </c>
      <c r="I1489" s="8">
        <v>52</v>
      </c>
      <c r="J1489" s="8">
        <v>112</v>
      </c>
      <c r="K1489" s="8">
        <v>328</v>
      </c>
      <c r="L1489" s="8">
        <v>151</v>
      </c>
      <c r="M1489" t="s">
        <v>1307</v>
      </c>
      <c r="N1489" s="16" t="s">
        <v>23</v>
      </c>
      <c r="O1489" s="16" t="s">
        <v>22</v>
      </c>
      <c r="P1489" s="16" t="s">
        <v>37</v>
      </c>
      <c r="Q1489" s="10" t="s">
        <v>1259</v>
      </c>
      <c r="R1489" s="3" t="str">
        <f t="shared" si="46"/>
        <v>129</v>
      </c>
      <c r="S1489" s="3" t="str">
        <f t="shared" si="47"/>
        <v>108</v>
      </c>
      <c r="T1489" s="16" t="s">
        <v>38</v>
      </c>
      <c r="U1489" s="3">
        <v>16.960925291295425</v>
      </c>
      <c r="V1489" s="16" t="str">
        <f>PROPER(Table1[[#This Row],[CVD Risk Level]])</f>
        <v>Intermediary</v>
      </c>
    </row>
    <row r="1490" spans="1:22" x14ac:dyDescent="0.3">
      <c r="A1490" t="s">
        <v>20</v>
      </c>
      <c r="B1490" s="8">
        <v>31</v>
      </c>
      <c r="C1490" s="8">
        <v>62.347000000000001</v>
      </c>
      <c r="D1490" s="5">
        <v>1.5349999999999999</v>
      </c>
      <c r="E1490" s="5">
        <v>32.843000000000004</v>
      </c>
      <c r="F1490" s="16" t="s">
        <v>1302</v>
      </c>
      <c r="G1490" s="11">
        <v>0.58399999999999996</v>
      </c>
      <c r="H1490" s="5">
        <v>89.638000000000005</v>
      </c>
      <c r="I1490" s="8">
        <v>56.197377501725327</v>
      </c>
      <c r="J1490" s="8">
        <v>90</v>
      </c>
      <c r="K1490" s="8">
        <v>177</v>
      </c>
      <c r="L1490" s="8">
        <v>87</v>
      </c>
      <c r="M1490" t="s">
        <v>33</v>
      </c>
      <c r="N1490" s="16" t="s">
        <v>23</v>
      </c>
      <c r="O1490" s="16" t="s">
        <v>23</v>
      </c>
      <c r="P1490" s="16" t="s">
        <v>24</v>
      </c>
      <c r="Q1490" s="10" t="s">
        <v>1260</v>
      </c>
      <c r="R1490" s="3" t="str">
        <f t="shared" si="46"/>
        <v>125</v>
      </c>
      <c r="S1490" s="3" t="str">
        <f t="shared" si="47"/>
        <v>86</v>
      </c>
      <c r="T1490" s="16" t="s">
        <v>29</v>
      </c>
      <c r="U1490" s="3">
        <v>18.359000000000002</v>
      </c>
      <c r="V1490" s="16" t="str">
        <f>PROPER(Table1[[#This Row],[CVD Risk Level]])</f>
        <v>High</v>
      </c>
    </row>
    <row r="1491" spans="1:22" x14ac:dyDescent="0.3">
      <c r="A1491" t="s">
        <v>20</v>
      </c>
      <c r="B1491" s="8">
        <v>74</v>
      </c>
      <c r="C1491" s="8">
        <v>64.405000000000001</v>
      </c>
      <c r="D1491" s="5">
        <v>1.601</v>
      </c>
      <c r="E1491" s="5">
        <v>35.043999999999997</v>
      </c>
      <c r="F1491" s="16" t="s">
        <v>1302</v>
      </c>
      <c r="G1491" s="11">
        <v>0.68500000000000005</v>
      </c>
      <c r="H1491" s="5">
        <v>109.708</v>
      </c>
      <c r="I1491" s="8">
        <v>79</v>
      </c>
      <c r="J1491" s="8">
        <v>62</v>
      </c>
      <c r="K1491" s="8">
        <v>171</v>
      </c>
      <c r="L1491" s="8">
        <v>136</v>
      </c>
      <c r="M1491" t="s">
        <v>1307</v>
      </c>
      <c r="N1491" s="16" t="s">
        <v>22</v>
      </c>
      <c r="O1491" s="16" t="s">
        <v>23</v>
      </c>
      <c r="P1491" s="16" t="s">
        <v>37</v>
      </c>
      <c r="Q1491" s="10" t="s">
        <v>1261</v>
      </c>
      <c r="R1491" s="3" t="str">
        <f t="shared" si="46"/>
        <v>122</v>
      </c>
      <c r="S1491" s="3" t="str">
        <f t="shared" si="47"/>
        <v>85</v>
      </c>
      <c r="T1491" s="16" t="s">
        <v>29</v>
      </c>
      <c r="U1491" s="3">
        <v>18.529</v>
      </c>
      <c r="V1491" s="16" t="str">
        <f>PROPER(Table1[[#This Row],[CVD Risk Level]])</f>
        <v>Low</v>
      </c>
    </row>
    <row r="1492" spans="1:22" x14ac:dyDescent="0.3">
      <c r="A1492" t="s">
        <v>20</v>
      </c>
      <c r="B1492" s="8">
        <v>32</v>
      </c>
      <c r="C1492" s="8">
        <v>132.70175614799999</v>
      </c>
      <c r="D1492" s="5">
        <v>1.8979999999999999</v>
      </c>
      <c r="E1492" s="5">
        <v>36.837000000000003</v>
      </c>
      <c r="F1492" s="16" t="s">
        <v>1302</v>
      </c>
      <c r="G1492" s="11">
        <v>0.38100000000000001</v>
      </c>
      <c r="H1492" s="5">
        <v>72.41</v>
      </c>
      <c r="I1492" s="8">
        <v>52</v>
      </c>
      <c r="J1492" s="8">
        <v>151</v>
      </c>
      <c r="K1492" s="8">
        <v>233</v>
      </c>
      <c r="L1492" s="8">
        <v>84</v>
      </c>
      <c r="M1492" t="s">
        <v>33</v>
      </c>
      <c r="N1492" s="16" t="s">
        <v>22</v>
      </c>
      <c r="O1492" s="16" t="s">
        <v>22</v>
      </c>
      <c r="P1492" s="16" t="s">
        <v>28</v>
      </c>
      <c r="Q1492" s="10" t="s">
        <v>1262</v>
      </c>
      <c r="R1492" s="3" t="str">
        <f t="shared" si="46"/>
        <v>125</v>
      </c>
      <c r="S1492" s="3" t="str">
        <f t="shared" si="47"/>
        <v>111</v>
      </c>
      <c r="T1492" s="16" t="s">
        <v>38</v>
      </c>
      <c r="U1492" s="3">
        <v>18.277000000000001</v>
      </c>
      <c r="V1492" s="16" t="str">
        <f>PROPER(Table1[[#This Row],[CVD Risk Level]])</f>
        <v>Intermediary</v>
      </c>
    </row>
    <row r="1493" spans="1:22" x14ac:dyDescent="0.3">
      <c r="A1493" t="s">
        <v>31</v>
      </c>
      <c r="B1493" s="8">
        <v>40</v>
      </c>
      <c r="C1493" s="8">
        <v>114.426</v>
      </c>
      <c r="D1493" s="5">
        <v>1.823</v>
      </c>
      <c r="E1493" s="5">
        <v>38.582000000000001</v>
      </c>
      <c r="F1493" s="16" t="s">
        <v>1302</v>
      </c>
      <c r="G1493" s="11">
        <v>0.57599999999999996</v>
      </c>
      <c r="H1493" s="5">
        <v>105.06699999999999</v>
      </c>
      <c r="I1493" s="8">
        <v>54</v>
      </c>
      <c r="J1493" s="8">
        <v>56</v>
      </c>
      <c r="K1493" s="8">
        <v>140</v>
      </c>
      <c r="L1493" s="8">
        <v>116</v>
      </c>
      <c r="M1493" t="s">
        <v>1306</v>
      </c>
      <c r="N1493" s="16" t="s">
        <v>23</v>
      </c>
      <c r="O1493" s="16" t="s">
        <v>23</v>
      </c>
      <c r="P1493" s="16" t="s">
        <v>28</v>
      </c>
      <c r="Q1493" s="10" t="s">
        <v>1263</v>
      </c>
      <c r="R1493" s="3" t="str">
        <f t="shared" si="46"/>
        <v>171</v>
      </c>
      <c r="S1493" s="3" t="str">
        <f t="shared" si="47"/>
        <v>86</v>
      </c>
      <c r="T1493" s="16" t="s">
        <v>29</v>
      </c>
      <c r="U1493" s="3">
        <v>21.065999999999999</v>
      </c>
      <c r="V1493" s="16" t="str">
        <f>PROPER(Table1[[#This Row],[CVD Risk Level]])</f>
        <v>High</v>
      </c>
    </row>
    <row r="1494" spans="1:22" x14ac:dyDescent="0.3">
      <c r="A1494" t="s">
        <v>31</v>
      </c>
      <c r="B1494" s="8">
        <v>67</v>
      </c>
      <c r="C1494" s="8">
        <v>87.046000000000006</v>
      </c>
      <c r="D1494" s="5">
        <v>1.5249999999999999</v>
      </c>
      <c r="E1494" s="5">
        <v>23.282</v>
      </c>
      <c r="F1494" s="16" t="s">
        <v>33</v>
      </c>
      <c r="G1494" s="11">
        <v>0.73499999999999999</v>
      </c>
      <c r="H1494" s="5">
        <v>112.155</v>
      </c>
      <c r="I1494" s="8">
        <v>41</v>
      </c>
      <c r="J1494" s="8">
        <v>138</v>
      </c>
      <c r="K1494" s="8">
        <v>209</v>
      </c>
      <c r="L1494" s="8">
        <v>137</v>
      </c>
      <c r="M1494" t="s">
        <v>1307</v>
      </c>
      <c r="N1494" s="16" t="s">
        <v>22</v>
      </c>
      <c r="O1494" s="16" t="s">
        <v>22</v>
      </c>
      <c r="P1494" s="16" t="s">
        <v>28</v>
      </c>
      <c r="Q1494" s="10" t="s">
        <v>1264</v>
      </c>
      <c r="R1494" s="3" t="str">
        <f t="shared" si="46"/>
        <v>128</v>
      </c>
      <c r="S1494" s="3" t="str">
        <f t="shared" si="47"/>
        <v>84</v>
      </c>
      <c r="T1494" s="16" t="s">
        <v>29</v>
      </c>
      <c r="U1494" s="3">
        <v>15.236000000000001</v>
      </c>
      <c r="V1494" s="16" t="str">
        <f>PROPER(Table1[[#This Row],[CVD Risk Level]])</f>
        <v>High</v>
      </c>
    </row>
    <row r="1495" spans="1:22" x14ac:dyDescent="0.3">
      <c r="A1495" t="s">
        <v>20</v>
      </c>
      <c r="B1495" s="8">
        <v>30</v>
      </c>
      <c r="C1495" s="8">
        <v>89.635999999999996</v>
      </c>
      <c r="D1495" s="5">
        <v>1.752</v>
      </c>
      <c r="E1495" s="5">
        <v>23.7</v>
      </c>
      <c r="F1495" s="16" t="s">
        <v>33</v>
      </c>
      <c r="G1495" s="11">
        <v>0.44700000000000001</v>
      </c>
      <c r="H1495" s="5">
        <v>78.406000000000006</v>
      </c>
      <c r="I1495" s="8">
        <v>56.197377501725327</v>
      </c>
      <c r="J1495" s="8">
        <v>223</v>
      </c>
      <c r="K1495" s="8">
        <v>292</v>
      </c>
      <c r="L1495" s="8">
        <v>154</v>
      </c>
      <c r="M1495" t="s">
        <v>1307</v>
      </c>
      <c r="N1495" s="16" t="s">
        <v>22</v>
      </c>
      <c r="O1495" s="16" t="s">
        <v>22</v>
      </c>
      <c r="P1495" s="16" t="s">
        <v>24</v>
      </c>
      <c r="Q1495" s="10" t="s">
        <v>1265</v>
      </c>
      <c r="R1495" s="3" t="str">
        <f t="shared" si="46"/>
        <v>148</v>
      </c>
      <c r="S1495" s="3" t="str">
        <f t="shared" si="47"/>
        <v>63</v>
      </c>
      <c r="T1495" s="16" t="s">
        <v>38</v>
      </c>
      <c r="U1495" s="3">
        <v>17.98</v>
      </c>
      <c r="V1495" s="16" t="str">
        <f>PROPER(Table1[[#This Row],[CVD Risk Level]])</f>
        <v>High</v>
      </c>
    </row>
    <row r="1496" spans="1:22" x14ac:dyDescent="0.3">
      <c r="A1496" t="s">
        <v>31</v>
      </c>
      <c r="B1496" s="8">
        <v>79</v>
      </c>
      <c r="C1496" s="8">
        <v>71.016000000000005</v>
      </c>
      <c r="D1496" s="5">
        <v>1.7689999999999999</v>
      </c>
      <c r="E1496" s="5">
        <v>29.196999999999999</v>
      </c>
      <c r="F1496" s="16" t="s">
        <v>1303</v>
      </c>
      <c r="G1496" s="11">
        <v>0.48099999999999998</v>
      </c>
      <c r="H1496" s="5">
        <v>85.153999999999996</v>
      </c>
      <c r="I1496" s="8">
        <v>81</v>
      </c>
      <c r="J1496" s="8">
        <v>62</v>
      </c>
      <c r="K1496" s="8">
        <v>173</v>
      </c>
      <c r="L1496" s="8">
        <v>139</v>
      </c>
      <c r="M1496" t="s">
        <v>1307</v>
      </c>
      <c r="N1496" s="16" t="s">
        <v>22</v>
      </c>
      <c r="O1496" s="16" t="s">
        <v>22</v>
      </c>
      <c r="P1496" s="16" t="s">
        <v>24</v>
      </c>
      <c r="Q1496" s="10" t="s">
        <v>256</v>
      </c>
      <c r="R1496" s="3" t="str">
        <f t="shared" si="46"/>
        <v>127</v>
      </c>
      <c r="S1496" s="3" t="str">
        <f t="shared" si="47"/>
        <v>84</v>
      </c>
      <c r="T1496" s="16" t="s">
        <v>29</v>
      </c>
      <c r="U1496" s="3">
        <v>16.960925291295425</v>
      </c>
      <c r="V1496" s="16" t="str">
        <f>PROPER(Table1[[#This Row],[CVD Risk Level]])</f>
        <v>Low</v>
      </c>
    </row>
    <row r="1497" spans="1:22" x14ac:dyDescent="0.3">
      <c r="A1497" t="s">
        <v>20</v>
      </c>
      <c r="B1497" s="8">
        <v>62</v>
      </c>
      <c r="C1497" s="8">
        <v>114.762</v>
      </c>
      <c r="D1497" s="5">
        <v>1.9079999999999999</v>
      </c>
      <c r="E1497" s="5">
        <v>29.827000000000002</v>
      </c>
      <c r="F1497" s="16" t="s">
        <v>1303</v>
      </c>
      <c r="G1497" s="11">
        <v>0.39700000000000002</v>
      </c>
      <c r="H1497" s="5">
        <v>75.754000000000005</v>
      </c>
      <c r="I1497" s="8">
        <v>53</v>
      </c>
      <c r="J1497" s="8">
        <v>187</v>
      </c>
      <c r="K1497" s="8">
        <v>270</v>
      </c>
      <c r="L1497" s="8">
        <v>189</v>
      </c>
      <c r="M1497" t="s">
        <v>1307</v>
      </c>
      <c r="N1497" s="16" t="s">
        <v>23</v>
      </c>
      <c r="O1497" s="16" t="s">
        <v>22</v>
      </c>
      <c r="P1497" s="16" t="s">
        <v>24</v>
      </c>
      <c r="Q1497" s="10" t="s">
        <v>1266</v>
      </c>
      <c r="R1497" s="3" t="str">
        <f t="shared" si="46"/>
        <v>105</v>
      </c>
      <c r="S1497" s="3" t="str">
        <f t="shared" si="47"/>
        <v>102</v>
      </c>
      <c r="T1497" s="16" t="s">
        <v>38</v>
      </c>
      <c r="U1497" s="3">
        <v>16.614999999999998</v>
      </c>
      <c r="V1497" s="16" t="str">
        <f>PROPER(Table1[[#This Row],[CVD Risk Level]])</f>
        <v>Intermediary</v>
      </c>
    </row>
    <row r="1498" spans="1:22" x14ac:dyDescent="0.3">
      <c r="A1498" t="s">
        <v>31</v>
      </c>
      <c r="B1498" s="8">
        <v>47</v>
      </c>
      <c r="C1498" s="8">
        <v>85.018000000000001</v>
      </c>
      <c r="D1498" s="5">
        <v>1.913</v>
      </c>
      <c r="E1498" s="5">
        <v>23.231697503175919</v>
      </c>
      <c r="F1498" s="16" t="s">
        <v>33</v>
      </c>
      <c r="G1498" s="11">
        <v>0.60399999999999998</v>
      </c>
      <c r="H1498" s="5">
        <v>115.545</v>
      </c>
      <c r="I1498" s="8">
        <v>82</v>
      </c>
      <c r="J1498" s="8">
        <v>109</v>
      </c>
      <c r="K1498" s="8">
        <v>243</v>
      </c>
      <c r="L1498" s="8">
        <v>157</v>
      </c>
      <c r="M1498" t="s">
        <v>1307</v>
      </c>
      <c r="N1498" s="16" t="s">
        <v>23</v>
      </c>
      <c r="O1498" s="16" t="s">
        <v>22</v>
      </c>
      <c r="P1498" s="16" t="s">
        <v>37</v>
      </c>
      <c r="Q1498" s="10" t="s">
        <v>1249</v>
      </c>
      <c r="R1498" s="3" t="str">
        <f t="shared" si="46"/>
        <v>171</v>
      </c>
      <c r="S1498" s="3" t="str">
        <f t="shared" si="47"/>
        <v>75</v>
      </c>
      <c r="T1498" s="16" t="s">
        <v>38</v>
      </c>
      <c r="U1498" s="3">
        <v>17.579000000000001</v>
      </c>
      <c r="V1498" s="16" t="str">
        <f>PROPER(Table1[[#This Row],[CVD Risk Level]])</f>
        <v>Intermediary</v>
      </c>
    </row>
    <row r="1499" spans="1:22" x14ac:dyDescent="0.3">
      <c r="A1499" t="s">
        <v>20</v>
      </c>
      <c r="B1499" s="8">
        <v>33</v>
      </c>
      <c r="C1499" s="8">
        <v>117.861</v>
      </c>
      <c r="D1499" s="5">
        <v>1.708</v>
      </c>
      <c r="E1499" s="5">
        <v>29.817</v>
      </c>
      <c r="F1499" s="16" t="s">
        <v>1303</v>
      </c>
      <c r="G1499" s="11">
        <v>0.46600000000000003</v>
      </c>
      <c r="H1499" s="5">
        <v>79.664000000000001</v>
      </c>
      <c r="I1499" s="8">
        <v>66</v>
      </c>
      <c r="J1499" s="8">
        <v>58</v>
      </c>
      <c r="K1499" s="8">
        <v>154</v>
      </c>
      <c r="L1499" s="8">
        <v>96</v>
      </c>
      <c r="M1499" t="s">
        <v>33</v>
      </c>
      <c r="N1499" s="16" t="s">
        <v>22</v>
      </c>
      <c r="O1499" s="16" t="s">
        <v>22</v>
      </c>
      <c r="P1499" s="16" t="s">
        <v>37</v>
      </c>
      <c r="Q1499" s="10" t="s">
        <v>1267</v>
      </c>
      <c r="R1499" s="3" t="str">
        <f t="shared" si="46"/>
        <v>105</v>
      </c>
      <c r="S1499" s="3" t="str">
        <f t="shared" si="47"/>
        <v>118</v>
      </c>
      <c r="T1499" s="16" t="s">
        <v>38</v>
      </c>
      <c r="U1499" s="3">
        <v>14.292999999999999</v>
      </c>
      <c r="V1499" s="16" t="str">
        <f>PROPER(Table1[[#This Row],[CVD Risk Level]])</f>
        <v>Intermediary</v>
      </c>
    </row>
    <row r="1500" spans="1:22" x14ac:dyDescent="0.3">
      <c r="A1500" t="s">
        <v>20</v>
      </c>
      <c r="B1500" s="8">
        <v>27</v>
      </c>
      <c r="C1500" s="8">
        <v>107.306</v>
      </c>
      <c r="D1500" s="5">
        <v>1.516</v>
      </c>
      <c r="E1500" s="5">
        <v>33.795999999999999</v>
      </c>
      <c r="F1500" s="16" t="s">
        <v>1302</v>
      </c>
      <c r="G1500" s="11">
        <v>0.64300000000000002</v>
      </c>
      <c r="H1500" s="5">
        <v>97.468999999999994</v>
      </c>
      <c r="I1500" s="8">
        <v>55</v>
      </c>
      <c r="J1500" s="8">
        <v>149</v>
      </c>
      <c r="K1500" s="8">
        <v>234</v>
      </c>
      <c r="L1500" s="8">
        <v>160</v>
      </c>
      <c r="M1500" t="s">
        <v>1307</v>
      </c>
      <c r="N1500" s="16" t="s">
        <v>23</v>
      </c>
      <c r="O1500" s="16" t="s">
        <v>23</v>
      </c>
      <c r="P1500" s="16" t="s">
        <v>37</v>
      </c>
      <c r="Q1500" s="10" t="s">
        <v>505</v>
      </c>
      <c r="R1500" s="3" t="str">
        <f t="shared" si="46"/>
        <v>144</v>
      </c>
      <c r="S1500" s="3" t="str">
        <f t="shared" si="47"/>
        <v>86</v>
      </c>
      <c r="T1500" s="16" t="s">
        <v>29</v>
      </c>
      <c r="U1500" s="3">
        <v>16.960925291295425</v>
      </c>
      <c r="V1500" s="16" t="str">
        <f>PROPER(Table1[[#This Row],[CVD Risk Level]])</f>
        <v>Low</v>
      </c>
    </row>
    <row r="1501" spans="1:22" x14ac:dyDescent="0.3">
      <c r="A1501" t="s">
        <v>20</v>
      </c>
      <c r="B1501" s="8">
        <v>59</v>
      </c>
      <c r="C1501" s="8">
        <v>91.667000000000002</v>
      </c>
      <c r="D1501" s="5">
        <v>1.5109999999999999</v>
      </c>
      <c r="E1501" s="5">
        <v>21.881</v>
      </c>
      <c r="F1501" s="16" t="s">
        <v>33</v>
      </c>
      <c r="G1501" s="11">
        <v>0.53500000000000003</v>
      </c>
      <c r="H1501" s="5">
        <v>80.91</v>
      </c>
      <c r="I1501" s="8">
        <v>76</v>
      </c>
      <c r="J1501" s="8">
        <v>125</v>
      </c>
      <c r="K1501" s="8">
        <v>231</v>
      </c>
      <c r="L1501" s="8">
        <v>183</v>
      </c>
      <c r="M1501" t="s">
        <v>1307</v>
      </c>
      <c r="N1501" s="16" t="s">
        <v>22</v>
      </c>
      <c r="O1501" s="16" t="s">
        <v>22</v>
      </c>
      <c r="P1501" s="16" t="s">
        <v>24</v>
      </c>
      <c r="Q1501" s="10" t="s">
        <v>1268</v>
      </c>
      <c r="R1501" s="3" t="str">
        <f t="shared" si="46"/>
        <v>144</v>
      </c>
      <c r="S1501" s="3" t="str">
        <f t="shared" si="47"/>
        <v>64</v>
      </c>
      <c r="T1501" s="16" t="s">
        <v>38</v>
      </c>
      <c r="U1501" s="3">
        <v>16.196000000000002</v>
      </c>
      <c r="V1501" s="16" t="str">
        <f>PROPER(Table1[[#This Row],[CVD Risk Level]])</f>
        <v>High</v>
      </c>
    </row>
    <row r="1502" spans="1:22" x14ac:dyDescent="0.3">
      <c r="A1502" t="s">
        <v>31</v>
      </c>
      <c r="B1502" s="8">
        <v>25</v>
      </c>
      <c r="C1502" s="8">
        <v>65.382999999999996</v>
      </c>
      <c r="D1502" s="5">
        <v>1.504</v>
      </c>
      <c r="E1502" s="5">
        <v>28.513000000000002</v>
      </c>
      <c r="F1502" s="16" t="s">
        <v>1303</v>
      </c>
      <c r="G1502" s="11">
        <v>0.49</v>
      </c>
      <c r="H1502" s="5">
        <v>73.721999999999994</v>
      </c>
      <c r="I1502" s="8">
        <v>48</v>
      </c>
      <c r="J1502" s="8">
        <v>45</v>
      </c>
      <c r="K1502" s="8">
        <v>123</v>
      </c>
      <c r="L1502" s="8">
        <v>137</v>
      </c>
      <c r="M1502" t="s">
        <v>1307</v>
      </c>
      <c r="N1502" s="16" t="s">
        <v>23</v>
      </c>
      <c r="O1502" s="16" t="s">
        <v>23</v>
      </c>
      <c r="P1502" s="16" t="s">
        <v>28</v>
      </c>
      <c r="Q1502" s="10" t="s">
        <v>637</v>
      </c>
      <c r="R1502" s="3" t="str">
        <f t="shared" si="46"/>
        <v>98</v>
      </c>
      <c r="S1502" s="3" t="str">
        <f t="shared" si="47"/>
        <v>85</v>
      </c>
      <c r="T1502" s="16" t="s">
        <v>29</v>
      </c>
      <c r="U1502" s="3">
        <v>15.063000000000001</v>
      </c>
      <c r="V1502" s="16" t="str">
        <f>PROPER(Table1[[#This Row],[CVD Risk Level]])</f>
        <v>High</v>
      </c>
    </row>
    <row r="1503" spans="1:22" x14ac:dyDescent="0.3">
      <c r="A1503" t="s">
        <v>31</v>
      </c>
      <c r="B1503" s="8">
        <v>68</v>
      </c>
      <c r="C1503" s="8">
        <v>113.78700000000001</v>
      </c>
      <c r="D1503" s="5">
        <v>1.9730000000000001</v>
      </c>
      <c r="E1503" s="5">
        <v>38.463999999999999</v>
      </c>
      <c r="F1503" s="16" t="s">
        <v>1302</v>
      </c>
      <c r="G1503" s="11">
        <v>0.36</v>
      </c>
      <c r="H1503" s="5">
        <v>71.033000000000001</v>
      </c>
      <c r="I1503" s="8">
        <v>77</v>
      </c>
      <c r="J1503" s="8">
        <v>129</v>
      </c>
      <c r="K1503" s="8">
        <v>236</v>
      </c>
      <c r="L1503" s="8">
        <v>71</v>
      </c>
      <c r="M1503" t="s">
        <v>33</v>
      </c>
      <c r="N1503" s="16" t="s">
        <v>23</v>
      </c>
      <c r="O1503" s="16" t="s">
        <v>22</v>
      </c>
      <c r="P1503" s="16" t="s">
        <v>37</v>
      </c>
      <c r="Q1503" s="10" t="s">
        <v>1173</v>
      </c>
      <c r="R1503" s="3" t="str">
        <f t="shared" si="46"/>
        <v>166</v>
      </c>
      <c r="S1503" s="3" t="str">
        <f t="shared" si="47"/>
        <v>96</v>
      </c>
      <c r="T1503" s="16" t="s">
        <v>38</v>
      </c>
      <c r="U1503" s="3">
        <v>20.713000000000001</v>
      </c>
      <c r="V1503" s="16" t="str">
        <f>PROPER(Table1[[#This Row],[CVD Risk Level]])</f>
        <v>Low</v>
      </c>
    </row>
    <row r="1504" spans="1:22" x14ac:dyDescent="0.3">
      <c r="A1504" t="s">
        <v>20</v>
      </c>
      <c r="B1504" s="8">
        <v>52</v>
      </c>
      <c r="C1504" s="8">
        <v>80.429000000000002</v>
      </c>
      <c r="D1504" s="5">
        <v>1.7430000000000001</v>
      </c>
      <c r="E1504" s="5">
        <v>28.158999999999999</v>
      </c>
      <c r="F1504" s="16" t="s">
        <v>1303</v>
      </c>
      <c r="G1504" s="11">
        <v>0.47399999999999998</v>
      </c>
      <c r="H1504" s="5">
        <v>82.548000000000002</v>
      </c>
      <c r="I1504" s="8">
        <v>44</v>
      </c>
      <c r="J1504" s="8">
        <v>117</v>
      </c>
      <c r="K1504" s="8">
        <v>191</v>
      </c>
      <c r="L1504" s="8">
        <v>165</v>
      </c>
      <c r="M1504" t="s">
        <v>1307</v>
      </c>
      <c r="N1504" s="16" t="s">
        <v>22</v>
      </c>
      <c r="O1504" s="16" t="s">
        <v>23</v>
      </c>
      <c r="P1504" s="16" t="s">
        <v>24</v>
      </c>
      <c r="Q1504" s="10" t="s">
        <v>1269</v>
      </c>
      <c r="R1504" s="3" t="str">
        <f t="shared" si="46"/>
        <v>146</v>
      </c>
      <c r="S1504" s="3" t="str">
        <f t="shared" si="47"/>
        <v>75</v>
      </c>
      <c r="T1504" s="16" t="s">
        <v>38</v>
      </c>
      <c r="U1504" s="3">
        <v>18.751999999999999</v>
      </c>
      <c r="V1504" s="16" t="str">
        <f>PROPER(Table1[[#This Row],[CVD Risk Level]])</f>
        <v>High</v>
      </c>
    </row>
    <row r="1505" spans="1:22" x14ac:dyDescent="0.3">
      <c r="A1505" t="s">
        <v>31</v>
      </c>
      <c r="B1505" s="8">
        <v>63</v>
      </c>
      <c r="C1505" s="8">
        <v>110.797</v>
      </c>
      <c r="D1505" s="5">
        <v>1.768</v>
      </c>
      <c r="E1505" s="5">
        <v>32.759</v>
      </c>
      <c r="F1505" s="16" t="s">
        <v>1302</v>
      </c>
      <c r="G1505" s="11">
        <v>0.48</v>
      </c>
      <c r="H1505" s="5">
        <v>84.932000000000002</v>
      </c>
      <c r="I1505" s="8">
        <v>69</v>
      </c>
      <c r="J1505" s="8">
        <v>93</v>
      </c>
      <c r="K1505" s="8">
        <v>192</v>
      </c>
      <c r="L1505" s="8">
        <v>146</v>
      </c>
      <c r="M1505" t="s">
        <v>1307</v>
      </c>
      <c r="N1505" s="16" t="s">
        <v>23</v>
      </c>
      <c r="O1505" s="16" t="s">
        <v>23</v>
      </c>
      <c r="P1505" s="16" t="s">
        <v>24</v>
      </c>
      <c r="Q1505" s="10" t="s">
        <v>1270</v>
      </c>
      <c r="R1505" s="3" t="str">
        <f t="shared" si="46"/>
        <v>149</v>
      </c>
      <c r="S1505" s="3" t="str">
        <f t="shared" si="47"/>
        <v>80</v>
      </c>
      <c r="T1505" s="16" t="s">
        <v>29</v>
      </c>
      <c r="U1505" s="3">
        <v>19.841999999999999</v>
      </c>
      <c r="V1505" s="16" t="str">
        <f>PROPER(Table1[[#This Row],[CVD Risk Level]])</f>
        <v>Intermediary</v>
      </c>
    </row>
    <row r="1506" spans="1:22" x14ac:dyDescent="0.3">
      <c r="A1506" t="s">
        <v>20</v>
      </c>
      <c r="B1506" s="8">
        <v>65</v>
      </c>
      <c r="C1506" s="8">
        <v>85.447999999999993</v>
      </c>
      <c r="D1506" s="5">
        <v>1.548</v>
      </c>
      <c r="E1506" s="5">
        <v>29.422999999999998</v>
      </c>
      <c r="F1506" s="16" t="s">
        <v>1303</v>
      </c>
      <c r="G1506" s="11">
        <v>0.68100000000000005</v>
      </c>
      <c r="H1506" s="5">
        <v>105.4</v>
      </c>
      <c r="I1506" s="8">
        <v>76</v>
      </c>
      <c r="J1506" s="8">
        <v>183</v>
      </c>
      <c r="K1506" s="8">
        <v>289</v>
      </c>
      <c r="L1506" s="8">
        <v>158</v>
      </c>
      <c r="M1506" t="s">
        <v>1307</v>
      </c>
      <c r="N1506" s="16" t="s">
        <v>23</v>
      </c>
      <c r="O1506" s="16" t="s">
        <v>22</v>
      </c>
      <c r="P1506" s="16" t="s">
        <v>37</v>
      </c>
      <c r="Q1506" s="10" t="s">
        <v>1271</v>
      </c>
      <c r="R1506" s="3" t="str">
        <f t="shared" si="46"/>
        <v>165</v>
      </c>
      <c r="S1506" s="3" t="str">
        <f t="shared" si="47"/>
        <v>86</v>
      </c>
      <c r="T1506" s="16" t="s">
        <v>29</v>
      </c>
      <c r="U1506" s="3">
        <v>19.914999999999999</v>
      </c>
      <c r="V1506" s="16" t="str">
        <f>PROPER(Table1[[#This Row],[CVD Risk Level]])</f>
        <v>Intermediary</v>
      </c>
    </row>
    <row r="1507" spans="1:22" x14ac:dyDescent="0.3">
      <c r="A1507" t="s">
        <v>20</v>
      </c>
      <c r="B1507" s="8">
        <v>62</v>
      </c>
      <c r="C1507" s="8">
        <v>67.028999999999996</v>
      </c>
      <c r="D1507" s="5">
        <v>1.6240000000000001</v>
      </c>
      <c r="E1507" s="5">
        <v>21.408000000000001</v>
      </c>
      <c r="F1507" s="16" t="s">
        <v>33</v>
      </c>
      <c r="G1507" s="11">
        <v>0.70399999999999996</v>
      </c>
      <c r="H1507" s="5">
        <v>114.26900000000001</v>
      </c>
      <c r="I1507" s="8">
        <v>49</v>
      </c>
      <c r="J1507" s="8">
        <v>211</v>
      </c>
      <c r="K1507" s="8">
        <v>290</v>
      </c>
      <c r="L1507" s="8">
        <v>187</v>
      </c>
      <c r="M1507" t="s">
        <v>1307</v>
      </c>
      <c r="N1507" s="16" t="s">
        <v>22</v>
      </c>
      <c r="O1507" s="16" t="s">
        <v>23</v>
      </c>
      <c r="P1507" s="16" t="s">
        <v>24</v>
      </c>
      <c r="Q1507" s="10" t="s">
        <v>1272</v>
      </c>
      <c r="R1507" s="3" t="str">
        <f t="shared" si="46"/>
        <v>124</v>
      </c>
      <c r="S1507" s="3" t="str">
        <f t="shared" si="47"/>
        <v>86</v>
      </c>
      <c r="T1507" s="16" t="s">
        <v>29</v>
      </c>
      <c r="U1507" s="3">
        <v>16.960925291295425</v>
      </c>
      <c r="V1507" s="16" t="str">
        <f>PROPER(Table1[[#This Row],[CVD Risk Level]])</f>
        <v>Low</v>
      </c>
    </row>
    <row r="1508" spans="1:22" x14ac:dyDescent="0.3">
      <c r="A1508" t="s">
        <v>20</v>
      </c>
      <c r="B1508" s="8">
        <v>30</v>
      </c>
      <c r="C1508" s="8">
        <v>61.326000000000001</v>
      </c>
      <c r="D1508" s="5">
        <v>1.651</v>
      </c>
      <c r="E1508" s="5">
        <v>33.648000000000003</v>
      </c>
      <c r="F1508" s="16" t="s">
        <v>1302</v>
      </c>
      <c r="G1508" s="11">
        <v>0.54800000000000004</v>
      </c>
      <c r="H1508" s="5">
        <v>90.445999999999998</v>
      </c>
      <c r="I1508" s="8">
        <v>89</v>
      </c>
      <c r="J1508" s="8">
        <v>109</v>
      </c>
      <c r="K1508" s="8">
        <v>116</v>
      </c>
      <c r="L1508" s="8">
        <v>139</v>
      </c>
      <c r="M1508" t="s">
        <v>1307</v>
      </c>
      <c r="N1508" s="16" t="s">
        <v>23</v>
      </c>
      <c r="O1508" s="16" t="s">
        <v>23</v>
      </c>
      <c r="P1508" s="16" t="s">
        <v>37</v>
      </c>
      <c r="Q1508" s="10" t="s">
        <v>1273</v>
      </c>
      <c r="R1508" s="3" t="str">
        <f t="shared" si="46"/>
        <v>142</v>
      </c>
      <c r="S1508" s="3" t="str">
        <f t="shared" si="47"/>
        <v>114</v>
      </c>
      <c r="T1508" s="16" t="s">
        <v>38</v>
      </c>
      <c r="U1508" s="3">
        <v>18.149999999999999</v>
      </c>
      <c r="V1508" s="16" t="str">
        <f>PROPER(Table1[[#This Row],[CVD Risk Level]])</f>
        <v>Intermediary</v>
      </c>
    </row>
    <row r="1509" spans="1:22" x14ac:dyDescent="0.3">
      <c r="A1509" t="s">
        <v>20</v>
      </c>
      <c r="B1509" s="8">
        <v>44</v>
      </c>
      <c r="C1509" s="8">
        <v>52.875999999999998</v>
      </c>
      <c r="D1509" s="5">
        <v>1.728</v>
      </c>
      <c r="E1509" s="5">
        <v>27.186</v>
      </c>
      <c r="F1509" s="16" t="s">
        <v>1303</v>
      </c>
      <c r="G1509" s="11">
        <v>0.45100000000000001</v>
      </c>
      <c r="H1509" s="5">
        <v>77.87</v>
      </c>
      <c r="I1509" s="8">
        <v>77</v>
      </c>
      <c r="J1509" s="8">
        <v>135</v>
      </c>
      <c r="K1509" s="8">
        <v>242</v>
      </c>
      <c r="L1509" s="8">
        <v>164</v>
      </c>
      <c r="M1509" t="s">
        <v>1307</v>
      </c>
      <c r="N1509" s="16" t="s">
        <v>23</v>
      </c>
      <c r="O1509" s="16" t="s">
        <v>22</v>
      </c>
      <c r="P1509" s="16" t="s">
        <v>37</v>
      </c>
      <c r="Q1509" s="10" t="s">
        <v>1274</v>
      </c>
      <c r="R1509" s="3" t="str">
        <f t="shared" si="46"/>
        <v>95</v>
      </c>
      <c r="S1509" s="3" t="str">
        <f t="shared" si="47"/>
        <v>65</v>
      </c>
      <c r="T1509" s="16" t="s">
        <v>33</v>
      </c>
      <c r="U1509" s="3">
        <v>16.960925291295425</v>
      </c>
      <c r="V1509" s="16" t="str">
        <f>PROPER(Table1[[#This Row],[CVD Risk Level]])</f>
        <v>Low</v>
      </c>
    </row>
    <row r="1510" spans="1:22" x14ac:dyDescent="0.3">
      <c r="A1510" t="s">
        <v>20</v>
      </c>
      <c r="B1510" s="8">
        <v>43</v>
      </c>
      <c r="C1510" s="8">
        <v>68.89</v>
      </c>
      <c r="D1510" s="5">
        <v>1.6870000000000001</v>
      </c>
      <c r="E1510" s="5">
        <v>37.372</v>
      </c>
      <c r="F1510" s="16" t="s">
        <v>1302</v>
      </c>
      <c r="G1510" s="11">
        <v>0.58299999999999996</v>
      </c>
      <c r="H1510" s="5">
        <v>98.302000000000007</v>
      </c>
      <c r="I1510" s="8">
        <v>63</v>
      </c>
      <c r="J1510" s="8">
        <v>183</v>
      </c>
      <c r="K1510" s="8">
        <v>276</v>
      </c>
      <c r="L1510" s="8">
        <v>115</v>
      </c>
      <c r="M1510" t="s">
        <v>1306</v>
      </c>
      <c r="N1510" s="16" t="s">
        <v>23</v>
      </c>
      <c r="O1510" s="16" t="s">
        <v>23</v>
      </c>
      <c r="P1510" s="16" t="s">
        <v>37</v>
      </c>
      <c r="Q1510" s="10" t="s">
        <v>1275</v>
      </c>
      <c r="R1510" s="3" t="str">
        <f t="shared" si="46"/>
        <v>164</v>
      </c>
      <c r="S1510" s="3" t="str">
        <f t="shared" si="47"/>
        <v>101</v>
      </c>
      <c r="T1510" s="16" t="s">
        <v>38</v>
      </c>
      <c r="U1510" s="3">
        <v>23.193999999999999</v>
      </c>
      <c r="V1510" s="16" t="str">
        <f>PROPER(Table1[[#This Row],[CVD Risk Level]])</f>
        <v>Intermediary</v>
      </c>
    </row>
    <row r="1511" spans="1:22" x14ac:dyDescent="0.3">
      <c r="A1511" t="s">
        <v>20</v>
      </c>
      <c r="B1511" s="8">
        <v>48</v>
      </c>
      <c r="C1511" s="8">
        <v>117.474</v>
      </c>
      <c r="D1511" s="5">
        <v>1.587</v>
      </c>
      <c r="E1511" s="5">
        <v>25.332999999999998</v>
      </c>
      <c r="F1511" s="16" t="s">
        <v>1303</v>
      </c>
      <c r="G1511" s="11">
        <v>0.628</v>
      </c>
      <c r="H1511" s="5">
        <v>99.730999999999995</v>
      </c>
      <c r="I1511" s="8">
        <v>51</v>
      </c>
      <c r="J1511" s="8">
        <v>95</v>
      </c>
      <c r="K1511" s="8">
        <v>176</v>
      </c>
      <c r="L1511" s="8">
        <v>139</v>
      </c>
      <c r="M1511" t="s">
        <v>1307</v>
      </c>
      <c r="N1511" s="16" t="s">
        <v>22</v>
      </c>
      <c r="O1511" s="16" t="s">
        <v>22</v>
      </c>
      <c r="P1511" s="16" t="s">
        <v>37</v>
      </c>
      <c r="Q1511" s="10" t="s">
        <v>1276</v>
      </c>
      <c r="R1511" s="3" t="str">
        <f t="shared" si="46"/>
        <v>129</v>
      </c>
      <c r="S1511" s="3" t="str">
        <f t="shared" si="47"/>
        <v>101</v>
      </c>
      <c r="T1511" s="16" t="s">
        <v>38</v>
      </c>
      <c r="U1511" s="3">
        <v>15.037000000000001</v>
      </c>
      <c r="V1511" s="16" t="str">
        <f>PROPER(Table1[[#This Row],[CVD Risk Level]])</f>
        <v>Intermediary</v>
      </c>
    </row>
    <row r="1512" spans="1:22" x14ac:dyDescent="0.3">
      <c r="A1512" t="s">
        <v>31</v>
      </c>
      <c r="B1512" s="8">
        <v>46</v>
      </c>
      <c r="C1512" s="8">
        <v>90.748000000000005</v>
      </c>
      <c r="D1512" s="5">
        <v>1.7050000000000001</v>
      </c>
      <c r="E1512" s="5">
        <v>30.866</v>
      </c>
      <c r="F1512" s="16" t="s">
        <v>1302</v>
      </c>
      <c r="G1512" s="11">
        <v>0.63800000000000001</v>
      </c>
      <c r="H1512" s="5">
        <v>108.768</v>
      </c>
      <c r="I1512" s="8">
        <v>51</v>
      </c>
      <c r="J1512" s="8">
        <v>117</v>
      </c>
      <c r="K1512" s="8">
        <v>198</v>
      </c>
      <c r="L1512" s="8">
        <v>157</v>
      </c>
      <c r="M1512" t="s">
        <v>1307</v>
      </c>
      <c r="N1512" s="16" t="s">
        <v>22</v>
      </c>
      <c r="O1512" s="16" t="s">
        <v>22</v>
      </c>
      <c r="P1512" s="16" t="s">
        <v>37</v>
      </c>
      <c r="Q1512" s="10" t="s">
        <v>1277</v>
      </c>
      <c r="R1512" s="3" t="str">
        <f t="shared" si="46"/>
        <v>105</v>
      </c>
      <c r="S1512" s="3" t="str">
        <f t="shared" si="47"/>
        <v>113</v>
      </c>
      <c r="T1512" s="16" t="s">
        <v>38</v>
      </c>
      <c r="U1512" s="3">
        <v>15.382999999999999</v>
      </c>
      <c r="V1512" s="16" t="str">
        <f>PROPER(Table1[[#This Row],[CVD Risk Level]])</f>
        <v>Intermediary</v>
      </c>
    </row>
    <row r="1513" spans="1:22" x14ac:dyDescent="0.3">
      <c r="A1513" t="s">
        <v>31</v>
      </c>
      <c r="B1513" s="8">
        <v>47</v>
      </c>
      <c r="C1513" s="8">
        <v>89.86</v>
      </c>
      <c r="D1513" s="5">
        <v>1.65</v>
      </c>
      <c r="E1513" s="5">
        <v>33.006427915518827</v>
      </c>
      <c r="F1513" s="16" t="s">
        <v>1302</v>
      </c>
      <c r="G1513" s="11">
        <v>0.6</v>
      </c>
      <c r="H1513" s="5">
        <v>98.950999999999993</v>
      </c>
      <c r="I1513" s="8">
        <v>33</v>
      </c>
      <c r="J1513" s="8">
        <v>209</v>
      </c>
      <c r="K1513" s="8">
        <v>484</v>
      </c>
      <c r="L1513" s="8">
        <v>186</v>
      </c>
      <c r="M1513" t="s">
        <v>1307</v>
      </c>
      <c r="N1513" s="16" t="s">
        <v>22</v>
      </c>
      <c r="O1513" s="16" t="s">
        <v>23</v>
      </c>
      <c r="P1513" s="16" t="s">
        <v>24</v>
      </c>
      <c r="Q1513" s="10" t="s">
        <v>1278</v>
      </c>
      <c r="R1513" s="3" t="str">
        <f t="shared" si="46"/>
        <v>142</v>
      </c>
      <c r="S1513" s="3" t="str">
        <f t="shared" si="47"/>
        <v>118</v>
      </c>
      <c r="T1513" s="16" t="s">
        <v>38</v>
      </c>
      <c r="U1513" s="3">
        <v>18.942</v>
      </c>
      <c r="V1513" s="16" t="str">
        <f>PROPER(Table1[[#This Row],[CVD Risk Level]])</f>
        <v>High</v>
      </c>
    </row>
    <row r="1514" spans="1:22" x14ac:dyDescent="0.3">
      <c r="A1514" t="s">
        <v>31</v>
      </c>
      <c r="B1514" s="8">
        <v>32</v>
      </c>
      <c r="C1514" s="8">
        <v>59.01</v>
      </c>
      <c r="D1514" s="5">
        <v>1.51</v>
      </c>
      <c r="E1514" s="5">
        <v>32.725000000000001</v>
      </c>
      <c r="F1514" s="16" t="s">
        <v>1302</v>
      </c>
      <c r="G1514" s="11">
        <v>0.73899999999999999</v>
      </c>
      <c r="H1514" s="5">
        <v>111.55500000000001</v>
      </c>
      <c r="I1514" s="8">
        <v>49</v>
      </c>
      <c r="J1514" s="8">
        <v>219</v>
      </c>
      <c r="K1514" s="8">
        <v>298</v>
      </c>
      <c r="L1514" s="8">
        <v>96</v>
      </c>
      <c r="M1514" t="s">
        <v>33</v>
      </c>
      <c r="N1514" s="16" t="s">
        <v>22</v>
      </c>
      <c r="O1514" s="16" t="s">
        <v>23</v>
      </c>
      <c r="P1514" s="16" t="s">
        <v>28</v>
      </c>
      <c r="Q1514" s="10" t="s">
        <v>1279</v>
      </c>
      <c r="R1514" s="3" t="str">
        <f t="shared" si="46"/>
        <v>169</v>
      </c>
      <c r="S1514" s="3" t="str">
        <f t="shared" si="47"/>
        <v>65</v>
      </c>
      <c r="T1514" s="16" t="s">
        <v>38</v>
      </c>
      <c r="U1514" s="3">
        <v>22.954999999999998</v>
      </c>
      <c r="V1514" s="16" t="str">
        <f>PROPER(Table1[[#This Row],[CVD Risk Level]])</f>
        <v>Intermediary</v>
      </c>
    </row>
    <row r="1515" spans="1:22" x14ac:dyDescent="0.3">
      <c r="A1515" t="s">
        <v>20</v>
      </c>
      <c r="B1515" s="8">
        <v>48</v>
      </c>
      <c r="C1515" s="8">
        <v>99.706999999999994</v>
      </c>
      <c r="D1515" s="5">
        <v>1.968</v>
      </c>
      <c r="E1515" s="5">
        <v>30.760999999999999</v>
      </c>
      <c r="F1515" s="16" t="s">
        <v>1302</v>
      </c>
      <c r="G1515" s="11">
        <v>0.44600000000000001</v>
      </c>
      <c r="H1515" s="5">
        <v>87.772800000000004</v>
      </c>
      <c r="I1515" s="8">
        <v>46</v>
      </c>
      <c r="J1515" s="8">
        <v>148</v>
      </c>
      <c r="K1515" s="8">
        <v>224</v>
      </c>
      <c r="L1515" s="8">
        <v>177</v>
      </c>
      <c r="M1515" t="s">
        <v>1307</v>
      </c>
      <c r="N1515" s="16" t="s">
        <v>22</v>
      </c>
      <c r="O1515" s="16" t="s">
        <v>22</v>
      </c>
      <c r="P1515" s="16" t="s">
        <v>37</v>
      </c>
      <c r="Q1515" s="10" t="s">
        <v>1280</v>
      </c>
      <c r="R1515" s="3" t="str">
        <f t="shared" si="46"/>
        <v>154</v>
      </c>
      <c r="S1515" s="3" t="str">
        <f t="shared" si="47"/>
        <v>87</v>
      </c>
      <c r="T1515" s="16" t="s">
        <v>29</v>
      </c>
      <c r="U1515" s="3">
        <v>18.332000000000001</v>
      </c>
      <c r="V1515" s="16" t="str">
        <f>PROPER(Table1[[#This Row],[CVD Risk Level]])</f>
        <v>Intermediary</v>
      </c>
    </row>
    <row r="1516" spans="1:22" x14ac:dyDescent="0.3">
      <c r="A1516" t="s">
        <v>20</v>
      </c>
      <c r="B1516" s="8">
        <v>49</v>
      </c>
      <c r="C1516" s="8">
        <v>100.23399999999999</v>
      </c>
      <c r="D1516" s="5">
        <v>1.52</v>
      </c>
      <c r="E1516" s="5">
        <v>30.731999999999999</v>
      </c>
      <c r="F1516" s="16" t="s">
        <v>1302</v>
      </c>
      <c r="G1516" s="11">
        <v>0.75900000000000001</v>
      </c>
      <c r="H1516" s="5">
        <v>115.40900000000001</v>
      </c>
      <c r="I1516" s="8">
        <v>61</v>
      </c>
      <c r="J1516" s="8">
        <v>36</v>
      </c>
      <c r="K1516" s="8">
        <v>127</v>
      </c>
      <c r="L1516" s="8">
        <v>164</v>
      </c>
      <c r="M1516" t="s">
        <v>1307</v>
      </c>
      <c r="N1516" s="16" t="s">
        <v>22</v>
      </c>
      <c r="O1516" s="16" t="s">
        <v>22</v>
      </c>
      <c r="P1516" s="16" t="s">
        <v>37</v>
      </c>
      <c r="Q1516" s="10" t="s">
        <v>1281</v>
      </c>
      <c r="R1516" s="3" t="str">
        <f t="shared" si="46"/>
        <v>97</v>
      </c>
      <c r="S1516" s="3" t="str">
        <f t="shared" si="47"/>
        <v>96</v>
      </c>
      <c r="T1516" s="16" t="s">
        <v>38</v>
      </c>
      <c r="U1516" s="3">
        <v>13.536</v>
      </c>
      <c r="V1516" s="16" t="str">
        <f>PROPER(Table1[[#This Row],[CVD Risk Level]])</f>
        <v>High</v>
      </c>
    </row>
    <row r="1517" spans="1:22" x14ac:dyDescent="0.3">
      <c r="A1517" t="s">
        <v>31</v>
      </c>
      <c r="B1517" s="8">
        <v>30</v>
      </c>
      <c r="C1517" s="8">
        <v>88.03</v>
      </c>
      <c r="D1517" s="5">
        <v>1.9870000000000001</v>
      </c>
      <c r="E1517" s="5">
        <v>22.225000000000001</v>
      </c>
      <c r="F1517" s="16" t="s">
        <v>33</v>
      </c>
      <c r="G1517" s="11">
        <v>0.54197282335178654</v>
      </c>
      <c r="H1517" s="5">
        <v>107.69</v>
      </c>
      <c r="I1517" s="8">
        <v>50</v>
      </c>
      <c r="J1517" s="8">
        <v>124</v>
      </c>
      <c r="K1517" s="8">
        <v>204</v>
      </c>
      <c r="L1517" s="8">
        <v>119</v>
      </c>
      <c r="M1517" t="s">
        <v>1306</v>
      </c>
      <c r="N1517" s="16" t="s">
        <v>23</v>
      </c>
      <c r="O1517" s="16" t="s">
        <v>23</v>
      </c>
      <c r="P1517" s="16" t="s">
        <v>37</v>
      </c>
      <c r="Q1517" s="10" t="s">
        <v>1282</v>
      </c>
      <c r="R1517" s="3" t="str">
        <f t="shared" si="46"/>
        <v>174</v>
      </c>
      <c r="S1517" s="3" t="str">
        <f t="shared" si="47"/>
        <v>82</v>
      </c>
      <c r="T1517" s="16" t="s">
        <v>29</v>
      </c>
      <c r="U1517" s="3">
        <v>19.225000000000001</v>
      </c>
      <c r="V1517" s="16" t="str">
        <f>PROPER(Table1[[#This Row],[CVD Risk Level]])</f>
        <v>High</v>
      </c>
    </row>
    <row r="1518" spans="1:22" x14ac:dyDescent="0.3">
      <c r="A1518" t="s">
        <v>20</v>
      </c>
      <c r="B1518" s="8">
        <v>50</v>
      </c>
      <c r="C1518" s="8">
        <v>95.67</v>
      </c>
      <c r="D1518" s="5">
        <v>1.631</v>
      </c>
      <c r="E1518" s="5">
        <v>37.857999999999997</v>
      </c>
      <c r="F1518" s="16" t="s">
        <v>1302</v>
      </c>
      <c r="G1518" s="11">
        <v>0.43</v>
      </c>
      <c r="H1518" s="5">
        <v>70.183999999999997</v>
      </c>
      <c r="I1518" s="8">
        <v>44</v>
      </c>
      <c r="J1518" s="8">
        <v>92</v>
      </c>
      <c r="K1518" s="8">
        <v>166</v>
      </c>
      <c r="L1518" s="8">
        <v>77</v>
      </c>
      <c r="M1518" t="s">
        <v>33</v>
      </c>
      <c r="N1518" s="16" t="s">
        <v>22</v>
      </c>
      <c r="O1518" s="16" t="s">
        <v>22</v>
      </c>
      <c r="P1518" s="16" t="s">
        <v>28</v>
      </c>
      <c r="Q1518" s="10" t="s">
        <v>345</v>
      </c>
      <c r="R1518" s="3" t="str">
        <f t="shared" si="46"/>
        <v>116</v>
      </c>
      <c r="S1518" s="3" t="str">
        <f t="shared" si="47"/>
        <v>72</v>
      </c>
      <c r="T1518" s="16" t="s">
        <v>33</v>
      </c>
      <c r="U1518" s="3">
        <v>16.692</v>
      </c>
      <c r="V1518" s="16" t="str">
        <f>PROPER(Table1[[#This Row],[CVD Risk Level]])</f>
        <v>Low</v>
      </c>
    </row>
    <row r="1519" spans="1:22" x14ac:dyDescent="0.3">
      <c r="A1519" t="s">
        <v>20</v>
      </c>
      <c r="B1519" s="8">
        <v>69</v>
      </c>
      <c r="C1519" s="8">
        <v>104.387</v>
      </c>
      <c r="D1519" s="5">
        <v>2.1255445984174273</v>
      </c>
      <c r="E1519" s="5">
        <v>23.105</v>
      </c>
      <c r="F1519" s="16" t="s">
        <v>33</v>
      </c>
      <c r="G1519" s="11">
        <v>0.66100000000000003</v>
      </c>
      <c r="H1519" s="5">
        <v>114.05</v>
      </c>
      <c r="I1519" s="8">
        <v>47</v>
      </c>
      <c r="J1519" s="8">
        <v>90</v>
      </c>
      <c r="K1519" s="8">
        <v>167</v>
      </c>
      <c r="L1519" s="8">
        <v>188</v>
      </c>
      <c r="M1519" t="s">
        <v>1307</v>
      </c>
      <c r="N1519" s="16" t="s">
        <v>22</v>
      </c>
      <c r="O1519" s="16" t="s">
        <v>22</v>
      </c>
      <c r="P1519" s="16" t="s">
        <v>24</v>
      </c>
      <c r="Q1519" s="10" t="s">
        <v>605</v>
      </c>
      <c r="R1519" s="3" t="str">
        <f t="shared" si="46"/>
        <v>91</v>
      </c>
      <c r="S1519" s="3" t="str">
        <f t="shared" si="47"/>
        <v>69</v>
      </c>
      <c r="T1519" s="16" t="s">
        <v>33</v>
      </c>
      <c r="U1519" s="3">
        <v>12.510999999999999</v>
      </c>
      <c r="V1519" s="16" t="str">
        <f>PROPER(Table1[[#This Row],[CVD Risk Level]])</f>
        <v>High</v>
      </c>
    </row>
    <row r="1520" spans="1:22" x14ac:dyDescent="0.3">
      <c r="A1520" t="s">
        <v>31</v>
      </c>
      <c r="B1520" s="8">
        <v>54</v>
      </c>
      <c r="C1520" s="8">
        <v>105.97499999999999</v>
      </c>
      <c r="D1520" s="5">
        <v>2.1755780368791964</v>
      </c>
      <c r="E1520" s="5">
        <v>22.39</v>
      </c>
      <c r="F1520" s="16" t="s">
        <v>33</v>
      </c>
      <c r="G1520" s="11">
        <v>0.443</v>
      </c>
      <c r="H1520" s="5">
        <v>87.486999999999995</v>
      </c>
      <c r="I1520" s="8">
        <v>75</v>
      </c>
      <c r="J1520" s="8">
        <v>149</v>
      </c>
      <c r="K1520" s="8">
        <v>254</v>
      </c>
      <c r="L1520" s="8">
        <v>78</v>
      </c>
      <c r="M1520" t="s">
        <v>33</v>
      </c>
      <c r="N1520" s="16" t="s">
        <v>22</v>
      </c>
      <c r="O1520" s="16" t="s">
        <v>22</v>
      </c>
      <c r="P1520" s="16" t="s">
        <v>37</v>
      </c>
      <c r="Q1520" s="10" t="s">
        <v>1283</v>
      </c>
      <c r="R1520" s="3" t="str">
        <f t="shared" si="46"/>
        <v>175</v>
      </c>
      <c r="S1520" s="3" t="str">
        <f t="shared" si="47"/>
        <v>80</v>
      </c>
      <c r="T1520" s="16" t="s">
        <v>29</v>
      </c>
      <c r="U1520" s="3">
        <v>18.308</v>
      </c>
      <c r="V1520" s="16" t="str">
        <f>PROPER(Table1[[#This Row],[CVD Risk Level]])</f>
        <v>High</v>
      </c>
    </row>
    <row r="1521" spans="1:22" x14ac:dyDescent="0.3">
      <c r="A1521" t="s">
        <v>20</v>
      </c>
      <c r="B1521" s="8">
        <v>53</v>
      </c>
      <c r="C1521" s="8">
        <v>101.53</v>
      </c>
      <c r="D1521" s="5">
        <v>1.7270000000000001</v>
      </c>
      <c r="E1521" s="5">
        <v>35.423000000000002</v>
      </c>
      <c r="F1521" s="16" t="s">
        <v>1302</v>
      </c>
      <c r="G1521" s="11">
        <v>0.63800000000000001</v>
      </c>
      <c r="H1521" s="5">
        <v>110.121</v>
      </c>
      <c r="I1521" s="8">
        <v>38</v>
      </c>
      <c r="J1521" s="8">
        <v>106</v>
      </c>
      <c r="K1521" s="8">
        <v>174</v>
      </c>
      <c r="L1521" s="8">
        <v>161</v>
      </c>
      <c r="M1521" t="s">
        <v>1307</v>
      </c>
      <c r="N1521" s="16" t="s">
        <v>23</v>
      </c>
      <c r="O1521" s="16" t="s">
        <v>23</v>
      </c>
      <c r="P1521" s="16" t="s">
        <v>28</v>
      </c>
      <c r="Q1521" s="10" t="s">
        <v>245</v>
      </c>
      <c r="R1521" s="3" t="str">
        <f t="shared" si="46"/>
        <v>143</v>
      </c>
      <c r="S1521" s="3" t="str">
        <f t="shared" si="47"/>
        <v>67</v>
      </c>
      <c r="T1521" s="16" t="s">
        <v>38</v>
      </c>
      <c r="U1521" s="3">
        <v>19.715</v>
      </c>
      <c r="V1521" s="16" t="str">
        <f>PROPER(Table1[[#This Row],[CVD Risk Level]])</f>
        <v>High</v>
      </c>
    </row>
    <row r="1522" spans="1:22" x14ac:dyDescent="0.3">
      <c r="A1522" t="s">
        <v>31</v>
      </c>
      <c r="B1522" s="8">
        <v>29</v>
      </c>
      <c r="C1522" s="8">
        <v>89.388000000000005</v>
      </c>
      <c r="D1522" s="5">
        <v>1.716</v>
      </c>
      <c r="E1522" s="5">
        <v>26.207999999999998</v>
      </c>
      <c r="F1522" s="16" t="s">
        <v>1303</v>
      </c>
      <c r="G1522" s="11">
        <v>0.45700000000000002</v>
      </c>
      <c r="H1522" s="5">
        <v>78.400000000000006</v>
      </c>
      <c r="I1522" s="8">
        <v>49</v>
      </c>
      <c r="J1522" s="8">
        <v>144</v>
      </c>
      <c r="K1522" s="8">
        <v>223</v>
      </c>
      <c r="L1522" s="8">
        <v>94</v>
      </c>
      <c r="M1522" t="s">
        <v>33</v>
      </c>
      <c r="N1522" s="16" t="s">
        <v>22</v>
      </c>
      <c r="O1522" s="16" t="s">
        <v>23</v>
      </c>
      <c r="P1522" s="16" t="s">
        <v>24</v>
      </c>
      <c r="Q1522" s="10" t="s">
        <v>1233</v>
      </c>
      <c r="R1522" s="3" t="str">
        <f t="shared" si="46"/>
        <v>165</v>
      </c>
      <c r="S1522" s="3" t="str">
        <f t="shared" si="47"/>
        <v>72</v>
      </c>
      <c r="T1522" s="16" t="s">
        <v>38</v>
      </c>
      <c r="U1522" s="3">
        <v>19.952000000000002</v>
      </c>
      <c r="V1522" s="16" t="str">
        <f>PROPER(Table1[[#This Row],[CVD Risk Level]])</f>
        <v>Low</v>
      </c>
    </row>
    <row r="1523" spans="1:22" x14ac:dyDescent="0.3">
      <c r="A1523" t="s">
        <v>20</v>
      </c>
      <c r="B1523" s="8">
        <v>48</v>
      </c>
      <c r="C1523" s="8">
        <v>116.29900000000001</v>
      </c>
      <c r="D1523" s="5">
        <v>1.665</v>
      </c>
      <c r="E1523" s="5">
        <v>23.504000000000001</v>
      </c>
      <c r="F1523" s="16" t="s">
        <v>33</v>
      </c>
      <c r="G1523" s="11">
        <v>0.64400000000000002</v>
      </c>
      <c r="H1523" s="5">
        <v>107.21899999999999</v>
      </c>
      <c r="I1523" s="8">
        <v>82</v>
      </c>
      <c r="J1523" s="8">
        <v>104</v>
      </c>
      <c r="K1523" s="8">
        <v>216</v>
      </c>
      <c r="L1523" s="8">
        <v>168</v>
      </c>
      <c r="M1523" t="s">
        <v>1307</v>
      </c>
      <c r="N1523" s="16" t="s">
        <v>23</v>
      </c>
      <c r="O1523" s="16" t="s">
        <v>23</v>
      </c>
      <c r="P1523" s="16" t="s">
        <v>37</v>
      </c>
      <c r="Q1523" s="10" t="s">
        <v>199</v>
      </c>
      <c r="R1523" s="3" t="str">
        <f t="shared" si="46"/>
        <v>97</v>
      </c>
      <c r="S1523" s="3" t="str">
        <f t="shared" si="47"/>
        <v>74</v>
      </c>
      <c r="T1523" s="16" t="s">
        <v>33</v>
      </c>
      <c r="U1523" s="3">
        <v>15.871</v>
      </c>
      <c r="V1523" s="16" t="str">
        <f>PROPER(Table1[[#This Row],[CVD Risk Level]])</f>
        <v>Low</v>
      </c>
    </row>
    <row r="1524" spans="1:22" x14ac:dyDescent="0.3">
      <c r="A1524" t="s">
        <v>20</v>
      </c>
      <c r="B1524" s="8">
        <v>41</v>
      </c>
      <c r="C1524" s="8">
        <v>117.36499999999999</v>
      </c>
      <c r="D1524" s="5">
        <v>1.748</v>
      </c>
      <c r="E1524" s="5">
        <v>38.31</v>
      </c>
      <c r="F1524" s="16" t="s">
        <v>1302</v>
      </c>
      <c r="G1524" s="11">
        <v>0.67600000000000005</v>
      </c>
      <c r="H1524" s="5">
        <v>118.246</v>
      </c>
      <c r="I1524" s="8">
        <v>35</v>
      </c>
      <c r="J1524" s="8">
        <v>135</v>
      </c>
      <c r="K1524" s="8">
        <v>200</v>
      </c>
      <c r="L1524" s="8">
        <v>87</v>
      </c>
      <c r="M1524" t="s">
        <v>33</v>
      </c>
      <c r="N1524" s="16" t="s">
        <v>23</v>
      </c>
      <c r="O1524" s="16" t="s">
        <v>23</v>
      </c>
      <c r="P1524" s="16" t="s">
        <v>28</v>
      </c>
      <c r="Q1524" s="10" t="s">
        <v>1284</v>
      </c>
      <c r="R1524" s="3" t="str">
        <f t="shared" si="46"/>
        <v>105</v>
      </c>
      <c r="S1524" s="3" t="str">
        <f t="shared" si="47"/>
        <v>87</v>
      </c>
      <c r="T1524" s="16" t="s">
        <v>29</v>
      </c>
      <c r="U1524" s="3">
        <v>18.911999999999999</v>
      </c>
      <c r="V1524" s="16" t="str">
        <f>PROPER(Table1[[#This Row],[CVD Risk Level]])</f>
        <v>Intermediary</v>
      </c>
    </row>
    <row r="1525" spans="1:22" x14ac:dyDescent="0.3">
      <c r="A1525" t="s">
        <v>31</v>
      </c>
      <c r="B1525" s="8">
        <v>63</v>
      </c>
      <c r="C1525" s="8">
        <v>91.625</v>
      </c>
      <c r="D1525" s="5">
        <v>1.702</v>
      </c>
      <c r="E1525" s="5">
        <v>35.277999999999999</v>
      </c>
      <c r="F1525" s="16" t="s">
        <v>1302</v>
      </c>
      <c r="G1525" s="11">
        <v>0.60099999999999998</v>
      </c>
      <c r="H1525" s="5">
        <v>102.29019999999998</v>
      </c>
      <c r="I1525" s="8">
        <v>76</v>
      </c>
      <c r="J1525" s="8">
        <v>83</v>
      </c>
      <c r="K1525" s="8">
        <v>189</v>
      </c>
      <c r="L1525" s="8">
        <v>153</v>
      </c>
      <c r="M1525" t="s">
        <v>1307</v>
      </c>
      <c r="N1525" s="16" t="s">
        <v>22</v>
      </c>
      <c r="O1525" s="16" t="s">
        <v>23</v>
      </c>
      <c r="P1525" s="16" t="s">
        <v>37</v>
      </c>
      <c r="Q1525" s="10" t="s">
        <v>1285</v>
      </c>
      <c r="R1525" s="3" t="str">
        <f t="shared" si="46"/>
        <v>162</v>
      </c>
      <c r="S1525" s="3" t="str">
        <f t="shared" si="47"/>
        <v>60</v>
      </c>
      <c r="T1525" s="16" t="s">
        <v>38</v>
      </c>
      <c r="U1525" s="3">
        <v>20.936</v>
      </c>
      <c r="V1525" s="16" t="str">
        <f>PROPER(Table1[[#This Row],[CVD Risk Level]])</f>
        <v>Intermediary</v>
      </c>
    </row>
    <row r="1526" spans="1:22" x14ac:dyDescent="0.3">
      <c r="A1526" t="s">
        <v>20</v>
      </c>
      <c r="B1526" s="8">
        <v>40</v>
      </c>
      <c r="C1526" s="8">
        <v>72.069999999999993</v>
      </c>
      <c r="D1526" s="5">
        <v>1.889</v>
      </c>
      <c r="E1526" s="5">
        <v>20.197173965010432</v>
      </c>
      <c r="F1526" s="16" t="s">
        <v>33</v>
      </c>
      <c r="G1526" s="11">
        <v>0.505</v>
      </c>
      <c r="H1526" s="5">
        <v>95.325999999999993</v>
      </c>
      <c r="I1526" s="8">
        <v>60</v>
      </c>
      <c r="J1526" s="8">
        <v>67</v>
      </c>
      <c r="K1526" s="8">
        <v>157</v>
      </c>
      <c r="L1526" s="8">
        <v>93</v>
      </c>
      <c r="M1526" t="s">
        <v>33</v>
      </c>
      <c r="N1526" s="16" t="s">
        <v>22</v>
      </c>
      <c r="O1526" s="16" t="s">
        <v>22</v>
      </c>
      <c r="P1526" s="16" t="s">
        <v>37</v>
      </c>
      <c r="Q1526" s="10" t="s">
        <v>673</v>
      </c>
      <c r="R1526" s="3" t="str">
        <f t="shared" si="46"/>
        <v>119</v>
      </c>
      <c r="S1526" s="3" t="str">
        <f t="shared" si="47"/>
        <v>66</v>
      </c>
      <c r="T1526" s="16" t="s">
        <v>33</v>
      </c>
      <c r="U1526" s="3">
        <v>14.3</v>
      </c>
      <c r="V1526" s="16" t="str">
        <f>PROPER(Table1[[#This Row],[CVD Risk Level]])</f>
        <v>Low</v>
      </c>
    </row>
    <row r="1527" spans="1:22" x14ac:dyDescent="0.3">
      <c r="A1527" t="s">
        <v>20</v>
      </c>
      <c r="B1527" s="8">
        <v>78</v>
      </c>
      <c r="C1527" s="8">
        <v>85.876999999999995</v>
      </c>
      <c r="D1527" s="5">
        <v>1.825</v>
      </c>
      <c r="E1527" s="5">
        <v>24.425999999999998</v>
      </c>
      <c r="F1527" s="16" t="s">
        <v>33</v>
      </c>
      <c r="G1527" s="11">
        <v>0.61599999999999999</v>
      </c>
      <c r="H1527" s="5">
        <v>112.34</v>
      </c>
      <c r="I1527" s="8">
        <v>84</v>
      </c>
      <c r="J1527" s="8">
        <v>127</v>
      </c>
      <c r="K1527" s="8">
        <v>241</v>
      </c>
      <c r="L1527" s="8">
        <v>117.48563611491107</v>
      </c>
      <c r="M1527" t="s">
        <v>1306</v>
      </c>
      <c r="N1527" s="16" t="s">
        <v>23</v>
      </c>
      <c r="O1527" s="16" t="s">
        <v>22</v>
      </c>
      <c r="P1527" s="16" t="s">
        <v>24</v>
      </c>
      <c r="Q1527" s="10" t="s">
        <v>1286</v>
      </c>
      <c r="R1527" s="3" t="str">
        <f t="shared" si="46"/>
        <v>102</v>
      </c>
      <c r="S1527" s="3" t="str">
        <f t="shared" si="47"/>
        <v>115</v>
      </c>
      <c r="T1527" s="16" t="s">
        <v>38</v>
      </c>
      <c r="U1527" s="3">
        <v>14.805</v>
      </c>
      <c r="V1527" s="16" t="str">
        <f>PROPER(Table1[[#This Row],[CVD Risk Level]])</f>
        <v>Intermediary</v>
      </c>
    </row>
    <row r="1528" spans="1:22" x14ac:dyDescent="0.3">
      <c r="A1528" t="s">
        <v>31</v>
      </c>
      <c r="B1528" s="8">
        <v>39</v>
      </c>
      <c r="C1528" s="8">
        <v>98.626000000000005</v>
      </c>
      <c r="D1528" s="5">
        <v>1.5209999999999999</v>
      </c>
      <c r="E1528" s="5">
        <v>20.055</v>
      </c>
      <c r="F1528" s="16" t="s">
        <v>33</v>
      </c>
      <c r="G1528" s="11">
        <v>0.50700000000000001</v>
      </c>
      <c r="H1528" s="5">
        <v>77.192999999999998</v>
      </c>
      <c r="I1528" s="8">
        <v>82</v>
      </c>
      <c r="J1528" s="8">
        <v>125</v>
      </c>
      <c r="K1528" s="8">
        <v>237</v>
      </c>
      <c r="L1528" s="8">
        <v>147</v>
      </c>
      <c r="M1528" t="s">
        <v>1307</v>
      </c>
      <c r="N1528" s="16" t="s">
        <v>22</v>
      </c>
      <c r="O1528" s="16" t="s">
        <v>23</v>
      </c>
      <c r="P1528" s="16" t="s">
        <v>28</v>
      </c>
      <c r="Q1528" s="10" t="s">
        <v>1287</v>
      </c>
      <c r="R1528" s="3" t="str">
        <f t="shared" si="46"/>
        <v>150</v>
      </c>
      <c r="S1528" s="3" t="str">
        <f t="shared" si="47"/>
        <v>90</v>
      </c>
      <c r="T1528" s="16" t="s">
        <v>38</v>
      </c>
      <c r="U1528" s="3">
        <v>18.251000000000001</v>
      </c>
      <c r="V1528" s="16" t="str">
        <f>PROPER(Table1[[#This Row],[CVD Risk Level]])</f>
        <v>Intermediary</v>
      </c>
    </row>
    <row r="1529" spans="1:22" x14ac:dyDescent="0.3">
      <c r="A1529" t="s">
        <v>31</v>
      </c>
      <c r="B1529" s="8">
        <v>71</v>
      </c>
      <c r="C1529" s="8">
        <v>116.163</v>
      </c>
      <c r="D1529" s="5">
        <v>1.841</v>
      </c>
      <c r="E1529" s="5">
        <v>29.279</v>
      </c>
      <c r="F1529" s="16" t="s">
        <v>1303</v>
      </c>
      <c r="G1529" s="11">
        <v>0.62</v>
      </c>
      <c r="H1529" s="5">
        <v>114.197</v>
      </c>
      <c r="I1529" s="8">
        <v>84</v>
      </c>
      <c r="J1529" s="8">
        <v>79</v>
      </c>
      <c r="K1529" s="8">
        <v>193</v>
      </c>
      <c r="L1529" s="8">
        <v>123</v>
      </c>
      <c r="M1529" t="s">
        <v>1306</v>
      </c>
      <c r="N1529" s="16" t="s">
        <v>22</v>
      </c>
      <c r="O1529" s="16" t="s">
        <v>22</v>
      </c>
      <c r="P1529" s="16" t="s">
        <v>28</v>
      </c>
      <c r="Q1529" s="10" t="s">
        <v>548</v>
      </c>
      <c r="R1529" s="3" t="str">
        <f t="shared" si="46"/>
        <v>112</v>
      </c>
      <c r="S1529" s="3" t="str">
        <f t="shared" si="47"/>
        <v>63</v>
      </c>
      <c r="T1529" s="16" t="s">
        <v>33</v>
      </c>
      <c r="U1529" s="3">
        <v>15.316000000000001</v>
      </c>
      <c r="V1529" s="16" t="str">
        <f>PROPER(Table1[[#This Row],[CVD Risk Level]])</f>
        <v>Intermediary</v>
      </c>
    </row>
    <row r="1530" spans="1:22" x14ac:dyDescent="0.3">
      <c r="A1530" t="s">
        <v>20</v>
      </c>
      <c r="B1530" s="8">
        <v>78</v>
      </c>
      <c r="C1530" s="8">
        <v>111.627</v>
      </c>
      <c r="D1530" s="5">
        <v>1.867</v>
      </c>
      <c r="E1530" s="5">
        <v>22.016999999999999</v>
      </c>
      <c r="F1530" s="16" t="s">
        <v>33</v>
      </c>
      <c r="G1530" s="11">
        <v>0.52300000000000002</v>
      </c>
      <c r="H1530" s="5">
        <v>97.691999999999993</v>
      </c>
      <c r="I1530" s="8">
        <v>68</v>
      </c>
      <c r="J1530" s="8">
        <v>120</v>
      </c>
      <c r="K1530" s="8">
        <v>218</v>
      </c>
      <c r="L1530" s="8">
        <v>166</v>
      </c>
      <c r="M1530" t="s">
        <v>1307</v>
      </c>
      <c r="N1530" s="16" t="s">
        <v>22</v>
      </c>
      <c r="O1530" s="16" t="s">
        <v>22</v>
      </c>
      <c r="P1530" s="16" t="s">
        <v>28</v>
      </c>
      <c r="Q1530" s="10" t="s">
        <v>441</v>
      </c>
      <c r="R1530" s="3" t="str">
        <f t="shared" si="46"/>
        <v>134</v>
      </c>
      <c r="S1530" s="3" t="str">
        <f t="shared" si="47"/>
        <v>67</v>
      </c>
      <c r="T1530" s="16" t="s">
        <v>29</v>
      </c>
      <c r="U1530" s="3">
        <v>15.462999999999999</v>
      </c>
      <c r="V1530" s="16" t="str">
        <f>PROPER(Table1[[#This Row],[CVD Risk Level]])</f>
        <v>High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DA424A-FE36-49A1-A39C-A1A91C2791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CVD Dataset</vt:lpstr>
      <vt:lpstr>Cleaning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2026-02-11T05:30:57Z</dcterms:created>
  <dcterms:modified xsi:type="dcterms:W3CDTF">2026-02-21T04:40:01Z</dcterms:modified>
</cp:coreProperties>
</file>